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omments/comment1.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comments/comment2.xml" ContentType="application/vnd.openxmlformats-officedocument.spreadsheetml.comments+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omments/comment3.xml" ContentType="application/vnd.openxmlformats-officedocument.spreadsheetml.comment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920" yWindow="-120" windowWidth="29040" windowHeight="15840" tabRatio="854" firstSheet="1" activeTab="2" autoFilterDateGrouping="1"/>
  </bookViews>
  <sheets>
    <sheet name="DropDowns" sheetId="1" state="hidden" r:id="rId1"/>
    <sheet name="Zoho Interface" sheetId="2" state="visible" r:id="rId2"/>
    <sheet name="Clients" sheetId="3" state="visible" r:id="rId3"/>
    <sheet name="Summary" sheetId="4" state="visible" r:id="rId4"/>
    <sheet name="CDB Calculator Summary Sheet" sheetId="5" state="visible" r:id="rId5"/>
    <sheet name="Calculator" sheetId="6" state="visible" r:id="rId6"/>
    <sheet name="Spouse or common-law partner am" sheetId="7" state="visible" r:id="rId7"/>
    <sheet name="Federal Transfer S2" sheetId="8" state="visible" r:id="rId8"/>
    <sheet name="Prov Trans Master" sheetId="9" state="visible" r:id="rId9"/>
    <sheet name="AB Transfer S2" sheetId="10" state="visible" r:id="rId10"/>
    <sheet name="BC Transfer S2" sheetId="11" state="visible" r:id="rId11"/>
    <sheet name="MB Transfer S2" sheetId="12" state="visible" r:id="rId12"/>
    <sheet name="NB Transfer S2" sheetId="13" state="visible" r:id="rId13"/>
    <sheet name="NL Transfer S2" sheetId="14" state="visible" r:id="rId14"/>
    <sheet name="NT Transfer S2" sheetId="15" state="visible" r:id="rId15"/>
    <sheet name="NS Transfer S2" sheetId="16" state="visible" r:id="rId16"/>
    <sheet name="NU Transfer S2" sheetId="17" state="visible" r:id="rId17"/>
    <sheet name="ON Transfer S2" sheetId="18" state="visible" r:id="rId18"/>
    <sheet name="PE Transfer S2" sheetId="19" state="visible" r:id="rId19"/>
    <sheet name="SK Transfer S2" sheetId="20" state="visible" r:id="rId20"/>
    <sheet name="YT Transfer S2" sheetId="21" state="visible" r:id="rId21"/>
    <sheet name="Sheet1" sheetId="22" state="visible" r:id="rId22"/>
    <sheet name="Age &amp; DTC Eligibility" sheetId="23" state="visible" r:id="rId23"/>
    <sheet name="Info" sheetId="24" state="visible" r:id="rId24"/>
    <sheet name="Dependant Ref Tables" sheetId="25" state="visible" r:id="rId25"/>
    <sheet name="CDB Base Amounts by Year" sheetId="26" state="visible" r:id="rId26"/>
    <sheet name="Payout Calcs" sheetId="27" state="visible" r:id="rId27"/>
  </sheets>
  <externalReferences>
    <externalReference r:id="rId28"/>
    <externalReference r:id="rId29"/>
    <externalReference r:id="rId30"/>
  </externalReferences>
  <definedNames>
    <definedName name="aah">Clients!#REF!</definedName>
    <definedName name="aaj">Clients!$BCM$1</definedName>
    <definedName name="aeq">Clients!$4:$4</definedName>
    <definedName name="afk">Clients!$1:$1</definedName>
    <definedName name="AR">#REF!</definedName>
    <definedName name="cao">Clients!$EJP$8</definedName>
    <definedName name="client">[1]!Table1[#Data]</definedName>
    <definedName name="ClientNumber">Calculator!$C$5</definedName>
    <definedName name="Clients">Clients!#REF!</definedName>
    <definedName name="line323_18">Clients!#REF!</definedName>
    <definedName name="line32318">Clients!#REF!</definedName>
    <definedName name="MainClient">Calculator!$C$5</definedName>
    <definedName name="Num_Children">#REF!</definedName>
    <definedName name="Provinces">'[1]List Reference '!$A$1:$A$12</definedName>
    <definedName name="rolf">#REF!</definedName>
    <definedName name="TransferName">Calculator!$D$28</definedName>
    <definedName name="TransferNumber">Calculator!$C$28</definedName>
    <definedName name="ClientNumber" localSheetId="1">Calculator!$C$5</definedName>
    <definedName name="_xlnm.Print_Area" localSheetId="1">'Zoho Interface'!$B$2:$O$19</definedName>
    <definedName name="Clients" localSheetId="5">[2]Clients!$B$3:BD3994</definedName>
    <definedName name="Num_Children" localSheetId="5">Calculator!#REF!</definedName>
    <definedName name="rolf" localSheetId="5">Calculator!$C$5</definedName>
    <definedName name="Clients" localSheetId="7">[2]Clients!$B$3:BD3994</definedName>
    <definedName name="rolf" localSheetId="7">[2]Calculator!$C$4</definedName>
    <definedName name="_xlnm._FilterDatabase" localSheetId="8" hidden="1">'Prov Trans Master'!$A$2:$B$134</definedName>
    <definedName name="Clients" localSheetId="9">[2]Clients!$B$3:BD3994</definedName>
    <definedName name="rolf" localSheetId="9">[2]Calculator!$C$4</definedName>
    <definedName name="Clients" localSheetId="10">[2]Clients!$B$3:BD3994</definedName>
    <definedName name="rolf" localSheetId="10">[2]Calculator!$C$4</definedName>
    <definedName name="Clients" localSheetId="11">[2]Clients!$B$3:BD3994</definedName>
    <definedName name="rolf" localSheetId="11">[2]Calculator!$C$4</definedName>
    <definedName name="Clients" localSheetId="12">[2]Clients!$B$3:BD3994</definedName>
    <definedName name="rolf" localSheetId="12">[2]Calculator!$C$4</definedName>
    <definedName name="Clients" localSheetId="13">[2]Clients!$B$3:BD3994</definedName>
    <definedName name="rolf" localSheetId="13">[2]Calculator!$C$4</definedName>
    <definedName name="Clients" localSheetId="14">[2]Clients!$B$3:BD3994</definedName>
    <definedName name="rolf" localSheetId="14">[2]Calculator!$C$4</definedName>
    <definedName name="Clients" localSheetId="15">[2]Clients!$B$3:BD3994</definedName>
    <definedName name="rolf" localSheetId="15">[2]Calculator!$C$4</definedName>
    <definedName name="Clients" localSheetId="16">[2]Clients!$B$3:BD3994</definedName>
    <definedName name="rolf" localSheetId="16">[2]Calculator!$C$4</definedName>
    <definedName name="Clients" localSheetId="17">[2]Clients!$B$3:BD3994</definedName>
    <definedName name="rolf" localSheetId="17">[2]Calculator!$C$4</definedName>
    <definedName name="Clients" localSheetId="18">[2]Clients!$B$3:BD3994</definedName>
    <definedName name="rolf" localSheetId="18">[2]Calculator!$C$4</definedName>
    <definedName name="Clients" localSheetId="19">[2]Clients!$B$3:BD3994</definedName>
    <definedName name="rolf" localSheetId="19">[2]Calculator!$C$4</definedName>
    <definedName name="Clients" localSheetId="20">[2]Clients!$B$3:BD3994</definedName>
    <definedName name="rolf" localSheetId="20">[2]Calculator!$C$4</definedName>
    <definedName name="_xlnm._FilterDatabase" localSheetId="21" hidden="1">'Sheet1'!$A$1:$A$20</definedName>
  </definedNames>
  <calcPr calcId="191029" fullCalcOnLoad="1"/>
</workbook>
</file>

<file path=xl/styles.xml><?xml version="1.0" encoding="utf-8"?>
<styleSheet xmlns="http://schemas.openxmlformats.org/spreadsheetml/2006/main">
  <numFmts count="9">
    <numFmt numFmtId="164" formatCode="&quot;$&quot;#,##0.00_);[Red]\(&quot;$&quot;#,##0.00\)"/>
    <numFmt numFmtId="165" formatCode="_(&quot;$&quot;* #,##0.00_);_(&quot;$&quot;* \(#,##0.00\);_(&quot;$&quot;* &quot;-&quot;??_);_(@_)"/>
    <numFmt numFmtId="166" formatCode="_-&quot;$&quot;* #,##0.00_-;\-&quot;$&quot;* #,##0.00_-;_-&quot;$&quot;* &quot;-&quot;??_-;_-@_-"/>
    <numFmt numFmtId="167" formatCode="0.00_);\(0.00\)"/>
    <numFmt numFmtId="168" formatCode="[$-409]mmm\-yyyy;@"/>
    <numFmt numFmtId="169" formatCode="_-* #,##0_-;\-* #,##0_-;_-* &quot;-&quot;??_-;_-@_-"/>
    <numFmt numFmtId="170" formatCode="&quot;$&quot;#,##0_);[Red]\(&quot;$&quot;#,##0\)"/>
    <numFmt numFmtId="171" formatCode="0.0%"/>
    <numFmt numFmtId="172" formatCode="_-* #,##0.00_-;\-* #,##0.00_-;_-* &quot;-&quot;??_-;_-@_-"/>
  </numFmts>
  <fonts count="70">
    <font>
      <name val="Calibri"/>
      <family val="2"/>
      <color theme="1"/>
      <sz val="11"/>
      <scheme val="minor"/>
    </font>
    <font>
      <name val="Calibri"/>
      <family val="2"/>
      <color rgb="FF006100"/>
      <sz val="11"/>
      <scheme val="minor"/>
    </font>
    <font>
      <name val="Calibri"/>
      <family val="2"/>
      <color rgb="FF9C0006"/>
      <sz val="11"/>
      <scheme val="minor"/>
    </font>
    <font>
      <name val="Calibri"/>
      <family val="2"/>
      <color rgb="FF9C5700"/>
      <sz val="11"/>
      <scheme val="minor"/>
    </font>
    <font>
      <name val="Calibri"/>
      <family val="2"/>
      <b val="1"/>
      <color rgb="FFFA7D00"/>
      <sz val="11"/>
      <scheme val="minor"/>
    </font>
    <font>
      <name val="Calibri"/>
      <family val="2"/>
      <color theme="1"/>
      <sz val="11"/>
      <scheme val="minor"/>
    </font>
    <font>
      <name val="Calibri"/>
      <family val="2"/>
      <color theme="0"/>
      <sz val="11"/>
      <scheme val="minor"/>
    </font>
    <font>
      <name val="Calibri"/>
      <family val="2"/>
      <sz val="8"/>
      <scheme val="minor"/>
    </font>
    <font>
      <name val="Calibri"/>
      <family val="2"/>
      <color rgb="FFFF0000"/>
      <sz val="11"/>
      <scheme val="minor"/>
    </font>
    <font>
      <name val="Calibri"/>
      <family val="2"/>
      <b val="1"/>
      <color theme="1"/>
      <sz val="11"/>
      <scheme val="minor"/>
    </font>
    <font>
      <name val="Arial"/>
      <family val="2"/>
      <color rgb="FF333333"/>
      <sz val="12"/>
    </font>
    <font>
      <name val="Calibri"/>
      <family val="2"/>
      <color rgb="FF0070C0"/>
      <sz val="11"/>
      <scheme val="minor"/>
    </font>
    <font>
      <name val="Calibri"/>
      <family val="2"/>
      <b val="1"/>
      <color rgb="FFFF0000"/>
      <sz val="11"/>
      <scheme val="minor"/>
    </font>
    <font>
      <name val="Calibri"/>
      <family val="2"/>
      <b val="1"/>
      <color theme="1"/>
      <sz val="16"/>
      <scheme val="minor"/>
    </font>
    <font>
      <name val="Calibri"/>
      <family val="2"/>
      <sz val="11"/>
      <scheme val="minor"/>
    </font>
    <font>
      <name val="Calibri"/>
      <family val="2"/>
      <b val="1"/>
      <color theme="1"/>
      <sz val="18"/>
      <scheme val="minor"/>
    </font>
    <font>
      <name val="Calibri"/>
      <family val="2"/>
      <color theme="1"/>
      <sz val="16"/>
      <scheme val="minor"/>
    </font>
    <font>
      <name val="Calibri"/>
      <family val="2"/>
      <b val="1"/>
      <color theme="1"/>
      <sz val="14"/>
      <scheme val="minor"/>
    </font>
    <font>
      <name val="Arial"/>
      <family val="2"/>
      <b val="1"/>
      <color theme="1"/>
      <sz val="7.5"/>
    </font>
    <font>
      <name val="Calibri"/>
      <family val="2"/>
      <b val="1"/>
      <color theme="1"/>
      <sz val="20"/>
      <scheme val="minor"/>
    </font>
    <font>
      <name val="Calibri"/>
      <family val="2"/>
      <b val="1"/>
      <color rgb="FF006100"/>
      <sz val="11"/>
      <scheme val="minor"/>
    </font>
    <font>
      <name val="Calibri"/>
      <family val="2"/>
      <color theme="1"/>
      <sz val="14"/>
      <scheme val="minor"/>
    </font>
    <font>
      <name val="Calibri"/>
      <family val="2"/>
      <color theme="1"/>
      <sz val="9"/>
      <scheme val="minor"/>
    </font>
    <font>
      <name val="Calibri"/>
      <family val="2"/>
      <color theme="1"/>
      <sz val="12"/>
      <scheme val="minor"/>
    </font>
    <font>
      <name val="Calibri"/>
      <family val="2"/>
      <color theme="1"/>
      <sz val="10"/>
      <scheme val="minor"/>
    </font>
    <font>
      <name val="Calibri Light"/>
      <family val="2"/>
      <color theme="3"/>
      <sz val="18"/>
      <scheme val="major"/>
    </font>
    <font>
      <name val="Calibri"/>
      <family val="2"/>
      <b val="1"/>
      <color theme="3"/>
      <sz val="15"/>
      <scheme val="minor"/>
    </font>
    <font>
      <name val="Calibri"/>
      <family val="2"/>
      <b val="1"/>
      <color theme="3"/>
      <sz val="13"/>
      <scheme val="minor"/>
    </font>
    <font>
      <name val="Calibri"/>
      <family val="2"/>
      <b val="1"/>
      <color theme="3"/>
      <sz val="11"/>
      <scheme val="minor"/>
    </font>
    <font>
      <name val="Calibri"/>
      <family val="2"/>
      <color rgb="FF3F3F76"/>
      <sz val="11"/>
      <scheme val="minor"/>
    </font>
    <font>
      <name val="Calibri"/>
      <family val="2"/>
      <b val="1"/>
      <color rgb="FF3F3F3F"/>
      <sz val="11"/>
      <scheme val="minor"/>
    </font>
    <font>
      <name val="Calibri"/>
      <family val="2"/>
      <color rgb="FFFA7D00"/>
      <sz val="11"/>
      <scheme val="minor"/>
    </font>
    <font>
      <name val="Calibri"/>
      <family val="2"/>
      <b val="1"/>
      <color theme="0"/>
      <sz val="11"/>
      <scheme val="minor"/>
    </font>
    <font>
      <name val="Calibri"/>
      <family val="2"/>
      <i val="1"/>
      <color rgb="FF7F7F7F"/>
      <sz val="11"/>
      <scheme val="minor"/>
    </font>
    <font>
      <name val="Consolas"/>
      <family val="3"/>
      <color rgb="FF454545"/>
      <sz val="12"/>
    </font>
    <font>
      <name val="Calibri"/>
      <family val="2"/>
      <b val="1"/>
      <sz val="11"/>
      <scheme val="minor"/>
    </font>
    <font>
      <name val="Calibri"/>
      <family val="2"/>
      <color theme="1"/>
      <sz val="8"/>
      <scheme val="minor"/>
    </font>
    <font>
      <name val="Calibri"/>
      <family val="2"/>
      <b val="1"/>
      <color theme="1"/>
      <sz val="12"/>
      <scheme val="minor"/>
    </font>
    <font>
      <name val="Calibri"/>
      <family val="2"/>
      <sz val="12"/>
      <scheme val="minor"/>
    </font>
    <font>
      <name val="Calibri"/>
      <family val="2"/>
      <b val="1"/>
      <sz val="12"/>
      <scheme val="minor"/>
    </font>
    <font>
      <name val="Calibri"/>
      <family val="2"/>
      <color indexed="8"/>
      <sz val="11"/>
      <scheme val="minor"/>
    </font>
    <font>
      <name val="Consolas"/>
      <family val="3"/>
      <sz val="12"/>
    </font>
    <font>
      <name val="Calibri"/>
      <family val="2"/>
      <b val="1"/>
      <color theme="0"/>
      <sz val="16"/>
      <scheme val="minor"/>
    </font>
    <font>
      <name val="Calibri"/>
      <family val="2"/>
      <b val="1"/>
      <color rgb="FFFF0000"/>
      <sz val="14"/>
      <scheme val="minor"/>
    </font>
    <font>
      <name val="Aptos"/>
      <family val="2"/>
      <color theme="1"/>
      <sz val="11"/>
    </font>
    <font>
      <name val="Aptos"/>
      <family val="2"/>
      <b val="1"/>
      <color theme="1"/>
      <sz val="11"/>
    </font>
    <font>
      <name val="Aptos"/>
      <family val="2"/>
      <color theme="1"/>
      <sz val="12"/>
    </font>
    <font>
      <name val="Calibri"/>
      <family val="2"/>
      <color theme="9"/>
      <sz val="14"/>
      <scheme val="minor"/>
    </font>
    <font>
      <name val="Calibri"/>
      <family val="2"/>
      <b val="1"/>
      <color rgb="FFFF0000"/>
      <sz val="18"/>
      <scheme val="minor"/>
    </font>
    <font>
      <name val="Calibri"/>
      <family val="2"/>
      <color rgb="FF9C5700"/>
      <sz val="16"/>
      <scheme val="minor"/>
    </font>
    <font>
      <name val="Calibri"/>
      <family val="2"/>
      <b val="1"/>
      <color rgb="FFFF0000"/>
      <sz val="12"/>
      <scheme val="minor"/>
    </font>
    <font>
      <name val="Calibri"/>
      <family val="2"/>
      <b val="1"/>
      <sz val="18"/>
      <scheme val="minor"/>
    </font>
    <font>
      <name val="Calibri"/>
      <family val="2"/>
      <b val="1"/>
      <color theme="1"/>
      <sz val="17"/>
      <scheme val="minor"/>
    </font>
    <font>
      <name val="Calibri"/>
      <family val="2"/>
      <b val="1"/>
      <color rgb="FF9C5700"/>
      <sz val="17"/>
      <scheme val="minor"/>
    </font>
    <font>
      <name val="Calibri"/>
      <family val="2"/>
      <b val="1"/>
      <color theme="4" tint="-0.249977111117893"/>
      <sz val="18"/>
      <scheme val="minor"/>
    </font>
    <font>
      <name val="Calibri"/>
      <family val="2"/>
      <b val="1"/>
      <color theme="9"/>
      <sz val="16"/>
      <scheme val="minor"/>
    </font>
    <font>
      <name val="Calibri"/>
      <family val="2"/>
      <b val="1"/>
      <color theme="4"/>
      <sz val="11"/>
      <scheme val="minor"/>
    </font>
    <font>
      <name val="Calibri"/>
      <family val="2"/>
      <color theme="4"/>
      <sz val="11"/>
      <scheme val="minor"/>
    </font>
    <font>
      <name val="Tahoma"/>
      <family val="2"/>
      <b val="1"/>
      <color indexed="81"/>
      <sz val="9"/>
    </font>
    <font>
      <name val="Tahoma"/>
      <family val="2"/>
      <color indexed="81"/>
      <sz val="9"/>
    </font>
    <font>
      <name val="Noto Sans"/>
      <family val="2"/>
      <color rgb="FF333333"/>
      <sz val="12"/>
    </font>
    <font>
      <name val="LatoRegular"/>
      <color rgb="FF333333"/>
      <sz val="13"/>
    </font>
    <font>
      <name val="Calibri"/>
      <family val="2"/>
      <b val="1"/>
      <i val="1"/>
      <color rgb="FFFF0000"/>
      <sz val="11"/>
      <scheme val="minor"/>
    </font>
    <font>
      <name val="Calibri  "/>
      <b val="1"/>
      <color rgb="FF000000"/>
      <sz val="11"/>
    </font>
    <font>
      <name val="Calibri"/>
      <family val="2"/>
      <color theme="1"/>
      <sz val="20"/>
      <scheme val="minor"/>
    </font>
    <font>
      <name val="Calibri"/>
      <family val="2"/>
      <b val="1"/>
      <color theme="1"/>
      <sz val="11"/>
      <u val="single"/>
      <scheme val="minor"/>
    </font>
    <font>
      <name val="Arial"/>
      <family val="2"/>
      <color rgb="FF222222"/>
      <sz val="12"/>
    </font>
    <font>
      <name val="LatoSemibold"/>
      <color rgb="FF000000"/>
      <sz val="13"/>
    </font>
    <font>
      <name val="Calibri"/>
      <family val="2"/>
      <i val="1"/>
      <color rgb="FFFF0000"/>
      <sz val="11"/>
      <scheme val="minor"/>
    </font>
    <font>
      <name val="Calibri"/>
      <family val="2"/>
      <color theme="10"/>
      <sz val="11"/>
      <u val="single"/>
      <scheme val="minor"/>
    </font>
  </fonts>
  <fills count="60">
    <fill>
      <patternFill/>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theme="4" tint="0.7999816888943144"/>
        <bgColor indexed="65"/>
      </patternFill>
    </fill>
    <fill>
      <patternFill patternType="solid">
        <fgColor theme="5"/>
      </patternFill>
    </fill>
    <fill>
      <patternFill patternType="solid">
        <fgColor theme="4"/>
      </patternFill>
    </fill>
    <fill>
      <patternFill patternType="solid">
        <fgColor rgb="FFFFFFFF"/>
        <bgColor indexed="64"/>
      </patternFill>
    </fill>
    <fill>
      <patternFill patternType="solid">
        <fgColor rgb="FFF5F5F5"/>
        <bgColor indexed="64"/>
      </patternFill>
    </fill>
    <fill>
      <patternFill patternType="solid">
        <fgColor theme="6" tint="0.7999816888943144"/>
        <bgColor indexed="64"/>
      </patternFill>
    </fill>
    <fill>
      <patternFill patternType="solid">
        <fgColor theme="1"/>
        <bgColor indexed="64"/>
      </patternFill>
    </fill>
    <fill>
      <patternFill patternType="solid">
        <fgColor theme="3" tint="0.7999816888943144"/>
        <bgColor indexed="64"/>
      </patternFill>
    </fill>
    <fill>
      <patternFill patternType="solid">
        <fgColor theme="0" tint="-0.1499984740745262"/>
        <bgColor indexed="64"/>
      </patternFill>
    </fill>
    <fill>
      <patternFill patternType="solid">
        <fgColor rgb="FFFFFF00"/>
        <bgColor indexed="64"/>
      </patternFill>
    </fill>
    <fill>
      <patternFill patternType="solid">
        <fgColor rgb="FFCEE1D6"/>
        <bgColor indexed="64"/>
      </patternFill>
    </fill>
    <fill>
      <patternFill patternType="solid">
        <fgColor theme="0" tint="-0.0499893185216834"/>
        <bgColor indexed="64"/>
      </patternFill>
    </fill>
    <fill>
      <patternFill patternType="solid">
        <fgColor theme="4" tint="0.5999938962981048"/>
        <bgColor indexed="64"/>
      </patternFill>
    </fill>
    <fill>
      <patternFill patternType="solid">
        <fgColor theme="9" tint="0.5999938962981048"/>
        <bgColor indexed="64"/>
      </patternFill>
    </fill>
    <fill>
      <patternFill patternType="solid">
        <fgColor theme="2"/>
        <bgColor indexed="64"/>
      </patternFill>
    </fill>
    <fill>
      <patternFill patternType="solid">
        <fgColor theme="7" tint="0.7999816888943144"/>
        <bgColor indexed="64"/>
      </patternFill>
    </fill>
    <fill>
      <patternFill patternType="solid">
        <fgColor theme="5" tint="0.7999816888943144"/>
        <bgColor indexed="64"/>
      </patternFill>
    </fill>
    <fill>
      <patternFill patternType="solid">
        <fgColor theme="9" tint="-0.249977111117893"/>
        <bgColor indexed="64"/>
      </patternFill>
    </fill>
    <fill>
      <patternFill patternType="solid">
        <fgColor theme="5" tint="-0.249977111117893"/>
        <bgColor indexed="64"/>
      </patternFill>
    </fill>
    <fill>
      <patternFill patternType="solid">
        <fgColor theme="4" tint="0.3999755851924192"/>
        <bgColor indexed="64"/>
      </patternFill>
    </fill>
    <fill>
      <patternFill patternType="solid">
        <fgColor rgb="FFA92F6F"/>
        <bgColor indexed="64"/>
      </patternFill>
    </fill>
    <fill>
      <patternFill patternType="solid">
        <fgColor theme="8" tint="0.7999816888943144"/>
        <bgColor indexed="65"/>
      </patternFill>
    </fill>
    <fill>
      <patternFill patternType="solid">
        <fgColor rgb="FFFF0000"/>
        <bgColor indexed="64"/>
      </patternFill>
    </fill>
    <fill>
      <patternFill patternType="solid">
        <fgColor rgb="FFFFCC99"/>
      </patternFill>
    </fill>
    <fill>
      <patternFill patternType="solid">
        <fgColor rgb="FFA5A5A5"/>
      </patternFill>
    </fill>
    <fill>
      <patternFill patternType="solid">
        <fgColor rgb="FFFFFFCC"/>
      </patternFill>
    </fill>
    <fill>
      <patternFill patternType="solid">
        <fgColor theme="4" tint="0.5999938962981048"/>
        <bgColor indexed="65"/>
      </patternFill>
    </fill>
    <fill>
      <patternFill patternType="solid">
        <fgColor theme="4" tint="0.3999755851924192"/>
        <bgColor indexed="6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
      <patternFill patternType="solid">
        <fgColor theme="4" tint="0.7999816888943144"/>
        <bgColor indexed="64"/>
      </patternFill>
    </fill>
    <fill>
      <patternFill patternType="solid">
        <fgColor theme="8" tint="0.7999816888943144"/>
        <bgColor indexed="64"/>
      </patternFill>
    </fill>
    <fill>
      <patternFill patternType="solid">
        <fgColor theme="9" tint="0.7999816888943144"/>
        <bgColor indexed="64"/>
      </patternFill>
    </fill>
    <fill>
      <patternFill patternType="solid">
        <fgColor theme="7"/>
        <bgColor indexed="64"/>
      </patternFill>
    </fill>
    <fill>
      <patternFill patternType="solid">
        <fgColor rgb="FFCC3300"/>
        <bgColor indexed="64"/>
      </patternFill>
    </fill>
    <fill>
      <patternFill patternType="solid">
        <fgColor theme="3" tint="0.5999938962981048"/>
        <bgColor indexed="64"/>
      </patternFill>
    </fill>
    <fill>
      <patternFill patternType="solid">
        <fgColor rgb="FFFFC000"/>
        <bgColor indexed="64"/>
      </patternFill>
    </fill>
    <fill>
      <patternFill patternType="solid">
        <fgColor theme="7" tint="0.3999755851924192"/>
        <bgColor indexed="64"/>
      </patternFill>
    </fill>
  </fills>
  <borders count="71">
    <border>
      <left/>
      <right/>
      <top/>
      <bottom/>
      <diagonal/>
    </border>
    <border>
      <left style="thin">
        <color rgb="FF7F7F7F"/>
      </left>
      <right style="thin">
        <color rgb="FF7F7F7F"/>
      </right>
      <top style="thin">
        <color rgb="FF7F7F7F"/>
      </top>
      <bottom style="thin">
        <color rgb="FF7F7F7F"/>
      </bottom>
      <diagonal/>
    </border>
    <border>
      <left style="thick">
        <color auto="1"/>
      </left>
      <right/>
      <top/>
      <bottom/>
      <diagonal/>
    </border>
    <border>
      <left style="dashDotDot">
        <color auto="1"/>
      </left>
      <right style="thick">
        <color auto="1"/>
      </right>
      <top/>
      <bottom/>
      <diagonal/>
    </border>
    <border>
      <left style="medium">
        <color rgb="FFDDDDDD"/>
      </left>
      <right style="medium">
        <color rgb="FFDDDDDD"/>
      </right>
      <top/>
      <bottom style="medium">
        <color rgb="FFDDDDDD"/>
      </bottom>
      <diagonal/>
    </border>
    <border>
      <left style="medium">
        <color rgb="FFDDDDDD"/>
      </left>
      <right style="medium">
        <color rgb="FFDDDDDD"/>
      </right>
      <top style="medium">
        <color rgb="FFDDDDDD"/>
      </top>
      <bottom style="medium">
        <color rgb="FFDDDDDD"/>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rgb="FF000000"/>
      </left>
      <right style="medium">
        <color indexed="64"/>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top/>
      <bottom style="thin">
        <color indexed="64"/>
      </bottom>
      <diagonal/>
    </border>
    <border>
      <left/>
      <right style="thin">
        <color indexed="64"/>
      </right>
      <top/>
      <bottom/>
      <diagonal/>
    </border>
    <border>
      <left/>
      <right/>
      <top style="thin">
        <color indexed="64"/>
      </top>
      <bottom/>
      <diagonal/>
    </border>
    <border>
      <left/>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ck">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s>
  <cellStyleXfs count="54">
    <xf numFmtId="0" fontId="5" fillId="0" borderId="0"/>
    <xf numFmtId="0" fontId="1" fillId="2" borderId="0"/>
    <xf numFmtId="0" fontId="2" fillId="3" borderId="0"/>
    <xf numFmtId="0" fontId="3" fillId="4" borderId="0"/>
    <xf numFmtId="0" fontId="4" fillId="5" borderId="1"/>
    <xf numFmtId="0" fontId="5" fillId="6" borderId="0"/>
    <xf numFmtId="0" fontId="6" fillId="7" borderId="0"/>
    <xf numFmtId="0" fontId="6" fillId="8" borderId="0"/>
    <xf numFmtId="166" fontId="5" fillId="0" borderId="0"/>
    <xf numFmtId="44" fontId="5" fillId="0" borderId="0"/>
    <xf numFmtId="0" fontId="5" fillId="27" borderId="0"/>
    <xf numFmtId="0" fontId="25" fillId="0" borderId="0"/>
    <xf numFmtId="0" fontId="26" fillId="0" borderId="33"/>
    <xf numFmtId="0" fontId="27" fillId="0" borderId="34"/>
    <xf numFmtId="0" fontId="28" fillId="0" borderId="35"/>
    <xf numFmtId="0" fontId="28" fillId="0" borderId="0"/>
    <xf numFmtId="0" fontId="29" fillId="29" borderId="1"/>
    <xf numFmtId="0" fontId="30" fillId="5" borderId="36"/>
    <xf numFmtId="0" fontId="31" fillId="0" borderId="37"/>
    <xf numFmtId="0" fontId="32" fillId="30" borderId="38"/>
    <xf numFmtId="0" fontId="8" fillId="0" borderId="0"/>
    <xf numFmtId="0" fontId="5" fillId="31" borderId="39"/>
    <xf numFmtId="0" fontId="33" fillId="0" borderId="0"/>
    <xf numFmtId="0" fontId="9" fillId="0" borderId="40"/>
    <xf numFmtId="0" fontId="5" fillId="32" borderId="0"/>
    <xf numFmtId="0" fontId="5" fillId="33" borderId="0"/>
    <xf numFmtId="0" fontId="5" fillId="34" borderId="0"/>
    <xf numFmtId="0" fontId="5" fillId="35" borderId="0"/>
    <xf numFmtId="0" fontId="5" fillId="36" borderId="0"/>
    <xf numFmtId="0" fontId="6" fillId="37" borderId="0"/>
    <xf numFmtId="0" fontId="5" fillId="38" borderId="0"/>
    <xf numFmtId="0" fontId="5" fillId="39" borderId="0"/>
    <xf numFmtId="0" fontId="5" fillId="40" borderId="0"/>
    <xf numFmtId="0" fontId="6" fillId="41" borderId="0"/>
    <xf numFmtId="0" fontId="5" fillId="42" borderId="0"/>
    <xf numFmtId="0" fontId="5" fillId="43" borderId="0"/>
    <xf numFmtId="0" fontId="5" fillId="44" borderId="0"/>
    <xf numFmtId="0" fontId="6" fillId="45" borderId="0"/>
    <xf numFmtId="0" fontId="5" fillId="46" borderId="0"/>
    <xf numFmtId="0" fontId="5" fillId="47" borderId="0"/>
    <xf numFmtId="0" fontId="6" fillId="48" borderId="0"/>
    <xf numFmtId="0" fontId="5" fillId="49" borderId="0"/>
    <xf numFmtId="0" fontId="5" fillId="50" borderId="0"/>
    <xf numFmtId="0" fontId="5" fillId="51" borderId="0"/>
    <xf numFmtId="166" fontId="5" fillId="0" borderId="0"/>
    <xf numFmtId="166" fontId="5" fillId="0" borderId="0"/>
    <xf numFmtId="166" fontId="5" fillId="0" borderId="0"/>
    <xf numFmtId="166" fontId="5" fillId="0" borderId="0"/>
    <xf numFmtId="166" fontId="5" fillId="0" borderId="0"/>
    <xf numFmtId="0" fontId="40" fillId="0" borderId="0"/>
    <xf numFmtId="43" fontId="5" fillId="0" borderId="0"/>
    <xf numFmtId="172" fontId="5" fillId="0" borderId="0"/>
    <xf numFmtId="9" fontId="5" fillId="0" borderId="0"/>
    <xf numFmtId="0" fontId="69" fillId="0" borderId="0"/>
  </cellStyleXfs>
  <cellXfs count="897">
    <xf numFmtId="0" fontId="0" fillId="0" borderId="0" pivotButton="0" quotePrefix="0" xfId="0"/>
    <xf numFmtId="0" fontId="2" fillId="3" borderId="0" pivotButton="0" quotePrefix="0" xfId="2"/>
    <xf numFmtId="0" fontId="5" fillId="0" borderId="0" pivotButton="0" quotePrefix="0" xfId="0"/>
    <xf numFmtId="0" fontId="5" fillId="9" borderId="4" pivotButton="0" quotePrefix="0" xfId="0"/>
    <xf numFmtId="164" fontId="10" fillId="10" borderId="5" applyAlignment="1" pivotButton="0" quotePrefix="0" xfId="0">
      <alignment horizontal="right" vertical="top"/>
    </xf>
    <xf numFmtId="164" fontId="10" fillId="9" borderId="5" applyAlignment="1" pivotButton="0" quotePrefix="0" xfId="0">
      <alignment horizontal="right" vertical="top"/>
    </xf>
    <xf numFmtId="0" fontId="10" fillId="0" borderId="0" applyAlignment="1" pivotButton="0" quotePrefix="0" xfId="0">
      <alignment vertical="center"/>
    </xf>
    <xf numFmtId="165" fontId="5" fillId="0" borderId="0" pivotButton="0" quotePrefix="0" xfId="0"/>
    <xf numFmtId="165" fontId="5" fillId="0" borderId="0" pivotButton="0" quotePrefix="0" xfId="8"/>
    <xf numFmtId="166" fontId="11" fillId="0" borderId="0" pivotButton="0" quotePrefix="0" xfId="8"/>
    <xf numFmtId="166" fontId="5" fillId="0" borderId="8" applyAlignment="1" pivotButton="0" quotePrefix="0" xfId="8">
      <alignment horizontal="center"/>
    </xf>
    <xf numFmtId="166" fontId="5" fillId="0" borderId="13" applyAlignment="1" pivotButton="0" quotePrefix="0" xfId="8">
      <alignment horizontal="center"/>
    </xf>
    <xf numFmtId="166" fontId="5" fillId="0" borderId="10" pivotButton="0" quotePrefix="0" xfId="8"/>
    <xf numFmtId="0" fontId="9" fillId="0" borderId="0" applyAlignment="1" pivotButton="0" quotePrefix="0" xfId="0">
      <alignment horizontal="right"/>
    </xf>
    <xf numFmtId="0" fontId="5" fillId="12" borderId="0" pivotButton="0" quotePrefix="0" xfId="0"/>
    <xf numFmtId="0" fontId="5" fillId="0" borderId="13" pivotButton="0" quotePrefix="0" xfId="0"/>
    <xf numFmtId="0" fontId="9" fillId="0" borderId="13" applyAlignment="1" pivotButton="0" quotePrefix="0" xfId="0">
      <alignment horizontal="center" vertical="top" wrapText="1"/>
    </xf>
    <xf numFmtId="0" fontId="5" fillId="0" borderId="14" applyAlignment="1" pivotButton="0" quotePrefix="0" xfId="8">
      <alignment horizontal="center"/>
    </xf>
    <xf numFmtId="166" fontId="5" fillId="0" borderId="0" pivotButton="0" quotePrefix="0" xfId="8"/>
    <xf numFmtId="0" fontId="9" fillId="0" borderId="0" applyAlignment="1" pivotButton="0" quotePrefix="0" xfId="0">
      <alignment horizontal="right" vertical="top" wrapText="1"/>
    </xf>
    <xf numFmtId="0" fontId="9" fillId="0" borderId="14" applyAlignment="1" pivotButton="0" quotePrefix="0" xfId="0">
      <alignment horizontal="right" vertical="top" wrapText="1"/>
    </xf>
    <xf numFmtId="0" fontId="9" fillId="0" borderId="0" pivotButton="0" quotePrefix="0" xfId="0"/>
    <xf numFmtId="0" fontId="18" fillId="15" borderId="21" applyAlignment="1" pivotButton="0" quotePrefix="0" xfId="0">
      <alignment horizontal="right" vertical="center" wrapText="1"/>
    </xf>
    <xf numFmtId="0" fontId="18" fillId="15" borderId="22" applyAlignment="1" pivotButton="0" quotePrefix="0" xfId="0">
      <alignment horizontal="right" vertical="center" wrapText="1"/>
    </xf>
    <xf numFmtId="3" fontId="18" fillId="15" borderId="22" applyAlignment="1" pivotButton="0" quotePrefix="0" xfId="0">
      <alignment horizontal="right" vertical="center" wrapText="1"/>
    </xf>
    <xf numFmtId="166" fontId="5" fillId="0" borderId="23" pivotButton="0" quotePrefix="0" xfId="8"/>
    <xf numFmtId="0" fontId="9" fillId="0" borderId="24" applyAlignment="1" pivotButton="0" quotePrefix="0" xfId="0">
      <alignment horizontal="center" vertical="center" wrapText="1"/>
    </xf>
    <xf numFmtId="0" fontId="6" fillId="0" borderId="0" pivotButton="0" quotePrefix="0" xfId="0"/>
    <xf numFmtId="1" fontId="18" fillId="15" borderId="21" applyAlignment="1" pivotButton="0" quotePrefix="0" xfId="0">
      <alignment horizontal="right" vertical="center" wrapText="1"/>
    </xf>
    <xf numFmtId="1" fontId="18" fillId="15" borderId="22" applyAlignment="1" pivotButton="0" quotePrefix="0" xfId="0">
      <alignment horizontal="right" vertical="center" wrapText="1"/>
    </xf>
    <xf numFmtId="0" fontId="5" fillId="0" borderId="17" pivotButton="0" quotePrefix="0" xfId="0"/>
    <xf numFmtId="0" fontId="5" fillId="0" borderId="16" pivotButton="0" quotePrefix="0" xfId="0"/>
    <xf numFmtId="0" fontId="18" fillId="16" borderId="25" applyAlignment="1" pivotButton="0" quotePrefix="0" xfId="0">
      <alignment horizontal="center" vertical="center" wrapText="1"/>
    </xf>
    <xf numFmtId="0" fontId="5" fillId="0" borderId="26" pivotButton="0" quotePrefix="0" xfId="0"/>
    <xf numFmtId="0" fontId="0" fillId="0" borderId="14" pivotButton="0" quotePrefix="0" xfId="0"/>
    <xf numFmtId="0" fontId="0" fillId="0" borderId="13" pivotButton="0" quotePrefix="0" xfId="0"/>
    <xf numFmtId="0" fontId="0" fillId="0" borderId="19" pivotButton="0" quotePrefix="0" xfId="0"/>
    <xf numFmtId="0" fontId="9" fillId="0" borderId="13" applyAlignment="1" pivotButton="0" quotePrefix="0" xfId="0">
      <alignment horizontal="right"/>
    </xf>
    <xf numFmtId="0" fontId="0" fillId="17" borderId="24" applyAlignment="1" pivotButton="0" quotePrefix="0" xfId="0">
      <alignment horizontal="right"/>
    </xf>
    <xf numFmtId="0" fontId="0" fillId="0" borderId="27" pivotButton="0" quotePrefix="0" xfId="0"/>
    <xf numFmtId="2" fontId="0" fillId="0" borderId="13" pivotButton="0" quotePrefix="0" xfId="0"/>
    <xf numFmtId="0" fontId="0" fillId="0" borderId="10" pivotButton="0" quotePrefix="0" xfId="0"/>
    <xf numFmtId="0" fontId="0" fillId="0" borderId="9" pivotButton="0" quotePrefix="0" xfId="0"/>
    <xf numFmtId="0" fontId="8" fillId="0" borderId="10" pivotButton="0" quotePrefix="0" xfId="0"/>
    <xf numFmtId="166" fontId="0" fillId="0" borderId="8" pivotButton="0" quotePrefix="0" xfId="8"/>
    <xf numFmtId="0" fontId="9" fillId="0" borderId="7" applyAlignment="1" pivotButton="0" quotePrefix="0" xfId="0">
      <alignment horizontal="right"/>
    </xf>
    <xf numFmtId="0" fontId="5" fillId="0" borderId="13" applyAlignment="1" pivotButton="0" quotePrefix="0" xfId="0">
      <alignment horizontal="center"/>
    </xf>
    <xf numFmtId="0" fontId="5" fillId="0" borderId="13" applyAlignment="1" pivotButton="0" quotePrefix="0" xfId="0">
      <alignment horizontal="left"/>
    </xf>
    <xf numFmtId="166" fontId="5" fillId="0" borderId="0" applyAlignment="1" pivotButton="0" quotePrefix="0" xfId="8">
      <alignment horizontal="right"/>
    </xf>
    <xf numFmtId="166" fontId="5" fillId="0" borderId="6" pivotButton="0" quotePrefix="0" xfId="8"/>
    <xf numFmtId="166" fontId="5" fillId="0" borderId="19" pivotButton="0" quotePrefix="0" xfId="8"/>
    <xf numFmtId="0" fontId="9" fillId="0" borderId="14" applyAlignment="1" pivotButton="0" quotePrefix="0" xfId="0">
      <alignment horizontal="right"/>
    </xf>
    <xf numFmtId="0" fontId="0" fillId="0" borderId="13" applyAlignment="1" pivotButton="0" quotePrefix="0" xfId="0">
      <alignment horizontal="right"/>
    </xf>
    <xf numFmtId="0" fontId="2" fillId="3" borderId="24" applyAlignment="1" pivotButton="0" quotePrefix="0" xfId="2">
      <alignment horizontal="right"/>
    </xf>
    <xf numFmtId="165" fontId="0" fillId="0" borderId="19" pivotButton="0" quotePrefix="0" xfId="9"/>
    <xf numFmtId="0" fontId="0" fillId="0" borderId="24" applyAlignment="1" pivotButton="0" quotePrefix="0" xfId="0">
      <alignment horizontal="right"/>
    </xf>
    <xf numFmtId="0" fontId="0" fillId="0" borderId="14" applyAlignment="1" pivotButton="0" quotePrefix="0" xfId="0">
      <alignment horizontal="right"/>
    </xf>
    <xf numFmtId="2" fontId="0" fillId="0" borderId="6" pivotButton="0" quotePrefix="0" xfId="0"/>
    <xf numFmtId="0" fontId="0" fillId="0" borderId="14" applyAlignment="1" pivotButton="0" quotePrefix="0" xfId="0">
      <alignment vertical="center"/>
    </xf>
    <xf numFmtId="0" fontId="0" fillId="0" borderId="9" applyAlignment="1" pivotButton="0" quotePrefix="0" xfId="0">
      <alignment vertical="center"/>
    </xf>
    <xf numFmtId="0" fontId="8" fillId="0" borderId="0" pivotButton="0" quotePrefix="0" xfId="0"/>
    <xf numFmtId="2" fontId="0" fillId="0" borderId="0" pivotButton="0" quotePrefix="0" xfId="0"/>
    <xf numFmtId="0" fontId="0" fillId="0" borderId="0" applyAlignment="1" pivotButton="0" quotePrefix="0" xfId="0">
      <alignment horizontal="center" vertical="center"/>
    </xf>
    <xf numFmtId="166" fontId="0" fillId="0" borderId="0" pivotButton="0" quotePrefix="0" xfId="8"/>
    <xf numFmtId="0" fontId="0" fillId="0" borderId="0" applyAlignment="1" pivotButton="0" quotePrefix="0" xfId="0">
      <alignment vertical="center"/>
    </xf>
    <xf numFmtId="2" fontId="0" fillId="0" borderId="13" applyAlignment="1" pivotButton="0" quotePrefix="0" xfId="0">
      <alignment horizontal="right"/>
    </xf>
    <xf numFmtId="166" fontId="0" fillId="0" borderId="0" pivotButton="0" quotePrefix="0" xfId="0"/>
    <xf numFmtId="165" fontId="0" fillId="0" borderId="0" pivotButton="0" quotePrefix="0" xfId="0"/>
    <xf numFmtId="0" fontId="2" fillId="17" borderId="24" applyAlignment="1" pivotButton="0" quotePrefix="0" xfId="2">
      <alignment horizontal="right"/>
    </xf>
    <xf numFmtId="0" fontId="0" fillId="0" borderId="0" applyAlignment="1" pivotButton="0" quotePrefix="0" xfId="0">
      <alignment horizontal="right"/>
    </xf>
    <xf numFmtId="0" fontId="14" fillId="0" borderId="0" pivotButton="0" quotePrefix="0" xfId="0"/>
    <xf numFmtId="0" fontId="0" fillId="0" borderId="0" applyAlignment="1" pivotButton="0" quotePrefix="0" xfId="0">
      <alignment horizontal="left"/>
    </xf>
    <xf numFmtId="0" fontId="0" fillId="0" borderId="13" applyAlignment="1" pivotButton="0" quotePrefix="0" xfId="0">
      <alignment horizontal="left"/>
    </xf>
    <xf numFmtId="0" fontId="14" fillId="0" borderId="13" pivotButton="0" quotePrefix="0" xfId="0"/>
    <xf numFmtId="0" fontId="0" fillId="0" borderId="16" pivotButton="0" quotePrefix="0" xfId="0"/>
    <xf numFmtId="2" fontId="5" fillId="0" borderId="0" pivotButton="0" quotePrefix="0" xfId="0"/>
    <xf numFmtId="0" fontId="0" fillId="20" borderId="24" applyAlignment="1" pivotButton="0" quotePrefix="0" xfId="0">
      <alignment horizontal="right"/>
    </xf>
    <xf numFmtId="0" fontId="9" fillId="0" borderId="13" pivotButton="0" quotePrefix="0" xfId="0"/>
    <xf numFmtId="2" fontId="9" fillId="0" borderId="0" pivotButton="0" quotePrefix="0" xfId="0"/>
    <xf numFmtId="1" fontId="0" fillId="0" borderId="13" applyAlignment="1" pivotButton="0" quotePrefix="0" xfId="0">
      <alignment horizontal="right"/>
    </xf>
    <xf numFmtId="166" fontId="0" fillId="12" borderId="0" pivotButton="0" quotePrefix="0" xfId="8"/>
    <xf numFmtId="166" fontId="5" fillId="12" borderId="0" pivotButton="0" quotePrefix="0" xfId="8"/>
    <xf numFmtId="166" fontId="5" fillId="12" borderId="0" applyAlignment="1" pivotButton="0" quotePrefix="0" xfId="8">
      <alignment horizontal="right"/>
    </xf>
    <xf numFmtId="0" fontId="0" fillId="12" borderId="0" applyAlignment="1" pivotButton="0" quotePrefix="0" xfId="0">
      <alignment vertical="center"/>
    </xf>
    <xf numFmtId="165" fontId="5" fillId="12" borderId="0" applyAlignment="1" pivotButton="0" quotePrefix="0" xfId="9">
      <alignment horizontal="right"/>
    </xf>
    <xf numFmtId="0" fontId="9" fillId="12" borderId="0" applyAlignment="1" pivotButton="0" quotePrefix="0" xfId="0">
      <alignment horizontal="right"/>
    </xf>
    <xf numFmtId="0" fontId="1" fillId="2" borderId="0" pivotButton="0" quotePrefix="0" xfId="1"/>
    <xf numFmtId="0" fontId="0" fillId="0" borderId="2" pivotButton="0" quotePrefix="0" xfId="0"/>
    <xf numFmtId="0" fontId="8" fillId="0" borderId="24" applyAlignment="1" pivotButton="0" quotePrefix="0" xfId="0">
      <alignment horizontal="right"/>
    </xf>
    <xf numFmtId="0" fontId="0" fillId="0" borderId="0" applyAlignment="1" pivotButton="0" quotePrefix="0" xfId="0">
      <alignment horizontal="center"/>
    </xf>
    <xf numFmtId="0" fontId="0" fillId="0" borderId="30" applyAlignment="1" pivotButton="0" quotePrefix="0" xfId="0">
      <alignment horizontal="center"/>
    </xf>
    <xf numFmtId="0" fontId="0" fillId="0" borderId="30" pivotButton="0" quotePrefix="0" xfId="0"/>
    <xf numFmtId="2" fontId="0" fillId="0" borderId="30" pivotButton="0" quotePrefix="0" xfId="0"/>
    <xf numFmtId="0" fontId="19" fillId="0" borderId="0" applyAlignment="1" pivotButton="0" quotePrefix="0" xfId="0">
      <alignment horizontal="center" vertical="center"/>
    </xf>
    <xf numFmtId="2" fontId="0" fillId="0" borderId="29" applyAlignment="1" pivotButton="0" quotePrefix="0" xfId="0">
      <alignment vertical="center"/>
    </xf>
    <xf numFmtId="0" fontId="0" fillId="0" borderId="27" applyAlignment="1" pivotButton="0" quotePrefix="0" xfId="0">
      <alignment vertical="center"/>
    </xf>
    <xf numFmtId="0" fontId="0" fillId="0" borderId="29" applyAlignment="1" pivotButton="0" quotePrefix="0" xfId="0">
      <alignment horizontal="center" vertical="center"/>
    </xf>
    <xf numFmtId="165" fontId="0" fillId="0" borderId="19" pivotButton="0" quotePrefix="0" xfId="9"/>
    <xf numFmtId="0" fontId="2" fillId="0" borderId="24" applyAlignment="1" pivotButton="0" quotePrefix="0" xfId="2">
      <alignment horizontal="right"/>
    </xf>
    <xf numFmtId="166" fontId="0" fillId="0" borderId="8" pivotButton="0" quotePrefix="0" xfId="8"/>
    <xf numFmtId="166" fontId="5" fillId="12" borderId="13" applyAlignment="1" pivotButton="0" quotePrefix="0" xfId="8">
      <alignment horizontal="center"/>
    </xf>
    <xf numFmtId="1" fontId="0" fillId="0" borderId="0" pivotButton="0" quotePrefix="0" xfId="0"/>
    <xf numFmtId="166" fontId="5" fillId="0" borderId="19" pivotButton="0" quotePrefix="0" xfId="8"/>
    <xf numFmtId="166" fontId="5" fillId="0" borderId="6" pivotButton="0" quotePrefix="0" xfId="8"/>
    <xf numFmtId="0" fontId="0" fillId="0" borderId="0" applyAlignment="1" pivotButton="0" quotePrefix="0" xfId="0">
      <alignment horizontal="left" wrapText="1"/>
    </xf>
    <xf numFmtId="166" fontId="14" fillId="0" borderId="0" pivotButton="0" quotePrefix="0" xfId="2"/>
    <xf numFmtId="166" fontId="14" fillId="0" borderId="0" applyAlignment="1" pivotButton="0" quotePrefix="0" xfId="8">
      <alignment horizontal="right"/>
    </xf>
    <xf numFmtId="0" fontId="14" fillId="0" borderId="14" applyAlignment="1" pivotButton="0" quotePrefix="0" xfId="2">
      <alignment horizontal="center"/>
    </xf>
    <xf numFmtId="0" fontId="14" fillId="0" borderId="13" applyAlignment="1" pivotButton="0" quotePrefix="0" xfId="2">
      <alignment horizontal="left"/>
    </xf>
    <xf numFmtId="0" fontId="14" fillId="0" borderId="13" applyAlignment="1" pivotButton="0" quotePrefix="0" xfId="2">
      <alignment horizontal="center"/>
    </xf>
    <xf numFmtId="0" fontId="14" fillId="0" borderId="13" pivotButton="0" quotePrefix="0" xfId="2"/>
    <xf numFmtId="166" fontId="14" fillId="0" borderId="0" applyAlignment="1" pivotButton="0" quotePrefix="0" xfId="2">
      <alignment horizontal="right"/>
    </xf>
    <xf numFmtId="0" fontId="34" fillId="0" borderId="0" applyAlignment="1" pivotButton="0" quotePrefix="0" xfId="0">
      <alignment horizontal="right"/>
    </xf>
    <xf numFmtId="0" fontId="14" fillId="0" borderId="15" applyAlignment="1" pivotButton="0" quotePrefix="0" xfId="2">
      <alignment horizontal="center"/>
    </xf>
    <xf numFmtId="0" fontId="14" fillId="0" borderId="7" applyAlignment="1" pivotButton="0" quotePrefix="0" xfId="2">
      <alignment horizontal="center"/>
    </xf>
    <xf numFmtId="0" fontId="0" fillId="28" borderId="0" pivotButton="0" quotePrefix="0" xfId="0"/>
    <xf numFmtId="0" fontId="0" fillId="28" borderId="14" pivotButton="0" quotePrefix="0" xfId="0"/>
    <xf numFmtId="0" fontId="0" fillId="28" borderId="13" pivotButton="0" quotePrefix="0" xfId="0"/>
    <xf numFmtId="0" fontId="0" fillId="28" borderId="14" applyAlignment="1" pivotButton="0" quotePrefix="0" xfId="0">
      <alignment horizontal="right"/>
    </xf>
    <xf numFmtId="0" fontId="9" fillId="28" borderId="13" applyAlignment="1" pivotButton="0" quotePrefix="0" xfId="0">
      <alignment horizontal="right"/>
    </xf>
    <xf numFmtId="0" fontId="0" fillId="28" borderId="19" pivotButton="0" quotePrefix="0" xfId="0"/>
    <xf numFmtId="0" fontId="0" fillId="28" borderId="24" applyAlignment="1" pivotButton="0" quotePrefix="0" xfId="0">
      <alignment horizontal="right"/>
    </xf>
    <xf numFmtId="0" fontId="0" fillId="28" borderId="13" applyAlignment="1" pivotButton="0" quotePrefix="0" xfId="0">
      <alignment horizontal="right"/>
    </xf>
    <xf numFmtId="1" fontId="0" fillId="28" borderId="13" applyAlignment="1" pivotButton="0" quotePrefix="0" xfId="0">
      <alignment horizontal="right"/>
    </xf>
    <xf numFmtId="0" fontId="9" fillId="28" borderId="0" applyAlignment="1" pivotButton="0" quotePrefix="0" xfId="0">
      <alignment horizontal="right"/>
    </xf>
    <xf numFmtId="0" fontId="0" fillId="28" borderId="27" pivotButton="0" quotePrefix="0" xfId="0"/>
    <xf numFmtId="0" fontId="9" fillId="28" borderId="0" pivotButton="0" quotePrefix="0" xfId="0"/>
    <xf numFmtId="2" fontId="0" fillId="28" borderId="13" pivotButton="0" quotePrefix="0" xfId="0"/>
    <xf numFmtId="0" fontId="0" fillId="28" borderId="9" pivotButton="0" quotePrefix="0" xfId="0"/>
    <xf numFmtId="0" fontId="0" fillId="28" borderId="10" pivotButton="0" quotePrefix="0" xfId="0"/>
    <xf numFmtId="0" fontId="8" fillId="28" borderId="10" pivotButton="0" quotePrefix="0" xfId="0"/>
    <xf numFmtId="2" fontId="0" fillId="28" borderId="6" pivotButton="0" quotePrefix="0" xfId="0"/>
    <xf numFmtId="166" fontId="0" fillId="28" borderId="8" pivotButton="0" quotePrefix="0" xfId="8"/>
    <xf numFmtId="0" fontId="35" fillId="28" borderId="13" applyAlignment="1" pivotButton="0" quotePrefix="0" xfId="0">
      <alignment horizontal="right"/>
    </xf>
    <xf numFmtId="0" fontId="14" fillId="28" borderId="0" pivotButton="0" quotePrefix="0" xfId="0"/>
    <xf numFmtId="0" fontId="14" fillId="28" borderId="13" pivotButton="0" quotePrefix="0" xfId="0"/>
    <xf numFmtId="0" fontId="14" fillId="28" borderId="14" applyAlignment="1" pivotButton="0" quotePrefix="0" xfId="0">
      <alignment horizontal="right"/>
    </xf>
    <xf numFmtId="166" fontId="14" fillId="28" borderId="19" pivotButton="0" quotePrefix="0" xfId="8"/>
    <xf numFmtId="0" fontId="35" fillId="28" borderId="14" applyAlignment="1" pivotButton="0" quotePrefix="0" xfId="0">
      <alignment horizontal="right"/>
    </xf>
    <xf numFmtId="166" fontId="14" fillId="28" borderId="6" pivotButton="0" quotePrefix="0" xfId="8"/>
    <xf numFmtId="166" fontId="5" fillId="28" borderId="19" pivotButton="0" quotePrefix="0" xfId="8"/>
    <xf numFmtId="0" fontId="9" fillId="28" borderId="14" applyAlignment="1" pivotButton="0" quotePrefix="0" xfId="0">
      <alignment horizontal="right"/>
    </xf>
    <xf numFmtId="166" fontId="0" fillId="28" borderId="0" pivotButton="0" quotePrefix="0" xfId="0"/>
    <xf numFmtId="0" fontId="0" fillId="28" borderId="0" applyAlignment="1" pivotButton="0" quotePrefix="0" xfId="0">
      <alignment horizontal="right"/>
    </xf>
    <xf numFmtId="165" fontId="14" fillId="0" borderId="19" pivotButton="0" quotePrefix="0" xfId="9"/>
    <xf numFmtId="166" fontId="0" fillId="0" borderId="0" pivotButton="0" quotePrefix="0" xfId="8"/>
    <xf numFmtId="0" fontId="14" fillId="0" borderId="14" pivotButton="0" quotePrefix="0" xfId="0"/>
    <xf numFmtId="0" fontId="14" fillId="0" borderId="14" applyAlignment="1" pivotButton="0" quotePrefix="0" xfId="0">
      <alignment horizontal="right"/>
    </xf>
    <xf numFmtId="0" fontId="35" fillId="0" borderId="13" applyAlignment="1" pivotButton="0" quotePrefix="0" xfId="0">
      <alignment horizontal="right"/>
    </xf>
    <xf numFmtId="0" fontId="35" fillId="0" borderId="14" applyAlignment="1" pivotButton="0" quotePrefix="0" xfId="0">
      <alignment horizontal="right"/>
    </xf>
    <xf numFmtId="0" fontId="14" fillId="0" borderId="0" applyAlignment="1" pivotButton="0" quotePrefix="0" xfId="0">
      <alignment horizontal="right"/>
    </xf>
    <xf numFmtId="0" fontId="14" fillId="0" borderId="19" pivotButton="0" quotePrefix="0" xfId="0"/>
    <xf numFmtId="0" fontId="14" fillId="0" borderId="24" applyAlignment="1" pivotButton="0" quotePrefix="0" xfId="0">
      <alignment horizontal="right"/>
    </xf>
    <xf numFmtId="0" fontId="14" fillId="0" borderId="13" applyAlignment="1" pivotButton="0" quotePrefix="0" xfId="0">
      <alignment horizontal="right"/>
    </xf>
    <xf numFmtId="0" fontId="35" fillId="0" borderId="0" applyAlignment="1" pivotButton="0" quotePrefix="0" xfId="0">
      <alignment horizontal="right"/>
    </xf>
    <xf numFmtId="0" fontId="14" fillId="0" borderId="27" pivotButton="0" quotePrefix="0" xfId="0"/>
    <xf numFmtId="0" fontId="35" fillId="0" borderId="0" pivotButton="0" quotePrefix="0" xfId="0"/>
    <xf numFmtId="2" fontId="14" fillId="0" borderId="13" pivotButton="0" quotePrefix="0" xfId="0"/>
    <xf numFmtId="0" fontId="14" fillId="0" borderId="9" pivotButton="0" quotePrefix="0" xfId="0"/>
    <xf numFmtId="0" fontId="14" fillId="0" borderId="10" pivotButton="0" quotePrefix="0" xfId="0"/>
    <xf numFmtId="2" fontId="14" fillId="0" borderId="6" pivotButton="0" quotePrefix="0" xfId="0"/>
    <xf numFmtId="166" fontId="14" fillId="0" borderId="8" pivotButton="0" quotePrefix="0" xfId="8"/>
    <xf numFmtId="0" fontId="14" fillId="28" borderId="14" pivotButton="0" quotePrefix="0" xfId="0"/>
    <xf numFmtId="165" fontId="14" fillId="28" borderId="19" pivotButton="0" quotePrefix="0" xfId="9"/>
    <xf numFmtId="166" fontId="14" fillId="28" borderId="0" pivotButton="0" quotePrefix="0" xfId="0"/>
    <xf numFmtId="0" fontId="14" fillId="28" borderId="19" pivotButton="0" quotePrefix="0" xfId="0"/>
    <xf numFmtId="0" fontId="14" fillId="28" borderId="24" applyAlignment="1" pivotButton="0" quotePrefix="0" xfId="0">
      <alignment horizontal="right"/>
    </xf>
    <xf numFmtId="0" fontId="14" fillId="28" borderId="13" applyAlignment="1" pivotButton="0" quotePrefix="0" xfId="0">
      <alignment horizontal="right"/>
    </xf>
    <xf numFmtId="0" fontId="35" fillId="28" borderId="0" applyAlignment="1" pivotButton="0" quotePrefix="0" xfId="0">
      <alignment horizontal="right"/>
    </xf>
    <xf numFmtId="0" fontId="14" fillId="28" borderId="27" pivotButton="0" quotePrefix="0" xfId="0"/>
    <xf numFmtId="0" fontId="35" fillId="28" borderId="0" pivotButton="0" quotePrefix="0" xfId="0"/>
    <xf numFmtId="2" fontId="14" fillId="28" borderId="13" pivotButton="0" quotePrefix="0" xfId="0"/>
    <xf numFmtId="0" fontId="14" fillId="28" borderId="9" pivotButton="0" quotePrefix="0" xfId="0"/>
    <xf numFmtId="0" fontId="14" fillId="28" borderId="10" pivotButton="0" quotePrefix="0" xfId="0"/>
    <xf numFmtId="2" fontId="14" fillId="28" borderId="6" pivotButton="0" quotePrefix="0" xfId="0"/>
    <xf numFmtId="166" fontId="14" fillId="28" borderId="8" pivotButton="0" quotePrefix="0" xfId="8"/>
    <xf numFmtId="2" fontId="14" fillId="0" borderId="0" pivotButton="0" quotePrefix="0" xfId="0"/>
    <xf numFmtId="0" fontId="14" fillId="0" borderId="0" applyAlignment="1" pivotButton="0" quotePrefix="0" xfId="0">
      <alignment horizontal="center" vertical="center"/>
    </xf>
    <xf numFmtId="166" fontId="14" fillId="0" borderId="0" pivotButton="0" quotePrefix="0" xfId="8"/>
    <xf numFmtId="166" fontId="14" fillId="0" borderId="0" pivotButton="0" quotePrefix="0" xfId="0"/>
    <xf numFmtId="165" fontId="14" fillId="0" borderId="0" pivotButton="0" quotePrefix="0" xfId="0"/>
    <xf numFmtId="0" fontId="14" fillId="0" borderId="14" applyAlignment="1" pivotButton="0" quotePrefix="0" xfId="0">
      <alignment vertical="center"/>
    </xf>
    <xf numFmtId="0" fontId="14" fillId="0" borderId="9" applyAlignment="1" pivotButton="0" quotePrefix="0" xfId="0">
      <alignment vertical="center"/>
    </xf>
    <xf numFmtId="1" fontId="0" fillId="0" borderId="0" applyAlignment="1" pivotButton="0" quotePrefix="0" xfId="0">
      <alignment horizontal="right"/>
    </xf>
    <xf numFmtId="166" fontId="0" fillId="0" borderId="0" applyAlignment="1" pivotButton="0" quotePrefix="0" xfId="0">
      <alignment horizontal="right"/>
    </xf>
    <xf numFmtId="0" fontId="36" fillId="0" borderId="0" applyAlignment="1" pivotButton="0" quotePrefix="0" xfId="0">
      <alignment horizontal="right"/>
    </xf>
    <xf numFmtId="2" fontId="0" fillId="0" borderId="0" applyAlignment="1" pivotButton="0" quotePrefix="0" xfId="0">
      <alignment horizontal="right"/>
    </xf>
    <xf numFmtId="1" fontId="9" fillId="0" borderId="0" pivotButton="0" quotePrefix="0" xfId="0"/>
    <xf numFmtId="1" fontId="0" fillId="0" borderId="10" pivotButton="0" quotePrefix="0" xfId="0"/>
    <xf numFmtId="0" fontId="0" fillId="52" borderId="14" pivotButton="0" quotePrefix="0" xfId="0"/>
    <xf numFmtId="0" fontId="0" fillId="13" borderId="0" pivotButton="0" quotePrefix="0" xfId="0"/>
    <xf numFmtId="0" fontId="0" fillId="0" borderId="8" pivotButton="0" quotePrefix="0" xfId="0"/>
    <xf numFmtId="0" fontId="0" fillId="52" borderId="0" pivotButton="0" quotePrefix="0" xfId="0"/>
    <xf numFmtId="0" fontId="37" fillId="0" borderId="41" applyAlignment="1" pivotButton="0" quotePrefix="0" xfId="0">
      <alignment horizontal="right"/>
    </xf>
    <xf numFmtId="0" fontId="37" fillId="0" borderId="42" applyAlignment="1" pivotButton="0" quotePrefix="0" xfId="0">
      <alignment horizontal="right"/>
    </xf>
    <xf numFmtId="0" fontId="37" fillId="0" borderId="43" applyAlignment="1" pivotButton="0" quotePrefix="0" xfId="0">
      <alignment horizontal="right"/>
    </xf>
    <xf numFmtId="0" fontId="37" fillId="0" borderId="12" applyAlignment="1" pivotButton="0" quotePrefix="0" xfId="0">
      <alignment horizontal="right"/>
    </xf>
    <xf numFmtId="0" fontId="37" fillId="0" borderId="44" applyAlignment="1" pivotButton="0" quotePrefix="0" xfId="0">
      <alignment horizontal="right"/>
    </xf>
    <xf numFmtId="0" fontId="37" fillId="0" borderId="45" applyAlignment="1" pivotButton="0" quotePrefix="0" xfId="0">
      <alignment horizontal="right"/>
    </xf>
    <xf numFmtId="0" fontId="37" fillId="0" borderId="27" applyAlignment="1" pivotButton="0" quotePrefix="0" xfId="0">
      <alignment horizontal="right"/>
    </xf>
    <xf numFmtId="0" fontId="37" fillId="0" borderId="30" applyAlignment="1" pivotButton="0" quotePrefix="0" xfId="0">
      <alignment horizontal="right"/>
    </xf>
    <xf numFmtId="0" fontId="37" fillId="0" borderId="29" applyAlignment="1" pivotButton="0" quotePrefix="0" xfId="0">
      <alignment horizontal="right"/>
    </xf>
    <xf numFmtId="0" fontId="37" fillId="0" borderId="50" applyAlignment="1" pivotButton="0" quotePrefix="0" xfId="0">
      <alignment horizontal="right"/>
    </xf>
    <xf numFmtId="0" fontId="37" fillId="53" borderId="19" applyAlignment="1" pivotButton="0" quotePrefix="0" xfId="0">
      <alignment horizontal="center"/>
    </xf>
    <xf numFmtId="0" fontId="37" fillId="54" borderId="19" applyAlignment="1" pivotButton="0" quotePrefix="0" xfId="0">
      <alignment horizontal="center"/>
    </xf>
    <xf numFmtId="0" fontId="37" fillId="21" borderId="19" applyAlignment="1" pivotButton="0" quotePrefix="0" xfId="0">
      <alignment horizontal="center"/>
    </xf>
    <xf numFmtId="0" fontId="37" fillId="11" borderId="19" applyAlignment="1" pivotButton="0" quotePrefix="0" xfId="0">
      <alignment horizontal="center"/>
    </xf>
    <xf numFmtId="0" fontId="37" fillId="22" borderId="19" applyAlignment="1" pivotButton="0" quotePrefix="0" xfId="0">
      <alignment horizontal="center"/>
    </xf>
    <xf numFmtId="0" fontId="37" fillId="0" borderId="31" applyAlignment="1" pivotButton="0" quotePrefix="0" xfId="0">
      <alignment horizontal="center"/>
    </xf>
    <xf numFmtId="0" fontId="37" fillId="53" borderId="51" applyAlignment="1" pivotButton="0" quotePrefix="0" xfId="0">
      <alignment horizontal="center"/>
    </xf>
    <xf numFmtId="0" fontId="39" fillId="22" borderId="19" applyAlignment="1" pivotButton="0" quotePrefix="0" xfId="0">
      <alignment horizontal="center"/>
    </xf>
    <xf numFmtId="0" fontId="37" fillId="0" borderId="20" applyAlignment="1" pivotButton="0" quotePrefix="0" xfId="0">
      <alignment horizontal="center"/>
    </xf>
    <xf numFmtId="0" fontId="37" fillId="53" borderId="12" applyAlignment="1" pivotButton="0" quotePrefix="0" xfId="0">
      <alignment horizontal="center"/>
    </xf>
    <xf numFmtId="0" fontId="38" fillId="21" borderId="46" applyAlignment="1" pivotButton="0" quotePrefix="0" xfId="0">
      <alignment horizontal="center"/>
    </xf>
    <xf numFmtId="0" fontId="38" fillId="21" borderId="47" applyAlignment="1" pivotButton="0" quotePrefix="0" xfId="0">
      <alignment horizontal="center"/>
    </xf>
    <xf numFmtId="0" fontId="23" fillId="21" borderId="47" applyAlignment="1" pivotButton="0" quotePrefix="0" xfId="0">
      <alignment horizontal="center"/>
    </xf>
    <xf numFmtId="0" fontId="23" fillId="21" borderId="48" applyAlignment="1" pivotButton="0" quotePrefix="0" xfId="0">
      <alignment horizontal="center"/>
    </xf>
    <xf numFmtId="0" fontId="23" fillId="21" borderId="46" applyAlignment="1" pivotButton="0" quotePrefix="0" xfId="0">
      <alignment horizontal="center"/>
    </xf>
    <xf numFmtId="0" fontId="23" fillId="21" borderId="49" applyAlignment="1" pivotButton="0" quotePrefix="0" xfId="0">
      <alignment horizontal="center"/>
    </xf>
    <xf numFmtId="0" fontId="38" fillId="53" borderId="46" applyAlignment="1" pivotButton="0" quotePrefix="0" xfId="0">
      <alignment horizontal="center"/>
    </xf>
    <xf numFmtId="0" fontId="38" fillId="54" borderId="46" applyAlignment="1" pivotButton="0" quotePrefix="0" xfId="0">
      <alignment horizontal="center"/>
    </xf>
    <xf numFmtId="0" fontId="38" fillId="11" borderId="46" applyAlignment="1" pivotButton="0" quotePrefix="0" xfId="0">
      <alignment horizontal="center"/>
    </xf>
    <xf numFmtId="0" fontId="38" fillId="22" borderId="46" applyAlignment="1" pivotButton="0" quotePrefix="0" xfId="0">
      <alignment horizontal="center"/>
    </xf>
    <xf numFmtId="0" fontId="38" fillId="53" borderId="47" applyAlignment="1" pivotButton="0" quotePrefix="0" xfId="0">
      <alignment horizontal="center"/>
    </xf>
    <xf numFmtId="0" fontId="38" fillId="54" borderId="47" applyAlignment="1" pivotButton="0" quotePrefix="0" xfId="0">
      <alignment horizontal="center"/>
    </xf>
    <xf numFmtId="0" fontId="38" fillId="11" borderId="47" applyAlignment="1" pivotButton="0" quotePrefix="0" xfId="0">
      <alignment horizontal="center"/>
    </xf>
    <xf numFmtId="0" fontId="38" fillId="22" borderId="47" applyAlignment="1" pivotButton="0" quotePrefix="0" xfId="0">
      <alignment horizontal="center"/>
    </xf>
    <xf numFmtId="0" fontId="23" fillId="53" borderId="47" applyAlignment="1" pivotButton="0" quotePrefix="0" xfId="0">
      <alignment horizontal="center"/>
    </xf>
    <xf numFmtId="0" fontId="23" fillId="54" borderId="47" applyAlignment="1" pivotButton="0" quotePrefix="0" xfId="0">
      <alignment horizontal="center"/>
    </xf>
    <xf numFmtId="0" fontId="23" fillId="11" borderId="47" applyAlignment="1" pivotButton="0" quotePrefix="0" xfId="0">
      <alignment horizontal="center"/>
    </xf>
    <xf numFmtId="0" fontId="23" fillId="22" borderId="47" applyAlignment="1" pivotButton="0" quotePrefix="0" xfId="0">
      <alignment horizontal="center"/>
    </xf>
    <xf numFmtId="0" fontId="38" fillId="54" borderId="48" applyAlignment="1" pivotButton="0" quotePrefix="0" xfId="0">
      <alignment horizontal="center"/>
    </xf>
    <xf numFmtId="0" fontId="23" fillId="11" borderId="48" applyAlignment="1" pivotButton="0" quotePrefix="0" xfId="0">
      <alignment horizontal="center"/>
    </xf>
    <xf numFmtId="0" fontId="23" fillId="22" borderId="48" applyAlignment="1" pivotButton="0" quotePrefix="0" xfId="0">
      <alignment horizontal="center"/>
    </xf>
    <xf numFmtId="0" fontId="23" fillId="53" borderId="46" applyAlignment="1" pivotButton="0" quotePrefix="0" xfId="0">
      <alignment horizontal="center"/>
    </xf>
    <xf numFmtId="0" fontId="23" fillId="54" borderId="46" applyAlignment="1" pivotButton="0" quotePrefix="0" xfId="0">
      <alignment horizontal="center"/>
    </xf>
    <xf numFmtId="0" fontId="23" fillId="11" borderId="46" applyAlignment="1" pivotButton="0" quotePrefix="0" xfId="0">
      <alignment horizontal="center"/>
    </xf>
    <xf numFmtId="0" fontId="23" fillId="22" borderId="46" applyAlignment="1" pivotButton="0" quotePrefix="0" xfId="0">
      <alignment horizontal="center"/>
    </xf>
    <xf numFmtId="0" fontId="23" fillId="53" borderId="49" applyAlignment="1" pivotButton="0" quotePrefix="0" xfId="0">
      <alignment horizontal="center"/>
    </xf>
    <xf numFmtId="0" fontId="23" fillId="54" borderId="49" applyAlignment="1" pivotButton="0" quotePrefix="0" xfId="0">
      <alignment horizontal="center"/>
    </xf>
    <xf numFmtId="0" fontId="23" fillId="11" borderId="49" applyAlignment="1" pivotButton="0" quotePrefix="0" xfId="0">
      <alignment horizontal="center"/>
    </xf>
    <xf numFmtId="0" fontId="23" fillId="22" borderId="49" applyAlignment="1" pivotButton="0" quotePrefix="0" xfId="0">
      <alignment horizontal="center"/>
    </xf>
    <xf numFmtId="0" fontId="38" fillId="53" borderId="41" applyAlignment="1" pivotButton="0" quotePrefix="0" xfId="0">
      <alignment horizontal="center"/>
    </xf>
    <xf numFmtId="0" fontId="38" fillId="53" borderId="42" applyAlignment="1" pivotButton="0" quotePrefix="0" xfId="0">
      <alignment horizontal="center"/>
    </xf>
    <xf numFmtId="0" fontId="23" fillId="53" borderId="42" applyAlignment="1" pivotButton="0" quotePrefix="0" xfId="0">
      <alignment horizontal="center"/>
    </xf>
    <xf numFmtId="0" fontId="23" fillId="53" borderId="43" applyAlignment="1" pivotButton="0" quotePrefix="0" xfId="0">
      <alignment horizontal="center"/>
    </xf>
    <xf numFmtId="0" fontId="37" fillId="22" borderId="48" applyAlignment="1" pivotButton="0" quotePrefix="0" xfId="0">
      <alignment horizontal="center"/>
    </xf>
    <xf numFmtId="0" fontId="23" fillId="53" borderId="44" applyAlignment="1" pivotButton="0" quotePrefix="0" xfId="0">
      <alignment horizontal="center"/>
    </xf>
    <xf numFmtId="0" fontId="23" fillId="53" borderId="45" applyAlignment="1" pivotButton="0" quotePrefix="0" xfId="0">
      <alignment horizontal="center"/>
    </xf>
    <xf numFmtId="0" fontId="23" fillId="54" borderId="6" applyAlignment="1" pivotButton="0" quotePrefix="0" xfId="0">
      <alignment horizontal="center"/>
    </xf>
    <xf numFmtId="0" fontId="38" fillId="22" borderId="49" applyAlignment="1" pivotButton="0" quotePrefix="0" xfId="0">
      <alignment horizontal="center"/>
    </xf>
    <xf numFmtId="2" fontId="38" fillId="53" borderId="48" applyAlignment="1" pivotButton="0" quotePrefix="0" xfId="0">
      <alignment horizontal="center"/>
    </xf>
    <xf numFmtId="0" fontId="0" fillId="56" borderId="2" pivotButton="0" quotePrefix="0" xfId="0"/>
    <xf numFmtId="0" fontId="0" fillId="56" borderId="0" pivotButton="0" quotePrefix="0" xfId="0"/>
    <xf numFmtId="0" fontId="0" fillId="0" borderId="0" applyAlignment="1" pivotButton="0" quotePrefix="0" xfId="0">
      <alignment wrapText="1"/>
    </xf>
    <xf numFmtId="0" fontId="5" fillId="0" borderId="14" applyAlignment="1" pivotButton="0" quotePrefix="0" xfId="0">
      <alignment vertical="center"/>
    </xf>
    <xf numFmtId="0" fontId="5" fillId="0" borderId="0" applyAlignment="1" pivotButton="0" quotePrefix="0" xfId="0">
      <alignment horizontal="center"/>
    </xf>
    <xf numFmtId="0" fontId="5" fillId="0" borderId="13" applyAlignment="1" pivotButton="0" quotePrefix="0" xfId="0">
      <alignment vertical="center"/>
    </xf>
    <xf numFmtId="0" fontId="0" fillId="0" borderId="17" pivotButton="0" quotePrefix="0" xfId="0"/>
    <xf numFmtId="0" fontId="9" fillId="0" borderId="18" applyAlignment="1" pivotButton="0" quotePrefix="0" xfId="0">
      <alignment vertical="center"/>
    </xf>
    <xf numFmtId="0" fontId="9" fillId="0" borderId="17" applyAlignment="1" pivotButton="0" quotePrefix="0" xfId="0">
      <alignment vertical="center"/>
    </xf>
    <xf numFmtId="0" fontId="9" fillId="0" borderId="14" applyAlignment="1" pivotButton="0" quotePrefix="0" xfId="0">
      <alignment vertical="center"/>
    </xf>
    <xf numFmtId="0" fontId="9" fillId="0" borderId="13" applyAlignment="1" pivotButton="0" quotePrefix="0" xfId="0">
      <alignment vertical="center"/>
    </xf>
    <xf numFmtId="0" fontId="2" fillId="0" borderId="0" pivotButton="0" quotePrefix="0" xfId="2"/>
    <xf numFmtId="0" fontId="14" fillId="0" borderId="0" applyAlignment="1" pivotButton="0" quotePrefix="0" xfId="0">
      <alignment horizontal="left" vertical="top"/>
    </xf>
    <xf numFmtId="0" fontId="22" fillId="0" borderId="7" applyAlignment="1" pivotButton="0" quotePrefix="0" xfId="0">
      <alignment vertical="top" wrapText="1"/>
    </xf>
    <xf numFmtId="0" fontId="22" fillId="0" borderId="6" applyAlignment="1" pivotButton="0" quotePrefix="0" xfId="0">
      <alignment vertical="top" wrapText="1"/>
    </xf>
    <xf numFmtId="0" fontId="14" fillId="0" borderId="0" applyAlignment="1" pivotButton="0" quotePrefix="0" xfId="0">
      <alignment vertical="top"/>
    </xf>
    <xf numFmtId="0" fontId="41" fillId="0" borderId="0" applyAlignment="1" pivotButton="0" quotePrefix="0" xfId="0">
      <alignment horizontal="right" vertical="top"/>
    </xf>
    <xf numFmtId="0" fontId="14" fillId="0" borderId="0" applyAlignment="1" pivotButton="0" quotePrefix="0" xfId="2">
      <alignment vertical="top"/>
    </xf>
    <xf numFmtId="0" fontId="14" fillId="0" borderId="0" applyAlignment="1" pivotButton="0" quotePrefix="0" xfId="2">
      <alignment vertical="top"/>
    </xf>
    <xf numFmtId="0" fontId="0" fillId="0" borderId="3" applyAlignment="1" pivotButton="0" quotePrefix="0" xfId="0">
      <alignment vertical="top"/>
    </xf>
    <xf numFmtId="0" fontId="0" fillId="0" borderId="3" applyAlignment="1" pivotButton="0" quotePrefix="0" xfId="0">
      <alignment horizontal="left" vertical="top"/>
    </xf>
    <xf numFmtId="0" fontId="34" fillId="0" borderId="0" applyAlignment="1" pivotButton="0" quotePrefix="0" xfId="0">
      <alignment horizontal="left" vertical="top"/>
    </xf>
    <xf numFmtId="0" fontId="5" fillId="0" borderId="14" applyAlignment="1" pivotButton="0" quotePrefix="0" xfId="0">
      <alignment horizontal="center" vertical="center"/>
    </xf>
    <xf numFmtId="49" fontId="0" fillId="0" borderId="0" pivotButton="0" quotePrefix="0" xfId="0"/>
    <xf numFmtId="0" fontId="44" fillId="0" borderId="0" applyAlignment="1" pivotButton="0" quotePrefix="0" xfId="0">
      <alignment vertical="center"/>
    </xf>
    <xf numFmtId="0" fontId="39" fillId="0" borderId="14" applyAlignment="1" pivotButton="0" quotePrefix="0" xfId="0">
      <alignment horizontal="center" vertical="top"/>
    </xf>
    <xf numFmtId="0" fontId="9" fillId="12" borderId="14" pivotButton="0" quotePrefix="0" xfId="0"/>
    <xf numFmtId="0" fontId="0" fillId="0" borderId="29" pivotButton="0" quotePrefix="0" xfId="0"/>
    <xf numFmtId="0" fontId="9" fillId="0" borderId="26" applyAlignment="1" pivotButton="0" quotePrefix="0" xfId="0">
      <alignment horizontal="center"/>
    </xf>
    <xf numFmtId="0" fontId="9" fillId="0" borderId="24" pivotButton="0" quotePrefix="0" xfId="0"/>
    <xf numFmtId="0" fontId="45" fillId="0" borderId="24" applyAlignment="1" pivotButton="0" quotePrefix="0" xfId="0">
      <alignment horizontal="left" vertical="center"/>
    </xf>
    <xf numFmtId="0" fontId="45" fillId="0" borderId="24" applyAlignment="1" pivotButton="0" quotePrefix="0" xfId="0">
      <alignment vertical="center" wrapText="1"/>
    </xf>
    <xf numFmtId="0" fontId="44" fillId="0" borderId="43" applyAlignment="1" pivotButton="0" quotePrefix="0" xfId="0">
      <alignment horizontal="left" vertical="center"/>
    </xf>
    <xf numFmtId="0" fontId="0" fillId="0" borderId="61" pivotButton="0" quotePrefix="0" xfId="0"/>
    <xf numFmtId="0" fontId="0" fillId="0" borderId="27" applyAlignment="1" pivotButton="0" quotePrefix="0" xfId="0">
      <alignment horizontal="center"/>
    </xf>
    <xf numFmtId="0" fontId="0" fillId="18" borderId="62" pivotButton="0" quotePrefix="0" xfId="0"/>
    <xf numFmtId="0" fontId="9" fillId="18" borderId="30" applyAlignment="1" pivotButton="0" quotePrefix="0" xfId="0">
      <alignment horizontal="center" vertical="center"/>
    </xf>
    <xf numFmtId="0" fontId="0" fillId="18" borderId="30" pivotButton="0" quotePrefix="0" xfId="0"/>
    <xf numFmtId="0" fontId="0" fillId="18" borderId="63" pivotButton="0" quotePrefix="0" xfId="0"/>
    <xf numFmtId="0" fontId="9" fillId="52" borderId="30" applyAlignment="1" pivotButton="0" quotePrefix="0" xfId="0">
      <alignment horizontal="center" vertical="center"/>
    </xf>
    <xf numFmtId="0" fontId="0" fillId="52" borderId="63" pivotButton="0" quotePrefix="0" xfId="0"/>
    <xf numFmtId="0" fontId="9" fillId="52" borderId="23" applyAlignment="1" pivotButton="0" quotePrefix="0" xfId="0">
      <alignment horizontal="center" vertical="center"/>
    </xf>
    <xf numFmtId="0" fontId="0" fillId="0" borderId="0" applyAlignment="1" pivotButton="0" quotePrefix="0" xfId="0">
      <alignment vertical="center" wrapText="1"/>
    </xf>
    <xf numFmtId="0" fontId="9" fillId="13" borderId="23" applyAlignment="1" pivotButton="0" quotePrefix="0" xfId="0">
      <alignment horizontal="center" vertical="center"/>
    </xf>
    <xf numFmtId="0" fontId="0" fillId="0" borderId="23" applyAlignment="1" pivotButton="0" quotePrefix="0" xfId="0">
      <alignment horizontal="center" vertical="center"/>
    </xf>
    <xf numFmtId="0" fontId="0" fillId="0" borderId="23" applyAlignment="1" pivotButton="0" quotePrefix="0" xfId="50">
      <alignment horizontal="center" vertical="center"/>
    </xf>
    <xf numFmtId="0" fontId="46" fillId="0" borderId="0" applyAlignment="1" pivotButton="0" quotePrefix="0" xfId="0">
      <alignment vertical="center"/>
    </xf>
    <xf numFmtId="0" fontId="9" fillId="52" borderId="62" applyAlignment="1" pivotButton="0" quotePrefix="0" xfId="0">
      <alignment horizontal="center"/>
    </xf>
    <xf numFmtId="0" fontId="39" fillId="0" borderId="14" applyAlignment="1" pivotButton="0" quotePrefix="0" xfId="0">
      <alignment horizontal="center" vertical="center"/>
    </xf>
    <xf numFmtId="0" fontId="9" fillId="12" borderId="14" applyAlignment="1" pivotButton="0" quotePrefix="0" xfId="0">
      <alignment horizontal="center"/>
    </xf>
    <xf numFmtId="166" fontId="32" fillId="12" borderId="0" applyAlignment="1" pivotButton="0" quotePrefix="0" xfId="8">
      <alignment horizontal="right"/>
    </xf>
    <xf numFmtId="166" fontId="5" fillId="0" borderId="0" pivotButton="0" quotePrefix="0" xfId="0"/>
    <xf numFmtId="167" fontId="1" fillId="2" borderId="0" pivotButton="0" quotePrefix="0" xfId="1"/>
    <xf numFmtId="2" fontId="8" fillId="0" borderId="13" applyAlignment="1" pivotButton="0" quotePrefix="0" xfId="8">
      <alignment horizontal="right"/>
    </xf>
    <xf numFmtId="0" fontId="9" fillId="52" borderId="19" applyAlignment="1" pivotButton="0" quotePrefix="0" xfId="0">
      <alignment horizontal="center" vertical="center"/>
    </xf>
    <xf numFmtId="0" fontId="9" fillId="52" borderId="18" applyAlignment="1" pivotButton="0" quotePrefix="0" xfId="0">
      <alignment horizontal="center" vertical="center"/>
    </xf>
    <xf numFmtId="0" fontId="15" fillId="0" borderId="19" applyAlignment="1" pivotButton="0" quotePrefix="0" xfId="0">
      <alignment horizontal="center" vertical="center"/>
    </xf>
    <xf numFmtId="0" fontId="21" fillId="0" borderId="19" applyAlignment="1" pivotButton="0" quotePrefix="0" xfId="0">
      <alignment horizontal="center" vertical="center"/>
    </xf>
    <xf numFmtId="0" fontId="52" fillId="0" borderId="19" applyAlignment="1" pivotButton="0" quotePrefix="0" xfId="0">
      <alignment horizontal="center" vertical="center"/>
    </xf>
    <xf numFmtId="0" fontId="53" fillId="0" borderId="19" applyAlignment="1" pivotButton="0" quotePrefix="0" xfId="3">
      <alignment horizontal="center" vertical="center"/>
    </xf>
    <xf numFmtId="0" fontId="9" fillId="0" borderId="19" applyAlignment="1" pivotButton="0" quotePrefix="0" xfId="0">
      <alignment horizontal="right" vertical="top" wrapText="1"/>
    </xf>
    <xf numFmtId="166" fontId="14" fillId="0" borderId="15" pivotButton="0" quotePrefix="0" xfId="8"/>
    <xf numFmtId="166" fontId="5" fillId="0" borderId="7" pivotButton="0" quotePrefix="0" xfId="8"/>
    <xf numFmtId="0" fontId="9" fillId="0" borderId="11" applyAlignment="1" pivotButton="0" quotePrefix="0" xfId="0">
      <alignment horizontal="right" vertical="top" wrapText="1"/>
    </xf>
    <xf numFmtId="166" fontId="14" fillId="0" borderId="7" pivotButton="0" quotePrefix="0" xfId="8"/>
    <xf numFmtId="166" fontId="14" fillId="0" borderId="15" pivotButton="0" quotePrefix="0" xfId="2"/>
    <xf numFmtId="166" fontId="14" fillId="0" borderId="7" pivotButton="0" quotePrefix="0" xfId="2"/>
    <xf numFmtId="166" fontId="14" fillId="0" borderId="18" pivotButton="0" quotePrefix="0" xfId="2"/>
    <xf numFmtId="166" fontId="14" fillId="0" borderId="14" pivotButton="0" quotePrefix="0" xfId="2"/>
    <xf numFmtId="166" fontId="0" fillId="0" borderId="14" pivotButton="0" quotePrefix="0" xfId="8"/>
    <xf numFmtId="166" fontId="5" fillId="0" borderId="14" pivotButton="0" quotePrefix="0" xfId="8"/>
    <xf numFmtId="166" fontId="5" fillId="0" borderId="9" pivotButton="0" quotePrefix="0" xfId="8"/>
    <xf numFmtId="0" fontId="9" fillId="0" borderId="6" applyAlignment="1" pivotButton="0" quotePrefix="0" xfId="0">
      <alignment horizontal="right"/>
    </xf>
    <xf numFmtId="166" fontId="14" fillId="0" borderId="18" applyAlignment="1" pivotButton="0" quotePrefix="0" xfId="8">
      <alignment horizontal="right"/>
    </xf>
    <xf numFmtId="166" fontId="5" fillId="0" borderId="6" pivotButton="0" quotePrefix="0" xfId="0"/>
    <xf numFmtId="166" fontId="14" fillId="0" borderId="6" pivotButton="0" quotePrefix="0" xfId="2"/>
    <xf numFmtId="0" fontId="9" fillId="52" borderId="17" applyAlignment="1" pivotButton="0" quotePrefix="0" xfId="0">
      <alignment horizontal="center"/>
    </xf>
    <xf numFmtId="0" fontId="9" fillId="52" borderId="19" applyAlignment="1" pivotButton="0" quotePrefix="0" xfId="0">
      <alignment horizontal="center"/>
    </xf>
    <xf numFmtId="0" fontId="9" fillId="52" borderId="12" applyAlignment="1" pivotButton="0" quotePrefix="0" xfId="0">
      <alignment horizontal="center" wrapText="1"/>
    </xf>
    <xf numFmtId="0" fontId="9" fillId="52" borderId="19" applyAlignment="1" pivotButton="0" quotePrefix="0" xfId="0">
      <alignment horizontal="center" vertical="top" wrapText="1"/>
    </xf>
    <xf numFmtId="0" fontId="9" fillId="52" borderId="15" applyAlignment="1" pivotButton="0" quotePrefix="0" xfId="0">
      <alignment horizontal="center" vertical="top" wrapText="1"/>
    </xf>
    <xf numFmtId="0" fontId="49" fillId="0" borderId="64" applyAlignment="1" pivotButton="0" quotePrefix="0" xfId="3">
      <alignment horizontal="center" vertical="center"/>
    </xf>
    <xf numFmtId="0" fontId="9" fillId="52" borderId="7" applyAlignment="1" pivotButton="0" quotePrefix="0" xfId="0">
      <alignment horizontal="center" vertical="center"/>
    </xf>
    <xf numFmtId="0" fontId="9" fillId="52" borderId="13" applyAlignment="1" pivotButton="0" quotePrefix="0" xfId="0">
      <alignment horizontal="center" vertical="center"/>
    </xf>
    <xf numFmtId="0" fontId="9" fillId="52" borderId="14" applyAlignment="1" pivotButton="0" quotePrefix="0" xfId="0">
      <alignment horizontal="center" vertical="center"/>
    </xf>
    <xf numFmtId="0" fontId="9" fillId="52" borderId="6" applyAlignment="1" pivotButton="0" quotePrefix="0" xfId="0">
      <alignment horizontal="center" vertical="center"/>
    </xf>
    <xf numFmtId="0" fontId="9" fillId="52" borderId="9" applyAlignment="1" pivotButton="0" quotePrefix="0" xfId="0">
      <alignment horizontal="center" vertical="center" wrapText="1"/>
    </xf>
    <xf numFmtId="0" fontId="9" fillId="52" borderId="13" applyAlignment="1" pivotButton="0" quotePrefix="0" xfId="0">
      <alignment horizontal="center" vertical="center" wrapText="1"/>
    </xf>
    <xf numFmtId="0" fontId="9" fillId="52" borderId="19" applyAlignment="1" pivotButton="0" quotePrefix="0" xfId="0">
      <alignment horizontal="center" vertical="center" wrapText="1"/>
    </xf>
    <xf numFmtId="0" fontId="9" fillId="52" borderId="15" applyAlignment="1" pivotButton="0" quotePrefix="0" xfId="0">
      <alignment horizontal="center" vertical="center" wrapText="1"/>
    </xf>
    <xf numFmtId="1" fontId="52" fillId="0" borderId="19" applyAlignment="1" pivotButton="0" quotePrefix="0" xfId="0">
      <alignment horizontal="center" vertical="center"/>
    </xf>
    <xf numFmtId="1" fontId="0" fillId="0" borderId="0" applyAlignment="1" pivotButton="0" quotePrefix="0" xfId="0">
      <alignment horizontal="center" vertical="center"/>
    </xf>
    <xf numFmtId="49" fontId="0" fillId="0" borderId="0" applyAlignment="1" pivotButton="0" quotePrefix="0" xfId="0">
      <alignment horizontal="right"/>
    </xf>
    <xf numFmtId="49" fontId="34" fillId="0" borderId="0" applyAlignment="1" pivotButton="0" quotePrefix="0" xfId="0">
      <alignment horizontal="right"/>
    </xf>
    <xf numFmtId="0" fontId="17" fillId="0" borderId="0" pivotButton="0" quotePrefix="0" xfId="0"/>
    <xf numFmtId="0" fontId="0" fillId="59" borderId="23" applyAlignment="1" pivotButton="0" quotePrefix="0" xfId="0">
      <alignment horizontal="center" vertical="center"/>
    </xf>
    <xf numFmtId="14" fontId="0" fillId="0" borderId="23" applyAlignment="1" pivotButton="0" quotePrefix="0" xfId="0">
      <alignment horizontal="center" vertical="center"/>
    </xf>
    <xf numFmtId="49" fontId="0" fillId="59" borderId="23" applyAlignment="1" pivotButton="0" quotePrefix="0" xfId="50">
      <alignment horizontal="center" vertical="center"/>
    </xf>
    <xf numFmtId="0" fontId="0" fillId="0" borderId="62" applyAlignment="1" pivotButton="0" quotePrefix="0" xfId="0">
      <alignment horizontal="center"/>
    </xf>
    <xf numFmtId="0" fontId="0" fillId="0" borderId="23" applyAlignment="1" pivotButton="0" quotePrefix="0" xfId="0">
      <alignment horizontal="center"/>
    </xf>
    <xf numFmtId="2" fontId="0" fillId="0" borderId="23" applyAlignment="1" pivotButton="0" quotePrefix="0" xfId="0">
      <alignment horizontal="center"/>
    </xf>
    <xf numFmtId="166" fontId="0" fillId="0" borderId="23" applyAlignment="1" pivotButton="0" quotePrefix="0" xfId="50">
      <alignment horizontal="center" vertical="center"/>
    </xf>
    <xf numFmtId="14" fontId="0" fillId="0" borderId="23" applyAlignment="1" pivotButton="0" quotePrefix="0" xfId="50">
      <alignment horizontal="center" vertical="center"/>
    </xf>
    <xf numFmtId="2" fontId="9" fillId="15" borderId="0" applyAlignment="1" pivotButton="0" quotePrefix="0" xfId="0">
      <alignment horizontal="center"/>
    </xf>
    <xf numFmtId="0" fontId="0" fillId="15" borderId="0" pivotButton="0" quotePrefix="0" xfId="0"/>
    <xf numFmtId="0" fontId="9" fillId="15" borderId="0" pivotButton="0" quotePrefix="0" xfId="0"/>
    <xf numFmtId="2" fontId="0" fillId="0" borderId="0" applyAlignment="1" pivotButton="0" quotePrefix="0" xfId="0">
      <alignment horizontal="center"/>
    </xf>
    <xf numFmtId="1" fontId="0" fillId="0" borderId="0" applyAlignment="1" pivotButton="0" quotePrefix="0" xfId="0">
      <alignment horizontal="center"/>
    </xf>
    <xf numFmtId="14" fontId="0" fillId="0" borderId="0" pivotButton="0" quotePrefix="0" xfId="0"/>
    <xf numFmtId="2" fontId="9" fillId="0" borderId="0" applyAlignment="1" pivotButton="0" quotePrefix="0" xfId="0">
      <alignment horizontal="center"/>
    </xf>
    <xf numFmtId="9" fontId="0" fillId="0" borderId="23" applyAlignment="1" pivotButton="0" quotePrefix="0" xfId="52">
      <alignment horizontal="center"/>
    </xf>
    <xf numFmtId="3" fontId="14" fillId="0" borderId="0" applyAlignment="1" pivotButton="0" quotePrefix="0" xfId="0">
      <alignment horizontal="center"/>
    </xf>
    <xf numFmtId="0" fontId="14" fillId="0" borderId="0" applyAlignment="1" pivotButton="0" quotePrefix="0" xfId="0">
      <alignment horizontal="center"/>
    </xf>
    <xf numFmtId="3" fontId="0" fillId="0" borderId="0" applyAlignment="1" pivotButton="0" quotePrefix="0" xfId="0">
      <alignment horizontal="center"/>
    </xf>
    <xf numFmtId="9" fontId="0" fillId="0" borderId="0" applyAlignment="1" pivotButton="0" quotePrefix="0" xfId="0">
      <alignment horizontal="center"/>
    </xf>
    <xf numFmtId="9" fontId="0" fillId="0" borderId="0" applyAlignment="1" pivotButton="0" quotePrefix="0" xfId="52">
      <alignment horizontal="center"/>
    </xf>
    <xf numFmtId="2" fontId="56" fillId="0" borderId="23" applyAlignment="1" pivotButton="0" quotePrefix="0" xfId="0">
      <alignment horizontal="center"/>
    </xf>
    <xf numFmtId="0" fontId="57" fillId="0" borderId="0" applyAlignment="1" pivotButton="0" quotePrefix="0" xfId="0">
      <alignment horizontal="right"/>
    </xf>
    <xf numFmtId="0" fontId="60" fillId="0" borderId="0" pivotButton="0" quotePrefix="0" xfId="0"/>
    <xf numFmtId="166" fontId="60" fillId="0" borderId="0" pivotButton="0" quotePrefix="0" xfId="8"/>
    <xf numFmtId="4" fontId="9" fillId="0" borderId="0" applyAlignment="1" pivotButton="0" quotePrefix="0" xfId="0">
      <alignment horizontal="center"/>
    </xf>
    <xf numFmtId="4" fontId="0" fillId="0" borderId="0" pivotButton="0" quotePrefix="0" xfId="0"/>
    <xf numFmtId="4" fontId="0" fillId="0" borderId="23" applyAlignment="1" pivotButton="0" quotePrefix="0" xfId="0">
      <alignment horizontal="center"/>
    </xf>
    <xf numFmtId="0" fontId="0" fillId="0" borderId="23" pivotButton="0" quotePrefix="0" xfId="0"/>
    <xf numFmtId="166" fontId="60" fillId="0" borderId="0" applyAlignment="1" pivotButton="0" quotePrefix="0" xfId="8">
      <alignment horizontal="right"/>
    </xf>
    <xf numFmtId="0" fontId="0" fillId="52" borderId="23" applyAlignment="1" pivotButton="0" quotePrefix="0" xfId="0">
      <alignment horizontal="center"/>
    </xf>
    <xf numFmtId="0" fontId="9" fillId="18" borderId="23" applyAlignment="1" pivotButton="0" quotePrefix="0" xfId="0">
      <alignment horizontal="center"/>
    </xf>
    <xf numFmtId="0" fontId="61" fillId="0" borderId="0" applyAlignment="1" pivotButton="0" quotePrefix="0" xfId="0">
      <alignment vertical="center"/>
    </xf>
    <xf numFmtId="0" fontId="62" fillId="0" borderId="0" applyAlignment="1" pivotButton="0" quotePrefix="0" xfId="0">
      <alignment horizontal="center"/>
    </xf>
    <xf numFmtId="0" fontId="62" fillId="0" borderId="0" applyAlignment="1" pivotButton="0" quotePrefix="0" xfId="0">
      <alignment horizontal="right"/>
    </xf>
    <xf numFmtId="0" fontId="62" fillId="0" borderId="0" pivotButton="0" quotePrefix="0" xfId="0"/>
    <xf numFmtId="14" fontId="63" fillId="15" borderId="23" applyAlignment="1" pivotButton="0" quotePrefix="0" xfId="0">
      <alignment horizontal="center"/>
    </xf>
    <xf numFmtId="3" fontId="10" fillId="0" borderId="23" applyAlignment="1" pivotButton="0" quotePrefix="0" xfId="0">
      <alignment horizontal="center"/>
    </xf>
    <xf numFmtId="4" fontId="9" fillId="15" borderId="23" applyAlignment="1" pivotButton="0" quotePrefix="0" xfId="0">
      <alignment horizontal="center"/>
    </xf>
    <xf numFmtId="0" fontId="64" fillId="0" borderId="23" applyAlignment="1" pivotButton="0" quotePrefix="0" xfId="0">
      <alignment horizontal="center"/>
    </xf>
    <xf numFmtId="3" fontId="0" fillId="0" borderId="23" applyAlignment="1" pivotButton="0" quotePrefix="0" xfId="0">
      <alignment horizontal="center"/>
    </xf>
    <xf numFmtId="0" fontId="9" fillId="15" borderId="23" applyAlignment="1" pivotButton="0" quotePrefix="0" xfId="0">
      <alignment horizontal="center"/>
    </xf>
    <xf numFmtId="2" fontId="0" fillId="52" borderId="23" applyAlignment="1" pivotButton="0" quotePrefix="0" xfId="0">
      <alignment horizontal="center"/>
    </xf>
    <xf numFmtId="9" fontId="0" fillId="52" borderId="23" applyAlignment="1" pivotButton="0" quotePrefix="0" xfId="52">
      <alignment horizontal="center"/>
    </xf>
    <xf numFmtId="16" fontId="0" fillId="0" borderId="23" applyAlignment="1" pivotButton="0" quotePrefix="0" xfId="0">
      <alignment horizontal="center"/>
    </xf>
    <xf numFmtId="0" fontId="9" fillId="18" borderId="65" applyAlignment="1" pivotButton="0" quotePrefix="0" xfId="0">
      <alignment horizontal="center"/>
    </xf>
    <xf numFmtId="14" fontId="0" fillId="0" borderId="0" applyAlignment="1" pivotButton="0" quotePrefix="0" xfId="0">
      <alignment horizontal="center"/>
    </xf>
    <xf numFmtId="168" fontId="66" fillId="0" borderId="0" pivotButton="0" quotePrefix="0" xfId="0"/>
    <xf numFmtId="14" fontId="67" fillId="0" borderId="0" pivotButton="0" quotePrefix="0" xfId="0"/>
    <xf numFmtId="0" fontId="12" fillId="15" borderId="0" pivotButton="0" quotePrefix="0" xfId="0"/>
    <xf numFmtId="0" fontId="8" fillId="0" borderId="0" applyAlignment="1" pivotButton="0" quotePrefix="0" xfId="0">
      <alignment horizontal="center"/>
    </xf>
    <xf numFmtId="3" fontId="0" fillId="0" borderId="23" pivotButton="0" quotePrefix="0" xfId="0"/>
    <xf numFmtId="17" fontId="0" fillId="0" borderId="23" applyAlignment="1" pivotButton="0" quotePrefix="0" xfId="0">
      <alignment horizontal="center"/>
    </xf>
    <xf numFmtId="0" fontId="9" fillId="0" borderId="23" applyAlignment="1" pivotButton="0" quotePrefix="0" xfId="0">
      <alignment horizontal="center"/>
    </xf>
    <xf numFmtId="169" fontId="14" fillId="0" borderId="23" applyAlignment="1" pivotButton="0" quotePrefix="0" xfId="51">
      <alignment horizontal="center"/>
    </xf>
    <xf numFmtId="169" fontId="0" fillId="0" borderId="23" applyAlignment="1" pivotButton="0" quotePrefix="0" xfId="51">
      <alignment horizontal="center"/>
    </xf>
    <xf numFmtId="10" fontId="68" fillId="0" borderId="0" pivotButton="0" quotePrefix="0" xfId="0"/>
    <xf numFmtId="170" fontId="0" fillId="0" borderId="0" pivotButton="0" quotePrefix="0" xfId="0"/>
    <xf numFmtId="0" fontId="68" fillId="0" borderId="0" pivotButton="0" quotePrefix="0" xfId="0"/>
    <xf numFmtId="171" fontId="0" fillId="0" borderId="0" pivotButton="0" quotePrefix="0" xfId="52"/>
    <xf numFmtId="10" fontId="0" fillId="0" borderId="0" pivotButton="0" quotePrefix="0" xfId="52"/>
    <xf numFmtId="10" fontId="68" fillId="0" borderId="0" pivotButton="0" quotePrefix="0" xfId="52"/>
    <xf numFmtId="10" fontId="68" fillId="0" borderId="0" applyAlignment="1" pivotButton="0" quotePrefix="0" xfId="52">
      <alignment horizontal="center"/>
    </xf>
    <xf numFmtId="9" fontId="0" fillId="0" borderId="0" pivotButton="0" quotePrefix="0" xfId="52"/>
    <xf numFmtId="4" fontId="0" fillId="15" borderId="23" pivotButton="0" quotePrefix="0" xfId="0"/>
    <xf numFmtId="0" fontId="0" fillId="15" borderId="23" pivotButton="0" quotePrefix="0" xfId="0"/>
    <xf numFmtId="0" fontId="69" fillId="0" borderId="0" pivotButton="0" quotePrefix="0" xfId="53"/>
    <xf numFmtId="0" fontId="19" fillId="0" borderId="0" pivotButton="0" quotePrefix="0" xfId="0"/>
    <xf numFmtId="3" fontId="10" fillId="0" borderId="0" applyAlignment="1" pivotButton="0" quotePrefix="0" xfId="0">
      <alignment horizontal="center"/>
    </xf>
    <xf numFmtId="0" fontId="10" fillId="0" borderId="23" applyAlignment="1" pivotButton="0" quotePrefix="0" xfId="0">
      <alignment horizontal="center"/>
    </xf>
    <xf numFmtId="0" fontId="60" fillId="0" borderId="23" applyAlignment="1" pivotButton="0" quotePrefix="0" xfId="0">
      <alignment horizontal="center"/>
    </xf>
    <xf numFmtId="0" fontId="0" fillId="0" borderId="62" applyAlignment="1" pivotButton="0" quotePrefix="0" xfId="0">
      <alignment horizontal="center" vertical="center"/>
    </xf>
    <xf numFmtId="0" fontId="0" fillId="0" borderId="63" applyAlignment="1" pivotButton="0" quotePrefix="0" xfId="0">
      <alignment horizontal="center" vertical="center"/>
    </xf>
    <xf numFmtId="0" fontId="0" fillId="59" borderId="62" applyAlignment="1" pivotButton="0" quotePrefix="0" xfId="0">
      <alignment horizontal="center" vertical="center"/>
    </xf>
    <xf numFmtId="0" fontId="0" fillId="59" borderId="63" applyAlignment="1" pivotButton="0" quotePrefix="0" xfId="0">
      <alignment horizontal="center" vertical="center"/>
    </xf>
    <xf numFmtId="0" fontId="15" fillId="0" borderId="52" applyAlignment="1" pivotButton="0" quotePrefix="0" xfId="0">
      <alignment horizontal="center" vertical="center"/>
    </xf>
    <xf numFmtId="0" fontId="15" fillId="0" borderId="29" applyAlignment="1" pivotButton="0" quotePrefix="0" xfId="0">
      <alignment horizontal="center" vertical="center"/>
    </xf>
    <xf numFmtId="0" fontId="15" fillId="0" borderId="53" applyAlignment="1" pivotButton="0" quotePrefix="0" xfId="0">
      <alignment horizontal="center" vertical="center"/>
    </xf>
    <xf numFmtId="0" fontId="15" fillId="0" borderId="54" applyAlignment="1" pivotButton="0" quotePrefix="0" xfId="0">
      <alignment horizontal="center" vertical="center"/>
    </xf>
    <xf numFmtId="0" fontId="15" fillId="0" borderId="27" applyAlignment="1" pivotButton="0" quotePrefix="0" xfId="0">
      <alignment horizontal="center" vertical="center"/>
    </xf>
    <xf numFmtId="0" fontId="15" fillId="0" borderId="55" applyAlignment="1" pivotButton="0" quotePrefix="0" xfId="0">
      <alignment horizontal="center" vertical="center"/>
    </xf>
    <xf numFmtId="0" fontId="9" fillId="0" borderId="52" applyAlignment="1" pivotButton="0" quotePrefix="0" xfId="0">
      <alignment horizontal="center" vertical="center"/>
    </xf>
    <xf numFmtId="0" fontId="9" fillId="0" borderId="29" applyAlignment="1" pivotButton="0" quotePrefix="0" xfId="0">
      <alignment horizontal="center" vertical="center"/>
    </xf>
    <xf numFmtId="0" fontId="9" fillId="0" borderId="53" applyAlignment="1" pivotButton="0" quotePrefix="0" xfId="0">
      <alignment horizontal="center" vertical="center"/>
    </xf>
    <xf numFmtId="0" fontId="9" fillId="0" borderId="54" applyAlignment="1" pivotButton="0" quotePrefix="0" xfId="0">
      <alignment horizontal="center" vertical="center"/>
    </xf>
    <xf numFmtId="0" fontId="9" fillId="0" borderId="27" applyAlignment="1" pivotButton="0" quotePrefix="0" xfId="0">
      <alignment horizontal="center" vertical="center"/>
    </xf>
    <xf numFmtId="0" fontId="9" fillId="0" borderId="55" applyAlignment="1" pivotButton="0" quotePrefix="0" xfId="0">
      <alignment horizontal="center" vertical="center"/>
    </xf>
    <xf numFmtId="0" fontId="9" fillId="52" borderId="62" applyAlignment="1" pivotButton="0" quotePrefix="0" xfId="0">
      <alignment horizontal="center" vertical="center"/>
    </xf>
    <xf numFmtId="0" fontId="9" fillId="52" borderId="63" applyAlignment="1" pivotButton="0" quotePrefix="0" xfId="0">
      <alignment horizontal="center" vertical="center"/>
    </xf>
    <xf numFmtId="0" fontId="15" fillId="6" borderId="52" applyAlignment="1" pivotButton="0" quotePrefix="0" xfId="5">
      <alignment horizontal="center" vertical="center"/>
    </xf>
    <xf numFmtId="0" fontId="15" fillId="6" borderId="29" applyAlignment="1" pivotButton="0" quotePrefix="0" xfId="5">
      <alignment horizontal="center" vertical="center"/>
    </xf>
    <xf numFmtId="0" fontId="15" fillId="6" borderId="53" applyAlignment="1" pivotButton="0" quotePrefix="0" xfId="5">
      <alignment horizontal="center" vertical="center"/>
    </xf>
    <xf numFmtId="0" fontId="15" fillId="6" borderId="54" applyAlignment="1" pivotButton="0" quotePrefix="0" xfId="5">
      <alignment horizontal="center" vertical="center"/>
    </xf>
    <xf numFmtId="0" fontId="15" fillId="6" borderId="27" applyAlignment="1" pivotButton="0" quotePrefix="0" xfId="5">
      <alignment horizontal="center" vertical="center"/>
    </xf>
    <xf numFmtId="0" fontId="15" fillId="6" borderId="55" applyAlignment="1" pivotButton="0" quotePrefix="0" xfId="5">
      <alignment horizontal="center" vertical="center"/>
    </xf>
    <xf numFmtId="0" fontId="9" fillId="57" borderId="62" applyAlignment="1" pivotButton="0" quotePrefix="0" xfId="0">
      <alignment horizontal="center" vertical="center"/>
    </xf>
    <xf numFmtId="0" fontId="9" fillId="57" borderId="30" applyAlignment="1" pivotButton="0" quotePrefix="0" xfId="0">
      <alignment horizontal="center" vertical="center"/>
    </xf>
    <xf numFmtId="0" fontId="9" fillId="57" borderId="63" applyAlignment="1" pivotButton="0" quotePrefix="0" xfId="0">
      <alignment horizontal="center" vertical="center"/>
    </xf>
    <xf numFmtId="0" fontId="9" fillId="13" borderId="62" applyAlignment="1" pivotButton="0" quotePrefix="0" xfId="0">
      <alignment horizontal="center" vertical="center"/>
    </xf>
    <xf numFmtId="0" fontId="9" fillId="13" borderId="30" applyAlignment="1" pivotButton="0" quotePrefix="0" xfId="0">
      <alignment horizontal="center" vertical="center"/>
    </xf>
    <xf numFmtId="0" fontId="9" fillId="13" borderId="63" applyAlignment="1" pivotButton="0" quotePrefix="0" xfId="0">
      <alignment horizontal="center" vertical="center"/>
    </xf>
    <xf numFmtId="0" fontId="0" fillId="59" borderId="3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wrapText="1"/>
    </xf>
    <xf numFmtId="0" fontId="0" fillId="0" borderId="52" applyAlignment="1" pivotButton="0" quotePrefix="0" xfId="0">
      <alignment horizontal="center" vertical="center"/>
    </xf>
    <xf numFmtId="0" fontId="0" fillId="0" borderId="29" applyAlignment="1" pivotButton="0" quotePrefix="0" xfId="0">
      <alignment horizontal="center" vertical="center"/>
    </xf>
    <xf numFmtId="0" fontId="0" fillId="0" borderId="53" applyAlignment="1" pivotButton="0" quotePrefix="0" xfId="0">
      <alignment horizontal="center" vertical="center"/>
    </xf>
    <xf numFmtId="0" fontId="0" fillId="0" borderId="54" applyAlignment="1" pivotButton="0" quotePrefix="0" xfId="0">
      <alignment horizontal="center" vertical="center"/>
    </xf>
    <xf numFmtId="0" fontId="0" fillId="0" borderId="27" applyAlignment="1" pivotButton="0" quotePrefix="0" xfId="0">
      <alignment horizontal="center" vertical="center"/>
    </xf>
    <xf numFmtId="0" fontId="0" fillId="0" borderId="55" applyAlignment="1" pivotButton="0" quotePrefix="0" xfId="0">
      <alignment horizontal="center" vertical="center"/>
    </xf>
    <xf numFmtId="22" fontId="0" fillId="0" borderId="62" applyAlignment="1" pivotButton="0" quotePrefix="0" xfId="0">
      <alignment horizontal="center" vertical="center"/>
    </xf>
    <xf numFmtId="22" fontId="0" fillId="0" borderId="30" applyAlignment="1" pivotButton="0" quotePrefix="0" xfId="0">
      <alignment horizontal="center" vertical="center"/>
    </xf>
    <xf numFmtId="22" fontId="0" fillId="0" borderId="63" applyAlignment="1" pivotButton="0" quotePrefix="0" xfId="0">
      <alignment horizontal="center" vertical="center"/>
    </xf>
    <xf numFmtId="0" fontId="17" fillId="25" borderId="62" applyAlignment="1" pivotButton="0" quotePrefix="0" xfId="0">
      <alignment horizontal="center" vertical="center"/>
    </xf>
    <xf numFmtId="0" fontId="17" fillId="25" borderId="30" applyAlignment="1" pivotButton="0" quotePrefix="0" xfId="0">
      <alignment horizontal="center" vertical="center"/>
    </xf>
    <xf numFmtId="0" fontId="17" fillId="25" borderId="63" applyAlignment="1" pivotButton="0" quotePrefix="0" xfId="0">
      <alignment horizontal="center" vertical="center"/>
    </xf>
    <xf numFmtId="0" fontId="0" fillId="0" borderId="32" applyAlignment="1" pivotButton="0" quotePrefix="0" xfId="0">
      <alignment horizontal="center" vertical="center"/>
    </xf>
    <xf numFmtId="0" fontId="0" fillId="0" borderId="28" applyAlignment="1" pivotButton="0" quotePrefix="0" xfId="0">
      <alignment horizontal="center" vertical="center"/>
    </xf>
    <xf numFmtId="0" fontId="9" fillId="57" borderId="23" applyAlignment="1" pivotButton="0" quotePrefix="0" xfId="0">
      <alignment horizontal="center" vertical="center"/>
    </xf>
    <xf numFmtId="0" fontId="13" fillId="6" borderId="52" applyAlignment="1" pivotButton="0" quotePrefix="0" xfId="5">
      <alignment horizontal="center" vertical="center"/>
    </xf>
    <xf numFmtId="0" fontId="13" fillId="6" borderId="29" applyAlignment="1" pivotButton="0" quotePrefix="0" xfId="5">
      <alignment horizontal="center" vertical="center"/>
    </xf>
    <xf numFmtId="0" fontId="13" fillId="6" borderId="53" applyAlignment="1" pivotButton="0" quotePrefix="0" xfId="5">
      <alignment horizontal="center" vertical="center"/>
    </xf>
    <xf numFmtId="0" fontId="13" fillId="6" borderId="54" applyAlignment="1" pivotButton="0" quotePrefix="0" xfId="5">
      <alignment horizontal="center" vertical="center"/>
    </xf>
    <xf numFmtId="0" fontId="13" fillId="6" borderId="27" applyAlignment="1" pivotButton="0" quotePrefix="0" xfId="5">
      <alignment horizontal="center" vertical="center"/>
    </xf>
    <xf numFmtId="0" fontId="13" fillId="6" borderId="55" applyAlignment="1" pivotButton="0" quotePrefix="0" xfId="5">
      <alignment horizontal="center" vertical="center"/>
    </xf>
    <xf numFmtId="0" fontId="9" fillId="58" borderId="52" applyAlignment="1" pivotButton="0" quotePrefix="0" xfId="0">
      <alignment horizontal="center" vertical="center"/>
    </xf>
    <xf numFmtId="0" fontId="9" fillId="58" borderId="29" applyAlignment="1" pivotButton="0" quotePrefix="0" xfId="0">
      <alignment horizontal="center" vertical="center"/>
    </xf>
    <xf numFmtId="0" fontId="9" fillId="58" borderId="53" applyAlignment="1" pivotButton="0" quotePrefix="0" xfId="0">
      <alignment horizontal="center" vertical="center"/>
    </xf>
    <xf numFmtId="0" fontId="9" fillId="58" borderId="32" applyAlignment="1" pivotButton="0" quotePrefix="0" xfId="0">
      <alignment horizontal="center" vertical="center"/>
    </xf>
    <xf numFmtId="0" fontId="9" fillId="58" borderId="0" applyAlignment="1" pivotButton="0" quotePrefix="0" xfId="0">
      <alignment horizontal="center" vertical="center"/>
    </xf>
    <xf numFmtId="0" fontId="9" fillId="58" borderId="28" applyAlignment="1" pivotButton="0" quotePrefix="0" xfId="0">
      <alignment horizontal="center" vertical="center"/>
    </xf>
    <xf numFmtId="0" fontId="0" fillId="0" borderId="30" applyAlignment="1" pivotButton="0" quotePrefix="0" xfId="0">
      <alignment horizontal="center" vertical="center"/>
    </xf>
    <xf numFmtId="0" fontId="0" fillId="59" borderId="62" applyAlignment="1" pivotButton="0" quotePrefix="0" xfId="0">
      <alignment vertical="center"/>
    </xf>
    <xf numFmtId="0" fontId="0" fillId="59" borderId="30" applyAlignment="1" pivotButton="0" quotePrefix="0" xfId="0">
      <alignment vertical="center"/>
    </xf>
    <xf numFmtId="0" fontId="0" fillId="59" borderId="63" applyAlignment="1" pivotButton="0" quotePrefix="0" xfId="0">
      <alignment vertical="center"/>
    </xf>
    <xf numFmtId="0" fontId="0" fillId="0" borderId="62" applyAlignment="1" pivotButton="0" quotePrefix="0" xfId="0">
      <alignment horizontal="center"/>
    </xf>
    <xf numFmtId="0" fontId="0" fillId="0" borderId="63" applyAlignment="1" pivotButton="0" quotePrefix="0" xfId="0">
      <alignment horizontal="center"/>
    </xf>
    <xf numFmtId="0" fontId="0" fillId="0" borderId="23" applyAlignment="1" pivotButton="0" quotePrefix="0" xfId="0">
      <alignment horizontal="center"/>
    </xf>
    <xf numFmtId="0" fontId="9" fillId="0" borderId="25" applyAlignment="1" pivotButton="0" quotePrefix="0" xfId="0">
      <alignment horizontal="center"/>
    </xf>
    <xf numFmtId="0" fontId="9" fillId="0" borderId="18" applyAlignment="1" pivotButton="0" quotePrefix="0" xfId="0">
      <alignment horizontal="center"/>
    </xf>
    <xf numFmtId="0" fontId="9" fillId="0" borderId="16" applyAlignment="1" pivotButton="0" quotePrefix="0" xfId="0">
      <alignment horizontal="center"/>
    </xf>
    <xf numFmtId="0" fontId="9" fillId="0" borderId="17" applyAlignment="1" pivotButton="0" quotePrefix="0" xfId="0">
      <alignment horizontal="center"/>
    </xf>
    <xf numFmtId="0" fontId="9" fillId="0" borderId="14" applyAlignment="1" pivotButton="0" quotePrefix="0" xfId="0">
      <alignment horizontal="center"/>
    </xf>
    <xf numFmtId="0" fontId="9" fillId="0" borderId="0" applyAlignment="1" pivotButton="0" quotePrefix="0" xfId="0">
      <alignment horizontal="center"/>
    </xf>
    <xf numFmtId="0" fontId="9" fillId="55" borderId="0" applyAlignment="1" pivotButton="0" quotePrefix="0" xfId="0">
      <alignment horizontal="center"/>
    </xf>
    <xf numFmtId="0" fontId="0" fillId="0" borderId="0" applyAlignment="1" pivotButton="0" quotePrefix="0" xfId="0">
      <alignment horizontal="center"/>
    </xf>
    <xf numFmtId="0" fontId="0" fillId="0" borderId="56" applyAlignment="1" pivotButton="0" quotePrefix="0" xfId="0">
      <alignment horizontal="center"/>
    </xf>
    <xf numFmtId="0" fontId="0" fillId="0" borderId="16" applyAlignment="1" pivotButton="0" quotePrefix="0" xfId="0">
      <alignment horizontal="center"/>
    </xf>
    <xf numFmtId="0" fontId="0" fillId="0" borderId="17" applyAlignment="1" pivotButton="0" quotePrefix="0" xfId="0">
      <alignment horizontal="center"/>
    </xf>
    <xf numFmtId="0" fontId="0" fillId="0" borderId="32" applyAlignment="1" pivotButton="0" quotePrefix="0" xfId="0">
      <alignment horizontal="center"/>
    </xf>
    <xf numFmtId="0" fontId="0" fillId="0" borderId="13" applyAlignment="1" pivotButton="0" quotePrefix="0" xfId="0">
      <alignment horizontal="center"/>
    </xf>
    <xf numFmtId="0" fontId="0" fillId="0" borderId="54" applyAlignment="1" pivotButton="0" quotePrefix="0" xfId="0">
      <alignment horizontal="center"/>
    </xf>
    <xf numFmtId="0" fontId="0" fillId="0" borderId="27" applyAlignment="1" pivotButton="0" quotePrefix="0" xfId="0">
      <alignment horizontal="center"/>
    </xf>
    <xf numFmtId="0" fontId="0" fillId="0" borderId="60" applyAlignment="1" pivotButton="0" quotePrefix="0" xfId="0">
      <alignment horizontal="center"/>
    </xf>
    <xf numFmtId="2" fontId="0" fillId="0" borderId="23" applyAlignment="1" pivotButton="0" quotePrefix="0" xfId="0">
      <alignment horizontal="center"/>
    </xf>
    <xf numFmtId="0" fontId="45" fillId="0" borderId="57" applyAlignment="1" pivotButton="0" quotePrefix="0" xfId="0">
      <alignment horizontal="left" vertical="center" wrapText="1"/>
    </xf>
    <xf numFmtId="0" fontId="45" fillId="0" borderId="58" applyAlignment="1" pivotButton="0" quotePrefix="0" xfId="0">
      <alignment horizontal="left" vertical="center" wrapText="1"/>
    </xf>
    <xf numFmtId="0" fontId="45" fillId="0" borderId="59" applyAlignment="1" pivotButton="0" quotePrefix="0" xfId="0">
      <alignment horizontal="left" vertical="center" wrapText="1"/>
    </xf>
    <xf numFmtId="0" fontId="0" fillId="0" borderId="52" applyAlignment="1" pivotButton="0" quotePrefix="0" xfId="0">
      <alignment horizontal="center"/>
    </xf>
    <xf numFmtId="0" fontId="0" fillId="0" borderId="53" applyAlignment="1" pivotButton="0" quotePrefix="0" xfId="0">
      <alignment horizontal="center"/>
    </xf>
    <xf numFmtId="0" fontId="0" fillId="0" borderId="28" applyAlignment="1" pivotButton="0" quotePrefix="0" xfId="0">
      <alignment horizontal="center"/>
    </xf>
    <xf numFmtId="0" fontId="0" fillId="0" borderId="55" applyAlignment="1" pivotButton="0" quotePrefix="0" xfId="0">
      <alignment horizontal="center"/>
    </xf>
    <xf numFmtId="0" fontId="45" fillId="0" borderId="24" applyAlignment="1" pivotButton="0" quotePrefix="0" xfId="0">
      <alignment horizontal="left" vertical="center" wrapText="1"/>
    </xf>
    <xf numFmtId="0" fontId="9" fillId="18" borderId="62" applyAlignment="1" pivotButton="0" quotePrefix="0" xfId="0">
      <alignment horizontal="center"/>
    </xf>
    <xf numFmtId="0" fontId="9" fillId="18" borderId="30" applyAlignment="1" pivotButton="0" quotePrefix="0" xfId="0">
      <alignment horizontal="center"/>
    </xf>
    <xf numFmtId="0" fontId="9" fillId="18" borderId="63" applyAlignment="1" pivotButton="0" quotePrefix="0" xfId="0">
      <alignment horizontal="center"/>
    </xf>
    <xf numFmtId="0" fontId="61" fillId="0" borderId="0" applyAlignment="1" pivotButton="0" quotePrefix="0" xfId="0">
      <alignment horizontal="center" vertical="center" wrapText="1"/>
    </xf>
    <xf numFmtId="0" fontId="19" fillId="0" borderId="23" applyAlignment="1" pivotButton="0" quotePrefix="0" xfId="0">
      <alignment horizontal="center"/>
    </xf>
    <xf numFmtId="0" fontId="0" fillId="0" borderId="52" applyAlignment="1" pivotButton="0" quotePrefix="0" xfId="0">
      <alignment horizontal="center" vertical="center" wrapText="1"/>
    </xf>
    <xf numFmtId="0" fontId="0" fillId="0" borderId="29" applyAlignment="1" pivotButton="0" quotePrefix="0" xfId="0">
      <alignment horizontal="center" vertical="center" wrapText="1"/>
    </xf>
    <xf numFmtId="0" fontId="0" fillId="0" borderId="53" applyAlignment="1" pivotButton="0" quotePrefix="0" xfId="0">
      <alignment horizontal="center" vertical="center" wrapText="1"/>
    </xf>
    <xf numFmtId="0" fontId="0" fillId="0" borderId="32" applyAlignment="1" pivotButton="0" quotePrefix="0" xfId="0">
      <alignment horizontal="center" vertical="center" wrapText="1"/>
    </xf>
    <xf numFmtId="0" fontId="0" fillId="0" borderId="0" applyAlignment="1" pivotButton="0" quotePrefix="0" xfId="0">
      <alignment horizontal="center" vertical="center" wrapText="1"/>
    </xf>
    <xf numFmtId="0" fontId="0" fillId="0" borderId="28" applyAlignment="1" pivotButton="0" quotePrefix="0" xfId="0">
      <alignment horizontal="center" vertical="center" wrapText="1"/>
    </xf>
    <xf numFmtId="0" fontId="0" fillId="0" borderId="54" applyAlignment="1" pivotButton="0" quotePrefix="0" xfId="0">
      <alignment horizontal="center" vertical="center" wrapText="1"/>
    </xf>
    <xf numFmtId="0" fontId="0" fillId="0" borderId="27" applyAlignment="1" pivotButton="0" quotePrefix="0" xfId="0">
      <alignment horizontal="center" vertical="center" wrapText="1"/>
    </xf>
    <xf numFmtId="0" fontId="0" fillId="0" borderId="55" applyAlignment="1" pivotButton="0" quotePrefix="0" xfId="0">
      <alignment horizontal="center" vertical="center" wrapText="1"/>
    </xf>
    <xf numFmtId="0" fontId="43" fillId="11" borderId="12" applyAlignment="1" pivotButton="0" quotePrefix="0" xfId="0">
      <alignment horizontal="center"/>
    </xf>
    <xf numFmtId="0" fontId="43" fillId="11" borderId="20" applyAlignment="1" pivotButton="0" quotePrefix="0" xfId="0">
      <alignment horizontal="center"/>
    </xf>
    <xf numFmtId="0" fontId="43" fillId="11" borderId="11" applyAlignment="1" pivotButton="0" quotePrefix="0" xfId="0">
      <alignment horizontal="center"/>
    </xf>
    <xf numFmtId="0" fontId="9" fillId="52" borderId="12" applyAlignment="1" pivotButton="0" quotePrefix="0" xfId="0">
      <alignment horizontal="center" vertical="center" wrapText="1"/>
    </xf>
    <xf numFmtId="0" fontId="9" fillId="52" borderId="11" applyAlignment="1" pivotButton="0" quotePrefix="0" xfId="0">
      <alignment horizontal="center" vertical="center" wrapText="1"/>
    </xf>
    <xf numFmtId="166" fontId="5" fillId="12" borderId="14" applyAlignment="1" pivotButton="0" quotePrefix="0" xfId="8">
      <alignment horizontal="center"/>
    </xf>
    <xf numFmtId="166" fontId="5" fillId="12" borderId="13" applyAlignment="1" pivotButton="0" quotePrefix="0" xfId="8">
      <alignment horizontal="center"/>
    </xf>
    <xf numFmtId="0" fontId="9" fillId="52" borderId="12" applyAlignment="1" pivotButton="0" quotePrefix="0" xfId="0">
      <alignment horizontal="center" vertical="top" wrapText="1"/>
    </xf>
    <xf numFmtId="0" fontId="9" fillId="52" borderId="11" applyAlignment="1" pivotButton="0" quotePrefix="0" xfId="0">
      <alignment horizontal="center" vertical="top" wrapText="1"/>
    </xf>
    <xf numFmtId="0" fontId="9" fillId="0" borderId="9" applyAlignment="1" pivotButton="0" quotePrefix="0" xfId="0">
      <alignment horizontal="center" vertical="center"/>
    </xf>
    <xf numFmtId="0" fontId="9" fillId="0" borderId="8" applyAlignment="1" pivotButton="0" quotePrefix="0" xfId="0">
      <alignment horizontal="center" vertical="center"/>
    </xf>
    <xf numFmtId="0" fontId="24" fillId="0" borderId="15" applyAlignment="1" pivotButton="0" quotePrefix="0" xfId="0">
      <alignment horizontal="center" vertical="top" wrapText="1"/>
    </xf>
    <xf numFmtId="0" fontId="24" fillId="0" borderId="7" applyAlignment="1" pivotButton="0" quotePrefix="0" xfId="0">
      <alignment horizontal="center" vertical="top" wrapText="1"/>
    </xf>
    <xf numFmtId="0" fontId="24" fillId="0" borderId="6" applyAlignment="1" pivotButton="0" quotePrefix="0" xfId="0">
      <alignment horizontal="center" vertical="top" wrapText="1"/>
    </xf>
    <xf numFmtId="0" fontId="5" fillId="0" borderId="15" applyAlignment="1" pivotButton="0" quotePrefix="0" xfId="0">
      <alignment horizontal="center" vertical="center"/>
    </xf>
    <xf numFmtId="0" fontId="5" fillId="0" borderId="6" applyAlignment="1" pivotButton="0" quotePrefix="0" xfId="0">
      <alignment horizontal="center" vertical="center"/>
    </xf>
    <xf numFmtId="0" fontId="9" fillId="52" borderId="12" applyAlignment="1" pivotButton="0" quotePrefix="0" xfId="0">
      <alignment horizontal="center"/>
    </xf>
    <xf numFmtId="0" fontId="9" fillId="52" borderId="20" applyAlignment="1" pivotButton="0" quotePrefix="0" xfId="0">
      <alignment horizontal="center"/>
    </xf>
    <xf numFmtId="0" fontId="9" fillId="52" borderId="11" applyAlignment="1" pivotButton="0" quotePrefix="0" xfId="0">
      <alignment horizontal="center"/>
    </xf>
    <xf numFmtId="0" fontId="42" fillId="0" borderId="18" applyAlignment="1" pivotButton="0" quotePrefix="0" xfId="0">
      <alignment horizontal="center" vertical="center" wrapText="1"/>
    </xf>
    <xf numFmtId="0" fontId="42" fillId="0" borderId="16" applyAlignment="1" pivotButton="0" quotePrefix="0" xfId="0">
      <alignment horizontal="center" vertical="center" wrapText="1"/>
    </xf>
    <xf numFmtId="0" fontId="42" fillId="0" borderId="17" applyAlignment="1" pivotButton="0" quotePrefix="0" xfId="0">
      <alignment horizontal="center" vertical="center" wrapText="1"/>
    </xf>
    <xf numFmtId="0" fontId="42" fillId="0" borderId="9" applyAlignment="1" pivotButton="0" quotePrefix="0" xfId="0">
      <alignment horizontal="center" vertical="center" wrapText="1"/>
    </xf>
    <xf numFmtId="0" fontId="42" fillId="0" borderId="10" applyAlignment="1" pivotButton="0" quotePrefix="0" xfId="0">
      <alignment horizontal="center" vertical="center" wrapText="1"/>
    </xf>
    <xf numFmtId="0" fontId="42" fillId="0" borderId="8" applyAlignment="1" pivotButton="0" quotePrefix="0" xfId="0">
      <alignment horizontal="center" vertical="center" wrapText="1"/>
    </xf>
    <xf numFmtId="0" fontId="9" fillId="52" borderId="9" applyAlignment="1" pivotButton="0" quotePrefix="0" xfId="0">
      <alignment horizontal="center" vertical="center"/>
    </xf>
    <xf numFmtId="0" fontId="9" fillId="52" borderId="10" applyAlignment="1" pivotButton="0" quotePrefix="0" xfId="0">
      <alignment horizontal="center" vertical="center"/>
    </xf>
    <xf numFmtId="0" fontId="9" fillId="52" borderId="8" applyAlignment="1" pivotButton="0" quotePrefix="0" xfId="0">
      <alignment horizontal="center" vertical="center"/>
    </xf>
    <xf numFmtId="0" fontId="24" fillId="0" borderId="15" applyAlignment="1" pivotButton="0" quotePrefix="0" xfId="0">
      <alignment horizontal="center" vertical="center" wrapText="1"/>
    </xf>
    <xf numFmtId="0" fontId="24" fillId="0" borderId="7" applyAlignment="1" pivotButton="0" quotePrefix="0" xfId="0">
      <alignment horizontal="center" vertical="center" wrapText="1"/>
    </xf>
    <xf numFmtId="0" fontId="24" fillId="0" borderId="6" applyAlignment="1" pivotButton="0" quotePrefix="0" xfId="0">
      <alignment horizontal="center" vertical="center" wrapText="1"/>
    </xf>
    <xf numFmtId="165" fontId="5" fillId="0" borderId="17" applyAlignment="1" pivotButton="0" quotePrefix="0" xfId="9">
      <alignment horizontal="center" vertical="center"/>
    </xf>
    <xf numFmtId="165" fontId="5" fillId="0" borderId="8" applyAlignment="1" pivotButton="0" quotePrefix="0" xfId="9">
      <alignment horizontal="center" vertical="center"/>
    </xf>
    <xf numFmtId="0" fontId="5" fillId="0" borderId="18" applyAlignment="1" pivotButton="0" quotePrefix="0" xfId="0">
      <alignment horizontal="center"/>
    </xf>
    <xf numFmtId="0" fontId="5" fillId="0" borderId="9" applyAlignment="1" pivotButton="0" quotePrefix="0" xfId="0">
      <alignment horizontal="center"/>
    </xf>
    <xf numFmtId="0" fontId="16" fillId="0" borderId="12" applyAlignment="1" pivotButton="0" quotePrefix="0" xfId="10">
      <alignment horizontal="center" vertical="center" wrapText="1"/>
    </xf>
    <xf numFmtId="0" fontId="16" fillId="0" borderId="11" applyAlignment="1" pivotButton="0" quotePrefix="0" xfId="10">
      <alignment horizontal="center" vertical="center" wrapText="1"/>
    </xf>
    <xf numFmtId="0" fontId="23" fillId="0" borderId="12" applyAlignment="1" pivotButton="0" quotePrefix="0" xfId="10">
      <alignment horizontal="center" vertical="center" wrapText="1"/>
    </xf>
    <xf numFmtId="0" fontId="23" fillId="0" borderId="11" applyAlignment="1" pivotButton="0" quotePrefix="0" xfId="10">
      <alignment horizontal="center" vertical="center" wrapText="1"/>
    </xf>
    <xf numFmtId="0" fontId="13" fillId="0" borderId="12" applyAlignment="1" pivotButton="0" quotePrefix="0" xfId="0">
      <alignment horizontal="center" vertical="center"/>
    </xf>
    <xf numFmtId="0" fontId="13" fillId="0" borderId="20" applyAlignment="1" pivotButton="0" quotePrefix="0" xfId="0">
      <alignment horizontal="center" vertical="center"/>
    </xf>
    <xf numFmtId="0" fontId="13" fillId="0" borderId="11" applyAlignment="1" pivotButton="0" quotePrefix="0" xfId="0">
      <alignment horizontal="center" vertical="center"/>
    </xf>
    <xf numFmtId="0" fontId="5" fillId="0" borderId="15" applyAlignment="1" pivotButton="0" quotePrefix="0" xfId="9">
      <alignment horizontal="center" vertical="center"/>
    </xf>
    <xf numFmtId="0" fontId="5" fillId="0" borderId="6" applyAlignment="1" pivotButton="0" quotePrefix="0" xfId="9">
      <alignment horizontal="center" vertical="center"/>
    </xf>
    <xf numFmtId="0" fontId="9" fillId="0" borderId="18" applyAlignment="1" pivotButton="0" quotePrefix="0" xfId="0">
      <alignment horizontal="center" vertical="center"/>
    </xf>
    <xf numFmtId="0" fontId="9" fillId="0" borderId="17" applyAlignment="1" pivotButton="0" quotePrefix="0" xfId="0">
      <alignment horizontal="center" vertical="center"/>
    </xf>
    <xf numFmtId="0" fontId="17" fillId="14" borderId="12" applyAlignment="1" pivotButton="0" quotePrefix="0" xfId="0">
      <alignment horizontal="center"/>
    </xf>
    <xf numFmtId="0" fontId="17" fillId="14" borderId="20" applyAlignment="1" pivotButton="0" quotePrefix="0" xfId="0">
      <alignment horizontal="center"/>
    </xf>
    <xf numFmtId="166" fontId="5" fillId="0" borderId="14" applyAlignment="1" pivotButton="0" quotePrefix="0" xfId="8">
      <alignment horizontal="center"/>
    </xf>
    <xf numFmtId="166" fontId="5" fillId="0" borderId="13" applyAlignment="1" pivotButton="0" quotePrefix="0" xfId="8">
      <alignment horizontal="center"/>
    </xf>
    <xf numFmtId="166" fontId="5" fillId="0" borderId="0" applyAlignment="1" pivotButton="0" quotePrefix="0" xfId="8">
      <alignment horizontal="center"/>
    </xf>
    <xf numFmtId="166" fontId="5" fillId="0" borderId="9" applyAlignment="1" pivotButton="0" quotePrefix="0" xfId="8">
      <alignment horizontal="center"/>
    </xf>
    <xf numFmtId="166" fontId="5" fillId="0" borderId="8" applyAlignment="1" pivotButton="0" quotePrefix="0" xfId="8">
      <alignment horizontal="center"/>
    </xf>
    <xf numFmtId="0" fontId="9" fillId="0" borderId="18" applyAlignment="1" pivotButton="0" quotePrefix="0" xfId="0">
      <alignment horizontal="center" vertical="top" wrapText="1"/>
    </xf>
    <xf numFmtId="0" fontId="9" fillId="0" borderId="17" applyAlignment="1" pivotButton="0" quotePrefix="0" xfId="0">
      <alignment horizontal="center" vertical="top" wrapText="1"/>
    </xf>
    <xf numFmtId="0" fontId="9" fillId="0" borderId="13" applyAlignment="1" pivotButton="0" quotePrefix="0" xfId="0">
      <alignment horizontal="center"/>
    </xf>
    <xf numFmtId="0" fontId="9" fillId="0" borderId="9" applyAlignment="1" pivotButton="0" quotePrefix="0" xfId="0">
      <alignment horizontal="center"/>
    </xf>
    <xf numFmtId="0" fontId="9" fillId="0" borderId="10" applyAlignment="1" pivotButton="0" quotePrefix="0" xfId="0">
      <alignment horizontal="center"/>
    </xf>
    <xf numFmtId="0" fontId="9" fillId="0" borderId="8" applyAlignment="1" pivotButton="0" quotePrefix="0" xfId="0">
      <alignment horizontal="center"/>
    </xf>
    <xf numFmtId="0" fontId="35" fillId="0" borderId="12" applyAlignment="1" pivotButton="0" quotePrefix="0" xfId="0">
      <alignment horizontal="center" vertical="center" wrapText="1"/>
    </xf>
    <xf numFmtId="0" fontId="35" fillId="0" borderId="11" applyAlignment="1" pivotButton="0" quotePrefix="0" xfId="0">
      <alignment horizontal="center" vertical="center" wrapText="1"/>
    </xf>
    <xf numFmtId="0" fontId="35" fillId="0" borderId="9" applyAlignment="1" pivotButton="0" quotePrefix="0" xfId="0">
      <alignment horizontal="center" vertical="center" wrapText="1"/>
    </xf>
    <xf numFmtId="0" fontId="35" fillId="0" borderId="8" applyAlignment="1" pivotButton="0" quotePrefix="0" xfId="0">
      <alignment horizontal="center" vertical="center" wrapText="1"/>
    </xf>
    <xf numFmtId="0" fontId="48" fillId="0" borderId="14" applyAlignment="1" pivotButton="0" quotePrefix="0" xfId="0">
      <alignment horizontal="center" vertical="center" wrapText="1"/>
    </xf>
    <xf numFmtId="0" fontId="48" fillId="0" borderId="0" applyAlignment="1" pivotButton="0" quotePrefix="0" xfId="0">
      <alignment horizontal="center" vertical="center" wrapText="1"/>
    </xf>
    <xf numFmtId="0" fontId="48" fillId="0" borderId="13" applyAlignment="1" pivotButton="0" quotePrefix="0" xfId="0">
      <alignment horizontal="center" vertical="center" wrapText="1"/>
    </xf>
    <xf numFmtId="0" fontId="48" fillId="0" borderId="9" applyAlignment="1" pivotButton="0" quotePrefix="0" xfId="0">
      <alignment horizontal="center" vertical="center" wrapText="1"/>
    </xf>
    <xf numFmtId="0" fontId="48" fillId="0" borderId="10" applyAlignment="1" pivotButton="0" quotePrefix="0" xfId="0">
      <alignment horizontal="center" vertical="center" wrapText="1"/>
    </xf>
    <xf numFmtId="0" fontId="48" fillId="0" borderId="8" applyAlignment="1" pivotButton="0" quotePrefix="0" xfId="0">
      <alignment horizontal="center" vertical="center" wrapText="1"/>
    </xf>
    <xf numFmtId="0" fontId="5" fillId="0" borderId="16" applyAlignment="1" pivotButton="0" quotePrefix="0" xfId="0">
      <alignment horizontal="center"/>
    </xf>
    <xf numFmtId="0" fontId="9" fillId="52" borderId="12" applyAlignment="1" pivotButton="0" quotePrefix="0" xfId="0">
      <alignment horizontal="center" vertical="center"/>
    </xf>
    <xf numFmtId="0" fontId="9" fillId="52" borderId="11" applyAlignment="1" pivotButton="0" quotePrefix="0" xfId="0">
      <alignment horizontal="center" vertical="center"/>
    </xf>
    <xf numFmtId="0" fontId="35" fillId="0" borderId="18" applyAlignment="1" pivotButton="0" quotePrefix="0" xfId="0">
      <alignment horizontal="center" vertical="center" wrapText="1"/>
    </xf>
    <xf numFmtId="0" fontId="35" fillId="0" borderId="17" applyAlignment="1" pivotButton="0" quotePrefix="0" xfId="0">
      <alignment horizontal="center" vertical="center" wrapText="1"/>
    </xf>
    <xf numFmtId="166" fontId="55" fillId="0" borderId="15" applyAlignment="1" pivotButton="0" quotePrefix="0" xfId="8">
      <alignment horizontal="center" vertical="center"/>
    </xf>
    <xf numFmtId="166" fontId="55" fillId="0" borderId="6" applyAlignment="1" pivotButton="0" quotePrefix="0" xfId="8">
      <alignment horizontal="center" vertical="center"/>
    </xf>
    <xf numFmtId="2" fontId="12" fillId="0" borderId="17" applyAlignment="1" pivotButton="0" quotePrefix="0" xfId="0">
      <alignment horizontal="right" vertical="top"/>
    </xf>
    <xf numFmtId="2" fontId="12" fillId="0" borderId="13" applyAlignment="1" pivotButton="0" quotePrefix="0" xfId="0">
      <alignment horizontal="right" vertical="top"/>
    </xf>
    <xf numFmtId="2" fontId="12" fillId="0" borderId="8" applyAlignment="1" pivotButton="0" quotePrefix="0" xfId="0">
      <alignment horizontal="right" vertical="top"/>
    </xf>
    <xf numFmtId="0" fontId="5" fillId="0" borderId="15" applyAlignment="1" pivotButton="0" quotePrefix="0" xfId="0">
      <alignment horizontal="right" vertical="top"/>
    </xf>
    <xf numFmtId="0" fontId="5" fillId="0" borderId="7" applyAlignment="1" pivotButton="0" quotePrefix="0" xfId="0">
      <alignment horizontal="right" vertical="top"/>
    </xf>
    <xf numFmtId="0" fontId="5" fillId="0" borderId="6" applyAlignment="1" pivotButton="0" quotePrefix="0" xfId="0">
      <alignment horizontal="right" vertical="top"/>
    </xf>
    <xf numFmtId="166" fontId="47" fillId="0" borderId="12" applyAlignment="1" pivotButton="0" quotePrefix="0" xfId="8">
      <alignment horizontal="center" vertical="center"/>
    </xf>
    <xf numFmtId="166" fontId="47" fillId="0" borderId="20" applyAlignment="1" pivotButton="0" quotePrefix="0" xfId="8">
      <alignment horizontal="center" vertical="center"/>
    </xf>
    <xf numFmtId="166" fontId="47" fillId="0" borderId="11" applyAlignment="1" pivotButton="0" quotePrefix="0" xfId="8">
      <alignment horizontal="center" vertical="center"/>
    </xf>
    <xf numFmtId="166" fontId="47" fillId="0" borderId="18" applyAlignment="1" pivotButton="0" quotePrefix="0" xfId="8">
      <alignment horizontal="center" vertical="center"/>
    </xf>
    <xf numFmtId="166" fontId="47" fillId="0" borderId="16" applyAlignment="1" pivotButton="0" quotePrefix="0" xfId="8">
      <alignment horizontal="center" vertical="center"/>
    </xf>
    <xf numFmtId="166" fontId="47" fillId="0" borderId="17" applyAlignment="1" pivotButton="0" quotePrefix="0" xfId="8">
      <alignment horizontal="center" vertical="center"/>
    </xf>
    <xf numFmtId="166" fontId="47" fillId="0" borderId="9" applyAlignment="1" pivotButton="0" quotePrefix="0" xfId="8">
      <alignment horizontal="center" vertical="center"/>
    </xf>
    <xf numFmtId="166" fontId="47" fillId="0" borderId="10" applyAlignment="1" pivotButton="0" quotePrefix="0" xfId="8">
      <alignment horizontal="center" vertical="center"/>
    </xf>
    <xf numFmtId="166" fontId="47" fillId="0" borderId="8" applyAlignment="1" pivotButton="0" quotePrefix="0" xfId="8">
      <alignment horizontal="center" vertical="center"/>
    </xf>
    <xf numFmtId="0" fontId="50" fillId="0" borderId="12" applyAlignment="1" pivotButton="0" quotePrefix="0" xfId="0">
      <alignment horizontal="right"/>
    </xf>
    <xf numFmtId="0" fontId="50" fillId="0" borderId="20" applyAlignment="1" pivotButton="0" quotePrefix="0" xfId="0">
      <alignment horizontal="right"/>
    </xf>
    <xf numFmtId="0" fontId="51" fillId="0" borderId="18" applyAlignment="1" pivotButton="0" quotePrefix="0" xfId="0">
      <alignment horizontal="center" vertical="center" wrapText="1"/>
    </xf>
    <xf numFmtId="0" fontId="51" fillId="0" borderId="14" applyAlignment="1" pivotButton="0" quotePrefix="0" xfId="0">
      <alignment horizontal="center" vertical="center" wrapText="1"/>
    </xf>
    <xf numFmtId="0" fontId="51" fillId="0" borderId="9" applyAlignment="1" pivotButton="0" quotePrefix="0" xfId="0">
      <alignment horizontal="center" vertical="center" wrapText="1"/>
    </xf>
    <xf numFmtId="0" fontId="54" fillId="0" borderId="18" applyAlignment="1" pivotButton="0" quotePrefix="0" xfId="0">
      <alignment horizontal="center" vertical="center"/>
    </xf>
    <xf numFmtId="0" fontId="54" fillId="0" borderId="16" applyAlignment="1" pivotButton="0" quotePrefix="0" xfId="0">
      <alignment horizontal="center" vertical="center"/>
    </xf>
    <xf numFmtId="0" fontId="54" fillId="0" borderId="17" applyAlignment="1" pivotButton="0" quotePrefix="0" xfId="0">
      <alignment horizontal="center" vertical="center"/>
    </xf>
    <xf numFmtId="0" fontId="54" fillId="0" borderId="14" applyAlignment="1" pivotButton="0" quotePrefix="0" xfId="0">
      <alignment horizontal="center" vertical="center"/>
    </xf>
    <xf numFmtId="0" fontId="54" fillId="0" borderId="0" applyAlignment="1" pivotButton="0" quotePrefix="0" xfId="0">
      <alignment horizontal="center" vertical="center"/>
    </xf>
    <xf numFmtId="0" fontId="54" fillId="0" borderId="13" applyAlignment="1" pivotButton="0" quotePrefix="0" xfId="0">
      <alignment horizontal="center" vertical="center"/>
    </xf>
    <xf numFmtId="0" fontId="54" fillId="0" borderId="9" applyAlignment="1" pivotButton="0" quotePrefix="0" xfId="0">
      <alignment horizontal="center" vertical="center"/>
    </xf>
    <xf numFmtId="0" fontId="54" fillId="0" borderId="10" applyAlignment="1" pivotButton="0" quotePrefix="0" xfId="0">
      <alignment horizontal="center" vertical="center"/>
    </xf>
    <xf numFmtId="0" fontId="54" fillId="0" borderId="8" applyAlignment="1" pivotButton="0" quotePrefix="0" xfId="0">
      <alignment horizontal="center" vertical="center"/>
    </xf>
    <xf numFmtId="0" fontId="17" fillId="54" borderId="12" applyAlignment="1" pivotButton="0" quotePrefix="0" xfId="0">
      <alignment horizontal="center"/>
    </xf>
    <xf numFmtId="0" fontId="17" fillId="54" borderId="20" applyAlignment="1" pivotButton="0" quotePrefix="0" xfId="0">
      <alignment horizontal="center"/>
    </xf>
    <xf numFmtId="0" fontId="17" fillId="54" borderId="11" applyAlignment="1" pivotButton="0" quotePrefix="0" xfId="0">
      <alignment horizontal="center"/>
    </xf>
    <xf numFmtId="0" fontId="35" fillId="0" borderId="12" applyAlignment="1" pivotButton="0" quotePrefix="0" xfId="0">
      <alignment horizontal="center" vertical="center"/>
    </xf>
    <xf numFmtId="0" fontId="35" fillId="0" borderId="20" applyAlignment="1" pivotButton="0" quotePrefix="0" xfId="0">
      <alignment horizontal="center" vertical="center"/>
    </xf>
    <xf numFmtId="0" fontId="35" fillId="0" borderId="11" applyAlignment="1" pivotButton="0" quotePrefix="0" xfId="0">
      <alignment horizontal="center" vertical="center"/>
    </xf>
    <xf numFmtId="0" fontId="9" fillId="52" borderId="20" applyAlignment="1" pivotButton="0" quotePrefix="0" xfId="0">
      <alignment horizontal="center" vertical="center"/>
    </xf>
    <xf numFmtId="167" fontId="9" fillId="0" borderId="20" applyAlignment="1" pivotButton="0" quotePrefix="0" xfId="8">
      <alignment horizontal="right"/>
    </xf>
    <xf numFmtId="167" fontId="9" fillId="0" borderId="11" applyAlignment="1" pivotButton="0" quotePrefix="0" xfId="8">
      <alignment horizontal="right"/>
    </xf>
    <xf numFmtId="166" fontId="14" fillId="0" borderId="14" applyAlignment="1" pivotButton="0" quotePrefix="0" xfId="2">
      <alignment horizontal="center"/>
    </xf>
    <xf numFmtId="166" fontId="14" fillId="0" borderId="13" applyAlignment="1" pivotButton="0" quotePrefix="0" xfId="2">
      <alignment horizontal="center"/>
    </xf>
    <xf numFmtId="0" fontId="9" fillId="0" borderId="12" applyAlignment="1" pivotButton="0" quotePrefix="0" xfId="0">
      <alignment horizontal="right" vertical="top" wrapText="1"/>
    </xf>
    <xf numFmtId="0" fontId="9" fillId="0" borderId="11" applyAlignment="1" pivotButton="0" quotePrefix="0" xfId="0">
      <alignment horizontal="right" vertical="top" wrapText="1"/>
    </xf>
    <xf numFmtId="166" fontId="14" fillId="0" borderId="18" applyAlignment="1" pivotButton="0" quotePrefix="0" xfId="2">
      <alignment horizontal="center"/>
    </xf>
    <xf numFmtId="166" fontId="14" fillId="0" borderId="17" applyAlignment="1" pivotButton="0" quotePrefix="0" xfId="2">
      <alignment horizontal="center"/>
    </xf>
    <xf numFmtId="0" fontId="9" fillId="52" borderId="18" applyAlignment="1" pivotButton="0" quotePrefix="0" xfId="0">
      <alignment horizontal="center" vertical="center"/>
    </xf>
    <xf numFmtId="0" fontId="9" fillId="52" borderId="16" applyAlignment="1" pivotButton="0" quotePrefix="0" xfId="0">
      <alignment horizontal="center" vertical="center"/>
    </xf>
    <xf numFmtId="0" fontId="9" fillId="52" borderId="17" applyAlignment="1" pivotButton="0" quotePrefix="0" xfId="0">
      <alignment horizontal="center" vertical="center"/>
    </xf>
    <xf numFmtId="0" fontId="52" fillId="0" borderId="12" applyAlignment="1" pivotButton="0" quotePrefix="0" xfId="0">
      <alignment horizontal="center" vertical="center"/>
    </xf>
    <xf numFmtId="0" fontId="52" fillId="0" borderId="20" applyAlignment="1" pivotButton="0" quotePrefix="0" xfId="0">
      <alignment horizontal="center" vertical="center"/>
    </xf>
    <xf numFmtId="0" fontId="52" fillId="0" borderId="11" applyAlignment="1" pivotButton="0" quotePrefix="0" xfId="0">
      <alignment horizontal="center" vertical="center"/>
    </xf>
    <xf numFmtId="0" fontId="17" fillId="54" borderId="12" applyAlignment="1" pivotButton="0" quotePrefix="0" xfId="0">
      <alignment horizontal="center" vertical="center"/>
    </xf>
    <xf numFmtId="0" fontId="17" fillId="54" borderId="20" applyAlignment="1" pivotButton="0" quotePrefix="0" xfId="0">
      <alignment horizontal="center" vertical="center"/>
    </xf>
    <xf numFmtId="0" fontId="17" fillId="54" borderId="11" applyAlignment="1" pivotButton="0" quotePrefix="0" xfId="0">
      <alignment horizontal="center" vertical="center"/>
    </xf>
    <xf numFmtId="0" fontId="52" fillId="0" borderId="20" applyAlignment="1" pivotButton="0" quotePrefix="0" xfId="10">
      <alignment horizontal="center" vertical="center" wrapText="1"/>
    </xf>
    <xf numFmtId="0" fontId="52" fillId="0" borderId="11" applyAlignment="1" pivotButton="0" quotePrefix="0" xfId="10">
      <alignment horizontal="center" vertical="center" wrapText="1"/>
    </xf>
    <xf numFmtId="0" fontId="52" fillId="0" borderId="12" applyAlignment="1" pivotButton="0" quotePrefix="0" xfId="10">
      <alignment horizontal="center" vertical="center" wrapText="1"/>
    </xf>
    <xf numFmtId="0" fontId="0" fillId="0" borderId="29" applyAlignment="1" pivotButton="0" quotePrefix="0" xfId="0">
      <alignment horizontal="center"/>
    </xf>
    <xf numFmtId="0" fontId="0" fillId="0" borderId="29" applyAlignment="1" pivotButton="0" quotePrefix="0" xfId="0">
      <alignment horizontal="left" wrapText="1"/>
    </xf>
    <xf numFmtId="0" fontId="0" fillId="0" borderId="27" applyAlignment="1" pivotButton="0" quotePrefix="0" xfId="0">
      <alignment horizontal="left" wrapText="1"/>
    </xf>
    <xf numFmtId="0" fontId="0" fillId="0" borderId="0" applyAlignment="1" pivotButton="0" quotePrefix="0" xfId="0">
      <alignment horizontal="left" wrapText="1"/>
    </xf>
    <xf numFmtId="0" fontId="0" fillId="0" borderId="29" applyAlignment="1" pivotButton="0" quotePrefix="0" xfId="0">
      <alignment horizontal="left" vertical="center" wrapText="1"/>
    </xf>
    <xf numFmtId="0" fontId="0" fillId="0" borderId="0" applyAlignment="1" pivotButton="0" quotePrefix="0" xfId="0">
      <alignment horizontal="left" vertical="center" wrapText="1"/>
    </xf>
    <xf numFmtId="0" fontId="0" fillId="0" borderId="27" applyAlignment="1" pivotButton="0" quotePrefix="0" xfId="0">
      <alignment horizontal="left" vertical="center" wrapText="1"/>
    </xf>
    <xf numFmtId="0" fontId="9" fillId="28" borderId="0" applyAlignment="1" pivotButton="0" quotePrefix="0" xfId="0">
      <alignment horizontal="center"/>
    </xf>
    <xf numFmtId="0" fontId="9" fillId="28" borderId="13" applyAlignment="1" pivotButton="0" quotePrefix="0" xfId="0">
      <alignment horizontal="center"/>
    </xf>
    <xf numFmtId="0" fontId="0" fillId="28" borderId="14" applyAlignment="1" pivotButton="0" quotePrefix="0" xfId="0">
      <alignment horizontal="center" vertical="center"/>
    </xf>
    <xf numFmtId="0" fontId="0" fillId="28" borderId="9" applyAlignment="1" pivotButton="0" quotePrefix="0" xfId="0">
      <alignment horizontal="center" vertical="center"/>
    </xf>
    <xf numFmtId="0" fontId="0" fillId="0" borderId="14" applyAlignment="1" pivotButton="0" quotePrefix="0" xfId="0">
      <alignment horizontal="right"/>
    </xf>
    <xf numFmtId="0" fontId="0" fillId="0" borderId="0" applyAlignment="1" pivotButton="0" quotePrefix="0" xfId="0">
      <alignment horizontal="right"/>
    </xf>
    <xf numFmtId="0" fontId="20" fillId="2" borderId="12" applyAlignment="1" pivotButton="0" quotePrefix="0" xfId="1">
      <alignment horizontal="center"/>
    </xf>
    <xf numFmtId="0" fontId="20" fillId="2" borderId="20" applyAlignment="1" pivotButton="0" quotePrefix="0" xfId="1">
      <alignment horizontal="center"/>
    </xf>
    <xf numFmtId="0" fontId="20" fillId="2" borderId="11" applyAlignment="1" pivotButton="0" quotePrefix="0" xfId="1">
      <alignment horizontal="center"/>
    </xf>
    <xf numFmtId="0" fontId="20" fillId="28" borderId="12" applyAlignment="1" pivotButton="0" quotePrefix="0" xfId="1">
      <alignment horizontal="center"/>
    </xf>
    <xf numFmtId="0" fontId="20" fillId="28" borderId="20" applyAlignment="1" pivotButton="0" quotePrefix="0" xfId="1">
      <alignment horizontal="center"/>
    </xf>
    <xf numFmtId="0" fontId="20" fillId="28" borderId="11" applyAlignment="1" pivotButton="0" quotePrefix="0" xfId="1">
      <alignment horizontal="center"/>
    </xf>
    <xf numFmtId="0" fontId="0" fillId="28" borderId="14" applyAlignment="1" pivotButton="0" quotePrefix="0" xfId="0">
      <alignment horizontal="right"/>
    </xf>
    <xf numFmtId="0" fontId="0" fillId="28" borderId="0" applyAlignment="1" pivotButton="0" quotePrefix="0" xfId="0">
      <alignment horizontal="right"/>
    </xf>
    <xf numFmtId="0" fontId="0" fillId="0" borderId="14" applyAlignment="1" pivotButton="0" quotePrefix="0" xfId="0">
      <alignment horizontal="center" vertical="center"/>
    </xf>
    <xf numFmtId="0" fontId="0" fillId="0" borderId="9" applyAlignment="1" pivotButton="0" quotePrefix="0" xfId="0">
      <alignment horizontal="center" vertical="center"/>
    </xf>
    <xf numFmtId="0" fontId="9" fillId="18" borderId="12" applyAlignment="1" pivotButton="0" quotePrefix="0" xfId="1">
      <alignment horizontal="center"/>
    </xf>
    <xf numFmtId="0" fontId="9" fillId="18" borderId="20" applyAlignment="1" pivotButton="0" quotePrefix="0" xfId="1">
      <alignment horizontal="center"/>
    </xf>
    <xf numFmtId="0" fontId="9" fillId="18" borderId="11" applyAlignment="1" pivotButton="0" quotePrefix="0" xfId="1">
      <alignment horizontal="center"/>
    </xf>
    <xf numFmtId="0" fontId="9" fillId="28" borderId="12" applyAlignment="1" pivotButton="0" quotePrefix="0" xfId="1">
      <alignment horizontal="center"/>
    </xf>
    <xf numFmtId="0" fontId="9" fillId="28" borderId="20" applyAlignment="1" pivotButton="0" quotePrefix="0" xfId="1">
      <alignment horizontal="center"/>
    </xf>
    <xf numFmtId="0" fontId="9" fillId="28" borderId="11" applyAlignment="1" pivotButton="0" quotePrefix="0" xfId="1">
      <alignment horizontal="center"/>
    </xf>
    <xf numFmtId="0" fontId="9" fillId="19" borderId="12" applyAlignment="1" pivotButton="0" quotePrefix="0" xfId="1">
      <alignment horizontal="center"/>
    </xf>
    <xf numFmtId="0" fontId="9" fillId="19" borderId="20" applyAlignment="1" pivotButton="0" quotePrefix="0" xfId="1">
      <alignment horizontal="center"/>
    </xf>
    <xf numFmtId="0" fontId="9" fillId="19" borderId="11" applyAlignment="1" pivotButton="0" quotePrefix="0" xfId="1">
      <alignment horizontal="center"/>
    </xf>
    <xf numFmtId="0" fontId="9" fillId="21" borderId="12" applyAlignment="1" pivotButton="0" quotePrefix="0" xfId="1">
      <alignment horizontal="center"/>
    </xf>
    <xf numFmtId="0" fontId="9" fillId="21" borderId="20" applyAlignment="1" pivotButton="0" quotePrefix="0" xfId="1">
      <alignment horizontal="center"/>
    </xf>
    <xf numFmtId="0" fontId="9" fillId="21" borderId="11" applyAlignment="1" pivotButton="0" quotePrefix="0" xfId="1">
      <alignment horizontal="center"/>
    </xf>
    <xf numFmtId="0" fontId="9" fillId="11" borderId="12" applyAlignment="1" pivotButton="0" quotePrefix="0" xfId="1">
      <alignment horizontal="center"/>
    </xf>
    <xf numFmtId="0" fontId="9" fillId="11" borderId="20" applyAlignment="1" pivotButton="0" quotePrefix="0" xfId="1">
      <alignment horizontal="center"/>
    </xf>
    <xf numFmtId="0" fontId="9" fillId="11" borderId="11" applyAlignment="1" pivotButton="0" quotePrefix="0" xfId="1">
      <alignment horizontal="center"/>
    </xf>
    <xf numFmtId="0" fontId="9" fillId="22" borderId="12" applyAlignment="1" pivotButton="0" quotePrefix="0" xfId="1">
      <alignment horizontal="center"/>
    </xf>
    <xf numFmtId="0" fontId="9" fillId="22" borderId="20" applyAlignment="1" pivotButton="0" quotePrefix="0" xfId="1">
      <alignment horizontal="center"/>
    </xf>
    <xf numFmtId="0" fontId="9" fillId="22" borderId="11" applyAlignment="1" pivotButton="0" quotePrefix="0" xfId="1">
      <alignment horizontal="center"/>
    </xf>
    <xf numFmtId="0" fontId="9" fillId="23" borderId="12" applyAlignment="1" pivotButton="0" quotePrefix="0" xfId="1">
      <alignment horizontal="center"/>
    </xf>
    <xf numFmtId="0" fontId="9" fillId="23" borderId="20" applyAlignment="1" pivotButton="0" quotePrefix="0" xfId="1">
      <alignment horizontal="center"/>
    </xf>
    <xf numFmtId="0" fontId="9" fillId="23" borderId="11" applyAlignment="1" pivotButton="0" quotePrefix="0" xfId="1">
      <alignment horizontal="center"/>
    </xf>
    <xf numFmtId="0" fontId="9" fillId="24" borderId="12" applyAlignment="1" pivotButton="0" quotePrefix="0" xfId="1">
      <alignment horizontal="center"/>
    </xf>
    <xf numFmtId="0" fontId="9" fillId="24" borderId="20" applyAlignment="1" pivotButton="0" quotePrefix="0" xfId="1">
      <alignment horizontal="center"/>
    </xf>
    <xf numFmtId="0" fontId="9" fillId="24" borderId="11" applyAlignment="1" pivotButton="0" quotePrefix="0" xfId="1">
      <alignment horizontal="center"/>
    </xf>
    <xf numFmtId="0" fontId="9" fillId="25" borderId="12" applyAlignment="1" pivotButton="0" quotePrefix="0" xfId="1">
      <alignment horizontal="center"/>
    </xf>
    <xf numFmtId="0" fontId="9" fillId="25" borderId="20" applyAlignment="1" pivotButton="0" quotePrefix="0" xfId="1">
      <alignment horizontal="center"/>
    </xf>
    <xf numFmtId="0" fontId="9" fillId="25" borderId="11" applyAlignment="1" pivotButton="0" quotePrefix="0" xfId="1">
      <alignment horizontal="center"/>
    </xf>
    <xf numFmtId="0" fontId="0" fillId="0" borderId="14" applyAlignment="1" pivotButton="0" quotePrefix="0" xfId="0">
      <alignment horizontal="right" wrapText="1"/>
    </xf>
    <xf numFmtId="0" fontId="0" fillId="0" borderId="0" applyAlignment="1" pivotButton="0" quotePrefix="0" xfId="0">
      <alignment horizontal="right" wrapText="1"/>
    </xf>
    <xf numFmtId="0" fontId="0" fillId="0" borderId="28" applyAlignment="1" pivotButton="0" quotePrefix="0" xfId="0">
      <alignment horizontal="right" wrapText="1"/>
    </xf>
    <xf numFmtId="0" fontId="0" fillId="28" borderId="14" applyAlignment="1" pivotButton="0" quotePrefix="0" xfId="0">
      <alignment horizontal="right" wrapText="1"/>
    </xf>
    <xf numFmtId="0" fontId="0" fillId="28" borderId="0" applyAlignment="1" pivotButton="0" quotePrefix="0" xfId="0">
      <alignment horizontal="right" wrapText="1"/>
    </xf>
    <xf numFmtId="0" fontId="9" fillId="26" borderId="12" applyAlignment="1" pivotButton="0" quotePrefix="0" xfId="1">
      <alignment horizontal="center"/>
    </xf>
    <xf numFmtId="0" fontId="9" fillId="26" borderId="20" applyAlignment="1" pivotButton="0" quotePrefix="0" xfId="1">
      <alignment horizontal="center"/>
    </xf>
    <xf numFmtId="0" fontId="9" fillId="26" borderId="11" applyAlignment="1" pivotButton="0" quotePrefix="0" xfId="1">
      <alignment horizontal="center"/>
    </xf>
    <xf numFmtId="0" fontId="14" fillId="28" borderId="14" applyAlignment="1" pivotButton="0" quotePrefix="0" xfId="0">
      <alignment horizontal="right"/>
    </xf>
    <xf numFmtId="0" fontId="14" fillId="28" borderId="0" applyAlignment="1" pivotButton="0" quotePrefix="0" xfId="0">
      <alignment horizontal="right"/>
    </xf>
    <xf numFmtId="0" fontId="35" fillId="28" borderId="0" applyAlignment="1" pivotButton="0" quotePrefix="0" xfId="0">
      <alignment horizontal="center"/>
    </xf>
    <xf numFmtId="0" fontId="35" fillId="28" borderId="13" applyAlignment="1" pivotButton="0" quotePrefix="0" xfId="0">
      <alignment horizontal="center"/>
    </xf>
    <xf numFmtId="0" fontId="14" fillId="28" borderId="14" applyAlignment="1" pivotButton="0" quotePrefix="0" xfId="0">
      <alignment horizontal="center" vertical="center"/>
    </xf>
    <xf numFmtId="0" fontId="14" fillId="28" borderId="9" applyAlignment="1" pivotButton="0" quotePrefix="0" xfId="0">
      <alignment horizontal="center" vertical="center"/>
    </xf>
    <xf numFmtId="0" fontId="35" fillId="28" borderId="12" applyAlignment="1" pivotButton="0" quotePrefix="0" xfId="1">
      <alignment horizontal="center"/>
    </xf>
    <xf numFmtId="0" fontId="35" fillId="28" borderId="20" applyAlignment="1" pivotButton="0" quotePrefix="0" xfId="1">
      <alignment horizontal="center"/>
    </xf>
    <xf numFmtId="0" fontId="35" fillId="28" borderId="11" applyAlignment="1" pivotButton="0" quotePrefix="0" xfId="1">
      <alignment horizontal="center"/>
    </xf>
    <xf numFmtId="0" fontId="14" fillId="0" borderId="14" applyAlignment="1" pivotButton="0" quotePrefix="0" xfId="0">
      <alignment horizontal="right"/>
    </xf>
    <xf numFmtId="0" fontId="14" fillId="0" borderId="0" applyAlignment="1" pivotButton="0" quotePrefix="0" xfId="0">
      <alignment horizontal="right"/>
    </xf>
    <xf numFmtId="0" fontId="35" fillId="0" borderId="0" applyAlignment="1" pivotButton="0" quotePrefix="0" xfId="0">
      <alignment horizontal="center"/>
    </xf>
    <xf numFmtId="0" fontId="35" fillId="0" borderId="13" applyAlignment="1" pivotButton="0" quotePrefix="0" xfId="0">
      <alignment horizontal="center"/>
    </xf>
    <xf numFmtId="0" fontId="14" fillId="0" borderId="14" applyAlignment="1" pivotButton="0" quotePrefix="0" xfId="0">
      <alignment horizontal="center" vertical="center"/>
    </xf>
    <xf numFmtId="0" fontId="14" fillId="0" borderId="9" applyAlignment="1" pivotButton="0" quotePrefix="0" xfId="0">
      <alignment horizontal="center" vertical="center"/>
    </xf>
    <xf numFmtId="0" fontId="35" fillId="25" borderId="12" applyAlignment="1" pivotButton="0" quotePrefix="0" xfId="1">
      <alignment horizontal="center"/>
    </xf>
    <xf numFmtId="0" fontId="35" fillId="25" borderId="20" applyAlignment="1" pivotButton="0" quotePrefix="0" xfId="1">
      <alignment horizontal="center"/>
    </xf>
    <xf numFmtId="0" fontId="35" fillId="25" borderId="11" applyAlignment="1" pivotButton="0" quotePrefix="0" xfId="1">
      <alignment horizontal="center"/>
    </xf>
    <xf numFmtId="0" fontId="9" fillId="13" borderId="12" applyAlignment="1" pivotButton="0" quotePrefix="0" xfId="1">
      <alignment horizontal="center"/>
    </xf>
    <xf numFmtId="0" fontId="9" fillId="13" borderId="20" applyAlignment="1" pivotButton="0" quotePrefix="0" xfId="1">
      <alignment horizontal="center"/>
    </xf>
    <xf numFmtId="0" fontId="9" fillId="13" borderId="11" applyAlignment="1" pivotButton="0" quotePrefix="0" xfId="1">
      <alignment horizontal="center"/>
    </xf>
    <xf numFmtId="0" fontId="9" fillId="0" borderId="0" applyAlignment="1" pivotButton="0" quotePrefix="0" xfId="0">
      <alignment horizontal="center" wrapText="1"/>
    </xf>
    <xf numFmtId="0" fontId="9" fillId="18" borderId="52" applyAlignment="1" pivotButton="0" quotePrefix="0" xfId="0">
      <alignment horizontal="center"/>
    </xf>
    <xf numFmtId="0" fontId="9" fillId="18" borderId="29" applyAlignment="1" pivotButton="0" quotePrefix="0" xfId="0">
      <alignment horizontal="center"/>
    </xf>
    <xf numFmtId="0" fontId="9" fillId="18" borderId="53" applyAlignment="1" pivotButton="0" quotePrefix="0" xfId="0">
      <alignment horizontal="center"/>
    </xf>
    <xf numFmtId="0" fontId="0" fillId="0" borderId="0" applyAlignment="1" pivotButton="0" quotePrefix="0" xfId="0">
      <alignment horizontal="center" wrapText="1"/>
    </xf>
    <xf numFmtId="0" fontId="0" fillId="0" borderId="27" applyAlignment="1" pivotButton="0" quotePrefix="0" xfId="0">
      <alignment horizontal="center" wrapText="1"/>
    </xf>
    <xf numFmtId="0" fontId="68" fillId="0" borderId="0" applyAlignment="1" pivotButton="0" quotePrefix="0" xfId="0">
      <alignment horizontal="center"/>
    </xf>
    <xf numFmtId="49" fontId="1" fillId="2" borderId="0" pivotButton="0" quotePrefix="0" xfId="1"/>
    <xf numFmtId="0" fontId="1" fillId="2" borderId="0" applyAlignment="1" pivotButton="0" quotePrefix="0" xfId="1">
      <alignment horizontal="left" vertical="top"/>
    </xf>
    <xf numFmtId="0" fontId="14" fillId="2" borderId="0" applyAlignment="1" pivotButton="0" quotePrefix="0" xfId="1">
      <alignment vertical="top"/>
    </xf>
    <xf numFmtId="0" fontId="14" fillId="2" borderId="0" applyAlignment="1" pivotButton="0" quotePrefix="0" xfId="1">
      <alignment vertical="top"/>
    </xf>
    <xf numFmtId="0" fontId="1" fillId="2" borderId="3" applyAlignment="1" pivotButton="0" quotePrefix="0" xfId="1">
      <alignment horizontal="left" vertical="top"/>
    </xf>
    <xf numFmtId="0" fontId="1" fillId="2" borderId="0" pivotButton="0" quotePrefix="0" xfId="1"/>
    <xf numFmtId="0" fontId="1" fillId="2" borderId="2" pivotButton="0" quotePrefix="0" xfId="1"/>
    <xf numFmtId="0" fontId="17" fillId="25" borderId="23" applyAlignment="1" pivotButton="0" quotePrefix="0" xfId="0">
      <alignment horizontal="center" vertical="center"/>
    </xf>
    <xf numFmtId="0" fontId="0" fillId="0" borderId="63" pivotButton="0" quotePrefix="0" xfId="0"/>
    <xf numFmtId="0" fontId="9" fillId="0" borderId="23" applyAlignment="1" pivotButton="0" quotePrefix="0" xfId="0">
      <alignment horizontal="center" vertical="center"/>
    </xf>
    <xf numFmtId="0" fontId="0" fillId="0" borderId="53" pivotButton="0" quotePrefix="0" xfId="0"/>
    <xf numFmtId="0" fontId="13" fillId="6" borderId="23" applyAlignment="1" pivotButton="0" quotePrefix="0" xfId="5">
      <alignment horizontal="center" vertical="center"/>
    </xf>
    <xf numFmtId="0" fontId="0" fillId="0" borderId="65" applyAlignment="1" pivotButton="0" quotePrefix="0" xfId="0">
      <alignment horizontal="center" vertical="center"/>
    </xf>
    <xf numFmtId="0" fontId="0" fillId="0" borderId="54" pivotButton="0" quotePrefix="0" xfId="0"/>
    <xf numFmtId="0" fontId="0" fillId="0" borderId="55" pivotButton="0" quotePrefix="0" xfId="0"/>
    <xf numFmtId="0" fontId="0" fillId="0" borderId="66" applyAlignment="1" pivotButton="0" quotePrefix="0" xfId="0">
      <alignment horizontal="center" vertical="center"/>
    </xf>
    <xf numFmtId="0" fontId="0" fillId="0" borderId="28" pivotButton="0" quotePrefix="0" xfId="0"/>
    <xf numFmtId="0" fontId="15" fillId="0" borderId="23" applyAlignment="1" pivotButton="0" quotePrefix="0" xfId="0">
      <alignment horizontal="center" vertical="center"/>
    </xf>
    <xf numFmtId="0" fontId="0" fillId="0" borderId="67" applyAlignment="1" pivotButton="0" quotePrefix="0" xfId="0">
      <alignment horizontal="center" vertical="center"/>
    </xf>
    <xf numFmtId="0" fontId="9" fillId="58" borderId="65" applyAlignment="1" pivotButton="0" quotePrefix="0" xfId="0">
      <alignment horizontal="center" vertical="center"/>
    </xf>
    <xf numFmtId="0" fontId="0" fillId="0" borderId="32" pivotButton="0" quotePrefix="0" xfId="0"/>
    <xf numFmtId="22" fontId="0" fillId="0" borderId="23" applyAlignment="1" pivotButton="0" quotePrefix="0" xfId="0">
      <alignment horizontal="center" vertical="center"/>
    </xf>
    <xf numFmtId="0" fontId="0" fillId="59" borderId="23" applyAlignment="1" pivotButton="0" quotePrefix="0" xfId="0">
      <alignment vertical="center"/>
    </xf>
    <xf numFmtId="0" fontId="15" fillId="6" borderId="23" applyAlignment="1" pivotButton="0" quotePrefix="0" xfId="5">
      <alignment horizontal="center" vertical="center"/>
    </xf>
    <xf numFmtId="166" fontId="0" fillId="0" borderId="23" applyAlignment="1" pivotButton="0" quotePrefix="0" xfId="50">
      <alignment horizontal="center" vertical="center"/>
    </xf>
    <xf numFmtId="0" fontId="0" fillId="0" borderId="70" pivotButton="0" quotePrefix="0" xfId="0"/>
    <xf numFmtId="0" fontId="0" fillId="0" borderId="68" applyAlignment="1" pivotButton="0" quotePrefix="0" xfId="0">
      <alignment horizontal="center"/>
    </xf>
    <xf numFmtId="0" fontId="0" fillId="0" borderId="58" pivotButton="0" quotePrefix="0" xfId="0"/>
    <xf numFmtId="0" fontId="0" fillId="0" borderId="59" pivotButton="0" quotePrefix="0" xfId="0"/>
    <xf numFmtId="166" fontId="0" fillId="0" borderId="0" pivotButton="0" quotePrefix="0" xfId="0"/>
    <xf numFmtId="0" fontId="0" fillId="0" borderId="60" pivotButton="0" quotePrefix="0" xfId="0"/>
    <xf numFmtId="166" fontId="0" fillId="0" borderId="0" applyAlignment="1" pivotButton="0" quotePrefix="0" xfId="0">
      <alignment horizontal="right"/>
    </xf>
    <xf numFmtId="0" fontId="9" fillId="0" borderId="15" applyAlignment="1" pivotButton="0" quotePrefix="0" xfId="0">
      <alignment horizontal="center"/>
    </xf>
    <xf numFmtId="0" fontId="0" fillId="0" borderId="23" applyAlignment="1" pivotButton="0" quotePrefix="0" xfId="0">
      <alignment horizontal="center" vertical="center" wrapText="1"/>
    </xf>
    <xf numFmtId="166" fontId="60" fillId="0" borderId="0" applyAlignment="1" pivotButton="0" quotePrefix="0" xfId="8">
      <alignment horizontal="right"/>
    </xf>
    <xf numFmtId="166" fontId="60" fillId="0" borderId="0" pivotButton="0" quotePrefix="0" xfId="8"/>
    <xf numFmtId="0" fontId="0" fillId="0" borderId="20" pivotButton="0" quotePrefix="0" xfId="0"/>
    <xf numFmtId="0" fontId="43" fillId="11" borderId="19" applyAlignment="1" pivotButton="0" quotePrefix="0" xfId="0">
      <alignment horizontal="center"/>
    </xf>
    <xf numFmtId="0" fontId="0" fillId="0" borderId="11" pivotButton="0" quotePrefix="0" xfId="0"/>
    <xf numFmtId="0" fontId="9" fillId="52" borderId="15" applyAlignment="1" pivotButton="0" quotePrefix="0" xfId="0">
      <alignment horizontal="center" vertical="center"/>
    </xf>
    <xf numFmtId="0" fontId="52" fillId="0" borderId="19" applyAlignment="1" pivotButton="0" quotePrefix="0" xfId="10">
      <alignment horizontal="center" vertical="center" wrapText="1"/>
    </xf>
    <xf numFmtId="0" fontId="42" fillId="0" borderId="19" applyAlignment="1" pivotButton="0" quotePrefix="0" xfId="0">
      <alignment horizontal="center" vertical="center" wrapText="1"/>
    </xf>
    <xf numFmtId="0" fontId="5" fillId="0" borderId="19" applyAlignment="1" pivotButton="0" quotePrefix="0" xfId="0">
      <alignment horizontal="center" vertical="center"/>
    </xf>
    <xf numFmtId="0" fontId="5" fillId="0" borderId="19" applyAlignment="1" pivotButton="0" quotePrefix="0" xfId="9">
      <alignment horizontal="center" vertical="center"/>
    </xf>
    <xf numFmtId="165" fontId="5" fillId="0" borderId="11" applyAlignment="1" pivotButton="0" quotePrefix="0" xfId="9">
      <alignment horizontal="center" vertical="center"/>
    </xf>
    <xf numFmtId="0" fontId="24" fillId="0" borderId="19" applyAlignment="1" pivotButton="0" quotePrefix="0" xfId="0">
      <alignment horizontal="center" vertical="center" wrapText="1"/>
    </xf>
    <xf numFmtId="0" fontId="35" fillId="0" borderId="19" applyAlignment="1" pivotButton="0" quotePrefix="0" xfId="0">
      <alignment horizontal="center" vertical="center"/>
    </xf>
    <xf numFmtId="0" fontId="17" fillId="54" borderId="19" applyAlignment="1" pivotButton="0" quotePrefix="0" xfId="0">
      <alignment horizontal="center" vertical="center"/>
    </xf>
    <xf numFmtId="0" fontId="0" fillId="0" borderId="6" pivotButton="0" quotePrefix="0" xfId="0"/>
    <xf numFmtId="0" fontId="0" fillId="0" borderId="7" pivotButton="0" quotePrefix="0" xfId="0"/>
    <xf numFmtId="0" fontId="9" fillId="0" borderId="15" applyAlignment="1" pivotButton="0" quotePrefix="0" xfId="0">
      <alignment horizontal="center" vertical="top" wrapText="1"/>
    </xf>
    <xf numFmtId="166" fontId="14" fillId="0" borderId="15" pivotButton="0" quotePrefix="0" xfId="8"/>
    <xf numFmtId="166" fontId="14" fillId="0" borderId="7" pivotButton="0" quotePrefix="0" xfId="8"/>
    <xf numFmtId="166" fontId="14" fillId="0" borderId="18" pivotButton="0" quotePrefix="0" xfId="2"/>
    <xf numFmtId="166" fontId="14" fillId="0" borderId="15" pivotButton="0" quotePrefix="0" xfId="2"/>
    <xf numFmtId="166" fontId="14" fillId="0" borderId="18" applyAlignment="1" pivotButton="0" quotePrefix="0" xfId="8">
      <alignment horizontal="right"/>
    </xf>
    <xf numFmtId="166" fontId="14" fillId="0" borderId="15" applyAlignment="1" pivotButton="0" quotePrefix="0" xfId="2">
      <alignment horizontal="center"/>
    </xf>
    <xf numFmtId="0" fontId="24" fillId="0" borderId="19" applyAlignment="1" pivotButton="0" quotePrefix="0" xfId="0">
      <alignment horizontal="center" vertical="top" wrapText="1"/>
    </xf>
    <xf numFmtId="0" fontId="9" fillId="0" borderId="15" applyAlignment="1" pivotButton="0" quotePrefix="0" xfId="0">
      <alignment horizontal="center" vertical="center"/>
    </xf>
    <xf numFmtId="166" fontId="5" fillId="0" borderId="23" pivotButton="0" quotePrefix="0" xfId="8"/>
    <xf numFmtId="166" fontId="5" fillId="0" borderId="7" pivotButton="0" quotePrefix="0" xfId="8"/>
    <xf numFmtId="166" fontId="14" fillId="0" borderId="14" pivotButton="0" quotePrefix="0" xfId="2"/>
    <xf numFmtId="166" fontId="14" fillId="0" borderId="7" pivotButton="0" quotePrefix="0" xfId="2"/>
    <xf numFmtId="166" fontId="14" fillId="0" borderId="7" applyAlignment="1" pivotButton="0" quotePrefix="0" xfId="2">
      <alignment horizontal="center"/>
    </xf>
    <xf numFmtId="166" fontId="0" fillId="0" borderId="14" pivotButton="0" quotePrefix="0" xfId="8"/>
    <xf numFmtId="166" fontId="5" fillId="0" borderId="7" applyAlignment="1" pivotButton="0" quotePrefix="0" xfId="8">
      <alignment horizontal="center"/>
    </xf>
    <xf numFmtId="0" fontId="9" fillId="0" borderId="6" applyAlignment="1" pivotButton="0" quotePrefix="0" xfId="0">
      <alignment horizontal="center" vertical="center"/>
    </xf>
    <xf numFmtId="166" fontId="5" fillId="0" borderId="14" pivotButton="0" quotePrefix="0" xfId="8"/>
    <xf numFmtId="166" fontId="5" fillId="0" borderId="6" pivotButton="0" quotePrefix="0" xfId="8"/>
    <xf numFmtId="166" fontId="5" fillId="0" borderId="9" pivotButton="0" quotePrefix="0" xfId="8"/>
    <xf numFmtId="166" fontId="5" fillId="0" borderId="6" pivotButton="0" quotePrefix="0" xfId="0"/>
    <xf numFmtId="166" fontId="14" fillId="0" borderId="6" pivotButton="0" quotePrefix="0" xfId="2"/>
    <xf numFmtId="166" fontId="5" fillId="0" borderId="6" applyAlignment="1" pivotButton="0" quotePrefix="0" xfId="8">
      <alignment horizontal="center"/>
    </xf>
    <xf numFmtId="166" fontId="5" fillId="12" borderId="7" applyAlignment="1" pivotButton="0" quotePrefix="0" xfId="8">
      <alignment horizontal="center"/>
    </xf>
    <xf numFmtId="166" fontId="5" fillId="12" borderId="13" applyAlignment="1" pivotButton="0" quotePrefix="0" xfId="8">
      <alignment horizontal="center"/>
    </xf>
    <xf numFmtId="166" fontId="5" fillId="0" borderId="13" applyAlignment="1" pivotButton="0" quotePrefix="0" xfId="8">
      <alignment horizontal="center"/>
    </xf>
    <xf numFmtId="0" fontId="48" fillId="0" borderId="6" applyAlignment="1" pivotButton="0" quotePrefix="0" xfId="0">
      <alignment horizontal="center" vertical="center" wrapText="1"/>
    </xf>
    <xf numFmtId="0" fontId="35" fillId="0" borderId="19" applyAlignment="1" pivotButton="0" quotePrefix="0" xfId="0">
      <alignment horizontal="center" vertical="center" wrapText="1"/>
    </xf>
    <xf numFmtId="166" fontId="55" fillId="0" borderId="19" applyAlignment="1" pivotButton="0" quotePrefix="0" xfId="8">
      <alignment horizontal="center" vertical="center"/>
    </xf>
    <xf numFmtId="167" fontId="9" fillId="0" borderId="11" applyAlignment="1" pivotButton="0" quotePrefix="0" xfId="8">
      <alignment horizontal="right"/>
    </xf>
    <xf numFmtId="0" fontId="51" fillId="0" borderId="12" applyAlignment="1" pivotButton="0" quotePrefix="0" xfId="0">
      <alignment horizontal="center" vertical="center" wrapText="1"/>
    </xf>
    <xf numFmtId="0" fontId="54" fillId="0" borderId="19" applyAlignment="1" pivotButton="0" quotePrefix="0" xfId="0">
      <alignment horizontal="center" vertical="center"/>
    </xf>
    <xf numFmtId="166" fontId="5" fillId="0" borderId="8" applyAlignment="1" pivotButton="0" quotePrefix="0" xfId="8">
      <alignment horizontal="center"/>
    </xf>
    <xf numFmtId="0" fontId="16" fillId="0" borderId="19" applyAlignment="1" pivotButton="0" quotePrefix="0" xfId="10">
      <alignment horizontal="center" vertical="center" wrapText="1"/>
    </xf>
    <xf numFmtId="0" fontId="23" fillId="0" borderId="19" applyAlignment="1" pivotButton="0" quotePrefix="0" xfId="10">
      <alignment horizontal="center" vertical="center" wrapText="1"/>
    </xf>
    <xf numFmtId="0" fontId="13" fillId="0" borderId="19" applyAlignment="1" pivotButton="0" quotePrefix="0" xfId="0">
      <alignment horizontal="center" vertical="center"/>
    </xf>
    <xf numFmtId="0" fontId="5" fillId="0" borderId="12" applyAlignment="1" pivotButton="0" quotePrefix="0" xfId="0">
      <alignment horizontal="center"/>
    </xf>
    <xf numFmtId="0" fontId="17" fillId="54" borderId="19" applyAlignment="1" pivotButton="0" quotePrefix="0" xfId="0">
      <alignment horizontal="center"/>
    </xf>
    <xf numFmtId="166" fontId="14" fillId="0" borderId="0" pivotButton="0" quotePrefix="0" xfId="2"/>
    <xf numFmtId="166" fontId="0" fillId="12" borderId="0" pivotButton="0" quotePrefix="0" xfId="8"/>
    <xf numFmtId="166" fontId="5" fillId="12" borderId="0" pivotButton="0" quotePrefix="0" xfId="8"/>
    <xf numFmtId="166" fontId="5" fillId="12" borderId="0" applyAlignment="1" pivotButton="0" quotePrefix="0" xfId="8">
      <alignment horizontal="right"/>
    </xf>
    <xf numFmtId="166" fontId="14" fillId="0" borderId="0" applyAlignment="1" pivotButton="0" quotePrefix="0" xfId="2">
      <alignment horizontal="right"/>
    </xf>
    <xf numFmtId="166" fontId="5" fillId="0" borderId="0" pivotButton="0" quotePrefix="0" xfId="8"/>
    <xf numFmtId="166" fontId="5" fillId="0" borderId="0" applyAlignment="1" pivotButton="0" quotePrefix="0" xfId="8">
      <alignment horizontal="right"/>
    </xf>
    <xf numFmtId="166" fontId="14" fillId="0" borderId="0" applyAlignment="1" pivotButton="0" quotePrefix="0" xfId="8">
      <alignment horizontal="right"/>
    </xf>
    <xf numFmtId="165" fontId="5" fillId="12" borderId="0" applyAlignment="1" pivotButton="0" quotePrefix="0" xfId="9">
      <alignment horizontal="right"/>
    </xf>
    <xf numFmtId="166" fontId="32" fillId="12" borderId="0" applyAlignment="1" pivotButton="0" quotePrefix="0" xfId="8">
      <alignment horizontal="right"/>
    </xf>
    <xf numFmtId="166" fontId="5" fillId="0" borderId="0" pivotButton="0" quotePrefix="0" xfId="0"/>
    <xf numFmtId="166" fontId="5" fillId="0" borderId="10" pivotButton="0" quotePrefix="0" xfId="8"/>
    <xf numFmtId="167" fontId="1" fillId="2" borderId="0" pivotButton="0" quotePrefix="0" xfId="1"/>
    <xf numFmtId="0" fontId="9" fillId="0" borderId="19" applyAlignment="1" pivotButton="0" quotePrefix="0" xfId="0">
      <alignment horizontal="center"/>
    </xf>
    <xf numFmtId="166" fontId="47" fillId="0" borderId="15" applyAlignment="1" pivotButton="0" quotePrefix="0" xfId="8">
      <alignment horizontal="center" vertical="center"/>
    </xf>
    <xf numFmtId="0" fontId="5" fillId="0" borderId="19" applyAlignment="1" pivotButton="0" quotePrefix="0" xfId="0">
      <alignment horizontal="right" vertical="top"/>
    </xf>
    <xf numFmtId="2" fontId="12" fillId="0" borderId="11" applyAlignment="1" pivotButton="0" quotePrefix="0" xfId="0">
      <alignment horizontal="right" vertical="top"/>
    </xf>
    <xf numFmtId="0" fontId="35" fillId="0" borderId="6" applyAlignment="1" pivotButton="0" quotePrefix="0" xfId="0">
      <alignment horizontal="center" vertical="center" wrapText="1"/>
    </xf>
    <xf numFmtId="166" fontId="47" fillId="0" borderId="19" applyAlignment="1" pivotButton="0" quotePrefix="0" xfId="8">
      <alignment horizontal="center" vertical="center"/>
    </xf>
    <xf numFmtId="166" fontId="47" fillId="0" borderId="6" applyAlignment="1" pivotButton="0" quotePrefix="0" xfId="8">
      <alignment horizontal="center" vertical="center"/>
    </xf>
    <xf numFmtId="166" fontId="11" fillId="0" borderId="0" pivotButton="0" quotePrefix="0" xfId="8"/>
    <xf numFmtId="165" fontId="5" fillId="0" borderId="0" pivotButton="0" quotePrefix="0" xfId="8"/>
    <xf numFmtId="165" fontId="5" fillId="0" borderId="0" pivotButton="0" quotePrefix="0" xfId="0"/>
    <xf numFmtId="164" fontId="10" fillId="10" borderId="5" applyAlignment="1" pivotButton="0" quotePrefix="0" xfId="0">
      <alignment horizontal="right" vertical="top"/>
    </xf>
    <xf numFmtId="164" fontId="10" fillId="9" borderId="5" applyAlignment="1" pivotButton="0" quotePrefix="0" xfId="0">
      <alignment horizontal="right" vertical="top"/>
    </xf>
    <xf numFmtId="0" fontId="0" fillId="0" borderId="30" applyAlignment="1" pivotButton="0" quotePrefix="0" xfId="0">
      <alignment horizontal="left" wrapText="1"/>
    </xf>
    <xf numFmtId="0" fontId="0" fillId="0" borderId="30" applyAlignment="1" pivotButton="0" quotePrefix="0" xfId="0">
      <alignment horizontal="center" vertical="center" wrapText="1"/>
    </xf>
    <xf numFmtId="0" fontId="0" fillId="0" borderId="30" applyAlignment="1" pivotButton="0" quotePrefix="0" xfId="0">
      <alignment horizontal="left" vertical="center" wrapText="1"/>
    </xf>
    <xf numFmtId="0" fontId="20" fillId="28" borderId="19" applyAlignment="1" pivotButton="0" quotePrefix="0" xfId="1">
      <alignment horizontal="center"/>
    </xf>
    <xf numFmtId="0" fontId="20" fillId="2" borderId="19" applyAlignment="1" pivotButton="0" quotePrefix="0" xfId="1">
      <alignment horizontal="center"/>
    </xf>
    <xf numFmtId="166" fontId="14" fillId="28" borderId="19" pivotButton="0" quotePrefix="0" xfId="8"/>
    <xf numFmtId="166" fontId="5" fillId="0" borderId="19" pivotButton="0" quotePrefix="0" xfId="8"/>
    <xf numFmtId="166" fontId="14" fillId="28" borderId="6" pivotButton="0" quotePrefix="0" xfId="8"/>
    <xf numFmtId="166" fontId="0" fillId="28" borderId="8" pivotButton="0" quotePrefix="0" xfId="8"/>
    <xf numFmtId="166" fontId="0" fillId="0" borderId="8" pivotButton="0" quotePrefix="0" xfId="8"/>
    <xf numFmtId="165" fontId="0" fillId="0" borderId="19" pivotButton="0" quotePrefix="0" xfId="9"/>
    <xf numFmtId="166" fontId="0" fillId="0" borderId="0" pivotButton="0" quotePrefix="0" xfId="8"/>
    <xf numFmtId="0" fontId="9" fillId="28" borderId="19" applyAlignment="1" pivotButton="0" quotePrefix="0" xfId="1">
      <alignment horizontal="center"/>
    </xf>
    <xf numFmtId="0" fontId="9" fillId="18" borderId="19" applyAlignment="1" pivotButton="0" quotePrefix="0" xfId="1">
      <alignment horizontal="center"/>
    </xf>
    <xf numFmtId="166" fontId="5" fillId="28" borderId="19" pivotButton="0" quotePrefix="0" xfId="8"/>
    <xf numFmtId="165" fontId="14" fillId="0" borderId="19" pivotButton="0" quotePrefix="0" xfId="9"/>
    <xf numFmtId="166" fontId="0" fillId="28" borderId="0" pivotButton="0" quotePrefix="0" xfId="0"/>
    <xf numFmtId="165" fontId="0" fillId="0" borderId="0" pivotButton="0" quotePrefix="0" xfId="0"/>
    <xf numFmtId="0" fontId="9" fillId="19" borderId="19" applyAlignment="1" pivotButton="0" quotePrefix="0" xfId="1">
      <alignment horizontal="center"/>
    </xf>
    <xf numFmtId="0" fontId="9" fillId="21" borderId="19" applyAlignment="1" pivotButton="0" quotePrefix="0" xfId="1">
      <alignment horizontal="center"/>
    </xf>
    <xf numFmtId="0" fontId="9" fillId="11" borderId="19" applyAlignment="1" pivotButton="0" quotePrefix="0" xfId="1">
      <alignment horizontal="center"/>
    </xf>
    <xf numFmtId="0" fontId="9" fillId="22" borderId="19" applyAlignment="1" pivotButton="0" quotePrefix="0" xfId="1">
      <alignment horizontal="center"/>
    </xf>
    <xf numFmtId="0" fontId="9" fillId="23" borderId="19" applyAlignment="1" pivotButton="0" quotePrefix="0" xfId="1">
      <alignment horizontal="center"/>
    </xf>
    <xf numFmtId="0" fontId="9" fillId="24" borderId="19" applyAlignment="1" pivotButton="0" quotePrefix="0" xfId="1">
      <alignment horizontal="center"/>
    </xf>
    <xf numFmtId="0" fontId="9" fillId="25" borderId="19" applyAlignment="1" pivotButton="0" quotePrefix="0" xfId="1">
      <alignment horizontal="center"/>
    </xf>
    <xf numFmtId="0" fontId="0" fillId="0" borderId="58" applyAlignment="1" pivotButton="0" quotePrefix="0" xfId="0">
      <alignment horizontal="right" wrapText="1"/>
    </xf>
    <xf numFmtId="0" fontId="9" fillId="26" borderId="19" applyAlignment="1" pivotButton="0" quotePrefix="0" xfId="1">
      <alignment horizontal="center"/>
    </xf>
    <xf numFmtId="0" fontId="35" fillId="28" borderId="19" applyAlignment="1" pivotButton="0" quotePrefix="0" xfId="1">
      <alignment horizontal="center"/>
    </xf>
    <xf numFmtId="165" fontId="14" fillId="28" borderId="19" pivotButton="0" quotePrefix="0" xfId="9"/>
    <xf numFmtId="166" fontId="14" fillId="28" borderId="0" pivotButton="0" quotePrefix="0" xfId="0"/>
    <xf numFmtId="166" fontId="14" fillId="28" borderId="8" pivotButton="0" quotePrefix="0" xfId="8"/>
    <xf numFmtId="166" fontId="14" fillId="0" borderId="0" pivotButton="0" quotePrefix="0" xfId="8"/>
    <xf numFmtId="0" fontId="35" fillId="25" borderId="19" applyAlignment="1" pivotButton="0" quotePrefix="0" xfId="1">
      <alignment horizontal="center"/>
    </xf>
    <xf numFmtId="166" fontId="14" fillId="0" borderId="0" pivotButton="0" quotePrefix="0" xfId="0"/>
    <xf numFmtId="165" fontId="14" fillId="0" borderId="0" pivotButton="0" quotePrefix="0" xfId="0"/>
    <xf numFmtId="166" fontId="14" fillId="0" borderId="8" pivotButton="0" quotePrefix="0" xfId="8"/>
    <xf numFmtId="0" fontId="9" fillId="13" borderId="19" applyAlignment="1" pivotButton="0" quotePrefix="0" xfId="1">
      <alignment horizontal="center"/>
    </xf>
    <xf numFmtId="168" fontId="66" fillId="0" borderId="0" pivotButton="0" quotePrefix="0" xfId="0"/>
    <xf numFmtId="170" fontId="0" fillId="0" borderId="0" pivotButton="0" quotePrefix="0" xfId="0"/>
    <xf numFmtId="171" fontId="0" fillId="0" borderId="0" pivotButton="0" quotePrefix="0" xfId="52"/>
    <xf numFmtId="169" fontId="0" fillId="0" borderId="23" applyAlignment="1" pivotButton="0" quotePrefix="0" xfId="51">
      <alignment horizontal="center"/>
    </xf>
    <xf numFmtId="169" fontId="14" fillId="0" borderId="23" applyAlignment="1" pivotButton="0" quotePrefix="0" xfId="51">
      <alignment horizontal="center"/>
    </xf>
  </cellXfs>
  <cellStyles count="54">
    <cellStyle name="Normal" xfId="0" builtinId="0"/>
    <cellStyle name="Good" xfId="1" builtinId="26"/>
    <cellStyle name="Bad" xfId="2" builtinId="27"/>
    <cellStyle name="Neutral" xfId="3" builtinId="28"/>
    <cellStyle name="Calculation" xfId="4" builtinId="22"/>
    <cellStyle name="20% - Accent1" xfId="5" builtinId="30"/>
    <cellStyle name="Accent2" xfId="6" builtinId="33"/>
    <cellStyle name="Accent1" xfId="7" builtinId="29"/>
    <cellStyle name="Currency 2" xfId="8"/>
    <cellStyle name="Currency" xfId="9" builtinId="4"/>
    <cellStyle name="20% - Accent5" xfId="10" builtinId="46"/>
    <cellStyle name="Title" xfId="11" builtinId="15"/>
    <cellStyle name="Heading 1" xfId="12" builtinId="16"/>
    <cellStyle name="Heading 2" xfId="13" builtinId="17"/>
    <cellStyle name="Heading 3" xfId="14" builtinId="18"/>
    <cellStyle name="Heading 4" xfId="15" builtinId="19"/>
    <cellStyle name="Input" xfId="16" builtinId="20"/>
    <cellStyle name="Output" xfId="17" builtinId="21"/>
    <cellStyle name="Linked Cell" xfId="18" builtinId="24"/>
    <cellStyle name="Check Cell" xfId="19" builtinId="23"/>
    <cellStyle name="Warning Text" xfId="20" builtinId="11"/>
    <cellStyle name="Note" xfId="21" builtinId="10"/>
    <cellStyle name="Explanatory Text" xfId="22" builtinId="53"/>
    <cellStyle name="Total" xfId="23" builtinId="25"/>
    <cellStyle name="40% - Accent1" xfId="24" builtinId="31"/>
    <cellStyle name="60% - Accent1" xfId="25" builtinId="32"/>
    <cellStyle name="20% - Accent2" xfId="26" builtinId="34"/>
    <cellStyle name="40% - Accent2" xfId="27" builtinId="35"/>
    <cellStyle name="60% - Accent2" xfId="28" builtinId="36"/>
    <cellStyle name="Accent3" xfId="29" builtinId="37"/>
    <cellStyle name="20% - Accent3" xfId="30" builtinId="38"/>
    <cellStyle name="40% - Accent3" xfId="31" builtinId="39"/>
    <cellStyle name="60% - Accent3" xfId="32" builtinId="40"/>
    <cellStyle name="Accent4" xfId="33" builtinId="41"/>
    <cellStyle name="20% - Accent4" xfId="34" builtinId="42"/>
    <cellStyle name="40% - Accent4" xfId="35" builtinId="43"/>
    <cellStyle name="60% - Accent4" xfId="36" builtinId="44"/>
    <cellStyle name="Accent5" xfId="37" builtinId="45"/>
    <cellStyle name="40% - Accent5" xfId="38" builtinId="47"/>
    <cellStyle name="60% - Accent5" xfId="39" builtinId="48"/>
    <cellStyle name="Accent6" xfId="40" builtinId="49"/>
    <cellStyle name="20% - Accent6" xfId="41" builtinId="50"/>
    <cellStyle name="40% - Accent6" xfId="42" builtinId="51"/>
    <cellStyle name="60% - Accent6" xfId="43" builtinId="52"/>
    <cellStyle name="Currency 2 2" xfId="44"/>
    <cellStyle name="Currency 2 3" xfId="45"/>
    <cellStyle name="Currency 2 4" xfId="46"/>
    <cellStyle name="Currency 2 2 2" xfId="47"/>
    <cellStyle name="Currency 2 3 2" xfId="48"/>
    <cellStyle name="Normal 2" xfId="49"/>
    <cellStyle name="Comma 2" xfId="50"/>
    <cellStyle name="Comma" xfId="51" builtinId="3"/>
    <cellStyle name="Percent" xfId="52" builtinId="5"/>
    <cellStyle name="Hyperlink" xfId="53" builtinId="8"/>
  </cellStyles>
  <dxfs count="25">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rgb="FFFF0000"/>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externalLink" Target="/xl/externalLinks/externalLink1.xml" Id="rId28" /><Relationship Type="http://schemas.openxmlformats.org/officeDocument/2006/relationships/externalLink" Target="/xl/externalLinks/externalLink2.xml" Id="rId29" /><Relationship Type="http://schemas.openxmlformats.org/officeDocument/2006/relationships/externalLink" Target="/xl/externalLinks/externalLink3.xml" Id="rId30" /><Relationship Type="http://schemas.openxmlformats.org/officeDocument/2006/relationships/styles" Target="styles.xml" Id="rId31" /><Relationship Type="http://schemas.openxmlformats.org/officeDocument/2006/relationships/theme" Target="theme/theme1.xml" Id="rId32" /><Relationship Type="http://schemas.microsoft.com/office/2006/relationships/vbaProject" Target="vbaProject.bin" Id="rId33"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comments/comment1.xml><?xml version="1.0" encoding="utf-8"?>
<comments xmlns="http://schemas.openxmlformats.org/spreadsheetml/2006/main">
  <authors>
    <author>New User</author>
  </authors>
  <commentList>
    <comment ref="I5" authorId="0" shapeId="0">
      <text>
        <t>Spence:
Please input the last year that the child is "approved" for the DTC.
Example: If a child was approved from 2015 to 2025, then you would input 2025 as the "DTC Approval End" year</t>
      </text>
    </comment>
  </commentList>
</comments>
</file>

<file path=xl/comments/comment2.xml><?xml version="1.0" encoding="utf-8"?>
<comments xmlns="http://schemas.openxmlformats.org/spreadsheetml/2006/main">
  <authors>
    <author>New User</author>
  </authors>
  <commentList>
    <comment ref="F4" authorId="0" shapeId="0">
      <text>
        <t>New User:
Nicole has noted that the CRA pays the benefit on the month of their 18th birthday, so that month is included in our calculation</t>
      </text>
    </comment>
    <comment ref="F76" authorId="0" shapeId="0">
      <text>
        <t>New User:
Nicole has noted that the CRA pays the benefit on the month of their 18th birthday, so that month is included in our calculation</t>
      </text>
    </comment>
    <comment ref="F112" authorId="0" shapeId="0">
      <text>
        <t>New User:
Nicole has noted that the CRA pays the benefit on the month of their 18th birthday, so that month is included in our calculation</t>
      </text>
    </comment>
    <comment ref="F148" authorId="0" shapeId="0">
      <text>
        <t>New User:
Nicole has noted that the CRA pays the benefit on the month of their 18th birthday, so that month is included in our calculation</t>
      </text>
    </comment>
    <comment ref="F184" authorId="0" shapeId="0">
      <text>
        <t>New User:
Nicole has noted that the CRA pays the benefit on the month of their 18th birthday, so that month is included in our calculation</t>
      </text>
    </comment>
    <comment ref="F220" authorId="0" shapeId="0">
      <text>
        <t>New User:
Nicole has noted that the CRA pays the benefit on the month of their 18th birthday, so that month is included in our calculation</t>
      </text>
    </comment>
    <comment ref="F256" authorId="0" shapeId="0">
      <text>
        <t>New User:
Nicole has noted that the CRA pays the benefit on the month of their 18th birthday, so that month is included in our calculation</t>
      </text>
    </comment>
  </commentList>
</comments>
</file>

<file path=xl/comments/comment3.xml><?xml version="1.0" encoding="utf-8"?>
<comments xmlns="http://schemas.openxmlformats.org/spreadsheetml/2006/main">
  <authors>
    <author>New User</author>
  </authors>
  <commentList>
    <comment ref="B55" authorId="0" shapeId="0">
      <text>
        <t xml:space="preserve">New User:
This line will update based on the "Invoice Date" inputted on the Summary Page
</t>
      </text>
    </comment>
  </commentList>
</comments>
</file>

<file path=xl/ctrlProps/ctrlProp1.xml><?xml version="1.0" encoding="utf-8"?>
<formControlPr xmlns="http://schemas.microsoft.com/office/spreadsheetml/2009/9/main" objectType="CheckBox" checked="Checked" fmlaLink="$A$9" lockText="1" noThreeD="1"/>
</file>

<file path=xl/ctrlProps/ctrlProp2.xml><?xml version="1.0" encoding="utf-8"?>
<formControlPr xmlns="http://schemas.microsoft.com/office/spreadsheetml/2009/9/main" objectType="CheckBox" checked="Checked" fmlaLink="A10" lockText="1" noThreeD="1"/>
</file>

<file path=xl/ctrlProps/ctrlProp3.xml><?xml version="1.0" encoding="utf-8"?>
<formControlPr xmlns="http://schemas.microsoft.com/office/spreadsheetml/2009/9/main" objectType="CheckBox" checked="Checked" fmlaLink="$A$11" lockText="1" noThreeD="1"/>
</file>

<file path=xl/ctrlProps/ctrlProp4.xml><?xml version="1.0" encoding="utf-8"?>
<formControlPr xmlns="http://schemas.microsoft.com/office/spreadsheetml/2009/9/main" objectType="CheckBox" checked="Checked" fmlaLink="$A$12" lockText="1" noThreeD="1"/>
</file>

<file path=xl/ctrlProps/ctrlProp5.xml><?xml version="1.0" encoding="utf-8"?>
<formControlPr xmlns="http://schemas.microsoft.com/office/spreadsheetml/2009/9/main" objectType="CheckBox" fmlaLink="$A$13" lockText="1" noThreeD="1"/>
</file>

<file path=xl/ctrlProps/ctrlProp6.xml><?xml version="1.0" encoding="utf-8"?>
<formControlPr xmlns="http://schemas.microsoft.com/office/spreadsheetml/2009/9/main" objectType="CheckBox" fmlaLink="$A$14" lockText="1" noThreeD="1"/>
</file>

<file path=xl/ctrlProps/ctrlProp7.xml><?xml version="1.0" encoding="utf-8"?>
<formControlPr xmlns="http://schemas.microsoft.com/office/spreadsheetml/2009/9/main" objectType="CheckBox" fmlaLink="$A$15" lockText="1" noThreeD="1"/>
</file>

<file path=xl/ctrlProps/ctrlProp8.xml><?xml version="1.0" encoding="utf-8"?>
<formControlPr xmlns="http://schemas.microsoft.com/office/spreadsheetml/2009/9/main" objectType="CheckBox" fmlaLink="$A$16" lockText="1" noThreeD="1"/>
</file>

<file path=xl/ctrlProps/ctrlProp9.xml><?xml version="1.0" encoding="utf-8"?>
<formControlPr xmlns="http://schemas.microsoft.com/office/spreadsheetml/2009/9/main" objectType="CheckBox" fmlaLink="$A$17" lockText="1" noThreeD="1"/>
</file>

<file path=xl/ctrlProps/ctrlProp10.xml><?xml version="1.0" encoding="utf-8"?>
<formControlPr xmlns="http://schemas.microsoft.com/office/spreadsheetml/2009/9/main" objectType="CheckBox" checked="Checked" fmlaLink="$A$8" lockText="1" noThreeD="1"/>
</file>

<file path=xl/ctrlProps/ctrlProp11.xml><?xml version="1.0" encoding="utf-8"?>
<formControlPr xmlns="http://schemas.microsoft.com/office/spreadsheetml/2009/9/main" objectType="CheckBox" checked="Checked" fmlaLink="$A$9" lockText="1" noThreeD="1"/>
</file>

<file path=xl/ctrlProps/ctrlProp12.xml><?xml version="1.0" encoding="utf-8"?>
<formControlPr xmlns="http://schemas.microsoft.com/office/spreadsheetml/2009/9/main" objectType="CheckBox" checked="Checked" fmlaLink="$A$10" lockText="1" noThreeD="1"/>
</file>

<file path=xl/ctrlProps/ctrlProp13.xml><?xml version="1.0" encoding="utf-8"?>
<formControlPr xmlns="http://schemas.microsoft.com/office/spreadsheetml/2009/9/main" objectType="CheckBox" checked="Checked" fmlaLink="$A$11" lockText="1" noThreeD="1"/>
</file>

<file path=xl/ctrlProps/ctrlProp14.xml><?xml version="1.0" encoding="utf-8"?>
<formControlPr xmlns="http://schemas.microsoft.com/office/spreadsheetml/2009/9/main" objectType="CheckBox" checked="Checked" fmlaLink="$A$12" lockText="1" noThreeD="1"/>
</file>

<file path=xl/ctrlProps/ctrlProp15.xml><?xml version="1.0" encoding="utf-8"?>
<formControlPr xmlns="http://schemas.microsoft.com/office/spreadsheetml/2009/9/main" objectType="CheckBox" fmlaLink="$A$13" lockText="1" noThreeD="1"/>
</file>

<file path=xl/ctrlProps/ctrlProp16.xml><?xml version="1.0" encoding="utf-8"?>
<formControlPr xmlns="http://schemas.microsoft.com/office/spreadsheetml/2009/9/main" objectType="CheckBox" fmlaLink="$A$14" lockText="1" noThreeD="1"/>
</file>

<file path=xl/ctrlProps/ctrlProp17.xml><?xml version="1.0" encoding="utf-8"?>
<formControlPr xmlns="http://schemas.microsoft.com/office/spreadsheetml/2009/9/main" objectType="CheckBox" fmlaLink="$A$15" lockText="1" noThreeD="1"/>
</file>

<file path=xl/ctrlProps/ctrlProp18.xml><?xml version="1.0" encoding="utf-8"?>
<formControlPr xmlns="http://schemas.microsoft.com/office/spreadsheetml/2009/9/main" objectType="CheckBox" fmlaLink="$A$16" lockText="1" noThreeD="1"/>
</file>

<file path=xl/ctrlProps/ctrlProp19.xml><?xml version="1.0" encoding="utf-8"?>
<formControlPr xmlns="http://schemas.microsoft.com/office/spreadsheetml/2009/9/main" objectType="CheckBox" fmlaLink="$A$17" lockText="1" noThreeD="1"/>
</file>

<file path=xl/ctrlProps/ctrlProp20.xml><?xml version="1.0" encoding="utf-8"?>
<formControlPr xmlns="http://schemas.microsoft.com/office/spreadsheetml/2009/9/main" objectType="CheckBox" checked="Checked" fmlaLink="$A$8" lockText="1" noThreeD="1"/>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externalLinks/_rels/externalLink1.xml.rels><Relationships xmlns="http://schemas.openxmlformats.org/package/2006/relationships"><Relationship Type="http://schemas.openxmlformats.org/officeDocument/2006/relationships/externalLinkPath" Target="https://d.docs.live.net/Users/New%20User/Dropbox/True%20North%20Disability%20Services/Transfer%20Calculator/Ameets%20New%20Calculator%20With%20Transfer%20.xlsm" TargetMode="External" Id="rId1" /></Relationships>
</file>

<file path=xl/externalLinks/_rels/externalLink2.xml.rels><Relationships xmlns="http://schemas.openxmlformats.org/package/2006/relationships"><Relationship Type="http://schemas.openxmlformats.org/officeDocument/2006/relationships/externalLinkPath" Target="https://d.docs.live.net/Users/New%20User/Dropbox/True%20North%20Disability%20Services/Transfer%20Calculator/Ameets%20New%20Calculator%20With%20Transfer%20Backup%20April%2023%202020.xlsm" TargetMode="External" Id="rId1" /></Relationships>
</file>

<file path=xl/externalLinks/_rels/externalLink3.xml.rels><Relationships xmlns="http://schemas.openxmlformats.org/package/2006/relationships"><Relationship Type="http://schemas.openxmlformats.org/officeDocument/2006/relationships/externalLinkPath" Target="/Users/New%20User/Dropbox/True%20North%20Disability%20Services/1%20-%20Spence%20Projects/Child%20Disability%20Benefit/NEW%20CDB%20Calc%20(April%202022).xlsx"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Clients"/>
      <sheetName val="Calculator"/>
      <sheetName val="Federal Transfer S2 TEST2"/>
      <sheetName val="AB Transfer S2"/>
      <sheetName val="Federal Transfer S2"/>
      <sheetName val="Sheet1"/>
      <sheetName val="List Reference "/>
      <sheetName val="Ameets New Calculator With Tran"/>
      <sheetName val="2005 Base Credit Amounts"/>
      <sheetName val="2006 Base Credit Amounts"/>
      <sheetName val="2007 Base Credit Amounts"/>
      <sheetName val="2008 Base Credit Amounts"/>
      <sheetName val="2009 Base Credit Amounts"/>
      <sheetName val="2010 Base Credit Amounts"/>
    </sheetNames>
    <sheetDataSet>
      <sheetData sheetId="0"/>
      <sheetData sheetId="1">
        <row r="3">
          <cell r="C3" t="str">
            <v>TNDS21429</v>
          </cell>
        </row>
      </sheetData>
      <sheetData sheetId="2">
        <row r="32">
          <cell r="G32">
            <v>1235.25</v>
          </cell>
        </row>
      </sheetData>
      <sheetData sheetId="3"/>
      <sheetData sheetId="4"/>
      <sheetData sheetId="5"/>
      <sheetData sheetId="6">
        <row r="1">
          <cell r="A1" t="str">
            <v>NL</v>
          </cell>
        </row>
        <row r="2">
          <cell r="A2" t="str">
            <v>PE</v>
          </cell>
        </row>
        <row r="3">
          <cell r="A3" t="str">
            <v>NS</v>
          </cell>
        </row>
        <row r="4">
          <cell r="A4" t="str">
            <v>NB</v>
          </cell>
        </row>
        <row r="5">
          <cell r="A5" t="str">
            <v>ON</v>
          </cell>
        </row>
        <row r="6">
          <cell r="A6" t="str">
            <v>MB</v>
          </cell>
        </row>
        <row r="7">
          <cell r="A7" t="str">
            <v>SK</v>
          </cell>
        </row>
        <row r="8">
          <cell r="A8" t="str">
            <v>AB</v>
          </cell>
        </row>
        <row r="9">
          <cell r="A9" t="str">
            <v>BC</v>
          </cell>
        </row>
        <row r="10">
          <cell r="A10" t="str">
            <v>YT</v>
          </cell>
        </row>
        <row r="11">
          <cell r="A11" t="str">
            <v>NT</v>
          </cell>
        </row>
        <row r="12">
          <cell r="A12" t="str">
            <v>NU</v>
          </cell>
        </row>
      </sheetData>
      <sheetData sheetId="7" refreshError="1"/>
      <sheetData sheetId="8"/>
      <sheetData sheetId="9"/>
      <sheetData sheetId="10"/>
      <sheetData sheetId="11"/>
      <sheetData sheetId="12"/>
      <sheetData sheetId="13"/>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Clients"/>
      <sheetName val="Calculator"/>
      <sheetName val="Federal Transfer S2 TEST2"/>
      <sheetName val="AB Transfer S2"/>
      <sheetName val="Federal Transfer S2"/>
      <sheetName val="Sheet1"/>
      <sheetName val="List Reference "/>
    </sheetNames>
    <sheetDataSet>
      <sheetData sheetId="0"/>
      <sheetData sheetId="1">
        <row r="4">
          <cell r="C4" t="str">
            <v>TNDS23184x</v>
          </cell>
        </row>
      </sheetData>
      <sheetData sheetId="2"/>
      <sheetData sheetId="3"/>
      <sheetData sheetId="4"/>
      <sheetData sheetId="5"/>
      <sheetData sheetId="6"/>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CDB Calculator Summary Sheet"/>
      <sheetName val="Sheet4"/>
      <sheetName val="Calc sheet NEW"/>
      <sheetName val="Payout Calc NEW"/>
      <sheetName val="Sheet3"/>
      <sheetName val="Age &amp; DTC Eligibility"/>
      <sheetName val="CDB Payout Calc"/>
      <sheetName val="Dependant Ref Tables"/>
      <sheetName val="Info &amp; Links"/>
      <sheetName val="Family Net Income Calcs"/>
      <sheetName val="Max Income Levels"/>
    </sheetNames>
    <sheetDataSet>
      <sheetData sheetId="0"/>
      <sheetData sheetId="1" refreshError="1"/>
      <sheetData sheetId="2" refreshError="1"/>
      <sheetData sheetId="3" refreshError="1"/>
      <sheetData sheetId="4" refreshError="1"/>
      <sheetData sheetId="5"/>
      <sheetData sheetId="6">
        <row r="8">
          <cell r="B8" t="str">
            <v>Base Year (Tax Yr)</v>
          </cell>
          <cell r="C8" t="str">
            <v>Payment Period</v>
          </cell>
        </row>
      </sheetData>
      <sheetData sheetId="7">
        <row r="13">
          <cell r="N13">
            <v>2575</v>
          </cell>
        </row>
        <row r="14">
          <cell r="N14">
            <v>2504</v>
          </cell>
        </row>
      </sheetData>
      <sheetData sheetId="8" refreshError="1"/>
      <sheetData sheetId="9" refreshError="1"/>
      <sheetData sheetId="10"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5.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6.xml.rels><Relationships xmlns="http://schemas.openxmlformats.org/package/2006/relationships"><Relationship Type="http://schemas.openxmlformats.org/officeDocument/2006/relationships/vmlDrawing" Target="/xl/drawings/vmlDrawing2.vml" Id="anysvml" /></Relationships>
</file>

<file path=xl/worksheets/_rels/sheet2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3.vml" Id="anysvml" /></Relationships>
</file>

<file path=xl/worksheets/_rels/sheet24.xml.rels><Relationships xmlns="http://schemas.openxmlformats.org/package/2006/relationships"><Relationship Type="http://schemas.openxmlformats.org/officeDocument/2006/relationships/hyperlink" Target="https://www.cchwebsites.com/content/pdf/tax_forms/ca/en/cctb2011.pdf" TargetMode="External" Id="rId1" /></Relationships>
</file>

<file path=xl/worksheets/_rels/sheet27.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sheet1.xml><?xml version="1.0" encoding="utf-8"?>
<worksheet xmlns="http://schemas.openxmlformats.org/spreadsheetml/2006/main">
  <sheetPr codeName="Sheet2">
    <outlinePr summaryBelow="1" summaryRight="1"/>
    <pageSetUpPr/>
  </sheetPr>
  <dimension ref="A1:M7"/>
  <sheetViews>
    <sheetView workbookViewId="0">
      <selection activeCell="M6" sqref="M6"/>
    </sheetView>
  </sheetViews>
  <sheetFormatPr baseColWidth="8" defaultRowHeight="15"/>
  <sheetData>
    <row r="1" ht="18.75" customHeight="1">
      <c r="A1" s="346" t="inlineStr">
        <is>
          <t>Transferee Status</t>
        </is>
      </c>
      <c r="F1" s="346" t="inlineStr">
        <is>
          <t>Tags</t>
        </is>
      </c>
      <c r="H1" s="346" t="inlineStr">
        <is>
          <t>App Status</t>
        </is>
      </c>
      <c r="M1" s="346" t="inlineStr">
        <is>
          <t>Transfer Status</t>
        </is>
      </c>
    </row>
    <row r="3">
      <c r="A3" t="inlineStr">
        <is>
          <t>Tax Check Complete</t>
        </is>
      </c>
      <c r="F3" t="inlineStr">
        <is>
          <t>Past Debt</t>
        </is>
      </c>
      <c r="H3" t="inlineStr">
        <is>
          <t>Client Relations - Initial Call</t>
        </is>
      </c>
      <c r="M3" t="inlineStr">
        <is>
          <t>Not Required</t>
        </is>
      </c>
    </row>
    <row r="4">
      <c r="A4" t="inlineStr">
        <is>
          <t>Authorization Required</t>
        </is>
      </c>
      <c r="F4" t="inlineStr">
        <is>
          <t>Past Years</t>
        </is>
      </c>
      <c r="H4" t="inlineStr">
        <is>
          <t>Contact Client</t>
        </is>
      </c>
      <c r="M4" t="inlineStr">
        <is>
          <t>Required - Contact Client</t>
        </is>
      </c>
    </row>
    <row r="5">
      <c r="A5" t="inlineStr">
        <is>
          <t>Complete - No Income - Not usable</t>
        </is>
      </c>
      <c r="F5" t="inlineStr">
        <is>
          <t>Renewal</t>
        </is>
      </c>
      <c r="H5" t="inlineStr">
        <is>
          <t>Transfer Required - Contact Client</t>
        </is>
      </c>
      <c r="M5" t="inlineStr">
        <is>
          <t>Required - Ready for Submission</t>
        </is>
      </c>
    </row>
    <row r="6">
      <c r="A6" t="inlineStr">
        <is>
          <t>Not Required</t>
        </is>
      </c>
      <c r="F6" t="inlineStr">
        <is>
          <t>Low value</t>
        </is>
      </c>
      <c r="H6" t="inlineStr">
        <is>
          <t>Already has DTC - Further Investigation Required</t>
        </is>
      </c>
      <c r="M6" t="inlineStr">
        <is>
          <t>Not Available</t>
        </is>
      </c>
    </row>
    <row r="7">
      <c r="H7" t="inlineStr">
        <is>
          <t>Past Debt - CONFIRM Before Proceeding</t>
        </is>
      </c>
    </row>
  </sheetData>
  <pageMargins left="0.7" right="0.7" top="0.75" bottom="0.75" header="0.3" footer="0.3"/>
</worksheet>
</file>

<file path=xl/worksheets/sheet2.xml><?xml version="1.0" encoding="utf-8"?>
<worksheet xmlns="http://schemas.openxmlformats.org/spreadsheetml/2006/main">
  <sheetPr codeName="Sheet3">
    <outlinePr summaryBelow="1" summaryRight="1"/>
    <pageSetUpPr fitToPage="1"/>
  </sheetPr>
  <dimension ref="B2:Y52"/>
  <sheetViews>
    <sheetView showGridLines="0" zoomScale="85" zoomScaleNormal="85" workbookViewId="0">
      <selection activeCell="H19" sqref="H19:L19"/>
    </sheetView>
  </sheetViews>
  <sheetFormatPr baseColWidth="8" defaultRowHeight="15"/>
  <cols>
    <col width="2.7109375" customWidth="1" min="1" max="1"/>
    <col width="5.7109375" customWidth="1" min="2" max="2"/>
    <col width="21.7109375" customWidth="1" min="3" max="3"/>
    <col width="58.7109375" customWidth="1" min="4" max="4"/>
    <col width="2.7109375" customWidth="1" min="5" max="5"/>
    <col width="5.7109375" customWidth="1" min="6" max="6"/>
    <col width="21.7109375" customWidth="1" min="7" max="7"/>
    <col width="5" customWidth="1" min="8" max="8"/>
    <col hidden="1" width="2.7109375" customWidth="1" min="9" max="9"/>
    <col width="11" customWidth="1" min="10" max="10"/>
    <col width="5.28515625" customWidth="1" style="492" min="11" max="11"/>
    <col width="58.5703125" customWidth="1" min="12" max="12"/>
    <col width="15" customWidth="1" min="21" max="21"/>
    <col width="16" customWidth="1" min="22" max="22"/>
    <col width="10.42578125" customWidth="1" min="23" max="23"/>
    <col width="20.42578125" customWidth="1" min="24" max="24"/>
  </cols>
  <sheetData>
    <row r="2" ht="23.25" customHeight="1">
      <c r="B2" s="749" t="inlineStr">
        <is>
          <t>UPDATE / CREATE ZOHO CRM APPLICATION</t>
        </is>
      </c>
      <c r="C2" s="91" t="n"/>
      <c r="D2" s="91" t="n"/>
      <c r="E2" s="91" t="n"/>
      <c r="F2" s="91" t="n"/>
      <c r="G2" s="91" t="n"/>
      <c r="H2" s="91" t="n"/>
      <c r="I2" s="91" t="n"/>
      <c r="J2" s="91" t="n"/>
      <c r="K2" s="91" t="n"/>
      <c r="L2" s="750" t="n"/>
      <c r="N2" s="749" t="inlineStr">
        <is>
          <t>NOTES</t>
        </is>
      </c>
      <c r="O2" s="91" t="n"/>
      <c r="P2" s="91" t="n"/>
      <c r="Q2" s="91" t="n"/>
      <c r="R2" s="750" t="n"/>
      <c r="T2" s="287" t="n"/>
      <c r="U2" s="288" t="inlineStr">
        <is>
          <t>Client Name</t>
        </is>
      </c>
      <c r="V2" s="288" t="inlineStr">
        <is>
          <t>Client Number</t>
        </is>
      </c>
      <c r="W2" s="289" t="n"/>
      <c r="X2" s="289" t="n"/>
      <c r="Y2" s="290" t="n"/>
    </row>
    <row r="3" ht="17.1" customHeight="1">
      <c r="B3" s="64" t="n"/>
      <c r="C3" s="64" t="n"/>
      <c r="D3" s="64" t="n"/>
      <c r="E3" s="64" t="n"/>
      <c r="F3" s="64" t="n"/>
      <c r="G3" s="64" t="n"/>
      <c r="H3" s="64" t="n"/>
      <c r="T3" s="299" t="inlineStr">
        <is>
          <t>Year</t>
        </is>
      </c>
      <c r="U3" s="291">
        <f>Calculator!D5</f>
        <v/>
      </c>
      <c r="V3" s="291">
        <f>ClientNumber</f>
        <v/>
      </c>
      <c r="W3" s="291" t="inlineStr">
        <is>
          <t>Claimable</t>
        </is>
      </c>
      <c r="X3" s="291" t="inlineStr">
        <is>
          <t>Transferable</t>
        </is>
      </c>
      <c r="Y3" s="292" t="n"/>
    </row>
    <row r="4" ht="17.1" customHeight="1">
      <c r="B4" s="465" t="inlineStr">
        <is>
          <t>APPLICATION MODULE UPDATE</t>
        </is>
      </c>
      <c r="C4" s="91" t="n"/>
      <c r="D4" s="750" t="n"/>
      <c r="E4" s="64" t="n"/>
      <c r="G4" s="751" t="inlineStr">
        <is>
          <t>TNDS NUMBER</t>
        </is>
      </c>
      <c r="H4" s="279" t="n"/>
      <c r="I4" s="752" t="n"/>
      <c r="J4" s="753">
        <f>Calculator!C5</f>
        <v/>
      </c>
      <c r="K4" s="279" t="n"/>
      <c r="L4" s="752" t="n"/>
      <c r="N4" s="754" t="n"/>
      <c r="O4" s="279" t="n"/>
      <c r="P4" s="279" t="n"/>
      <c r="Q4" s="279" t="n"/>
      <c r="R4" s="752" t="n"/>
      <c r="T4" s="449">
        <f t="array" ref="T4:X13">Summary!A6:E15</f>
        <v/>
      </c>
      <c r="U4" s="449" t="inlineStr">
        <is>
          <t>2</t>
        </is>
      </c>
      <c r="V4" t="inlineStr">
        <is>
          <t>2</t>
        </is>
      </c>
      <c r="W4" s="343" t="inlineStr">
        <is>
          <t>316 Claimed</t>
        </is>
      </c>
      <c r="X4" s="343" t="n">
        <v>1412</v>
      </c>
    </row>
    <row r="5" ht="17.1" customHeight="1">
      <c r="B5" s="293" t="inlineStr">
        <is>
          <t>Zoho Field</t>
        </is>
      </c>
      <c r="C5" s="750" t="n"/>
      <c r="D5" s="293" t="inlineStr">
        <is>
          <t>Value</t>
        </is>
      </c>
      <c r="E5" s="449" t="n"/>
      <c r="G5" s="755" t="n"/>
      <c r="H5" s="39" t="n"/>
      <c r="I5" s="756" t="n"/>
      <c r="J5" s="755" t="n"/>
      <c r="K5" s="39" t="n"/>
      <c r="L5" s="756" t="n"/>
      <c r="N5" s="757" t="inlineStr">
        <is>
          <t>Client will not be out of pocket</t>
        </is>
      </c>
      <c r="R5" s="758" t="n"/>
      <c r="T5" s="449" t="n">
        <v>2022</v>
      </c>
      <c r="U5" s="449" t="inlineStr">
        <is>
          <t>2</t>
        </is>
      </c>
      <c r="V5" t="inlineStr">
        <is>
          <t>2</t>
        </is>
      </c>
      <c r="W5" s="343" t="inlineStr">
        <is>
          <t>316 Claimed</t>
        </is>
      </c>
      <c r="X5" s="343" t="n">
        <v>1329</v>
      </c>
    </row>
    <row r="6" ht="17.1" customHeight="1">
      <c r="B6" s="296" t="inlineStr">
        <is>
          <t>Application Name</t>
        </is>
      </c>
      <c r="C6" s="750" t="n"/>
      <c r="D6" s="297">
        <f>Calculator!B6</f>
        <v/>
      </c>
      <c r="E6" s="64" t="n"/>
      <c r="G6" s="751" t="inlineStr">
        <is>
          <t>CLIENT NAME</t>
        </is>
      </c>
      <c r="H6" s="279" t="n"/>
      <c r="I6" s="752" t="n"/>
      <c r="J6" s="759">
        <f>Calculator!D5</f>
        <v/>
      </c>
      <c r="K6" s="279" t="n"/>
      <c r="L6" s="752" t="n"/>
      <c r="N6" s="757" t="inlineStr">
        <is>
          <t>No Family Affairs</t>
        </is>
      </c>
      <c r="R6" s="758" t="n"/>
      <c r="T6" s="449" t="n">
        <v>2021</v>
      </c>
      <c r="U6" s="449" t="inlineStr">
        <is>
          <t>2</t>
        </is>
      </c>
      <c r="V6" t="inlineStr">
        <is>
          <t>2</t>
        </is>
      </c>
      <c r="W6" s="343" t="inlineStr">
        <is>
          <t>316 Claimed</t>
        </is>
      </c>
      <c r="X6" s="343" t="n">
        <v>1297</v>
      </c>
    </row>
    <row r="7" ht="17.1" customHeight="1">
      <c r="B7" s="296" t="inlineStr">
        <is>
          <t>Application Year Count</t>
        </is>
      </c>
      <c r="C7" s="750" t="n"/>
      <c r="D7" s="297">
        <f>COUNTIF(Calculator!A8:A17,"TRUE")</f>
        <v/>
      </c>
      <c r="E7" s="64" t="n"/>
      <c r="G7" s="755" t="n"/>
      <c r="H7" s="39" t="n"/>
      <c r="I7" s="756" t="n"/>
      <c r="J7" s="755" t="n"/>
      <c r="K7" s="39" t="n"/>
      <c r="L7" s="756" t="n"/>
      <c r="N7" s="757" t="inlineStr">
        <is>
          <t>Some other note to influence recommendation here</t>
        </is>
      </c>
      <c r="R7" s="758" t="n"/>
      <c r="T7" s="449" t="n">
        <v>2020</v>
      </c>
      <c r="U7" s="449" t="inlineStr">
        <is>
          <t>2</t>
        </is>
      </c>
      <c r="V7" t="inlineStr">
        <is>
          <t>2</t>
        </is>
      </c>
      <c r="W7" s="343" t="inlineStr">
        <is>
          <t>316 Claimed</t>
        </is>
      </c>
      <c r="X7" s="343" t="n">
        <v>1284</v>
      </c>
    </row>
    <row r="8" ht="17.1" customHeight="1">
      <c r="B8" s="296" t="inlineStr">
        <is>
          <t>Client Claim Value</t>
        </is>
      </c>
      <c r="C8" s="750" t="n"/>
      <c r="D8" s="297">
        <f>Calculator!G19</f>
        <v/>
      </c>
      <c r="E8" s="64" t="n"/>
      <c r="G8" s="751" t="inlineStr">
        <is>
          <t>CLIENT ID:</t>
        </is>
      </c>
      <c r="H8" s="279" t="n"/>
      <c r="I8" s="752" t="n"/>
      <c r="J8" s="296">
        <f>_xlfn.XLOOKUP($J$4,Clients!D:D,Clients!B:B,2,0,1)</f>
        <v/>
      </c>
      <c r="K8" s="279" t="n"/>
      <c r="L8" s="752" t="n"/>
      <c r="N8" s="757" t="inlineStr">
        <is>
          <t>etc.</t>
        </is>
      </c>
      <c r="R8" s="758" t="n"/>
      <c r="T8" s="449" t="n">
        <v>2019</v>
      </c>
      <c r="U8" s="449" t="inlineStr">
        <is>
          <t>2</t>
        </is>
      </c>
      <c r="V8" t="inlineStr">
        <is>
          <t>2</t>
        </is>
      </c>
      <c r="W8" s="343" t="inlineStr">
        <is>
          <t>316 Claimed</t>
        </is>
      </c>
      <c r="X8" s="343" t="n">
        <v>1260</v>
      </c>
    </row>
    <row r="9" ht="17.1" customHeight="1">
      <c r="B9" s="296" t="inlineStr">
        <is>
          <t>Credits Transferable</t>
        </is>
      </c>
      <c r="C9" s="750" t="n"/>
      <c r="D9" s="297">
        <f>ROUND(Calculator!J19, 2)</f>
        <v/>
      </c>
      <c r="E9" s="64" t="n"/>
      <c r="G9" s="755" t="n"/>
      <c r="H9" s="39" t="n"/>
      <c r="I9" s="756" t="n"/>
      <c r="J9" s="755" t="n"/>
      <c r="K9" s="39" t="n"/>
      <c r="L9" s="756" t="n"/>
      <c r="N9" s="757" t="inlineStr">
        <is>
          <t>Has never claimed the Disability Tax Credit</t>
        </is>
      </c>
      <c r="R9" s="758" t="n"/>
      <c r="T9" s="449" t="n">
        <v>2018</v>
      </c>
      <c r="U9" s="449" t="inlineStr">
        <is>
          <t>2</t>
        </is>
      </c>
      <c r="V9" t="inlineStr">
        <is>
          <t>2</t>
        </is>
      </c>
      <c r="W9" s="343" t="inlineStr">
        <is>
          <t>316 Claimed</t>
        </is>
      </c>
      <c r="X9" s="343" t="n">
        <v>1233</v>
      </c>
    </row>
    <row r="10" ht="17.1" customHeight="1">
      <c r="B10" s="296" t="inlineStr">
        <is>
          <t>Marital Status</t>
        </is>
      </c>
      <c r="C10" s="750" t="n"/>
      <c r="D10" s="297">
        <f>IF(Calculator!A8=TRUE, Calculator!M8, IF(Calculator!A9=TRUE, Calculator!M9, IF(Calculator!A10=TRUE, Calculator!M10, IF(Calculator!A11=TRUE, Calculator!M11, IF(Calculator!A12=TRUE, Calculator!M12, IF(Calculator!A13=TRUE, Calculator!M13, IF(Calculator!A14=TRUE, Calculator!M14, IF(Calculator!A15=TRUE, Calculator!M15, IF(Calculator!A16=TRUE, Calculator!M16, IF(Calculator!A17=TRUE, Calculator!M17, ""))))))))))</f>
        <v/>
      </c>
      <c r="E10" s="64" t="n"/>
      <c r="F10" s="294" t="n"/>
      <c r="G10" s="450" t="n"/>
      <c r="J10" s="449" t="n"/>
      <c r="N10" s="757" t="n"/>
      <c r="R10" s="758" t="n"/>
      <c r="T10" s="449" t="n">
        <v>2017</v>
      </c>
      <c r="U10" s="449" t="inlineStr">
        <is>
          <t>2</t>
        </is>
      </c>
      <c r="V10" t="inlineStr">
        <is>
          <t>2</t>
        </is>
      </c>
      <c r="W10" s="343" t="inlineStr">
        <is>
          <t>316 Claimed</t>
        </is>
      </c>
      <c r="X10" s="343" t="n">
        <v>1215</v>
      </c>
    </row>
    <row r="11" ht="17.1" customHeight="1">
      <c r="B11" s="296" t="inlineStr">
        <is>
          <t>Transfer Status</t>
        </is>
      </c>
      <c r="C11" s="750" t="n"/>
      <c r="D11" s="297">
        <f>IF(ISBLANK(Calculator!I20), "", Calculator!I20)</f>
        <v/>
      </c>
      <c r="E11" s="64" t="n"/>
      <c r="F11" s="294" t="n"/>
      <c r="N11" s="757" t="n"/>
      <c r="R11" s="758" t="n"/>
      <c r="T11" s="449" t="n">
        <v>2016</v>
      </c>
      <c r="U11" s="449" t="inlineStr">
        <is>
          <t>2</t>
        </is>
      </c>
      <c r="V11" t="inlineStr">
        <is>
          <t>2</t>
        </is>
      </c>
      <c r="W11" s="343" t="inlineStr">
        <is>
          <t>316 Claimed</t>
        </is>
      </c>
      <c r="X11" s="343" t="n">
        <v>1198</v>
      </c>
    </row>
    <row r="12" ht="17.1" customHeight="1">
      <c r="B12" s="296" t="inlineStr">
        <is>
          <t>Bankruptcy Year</t>
        </is>
      </c>
      <c r="C12" s="750" t="n"/>
      <c r="D12" s="297">
        <f>Calculator!L5</f>
        <v/>
      </c>
      <c r="E12" s="64" t="n"/>
      <c r="F12" s="294" t="n"/>
      <c r="G12" s="294" t="n"/>
      <c r="N12" s="757" t="n"/>
      <c r="R12" s="758" t="n"/>
      <c r="T12" s="449" t="n">
        <v>2015</v>
      </c>
      <c r="U12" s="449" t="inlineStr">
        <is>
          <t>2</t>
        </is>
      </c>
      <c r="V12" t="inlineStr">
        <is>
          <t>2</t>
        </is>
      </c>
      <c r="W12" s="343" t="inlineStr">
        <is>
          <t>316 Claimed</t>
        </is>
      </c>
      <c r="X12" s="343" t="n">
        <v>1183</v>
      </c>
    </row>
    <row r="13" ht="17.1" customHeight="1">
      <c r="B13" s="296" t="inlineStr">
        <is>
          <t>CRA Account Balance</t>
        </is>
      </c>
      <c r="C13" s="750" t="n"/>
      <c r="D13" s="297">
        <f>Calculator!R5</f>
        <v/>
      </c>
      <c r="E13" s="64" t="n"/>
      <c r="F13" s="294" t="n"/>
      <c r="G13" s="465" t="inlineStr">
        <is>
          <t>CLIENT MODULE UPDATE</t>
        </is>
      </c>
      <c r="H13" s="91" t="n"/>
      <c r="I13" s="91" t="n"/>
      <c r="J13" s="91" t="n"/>
      <c r="K13" s="91" t="n"/>
      <c r="L13" s="750" t="n"/>
      <c r="N13" s="760" t="n"/>
      <c r="O13" s="39" t="n"/>
      <c r="P13" s="39" t="n"/>
      <c r="Q13" s="39" t="n"/>
      <c r="R13" s="756" t="n"/>
      <c r="T13" s="449" t="n">
        <v>2014</v>
      </c>
      <c r="U13" s="449" t="inlineStr">
        <is>
          <t>2</t>
        </is>
      </c>
      <c r="V13" t="inlineStr">
        <is>
          <t>2</t>
        </is>
      </c>
      <c r="W13" s="343" t="inlineStr">
        <is>
          <t>316 Claimed</t>
        </is>
      </c>
      <c r="X13" s="343" t="n">
        <v>1163</v>
      </c>
    </row>
    <row r="14" ht="17.1" customHeight="1">
      <c r="B14" s="296" t="inlineStr">
        <is>
          <t>CRA Debt</t>
        </is>
      </c>
      <c r="C14" s="750" t="n"/>
      <c r="D14" s="297">
        <f>Calculator!S5</f>
        <v/>
      </c>
      <c r="E14" s="64" t="n"/>
      <c r="F14" s="294" t="n"/>
      <c r="G14" s="295" t="inlineStr">
        <is>
          <t>Zoho Field</t>
        </is>
      </c>
      <c r="H14" s="295" t="inlineStr">
        <is>
          <t>Value</t>
        </is>
      </c>
      <c r="I14" s="91" t="n"/>
      <c r="J14" s="91" t="n"/>
      <c r="K14" s="91" t="n"/>
      <c r="L14" s="750" t="n"/>
      <c r="N14" s="761" t="inlineStr">
        <is>
          <t>Recommend Update:</t>
        </is>
      </c>
      <c r="O14" s="279" t="n"/>
      <c r="P14" s="279" t="n"/>
      <c r="Q14" s="279" t="n"/>
      <c r="R14" s="752" t="n"/>
      <c r="T14" s="492" t="n"/>
    </row>
    <row r="15" ht="17.1" customHeight="1">
      <c r="B15" s="296" t="inlineStr">
        <is>
          <t>WITB Years</t>
        </is>
      </c>
      <c r="C15" s="750" t="n"/>
      <c r="D15" s="297">
        <f>IF(_xlfn.TEXTJOIN(", ", TRUE, IF(AND(Calculator!A8=TRUE, Calculator!O8="WITB"), Calculator!B8, ""), IF(AND(Calculator!A9=TRUE, Calculator!O9="WITB"), Calculator!B9, ""), IF(AND(Calculator!A10=TRUE, Calculator!O10="WITB"), Calculator!B10, ""), IF(AND(Calculator!A11=TRUE, Calculator!O11="WITB"), Calculator!B11, ""), IF(AND(Calculator!A12=TRUE, Calculator!O12="WITB"), Calculator!B12, ""), IF(AND(Calculator!A13=TRUE, Calculator!O13="WITB"), Calculator!B13, ""), IF(AND(Calculator!A14=TRUE, Calculator!O14="WITB"), Calculator!B14, ""), IF(AND(Calculator!A15=TRUE, Calculator!O15="WITB"), Calculator!B15, ""), IF(AND(Calculator!A16=TRUE, Calculator!O16="WITB"), Calculator!B16, ""), IF(AND(Calculator!A17=TRUE, Calculator!O17="WITB"), Calculator!B17, ""))="", "None", _xlfn.TEXTJOIN(", ", TRUE, IF(AND(Calculator!A8=TRUE, Calculator!O8="WITB"), Calculator!B8, ""), IF(AND(Calculator!A9=TRUE, Calculator!O9="WITB"), Calculator!B9, ""), IF(AND(Calculator!A10=TRUE, Calculator!O10="WITB"), Calculator!B10, ""), IF(AND(Calculator!A11=TRUE, Calculator!O11="WITB"), Calculator!B11, ""), IF(AND(Calculator!A12=TRUE, Calculator!O12="WITB"), Calculator!B12, ""), IF(AND(Calculator!A13=TRUE, Calculator!O13="WITB"), Calculator!B13, ""), IF(AND(Calculator!A14=TRUE, Calculator!O14="WITB"), Calculator!B14, ""), IF(AND(Calculator!A15=TRUE, Calculator!O15="WITB"), Calculator!B15, ""), IF(AND(Calculator!A16=TRUE, Calculator!O16="WITB"), Calculator!B16, ""), IF(AND(Calculator!A17=TRUE, Calculator!O17="WITB"), Calculator!B17, "")))</f>
        <v/>
      </c>
      <c r="E15" s="64" t="n"/>
      <c r="G15" s="296" t="inlineStr">
        <is>
          <t>Client Status</t>
        </is>
      </c>
      <c r="H15" s="296" t="inlineStr">
        <is>
          <t>New Client - Contract Received</t>
        </is>
      </c>
      <c r="I15" s="91" t="n"/>
      <c r="J15" s="91" t="n"/>
      <c r="K15" s="91" t="n"/>
      <c r="L15" s="750" t="n"/>
      <c r="N15" s="762" t="n"/>
      <c r="R15" s="758" t="n"/>
      <c r="T15" s="492" t="n"/>
    </row>
    <row r="16" ht="17.1" customHeight="1">
      <c r="B16" s="296" t="inlineStr">
        <is>
          <t>Caregiver Value</t>
        </is>
      </c>
      <c r="C16" s="750" t="n"/>
      <c r="D16" s="297">
        <f>Calculator!K41</f>
        <v/>
      </c>
      <c r="E16" s="64" t="n"/>
      <c r="F16" s="294" t="n"/>
      <c r="G16" s="347" t="inlineStr">
        <is>
          <t>App Status</t>
        </is>
      </c>
      <c r="H16" s="347" t="n"/>
      <c r="I16" s="91" t="n"/>
      <c r="J16" s="91" t="n"/>
      <c r="K16" s="91" t="n"/>
      <c r="L16" s="750" t="n"/>
      <c r="N16" s="296" t="inlineStr">
        <is>
          <t>Client Status</t>
        </is>
      </c>
      <c r="O16" s="750" t="n"/>
      <c r="P16" s="296" t="inlineStr">
        <is>
          <t>New Client - Contract Received</t>
        </is>
      </c>
      <c r="Q16" s="91" t="n"/>
      <c r="R16" s="750" t="n"/>
    </row>
    <row r="17" ht="17.1" customHeight="1">
      <c r="B17" s="296" t="inlineStr">
        <is>
          <t>Claim Payment Method</t>
        </is>
      </c>
      <c r="C17" s="750" t="n"/>
      <c r="D17" s="297">
        <f>IF(UPPER(TRIM(CLEAN(Calculator!O5)))="SETUP", "Direct Deposit", IF(UPPER(TRIM(CLEAN(Calculator!O5)))="NOT SETUP", "Cheque", IF(UPPER(TRIM(CLEAN(Calculator!O5)))="STOPPED", "Cheque", Calculator!O5)))</f>
        <v/>
      </c>
      <c r="E17" s="64" t="n"/>
      <c r="F17" s="294" t="n"/>
      <c r="G17" s="296" t="inlineStr">
        <is>
          <t>Tax Check Complete</t>
        </is>
      </c>
      <c r="H17" s="763">
        <f>NOW()</f>
        <v/>
      </c>
      <c r="I17" s="91" t="n"/>
      <c r="J17" s="91" t="n"/>
      <c r="K17" s="91" t="n"/>
      <c r="L17" s="750" t="n"/>
      <c r="N17" s="296" t="inlineStr">
        <is>
          <t>App Status</t>
        </is>
      </c>
      <c r="O17" s="750" t="n"/>
      <c r="P17" s="296" t="inlineStr">
        <is>
          <t>T2201 Creation Required</t>
        </is>
      </c>
      <c r="Q17" s="91" t="n"/>
      <c r="R17" s="750" t="n"/>
    </row>
    <row r="18" ht="17.1" customHeight="1">
      <c r="B18" s="296" t="inlineStr">
        <is>
          <t>Adjustment Type</t>
        </is>
      </c>
      <c r="C18" s="750" t="n"/>
      <c r="D18" s="297">
        <f>Calculator!I6</f>
        <v/>
      </c>
      <c r="E18" s="64" t="n"/>
      <c r="F18" s="294" t="n"/>
      <c r="G18" s="296" t="inlineStr">
        <is>
          <t>Previous DTC Status</t>
        </is>
      </c>
      <c r="H18" s="763">
        <f>Calculator!P8</f>
        <v/>
      </c>
      <c r="I18" s="91" t="n"/>
      <c r="J18" s="91" t="n"/>
      <c r="K18" s="91" t="n"/>
      <c r="L18" s="750" t="n"/>
      <c r="N18" s="449" t="n"/>
      <c r="O18" s="449" t="n"/>
      <c r="P18" s="449" t="n"/>
      <c r="Q18" s="449" t="n"/>
      <c r="R18" s="449" t="n"/>
    </row>
    <row r="19" ht="17.1" customHeight="1">
      <c r="B19" s="484" t="inlineStr">
        <is>
          <t>Closing Date</t>
        </is>
      </c>
      <c r="C19" s="750" t="n"/>
      <c r="D19" s="348">
        <f>TODAY() + 90</f>
        <v/>
      </c>
      <c r="G19" s="347" t="inlineStr">
        <is>
          <t>Tag</t>
        </is>
      </c>
      <c r="H19" s="764" t="n"/>
      <c r="I19" s="91" t="n"/>
      <c r="J19" s="91" t="n"/>
      <c r="K19" s="91" t="n"/>
      <c r="L19" s="750" t="n"/>
    </row>
    <row r="20" ht="17.1" customHeight="1">
      <c r="B20" s="347" t="inlineStr">
        <is>
          <t>Stage</t>
        </is>
      </c>
      <c r="C20" s="750" t="n"/>
      <c r="D20" s="347" t="inlineStr">
        <is>
          <t>Contract Received</t>
        </is>
      </c>
    </row>
    <row r="21" ht="17.1" customHeight="1">
      <c r="B21" s="296" t="inlineStr">
        <is>
          <t>CCB Payment Information</t>
        </is>
      </c>
      <c r="C21" s="750" t="n"/>
      <c r="D21" s="296">
        <f>IF(UPPER(TRIM(CLEAN(Calculator!P5)))="SETUP", "Direct Deposit", IF(UPPER(TRIM(CLEAN(Calculator!P5)))="NOT SETUP", "Cheque", IF(UPPER(TRIM(CLEAN(Calculator!P5)))="STOPPED", "Cheque", Calculator!P5)))</f>
        <v/>
      </c>
    </row>
    <row r="22" ht="14.45" customHeight="1">
      <c r="B22" s="449" t="n"/>
      <c r="D22" s="492" t="n"/>
    </row>
    <row r="26">
      <c r="W26" s="492" t="n"/>
    </row>
    <row r="27" ht="14.45" customHeight="1">
      <c r="P27" s="492" t="n"/>
      <c r="W27" s="492" t="n"/>
    </row>
    <row r="28" ht="14.45" customHeight="1"/>
    <row r="29" ht="14.45" customHeight="1">
      <c r="B29" s="39" t="n"/>
      <c r="C29" s="39" t="n"/>
      <c r="D29" s="39" t="n"/>
      <c r="E29" s="39" t="n"/>
      <c r="F29" s="39" t="n"/>
      <c r="G29" s="39" t="n"/>
      <c r="H29" s="39" t="n"/>
      <c r="I29" s="39" t="n"/>
      <c r="J29" s="39" t="n"/>
      <c r="K29" s="499" t="n"/>
      <c r="L29" s="39" t="n"/>
    </row>
    <row r="30">
      <c r="W30" s="492" t="n"/>
    </row>
    <row r="32" ht="18.75" customHeight="1">
      <c r="B32" s="749" t="inlineStr">
        <is>
          <t>UPDATE / CREATE ZOHO CRM APPLICATION FOR TRANSFER</t>
        </is>
      </c>
      <c r="C32" s="91" t="n"/>
      <c r="D32" s="91" t="n"/>
      <c r="E32" s="91" t="n"/>
      <c r="F32" s="91" t="n"/>
      <c r="G32" s="91" t="n"/>
      <c r="H32" s="91" t="n"/>
      <c r="I32" s="91" t="n"/>
      <c r="J32" s="91" t="n"/>
      <c r="K32" s="91" t="n"/>
      <c r="L32" s="750" t="n"/>
      <c r="W32" s="492" t="n"/>
    </row>
    <row r="33" ht="14.45" customHeight="1"/>
    <row r="34" ht="14.45" customHeight="1"/>
    <row r="35">
      <c r="B35" s="465" t="inlineStr">
        <is>
          <t>APPLICATION MODULE UPDATE</t>
        </is>
      </c>
      <c r="C35" s="91" t="n"/>
      <c r="D35" s="750" t="n"/>
      <c r="E35" s="64" t="n"/>
      <c r="G35" s="751" t="inlineStr">
        <is>
          <t>TNDS NUMBER</t>
        </is>
      </c>
      <c r="H35" s="279" t="n"/>
      <c r="I35" s="752" t="n"/>
      <c r="J35" s="765" t="inlineStr">
        <is>
          <t>TNDS65882X</t>
        </is>
      </c>
      <c r="K35" s="279" t="n"/>
      <c r="L35" s="752" t="n"/>
    </row>
    <row r="36">
      <c r="B36" s="293" t="inlineStr">
        <is>
          <t>Zoho Field</t>
        </is>
      </c>
      <c r="C36" s="750" t="n"/>
      <c r="D36" s="293" t="inlineStr">
        <is>
          <t>Value</t>
        </is>
      </c>
      <c r="E36" s="449" t="n"/>
      <c r="G36" s="755" t="n"/>
      <c r="H36" s="39" t="n"/>
      <c r="I36" s="756" t="n"/>
      <c r="J36" s="755" t="n"/>
      <c r="K36" s="39" t="n"/>
      <c r="L36" s="756" t="n"/>
    </row>
    <row r="37">
      <c r="B37" s="296" t="inlineStr">
        <is>
          <t>Application Name</t>
        </is>
      </c>
      <c r="C37" s="750" t="n"/>
      <c r="D37" s="297">
        <f>Calculator!B29</f>
        <v/>
      </c>
      <c r="E37" s="64" t="n"/>
      <c r="G37" s="751" t="inlineStr">
        <is>
          <t>CLIENT NAME</t>
        </is>
      </c>
      <c r="H37" s="279" t="n"/>
      <c r="I37" s="752" t="n"/>
      <c r="J37" s="759">
        <f>Calculator!D28</f>
        <v/>
      </c>
      <c r="K37" s="279" t="n"/>
      <c r="L37" s="752" t="n"/>
    </row>
    <row r="38">
      <c r="B38" s="296" t="inlineStr">
        <is>
          <t>Application Year Count</t>
        </is>
      </c>
      <c r="C38" s="750" t="n"/>
      <c r="D38" s="297">
        <f>COUNTIF(Calculator!A31:A40,"TRUE")</f>
        <v/>
      </c>
      <c r="E38" s="64" t="n"/>
      <c r="G38" s="755" t="n"/>
      <c r="H38" s="39" t="n"/>
      <c r="I38" s="756" t="n"/>
      <c r="J38" s="755" t="n"/>
      <c r="K38" s="39" t="n"/>
      <c r="L38" s="756" t="n"/>
    </row>
    <row r="39" ht="14.45" customHeight="1">
      <c r="B39" s="296" t="inlineStr">
        <is>
          <t>Client Claim Value</t>
        </is>
      </c>
      <c r="C39" s="750" t="n"/>
      <c r="D39" s="766">
        <f>Calculator!G44</f>
        <v/>
      </c>
      <c r="E39" s="64" t="n"/>
      <c r="G39" s="751" t="inlineStr">
        <is>
          <t>CLIENT ID:</t>
        </is>
      </c>
      <c r="H39" s="279" t="n"/>
      <c r="I39" s="752" t="n"/>
      <c r="J39" s="296">
        <f>J8</f>
        <v/>
      </c>
      <c r="K39" s="279" t="n"/>
      <c r="L39" s="752" t="n"/>
    </row>
    <row r="40">
      <c r="B40" s="296" t="inlineStr">
        <is>
          <t>Marital Status</t>
        </is>
      </c>
      <c r="C40" s="750" t="n"/>
      <c r="D40" s="297">
        <f>IF(Calculator!A31=TRUE,Calculator!M31,IF(Calculator!A32=TRUE,Calculator!M32,IF(Calculator!A33=TRUE,Calculator!M33,IF(Calculator!A34=TRUE,Calculator!M34,IF(Calculator!A35=TRUE,Calculator!M35,IF(Calculator!A36=TRUE,Calculator!M36,IF(Calculator!A37=TRUE,Calculator!M37,IF(Calculator!A38=TRUE,Calculator!M38,IF(Calculator!A39=TRUE,Calculator!M39,IF(Calculator!A40=TRUE,Calculator!M40,""))))))))))</f>
        <v/>
      </c>
      <c r="E40" s="64" t="n"/>
      <c r="G40" s="755" t="n"/>
      <c r="H40" s="39" t="n"/>
      <c r="I40" s="756" t="n"/>
      <c r="J40" s="755" t="n"/>
      <c r="K40" s="39" t="n"/>
      <c r="L40" s="756" t="n"/>
    </row>
    <row r="41">
      <c r="B41" s="296" t="inlineStr">
        <is>
          <t>Bankruptcy Year</t>
        </is>
      </c>
      <c r="C41" s="750" t="n"/>
      <c r="D41" s="297">
        <f>Calculator!L28</f>
        <v/>
      </c>
      <c r="E41" s="64" t="n"/>
      <c r="F41" s="294" t="n"/>
      <c r="G41" s="450" t="n"/>
      <c r="J41" s="449" t="n"/>
    </row>
    <row r="42">
      <c r="B42" s="296" t="inlineStr">
        <is>
          <t>CRA Account Balance</t>
        </is>
      </c>
      <c r="C42" s="750" t="n"/>
      <c r="D42" s="297">
        <f>Calculator!R28</f>
        <v/>
      </c>
      <c r="E42" s="64" t="n"/>
      <c r="F42" s="294" t="n"/>
    </row>
    <row r="43">
      <c r="B43" s="296" t="inlineStr">
        <is>
          <t>CRA Debt</t>
        </is>
      </c>
      <c r="C43" s="750" t="n"/>
      <c r="D43" s="297">
        <f>Calculator!S28</f>
        <v/>
      </c>
      <c r="E43" s="64" t="n"/>
    </row>
    <row r="44" ht="13.9" customHeight="1">
      <c r="B44" s="296" t="inlineStr">
        <is>
          <t>WITB Years</t>
        </is>
      </c>
      <c r="C44" s="750" t="n"/>
      <c r="D44" s="297" t="inlineStr">
        <is>
          <t>None</t>
        </is>
      </c>
      <c r="E44" s="64" t="n"/>
      <c r="G44" s="465" t="inlineStr">
        <is>
          <t>CLIENT MODULE UPDATE</t>
        </is>
      </c>
      <c r="H44" s="91" t="n"/>
      <c r="I44" s="91" t="n"/>
      <c r="J44" s="91" t="n"/>
      <c r="K44" s="91" t="n"/>
      <c r="L44" s="750" t="n"/>
    </row>
    <row r="45">
      <c r="B45" s="296" t="inlineStr">
        <is>
          <t>Caregiver Value</t>
        </is>
      </c>
      <c r="C45" s="750" t="n"/>
      <c r="D45" s="766">
        <f>Calculator!G42</f>
        <v/>
      </c>
      <c r="E45" s="64" t="n"/>
      <c r="G45" s="295" t="inlineStr">
        <is>
          <t>Zoho Field</t>
        </is>
      </c>
      <c r="H45" s="295" t="inlineStr">
        <is>
          <t>Value</t>
        </is>
      </c>
      <c r="I45" s="91" t="n"/>
      <c r="J45" s="91" t="n"/>
      <c r="K45" s="91" t="n"/>
      <c r="L45" s="750" t="n"/>
    </row>
    <row r="46">
      <c r="B46" s="296" t="inlineStr">
        <is>
          <t>Claim Payment Method</t>
        </is>
      </c>
      <c r="C46" s="750" t="n"/>
      <c r="D46" s="297">
        <f>Calculator!O28</f>
        <v/>
      </c>
      <c r="E46" s="64" t="n"/>
      <c r="G46" s="347" t="inlineStr">
        <is>
          <t>Transferee Status</t>
        </is>
      </c>
      <c r="H46" s="347" t="n"/>
      <c r="I46" s="91" t="n"/>
      <c r="J46" s="91" t="n"/>
      <c r="K46" s="91" t="n"/>
      <c r="L46" s="750" t="n"/>
    </row>
    <row r="47">
      <c r="B47" s="296" t="inlineStr">
        <is>
          <t>Adjustment Type</t>
        </is>
      </c>
      <c r="C47" s="750" t="n"/>
      <c r="D47" s="297">
        <f>Calculator!I6</f>
        <v/>
      </c>
      <c r="E47" s="64" t="n"/>
    </row>
    <row r="48">
      <c r="B48" s="296" t="inlineStr">
        <is>
          <t>Closing Date</t>
        </is>
      </c>
      <c r="C48" s="750" t="n"/>
      <c r="D48" s="354">
        <f>TODAY() + 90</f>
        <v/>
      </c>
      <c r="E48" s="64" t="n"/>
    </row>
    <row r="49">
      <c r="B49" s="347" t="inlineStr">
        <is>
          <t>Stage</t>
        </is>
      </c>
      <c r="C49" s="750" t="n"/>
      <c r="D49" s="349" t="inlineStr">
        <is>
          <t>Contract Received</t>
        </is>
      </c>
      <c r="E49" s="64" t="n"/>
    </row>
    <row r="50">
      <c r="B50" s="296" t="inlineStr">
        <is>
          <t>CCB Payment Information</t>
        </is>
      </c>
      <c r="C50" s="750" t="n"/>
      <c r="D50" s="297">
        <f>Calculator!P5</f>
        <v/>
      </c>
      <c r="E50" s="64" t="n"/>
    </row>
    <row r="51">
      <c r="E51" s="64" t="n"/>
    </row>
    <row r="52">
      <c r="E52" s="64" t="n"/>
      <c r="F52" s="294" t="n"/>
    </row>
  </sheetData>
  <mergeCells count="79">
    <mergeCell ref="N7:R7"/>
    <mergeCell ref="B22:C22"/>
    <mergeCell ref="P17:R17"/>
    <mergeCell ref="B12:C12"/>
    <mergeCell ref="B21:C21"/>
    <mergeCell ref="N2:R2"/>
    <mergeCell ref="B14:C14"/>
    <mergeCell ref="G8:I9"/>
    <mergeCell ref="B13:C13"/>
    <mergeCell ref="B38:C38"/>
    <mergeCell ref="H17:L17"/>
    <mergeCell ref="J6:L7"/>
    <mergeCell ref="G10:I11"/>
    <mergeCell ref="B4:D4"/>
    <mergeCell ref="B40:C40"/>
    <mergeCell ref="H19:L19"/>
    <mergeCell ref="J4:L5"/>
    <mergeCell ref="B49:C49"/>
    <mergeCell ref="N6:R6"/>
    <mergeCell ref="B41:C41"/>
    <mergeCell ref="B32:L32"/>
    <mergeCell ref="N14:R15"/>
    <mergeCell ref="N4:R4"/>
    <mergeCell ref="G41:I42"/>
    <mergeCell ref="B16:C16"/>
    <mergeCell ref="N16:O16"/>
    <mergeCell ref="J8:L9"/>
    <mergeCell ref="B18:C18"/>
    <mergeCell ref="P16:R16"/>
    <mergeCell ref="B11:C11"/>
    <mergeCell ref="J10:L11"/>
    <mergeCell ref="N8:R8"/>
    <mergeCell ref="G39:I40"/>
    <mergeCell ref="G44:L44"/>
    <mergeCell ref="H16:L16"/>
    <mergeCell ref="B37:C37"/>
    <mergeCell ref="N10:R10"/>
    <mergeCell ref="B6:C6"/>
    <mergeCell ref="N9:R9"/>
    <mergeCell ref="B15:C15"/>
    <mergeCell ref="J35:L36"/>
    <mergeCell ref="B7:C7"/>
    <mergeCell ref="G35:I36"/>
    <mergeCell ref="B43:C43"/>
    <mergeCell ref="N12:R12"/>
    <mergeCell ref="J39:L40"/>
    <mergeCell ref="H46:L46"/>
    <mergeCell ref="B42:C42"/>
    <mergeCell ref="B2:L2"/>
    <mergeCell ref="B17:C17"/>
    <mergeCell ref="N17:O17"/>
    <mergeCell ref="B44:C44"/>
    <mergeCell ref="H45:L45"/>
    <mergeCell ref="B19:C19"/>
    <mergeCell ref="B35:D35"/>
    <mergeCell ref="B9:C9"/>
    <mergeCell ref="G37:I38"/>
    <mergeCell ref="H15:L15"/>
    <mergeCell ref="B20:C20"/>
    <mergeCell ref="B5:C5"/>
    <mergeCell ref="B45:C45"/>
    <mergeCell ref="H18:L18"/>
    <mergeCell ref="B47:C47"/>
    <mergeCell ref="N11:R11"/>
    <mergeCell ref="G13:L13"/>
    <mergeCell ref="B46:C46"/>
    <mergeCell ref="B39:C39"/>
    <mergeCell ref="B48:C48"/>
    <mergeCell ref="B8:C8"/>
    <mergeCell ref="N5:R5"/>
    <mergeCell ref="J37:L38"/>
    <mergeCell ref="B10:C10"/>
    <mergeCell ref="N13:R13"/>
    <mergeCell ref="G6:I7"/>
    <mergeCell ref="B36:C36"/>
    <mergeCell ref="H14:L14"/>
    <mergeCell ref="B50:C50"/>
    <mergeCell ref="G4:I5"/>
    <mergeCell ref="J41:L42"/>
  </mergeCells>
  <dataValidations count="4">
    <dataValidation sqref="P17:R18" showDropDown="0" showInputMessage="1" showErrorMessage="1" allowBlank="1" type="list">
      <formula1>"T2201 Creation Required"</formula1>
    </dataValidation>
    <dataValidation sqref="H15:L15 P16:R16" showDropDown="0" showInputMessage="1" showErrorMessage="1" allowBlank="1" type="list">
      <formula1>"New Client - Contract Received"</formula1>
    </dataValidation>
    <dataValidation sqref="D49" showDropDown="0" showInputMessage="1" showErrorMessage="1" allowBlank="1" type="list">
      <formula1>"Contract Received, T2201 Sent to Doctor, Approved - Transfer Reassessment"</formula1>
    </dataValidation>
    <dataValidation sqref="D20" showDropDown="0" showInputMessage="1" showErrorMessage="1" allowBlank="1" type="list">
      <formula1>"Contract Received, Approved - Awaiting Payment Info"</formula1>
    </dataValidation>
  </dataValidations>
  <pageMargins left="0.7" right="0.7" top="0.75" bottom="0.75" header="0.3" footer="0.3"/>
  <pageSetup orientation="landscape" scale="85" horizontalDpi="0" verticalDpi="0"/>
</worksheet>
</file>

<file path=xl/worksheets/sheet3.xml><?xml version="1.0" encoding="utf-8"?>
<worksheet xmlns="http://schemas.openxmlformats.org/spreadsheetml/2006/main">
  <sheetPr codeName="Sheet21">
    <outlinePr summaryBelow="1" summaryRight="1"/>
    <pageSetUpPr/>
  </sheetPr>
  <dimension ref="A1:NFP109"/>
  <sheetViews>
    <sheetView tabSelected="1" zoomScale="70" zoomScaleNormal="70" workbookViewId="0">
      <selection activeCell="J32" sqref="J32"/>
    </sheetView>
  </sheetViews>
  <sheetFormatPr baseColWidth="8" defaultColWidth="16.7109375" defaultRowHeight="15"/>
  <cols>
    <col width="6.28515625" customWidth="1" min="1" max="1"/>
    <col width="25.28515625" customWidth="1" style="275" min="2" max="2"/>
    <col width="25.140625" customWidth="1" style="275" min="3" max="3"/>
    <col width="14.85546875" customWidth="1" min="4" max="4"/>
    <col width="19.140625" bestFit="1" customWidth="1" min="5" max="5"/>
    <col width="10.140625" customWidth="1" min="6" max="6"/>
    <col width="10.140625" bestFit="1" customWidth="1" min="7" max="7"/>
    <col width="28.28515625" bestFit="1" customWidth="1" min="8" max="8"/>
    <col width="28.28515625" customWidth="1" min="9" max="10"/>
    <col width="39.140625" customWidth="1" min="11" max="11"/>
    <col width="83.140625" customWidth="1" min="12" max="12"/>
    <col width="75.5703125" customWidth="1" min="13" max="13"/>
    <col width="69.7109375" bestFit="1" customWidth="1" min="14" max="14"/>
    <col width="49.5703125" customWidth="1" min="15" max="25"/>
    <col width="49.85546875" customWidth="1" min="26" max="27"/>
    <col width="49.5703125" customWidth="1" min="28" max="44"/>
    <col width="33.85546875" bestFit="1" customWidth="1" min="45" max="45"/>
    <col width="19.140625" customWidth="1" style="264" min="46" max="46"/>
    <col width="19.7109375" customWidth="1" style="264" min="47" max="47"/>
    <col width="37.7109375" customWidth="1" style="272" min="48" max="48"/>
    <col width="19.42578125" customWidth="1" min="49" max="429"/>
    <col width="14" customWidth="1" min="430" max="430"/>
    <col width="19.42578125" customWidth="1" min="431" max="1126"/>
    <col width="14" customWidth="1" min="1127" max="1127"/>
    <col width="19.42578125" customWidth="1" min="1128" max="2140"/>
    <col width="9.85546875" customWidth="1" min="2141" max="2141"/>
    <col width="17.42578125" customWidth="1" min="2142" max="2142"/>
    <col width="9.85546875" customWidth="1" min="2143" max="2836"/>
    <col width="19.42578125" customWidth="1" min="2837" max="2837"/>
    <col width="9.85546875" customWidth="1" min="2838" max="2838"/>
    <col width="17.42578125" customWidth="1" min="2839" max="2839"/>
    <col width="9.85546875" customWidth="1" min="2840" max="3533"/>
    <col width="9.85546875" customWidth="1" style="87" min="3534" max="3534"/>
    <col width="9.85546875" customWidth="1" min="3535" max="4211"/>
    <col width="16.7109375" customWidth="1" style="87" min="4212" max="4212"/>
    <col width="16.7109375" customWidth="1" style="87" min="4890" max="4890"/>
    <col width="16.7109375" customWidth="1" style="87" min="5568" max="5568"/>
    <col width="16.7109375" customWidth="1" style="87" min="6246" max="6246"/>
    <col width="16.7109375" customWidth="1" style="87" min="6924" max="6924"/>
  </cols>
  <sheetData>
    <row r="1">
      <c r="AT1" s="267" t="n"/>
      <c r="AU1" s="267" t="n"/>
      <c r="AV1" s="271">
        <f>SUM(#REF!)</f>
        <v/>
      </c>
      <c r="AW1">
        <f>IF(#REF!="Skip to main content","FILED","NOT FILED")</f>
        <v/>
      </c>
      <c r="AX1">
        <f>RIGHT(#REF!,2)</f>
        <v/>
      </c>
      <c r="AY1">
        <f>IFERROR(VLOOKUP(RIGHT(#REF!,6),#REF!,2,FALSE),0)</f>
        <v/>
      </c>
      <c r="AZ1">
        <f>IFERROR(IF((ISBLANK(VLOOKUP(AZ7,#REF!,3,FALSE)))=TRUE,VLOOKUP(AZ7,#REF!,2,FALSE),VLOOKUP(AZ7,#REF!,3,FALSE)),0)</f>
        <v/>
      </c>
      <c r="BA1">
        <f>IFERROR(IF((ISBLANK(VLOOKUP(BA7,#REF!,3,FALSE)))=TRUE,VLOOKUP(BA7,#REF!,2,FALSE),VLOOKUP(BA7,#REF!,3,FALSE)),0)</f>
        <v/>
      </c>
      <c r="BB1">
        <f>IFERROR(IF((ISBLANK(VLOOKUP(BB7,#REF!,3,FALSE)))=TRUE,VLOOKUP(BB7,#REF!,2,FALSE),VLOOKUP(BB7,#REF!,3,FALSE)),0)</f>
        <v/>
      </c>
      <c r="BC1">
        <f>IFERROR(IF((ISBLANK(VLOOKUP(BC7,#REF!,3,FALSE)))=TRUE,VLOOKUP(BC7,#REF!,2,FALSE),VLOOKUP(BC7,#REF!,3,FALSE)),0)</f>
        <v/>
      </c>
      <c r="BD1">
        <f>IFERROR(IF((ISBLANK(VLOOKUP(BD7,#REF!,3,FALSE)))=TRUE,VLOOKUP(BD7,#REF!,2,FALSE),VLOOKUP(BD7,#REF!,3,FALSE)),0)</f>
        <v/>
      </c>
      <c r="BE1">
        <f>IFERROR(IF((ISBLANK(VLOOKUP(BE7,#REF!,3,FALSE)))=TRUE,VLOOKUP(BE7,#REF!,2,FALSE),VLOOKUP(BE7,#REF!,3,FALSE)),0)</f>
        <v/>
      </c>
      <c r="BF1">
        <f>IFERROR(IF((ISBLANK(VLOOKUP(BF7,#REF!,4,FALSE)))=TRUE,VLOOKUP(BF7,#REF!,3,FALSE),VLOOKUP(BF7,#REF!,4,FALSE)),0)</f>
        <v/>
      </c>
      <c r="BG1">
        <f>IFERROR(IF((ISBLANK(VLOOKUP(BG7,#REF!,4,FALSE)))=TRUE,VLOOKUP(BG7,#REF!,3,FALSE),VLOOKUP(BG7,#REF!,4,FALSE)),0)</f>
        <v/>
      </c>
      <c r="BH1">
        <f>IFERROR(IF((ISBLANK(VLOOKUP(BH7,#REF!,4,FALSE)))=TRUE,VLOOKUP(BH7,#REF!,3,FALSE),VLOOKUP(BH7,#REF!,4,FALSE)),0)</f>
        <v/>
      </c>
      <c r="BI1">
        <f>IFERROR(IF((ISBLANK(VLOOKUP(BI7,#REF!,4,FALSE)))=TRUE,VLOOKUP(BI7,#REF!,3,FALSE),VLOOKUP(BI7,#REF!,4,FALSE)),0)</f>
        <v/>
      </c>
      <c r="BJ1">
        <f>IFERROR(IF((ISBLANK(VLOOKUP(BJ7,#REF!,4,FALSE)))=TRUE,VLOOKUP(BJ7,#REF!,3,FALSE),VLOOKUP(BJ7,#REF!,4,FALSE)),0)</f>
        <v/>
      </c>
      <c r="BK1">
        <f>IFERROR(IF((ISBLANK(VLOOKUP(BK7,#REF!,4,FALSE)))=TRUE,VLOOKUP(BK7,#REF!,3,FALSE),VLOOKUP(BK7,#REF!,4,FALSE)),0)</f>
        <v/>
      </c>
      <c r="BL1">
        <f>IFERROR(IF((ISBLANK(VLOOKUP(BL7,#REF!,4,FALSE)))=TRUE,VLOOKUP(BL7,#REF!,3,FALSE),VLOOKUP(BL7,#REF!,4,FALSE)),0)</f>
        <v/>
      </c>
      <c r="BM1">
        <f>IFERROR(IF((ISBLANK(VLOOKUP(BM7,#REF!,4,FALSE)))=TRUE,VLOOKUP(BM7,#REF!,3,FALSE),VLOOKUP(BM7,#REF!,4,FALSE)),0)</f>
        <v/>
      </c>
      <c r="BN1">
        <f>IFERROR(IF((ISBLANK(VLOOKUP(BN7,#REF!,4,FALSE)))=TRUE,VLOOKUP(BN7,#REF!,3,FALSE),VLOOKUP(BN7,#REF!,4,FALSE)),0)</f>
        <v/>
      </c>
      <c r="BO1">
        <f>IFERROR(IF((ISBLANK(VLOOKUP(BO7,#REF!,4,FALSE)))=TRUE,VLOOKUP(BO7,#REF!,3,FALSE),VLOOKUP(BO7,#REF!,4,FALSE)),0)</f>
        <v/>
      </c>
      <c r="BP1">
        <f>IFERROR(IF((ISBLANK(VLOOKUP(BP7,#REF!,4,FALSE)))=TRUE,VLOOKUP(BP7,#REF!,3,FALSE),VLOOKUP(BP7,#REF!,4,FALSE)),0)</f>
        <v/>
      </c>
      <c r="BQ1">
        <f>IFERROR(IF((ISBLANK(VLOOKUP(BQ7,#REF!,4,FALSE)))=TRUE,VLOOKUP(BQ7,#REF!,3,FALSE),VLOOKUP(BQ7,#REF!,4,FALSE)),0)</f>
        <v/>
      </c>
      <c r="BR1">
        <f>IFERROR(IF((ISBLANK(VLOOKUP(BR7,#REF!,4,FALSE)))=TRUE,VLOOKUP(BR7,#REF!,3,FALSE),VLOOKUP(BR7,#REF!,4,FALSE)),0)</f>
        <v/>
      </c>
      <c r="BS1">
        <f>IFERROR(IF((ISBLANK(VLOOKUP(BS7,#REF!,4,FALSE)))=TRUE,VLOOKUP(BS7,#REF!,3,FALSE),VLOOKUP(BS7,#REF!,4,FALSE)),0)</f>
        <v/>
      </c>
      <c r="BT1">
        <f>IFERROR(IF((ISBLANK(VLOOKUP(BT7,#REF!,4,FALSE)))=TRUE,VLOOKUP(BT7,#REF!,3,FALSE),VLOOKUP(BT7,#REF!,4,FALSE)),0)</f>
        <v/>
      </c>
      <c r="BU1">
        <f>IFERROR(IF((ISBLANK(VLOOKUP(BU7,#REF!,4,FALSE)))=TRUE,VLOOKUP(BU7,#REF!,3,FALSE),VLOOKUP(BU7,#REF!,4,FALSE)),0)</f>
        <v/>
      </c>
      <c r="BV1">
        <f>IFERROR(IF((ISBLANK(VLOOKUP(BV7,#REF!,4,FALSE)))=TRUE,VLOOKUP(BV7,#REF!,3,FALSE),VLOOKUP(BV7,#REF!,4,FALSE)),0)</f>
        <v/>
      </c>
      <c r="BW1">
        <f>IFERROR(IF((ISBLANK(VLOOKUP(BW7,#REF!,4,FALSE)))=TRUE,VLOOKUP(BW7,#REF!,3,FALSE),VLOOKUP(BW7,#REF!,4,FALSE)),0)</f>
        <v/>
      </c>
      <c r="BX1">
        <f>IFERROR(IF((ISBLANK(VLOOKUP(BX7,#REF!,4,FALSE)))=TRUE,VLOOKUP(BX7,#REF!,3,FALSE),VLOOKUP(BX7,#REF!,4,FALSE)),0)</f>
        <v/>
      </c>
      <c r="BY1">
        <f>IFERROR(IF((ISBLANK(VLOOKUP(BY7,#REF!,4,FALSE)))=TRUE,VLOOKUP(BY7,#REF!,3,FALSE),VLOOKUP(BY7,#REF!,4,FALSE)),0)</f>
        <v/>
      </c>
      <c r="BZ1">
        <f>IFERROR(IF((ISBLANK(VLOOKUP(BZ7,#REF!,4,FALSE)))=TRUE,VLOOKUP(BZ7,#REF!,3,FALSE),VLOOKUP(BZ7,#REF!,4,FALSE)),0)</f>
        <v/>
      </c>
      <c r="CA1">
        <f>IFERROR(IF((ISBLANK(VLOOKUP(CA7,#REF!,4,FALSE)))=TRUE,VLOOKUP(CA7,#REF!,3,FALSE),VLOOKUP(CA7,#REF!,4,FALSE)),0)</f>
        <v/>
      </c>
      <c r="CB1">
        <f>IFERROR(IF((ISBLANK(VLOOKUP(CB7,#REF!,4,FALSE)))=TRUE,VLOOKUP(CB7,#REF!,3,FALSE),VLOOKUP(CB7,#REF!,4,FALSE)),0)</f>
        <v/>
      </c>
      <c r="CC1">
        <f>IFERROR(IF((ISBLANK(VLOOKUP(CC7,#REF!,4,FALSE)))=TRUE,VLOOKUP(CC7,#REF!,3,FALSE),VLOOKUP(CC7,#REF!,4,FALSE)),0)</f>
        <v/>
      </c>
      <c r="CD1">
        <f>IFERROR(IF((ISBLANK(VLOOKUP(CD7,#REF!,4,FALSE)))=TRUE,VLOOKUP(CD7,#REF!,3,FALSE),VLOOKUP(CD7,#REF!,4,FALSE)),0)</f>
        <v/>
      </c>
      <c r="CE1">
        <f>IFERROR(IF((ISBLANK(VLOOKUP(CE7,#REF!,4,FALSE)))=TRUE,VLOOKUP(CE7,#REF!,3,FALSE),VLOOKUP(CE7,#REF!,4,FALSE)),0)</f>
        <v/>
      </c>
      <c r="CF1">
        <f>IFERROR(IF((ISBLANK(VLOOKUP(CF7,#REF!,4,FALSE)))=TRUE,VLOOKUP(CF7,#REF!,3,FALSE),VLOOKUP(CF7,#REF!,4,FALSE)),0)</f>
        <v/>
      </c>
      <c r="CG1">
        <f>IFERROR(IF((ISBLANK(VLOOKUP(CG7,#REF!,4,FALSE)))=TRUE,VLOOKUP(CG7,#REF!,3,FALSE),VLOOKUP(CG7,#REF!,4,FALSE)),0)</f>
        <v/>
      </c>
      <c r="CH1">
        <f>IFERROR(IF((ISBLANK(VLOOKUP(CH7,#REF!,4,FALSE)))=TRUE,VLOOKUP(CH7,#REF!,3,FALSE),VLOOKUP(CH7,#REF!,4,FALSE)),0)</f>
        <v/>
      </c>
      <c r="CI1">
        <f>IFERROR(IF((ISBLANK(VLOOKUP(CI7,#REF!,4,FALSE)))=TRUE,VLOOKUP(CI7,#REF!,3,FALSE),VLOOKUP(CI7,#REF!,4,FALSE)),0)</f>
        <v/>
      </c>
      <c r="CJ1">
        <f>IFERROR(IF((ISBLANK(VLOOKUP(CJ7,#REF!,4,FALSE)))=TRUE,VLOOKUP(CJ7,#REF!,3,FALSE),VLOOKUP(CJ7,#REF!,4,FALSE)),0)</f>
        <v/>
      </c>
      <c r="CK1">
        <f>IFERROR(IF((ISBLANK(VLOOKUP(CK7,#REF!,4,FALSE)))=TRUE,VLOOKUP(CK7,#REF!,3,FALSE),VLOOKUP(CK7,#REF!,4,FALSE)),0)</f>
        <v/>
      </c>
      <c r="CL1">
        <f>IFERROR(IF((ISBLANK(VLOOKUP(CL7,#REF!,4,FALSE)))=TRUE,VLOOKUP(CL7,#REF!,3,FALSE),VLOOKUP(CL7,#REF!,4,FALSE)),0)</f>
        <v/>
      </c>
      <c r="CM1">
        <f>IFERROR(IF((ISBLANK(VLOOKUP(CM7,#REF!,4,FALSE)))=TRUE,VLOOKUP(CM7,#REF!,3,FALSE),VLOOKUP(CM7,#REF!,4,FALSE)),0)</f>
        <v/>
      </c>
      <c r="CN1">
        <f>IFERROR(IF((ISBLANK(VLOOKUP(CN7,#REF!,4,FALSE)))=TRUE,VLOOKUP(CN7,#REF!,3,FALSE),VLOOKUP(CN7,#REF!,4,FALSE)),0)</f>
        <v/>
      </c>
      <c r="CO1">
        <f>IFERROR(IF((ISBLANK(VLOOKUP(CO7,#REF!,4,FALSE)))=TRUE,VLOOKUP(CO7,#REF!,3,FALSE),VLOOKUP(CO7,#REF!,4,FALSE)),0)</f>
        <v/>
      </c>
      <c r="CP1">
        <f>IFERROR(IF((ISBLANK(VLOOKUP(CP7,#REF!,4,FALSE)))=TRUE,VLOOKUP(CP7,#REF!,3,FALSE),VLOOKUP(CP7,#REF!,4,FALSE)),0)</f>
        <v/>
      </c>
      <c r="CQ1">
        <f>IFERROR(IF((ISBLANK(VLOOKUP(CQ7,#REF!,4,FALSE)))=TRUE,VLOOKUP(CQ7,#REF!,3,FALSE),VLOOKUP(CQ7,#REF!,4,FALSE)),0)</f>
        <v/>
      </c>
      <c r="CR1">
        <f>IFERROR(IF((ISBLANK(VLOOKUP(CR7,#REF!,4,FALSE)))=TRUE,VLOOKUP(CR7,#REF!,3,FALSE),VLOOKUP(CR7,#REF!,4,FALSE)),0)</f>
        <v/>
      </c>
      <c r="CS1">
        <f>IFERROR(IF((ISBLANK(VLOOKUP(CS7,#REF!,4,FALSE)))=TRUE,VLOOKUP(CS7,#REF!,3,FALSE),VLOOKUP(CS7,#REF!,4,FALSE)),0)</f>
        <v/>
      </c>
      <c r="CT1">
        <f>IFERROR(IF((ISBLANK(VLOOKUP(CT7,#REF!,4,FALSE)))=TRUE,VLOOKUP(CT7,#REF!,3,FALSE),VLOOKUP(CT7,#REF!,4,FALSE)),0)</f>
        <v/>
      </c>
      <c r="CU1">
        <f>IFERROR(IF((ISBLANK(VLOOKUP(CU7,#REF!,4,FALSE)))=TRUE,VLOOKUP(CU7,#REF!,3,FALSE),VLOOKUP(CU7,#REF!,4,FALSE)),0)</f>
        <v/>
      </c>
      <c r="CV1">
        <f>IFERROR(IF((ISBLANK(VLOOKUP(CV7,#REF!,4,FALSE)))=TRUE,VLOOKUP(CV7,#REF!,3,FALSE),VLOOKUP(CV7,#REF!,4,FALSE)),0)</f>
        <v/>
      </c>
      <c r="CW1">
        <f>IFERROR(IF((ISBLANK(VLOOKUP(CW7,#REF!,4,FALSE)))=TRUE,VLOOKUP(CW7,#REF!,3,FALSE),VLOOKUP(CW7,#REF!,4,FALSE)),0)</f>
        <v/>
      </c>
      <c r="CX1">
        <f>IFERROR(IF((ISBLANK(VLOOKUP(CX7,#REF!,4,FALSE)))=TRUE,VLOOKUP(CX7,#REF!,3,FALSE),VLOOKUP(CX7,#REF!,4,FALSE)),0)</f>
        <v/>
      </c>
      <c r="CY1">
        <f>IFERROR(IF((ISBLANK(VLOOKUP(CY7,#REF!,4,FALSE)))=TRUE,VLOOKUP(CY7,#REF!,3,FALSE),VLOOKUP(CY7,#REF!,4,FALSE)),0)</f>
        <v/>
      </c>
      <c r="CZ1">
        <f>IFERROR(IF((ISBLANK(VLOOKUP(CZ7,#REF!,4,FALSE)))=TRUE,VLOOKUP(CZ7,#REF!,3,FALSE),VLOOKUP(CZ7,#REF!,4,FALSE)),0)</f>
        <v/>
      </c>
      <c r="DA1">
        <f>IFERROR(IF((ISBLANK(VLOOKUP(DA7,#REF!,4,FALSE)))=TRUE,VLOOKUP(DA7,#REF!,3,FALSE),VLOOKUP(DA7,#REF!,4,FALSE)),0)</f>
        <v/>
      </c>
      <c r="DB1">
        <f>IFERROR(IF((ISBLANK(VLOOKUP(DB7,#REF!,4,FALSE)))=TRUE,VLOOKUP(DB7,#REF!,3,FALSE),VLOOKUP(DB7,#REF!,4,FALSE)),0)</f>
        <v/>
      </c>
      <c r="DC1">
        <f>IFERROR(IF((ISBLANK(VLOOKUP(DC7,#REF!,4,FALSE)))=TRUE,VLOOKUP(DC7,#REF!,3,FALSE),VLOOKUP(DC7,#REF!,4,FALSE)),0)</f>
        <v/>
      </c>
      <c r="DD1">
        <f>IFERROR(IF((ISBLANK(VLOOKUP(DD7,#REF!,4,FALSE)))=TRUE,VLOOKUP(DD7,#REF!,3,FALSE),VLOOKUP(DD7,#REF!,4,FALSE)),0)</f>
        <v/>
      </c>
      <c r="DE1">
        <f>IFERROR(IF((ISBLANK(VLOOKUP(DE7,#REF!,4,FALSE)))=TRUE,VLOOKUP(DE7,#REF!,3,FALSE),VLOOKUP(DE7,#REF!,4,FALSE)),0)</f>
        <v/>
      </c>
      <c r="DF1">
        <f>IFERROR(IF((ISBLANK(VLOOKUP(DF7,#REF!,4,FALSE)))=TRUE,VLOOKUP(DF7,#REF!,3,FALSE),VLOOKUP(DF7,#REF!,4,FALSE)),0)</f>
        <v/>
      </c>
      <c r="DG1">
        <f>IFERROR(IF((ISBLANK(VLOOKUP(DG7,#REF!,4,FALSE)))=TRUE,VLOOKUP(DG7,#REF!,3,FALSE),VLOOKUP(DG7,#REF!,4,FALSE)),0)</f>
        <v/>
      </c>
      <c r="DH1">
        <f>IFERROR(IF((ISBLANK(VLOOKUP(DH7,#REF!,4,FALSE)))=TRUE,VLOOKUP(DH7,#REF!,3,FALSE),VLOOKUP(DH7,#REF!,4,FALSE)),0)</f>
        <v/>
      </c>
      <c r="DI1">
        <f>IFERROR(IF((ISBLANK(VLOOKUP(DI7,#REF!,4,FALSE)))=TRUE,VLOOKUP(DI7,#REF!,3,FALSE),VLOOKUP(DI7,#REF!,4,FALSE)),0)</f>
        <v/>
      </c>
      <c r="DJ1">
        <f>IFERROR(IF((ISBLANK(VLOOKUP(DJ7,#REF!,4,FALSE)))=TRUE,VLOOKUP(DJ7,#REF!,3,FALSE),VLOOKUP(DJ7,#REF!,4,FALSE)),0)</f>
        <v/>
      </c>
      <c r="DK1">
        <f>IFERROR(IF((ISBLANK(VLOOKUP(DK7,#REF!,4,FALSE)))=TRUE,VLOOKUP(DK7,#REF!,3,FALSE),VLOOKUP(DK7,#REF!,4,FALSE)),0)</f>
        <v/>
      </c>
      <c r="DL1">
        <f>IFERROR(IF((ISBLANK(VLOOKUP(DL7,#REF!,4,FALSE)))=TRUE,VLOOKUP(DL7,#REF!,3,FALSE),VLOOKUP(DL7,#REF!,4,FALSE)),0)</f>
        <v/>
      </c>
      <c r="DM1">
        <f>IFERROR(IF((ISBLANK(VLOOKUP(DM7,#REF!,4,FALSE)))=TRUE,VLOOKUP(DM7,#REF!,3,FALSE),VLOOKUP(DM7,#REF!,4,FALSE)),0)</f>
        <v/>
      </c>
      <c r="DN1">
        <f>IFERROR(IF((ISBLANK(VLOOKUP(DN7,#REF!,4,FALSE)))=TRUE,VLOOKUP(DN7,#REF!,3,FALSE),VLOOKUP(DN7,#REF!,4,FALSE)),0)</f>
        <v/>
      </c>
      <c r="DO1">
        <f>IFERROR(IF((ISBLANK(VLOOKUP(DO7,#REF!,4,FALSE)))=TRUE,VLOOKUP(DO7,#REF!,3,FALSE),VLOOKUP(DO7,#REF!,4,FALSE)),0)</f>
        <v/>
      </c>
      <c r="DP1">
        <f>IFERROR(IF((ISBLANK(VLOOKUP(DP7,#REF!,4,FALSE)))=TRUE,VLOOKUP(DP7,#REF!,3,FALSE),VLOOKUP(DP7,#REF!,4,FALSE)),0)</f>
        <v/>
      </c>
      <c r="DQ1">
        <f>IFERROR(IF((ISBLANK(VLOOKUP(DQ7,#REF!,4,FALSE)))=TRUE,VLOOKUP(DQ7,#REF!,3,FALSE),VLOOKUP(DQ7,#REF!,4,FALSE)),0)</f>
        <v/>
      </c>
      <c r="DR1">
        <f>IFERROR(IF((ISBLANK(VLOOKUP(DR7,#REF!,4,FALSE)))=TRUE,VLOOKUP(DR7,#REF!,3,FALSE),VLOOKUP(DR7,#REF!,4,FALSE)),0)</f>
        <v/>
      </c>
      <c r="DS1">
        <f>IFERROR(IF((ISBLANK(VLOOKUP(DS7,#REF!,4,FALSE)))=TRUE,VLOOKUP(DS7,#REF!,3,FALSE),VLOOKUP(DS7,#REF!,4,FALSE)),0)</f>
        <v/>
      </c>
      <c r="DT1">
        <f>IFERROR(IF((ISBLANK(VLOOKUP(DT7,#REF!,4,FALSE)))=TRUE,VLOOKUP(DT7,#REF!,3,FALSE),VLOOKUP(DT7,#REF!,4,FALSE)),0)</f>
        <v/>
      </c>
      <c r="DU1">
        <f>IFERROR(IF((ISBLANK(VLOOKUP(DU7,#REF!,4,FALSE)))=TRUE,VLOOKUP(DU7,#REF!,3,FALSE),VLOOKUP(DU7,#REF!,4,FALSE)),0)</f>
        <v/>
      </c>
      <c r="DV1">
        <f>IFERROR(IF((ISBLANK(VLOOKUP(DV7,#REF!,4,FALSE)))=TRUE,VLOOKUP(DV7,#REF!,3,FALSE),VLOOKUP(DV7,#REF!,4,FALSE)),0)</f>
        <v/>
      </c>
      <c r="DW1">
        <f>IFERROR(IF((ISBLANK(VLOOKUP(DW7,#REF!,4,FALSE)))=TRUE,VLOOKUP(DW7,#REF!,3,FALSE),VLOOKUP(DW7,#REF!,4,FALSE)),0)</f>
        <v/>
      </c>
      <c r="DX1">
        <f>IFERROR(IF((ISBLANK(VLOOKUP(DX7,#REF!,4,FALSE)))=TRUE,VLOOKUP(DX7,#REF!,3,FALSE),VLOOKUP(DX7,#REF!,4,FALSE)),0)</f>
        <v/>
      </c>
      <c r="DY1">
        <f>IFERROR(IF((ISBLANK(VLOOKUP(DY7,#REF!,4,FALSE)))=TRUE,VLOOKUP(DY7,#REF!,3,FALSE),VLOOKUP(DY7,#REF!,4,FALSE)),0)</f>
        <v/>
      </c>
      <c r="DZ1">
        <f>IFERROR(IF((ISBLANK(VLOOKUP(DZ7,#REF!,4,FALSE)))=TRUE,VLOOKUP(DZ7,#REF!,3,FALSE),VLOOKUP(DZ7,#REF!,4,FALSE)),0)</f>
        <v/>
      </c>
      <c r="EA1">
        <f>IFERROR(IF((ISBLANK(VLOOKUP(EA7,#REF!,4,FALSE)))=TRUE,VLOOKUP(EA7,#REF!,3,FALSE),VLOOKUP(EA7,#REF!,4,FALSE)),0)</f>
        <v/>
      </c>
      <c r="EB1">
        <f>IFERROR(IF((ISBLANK(VLOOKUP(EB7,#REF!,4,FALSE)))=TRUE,VLOOKUP(EB7,#REF!,3,FALSE),VLOOKUP(EB7,#REF!,4,FALSE)),0)</f>
        <v/>
      </c>
      <c r="EC1">
        <f>IFERROR(IF((ISBLANK(VLOOKUP(EC7,#REF!,4,FALSE)))=TRUE,VLOOKUP(EC7,#REF!,3,FALSE),VLOOKUP(EC7,#REF!,4,FALSE)),0)</f>
        <v/>
      </c>
      <c r="ED1">
        <f>IFERROR(IF((ISBLANK(VLOOKUP(ED7,#REF!,4,FALSE)))=TRUE,VLOOKUP(ED7,#REF!,3,FALSE),VLOOKUP(ED7,#REF!,4,FALSE)),0)</f>
        <v/>
      </c>
      <c r="EE1">
        <f>IFERROR(IF((ISBLANK(VLOOKUP(EE7,#REF!,4,FALSE)))=TRUE,VLOOKUP(EE7,#REF!,3,FALSE),VLOOKUP(EE7,#REF!,4,FALSE)),0)</f>
        <v/>
      </c>
      <c r="EF1">
        <f>IFERROR(IF((ISBLANK(VLOOKUP(EF7,#REF!,4,FALSE)))=TRUE,VLOOKUP(EF7,#REF!,3,FALSE),VLOOKUP(EF7,#REF!,4,FALSE)),0)</f>
        <v/>
      </c>
      <c r="EG1">
        <f>IFERROR(IF((ISBLANK(VLOOKUP(EG7,#REF!,4,FALSE)))=TRUE,VLOOKUP(EG7,#REF!,3,FALSE),VLOOKUP(EG7,#REF!,4,FALSE)),0)</f>
        <v/>
      </c>
      <c r="EH1">
        <f>IFERROR(IF((ISBLANK(VLOOKUP(EH7,#REF!,4,FALSE)))=TRUE,VLOOKUP(EH7,#REF!,3,FALSE),VLOOKUP(EH7,#REF!,4,FALSE)),0)</f>
        <v/>
      </c>
      <c r="EI1">
        <f>IFERROR(IF((ISBLANK(VLOOKUP(EI7,#REF!,4,FALSE)))=TRUE,VLOOKUP(EI7,#REF!,3,FALSE),VLOOKUP(EI7,#REF!,4,FALSE)),0)</f>
        <v/>
      </c>
      <c r="EJ1">
        <f>IFERROR(IF((ISBLANK(VLOOKUP(EJ7,#REF!,4,FALSE)))=TRUE,VLOOKUP(EJ7,#REF!,3,FALSE),VLOOKUP(EJ7,#REF!,4,FALSE)),0)</f>
        <v/>
      </c>
      <c r="EK1">
        <f>IFERROR(IF((ISBLANK(VLOOKUP(EK7,#REF!,4,FALSE)))=TRUE,VLOOKUP(EK7,#REF!,3,FALSE),VLOOKUP(EK7,#REF!,4,FALSE)),0)</f>
        <v/>
      </c>
      <c r="EL1">
        <f>IFERROR(IF((ISBLANK(VLOOKUP(EL7,#REF!,4,FALSE)))=TRUE,VLOOKUP(EL7,#REF!,3,FALSE),VLOOKUP(EL7,#REF!,4,FALSE)),0)</f>
        <v/>
      </c>
      <c r="EM1">
        <f>IFERROR(IF((ISBLANK(VLOOKUP(EM7,#REF!,4,FALSE)))=TRUE,VLOOKUP(EM7,#REF!,3,FALSE),VLOOKUP(EM7,#REF!,4,FALSE)),0)</f>
        <v/>
      </c>
      <c r="EN1">
        <f>IFERROR(IF((ISBLANK(VLOOKUP(EN7,#REF!,4,FALSE)))=TRUE,VLOOKUP(EN7,#REF!,3,FALSE),VLOOKUP(EN7,#REF!,4,FALSE)),0)</f>
        <v/>
      </c>
      <c r="EO1">
        <f>IFERROR(IF((ISBLANK(VLOOKUP(EO7,#REF!,4,FALSE)))=TRUE,VLOOKUP(EO7,#REF!,3,FALSE),VLOOKUP(EO7,#REF!,4,FALSE)),0)</f>
        <v/>
      </c>
      <c r="EP1">
        <f>IFERROR(IF((ISBLANK(VLOOKUP(EP7,#REF!,4,FALSE)))=TRUE,VLOOKUP(EP7,#REF!,3,FALSE),VLOOKUP(EP7,#REF!,4,FALSE)),0)</f>
        <v/>
      </c>
      <c r="EQ1">
        <f>IFERROR(IF((ISBLANK(VLOOKUP(EQ7,#REF!,4,FALSE)))=TRUE,VLOOKUP(EQ7,#REF!,3,FALSE),VLOOKUP(EQ7,#REF!,4,FALSE)),0)</f>
        <v/>
      </c>
      <c r="ER1">
        <f>IFERROR(IF((ISBLANK(VLOOKUP(ER7,#REF!,4,FALSE)))=TRUE,VLOOKUP(ER7,#REF!,3,FALSE),VLOOKUP(ER7,#REF!,4,FALSE)),0)</f>
        <v/>
      </c>
      <c r="ES1">
        <f>IFERROR(IF((ISBLANK(VLOOKUP(ES7,#REF!,4,FALSE)))=TRUE,VLOOKUP(ES7,#REF!,3,FALSE),VLOOKUP(ES7,#REF!,4,FALSE)),0)</f>
        <v/>
      </c>
      <c r="ET1">
        <f>IFERROR(IF((ISBLANK(VLOOKUP(ET7,#REF!,4,FALSE)))=TRUE,VLOOKUP(ET7,#REF!,3,FALSE),VLOOKUP(ET7,#REF!,4,FALSE)),0)</f>
        <v/>
      </c>
      <c r="EU1">
        <f>IFERROR(IF((ISBLANK(VLOOKUP(EU7,#REF!,4,FALSE)))=TRUE,VLOOKUP(EU7,#REF!,3,FALSE),VLOOKUP(EU7,#REF!,4,FALSE)),0)</f>
        <v/>
      </c>
      <c r="EV1">
        <f>IFERROR(IF((ISBLANK(VLOOKUP(EV7,#REF!,4,FALSE)))=TRUE,VLOOKUP(EV7,#REF!,3,FALSE),VLOOKUP(EV7,#REF!,4,FALSE)),0)</f>
        <v/>
      </c>
      <c r="EW1">
        <f>IFERROR(IF((ISBLANK(VLOOKUP(EW7,#REF!,4,FALSE)))=TRUE,VLOOKUP(EW7,#REF!,3,FALSE),VLOOKUP(EW7,#REF!,4,FALSE)),0)</f>
        <v/>
      </c>
      <c r="EX1">
        <f>IFERROR(IF((ISBLANK(VLOOKUP(EX7,#REF!,4,FALSE)))=TRUE,VLOOKUP(EX7,#REF!,3,FALSE),VLOOKUP(EX7,#REF!,4,FALSE)),0)</f>
        <v/>
      </c>
      <c r="EY1">
        <f>IFERROR(IF((ISBLANK(VLOOKUP(EY7,#REF!,4,FALSE)))=TRUE,VLOOKUP(EY7,#REF!,3,FALSE),VLOOKUP(EY7,#REF!,4,FALSE)),0)</f>
        <v/>
      </c>
      <c r="EZ1">
        <f>IFERROR(IF((ISBLANK(VLOOKUP(EZ7,#REF!,4,FALSE)))=TRUE,VLOOKUP(EZ7,#REF!,3,FALSE),VLOOKUP(EZ7,#REF!,4,FALSE)),0)</f>
        <v/>
      </c>
      <c r="FA1">
        <f>IFERROR(IF((ISBLANK(VLOOKUP(FA7,#REF!,4,FALSE)))=TRUE,VLOOKUP(FA7,#REF!,3,FALSE),VLOOKUP(FA7,#REF!,4,FALSE)),0)</f>
        <v/>
      </c>
      <c r="FB1">
        <f>IFERROR(IF((ISBLANK(VLOOKUP(FB7,#REF!,4,FALSE)))=TRUE,VLOOKUP(FB7,#REF!,3,FALSE),VLOOKUP(FB7,#REF!,4,FALSE)),0)</f>
        <v/>
      </c>
      <c r="FC1">
        <f>IFERROR(IF((ISBLANK(VLOOKUP(FC7,#REF!,4,FALSE)))=TRUE,VLOOKUP(FC7,#REF!,3,FALSE),VLOOKUP(FC7,#REF!,4,FALSE)),0)</f>
        <v/>
      </c>
      <c r="FD1">
        <f>IFERROR(IF((ISBLANK(VLOOKUP(FD7,#REF!,4,FALSE)))=TRUE,VLOOKUP(FD7,#REF!,3,FALSE),VLOOKUP(FD7,#REF!,4,FALSE)),0)</f>
        <v/>
      </c>
      <c r="FE1">
        <f>IFERROR(IF((ISBLANK(VLOOKUP(FE7,#REF!,4,FALSE)))=TRUE,VLOOKUP(FE7,#REF!,3,FALSE),VLOOKUP(FE7,#REF!,4,FALSE)),0)</f>
        <v/>
      </c>
      <c r="FF1">
        <f>IFERROR(IF((ISBLANK(VLOOKUP(FF7,#REF!,4,FALSE)))=TRUE,VLOOKUP(FF7,#REF!,3,FALSE),VLOOKUP(FF7,#REF!,4,FALSE)),0)</f>
        <v/>
      </c>
      <c r="FG1">
        <f>IFERROR(IF((ISBLANK(VLOOKUP(FG7,#REF!,4,FALSE)))=TRUE,VLOOKUP(FG7,#REF!,3,FALSE),VLOOKUP(FG7,#REF!,4,FALSE)),0)</f>
        <v/>
      </c>
      <c r="FH1">
        <f>IFERROR(IF((ISBLANK(VLOOKUP(FH7,#REF!,4,FALSE)))=TRUE,VLOOKUP(FH7,#REF!,3,FALSE),VLOOKUP(FH7,#REF!,4,FALSE)),0)</f>
        <v/>
      </c>
      <c r="FI1">
        <f>IFERROR(IF((ISBLANK(VLOOKUP(FI7,#REF!,4,FALSE)))=TRUE,VLOOKUP(FI7,#REF!,3,FALSE),VLOOKUP(FI7,#REF!,4,FALSE)),0)</f>
        <v/>
      </c>
      <c r="FJ1">
        <f>IFERROR(IF((ISBLANK(VLOOKUP(FJ7,#REF!,4,FALSE)))=TRUE,VLOOKUP(FJ7,#REF!,3,FALSE),VLOOKUP(FJ7,#REF!,4,FALSE)),0)</f>
        <v/>
      </c>
      <c r="FK1">
        <f>IFERROR(IF((ISBLANK(VLOOKUP(FK7,#REF!,4,FALSE)))=TRUE,VLOOKUP(FK7,#REF!,3,FALSE),VLOOKUP(FK7,#REF!,4,FALSE)),0)</f>
        <v/>
      </c>
      <c r="FL1">
        <f>IFERROR(IF((ISBLANK(VLOOKUP(FL7,#REF!,4,FALSE)))=TRUE,VLOOKUP(FL7,#REF!,3,FALSE),VLOOKUP(FL7,#REF!,4,FALSE)),0)</f>
        <v/>
      </c>
      <c r="FM1">
        <f>IFERROR(IF((ISBLANK(VLOOKUP(FM7,#REF!,4,FALSE)))=TRUE,VLOOKUP(FM7,#REF!,3,FALSE),VLOOKUP(FM7,#REF!,4,FALSE)),0)</f>
        <v/>
      </c>
      <c r="FN1">
        <f>IFERROR(IF((ISBLANK(VLOOKUP(FN7,#REF!,4,FALSE)))=TRUE,VLOOKUP(FN7,#REF!,3,FALSE),VLOOKUP(FN7,#REF!,4,FALSE)),0)</f>
        <v/>
      </c>
      <c r="FO1">
        <f>IFERROR(IF((ISBLANK(VLOOKUP(FO7,#REF!,4,FALSE)))=TRUE,VLOOKUP(FO7,#REF!,3,FALSE),VLOOKUP(FO7,#REF!,4,FALSE)),0)</f>
        <v/>
      </c>
      <c r="FP1">
        <f>IFERROR(IF((ISBLANK(VLOOKUP(FP7,#REF!,4,FALSE)))=TRUE,VLOOKUP(FP7,#REF!,3,FALSE),VLOOKUP(FP7,#REF!,4,FALSE)),0)</f>
        <v/>
      </c>
      <c r="FQ1">
        <f>IFERROR(IF((ISBLANK(VLOOKUP(FQ7,#REF!,4,FALSE)))=TRUE,VLOOKUP(FQ7,#REF!,3,FALSE),VLOOKUP(FQ7,#REF!,4,FALSE)),0)</f>
        <v/>
      </c>
      <c r="FR1">
        <f>IFERROR(IF((ISBLANK(VLOOKUP(FR7,#REF!,4,FALSE)))=TRUE,VLOOKUP(FR7,#REF!,3,FALSE),VLOOKUP(FR7,#REF!,4,FALSE)),0)</f>
        <v/>
      </c>
      <c r="FS1">
        <f>IFERROR(IF((ISBLANK(VLOOKUP(FS7,#REF!,4,FALSE)))=TRUE,VLOOKUP(FS7,#REF!,3,FALSE),VLOOKUP(FS7,#REF!,4,FALSE)),0)</f>
        <v/>
      </c>
      <c r="FT1">
        <f>IFERROR(IF((ISBLANK(VLOOKUP(FT7,#REF!,4,FALSE)))=TRUE,VLOOKUP(FT7,#REF!,3,FALSE),VLOOKUP(FT7,#REF!,4,FALSE)),0)</f>
        <v/>
      </c>
      <c r="FU1">
        <f>IFERROR(IF((ISBLANK(VLOOKUP(FU7,#REF!,4,FALSE)))=TRUE,VLOOKUP(FU7,#REF!,3,FALSE),VLOOKUP(FU7,#REF!,4,FALSE)),0)</f>
        <v/>
      </c>
      <c r="FV1">
        <f>IFERROR(IF((ISBLANK(VLOOKUP(FV7,#REF!,4,FALSE)))=TRUE,VLOOKUP(FV7,#REF!,3,FALSE),VLOOKUP(FV7,#REF!,4,FALSE)),0)</f>
        <v/>
      </c>
      <c r="FW1">
        <f>IFERROR(IF((ISBLANK(VLOOKUP(FW7,#REF!,4,FALSE)))=TRUE,VLOOKUP(FW7,#REF!,3,FALSE),VLOOKUP(FW7,#REF!,4,FALSE)),0)</f>
        <v/>
      </c>
      <c r="FX1">
        <f>IFERROR(IF((ISBLANK(VLOOKUP(FX7,#REF!,4,FALSE)))=TRUE,VLOOKUP(FX7,#REF!,3,FALSE),VLOOKUP(FX7,#REF!,4,FALSE)),0)</f>
        <v/>
      </c>
      <c r="FY1">
        <f>IFERROR(IF((ISBLANK(VLOOKUP(FY7,#REF!,4,FALSE)))=TRUE,VLOOKUP(FY7,#REF!,3,FALSE),VLOOKUP(FY7,#REF!,4,FALSE)),0)</f>
        <v/>
      </c>
      <c r="FZ1">
        <f>IFERROR(IF((ISBLANK(VLOOKUP(FZ7,#REF!,4,FALSE)))=TRUE,VLOOKUP(FZ7,#REF!,3,FALSE),VLOOKUP(FZ7,#REF!,4,FALSE)),0)</f>
        <v/>
      </c>
      <c r="GA1">
        <f>IFERROR(IF((ISBLANK(VLOOKUP(GA7,#REF!,4,FALSE)))=TRUE,VLOOKUP(GA7,#REF!,3,FALSE),VLOOKUP(GA7,#REF!,4,FALSE)),0)</f>
        <v/>
      </c>
      <c r="GB1">
        <f>IFERROR(IF((ISBLANK(VLOOKUP(GB7,#REF!,4,FALSE)))=TRUE,VLOOKUP(GB7,#REF!,3,FALSE),VLOOKUP(GB7,#REF!,4,FALSE)),0)</f>
        <v/>
      </c>
      <c r="GC1">
        <f>IFERROR(IF((ISBLANK(VLOOKUP(GC7,#REF!,4,FALSE)))=TRUE,VLOOKUP(GC7,#REF!,3,FALSE),VLOOKUP(GC7,#REF!,4,FALSE)),0)</f>
        <v/>
      </c>
      <c r="GD1">
        <f>IFERROR(IF((ISBLANK(VLOOKUP(GD7,#REF!,4,FALSE)))=TRUE,VLOOKUP(GD7,#REF!,3,FALSE),VLOOKUP(GD7,#REF!,4,FALSE)),0)</f>
        <v/>
      </c>
      <c r="GE1">
        <f>IFERROR(IF((ISBLANK(VLOOKUP(GE7,#REF!,4,FALSE)))=TRUE,VLOOKUP(GE7,#REF!,3,FALSE),VLOOKUP(GE7,#REF!,4,FALSE)),0)</f>
        <v/>
      </c>
      <c r="GF1">
        <f>IFERROR(IF((ISBLANK(VLOOKUP(GF7,#REF!,4,FALSE)))=TRUE,VLOOKUP(GF7,#REF!,3,FALSE),VLOOKUP(GF7,#REF!,4,FALSE)),0)</f>
        <v/>
      </c>
      <c r="GG1">
        <f>IFERROR(IF((ISBLANK(VLOOKUP(GG7,#REF!,4,FALSE)))=TRUE,VLOOKUP(GG7,#REF!,3,FALSE),VLOOKUP(GG7,#REF!,4,FALSE)),0)</f>
        <v/>
      </c>
      <c r="GH1">
        <f>IFERROR(IF((ISBLANK(VLOOKUP(GH7,#REF!,4,FALSE)))=TRUE,VLOOKUP(GH7,#REF!,3,FALSE),VLOOKUP(GH7,#REF!,4,FALSE)),0)</f>
        <v/>
      </c>
      <c r="GI1">
        <f>IFERROR(IF((ISBLANK(VLOOKUP(GI7,#REF!,4,FALSE)))=TRUE,VLOOKUP(GI7,#REF!,3,FALSE),VLOOKUP(GI7,#REF!,4,FALSE)),0)</f>
        <v/>
      </c>
      <c r="GJ1">
        <f>IFERROR(IF((ISBLANK(VLOOKUP(GJ7,#REF!,4,FALSE)))=TRUE,VLOOKUP(GJ7,#REF!,3,FALSE),VLOOKUP(GJ7,#REF!,4,FALSE)),0)</f>
        <v/>
      </c>
      <c r="GK1">
        <f>IFERROR(IF((ISBLANK(VLOOKUP(GK7,#REF!,4,FALSE)))=TRUE,VLOOKUP(GK7,#REF!,3,FALSE),VLOOKUP(GK7,#REF!,4,FALSE)),0)</f>
        <v/>
      </c>
      <c r="GL1">
        <f>IFERROR(IF((ISBLANK(VLOOKUP(GL7,#REF!,4,FALSE)))=TRUE,VLOOKUP(GL7,#REF!,3,FALSE),VLOOKUP(GL7,#REF!,4,FALSE)),0)</f>
        <v/>
      </c>
      <c r="GM1">
        <f>IFERROR(IF((ISBLANK(VLOOKUP(GM7,#REF!,4,FALSE)))=TRUE,VLOOKUP(GM7,#REF!,3,FALSE),VLOOKUP(GM7,#REF!,4,FALSE)),0)</f>
        <v/>
      </c>
      <c r="GN1">
        <f>IFERROR(IF((ISBLANK(VLOOKUP(GN7,#REF!,4,FALSE)))=TRUE,VLOOKUP(GN7,#REF!,3,FALSE),VLOOKUP(GN7,#REF!,4,FALSE)),0)</f>
        <v/>
      </c>
      <c r="GO1">
        <f>IFERROR(IF((ISBLANK(VLOOKUP(GO7,#REF!,4,FALSE)))=TRUE,VLOOKUP(GO7,#REF!,3,FALSE),VLOOKUP(GO7,#REF!,4,FALSE)),0)</f>
        <v/>
      </c>
      <c r="GP1">
        <f>IFERROR(IF((ISBLANK(VLOOKUP(GP7,#REF!,4,FALSE)))=TRUE,VLOOKUP(GP7,#REF!,3,FALSE),VLOOKUP(GP7,#REF!,4,FALSE)),0)</f>
        <v/>
      </c>
      <c r="GQ1">
        <f>IFERROR(IF((ISBLANK(VLOOKUP(GQ7,#REF!,4,FALSE)))=TRUE,VLOOKUP(GQ7,#REF!,3,FALSE),VLOOKUP(GQ7,#REF!,4,FALSE)),0)</f>
        <v/>
      </c>
      <c r="GR1">
        <f>IFERROR(IF((ISBLANK(VLOOKUP(GR7,#REF!,4,FALSE)))=TRUE,VLOOKUP(GR7,#REF!,3,FALSE),VLOOKUP(GR7,#REF!,4,FALSE)),0)</f>
        <v/>
      </c>
      <c r="GS1">
        <f>IFERROR(IF((ISBLANK(VLOOKUP(GS7,#REF!,4,FALSE)))=TRUE,VLOOKUP(GS7,#REF!,3,FALSE),VLOOKUP(GS7,#REF!,4,FALSE)),0)</f>
        <v/>
      </c>
      <c r="GT1">
        <f>IFERROR(IF((ISBLANK(VLOOKUP(GT7,#REF!,4,FALSE)))=TRUE,VLOOKUP(GT7,#REF!,3,FALSE),VLOOKUP(GT7,#REF!,4,FALSE)),0)</f>
        <v/>
      </c>
      <c r="GU1">
        <f>IFERROR(IF((ISBLANK(VLOOKUP(GU7,#REF!,4,FALSE)))=TRUE,VLOOKUP(GU7,#REF!,3,FALSE),VLOOKUP(GU7,#REF!,4,FALSE)),0)</f>
        <v/>
      </c>
      <c r="GV1">
        <f>IFERROR(IF((ISBLANK(VLOOKUP(GV7,#REF!,4,FALSE)))=TRUE,VLOOKUP(GV7,#REF!,3,FALSE),VLOOKUP(GV7,#REF!,4,FALSE)),0)</f>
        <v/>
      </c>
      <c r="GW1">
        <f>IFERROR(IF((ISBLANK(VLOOKUP(GW7,#REF!,4,FALSE)))=TRUE,VLOOKUP(GW7,#REF!,3,FALSE),VLOOKUP(GW7,#REF!,4,FALSE)),0)</f>
        <v/>
      </c>
      <c r="GX1">
        <f>IFERROR(IF((ISBLANK(VLOOKUP(GX7,#REF!,4,FALSE)))=TRUE,VLOOKUP(GX7,#REF!,3,FALSE),VLOOKUP(GX7,#REF!,4,FALSE)),0)</f>
        <v/>
      </c>
      <c r="GY1">
        <f>IFERROR(IF((ISBLANK(VLOOKUP(GY7,#REF!,4,FALSE)))=TRUE,VLOOKUP(GY7,#REF!,3,FALSE),VLOOKUP(GY7,#REF!,4,FALSE)),0)</f>
        <v/>
      </c>
      <c r="GZ1">
        <f>IFERROR(IF((ISBLANK(VLOOKUP(GZ7,#REF!,4,FALSE)))=TRUE,VLOOKUP(GZ7,#REF!,3,FALSE),VLOOKUP(GZ7,#REF!,4,FALSE)),0)</f>
        <v/>
      </c>
      <c r="HA1">
        <f>IFERROR(IF((ISBLANK(VLOOKUP(HA7,#REF!,4,FALSE)))=TRUE,VLOOKUP(HA7,#REF!,3,FALSE),VLOOKUP(HA7,#REF!,4,FALSE)),0)</f>
        <v/>
      </c>
      <c r="HB1">
        <f>IFERROR(IF((ISBLANK(VLOOKUP(HB7,#REF!,4,FALSE)))=TRUE,VLOOKUP(HB7,#REF!,3,FALSE),VLOOKUP(HB7,#REF!,4,FALSE)),0)</f>
        <v/>
      </c>
      <c r="HC1">
        <f>IFERROR(IF((ISBLANK(VLOOKUP(HC7,#REF!,4,FALSE)))=TRUE,VLOOKUP(HC7,#REF!,3,FALSE),VLOOKUP(HC7,#REF!,4,FALSE)),0)</f>
        <v/>
      </c>
      <c r="HD1">
        <f>IFERROR(IF((ISBLANK(VLOOKUP(HD7,#REF!,4,FALSE)))=TRUE,VLOOKUP(HD7,#REF!,3,FALSE),VLOOKUP(HD7,#REF!,4,FALSE)),0)</f>
        <v/>
      </c>
      <c r="HE1">
        <f>IFERROR(IF((ISBLANK(VLOOKUP(HE7,#REF!,4,FALSE)))=TRUE,VLOOKUP(HE7,#REF!,3,FALSE),VLOOKUP(HE7,#REF!,4,FALSE)),0)</f>
        <v/>
      </c>
      <c r="HF1">
        <f>IFERROR(IF((ISBLANK(VLOOKUP(HF7,#REF!,4,FALSE)))=TRUE,VLOOKUP(HF7,#REF!,3,FALSE),VLOOKUP(HF7,#REF!,4,FALSE)),0)</f>
        <v/>
      </c>
      <c r="HG1">
        <f>IFERROR(IF((ISBLANK(VLOOKUP(HG7,#REF!,4,FALSE)))=TRUE,VLOOKUP(HG7,#REF!,3,FALSE),VLOOKUP(HG7,#REF!,4,FALSE)),0)</f>
        <v/>
      </c>
      <c r="HH1">
        <f>IFERROR(IF((ISBLANK(VLOOKUP(HH7,#REF!,4,FALSE)))=TRUE,VLOOKUP(HH7,#REF!,3,FALSE),VLOOKUP(HH7,#REF!,4,FALSE)),0)</f>
        <v/>
      </c>
      <c r="HI1">
        <f>IFERROR(IF((ISBLANK(VLOOKUP(HI7,#REF!,4,FALSE)))=TRUE,VLOOKUP(HI7,#REF!,3,FALSE),VLOOKUP(HI7,#REF!,4,FALSE)),0)</f>
        <v/>
      </c>
      <c r="HJ1">
        <f>IFERROR(IF((ISBLANK(VLOOKUP(HJ7,#REF!,4,FALSE)))=TRUE,VLOOKUP(HJ7,#REF!,3,FALSE),VLOOKUP(HJ7,#REF!,4,FALSE)),0)</f>
        <v/>
      </c>
      <c r="HK1">
        <f>IFERROR(IF((ISBLANK(VLOOKUP(HK7,#REF!,4,FALSE)))=TRUE,VLOOKUP(HK7,#REF!,3,FALSE),VLOOKUP(HK7,#REF!,4,FALSE)),0)</f>
        <v/>
      </c>
      <c r="HL1">
        <f>IFERROR(IF((ISBLANK(VLOOKUP(HL7,#REF!,4,FALSE)))=TRUE,VLOOKUP(HL7,#REF!,3,FALSE),VLOOKUP(HL7,#REF!,4,FALSE)),0)</f>
        <v/>
      </c>
      <c r="HM1">
        <f>IFERROR(IF((ISBLANK(VLOOKUP(HM7,#REF!,4,FALSE)))=TRUE,VLOOKUP(HM7,#REF!,3,FALSE),VLOOKUP(HM7,#REF!,4,FALSE)),0)</f>
        <v/>
      </c>
      <c r="HN1">
        <f>IFERROR(IF((ISBLANK(VLOOKUP(HN7,#REF!,4,FALSE)))=TRUE,VLOOKUP(HN7,#REF!,3,FALSE),VLOOKUP(HN7,#REF!,4,FALSE)),0)</f>
        <v/>
      </c>
      <c r="HO1">
        <f>IFERROR(IF((ISBLANK(VLOOKUP(HO7,#REF!,4,FALSE)))=TRUE,VLOOKUP(HO7,#REF!,3,FALSE),VLOOKUP(HO7,#REF!,4,FALSE)),0)</f>
        <v/>
      </c>
      <c r="HP1">
        <f>IFERROR(IF((ISBLANK(VLOOKUP(HP7,#REF!,4,FALSE)))=TRUE,VLOOKUP(HP7,#REF!,3,FALSE),VLOOKUP(HP7,#REF!,4,FALSE)),0)</f>
        <v/>
      </c>
      <c r="HQ1">
        <f>IFERROR(IF((ISBLANK(VLOOKUP(HQ7,#REF!,4,FALSE)))=TRUE,VLOOKUP(HQ7,#REF!,3,FALSE),VLOOKUP(HQ7,#REF!,4,FALSE)),0)</f>
        <v/>
      </c>
      <c r="HR1">
        <f>IFERROR(IF((ISBLANK(VLOOKUP(HR7,#REF!,4,FALSE)))=TRUE,VLOOKUP(HR7,#REF!,3,FALSE),VLOOKUP(HR7,#REF!,4,FALSE)),0)</f>
        <v/>
      </c>
      <c r="HS1">
        <f>IFERROR(IF((ISBLANK(VLOOKUP(HS7,#REF!,4,FALSE)))=TRUE,VLOOKUP(HS7,#REF!,3,FALSE),VLOOKUP(HS7,#REF!,4,FALSE)),0)</f>
        <v/>
      </c>
      <c r="HT1">
        <f>IFERROR(IF((ISBLANK(VLOOKUP(HT7,#REF!,4,FALSE)))=TRUE,VLOOKUP(HT7,#REF!,3,FALSE),VLOOKUP(HT7,#REF!,4,FALSE)),0)</f>
        <v/>
      </c>
      <c r="HU1">
        <f>IFERROR(IF((ISBLANK(VLOOKUP(HU7,#REF!,4,FALSE)))=TRUE,VLOOKUP(HU7,#REF!,3,FALSE),VLOOKUP(HU7,#REF!,4,FALSE)),0)</f>
        <v/>
      </c>
      <c r="HV1">
        <f>IFERROR(IF((ISBLANK(VLOOKUP(HV7,#REF!,4,FALSE)))=TRUE,VLOOKUP(HV7,#REF!,3,FALSE),VLOOKUP(HV7,#REF!,4,FALSE)),0)</f>
        <v/>
      </c>
      <c r="HW1">
        <f>IFERROR(IF((ISBLANK(VLOOKUP(HW7,#REF!,4,FALSE)))=TRUE,VLOOKUP(HW7,#REF!,3,FALSE),VLOOKUP(HW7,#REF!,4,FALSE)),0)</f>
        <v/>
      </c>
      <c r="HX1">
        <f>IFERROR(IF((ISBLANK(VLOOKUP(HX7,#REF!,4,FALSE)))=TRUE,VLOOKUP(HX7,#REF!,3,FALSE),VLOOKUP(HX7,#REF!,4,FALSE)),0)</f>
        <v/>
      </c>
      <c r="HY1">
        <f>IFERROR(IF((ISBLANK(VLOOKUP(HY7,#REF!,4,FALSE)))=TRUE,VLOOKUP(HY7,#REF!,3,FALSE),VLOOKUP(HY7,#REF!,4,FALSE)),0)</f>
        <v/>
      </c>
      <c r="HZ1">
        <f>IFERROR(IF((ISBLANK(VLOOKUP(HZ7,#REF!,4,FALSE)))=TRUE,VLOOKUP(HZ7,#REF!,3,FALSE),VLOOKUP(HZ7,#REF!,4,FALSE)),0)</f>
        <v/>
      </c>
      <c r="IA1">
        <f>IFERROR(IF((ISBLANK(VLOOKUP(IA7,#REF!,4,FALSE)))=TRUE,VLOOKUP(IA7,#REF!,3,FALSE),VLOOKUP(IA7,#REF!,4,FALSE)),0)</f>
        <v/>
      </c>
      <c r="IB1">
        <f>IFERROR(IF((ISBLANK(VLOOKUP(IB7,#REF!,4,FALSE)))=TRUE,VLOOKUP(IB7,#REF!,3,FALSE),VLOOKUP(IB7,#REF!,4,FALSE)),0)</f>
        <v/>
      </c>
      <c r="IC1">
        <f>BC1</f>
        <v/>
      </c>
      <c r="ID1">
        <f>IFERROR(IF((ISBLANK(VLOOKUP(ID7,#REF!,4,FALSE)))=TRUE,VLOOKUP(ID7,#REF!,3,FALSE),VLOOKUP(ID7,#REF!,4,FALSE)),0)</f>
        <v/>
      </c>
      <c r="IE1">
        <f>IFERROR(IF((ISBLANK(VLOOKUP(IE7,#REF!,4,FALSE)))=TRUE,VLOOKUP(IE7,#REF!,3,FALSE),VLOOKUP(IE7,#REF!,4,FALSE)),0)</f>
        <v/>
      </c>
      <c r="IF1">
        <f>IFERROR(IF((ISBLANK(VLOOKUP(IF7,#REF!,4,FALSE)))=TRUE,VLOOKUP(IF7,#REF!,3,FALSE),VLOOKUP(IF7,#REF!,4,FALSE)),0)</f>
        <v/>
      </c>
      <c r="IG1">
        <f>IFERROR(IF((ISBLANK(VLOOKUP(IG7,#REF!,4,FALSE)))=TRUE,VLOOKUP(IG7,#REF!,3,FALSE),VLOOKUP(IG7,#REF!,4,FALSE)),0)</f>
        <v/>
      </c>
      <c r="IH1">
        <f>IFERROR(IF((ISBLANK(VLOOKUP(IH7,#REF!,4,FALSE)))=TRUE,VLOOKUP(IH7,#REF!,3,FALSE),VLOOKUP(IH7,#REF!,4,FALSE)),0)</f>
        <v/>
      </c>
      <c r="II1">
        <f>IFERROR(IF((ISBLANK(VLOOKUP(II7,#REF!,4,FALSE)))=TRUE,VLOOKUP(II7,#REF!,3,FALSE),VLOOKUP(II7,#REF!,4,FALSE)),0)</f>
        <v/>
      </c>
      <c r="IJ1">
        <f>IFERROR(IF((ISBLANK(VLOOKUP(IJ7,#REF!,4,FALSE)))=TRUE,VLOOKUP(IJ7,#REF!,3,FALSE),VLOOKUP(IJ7,#REF!,4,FALSE)),0)</f>
        <v/>
      </c>
      <c r="IK1">
        <f>IFERROR(IF((ISBLANK(VLOOKUP(IK7,#REF!,4,FALSE)))=TRUE,VLOOKUP(IK7,#REF!,3,FALSE),VLOOKUP(IK7,#REF!,4,FALSE)),0)</f>
        <v/>
      </c>
      <c r="IL1">
        <f>IFERROR(IF((ISBLANK(VLOOKUP(IL7,#REF!,4,FALSE)))=TRUE,VLOOKUP(IL7,#REF!,3,FALSE),VLOOKUP(IL7,#REF!,4,FALSE)),0)</f>
        <v/>
      </c>
      <c r="IM1">
        <f>IFERROR(IF((ISBLANK(VLOOKUP(IM7,#REF!,4,FALSE)))=TRUE,VLOOKUP(IM7,#REF!,3,FALSE),VLOOKUP(IM7,#REF!,4,FALSE)),0)</f>
        <v/>
      </c>
      <c r="IN1">
        <f>IFERROR(IF((ISBLANK(VLOOKUP(IN7,#REF!,4,FALSE)))=TRUE,VLOOKUP(IN7,#REF!,3,FALSE),VLOOKUP(IN7,#REF!,4,FALSE)),0)</f>
        <v/>
      </c>
      <c r="IO1">
        <f>IFERROR(IF((ISBLANK(VLOOKUP(IO7,#REF!,4,FALSE)))=TRUE,VLOOKUP(IO7,#REF!,3,FALSE),VLOOKUP(IO7,#REF!,4,FALSE)),0)</f>
        <v/>
      </c>
      <c r="IP1">
        <f>IFERROR(IF((ISBLANK(VLOOKUP(IP7,#REF!,4,FALSE)))=TRUE,VLOOKUP(IP7,#REF!,3,FALSE),VLOOKUP(IP7,#REF!,4,FALSE)),0)</f>
        <v/>
      </c>
      <c r="IQ1">
        <f>IFERROR(IF((ISBLANK(VLOOKUP(IQ7,#REF!,4,FALSE)))=TRUE,VLOOKUP(IQ7,#REF!,3,FALSE),VLOOKUP(IQ7,#REF!,4,FALSE)),0)</f>
        <v/>
      </c>
      <c r="IR1">
        <f>IFERROR(IF((ISBLANK(VLOOKUP(IR7,#REF!,4,FALSE)))=TRUE,VLOOKUP(IR7,#REF!,3,FALSE),VLOOKUP(IR7,#REF!,4,FALSE)),0)</f>
        <v/>
      </c>
      <c r="IS1">
        <f>IFERROR(IF((ISBLANK(VLOOKUP(IS7,#REF!,4,FALSE)))=TRUE,VLOOKUP(IS7,#REF!,3,FALSE),VLOOKUP(IS7,#REF!,4,FALSE)),0)</f>
        <v/>
      </c>
      <c r="IT1">
        <f>IFERROR(IF((ISBLANK(VLOOKUP(IT7,#REF!,4,FALSE)))=TRUE,VLOOKUP(IT7,#REF!,3,FALSE),VLOOKUP(IT7,#REF!,4,FALSE)),0)</f>
        <v/>
      </c>
      <c r="IU1">
        <f>IFERROR(IF((ISBLANK(VLOOKUP(IU7,#REF!,4,FALSE)))=TRUE,VLOOKUP(IU7,#REF!,3,FALSE),VLOOKUP(IU7,#REF!,4,FALSE)),0)</f>
        <v/>
      </c>
      <c r="IV1">
        <f>IFERROR(IF((ISBLANK(VLOOKUP(IV7,#REF!,4,FALSE)))=TRUE,VLOOKUP(IV7,#REF!,3,FALSE),VLOOKUP(IV7,#REF!,4,FALSE)),0)</f>
        <v/>
      </c>
      <c r="IW1">
        <f>IFERROR(IF((ISBLANK(VLOOKUP(IW7,#REF!,4,FALSE)))=TRUE,VLOOKUP(IW7,#REF!,3,FALSE),VLOOKUP(IW7,#REF!,4,FALSE)),0)</f>
        <v/>
      </c>
      <c r="IX1">
        <f>IFERROR(IF((ISBLANK(VLOOKUP(IX7,#REF!,4,FALSE)))=TRUE,VLOOKUP(IX7,#REF!,3,FALSE),VLOOKUP(IX7,#REF!,4,FALSE)),0)</f>
        <v/>
      </c>
      <c r="IY1">
        <f>IFERROR(IF((ISBLANK(VLOOKUP(IY7,#REF!,4,FALSE)))=TRUE,VLOOKUP(IY7,#REF!,3,FALSE),VLOOKUP(IY7,#REF!,4,FALSE)),0)</f>
        <v/>
      </c>
      <c r="IZ1">
        <f>IFERROR(IF((ISBLANK(VLOOKUP(IZ7,#REF!,4,FALSE)))=TRUE,VLOOKUP(IZ7,#REF!,3,FALSE),VLOOKUP(IZ7,#REF!,4,FALSE)),0)</f>
        <v/>
      </c>
      <c r="JA1">
        <f>IFERROR(IF((ISBLANK(VLOOKUP(JA7,#REF!,4,FALSE)))=TRUE,VLOOKUP(JA7,#REF!,3,FALSE),VLOOKUP(JA7,#REF!,4,FALSE)),0)</f>
        <v/>
      </c>
      <c r="JB1">
        <f>IFERROR(IF((ISBLANK(VLOOKUP(JB7,#REF!,4,FALSE)))=TRUE,VLOOKUP(JB7,#REF!,3,FALSE),VLOOKUP(JB7,#REF!,4,FALSE)),0)</f>
        <v/>
      </c>
      <c r="JC1">
        <f>IFERROR(IF((ISBLANK(VLOOKUP(JC7,#REF!,4,FALSE)))=TRUE,VLOOKUP(JC7,#REF!,3,FALSE),VLOOKUP(JC7,#REF!,4,FALSE)),0)</f>
        <v/>
      </c>
      <c r="JD1">
        <f>IFERROR(IF((ISBLANK(VLOOKUP(JD7,#REF!,4,FALSE)))=TRUE,VLOOKUP(JD7,#REF!,3,FALSE),VLOOKUP(JD7,#REF!,4,FALSE)),0)</f>
        <v/>
      </c>
      <c r="JE1">
        <f>IFERROR(IF((ISBLANK(VLOOKUP(JE7,#REF!,4,FALSE)))=TRUE,VLOOKUP(JE7,#REF!,3,FALSE),VLOOKUP(JE7,#REF!,4,FALSE)),0)</f>
        <v/>
      </c>
      <c r="JF1">
        <f>IFERROR(IF((ISBLANK(VLOOKUP(JF7,#REF!,4,FALSE)))=TRUE,VLOOKUP(JF7,#REF!,3,FALSE),VLOOKUP(JF7,#REF!,4,FALSE)),0)</f>
        <v/>
      </c>
      <c r="JG1">
        <f>IFERROR(IF((ISBLANK(VLOOKUP(JG7,#REF!,4,FALSE)))=TRUE,VLOOKUP(JG7,#REF!,3,FALSE),VLOOKUP(JG7,#REF!,4,FALSE)),0)</f>
        <v/>
      </c>
      <c r="JH1">
        <f>IFERROR(IF((ISBLANK(VLOOKUP(JH7,#REF!,4,FALSE)))=TRUE,VLOOKUP(JH7,#REF!,3,FALSE),VLOOKUP(JH7,#REF!,4,FALSE)),0)</f>
        <v/>
      </c>
      <c r="JI1">
        <f>IFERROR(IF((ISBLANK(VLOOKUP(JI7,#REF!,4,FALSE)))=TRUE,VLOOKUP(JI7,#REF!,3,FALSE),VLOOKUP(JI7,#REF!,4,FALSE)),0)</f>
        <v/>
      </c>
      <c r="JJ1">
        <f>IFERROR(IF((ISBLANK(VLOOKUP(JJ7,#REF!,4,FALSE)))=TRUE,VLOOKUP(JJ7,#REF!,3,FALSE),VLOOKUP(JJ7,#REF!,4,FALSE)),0)</f>
        <v/>
      </c>
      <c r="JK1">
        <f>IFERROR(IF((ISBLANK(VLOOKUP(JK7,#REF!,4,FALSE)))=TRUE,VLOOKUP(JK7,#REF!,3,FALSE),VLOOKUP(JK7,#REF!,4,FALSE)),0)</f>
        <v/>
      </c>
      <c r="JL1">
        <f>IFERROR(IF((ISBLANK(VLOOKUP(JL7,#REF!,4,FALSE)))=TRUE,VLOOKUP(JL7,#REF!,3,FALSE),VLOOKUP(JL7,#REF!,4,FALSE)),0)</f>
        <v/>
      </c>
      <c r="JM1">
        <f>IFERROR(IF((ISBLANK(VLOOKUP(JM7,#REF!,4,FALSE)))=TRUE,VLOOKUP(JM7,#REF!,3,FALSE),VLOOKUP(JM7,#REF!,4,FALSE)),0)</f>
        <v/>
      </c>
      <c r="JN1">
        <f>IFERROR(IF((ISBLANK(VLOOKUP(JN7,#REF!,4,FALSE)))=TRUE,VLOOKUP(JN7,#REF!,3,FALSE),VLOOKUP(JN7,#REF!,4,FALSE)),0)</f>
        <v/>
      </c>
      <c r="JO1">
        <f>IFERROR(IF((ISBLANK(VLOOKUP(JO7,#REF!,4,FALSE)))=TRUE,VLOOKUP(JO7,#REF!,3,FALSE),VLOOKUP(JO7,#REF!,4,FALSE)),0)</f>
        <v/>
      </c>
      <c r="JP1">
        <f>IFERROR(IF((ISBLANK(VLOOKUP(JP7,#REF!,4,FALSE)))=TRUE,VLOOKUP(JP7,#REF!,3,FALSE),VLOOKUP(JP7,#REF!,4,FALSE)),0)</f>
        <v/>
      </c>
      <c r="JQ1">
        <f>IFERROR(IF((ISBLANK(VLOOKUP(JQ7,#REF!,4,FALSE)))=TRUE,VLOOKUP(JQ7,#REF!,3,FALSE),VLOOKUP(JQ7,#REF!,4,FALSE)),0)</f>
        <v/>
      </c>
      <c r="JR1">
        <f>IFERROR(IF((ISBLANK(VLOOKUP(JR7,#REF!,4,FALSE)))=TRUE,VLOOKUP(JR7,#REF!,3,FALSE),VLOOKUP(JR7,#REF!,4,FALSE)),0)</f>
        <v/>
      </c>
      <c r="JS1">
        <f>IFERROR(IF((ISBLANK(VLOOKUP(JS7,#REF!,4,FALSE)))=TRUE,VLOOKUP(JS7,#REF!,3,FALSE),VLOOKUP(JS7,#REF!,4,FALSE)),0)</f>
        <v/>
      </c>
      <c r="JT1">
        <f>IFERROR(IF((ISBLANK(VLOOKUP(JT7,#REF!,4,FALSE)))=TRUE,VLOOKUP(JT7,#REF!,3,FALSE),VLOOKUP(JT7,#REF!,4,FALSE)),0)</f>
        <v/>
      </c>
      <c r="JU1">
        <f>IFERROR(IF((ISBLANK(VLOOKUP(JU7,#REF!,4,FALSE)))=TRUE,VLOOKUP(JU7,#REF!,3,FALSE),VLOOKUP(JU7,#REF!,4,FALSE)),0)</f>
        <v/>
      </c>
      <c r="JV1">
        <f>IFERROR(IF((ISBLANK(VLOOKUP(JV7,#REF!,4,FALSE)))=TRUE,VLOOKUP(JV7,#REF!,3,FALSE),VLOOKUP(JV7,#REF!,4,FALSE)),0)</f>
        <v/>
      </c>
      <c r="JW1">
        <f>IFERROR(IF((ISBLANK(VLOOKUP(JW7,#REF!,4,FALSE)))=TRUE,VLOOKUP(JW7,#REF!,3,FALSE),VLOOKUP(JW7,#REF!,4,FALSE)),0)</f>
        <v/>
      </c>
      <c r="JX1">
        <f>IFERROR(IF((ISBLANK(VLOOKUP(JX7,#REF!,4,FALSE)))=TRUE,VLOOKUP(JX7,#REF!,3,FALSE),VLOOKUP(JX7,#REF!,4,FALSE)),0)</f>
        <v/>
      </c>
      <c r="JY1">
        <f>IFERROR(IF((ISBLANK(VLOOKUP(JY7,#REF!,4,FALSE)))=TRUE,VLOOKUP(JY7,#REF!,3,FALSE),VLOOKUP(JY7,#REF!,4,FALSE)),0)</f>
        <v/>
      </c>
      <c r="JZ1">
        <f>IFERROR(IF((ISBLANK(VLOOKUP(JZ7,#REF!,4,FALSE)))=TRUE,VLOOKUP(JZ7,#REF!,3,FALSE),VLOOKUP(JZ7,#REF!,4,FALSE)),0)</f>
        <v/>
      </c>
      <c r="KA1">
        <f>IFERROR(IF((ISBLANK(VLOOKUP(KA7,#REF!,4,FALSE)))=TRUE,VLOOKUP(KA7,#REF!,3,FALSE),VLOOKUP(KA7,#REF!,4,FALSE)),0)</f>
        <v/>
      </c>
      <c r="KB1">
        <f>IFERROR(IF((ISBLANK(VLOOKUP(KB7,#REF!,4,FALSE)))=TRUE,VLOOKUP(KB7,#REF!,3,FALSE),VLOOKUP(KB7,#REF!,4,FALSE)),0)</f>
        <v/>
      </c>
      <c r="KC1">
        <f>IFERROR(IF((ISBLANK(VLOOKUP(KC7,#REF!,4,FALSE)))=TRUE,VLOOKUP(KC7,#REF!,3,FALSE),VLOOKUP(KC7,#REF!,4,FALSE)),0)</f>
        <v/>
      </c>
      <c r="KD1">
        <f>IFERROR(IF((ISBLANK(VLOOKUP(KD7,#REF!,4,FALSE)))=TRUE,VLOOKUP(KD7,#REF!,3,FALSE),VLOOKUP(KD7,#REF!,4,FALSE)),0)</f>
        <v/>
      </c>
      <c r="KE1">
        <f>IFERROR(IF((ISBLANK(VLOOKUP(KE7,#REF!,4,FALSE)))=TRUE,VLOOKUP(KE7,#REF!,3,FALSE),VLOOKUP(KE7,#REF!,4,FALSE)),0)</f>
        <v/>
      </c>
      <c r="KF1">
        <f>IFERROR(IF((ISBLANK(VLOOKUP(KF7,#REF!,4,FALSE)))=TRUE,VLOOKUP(KF7,#REF!,3,FALSE),VLOOKUP(KF7,#REF!,4,FALSE)),0)</f>
        <v/>
      </c>
      <c r="KG1">
        <f>IFERROR(IF((ISBLANK(VLOOKUP(KG7,#REF!,4,FALSE)))=TRUE,VLOOKUP(KG7,#REF!,3,FALSE),VLOOKUP(KG7,#REF!,4,FALSE)),0)</f>
        <v/>
      </c>
      <c r="KH1">
        <f>IFERROR(IF((ISBLANK(VLOOKUP(KH7,#REF!,4,FALSE)))=TRUE,VLOOKUP(KH7,#REF!,3,FALSE),VLOOKUP(KH7,#REF!,4,FALSE)),0)</f>
        <v/>
      </c>
      <c r="KI1">
        <f>IFERROR(IF((ISBLANK(VLOOKUP(KI7,#REF!,4,FALSE)))=TRUE,VLOOKUP(KI7,#REF!,3,FALSE),VLOOKUP(KI7,#REF!,4,FALSE)),0)</f>
        <v/>
      </c>
      <c r="KJ1">
        <f>IFERROR(IF((ISBLANK(VLOOKUP(KJ7,#REF!,4,FALSE)))=TRUE,VLOOKUP(KJ7,#REF!,3,FALSE),VLOOKUP(KJ7,#REF!,4,FALSE)),0)</f>
        <v/>
      </c>
      <c r="KK1">
        <f>IFERROR(IF((ISBLANK(VLOOKUP(KK7,#REF!,4,FALSE)))=TRUE,VLOOKUP(KK7,#REF!,3,FALSE),VLOOKUP(KK7,#REF!,4,FALSE)),0)</f>
        <v/>
      </c>
      <c r="KL1">
        <f>IFERROR(IF((ISBLANK(VLOOKUP(KL7,#REF!,4,FALSE)))=TRUE,VLOOKUP(KL7,#REF!,3,FALSE),VLOOKUP(KL7,#REF!,4,FALSE)),0)</f>
        <v/>
      </c>
      <c r="KM1">
        <f>IFERROR(IF((ISBLANK(VLOOKUP(KM7,#REF!,4,FALSE)))=TRUE,VLOOKUP(KM7,#REF!,3,FALSE),VLOOKUP(KM7,#REF!,4,FALSE)),0)</f>
        <v/>
      </c>
      <c r="KN1">
        <f>IFERROR(IF((ISBLANK(VLOOKUP(KN7,#REF!,4,FALSE)))=TRUE,VLOOKUP(KN7,#REF!,3,FALSE),VLOOKUP(KN7,#REF!,4,FALSE)),0)</f>
        <v/>
      </c>
      <c r="KO1">
        <f>IFERROR(IF((ISBLANK(VLOOKUP(KO7,#REF!,4,FALSE)))=TRUE,VLOOKUP(KO7,#REF!,3,FALSE),VLOOKUP(KO7,#REF!,4,FALSE)),0)</f>
        <v/>
      </c>
      <c r="KP1">
        <f>IFERROR(IF((ISBLANK(VLOOKUP(KP7,#REF!,4,FALSE)))=TRUE,VLOOKUP(KP7,#REF!,3,FALSE),VLOOKUP(KP7,#REF!,4,FALSE)),0)</f>
        <v/>
      </c>
      <c r="KQ1">
        <f>IFERROR(IF((ISBLANK(VLOOKUP(KQ7,#REF!,4,FALSE)))=TRUE,VLOOKUP(KQ7,#REF!,3,FALSE),VLOOKUP(KQ7,#REF!,4,FALSE)),0)</f>
        <v/>
      </c>
      <c r="KR1">
        <f>IFERROR(IF((ISBLANK(VLOOKUP(KR7,#REF!,4,FALSE)))=TRUE,VLOOKUP(KR7,#REF!,3,FALSE),VLOOKUP(KR7,#REF!,4,FALSE)),0)</f>
        <v/>
      </c>
      <c r="KS1">
        <f>IFERROR(IF((ISBLANK(VLOOKUP(KS7,#REF!,4,FALSE)))=TRUE,VLOOKUP(KS7,#REF!,3,FALSE),VLOOKUP(KS7,#REF!,4,FALSE)),0)</f>
        <v/>
      </c>
      <c r="KT1">
        <f>IFERROR(IF((ISBLANK(VLOOKUP(KT7,#REF!,4,FALSE)))=TRUE,VLOOKUP(KT7,#REF!,3,FALSE),VLOOKUP(KT7,#REF!,4,FALSE)),0)</f>
        <v/>
      </c>
      <c r="KU1">
        <f>IFERROR(IF((ISBLANK(VLOOKUP(KU7,#REF!,4,FALSE)))=TRUE,VLOOKUP(KU7,#REF!,3,FALSE),VLOOKUP(KU7,#REF!,4,FALSE)),0)</f>
        <v/>
      </c>
      <c r="KV1">
        <f>IFERROR(IF((ISBLANK(VLOOKUP(KV7,#REF!,4,FALSE)))=TRUE,VLOOKUP(KV7,#REF!,3,FALSE),VLOOKUP(KV7,#REF!,4,FALSE)),0)</f>
        <v/>
      </c>
      <c r="KW1">
        <f>IFERROR(IF((ISBLANK(VLOOKUP(KW7,#REF!,4,FALSE)))=TRUE,VLOOKUP(KW7,#REF!,3,FALSE),VLOOKUP(KW7,#REF!,4,FALSE)),0)</f>
        <v/>
      </c>
      <c r="KX1">
        <f>IFERROR(IF((ISBLANK(VLOOKUP(KX7,#REF!,4,FALSE)))=TRUE,VLOOKUP(KX7,#REF!,3,FALSE),VLOOKUP(KX7,#REF!,4,FALSE)),0)</f>
        <v/>
      </c>
      <c r="KY1">
        <f>IFERROR(IF((ISBLANK(VLOOKUP(KY7,#REF!,4,FALSE)))=TRUE,VLOOKUP(KY7,#REF!,3,FALSE),VLOOKUP(KY7,#REF!,4,FALSE)),0)</f>
        <v/>
      </c>
      <c r="KZ1">
        <f>IFERROR(IF((ISBLANK(VLOOKUP(KZ7,#REF!,4,FALSE)))=TRUE,VLOOKUP(KZ7,#REF!,3,FALSE),VLOOKUP(KZ7,#REF!,4,FALSE)),0)</f>
        <v/>
      </c>
      <c r="LA1">
        <f>IFERROR(IF((ISBLANK(VLOOKUP(LA7,#REF!,4,FALSE)))=TRUE,VLOOKUP(LA7,#REF!,3,FALSE),VLOOKUP(LA7,#REF!,4,FALSE)),0)</f>
        <v/>
      </c>
      <c r="LB1">
        <f>IFERROR(IF((ISBLANK(VLOOKUP(LB7,#REF!,4,FALSE)))=TRUE,VLOOKUP(LB7,#REF!,3,FALSE),VLOOKUP(LB7,#REF!,4,FALSE)),0)</f>
        <v/>
      </c>
      <c r="LC1">
        <f>IFERROR(IF((ISBLANK(VLOOKUP(LC7,#REF!,4,FALSE)))=TRUE,VLOOKUP(LC7,#REF!,3,FALSE),VLOOKUP(LC7,#REF!,4,FALSE)),0)</f>
        <v/>
      </c>
      <c r="LD1">
        <f>IFERROR(IF((ISBLANK(VLOOKUP(LD7,#REF!,4,FALSE)))=TRUE,VLOOKUP(LD7,#REF!,3,FALSE),VLOOKUP(LD7,#REF!,4,FALSE)),0)</f>
        <v/>
      </c>
      <c r="LE1">
        <f>IFERROR(IF((ISBLANK(VLOOKUP(LE7,#REF!,4,FALSE)))=TRUE,VLOOKUP(LE7,#REF!,3,FALSE),VLOOKUP(LE7,#REF!,4,FALSE)),0)</f>
        <v/>
      </c>
      <c r="LF1">
        <f>IFERROR(IF((ISBLANK(VLOOKUP(LF7,#REF!,4,FALSE)))=TRUE,VLOOKUP(LF7,#REF!,3,FALSE),VLOOKUP(LF7,#REF!,4,FALSE)),0)</f>
        <v/>
      </c>
      <c r="LG1">
        <f>IFERROR(IF((ISBLANK(VLOOKUP(LG7,#REF!,4,FALSE)))=TRUE,VLOOKUP(LG7,#REF!,3,FALSE),VLOOKUP(LG7,#REF!,4,FALSE)),0)</f>
        <v/>
      </c>
      <c r="LH1">
        <f>IFERROR(IF((ISBLANK(VLOOKUP(LH7,#REF!,4,FALSE)))=TRUE,VLOOKUP(LH7,#REF!,3,FALSE),VLOOKUP(LH7,#REF!,4,FALSE)),0)</f>
        <v/>
      </c>
      <c r="LI1">
        <f>IFERROR(IF((ISBLANK(VLOOKUP(LI7,#REF!,4,FALSE)))=TRUE,VLOOKUP(LI7,#REF!,3,FALSE),VLOOKUP(LI7,#REF!,4,FALSE)),0)</f>
        <v/>
      </c>
      <c r="LJ1">
        <f>IFERROR(IF((ISBLANK(VLOOKUP(LJ7,#REF!,4,FALSE)))=TRUE,VLOOKUP(LJ7,#REF!,3,FALSE),VLOOKUP(LJ7,#REF!,4,FALSE)),0)</f>
        <v/>
      </c>
      <c r="LK1">
        <f>IFERROR(IF((ISBLANK(VLOOKUP(LK7,#REF!,4,FALSE)))=TRUE,VLOOKUP(LK7,#REF!,3,FALSE),VLOOKUP(LK7,#REF!,4,FALSE)),0)</f>
        <v/>
      </c>
      <c r="LL1">
        <f>IFERROR(IF((ISBLANK(VLOOKUP(LL7,#REF!,4,FALSE)))=TRUE,VLOOKUP(LL7,#REF!,3,FALSE),VLOOKUP(LL7,#REF!,4,FALSE)),0)</f>
        <v/>
      </c>
      <c r="LM1">
        <f>IFERROR(IF((ISBLANK(VLOOKUP(LM7,#REF!,4,FALSE)))=TRUE,VLOOKUP(LM7,#REF!,3,FALSE),VLOOKUP(LM7,#REF!,4,FALSE)),0)</f>
        <v/>
      </c>
      <c r="LN1">
        <f>IFERROR(IF((ISBLANK(VLOOKUP(LN7,#REF!,4,FALSE)))=TRUE,VLOOKUP(LN7,#REF!,3,FALSE),VLOOKUP(LN7,#REF!,4,FALSE)),0)</f>
        <v/>
      </c>
      <c r="LO1">
        <f>IFERROR(IF((ISBLANK(VLOOKUP(LO7,#REF!,4,FALSE)))=TRUE,VLOOKUP(LO7,#REF!,3,FALSE),VLOOKUP(LO7,#REF!,4,FALSE)),0)</f>
        <v/>
      </c>
      <c r="LP1">
        <f>IFERROR(IF((ISBLANK(VLOOKUP(LP7,#REF!,4,FALSE)))=TRUE,VLOOKUP(LP7,#REF!,3,FALSE),VLOOKUP(LP7,#REF!,4,FALSE)),0)</f>
        <v/>
      </c>
      <c r="LQ1">
        <f>IFERROR(IF((ISBLANK(VLOOKUP(LQ7,#REF!,4,FALSE)))=TRUE,VLOOKUP(LQ7,#REF!,3,FALSE),VLOOKUP(LQ7,#REF!,4,FALSE)),0)</f>
        <v/>
      </c>
      <c r="LR1">
        <f>IFERROR(IF((ISBLANK(VLOOKUP(LR7,#REF!,4,FALSE)))=TRUE,VLOOKUP(LR7,#REF!,3,FALSE),VLOOKUP(LR7,#REF!,4,FALSE)),0)</f>
        <v/>
      </c>
      <c r="LS1">
        <f>IFERROR(IF((ISBLANK(VLOOKUP(LS7,#REF!,4,FALSE)))=TRUE,VLOOKUP(LS7,#REF!,3,FALSE),VLOOKUP(LS7,#REF!,4,FALSE)),0)</f>
        <v/>
      </c>
      <c r="LT1">
        <f>IFERROR(IF((ISBLANK(VLOOKUP(LT7,#REF!,4,FALSE)))=TRUE,VLOOKUP(LT7,#REF!,3,FALSE),VLOOKUP(LT7,#REF!,4,FALSE)),0)</f>
        <v/>
      </c>
      <c r="LU1">
        <f>IFERROR(IF((ISBLANK(VLOOKUP(LU7,#REF!,4,FALSE)))=TRUE,VLOOKUP(LU7,#REF!,3,FALSE),VLOOKUP(LU7,#REF!,4,FALSE)),0)</f>
        <v/>
      </c>
      <c r="LV1">
        <f>IFERROR(IF((ISBLANK(VLOOKUP(LV7,#REF!,4,FALSE)))=TRUE,VLOOKUP(LV7,#REF!,3,FALSE),VLOOKUP(LV7,#REF!,4,FALSE)),0)</f>
        <v/>
      </c>
      <c r="LW1">
        <f>IFERROR(IF((ISBLANK(VLOOKUP(LW7,#REF!,4,FALSE)))=TRUE,VLOOKUP(LW7,#REF!,3,FALSE),VLOOKUP(LW7,#REF!,4,FALSE)),0)</f>
        <v/>
      </c>
      <c r="LX1">
        <f>IFERROR(IF((ISBLANK(VLOOKUP(LX7,#REF!,4,FALSE)))=TRUE,VLOOKUP(LX7,#REF!,3,FALSE),VLOOKUP(LX7,#REF!,4,FALSE)),0)</f>
        <v/>
      </c>
      <c r="LY1">
        <f>IFERROR(IF((ISBLANK(VLOOKUP(LY7,#REF!,4,FALSE)))=TRUE,VLOOKUP(LY7,#REF!,3,FALSE),VLOOKUP(LY7,#REF!,4,FALSE)),0)</f>
        <v/>
      </c>
      <c r="LZ1">
        <f>IFERROR(IF((ISBLANK(VLOOKUP(LZ7,#REF!,4,FALSE)))=TRUE,VLOOKUP(LZ7,#REF!,3,FALSE),VLOOKUP(LZ7,#REF!,4,FALSE)),0)</f>
        <v/>
      </c>
      <c r="MA1">
        <f>IFERROR(IF((ISBLANK(VLOOKUP(MA7,#REF!,4,FALSE)))=TRUE,VLOOKUP(MA7,#REF!,3,FALSE),VLOOKUP(MA7,#REF!,4,FALSE)),0)</f>
        <v/>
      </c>
      <c r="MB1">
        <f>IFERROR(IF((ISBLANK(VLOOKUP(MB7,#REF!,4,FALSE)))=TRUE,VLOOKUP(MB7,#REF!,3,FALSE),VLOOKUP(MB7,#REF!,4,FALSE)),0)</f>
        <v/>
      </c>
      <c r="MC1">
        <f>IFERROR(IF((ISBLANK(VLOOKUP(MC7,#REF!,4,FALSE)))=TRUE,VLOOKUP(MC7,#REF!,3,FALSE),VLOOKUP(MC7,#REF!,4,FALSE)),0)</f>
        <v/>
      </c>
      <c r="MD1">
        <f>IFERROR(IF((ISBLANK(VLOOKUP(MD7,#REF!,4,FALSE)))=TRUE,VLOOKUP(MD7,#REF!,3,FALSE),VLOOKUP(MD7,#REF!,4,FALSE)),0)</f>
        <v/>
      </c>
      <c r="ME1">
        <f>IFERROR(IF((ISBLANK(VLOOKUP(ME7,#REF!,4,FALSE)))=TRUE,VLOOKUP(ME7,#REF!,3,FALSE),VLOOKUP(ME7,#REF!,4,FALSE)),0)</f>
        <v/>
      </c>
      <c r="MF1">
        <f>IFERROR(IF((ISBLANK(VLOOKUP(MF7,#REF!,4,FALSE)))=TRUE,VLOOKUP(MF7,#REF!,3,FALSE),VLOOKUP(MF7,#REF!,4,FALSE)),0)</f>
        <v/>
      </c>
      <c r="MG1">
        <f>IFERROR(IF((ISBLANK(VLOOKUP(MG7,#REF!,4,FALSE)))=TRUE,VLOOKUP(MG7,#REF!,3,FALSE),VLOOKUP(MG7,#REF!,4,FALSE)),0)</f>
        <v/>
      </c>
      <c r="MH1">
        <f>IFERROR(IF((ISBLANK(VLOOKUP(MH7,#REF!,4,FALSE)))=TRUE,VLOOKUP(MH7,#REF!,3,FALSE),VLOOKUP(MH7,#REF!,4,FALSE)),0)</f>
        <v/>
      </c>
      <c r="MI1">
        <f>IFERROR(IF((ISBLANK(VLOOKUP(MI7,#REF!,4,FALSE)))=TRUE,VLOOKUP(MI7,#REF!,3,FALSE),VLOOKUP(MI7,#REF!,4,FALSE)),0)</f>
        <v/>
      </c>
      <c r="MJ1">
        <f>IFERROR(IF((ISBLANK(VLOOKUP(MJ7,#REF!,4,FALSE)))=TRUE,VLOOKUP(MJ7,#REF!,3,FALSE),VLOOKUP(MJ7,#REF!,4,FALSE)),0)</f>
        <v/>
      </c>
      <c r="MK1">
        <f>IFERROR(IF((ISBLANK(VLOOKUP(MK7,#REF!,4,FALSE)))=TRUE,VLOOKUP(MK7,#REF!,3,FALSE),VLOOKUP(MK7,#REF!,4,FALSE)),0)</f>
        <v/>
      </c>
      <c r="ML1">
        <f>IFERROR(IF((ISBLANK(VLOOKUP(ML7,#REF!,4,FALSE)))=TRUE,VLOOKUP(ML7,#REF!,3,FALSE),VLOOKUP(ML7,#REF!,4,FALSE)),0)</f>
        <v/>
      </c>
      <c r="MM1">
        <f>IFERROR(IF((ISBLANK(VLOOKUP(MM7,#REF!,4,FALSE)))=TRUE,VLOOKUP(MM7,#REF!,3,FALSE),VLOOKUP(MM7,#REF!,4,FALSE)),0)</f>
        <v/>
      </c>
      <c r="MN1">
        <f>IFERROR(IF((ISBLANK(VLOOKUP(MN7,#REF!,4,FALSE)))=TRUE,VLOOKUP(MN7,#REF!,3,FALSE),VLOOKUP(MN7,#REF!,4,FALSE)),0)</f>
        <v/>
      </c>
      <c r="MO1">
        <f>IFERROR(IF((ISBLANK(VLOOKUP(MO7,#REF!,4,FALSE)))=TRUE,VLOOKUP(MO7,#REF!,3,FALSE),VLOOKUP(MO7,#REF!,4,FALSE)),0)</f>
        <v/>
      </c>
      <c r="MP1">
        <f>IFERROR(IF((ISBLANK(VLOOKUP(MP7,#REF!,4,FALSE)))=TRUE,VLOOKUP(MP7,#REF!,3,FALSE),VLOOKUP(MP7,#REF!,4,FALSE)),0)</f>
        <v/>
      </c>
      <c r="MQ1">
        <f>IFERROR(IF((ISBLANK(VLOOKUP(MQ7,#REF!,4,FALSE)))=TRUE,VLOOKUP(MQ7,#REF!,3,FALSE),VLOOKUP(MQ7,#REF!,4,FALSE)),0)</f>
        <v/>
      </c>
      <c r="MR1">
        <f>IFERROR(IF((ISBLANK(VLOOKUP(MR7,#REF!,4,FALSE)))=TRUE,VLOOKUP(MR7,#REF!,3,FALSE),VLOOKUP(MR7,#REF!,4,FALSE)),0)</f>
        <v/>
      </c>
      <c r="MS1">
        <f>IFERROR(IF((ISBLANK(VLOOKUP(MS7,#REF!,4,FALSE)))=TRUE,VLOOKUP(MS7,#REF!,3,FALSE),VLOOKUP(MS7,#REF!,4,FALSE)),0)</f>
        <v/>
      </c>
      <c r="MT1">
        <f>IFERROR(IF((ISBLANK(VLOOKUP(MT7,#REF!,4,FALSE)))=TRUE,VLOOKUP(MT7,#REF!,3,FALSE),VLOOKUP(MT7,#REF!,4,FALSE)),0)</f>
        <v/>
      </c>
      <c r="MU1">
        <f>IFERROR(IF((ISBLANK(VLOOKUP(MU7,#REF!,4,FALSE)))=TRUE,VLOOKUP(MU7,#REF!,3,FALSE),VLOOKUP(MU7,#REF!,4,FALSE)),0)</f>
        <v/>
      </c>
      <c r="MV1">
        <f>IFERROR(IF((ISBLANK(VLOOKUP(MV7,#REF!,4,FALSE)))=TRUE,VLOOKUP(MV7,#REF!,3,FALSE),VLOOKUP(MV7,#REF!,4,FALSE)),0)</f>
        <v/>
      </c>
      <c r="MW1">
        <f>IFERROR(IF((ISBLANK(VLOOKUP(MW7,#REF!,4,FALSE)))=TRUE,VLOOKUP(MW7,#REF!,3,FALSE),VLOOKUP(MW7,#REF!,4,FALSE)),0)</f>
        <v/>
      </c>
      <c r="MX1">
        <f>IFERROR(IF((ISBLANK(VLOOKUP(MX7,#REF!,4,FALSE)))=TRUE,VLOOKUP(MX7,#REF!,3,FALSE),VLOOKUP(MX7,#REF!,4,FALSE)),0)</f>
        <v/>
      </c>
      <c r="MY1">
        <f>IFERROR(IF((ISBLANK(VLOOKUP(MY7,#REF!,4,FALSE)))=TRUE,VLOOKUP(MY7,#REF!,3,FALSE),VLOOKUP(MY7,#REF!,4,FALSE)),0)</f>
        <v/>
      </c>
      <c r="MZ1">
        <f>IFERROR(IF((ISBLANK(VLOOKUP(MZ7,#REF!,4,FALSE)))=TRUE,VLOOKUP(MZ7,#REF!,3,FALSE),VLOOKUP(MZ7,#REF!,4,FALSE)),0)</f>
        <v/>
      </c>
      <c r="NA1">
        <f>IFERROR(IF((ISBLANK(VLOOKUP(NA7,#REF!,4,FALSE)))=TRUE,VLOOKUP(NA7,#REF!,3,FALSE),VLOOKUP(NA7,#REF!,4,FALSE)),0)</f>
        <v/>
      </c>
      <c r="NB1">
        <f>IFERROR(IF((ISBLANK(VLOOKUP(NB7,#REF!,4,FALSE)))=TRUE,VLOOKUP(NB7,#REF!,3,FALSE),VLOOKUP(NB7,#REF!,4,FALSE)),0)</f>
        <v/>
      </c>
      <c r="NC1">
        <f>IFERROR(IF((ISBLANK(VLOOKUP(NC7,#REF!,4,FALSE)))=TRUE,VLOOKUP(NC7,#REF!,3,FALSE),VLOOKUP(NC7,#REF!,4,FALSE)),0)</f>
        <v/>
      </c>
      <c r="ND1">
        <f>IFERROR(IF((ISBLANK(VLOOKUP(ND7,#REF!,4,FALSE)))=TRUE,VLOOKUP(ND7,#REF!,3,FALSE),VLOOKUP(ND7,#REF!,4,FALSE)),0)</f>
        <v/>
      </c>
      <c r="NE1">
        <f>IFERROR(IF((ISBLANK(VLOOKUP(NE7,#REF!,4,FALSE)))=TRUE,VLOOKUP(NE7,#REF!,3,FALSE),VLOOKUP(NE7,#REF!,4,FALSE)),0)</f>
        <v/>
      </c>
      <c r="NF1">
        <f>IFERROR(IF((ISBLANK(VLOOKUP(NF7,#REF!,4,FALSE)))=TRUE,VLOOKUP(NF7,#REF!,3,FALSE),VLOOKUP(NF7,#REF!,4,FALSE)),0)</f>
        <v/>
      </c>
      <c r="NG1">
        <f>IFERROR(IF((ISBLANK(VLOOKUP(NG7,#REF!,4,FALSE)))=TRUE,VLOOKUP(NG7,#REF!,3,FALSE),VLOOKUP(NG7,#REF!,4,FALSE)),0)</f>
        <v/>
      </c>
      <c r="NH1">
        <f>IFERROR(IF((ISBLANK(VLOOKUP(NH7,#REF!,4,FALSE)))=TRUE,VLOOKUP(NH7,#REF!,3,FALSE),VLOOKUP(NH7,#REF!,4,FALSE)),0)</f>
        <v/>
      </c>
      <c r="NI1">
        <f>IFERROR(IF((ISBLANK(VLOOKUP(NI7,#REF!,4,FALSE)))=TRUE,VLOOKUP(NI7,#REF!,3,FALSE),VLOOKUP(NI7,#REF!,4,FALSE)),0)</f>
        <v/>
      </c>
      <c r="NJ1">
        <f>IFERROR(IF((ISBLANK(VLOOKUP(NJ7,#REF!,4,FALSE)))=TRUE,VLOOKUP(NJ7,#REF!,3,FALSE),VLOOKUP(NJ7,#REF!,4,FALSE)),0)</f>
        <v/>
      </c>
      <c r="NK1">
        <f>IFERROR(IF((ISBLANK(VLOOKUP(NK7,#REF!,4,FALSE)))=TRUE,VLOOKUP(NK7,#REF!,3,FALSE),VLOOKUP(NK7,#REF!,4,FALSE)),0)</f>
        <v/>
      </c>
      <c r="NL1">
        <f>IFERROR(IF((ISBLANK(VLOOKUP(NL7,#REF!,4,FALSE)))=TRUE,VLOOKUP(NL7,#REF!,3,FALSE),VLOOKUP(NL7,#REF!,4,FALSE)),0)</f>
        <v/>
      </c>
      <c r="NM1">
        <f>IFERROR(IF((ISBLANK(VLOOKUP(NM7,#REF!,4,FALSE)))=TRUE,VLOOKUP(NM7,#REF!,3,FALSE),VLOOKUP(NM7,#REF!,4,FALSE)),0)</f>
        <v/>
      </c>
      <c r="NN1">
        <f>IFERROR(IF((ISBLANK(VLOOKUP(NN7,#REF!,4,FALSE)))=TRUE,VLOOKUP(NN7,#REF!,3,FALSE),VLOOKUP(NN7,#REF!,4,FALSE)),0)</f>
        <v/>
      </c>
      <c r="NO1">
        <f>IFERROR(IF((ISBLANK(VLOOKUP(NO7,#REF!,4,FALSE)))=TRUE,VLOOKUP(NO7,#REF!,3,FALSE),VLOOKUP(NO7,#REF!,4,FALSE)),0)</f>
        <v/>
      </c>
      <c r="NP1">
        <f>IFERROR(IF((ISBLANK(VLOOKUP(NP7,#REF!,4,FALSE)))=TRUE,VLOOKUP(NP7,#REF!,3,FALSE),VLOOKUP(NP7,#REF!,4,FALSE)),0)</f>
        <v/>
      </c>
      <c r="NQ1">
        <f>IFERROR(IF((ISBLANK(VLOOKUP(NQ7,#REF!,4,FALSE)))=TRUE,VLOOKUP(NQ7,#REF!,3,FALSE),VLOOKUP(NQ7,#REF!,4,FALSE)),0)</f>
        <v/>
      </c>
      <c r="NR1">
        <f>IFERROR(IF((ISBLANK(VLOOKUP(NR7,#REF!,4,FALSE)))=TRUE,VLOOKUP(NR7,#REF!,3,FALSE),VLOOKUP(NR7,#REF!,4,FALSE)),0)</f>
        <v/>
      </c>
      <c r="NS1">
        <f>IFERROR(IF((ISBLANK(VLOOKUP(NS7,#REF!,4,FALSE)))=TRUE,VLOOKUP(NS7,#REF!,3,FALSE),VLOOKUP(NS7,#REF!,4,FALSE)),0)</f>
        <v/>
      </c>
      <c r="NT1">
        <f>IFERROR(IF((ISBLANK(VLOOKUP(NT7,#REF!,4,FALSE)))=TRUE,VLOOKUP(NT7,#REF!,3,FALSE),VLOOKUP(NT7,#REF!,4,FALSE)),0)</f>
        <v/>
      </c>
      <c r="NU1">
        <f>IFERROR(IF((ISBLANK(VLOOKUP(NU7,#REF!,4,FALSE)))=TRUE,VLOOKUP(NU7,#REF!,3,FALSE),VLOOKUP(NU7,#REF!,4,FALSE)),0)</f>
        <v/>
      </c>
      <c r="NV1">
        <f>IFERROR(IF((ISBLANK(VLOOKUP(NV7,#REF!,4,FALSE)))=TRUE,VLOOKUP(NV7,#REF!,3,FALSE),VLOOKUP(NV7,#REF!,4,FALSE)),0)</f>
        <v/>
      </c>
      <c r="NW1">
        <f>IFERROR(IF((ISBLANK(VLOOKUP(NW7,#REF!,4,FALSE)))=TRUE,VLOOKUP(NW7,#REF!,3,FALSE),VLOOKUP(NW7,#REF!,4,FALSE)),0)</f>
        <v/>
      </c>
      <c r="NX1">
        <f>IFERROR(IF((ISBLANK(VLOOKUP(NX7,#REF!,4,FALSE)))=TRUE,VLOOKUP(NX7,#REF!,3,FALSE),VLOOKUP(NX7,#REF!,4,FALSE)),0)</f>
        <v/>
      </c>
      <c r="NY1">
        <f>IFERROR(IF((ISBLANK(VLOOKUP(NY7,#REF!,4,FALSE)))=TRUE,VLOOKUP(NY7,#REF!,3,FALSE),VLOOKUP(NY7,#REF!,4,FALSE)),0)</f>
        <v/>
      </c>
      <c r="NZ1">
        <f>IFERROR(IF((ISBLANK(VLOOKUP(NZ7,#REF!,4,FALSE)))=TRUE,VLOOKUP(NZ7,#REF!,3,FALSE),VLOOKUP(NZ7,#REF!,4,FALSE)),0)</f>
        <v/>
      </c>
      <c r="OA1">
        <f>IFERROR(IF((ISBLANK(VLOOKUP(OA7,#REF!,4,FALSE)))=TRUE,VLOOKUP(OA7,#REF!,3,FALSE),VLOOKUP(OA7,#REF!,4,FALSE)),0)</f>
        <v/>
      </c>
      <c r="OB1">
        <f>IFERROR(IF((ISBLANK(VLOOKUP(OB7,#REF!,4,FALSE)))=TRUE,VLOOKUP(OB7,#REF!,3,FALSE),VLOOKUP(OB7,#REF!,4,FALSE)),0)</f>
        <v/>
      </c>
      <c r="OC1">
        <f>IFERROR(IF((ISBLANK(VLOOKUP(OC7,#REF!,4,FALSE)))=TRUE,VLOOKUP(OC7,#REF!,3,FALSE),VLOOKUP(OC7,#REF!,4,FALSE)),0)</f>
        <v/>
      </c>
      <c r="OD1">
        <f>IFERROR(IF((ISBLANK(VLOOKUP(OD7,#REF!,4,FALSE)))=TRUE,VLOOKUP(OD7,#REF!,3,FALSE),VLOOKUP(OD7,#REF!,4,FALSE)),0)</f>
        <v/>
      </c>
      <c r="OE1">
        <f>IFERROR(IF((ISBLANK(VLOOKUP(OE7,#REF!,4,FALSE)))=TRUE,VLOOKUP(OE7,#REF!,3,FALSE),VLOOKUP(OE7,#REF!,4,FALSE)),0)</f>
        <v/>
      </c>
      <c r="OF1">
        <f>IFERROR(IF((ISBLANK(VLOOKUP(OF7,#REF!,4,FALSE)))=TRUE,VLOOKUP(OF7,#REF!,3,FALSE),VLOOKUP(OF7,#REF!,4,FALSE)),0)</f>
        <v/>
      </c>
      <c r="OG1">
        <f>IFERROR(IF((ISBLANK(VLOOKUP(OG7,#REF!,4,FALSE)))=TRUE,VLOOKUP(OG7,#REF!,3,FALSE),VLOOKUP(OG7,#REF!,4,FALSE)),0)</f>
        <v/>
      </c>
      <c r="OH1">
        <f>IFERROR(IF((ISBLANK(VLOOKUP(OH7,#REF!,4,FALSE)))=TRUE,VLOOKUP(OH7,#REF!,3,FALSE),VLOOKUP(OH7,#REF!,4,FALSE)),0)</f>
        <v/>
      </c>
      <c r="OI1">
        <f>IFERROR(IF((ISBLANK(VLOOKUP(OI7,#REF!,4,FALSE)))=TRUE,VLOOKUP(OI7,#REF!,3,FALSE),VLOOKUP(OI7,#REF!,4,FALSE)),0)</f>
        <v/>
      </c>
      <c r="OJ1">
        <f>IFERROR(IF((ISBLANK(VLOOKUP(OJ7,#REF!,4,FALSE)))=TRUE,VLOOKUP(OJ7,#REF!,3,FALSE),VLOOKUP(OJ7,#REF!,4,FALSE)),0)</f>
        <v/>
      </c>
      <c r="OK1">
        <f>IFERROR(IF((ISBLANK(VLOOKUP(OK7,#REF!,4,FALSE)))=TRUE,VLOOKUP(OK7,#REF!,3,FALSE),VLOOKUP(OK7,#REF!,4,FALSE)),0)</f>
        <v/>
      </c>
      <c r="OL1">
        <f>IFERROR(IF((ISBLANK(VLOOKUP(OL7,#REF!,4,FALSE)))=TRUE,VLOOKUP(OL7,#REF!,3,FALSE),VLOOKUP(OL7,#REF!,4,FALSE)),0)</f>
        <v/>
      </c>
      <c r="OM1">
        <f>IFERROR(IF((ISBLANK(VLOOKUP(OM7,#REF!,4,FALSE)))=TRUE,VLOOKUP(OM7,#REF!,3,FALSE),VLOOKUP(OM7,#REF!,4,FALSE)),0)</f>
        <v/>
      </c>
      <c r="ON1">
        <f>IFERROR(IF((ISBLANK(VLOOKUP(ON7,#REF!,4,FALSE)))=TRUE,VLOOKUP(ON7,#REF!,3,FALSE),VLOOKUP(ON7,#REF!,4,FALSE)),0)</f>
        <v/>
      </c>
      <c r="OO1">
        <f>IFERROR(IF((ISBLANK(VLOOKUP(OO7,#REF!,4,FALSE)))=TRUE,VLOOKUP(OO7,#REF!,3,FALSE),VLOOKUP(OO7,#REF!,4,FALSE)),0)</f>
        <v/>
      </c>
      <c r="OP1">
        <f>IFERROR(IF((ISBLANK(VLOOKUP(OP7,#REF!,4,FALSE)))=TRUE,VLOOKUP(OP7,#REF!,3,FALSE),VLOOKUP(OP7,#REF!,4,FALSE)),0)</f>
        <v/>
      </c>
      <c r="OQ1">
        <f>IFERROR(IF((ISBLANK(VLOOKUP(OQ7,#REF!,4,FALSE)))=TRUE,VLOOKUP(OQ7,#REF!,3,FALSE),VLOOKUP(OQ7,#REF!,4,FALSE)),0)</f>
        <v/>
      </c>
      <c r="OR1">
        <f>IFERROR(IF((ISBLANK(VLOOKUP(OR7,#REF!,4,FALSE)))=TRUE,VLOOKUP(OR7,#REF!,3,FALSE),VLOOKUP(OR7,#REF!,4,FALSE)),0)</f>
        <v/>
      </c>
      <c r="OS1">
        <f>IFERROR(IF((ISBLANK(VLOOKUP(OS7,#REF!,4,FALSE)))=TRUE,VLOOKUP(OS7,#REF!,3,FALSE),VLOOKUP(OS7,#REF!,4,FALSE)),0)</f>
        <v/>
      </c>
      <c r="OT1">
        <f>IFERROR(IF((ISBLANK(VLOOKUP(OT7,#REF!,4,FALSE)))=TRUE,VLOOKUP(OT7,#REF!,3,FALSE),VLOOKUP(OT7,#REF!,4,FALSE)),0)</f>
        <v/>
      </c>
      <c r="OU1">
        <f>IFERROR(IF((ISBLANK(VLOOKUP(OU7,#REF!,4,FALSE)))=TRUE,VLOOKUP(OU7,#REF!,3,FALSE),VLOOKUP(OU7,#REF!,4,FALSE)),0)</f>
        <v/>
      </c>
      <c r="OV1">
        <f>IFERROR(IF((ISBLANK(VLOOKUP(OV7,#REF!,4,FALSE)))=TRUE,VLOOKUP(OV7,#REF!,3,FALSE),VLOOKUP(OV7,#REF!,4,FALSE)),0)</f>
        <v/>
      </c>
      <c r="OW1">
        <f>IFERROR(IF((ISBLANK(VLOOKUP(OW7,#REF!,4,FALSE)))=TRUE,VLOOKUP(OW7,#REF!,3,FALSE),VLOOKUP(OW7,#REF!,4,FALSE)),0)</f>
        <v/>
      </c>
      <c r="OX1">
        <f>IFERROR(IF((ISBLANK(VLOOKUP(OX7,#REF!,4,FALSE)))=TRUE,VLOOKUP(OX7,#REF!,3,FALSE),VLOOKUP(OX7,#REF!,4,FALSE)),0)</f>
        <v/>
      </c>
      <c r="OY1">
        <f>IFERROR(IF((ISBLANK(VLOOKUP(OY7,#REF!,4,FALSE)))=TRUE,VLOOKUP(OY7,#REF!,3,FALSE),VLOOKUP(OY7,#REF!,4,FALSE)),0)</f>
        <v/>
      </c>
      <c r="OZ1">
        <f>IFERROR(IF((ISBLANK(VLOOKUP(OZ7,#REF!,4,FALSE)))=TRUE,VLOOKUP(OZ7,#REF!,3,FALSE),VLOOKUP(OZ7,#REF!,4,FALSE)),0)</f>
        <v/>
      </c>
      <c r="PA1">
        <f>IFERROR(IF((ISBLANK(VLOOKUP(PA7,#REF!,4,FALSE)))=TRUE,VLOOKUP(PA7,#REF!,3,FALSE),VLOOKUP(PA7,#REF!,4,FALSE)),0)</f>
        <v/>
      </c>
      <c r="PB1">
        <f>IFERROR(IF((ISBLANK(VLOOKUP(PB7,#REF!,4,FALSE)))=TRUE,VLOOKUP(PB7,#REF!,3,FALSE),VLOOKUP(PB7,#REF!,4,FALSE)),0)</f>
        <v/>
      </c>
      <c r="PC1">
        <f>IFERROR(IF((ISBLANK(VLOOKUP(PC7,#REF!,4,FALSE)))=TRUE,VLOOKUP(PC7,#REF!,3,FALSE),VLOOKUP(PC7,#REF!,4,FALSE)),0)</f>
        <v/>
      </c>
      <c r="PD1">
        <f>IFERROR(IF((ISBLANK(VLOOKUP(PD7,#REF!,4,FALSE)))=TRUE,VLOOKUP(PD7,#REF!,3,FALSE),VLOOKUP(PD7,#REF!,4,FALSE)),0)</f>
        <v/>
      </c>
      <c r="PE1">
        <f>IFERROR(IF((ISBLANK(VLOOKUP(PE7,#REF!,4,FALSE)))=TRUE,VLOOKUP(PE7,#REF!,3,FALSE),VLOOKUP(PE7,#REF!,4,FALSE)),0)</f>
        <v/>
      </c>
      <c r="PF1">
        <f>IFERROR(IF((ISBLANK(VLOOKUP(PF7,#REF!,4,FALSE)))=TRUE,VLOOKUP(PF7,#REF!,3,FALSE),VLOOKUP(PF7,#REF!,4,FALSE)),0)</f>
        <v/>
      </c>
      <c r="PG1">
        <f>IFERROR(IF((ISBLANK(VLOOKUP(PG7,#REF!,4,FALSE)))=TRUE,VLOOKUP(PG7,#REF!,3,FALSE),VLOOKUP(PG7,#REF!,4,FALSE)),0)</f>
        <v/>
      </c>
      <c r="PH1">
        <f>IFERROR(IF((ISBLANK(VLOOKUP(PH7,#REF!,4,FALSE)))=TRUE,VLOOKUP(PH7,#REF!,3,FALSE),VLOOKUP(PH7,#REF!,4,FALSE)),0)</f>
        <v/>
      </c>
      <c r="PI1">
        <f>IFERROR(IF((ISBLANK(VLOOKUP(PI7,#REF!,4,FALSE)))=TRUE,VLOOKUP(PI7,#REF!,3,FALSE),VLOOKUP(PI7,#REF!,4,FALSE)),0)</f>
        <v/>
      </c>
      <c r="PJ1">
        <f>IFERROR(IF((ISBLANK(VLOOKUP(PJ7,#REF!,4,FALSE)))=TRUE,VLOOKUP(PJ7,#REF!,3,FALSE),VLOOKUP(PJ7,#REF!,4,FALSE)),0)</f>
        <v/>
      </c>
      <c r="PK1">
        <f>IFERROR(IF((ISBLANK(VLOOKUP(PK7,#REF!,4,FALSE)))=TRUE,VLOOKUP(PK7,#REF!,3,FALSE),VLOOKUP(PK7,#REF!,4,FALSE)),0)</f>
        <v/>
      </c>
      <c r="PL1">
        <f>IFERROR(IF((ISBLANK(VLOOKUP(PL7,#REF!,4,FALSE)))=TRUE,VLOOKUP(PL7,#REF!,3,FALSE),VLOOKUP(PL7,#REF!,4,FALSE)),0)</f>
        <v/>
      </c>
      <c r="PM1">
        <f>IFERROR(IF((ISBLANK(VLOOKUP(PM7,#REF!,4,FALSE)))=TRUE,VLOOKUP(PM7,#REF!,3,FALSE),VLOOKUP(PM7,#REF!,4,FALSE)),0)</f>
        <v/>
      </c>
      <c r="PN1">
        <f>IFERROR(IF((ISBLANK(VLOOKUP(PN7,#REF!,4,FALSE)))=TRUE,VLOOKUP(PN7,#REF!,3,FALSE),VLOOKUP(PN7,#REF!,4,FALSE)),0)</f>
        <v/>
      </c>
      <c r="PO1">
        <f>IFERROR(IF((ISBLANK(VLOOKUP(PO7,#REF!,4,FALSE)))=TRUE,VLOOKUP(PO7,#REF!,3,FALSE),VLOOKUP(PO7,#REF!,4,FALSE)),0)</f>
        <v/>
      </c>
      <c r="PP1">
        <f>IFERROR(IF((ISBLANK(VLOOKUP(PP7,#REF!,4,FALSE)))=TRUE,VLOOKUP(PP7,#REF!,3,FALSE),VLOOKUP(PP7,#REF!,4,FALSE)),0)</f>
        <v/>
      </c>
      <c r="PQ1">
        <f>IFERROR(IF((ISBLANK(VLOOKUP(PQ7,#REF!,4,FALSE)))=TRUE,VLOOKUP(PQ7,#REF!,3,FALSE),VLOOKUP(PQ7,#REF!,4,FALSE)),0)</f>
        <v/>
      </c>
      <c r="PR1">
        <f>IFERROR(IF((ISBLANK(VLOOKUP(PR7,#REF!,4,FALSE)))=TRUE,VLOOKUP(PR7,#REF!,3,FALSE),VLOOKUP(PR7,#REF!,4,FALSE)),0)</f>
        <v/>
      </c>
      <c r="PS1">
        <f>IFERROR(IF((ISBLANK(VLOOKUP(PS7,#REF!,4,FALSE)))=TRUE,VLOOKUP(PS7,#REF!,3,FALSE),VLOOKUP(PS7,#REF!,4,FALSE)),0)</f>
        <v/>
      </c>
      <c r="PT1">
        <f>IFERROR(IF((ISBLANK(VLOOKUP(PT7,#REF!,4,FALSE)))=TRUE,VLOOKUP(PT7,#REF!,3,FALSE),VLOOKUP(PT7,#REF!,4,FALSE)),0)</f>
        <v/>
      </c>
      <c r="PU1">
        <f>IFERROR(IF((ISBLANK(VLOOKUP(PU7,#REF!,4,FALSE)))=TRUE,VLOOKUP(PU7,#REF!,3,FALSE),VLOOKUP(PU7,#REF!,4,FALSE)),0)</f>
        <v/>
      </c>
      <c r="PV1">
        <f>IFERROR(IF((ISBLANK(VLOOKUP(PV7,#REF!,4,FALSE)))=TRUE,VLOOKUP(PV7,#REF!,3,FALSE),VLOOKUP(PV7,#REF!,4,FALSE)),0)</f>
        <v/>
      </c>
      <c r="PW1">
        <f>IFERROR(IF((ISBLANK(VLOOKUP(PW7,#REF!,4,FALSE)))=TRUE,VLOOKUP(PW7,#REF!,3,FALSE),VLOOKUP(PW7,#REF!,4,FALSE)),0)</f>
        <v/>
      </c>
      <c r="PX1">
        <f>IFERROR(IF((ISBLANK(VLOOKUP(PX7,#REF!,4,FALSE)))=TRUE,VLOOKUP(PX7,#REF!,3,FALSE),VLOOKUP(PX7,#REF!,4,FALSE)),0)</f>
        <v/>
      </c>
      <c r="PY1">
        <f>IFERROR(IF((ISBLANK(VLOOKUP(PY7,#REF!,4,FALSE)))=TRUE,VLOOKUP(PY7,#REF!,3,FALSE),VLOOKUP(PY7,#REF!,4,FALSE)),0)</f>
        <v/>
      </c>
      <c r="PZ1">
        <f>IFERROR(IF((ISBLANK(VLOOKUP(PZ7,#REF!,4,FALSE)))=TRUE,VLOOKUP(PZ7,#REF!,3,FALSE),VLOOKUP(PZ7,#REF!,4,FALSE)),0)</f>
        <v/>
      </c>
      <c r="QA1">
        <f>IFERROR(IF((ISBLANK(VLOOKUP(QA7,#REF!,4,FALSE)))=TRUE,VLOOKUP(QA7,#REF!,3,FALSE),VLOOKUP(QA7,#REF!,4,FALSE)),0)</f>
        <v/>
      </c>
      <c r="QB1">
        <f>IFERROR(IF((ISBLANK(VLOOKUP(QB7,#REF!,4,FALSE)))=TRUE,VLOOKUP(QB7,#REF!,3,FALSE),VLOOKUP(QB7,#REF!,4,FALSE)),0)</f>
        <v/>
      </c>
      <c r="QC1">
        <f>IFERROR(IF((ISBLANK(VLOOKUP(QC7,#REF!,4,FALSE)))=TRUE,VLOOKUP(QC7,#REF!,3,FALSE),VLOOKUP(QC7,#REF!,4,FALSE)),0)</f>
        <v/>
      </c>
      <c r="QD1">
        <f>IFERROR(IF((ISBLANK(VLOOKUP(QD7,#REF!,4,FALSE)))=TRUE,VLOOKUP(QD7,#REF!,3,FALSE),VLOOKUP(QD7,#REF!,4,FALSE)),0)</f>
        <v/>
      </c>
      <c r="QE1">
        <f>IFERROR(IF((ISBLANK(VLOOKUP(QE7,#REF!,4,FALSE)))=TRUE,VLOOKUP(QE7,#REF!,3,FALSE),VLOOKUP(QE7,#REF!,4,FALSE)),0)</f>
        <v/>
      </c>
      <c r="QF1">
        <f>IFERROR(IF((ISBLANK(VLOOKUP(QF7,#REF!,4,FALSE)))=TRUE,VLOOKUP(QF7,#REF!,3,FALSE),VLOOKUP(QF7,#REF!,4,FALSE)),0)</f>
        <v/>
      </c>
      <c r="QG1">
        <f>IFERROR(IF((ISBLANK(VLOOKUP(QG7,#REF!,4,FALSE)))=TRUE,VLOOKUP(QG7,#REF!,3,FALSE),VLOOKUP(QG7,#REF!,4,FALSE)),0)</f>
        <v/>
      </c>
      <c r="QH1">
        <f>IFERROR(IF((ISBLANK(VLOOKUP(QH7,#REF!,4,FALSE)))=TRUE,VLOOKUP(QH7,#REF!,3,FALSE),VLOOKUP(QH7,#REF!,4,FALSE)),0)</f>
        <v/>
      </c>
      <c r="QI1">
        <f>IFERROR(IF((ISBLANK(VLOOKUP(QI7,#REF!,4,FALSE)))=TRUE,VLOOKUP(QI7,#REF!,3,FALSE),VLOOKUP(QI7,#REF!,4,FALSE)),0)</f>
        <v/>
      </c>
      <c r="QJ1">
        <f>IFERROR(IF((ISBLANK(VLOOKUP(QJ7,#REF!,4,FALSE)))=TRUE,VLOOKUP(QJ7,#REF!,3,FALSE),VLOOKUP(QJ7,#REF!,4,FALSE)),0)</f>
        <v/>
      </c>
      <c r="QK1">
        <f>IFERROR(IF((ISBLANK(VLOOKUP(QK7,#REF!,4,FALSE)))=TRUE,VLOOKUP(QK7,#REF!,3,FALSE),VLOOKUP(QK7,#REF!,4,FALSE)),0)</f>
        <v/>
      </c>
      <c r="QL1">
        <f>IFERROR(IF((ISBLANK(VLOOKUP(QL7,#REF!,4,FALSE)))=TRUE,VLOOKUP(QL7,#REF!,3,FALSE),VLOOKUP(QL7,#REF!,4,FALSE)),0)</f>
        <v/>
      </c>
      <c r="QM1">
        <f>IFERROR(IF((ISBLANK(VLOOKUP(QM7,#REF!,4,FALSE)))=TRUE,VLOOKUP(QM7,#REF!,3,FALSE),VLOOKUP(QM7,#REF!,4,FALSE)),0)</f>
        <v/>
      </c>
      <c r="QN1">
        <f>IFERROR(IF((ISBLANK(VLOOKUP(QN7,#REF!,4,FALSE)))=TRUE,VLOOKUP(QN7,#REF!,3,FALSE),VLOOKUP(QN7,#REF!,4,FALSE)),0)</f>
        <v/>
      </c>
      <c r="QO1">
        <f>IFERROR(IF((ISBLANK(VLOOKUP(QO7,#REF!,4,FALSE)))=TRUE,VLOOKUP(QO7,#REF!,3,FALSE),VLOOKUP(QO7,#REF!,4,FALSE)),0)</f>
        <v/>
      </c>
      <c r="QP1">
        <f>IFERROR(IF((ISBLANK(VLOOKUP(QP7,#REF!,4,FALSE)))=TRUE,VLOOKUP(QP7,#REF!,3,FALSE),VLOOKUP(QP7,#REF!,4,FALSE)),0)</f>
        <v/>
      </c>
      <c r="QQ1">
        <f>IFERROR(IF((ISBLANK(VLOOKUP(QQ7,#REF!,4,FALSE)))=TRUE,VLOOKUP(QQ7,#REF!,3,FALSE),VLOOKUP(QQ7,#REF!,4,FALSE)),0)</f>
        <v/>
      </c>
      <c r="QR1">
        <f>IFERROR(IF((ISBLANK(VLOOKUP(QR7,#REF!,4,FALSE)))=TRUE,VLOOKUP(QR7,#REF!,3,FALSE),VLOOKUP(QR7,#REF!,4,FALSE)),0)</f>
        <v/>
      </c>
      <c r="QS1">
        <f>IFERROR(IF((ISBLANK(VLOOKUP(QS7,#REF!,4,FALSE)))=TRUE,VLOOKUP(QS7,#REF!,3,FALSE),VLOOKUP(QS7,#REF!,4,FALSE)),0)</f>
        <v/>
      </c>
      <c r="QT1">
        <f>IFERROR(IF((ISBLANK(VLOOKUP(QT7,#REF!,4,FALSE)))=TRUE,VLOOKUP(QT7,#REF!,3,FALSE),VLOOKUP(QT7,#REF!,4,FALSE)),0)</f>
        <v/>
      </c>
      <c r="QU1">
        <f>IFERROR(IF((ISBLANK(VLOOKUP(QU7,#REF!,4,FALSE)))=TRUE,VLOOKUP(QU7,#REF!,3,FALSE),VLOOKUP(QU7,#REF!,4,FALSE)),0)</f>
        <v/>
      </c>
      <c r="QV1">
        <f>IFERROR(IF((ISBLANK(VLOOKUP(QV7,#REF!,4,FALSE)))=TRUE,VLOOKUP(QV7,#REF!,3,FALSE),VLOOKUP(QV7,#REF!,4,FALSE)),0)</f>
        <v/>
      </c>
      <c r="QW1">
        <f>IFERROR(IF((ISBLANK(VLOOKUP(QW7,#REF!,4,FALSE)))=TRUE,VLOOKUP(QW7,#REF!,3,FALSE),VLOOKUP(QW7,#REF!,4,FALSE)),0)</f>
        <v/>
      </c>
      <c r="QX1">
        <f>IFERROR(IF((ISBLANK(VLOOKUP(QX7,#REF!,4,FALSE)))=TRUE,VLOOKUP(QX7,#REF!,3,FALSE),VLOOKUP(QX7,#REF!,4,FALSE)),0)</f>
        <v/>
      </c>
      <c r="QY1">
        <f>IFERROR(IF((ISBLANK(VLOOKUP(QY7,#REF!,4,FALSE)))=TRUE,VLOOKUP(QY7,#REF!,3,FALSE),VLOOKUP(QY7,#REF!,4,FALSE)),0)</f>
        <v/>
      </c>
      <c r="QZ1">
        <f>IFERROR(IF((ISBLANK(VLOOKUP(QZ7,#REF!,4,FALSE)))=TRUE,VLOOKUP(QZ7,#REF!,3,FALSE),VLOOKUP(QZ7,#REF!,4,FALSE)),0)</f>
        <v/>
      </c>
      <c r="RA1">
        <f>IFERROR(IF((ISBLANK(VLOOKUP(RA7,#REF!,4,FALSE)))=TRUE,VLOOKUP(RA7,#REF!,3,FALSE),VLOOKUP(RA7,#REF!,4,FALSE)),0)</f>
        <v/>
      </c>
      <c r="RB1">
        <f>IFERROR(IF((ISBLANK(VLOOKUP(RB7,#REF!,4,FALSE)))=TRUE,VLOOKUP(RB7,#REF!,3,FALSE),VLOOKUP(RB7,#REF!,4,FALSE)),0)</f>
        <v/>
      </c>
      <c r="RC1">
        <f>IFERROR(IF((ISBLANK(VLOOKUP(RC7,#REF!,4,FALSE)))=TRUE,VLOOKUP(RC7,#REF!,3,FALSE),VLOOKUP(RC7,#REF!,4,FALSE)),0)</f>
        <v/>
      </c>
      <c r="RD1">
        <f>IFERROR(IF((ISBLANK(VLOOKUP(RD7,#REF!,4,FALSE)))=TRUE,VLOOKUP(RD7,#REF!,3,FALSE),VLOOKUP(RD7,#REF!,4,FALSE)),0)</f>
        <v/>
      </c>
      <c r="RE1">
        <f>IFERROR(IF((ISBLANK(VLOOKUP(RE7,#REF!,4,FALSE)))=TRUE,VLOOKUP(RE7,#REF!,3,FALSE),VLOOKUP(RE7,#REF!,4,FALSE)),0)</f>
        <v/>
      </c>
      <c r="RF1">
        <f>IFERROR(IF((ISBLANK(VLOOKUP(RF7,#REF!,4,FALSE)))=TRUE,VLOOKUP(RF7,#REF!,3,FALSE),VLOOKUP(RF7,#REF!,4,FALSE)),0)</f>
        <v/>
      </c>
      <c r="RG1">
        <f>IFERROR(IF((ISBLANK(VLOOKUP(RG7,#REF!,4,FALSE)))=TRUE,VLOOKUP(RG7,#REF!,3,FALSE),VLOOKUP(RG7,#REF!,4,FALSE)),0)</f>
        <v/>
      </c>
      <c r="RH1">
        <f>IFERROR(IF((ISBLANK(VLOOKUP(RH7,#REF!,4,FALSE)))=TRUE,VLOOKUP(RH7,#REF!,3,FALSE),VLOOKUP(RH7,#REF!,4,FALSE)),0)</f>
        <v/>
      </c>
      <c r="RI1">
        <f>IFERROR(IF((ISBLANK(VLOOKUP(RI7,#REF!,4,FALSE)))=TRUE,VLOOKUP(RI7,#REF!,3,FALSE),VLOOKUP(RI7,#REF!,4,FALSE)),0)</f>
        <v/>
      </c>
      <c r="RJ1">
        <f>IFERROR(IF((ISBLANK(VLOOKUP(RJ7,#REF!,4,FALSE)))=TRUE,VLOOKUP(RJ7,#REF!,3,FALSE),VLOOKUP(RJ7,#REF!,4,FALSE)),0)</f>
        <v/>
      </c>
      <c r="RK1">
        <f>IFERROR(IF((ISBLANK(VLOOKUP(RK7,#REF!,4,FALSE)))=TRUE,VLOOKUP(RK7,#REF!,3,FALSE),VLOOKUP(RK7,#REF!,4,FALSE)),0)</f>
        <v/>
      </c>
      <c r="RL1">
        <f>IFERROR(IF((ISBLANK(VLOOKUP(RL7,#REF!,4,FALSE)))=TRUE,VLOOKUP(RL7,#REF!,3,FALSE),VLOOKUP(RL7,#REF!,4,FALSE)),0)</f>
        <v/>
      </c>
      <c r="RM1">
        <f>IFERROR(IF((ISBLANK(VLOOKUP(RM7,#REF!,4,FALSE)))=TRUE,VLOOKUP(RM7,#REF!,3,FALSE),VLOOKUP(RM7,#REF!,4,FALSE)),0)</f>
        <v/>
      </c>
      <c r="RN1">
        <f>IFERROR(IF((ISBLANK(VLOOKUP(RN7,#REF!,4,FALSE)))=TRUE,VLOOKUP(RN7,#REF!,3,FALSE),VLOOKUP(RN7,#REF!,4,FALSE)),0)</f>
        <v/>
      </c>
      <c r="RO1">
        <f>IFERROR(IF((ISBLANK(VLOOKUP(RO7,#REF!,4,FALSE)))=TRUE,VLOOKUP(RO7,#REF!,3,FALSE),VLOOKUP(RO7,#REF!,4,FALSE)),0)</f>
        <v/>
      </c>
      <c r="RP1">
        <f>IFERROR(IF((ISBLANK(VLOOKUP(RP7,#REF!,4,FALSE)))=TRUE,VLOOKUP(RP7,#REF!,3,FALSE),VLOOKUP(RP7,#REF!,4,FALSE)),0)</f>
        <v/>
      </c>
      <c r="RQ1">
        <f>IFERROR(IF((ISBLANK(VLOOKUP(RQ7,#REF!,4,FALSE)))=TRUE,VLOOKUP(RQ7,#REF!,3,FALSE),VLOOKUP(RQ7,#REF!,4,FALSE)),0)</f>
        <v/>
      </c>
      <c r="RR1">
        <f>IFERROR(IF((ISBLANK(VLOOKUP(RR7,#REF!,4,FALSE)))=TRUE,VLOOKUP(RR7,#REF!,3,FALSE),VLOOKUP(RR7,#REF!,4,FALSE)),0)</f>
        <v/>
      </c>
      <c r="RS1">
        <f>IFERROR(IF((ISBLANK(VLOOKUP(RS7,#REF!,4,FALSE)))=TRUE,VLOOKUP(RS7,#REF!,3,FALSE),VLOOKUP(RS7,#REF!,4,FALSE)),0)</f>
        <v/>
      </c>
      <c r="RT1">
        <f>IFERROR(IF((ISBLANK(VLOOKUP(RT7,#REF!,4,FALSE)))=TRUE,VLOOKUP(RT7,#REF!,3,FALSE),VLOOKUP(RT7,#REF!,4,FALSE)),0)</f>
        <v/>
      </c>
      <c r="RU1">
        <f>IFERROR(IF((ISBLANK(VLOOKUP(RU7,#REF!,4,FALSE)))=TRUE,VLOOKUP(RU7,#REF!,3,FALSE),VLOOKUP(RU7,#REF!,4,FALSE)),0)</f>
        <v/>
      </c>
      <c r="RV1">
        <f>IFERROR(IF((ISBLANK(VLOOKUP(RV7,#REF!,4,FALSE)))=TRUE,VLOOKUP(RV7,#REF!,3,FALSE),VLOOKUP(RV7,#REF!,4,FALSE)),0)</f>
        <v/>
      </c>
      <c r="RW1">
        <f>IFERROR(IF((ISBLANK(VLOOKUP(RW7,#REF!,4,FALSE)))=TRUE,VLOOKUP(RW7,#REF!,3,FALSE),VLOOKUP(RW7,#REF!,4,FALSE)),0)</f>
        <v/>
      </c>
      <c r="RX1">
        <f>IFERROR(IF((ISBLANK(VLOOKUP(RX7,#REF!,4,FALSE)))=TRUE,VLOOKUP(RX7,#REF!,3,FALSE),VLOOKUP(RX7,#REF!,4,FALSE)),0)</f>
        <v/>
      </c>
      <c r="RY1">
        <f>IFERROR(IF((ISBLANK(VLOOKUP(RY7,#REF!,4,FALSE)))=TRUE,VLOOKUP(RY7,#REF!,3,FALSE),VLOOKUP(RY7,#REF!,4,FALSE)),0)</f>
        <v/>
      </c>
      <c r="RZ1">
        <f>IFERROR(IF((ISBLANK(VLOOKUP(RZ7,#REF!,4,FALSE)))=TRUE,VLOOKUP(RZ7,#REF!,3,FALSE),VLOOKUP(RZ7,#REF!,4,FALSE)),0)</f>
        <v/>
      </c>
      <c r="SA1">
        <f>IFERROR(IF((ISBLANK(VLOOKUP(SA7,#REF!,4,FALSE)))=TRUE,VLOOKUP(SA7,#REF!,3,FALSE),VLOOKUP(SA7,#REF!,4,FALSE)),0)</f>
        <v/>
      </c>
      <c r="SB1">
        <f>IFERROR(IF((ISBLANK(VLOOKUP(SB7,#REF!,4,FALSE)))=TRUE,VLOOKUP(SB7,#REF!,3,FALSE),VLOOKUP(SB7,#REF!,4,FALSE)),0)</f>
        <v/>
      </c>
      <c r="SC1">
        <f>IFERROR(IF((ISBLANK(VLOOKUP(SC7,#REF!,4,FALSE)))=TRUE,VLOOKUP(SC7,#REF!,3,FALSE),VLOOKUP(SC7,#REF!,4,FALSE)),0)</f>
        <v/>
      </c>
      <c r="SD1">
        <f>IFERROR(IF((ISBLANK(VLOOKUP(SD7,#REF!,4,FALSE)))=TRUE,VLOOKUP(SD7,#REF!,3,FALSE),VLOOKUP(SD7,#REF!,4,FALSE)),0)</f>
        <v/>
      </c>
      <c r="SE1">
        <f>IFERROR(IF((ISBLANK(VLOOKUP(SE7,#REF!,4,FALSE)))=TRUE,VLOOKUP(SE7,#REF!,3,FALSE),VLOOKUP(SE7,#REF!,4,FALSE)),0)</f>
        <v/>
      </c>
      <c r="SF1">
        <f>IFERROR(IF((ISBLANK(VLOOKUP(SF7,#REF!,4,FALSE)))=TRUE,VLOOKUP(SF7,#REF!,3,FALSE),VLOOKUP(SF7,#REF!,4,FALSE)),0)</f>
        <v/>
      </c>
      <c r="SG1">
        <f>IFERROR(IF((ISBLANK(VLOOKUP(SG7,#REF!,4,FALSE)))=TRUE,VLOOKUP(SG7,#REF!,3,FALSE),VLOOKUP(SG7,#REF!,4,FALSE)),0)</f>
        <v/>
      </c>
      <c r="SH1">
        <f>IFERROR(IF((ISBLANK(VLOOKUP(SH7,#REF!,4,FALSE)))=TRUE,VLOOKUP(SH7,#REF!,3,FALSE),VLOOKUP(SH7,#REF!,4,FALSE)),0)</f>
        <v/>
      </c>
      <c r="SI1">
        <f>IFERROR(IF((ISBLANK(VLOOKUP(SI7,#REF!,4,FALSE)))=TRUE,VLOOKUP(SI7,#REF!,3,FALSE),VLOOKUP(SI7,#REF!,4,FALSE)),0)</f>
        <v/>
      </c>
      <c r="SJ1">
        <f>IFERROR(IF((ISBLANK(VLOOKUP(SJ7,#REF!,4,FALSE)))=TRUE,VLOOKUP(SJ7,#REF!,3,FALSE),VLOOKUP(SJ7,#REF!,4,FALSE)),0)</f>
        <v/>
      </c>
      <c r="SK1">
        <f>IFERROR(IF((ISBLANK(VLOOKUP(SK7,#REF!,4,FALSE)))=TRUE,VLOOKUP(SK7,#REF!,3,FALSE),VLOOKUP(SK7,#REF!,4,FALSE)),0)</f>
        <v/>
      </c>
      <c r="SL1">
        <f>IFERROR(IF((ISBLANK(VLOOKUP(SL7,#REF!,4,FALSE)))=TRUE,VLOOKUP(SL7,#REF!,3,FALSE),VLOOKUP(SL7,#REF!,4,FALSE)),0)</f>
        <v/>
      </c>
      <c r="SM1">
        <f>IFERROR(IF((ISBLANK(VLOOKUP(SM7,#REF!,4,FALSE)))=TRUE,VLOOKUP(SM7,#REF!,3,FALSE),VLOOKUP(SM7,#REF!,4,FALSE)),0)</f>
        <v/>
      </c>
      <c r="SN1">
        <f>IFERROR(IF((ISBLANK(VLOOKUP(SN7,#REF!,4,FALSE)))=TRUE,VLOOKUP(SN7,#REF!,3,FALSE),VLOOKUP(SN7,#REF!,4,FALSE)),0)</f>
        <v/>
      </c>
      <c r="SO1">
        <f>IFERROR(IF((ISBLANK(VLOOKUP(SO7,#REF!,4,FALSE)))=TRUE,VLOOKUP(SO7,#REF!,3,FALSE),VLOOKUP(SO7,#REF!,4,FALSE)),0)</f>
        <v/>
      </c>
      <c r="SP1">
        <f>IFERROR(IF((ISBLANK(VLOOKUP(SP7,#REF!,4,FALSE)))=TRUE,VLOOKUP(SP7,#REF!,3,FALSE),VLOOKUP(SP7,#REF!,4,FALSE)),0)</f>
        <v/>
      </c>
      <c r="SQ1">
        <f>IFERROR(IF((ISBLANK(VLOOKUP(SQ7,#REF!,4,FALSE)))=TRUE,VLOOKUP(SQ7,#REF!,3,FALSE),VLOOKUP(SQ7,#REF!,4,FALSE)),0)</f>
        <v/>
      </c>
      <c r="SR1">
        <f>IFERROR(IF((ISBLANK(VLOOKUP(SR7,#REF!,4,FALSE)))=TRUE,VLOOKUP(SR7,#REF!,3,FALSE),VLOOKUP(SR7,#REF!,4,FALSE)),0)</f>
        <v/>
      </c>
      <c r="SS1">
        <f>IFERROR(IF((ISBLANK(VLOOKUP(SS7,#REF!,4,FALSE)))=TRUE,VLOOKUP(SS7,#REF!,3,FALSE),VLOOKUP(SS7,#REF!,4,FALSE)),0)</f>
        <v/>
      </c>
      <c r="ST1">
        <f>IFERROR(IF((ISBLANK(VLOOKUP(ST7,#REF!,4,FALSE)))=TRUE,VLOOKUP(ST7,#REF!,3,FALSE),VLOOKUP(ST7,#REF!,4,FALSE)),0)</f>
        <v/>
      </c>
      <c r="SU1">
        <f>IFERROR(IF((ISBLANK(VLOOKUP(SU7,#REF!,4,FALSE)))=TRUE,VLOOKUP(SU7,#REF!,3,FALSE),VLOOKUP(SU7,#REF!,4,FALSE)),0)</f>
        <v/>
      </c>
      <c r="SV1">
        <f>IFERROR(IF((ISBLANK(VLOOKUP(SV7,#REF!,4,FALSE)))=TRUE,VLOOKUP(SV7,#REF!,3,FALSE),VLOOKUP(SV7,#REF!,4,FALSE)),0)</f>
        <v/>
      </c>
      <c r="SW1">
        <f>IFERROR(IF((ISBLANK(VLOOKUP(SW7,#REF!,4,FALSE)))=TRUE,VLOOKUP(SW7,#REF!,3,FALSE),VLOOKUP(SW7,#REF!,4,FALSE)),0)</f>
        <v/>
      </c>
      <c r="SX1">
        <f>IFERROR(IF((ISBLANK(VLOOKUP(SX7,#REF!,4,FALSE)))=TRUE,VLOOKUP(SX7,#REF!,3,FALSE),VLOOKUP(SX7,#REF!,4,FALSE)),0)</f>
        <v/>
      </c>
      <c r="SY1">
        <f>IFERROR(IF((ISBLANK(VLOOKUP(SY7,#REF!,4,FALSE)))=TRUE,VLOOKUP(SY7,#REF!,3,FALSE),VLOOKUP(SY7,#REF!,4,FALSE)),0)</f>
        <v/>
      </c>
      <c r="SZ1">
        <f>IFERROR(IF((ISBLANK(VLOOKUP(SZ7,#REF!,4,FALSE)))=TRUE,VLOOKUP(SZ7,#REF!,3,FALSE),VLOOKUP(SZ7,#REF!,4,FALSE)),0)</f>
        <v/>
      </c>
      <c r="TA1">
        <f>IFERROR(IF((ISBLANK(VLOOKUP(TA7,#REF!,4,FALSE)))=TRUE,VLOOKUP(TA7,#REF!,3,FALSE),VLOOKUP(TA7,#REF!,4,FALSE)),0)</f>
        <v/>
      </c>
      <c r="TB1">
        <f>IFERROR(IF((ISBLANK(VLOOKUP(TB7,#REF!,4,FALSE)))=TRUE,VLOOKUP(TB7,#REF!,3,FALSE),VLOOKUP(TB7,#REF!,4,FALSE)),0)</f>
        <v/>
      </c>
      <c r="TC1">
        <f>IFERROR(IF((ISBLANK(VLOOKUP(TC7,#REF!,4,FALSE)))=TRUE,VLOOKUP(TC7,#REF!,3,FALSE),VLOOKUP(TC7,#REF!,4,FALSE)),0)</f>
        <v/>
      </c>
      <c r="TD1">
        <f>IFERROR(IF((ISBLANK(VLOOKUP(TD7,#REF!,4,FALSE)))=TRUE,VLOOKUP(TD7,#REF!,3,FALSE),VLOOKUP(TD7,#REF!,4,FALSE)),0)</f>
        <v/>
      </c>
      <c r="TE1">
        <f>IFERROR(IF((ISBLANK(VLOOKUP(TE7,#REF!,4,FALSE)))=TRUE,VLOOKUP(TE7,#REF!,3,FALSE),VLOOKUP(TE7,#REF!,4,FALSE)),0)</f>
        <v/>
      </c>
      <c r="TF1">
        <f>IFERROR(IF((ISBLANK(VLOOKUP(TF7,#REF!,4,FALSE)))=TRUE,VLOOKUP(TF7,#REF!,3,FALSE),VLOOKUP(TF7,#REF!,4,FALSE)),0)</f>
        <v/>
      </c>
      <c r="TG1">
        <f>IFERROR(IF((ISBLANK(VLOOKUP(TG7,#REF!,4,FALSE)))=TRUE,VLOOKUP(TG7,#REF!,3,FALSE),VLOOKUP(TG7,#REF!,4,FALSE)),0)</f>
        <v/>
      </c>
      <c r="TH1">
        <f>IFERROR(IF((ISBLANK(VLOOKUP(TH7,#REF!,4,FALSE)))=TRUE,VLOOKUP(TH7,#REF!,3,FALSE),VLOOKUP(TH7,#REF!,4,FALSE)),0)</f>
        <v/>
      </c>
      <c r="TI1">
        <f>IFERROR(IF((ISBLANK(VLOOKUP(TI7,#REF!,4,FALSE)))=TRUE,VLOOKUP(TI7,#REF!,3,FALSE),VLOOKUP(TI7,#REF!,4,FALSE)),0)</f>
        <v/>
      </c>
      <c r="TJ1">
        <f>IFERROR(IF((ISBLANK(VLOOKUP(TJ7,#REF!,4,FALSE)))=TRUE,VLOOKUP(TJ7,#REF!,3,FALSE),VLOOKUP(TJ7,#REF!,4,FALSE)),0)</f>
        <v/>
      </c>
      <c r="TK1">
        <f>IFERROR(IF((ISBLANK(VLOOKUP(TK7,#REF!,4,FALSE)))=TRUE,VLOOKUP(TK7,#REF!,3,FALSE),VLOOKUP(TK7,#REF!,4,FALSE)),0)</f>
        <v/>
      </c>
      <c r="TL1">
        <f>IFERROR(IF((ISBLANK(VLOOKUP(TL7,#REF!,4,FALSE)))=TRUE,VLOOKUP(TL7,#REF!,3,FALSE),VLOOKUP(TL7,#REF!,4,FALSE)),0)</f>
        <v/>
      </c>
      <c r="TM1">
        <f>IFERROR(IF((ISBLANK(VLOOKUP(TM7,#REF!,4,FALSE)))=TRUE,VLOOKUP(TM7,#REF!,3,FALSE),VLOOKUP(TM7,#REF!,4,FALSE)),0)</f>
        <v/>
      </c>
      <c r="TN1">
        <f>IFERROR(IF((ISBLANK(VLOOKUP(TN7,#REF!,4,FALSE)))=TRUE,VLOOKUP(TN7,#REF!,3,FALSE),VLOOKUP(TN7,#REF!,4,FALSE)),0)</f>
        <v/>
      </c>
      <c r="TO1">
        <f>IFERROR(IF((ISBLANK(VLOOKUP(TO7,#REF!,4,FALSE)))=TRUE,VLOOKUP(TO7,#REF!,3,FALSE),VLOOKUP(TO7,#REF!,4,FALSE)),0)</f>
        <v/>
      </c>
      <c r="TP1">
        <f>IFERROR(IF((ISBLANK(VLOOKUP(TP7,#REF!,4,FALSE)))=TRUE,VLOOKUP(TP7,#REF!,3,FALSE),VLOOKUP(TP7,#REF!,4,FALSE)),0)</f>
        <v/>
      </c>
      <c r="TQ1">
        <f>IFERROR(IF((ISBLANK(VLOOKUP(TQ7,#REF!,4,FALSE)))=TRUE,VLOOKUP(TQ7,#REF!,3,FALSE),VLOOKUP(TQ7,#REF!,4,FALSE)),0)</f>
        <v/>
      </c>
      <c r="TR1">
        <f>IFERROR(IF((ISBLANK(VLOOKUP(TR7,#REF!,4,FALSE)))=TRUE,VLOOKUP(TR7,#REF!,3,FALSE),VLOOKUP(TR7,#REF!,4,FALSE)),0)</f>
        <v/>
      </c>
      <c r="TS1">
        <f>IFERROR(IF((ISBLANK(VLOOKUP(TS7,#REF!,4,FALSE)))=TRUE,VLOOKUP(TS7,#REF!,3,FALSE),VLOOKUP(TS7,#REF!,4,FALSE)),0)</f>
        <v/>
      </c>
      <c r="TT1">
        <f>IFERROR(IF((ISBLANK(VLOOKUP(TT7,#REF!,4,FALSE)))=TRUE,VLOOKUP(TT7,#REF!,3,FALSE),VLOOKUP(TT7,#REF!,4,FALSE)),0)</f>
        <v/>
      </c>
      <c r="TU1">
        <f>IFERROR(IF((ISBLANK(VLOOKUP(TU7,#REF!,4,FALSE)))=TRUE,VLOOKUP(TU7,#REF!,3,FALSE),VLOOKUP(TU7,#REF!,4,FALSE)),0)</f>
        <v/>
      </c>
      <c r="TV1">
        <f>IFERROR(IF((ISBLANK(VLOOKUP(TV7,#REF!,4,FALSE)))=TRUE,VLOOKUP(TV7,#REF!,3,FALSE),VLOOKUP(TV7,#REF!,4,FALSE)),0)</f>
        <v/>
      </c>
      <c r="TW1">
        <f>IFERROR(IF((ISBLANK(VLOOKUP(TW7,#REF!,4,FALSE)))=TRUE,VLOOKUP(TW7,#REF!,3,FALSE),VLOOKUP(TW7,#REF!,4,FALSE)),0)</f>
        <v/>
      </c>
      <c r="TX1">
        <f>IFERROR(IF((ISBLANK(VLOOKUP(TX7,#REF!,4,FALSE)))=TRUE,VLOOKUP(TX7,#REF!,3,FALSE),VLOOKUP(TX7,#REF!,4,FALSE)),0)</f>
        <v/>
      </c>
      <c r="TY1">
        <f>IFERROR(IF((ISBLANK(VLOOKUP(TY7,#REF!,4,FALSE)))=TRUE,VLOOKUP(TY7,#REF!,3,FALSE),VLOOKUP(TY7,#REF!,4,FALSE)),0)</f>
        <v/>
      </c>
      <c r="TZ1">
        <f>IFERROR(IF((ISBLANK(VLOOKUP(TZ7,#REF!,4,FALSE)))=TRUE,VLOOKUP(TZ7,#REF!,3,FALSE),VLOOKUP(TZ7,#REF!,4,FALSE)),0)</f>
        <v/>
      </c>
      <c r="UA1">
        <f>IFERROR(IF((ISBLANK(VLOOKUP(UA7,#REF!,4,FALSE)))=TRUE,VLOOKUP(UA7,#REF!,3,FALSE),VLOOKUP(UA7,#REF!,4,FALSE)),0)</f>
        <v/>
      </c>
      <c r="UB1">
        <f>IFERROR(IF((ISBLANK(VLOOKUP(UB7,#REF!,4,FALSE)))=TRUE,VLOOKUP(UB7,#REF!,3,FALSE),VLOOKUP(UB7,#REF!,4,FALSE)),0)</f>
        <v/>
      </c>
      <c r="UC1">
        <f>IFERROR(IF((ISBLANK(VLOOKUP(UC7,#REF!,4,FALSE)))=TRUE,VLOOKUP(UC7,#REF!,3,FALSE),VLOOKUP(UC7,#REF!,4,FALSE)),0)</f>
        <v/>
      </c>
      <c r="UD1">
        <f>IFERROR(IF((ISBLANK(VLOOKUP(UD7,#REF!,4,FALSE)))=TRUE,VLOOKUP(UD7,#REF!,3,FALSE),VLOOKUP(UD7,#REF!,4,FALSE)),0)</f>
        <v/>
      </c>
      <c r="UE1">
        <f>IFERROR(IF((ISBLANK(VLOOKUP(UE7,#REF!,4,FALSE)))=TRUE,VLOOKUP(UE7,#REF!,3,FALSE),VLOOKUP(UE7,#REF!,4,FALSE)),0)</f>
        <v/>
      </c>
      <c r="UF1">
        <f>IFERROR(IF((ISBLANK(VLOOKUP(UF7,#REF!,4,FALSE)))=TRUE,VLOOKUP(UF7,#REF!,3,FALSE),VLOOKUP(UF7,#REF!,4,FALSE)),0)</f>
        <v/>
      </c>
      <c r="UG1">
        <f>IFERROR(IF((ISBLANK(VLOOKUP(UG7,#REF!,4,FALSE)))=TRUE,VLOOKUP(UG7,#REF!,3,FALSE),VLOOKUP(UG7,#REF!,4,FALSE)),0)</f>
        <v/>
      </c>
      <c r="UH1">
        <f>IFERROR(IF((ISBLANK(VLOOKUP(UH7,#REF!,4,FALSE)))=TRUE,VLOOKUP(UH7,#REF!,3,FALSE),VLOOKUP(UH7,#REF!,4,FALSE)),0)</f>
        <v/>
      </c>
      <c r="UI1">
        <f>IFERROR(IF((ISBLANK(VLOOKUP(UI7,#REF!,4,FALSE)))=TRUE,VLOOKUP(UI7,#REF!,3,FALSE),VLOOKUP(UI7,#REF!,4,FALSE)),0)</f>
        <v/>
      </c>
      <c r="UJ1">
        <f>IFERROR(IF((ISBLANK(VLOOKUP(UJ7,#REF!,4,FALSE)))=TRUE,VLOOKUP(UJ7,#REF!,3,FALSE),VLOOKUP(UJ7,#REF!,4,FALSE)),0)</f>
        <v/>
      </c>
      <c r="UK1">
        <f>IFERROR(IF((ISBLANK(VLOOKUP(UK7,#REF!,4,FALSE)))=TRUE,VLOOKUP(UK7,#REF!,3,FALSE),VLOOKUP(UK7,#REF!,4,FALSE)),0)</f>
        <v/>
      </c>
      <c r="UL1">
        <f>IFERROR(IF((ISBLANK(VLOOKUP(UL7,#REF!,4,FALSE)))=TRUE,VLOOKUP(UL7,#REF!,3,FALSE),VLOOKUP(UL7,#REF!,4,FALSE)),0)</f>
        <v/>
      </c>
      <c r="UM1">
        <f>IFERROR(IF((ISBLANK(VLOOKUP(UM7,#REF!,4,FALSE)))=TRUE,VLOOKUP(UM7,#REF!,3,FALSE),VLOOKUP(UM7,#REF!,4,FALSE)),0)</f>
        <v/>
      </c>
      <c r="UN1">
        <f>IFERROR(IF((ISBLANK(VLOOKUP(UN7,#REF!,4,FALSE)))=TRUE,VLOOKUP(UN7,#REF!,3,FALSE),VLOOKUP(UN7,#REF!,4,FALSE)),0)</f>
        <v/>
      </c>
      <c r="UO1">
        <f>IFERROR(IF((ISBLANK(VLOOKUP(UO7,#REF!,4,FALSE)))=TRUE,VLOOKUP(UO7,#REF!,3,FALSE),VLOOKUP(UO7,#REF!,4,FALSE)),0)</f>
        <v/>
      </c>
      <c r="UP1">
        <f>IFERROR(IF((ISBLANK(VLOOKUP(UP7,#REF!,4,FALSE)))=TRUE,VLOOKUP(UP7,#REF!,3,FALSE),VLOOKUP(UP7,#REF!,4,FALSE)),0)</f>
        <v/>
      </c>
      <c r="UQ1">
        <f>IFERROR(IF((ISBLANK(VLOOKUP(UQ7,#REF!,4,FALSE)))=TRUE,VLOOKUP(UQ7,#REF!,3,FALSE),VLOOKUP(UQ7,#REF!,4,FALSE)),0)</f>
        <v/>
      </c>
      <c r="UR1">
        <f>IFERROR(IF((ISBLANK(VLOOKUP(UR7,#REF!,4,FALSE)))=TRUE,VLOOKUP(UR7,#REF!,3,FALSE),VLOOKUP(UR7,#REF!,4,FALSE)),0)</f>
        <v/>
      </c>
      <c r="US1">
        <f>IFERROR(IF((ISBLANK(VLOOKUP(US7,#REF!,4,FALSE)))=TRUE,VLOOKUP(US7,#REF!,3,FALSE),VLOOKUP(US7,#REF!,4,FALSE)),0)</f>
        <v/>
      </c>
      <c r="UT1">
        <f>IFERROR(IF((ISBLANK(VLOOKUP(UT7,#REF!,4,FALSE)))=TRUE,VLOOKUP(UT7,#REF!,3,FALSE),VLOOKUP(UT7,#REF!,4,FALSE)),0)</f>
        <v/>
      </c>
      <c r="UU1">
        <f>IFERROR(IF((ISBLANK(VLOOKUP(UU7,#REF!,4,FALSE)))=TRUE,VLOOKUP(UU7,#REF!,3,FALSE),VLOOKUP(UU7,#REF!,4,FALSE)),0)</f>
        <v/>
      </c>
      <c r="UV1">
        <f>IFERROR(IF((ISBLANK(VLOOKUP(UV7,#REF!,4,FALSE)))=TRUE,VLOOKUP(UV7,#REF!,3,FALSE),VLOOKUP(UV7,#REF!,4,FALSE)),0)</f>
        <v/>
      </c>
      <c r="UW1">
        <f>IFERROR(IF((ISBLANK(VLOOKUP(UW7,#REF!,4,FALSE)))=TRUE,VLOOKUP(UW7,#REF!,3,FALSE),VLOOKUP(UW7,#REF!,4,FALSE)),0)</f>
        <v/>
      </c>
      <c r="UX1">
        <f>IFERROR(IF((ISBLANK(VLOOKUP(UX7,#REF!,4,FALSE)))=TRUE,VLOOKUP(UX7,#REF!,3,FALSE),VLOOKUP(UX7,#REF!,4,FALSE)),0)</f>
        <v/>
      </c>
      <c r="UY1">
        <f>IFERROR(IF((ISBLANK(VLOOKUP(UY7,#REF!,4,FALSE)))=TRUE,VLOOKUP(UY7,#REF!,3,FALSE),VLOOKUP(UY7,#REF!,4,FALSE)),0)</f>
        <v/>
      </c>
      <c r="UZ1">
        <f>IFERROR(IF((ISBLANK(VLOOKUP(UZ7,#REF!,4,FALSE)))=TRUE,VLOOKUP(UZ7,#REF!,3,FALSE),VLOOKUP(UZ7,#REF!,4,FALSE)),0)</f>
        <v/>
      </c>
      <c r="VA1">
        <f>IFERROR(IF((ISBLANK(VLOOKUP(VA7,#REF!,4,FALSE)))=TRUE,VLOOKUP(VA7,#REF!,3,FALSE),VLOOKUP(VA7,#REF!,4,FALSE)),0)</f>
        <v/>
      </c>
      <c r="VB1">
        <f>IFERROR(IF((ISBLANK(VLOOKUP(VB7,#REF!,4,FALSE)))=TRUE,VLOOKUP(VB7,#REF!,3,FALSE),VLOOKUP(VB7,#REF!,4,FALSE)),0)</f>
        <v/>
      </c>
      <c r="VC1">
        <f>IFERROR(IF((ISBLANK(VLOOKUP(VC7,#REF!,4,FALSE)))=TRUE,VLOOKUP(VC7,#REF!,3,FALSE),VLOOKUP(VC7,#REF!,4,FALSE)),0)</f>
        <v/>
      </c>
      <c r="VD1">
        <f>IFERROR(IF((ISBLANK(VLOOKUP(VD7,#REF!,4,FALSE)))=TRUE,VLOOKUP(VD7,#REF!,3,FALSE),VLOOKUP(VD7,#REF!,4,FALSE)),0)</f>
        <v/>
      </c>
      <c r="VE1">
        <f>IFERROR(IF((ISBLANK(VLOOKUP(VE7,#REF!,4,FALSE)))=TRUE,VLOOKUP(VE7,#REF!,3,FALSE),VLOOKUP(VE7,#REF!,4,FALSE)),0)</f>
        <v/>
      </c>
      <c r="VF1">
        <f>IFERROR(IF((ISBLANK(VLOOKUP(VF7,#REF!,4,FALSE)))=TRUE,VLOOKUP(VF7,#REF!,3,FALSE),VLOOKUP(VF7,#REF!,4,FALSE)),0)</f>
        <v/>
      </c>
      <c r="VG1">
        <f>IFERROR(IF((ISBLANK(VLOOKUP(VG7,#REF!,4,FALSE)))=TRUE,VLOOKUP(VG7,#REF!,3,FALSE),VLOOKUP(VG7,#REF!,4,FALSE)),0)</f>
        <v/>
      </c>
      <c r="VH1">
        <f>IFERROR(IF((ISBLANK(VLOOKUP(VH7,#REF!,4,FALSE)))=TRUE,VLOOKUP(VH7,#REF!,3,FALSE),VLOOKUP(VH7,#REF!,4,FALSE)),0)</f>
        <v/>
      </c>
      <c r="VI1">
        <f>IFERROR(IF((ISBLANK(VLOOKUP(VI7,#REF!,4,FALSE)))=TRUE,VLOOKUP(VI7,#REF!,3,FALSE),VLOOKUP(VI7,#REF!,4,FALSE)),0)</f>
        <v/>
      </c>
      <c r="VJ1">
        <f>IFERROR(IF((ISBLANK(VLOOKUP(VJ7,#REF!,4,FALSE)))=TRUE,VLOOKUP(VJ7,#REF!,3,FALSE),VLOOKUP(VJ7,#REF!,4,FALSE)),0)</f>
        <v/>
      </c>
      <c r="VK1">
        <f>IFERROR(IF((ISBLANK(VLOOKUP(VK7,#REF!,4,FALSE)))=TRUE,VLOOKUP(VK7,#REF!,3,FALSE),VLOOKUP(VK7,#REF!,4,FALSE)),0)</f>
        <v/>
      </c>
      <c r="VL1">
        <f>IFERROR(IF((ISBLANK(VLOOKUP(VL7,#REF!,4,FALSE)))=TRUE,VLOOKUP(VL7,#REF!,3,FALSE),VLOOKUP(VL7,#REF!,4,FALSE)),0)</f>
        <v/>
      </c>
      <c r="VM1">
        <f>IFERROR(IF((ISBLANK(VLOOKUP(VM7,#REF!,4,FALSE)))=TRUE,VLOOKUP(VM7,#REF!,3,FALSE),VLOOKUP(VM7,#REF!,4,FALSE)),0)</f>
        <v/>
      </c>
      <c r="VN1">
        <f>IFERROR(IF((ISBLANK(VLOOKUP(VN7,#REF!,4,FALSE)))=TRUE,VLOOKUP(VN7,#REF!,3,FALSE),VLOOKUP(VN7,#REF!,4,FALSE)),0)</f>
        <v/>
      </c>
      <c r="VO1">
        <f>IFERROR(IF((ISBLANK(VLOOKUP(VO7,#REF!,4,FALSE)))=TRUE,VLOOKUP(VO7,#REF!,3,FALSE),VLOOKUP(VO7,#REF!,4,FALSE)),0)</f>
        <v/>
      </c>
      <c r="VP1">
        <f>IFERROR(IF((ISBLANK(VLOOKUP(VP7,#REF!,4,FALSE)))=TRUE,VLOOKUP(VP7,#REF!,3,FALSE),VLOOKUP(VP7,#REF!,4,FALSE)),0)</f>
        <v/>
      </c>
      <c r="VQ1">
        <f>IFERROR(IF((ISBLANK(VLOOKUP(VQ7,#REF!,4,FALSE)))=TRUE,VLOOKUP(VQ7,#REF!,3,FALSE),VLOOKUP(VQ7,#REF!,4,FALSE)),0)</f>
        <v/>
      </c>
      <c r="VR1">
        <f>IFERROR(IF((ISBLANK(VLOOKUP(VR7,#REF!,4,FALSE)))=TRUE,VLOOKUP(VR7,#REF!,3,FALSE),VLOOKUP(VR7,#REF!,4,FALSE)),0)</f>
        <v/>
      </c>
      <c r="VS1">
        <f>IFERROR(IF((ISBLANK(VLOOKUP(VS7,#REF!,4,FALSE)))=TRUE,VLOOKUP(VS7,#REF!,3,FALSE),VLOOKUP(VS7,#REF!,4,FALSE)),0)</f>
        <v/>
      </c>
      <c r="VT1">
        <f>IFERROR(IF((ISBLANK(VLOOKUP(VT7,#REF!,4,FALSE)))=TRUE,VLOOKUP(VT7,#REF!,3,FALSE),VLOOKUP(VT7,#REF!,4,FALSE)),0)</f>
        <v/>
      </c>
      <c r="VU1">
        <f>IFERROR(IF((ISBLANK(VLOOKUP(VU7,#REF!,4,FALSE)))=TRUE,VLOOKUP(VU7,#REF!,3,FALSE),VLOOKUP(VU7,#REF!,4,FALSE)),0)</f>
        <v/>
      </c>
      <c r="VV1">
        <f>IFERROR(IF((ISBLANK(VLOOKUP(VV7,#REF!,4,FALSE)))=TRUE,VLOOKUP(VV7,#REF!,3,FALSE),VLOOKUP(VV7,#REF!,4,FALSE)),0)</f>
        <v/>
      </c>
      <c r="VW1">
        <f>IFERROR(IF((ISBLANK(VLOOKUP(VW7,#REF!,4,FALSE)))=TRUE,VLOOKUP(VW7,#REF!,3,FALSE),VLOOKUP(VW7,#REF!,4,FALSE)),0)</f>
        <v/>
      </c>
      <c r="VX1">
        <f>IFERROR(IF((ISBLANK(VLOOKUP(VX7,#REF!,4,FALSE)))=TRUE,VLOOKUP(VX7,#REF!,3,FALSE),VLOOKUP(VX7,#REF!,4,FALSE)),0)</f>
        <v/>
      </c>
      <c r="VY1">
        <f>IFERROR(IF((ISBLANK(VLOOKUP(VY7,#REF!,4,FALSE)))=TRUE,VLOOKUP(VY7,#REF!,3,FALSE),VLOOKUP(VY7,#REF!,4,FALSE)),0)</f>
        <v/>
      </c>
      <c r="VZ1">
        <f>IFERROR(IF((ISBLANK(VLOOKUP(VZ7,#REF!,4,FALSE)))=TRUE,VLOOKUP(VZ7,#REF!,3,FALSE),VLOOKUP(VZ7,#REF!,4,FALSE)),0)</f>
        <v/>
      </c>
      <c r="WA1">
        <f>IFERROR(IF((ISBLANK(VLOOKUP(WA7,#REF!,4,FALSE)))=TRUE,VLOOKUP(WA7,#REF!,3,FALSE),VLOOKUP(WA7,#REF!,4,FALSE)),0)</f>
        <v/>
      </c>
      <c r="WB1">
        <f>IFERROR(IF((ISBLANK(VLOOKUP(WB7,#REF!,4,FALSE)))=TRUE,VLOOKUP(WB7,#REF!,3,FALSE),VLOOKUP(WB7,#REF!,4,FALSE)),0)</f>
        <v/>
      </c>
      <c r="WC1">
        <f>IFERROR(IF((ISBLANK(VLOOKUP(WC7,#REF!,4,FALSE)))=TRUE,VLOOKUP(WC7,#REF!,3,FALSE),VLOOKUP(WC7,#REF!,4,FALSE)),0)</f>
        <v/>
      </c>
      <c r="WD1">
        <f>IFERROR(IF((ISBLANK(VLOOKUP(WD7,#REF!,4,FALSE)))=TRUE,VLOOKUP(WD7,#REF!,3,FALSE),VLOOKUP(WD7,#REF!,4,FALSE)),0)</f>
        <v/>
      </c>
      <c r="WE1">
        <f>IFERROR(IF((ISBLANK(VLOOKUP(WE7,#REF!,4,FALSE)))=TRUE,VLOOKUP(WE7,#REF!,3,FALSE),VLOOKUP(WE7,#REF!,4,FALSE)),0)</f>
        <v/>
      </c>
      <c r="WF1">
        <f>IFERROR(IF((ISBLANK(VLOOKUP(WF7,#REF!,4,FALSE)))=TRUE,VLOOKUP(WF7,#REF!,3,FALSE),VLOOKUP(WF7,#REF!,4,FALSE)),0)</f>
        <v/>
      </c>
      <c r="WG1">
        <f>IFERROR(IF((ISBLANK(VLOOKUP(WG7,#REF!,4,FALSE)))=TRUE,VLOOKUP(WG7,#REF!,3,FALSE),VLOOKUP(WG7,#REF!,4,FALSE)),0)</f>
        <v/>
      </c>
      <c r="WH1">
        <f>IFERROR(IF((ISBLANK(VLOOKUP(WH7,#REF!,4,FALSE)))=TRUE,VLOOKUP(WH7,#REF!,3,FALSE),VLOOKUP(WH7,#REF!,4,FALSE)),0)</f>
        <v/>
      </c>
      <c r="WI1">
        <f>IFERROR(IF((ISBLANK(VLOOKUP(WI7,#REF!,4,FALSE)))=TRUE,VLOOKUP(WI7,#REF!,3,FALSE),VLOOKUP(WI7,#REF!,4,FALSE)),0)</f>
        <v/>
      </c>
      <c r="WJ1">
        <f>IFERROR(IF((ISBLANK(VLOOKUP(WJ7,#REF!,4,FALSE)))=TRUE,VLOOKUP(WJ7,#REF!,3,FALSE),VLOOKUP(WJ7,#REF!,4,FALSE)),0)</f>
        <v/>
      </c>
      <c r="WK1">
        <f>IFERROR(IF((ISBLANK(VLOOKUP(WK7,#REF!,4,FALSE)))=TRUE,VLOOKUP(WK7,#REF!,3,FALSE),VLOOKUP(WK7,#REF!,4,FALSE)),0)</f>
        <v/>
      </c>
      <c r="WL1">
        <f>IFERROR(IF((ISBLANK(VLOOKUP(WL7,#REF!,4,FALSE)))=TRUE,VLOOKUP(WL7,#REF!,3,FALSE),VLOOKUP(WL7,#REF!,4,FALSE)),0)</f>
        <v/>
      </c>
      <c r="WM1">
        <f>IFERROR(IF((ISBLANK(VLOOKUP(WM7,#REF!,4,FALSE)))=TRUE,VLOOKUP(WM7,#REF!,3,FALSE),VLOOKUP(WM7,#REF!,4,FALSE)),0)</f>
        <v/>
      </c>
      <c r="WN1">
        <f>IFERROR(IF((ISBLANK(VLOOKUP(WN7,#REF!,4,FALSE)))=TRUE,VLOOKUP(WN7,#REF!,3,FALSE),VLOOKUP(WN7,#REF!,4,FALSE)),0)</f>
        <v/>
      </c>
      <c r="WO1">
        <f>IFERROR(IF((ISBLANK(VLOOKUP(WO7,#REF!,4,FALSE)))=TRUE,VLOOKUP(WO7,#REF!,3,FALSE),VLOOKUP(WO7,#REF!,4,FALSE)),0)</f>
        <v/>
      </c>
      <c r="WP1">
        <f>IFERROR(IF((ISBLANK(VLOOKUP(WP7,#REF!,4,FALSE)))=TRUE,VLOOKUP(WP7,#REF!,3,FALSE),VLOOKUP(WP7,#REF!,4,FALSE)),0)</f>
        <v/>
      </c>
      <c r="WQ1">
        <f>IFERROR(IF((ISBLANK(VLOOKUP(WQ7,#REF!,4,FALSE)))=TRUE,VLOOKUP(WQ7,#REF!,3,FALSE),VLOOKUP(WQ7,#REF!,4,FALSE)),0)</f>
        <v/>
      </c>
      <c r="WR1">
        <f>IFERROR(IF((ISBLANK(VLOOKUP(WR7,#REF!,4,FALSE)))=TRUE,VLOOKUP(WR7,#REF!,3,FALSE),VLOOKUP(WR7,#REF!,4,FALSE)),0)</f>
        <v/>
      </c>
      <c r="WS1">
        <f>IFERROR(IF((ISBLANK(VLOOKUP(WS7,#REF!,4,FALSE)))=TRUE,VLOOKUP(WS7,#REF!,3,FALSE),VLOOKUP(WS7,#REF!,4,FALSE)),0)</f>
        <v/>
      </c>
      <c r="WT1">
        <f>IFERROR(IF((ISBLANK(VLOOKUP(WT7,#REF!,4,FALSE)))=TRUE,VLOOKUP(WT7,#REF!,3,FALSE),VLOOKUP(WT7,#REF!,4,FALSE)),0)</f>
        <v/>
      </c>
      <c r="WU1">
        <f>IFERROR(IF((ISBLANK(VLOOKUP(WU7,#REF!,4,FALSE)))=TRUE,VLOOKUP(WU7,#REF!,3,FALSE),VLOOKUP(WU7,#REF!,4,FALSE)),0)</f>
        <v/>
      </c>
      <c r="WV1">
        <f>IFERROR(IF((ISBLANK(VLOOKUP(WV7,#REF!,4,FALSE)))=TRUE,VLOOKUP(WV7,#REF!,3,FALSE),VLOOKUP(WV7,#REF!,4,FALSE)),0)</f>
        <v/>
      </c>
      <c r="WW1">
        <f>IFERROR(IF((ISBLANK(VLOOKUP(WW7,#REF!,4,FALSE)))=TRUE,VLOOKUP(WW7,#REF!,3,FALSE),VLOOKUP(WW7,#REF!,4,FALSE)),0)</f>
        <v/>
      </c>
      <c r="WX1">
        <f>IFERROR(IF((ISBLANK(VLOOKUP(WX7,#REF!,4,FALSE)))=TRUE,VLOOKUP(WX7,#REF!,3,FALSE),VLOOKUP(WX7,#REF!,4,FALSE)),0)</f>
        <v/>
      </c>
      <c r="WY1">
        <f>IFERROR(IF((ISBLANK(VLOOKUP(WY7,#REF!,4,FALSE)))=TRUE,VLOOKUP(WY7,#REF!,3,FALSE),VLOOKUP(WY7,#REF!,4,FALSE)),0)</f>
        <v/>
      </c>
      <c r="WZ1">
        <f>IFERROR(IF((ISBLANK(VLOOKUP(WZ7,#REF!,4,FALSE)))=TRUE,VLOOKUP(WZ7,#REF!,3,FALSE),VLOOKUP(WZ7,#REF!,4,FALSE)),0)</f>
        <v/>
      </c>
      <c r="XA1">
        <f>IFERROR(IF((ISBLANK(VLOOKUP(XA7,#REF!,4,FALSE)))=TRUE,VLOOKUP(XA7,#REF!,3,FALSE),VLOOKUP(XA7,#REF!,4,FALSE)),0)</f>
        <v/>
      </c>
      <c r="XB1">
        <f>IFERROR(IF((ISBLANK(VLOOKUP(XB7,#REF!,4,FALSE)))=TRUE,VLOOKUP(XB7,#REF!,3,FALSE),VLOOKUP(XB7,#REF!,4,FALSE)),0)</f>
        <v/>
      </c>
      <c r="XC1">
        <f>IFERROR(IF((ISBLANK(VLOOKUP(XC7,#REF!,4,FALSE)))=TRUE,VLOOKUP(XC7,#REF!,3,FALSE),VLOOKUP(XC7,#REF!,4,FALSE)),0)</f>
        <v/>
      </c>
      <c r="XD1">
        <f>IFERROR(IF((ISBLANK(VLOOKUP(XD7,#REF!,4,FALSE)))=TRUE,VLOOKUP(XD7,#REF!,3,FALSE),VLOOKUP(XD7,#REF!,4,FALSE)),0)</f>
        <v/>
      </c>
      <c r="XE1">
        <f>IFERROR(IF((ISBLANK(VLOOKUP(XE7,#REF!,4,FALSE)))=TRUE,VLOOKUP(XE7,#REF!,3,FALSE),VLOOKUP(XE7,#REF!,4,FALSE)),0)</f>
        <v/>
      </c>
      <c r="XF1">
        <f>IFERROR(IF((ISBLANK(VLOOKUP(XF7,#REF!,4,FALSE)))=TRUE,VLOOKUP(XF7,#REF!,3,FALSE),VLOOKUP(XF7,#REF!,4,FALSE)),0)</f>
        <v/>
      </c>
      <c r="XG1">
        <f>IFERROR(IF((ISBLANK(VLOOKUP(XG7,#REF!,4,FALSE)))=TRUE,VLOOKUP(XG7,#REF!,3,FALSE),VLOOKUP(XG7,#REF!,4,FALSE)),0)</f>
        <v/>
      </c>
      <c r="XH1">
        <f>IFERROR(IF((ISBLANK(VLOOKUP(XH7,#REF!,4,FALSE)))=TRUE,VLOOKUP(XH7,#REF!,3,FALSE),VLOOKUP(XH7,#REF!,4,FALSE)),0)</f>
        <v/>
      </c>
      <c r="XI1">
        <f>IFERROR(IF((ISBLANK(VLOOKUP(XI7,#REF!,4,FALSE)))=TRUE,VLOOKUP(XI7,#REF!,3,FALSE),VLOOKUP(XI7,#REF!,4,FALSE)),0)</f>
        <v/>
      </c>
      <c r="XJ1">
        <f>IFERROR(IF((ISBLANK(VLOOKUP(XJ7,#REF!,4,FALSE)))=TRUE,VLOOKUP(XJ7,#REF!,3,FALSE),VLOOKUP(XJ7,#REF!,4,FALSE)),0)</f>
        <v/>
      </c>
      <c r="XK1">
        <f>IFERROR(IF((ISBLANK(VLOOKUP(XK7,#REF!,4,FALSE)))=TRUE,VLOOKUP(XK7,#REF!,3,FALSE),VLOOKUP(XK7,#REF!,4,FALSE)),0)</f>
        <v/>
      </c>
      <c r="XL1">
        <f>IFERROR(IF((ISBLANK(VLOOKUP(XL7,#REF!,4,FALSE)))=TRUE,VLOOKUP(XL7,#REF!,3,FALSE),VLOOKUP(XL7,#REF!,4,FALSE)),0)</f>
        <v/>
      </c>
      <c r="XM1">
        <f>IFERROR(IF((ISBLANK(VLOOKUP(XM7,#REF!,4,FALSE)))=TRUE,VLOOKUP(XM7,#REF!,3,FALSE),VLOOKUP(XM7,#REF!,4,FALSE)),0)</f>
        <v/>
      </c>
      <c r="XN1">
        <f>IFERROR(IF((ISBLANK(VLOOKUP(XN7,#REF!,4,FALSE)))=TRUE,VLOOKUP(XN7,#REF!,3,FALSE),VLOOKUP(XN7,#REF!,4,FALSE)),0)</f>
        <v/>
      </c>
      <c r="XO1">
        <f>IFERROR(IF((ISBLANK(VLOOKUP(XO7,#REF!,4,FALSE)))=TRUE,VLOOKUP(XO7,#REF!,3,FALSE),VLOOKUP(XO7,#REF!,4,FALSE)),0)</f>
        <v/>
      </c>
      <c r="XP1">
        <f>IFERROR(IF((ISBLANK(VLOOKUP(XP7,#REF!,4,FALSE)))=TRUE,VLOOKUP(XP7,#REF!,3,FALSE),VLOOKUP(XP7,#REF!,4,FALSE)),0)</f>
        <v/>
      </c>
      <c r="XQ1">
        <f>IFERROR(IF((ISBLANK(VLOOKUP(XQ7,#REF!,4,FALSE)))=TRUE,VLOOKUP(XQ7,#REF!,3,FALSE),VLOOKUP(XQ7,#REF!,4,FALSE)),0)</f>
        <v/>
      </c>
      <c r="XR1">
        <f>IFERROR(IF((ISBLANK(VLOOKUP(XR7,#REF!,4,FALSE)))=TRUE,VLOOKUP(XR7,#REF!,3,FALSE),VLOOKUP(XR7,#REF!,4,FALSE)),0)</f>
        <v/>
      </c>
      <c r="XS1">
        <f>IFERROR(IF((ISBLANK(VLOOKUP(XS7,#REF!,4,FALSE)))=TRUE,VLOOKUP(XS7,#REF!,3,FALSE),VLOOKUP(XS7,#REF!,4,FALSE)),0)</f>
        <v/>
      </c>
      <c r="XT1">
        <f>IFERROR(IF((ISBLANK(VLOOKUP(XT7,#REF!,4,FALSE)))=TRUE,VLOOKUP(XT7,#REF!,3,FALSE),VLOOKUP(XT7,#REF!,4,FALSE)),0)</f>
        <v/>
      </c>
      <c r="XU1">
        <f>IFERROR(IF((ISBLANK(VLOOKUP(XU7,#REF!,4,FALSE)))=TRUE,VLOOKUP(XU7,#REF!,3,FALSE),VLOOKUP(XU7,#REF!,4,FALSE)),0)</f>
        <v/>
      </c>
      <c r="XV1">
        <f>IFERROR(IF((ISBLANK(VLOOKUP(XV7,#REF!,4,FALSE)))=TRUE,VLOOKUP(XV7,#REF!,3,FALSE),VLOOKUP(XV7,#REF!,4,FALSE)),0)</f>
        <v/>
      </c>
      <c r="XW1">
        <f>IFERROR(IF((ISBLANK(VLOOKUP(XW7,#REF!,4,FALSE)))=TRUE,VLOOKUP(XW7,#REF!,3,FALSE),VLOOKUP(XW7,#REF!,4,FALSE)),0)</f>
        <v/>
      </c>
      <c r="XX1">
        <f>IFERROR(IF((ISBLANK(VLOOKUP(XX7,#REF!,4,FALSE)))=TRUE,VLOOKUP(XX7,#REF!,3,FALSE),VLOOKUP(XX7,#REF!,4,FALSE)),0)</f>
        <v/>
      </c>
      <c r="XY1">
        <f>IFERROR(IF((ISBLANK(VLOOKUP(XY7,#REF!,4,FALSE)))=TRUE,VLOOKUP(XY7,#REF!,3,FALSE),VLOOKUP(XY7,#REF!,4,FALSE)),0)</f>
        <v/>
      </c>
      <c r="XZ1">
        <f>IFERROR(IF((ISBLANK(VLOOKUP(XZ7,#REF!,4,FALSE)))=TRUE,VLOOKUP(XZ7,#REF!,3,FALSE),VLOOKUP(XZ7,#REF!,4,FALSE)),0)</f>
        <v/>
      </c>
      <c r="YA1">
        <f>IFERROR(IF((ISBLANK(VLOOKUP(YA7,#REF!,4,FALSE)))=TRUE,VLOOKUP(YA7,#REF!,3,FALSE),VLOOKUP(YA7,#REF!,4,FALSE)),0)</f>
        <v/>
      </c>
      <c r="YB1">
        <f>IFERROR(IF((ISBLANK(VLOOKUP(YB7,#REF!,4,FALSE)))=TRUE,VLOOKUP(YB7,#REF!,3,FALSE),VLOOKUP(YB7,#REF!,4,FALSE)),0)</f>
        <v/>
      </c>
      <c r="YC1">
        <f>IFERROR(IF((ISBLANK(VLOOKUP(YC7,#REF!,4,FALSE)))=TRUE,VLOOKUP(YC7,#REF!,3,FALSE),VLOOKUP(YC7,#REF!,4,FALSE)),0)</f>
        <v/>
      </c>
      <c r="YD1">
        <f>IFERROR(IF((ISBLANK(VLOOKUP(YD7,#REF!,4,FALSE)))=TRUE,VLOOKUP(YD7,#REF!,3,FALSE),VLOOKUP(YD7,#REF!,4,FALSE)),0)</f>
        <v/>
      </c>
      <c r="YE1">
        <f>IFERROR(IF((ISBLANK(VLOOKUP(YE7,#REF!,4,FALSE)))=TRUE,VLOOKUP(YE7,#REF!,3,FALSE),VLOOKUP(YE7,#REF!,4,FALSE)),0)</f>
        <v/>
      </c>
      <c r="YF1">
        <f>IFERROR(IF((ISBLANK(VLOOKUP(YF7,#REF!,4,FALSE)))=TRUE,VLOOKUP(YF7,#REF!,3,FALSE),VLOOKUP(YF7,#REF!,4,FALSE)),0)</f>
        <v/>
      </c>
      <c r="YG1">
        <f>IFERROR(IF((ISBLANK(VLOOKUP(YG7,#REF!,4,FALSE)))=TRUE,VLOOKUP(YG7,#REF!,3,FALSE),VLOOKUP(YG7,#REF!,4,FALSE)),0)</f>
        <v/>
      </c>
      <c r="YH1">
        <f>IFERROR(IF((ISBLANK(VLOOKUP(YH7,#REF!,4,FALSE)))=TRUE,VLOOKUP(YH7,#REF!,3,FALSE),VLOOKUP(YH7,#REF!,4,FALSE)),0)</f>
        <v/>
      </c>
      <c r="YI1">
        <f>IFERROR(IF((ISBLANK(VLOOKUP(YI7,#REF!,4,FALSE)))=TRUE,VLOOKUP(YI7,#REF!,3,FALSE),VLOOKUP(YI7,#REF!,4,FALSE)),0)</f>
        <v/>
      </c>
      <c r="YJ1">
        <f>IFERROR(IF((ISBLANK(VLOOKUP(YJ7,#REF!,4,FALSE)))=TRUE,VLOOKUP(YJ7,#REF!,3,FALSE),VLOOKUP(YJ7,#REF!,4,FALSE)),0)</f>
        <v/>
      </c>
      <c r="YK1">
        <f>IFERROR(IF((ISBLANK(VLOOKUP(YK7,#REF!,4,FALSE)))=TRUE,VLOOKUP(YK7,#REF!,3,FALSE),VLOOKUP(YK7,#REF!,4,FALSE)),0)</f>
        <v/>
      </c>
      <c r="YL1">
        <f>IFERROR(IF((ISBLANK(VLOOKUP(YL7,#REF!,4,FALSE)))=TRUE,VLOOKUP(YL7,#REF!,3,FALSE),VLOOKUP(YL7,#REF!,4,FALSE)),0)</f>
        <v/>
      </c>
      <c r="YM1">
        <f>IFERROR(IF((ISBLANK(VLOOKUP(YM7,#REF!,4,FALSE)))=TRUE,VLOOKUP(YM7,#REF!,3,FALSE),VLOOKUP(YM7,#REF!,4,FALSE)),0)</f>
        <v/>
      </c>
      <c r="YN1">
        <f>IFERROR(IF((ISBLANK(VLOOKUP(YN7,#REF!,4,FALSE)))=TRUE,VLOOKUP(YN7,#REF!,3,FALSE),VLOOKUP(YN7,#REF!,4,FALSE)),0)</f>
        <v/>
      </c>
      <c r="YO1">
        <f>IFERROR(IF((ISBLANK(VLOOKUP(YO7,#REF!,4,FALSE)))=TRUE,VLOOKUP(YO7,#REF!,3,FALSE),VLOOKUP(YO7,#REF!,4,FALSE)),0)</f>
        <v/>
      </c>
      <c r="YP1">
        <f>IFERROR(IF((ISBLANK(VLOOKUP(YP7,#REF!,4,FALSE)))=TRUE,VLOOKUP(YP7,#REF!,3,FALSE),VLOOKUP(YP7,#REF!,4,FALSE)),0)</f>
        <v/>
      </c>
      <c r="YQ1">
        <f>IFERROR(IF((ISBLANK(VLOOKUP(YQ7,#REF!,4,FALSE)))=TRUE,VLOOKUP(YQ7,#REF!,3,FALSE),VLOOKUP(YQ7,#REF!,4,FALSE)),0)</f>
        <v/>
      </c>
      <c r="YR1">
        <f>IFERROR(IF((ISBLANK(VLOOKUP(YR7,#REF!,4,FALSE)))=TRUE,VLOOKUP(YR7,#REF!,3,FALSE),VLOOKUP(YR7,#REF!,4,FALSE)),0)</f>
        <v/>
      </c>
      <c r="YS1">
        <f>IFERROR(IF((ISBLANK(VLOOKUP(YS7,#REF!,4,FALSE)))=TRUE,VLOOKUP(YS7,#REF!,3,FALSE),VLOOKUP(YS7,#REF!,4,FALSE)),0)</f>
        <v/>
      </c>
      <c r="YT1">
        <f>IFERROR(IF((ISBLANK(VLOOKUP(YT7,#REF!,4,FALSE)))=TRUE,VLOOKUP(YT7,#REF!,3,FALSE),VLOOKUP(YT7,#REF!,4,FALSE)),0)</f>
        <v/>
      </c>
      <c r="YU1">
        <f>IFERROR(IF((ISBLANK(VLOOKUP(YU7,#REF!,4,FALSE)))=TRUE,VLOOKUP(YU7,#REF!,3,FALSE),VLOOKUP(YU7,#REF!,4,FALSE)),0)</f>
        <v/>
      </c>
      <c r="YV1">
        <f>IFERROR(IF((ISBLANK(VLOOKUP(YV7,#REF!,4,FALSE)))=TRUE,VLOOKUP(YV7,#REF!,3,FALSE),VLOOKUP(YV7,#REF!,4,FALSE)),0)</f>
        <v/>
      </c>
      <c r="YW1">
        <f>IFERROR(IF((ISBLANK(VLOOKUP(YW7,#REF!,4,FALSE)))=TRUE,VLOOKUP(YW7,#REF!,3,FALSE),VLOOKUP(YW7,#REF!,4,FALSE)),0)</f>
        <v/>
      </c>
      <c r="YX1">
        <f>IFERROR(IF((ISBLANK(VLOOKUP(YX7,#REF!,4,FALSE)))=TRUE,VLOOKUP(YX7,#REF!,3,FALSE),VLOOKUP(YX7,#REF!,4,FALSE)),0)</f>
        <v/>
      </c>
      <c r="YY1">
        <f>IFERROR(IF((ISBLANK(VLOOKUP(YY7,#REF!,4,FALSE)))=TRUE,VLOOKUP(YY7,#REF!,3,FALSE),VLOOKUP(YY7,#REF!,4,FALSE)),0)</f>
        <v/>
      </c>
      <c r="YZ1">
        <f>IFERROR(IF((ISBLANK(VLOOKUP(YZ7,#REF!,4,FALSE)))=TRUE,VLOOKUP(YZ7,#REF!,3,FALSE),VLOOKUP(YZ7,#REF!,4,FALSE)),0)</f>
        <v/>
      </c>
      <c r="ZA1">
        <f>IFERROR(IF((ISBLANK(VLOOKUP(ZA7,#REF!,4,FALSE)))=TRUE,VLOOKUP(ZA7,#REF!,3,FALSE),VLOOKUP(ZA7,#REF!,4,FALSE)),0)</f>
        <v/>
      </c>
      <c r="ZB1">
        <f>IFERROR(IF((ISBLANK(VLOOKUP(ZB7,#REF!,4,FALSE)))=TRUE,VLOOKUP(ZB7,#REF!,3,FALSE),VLOOKUP(ZB7,#REF!,4,FALSE)),0)</f>
        <v/>
      </c>
      <c r="ZC1">
        <f>IFERROR(IF((ISBLANK(VLOOKUP(ZC7,#REF!,4,FALSE)))=TRUE,VLOOKUP(ZC7,#REF!,3,FALSE),VLOOKUP(ZC7,#REF!,4,FALSE)),0)</f>
        <v/>
      </c>
      <c r="ZD1">
        <f>IFERROR(IF((ISBLANK(VLOOKUP(ZD7,#REF!,4,FALSE)))=TRUE,VLOOKUP(ZD7,#REF!,3,FALSE),VLOOKUP(ZD7,#REF!,4,FALSE)),0)</f>
        <v/>
      </c>
      <c r="ZE1">
        <f>IFERROR(IF((ISBLANK(VLOOKUP(ZE7,#REF!,4,FALSE)))=TRUE,VLOOKUP(ZE7,#REF!,3,FALSE),VLOOKUP(ZE7,#REF!,4,FALSE)),0)</f>
        <v/>
      </c>
      <c r="ZF1">
        <f>IFERROR(IF((ISBLANK(VLOOKUP(ZF7,#REF!,4,FALSE)))=TRUE,VLOOKUP(ZF7,#REF!,3,FALSE),VLOOKUP(ZF7,#REF!,4,FALSE)),0)</f>
        <v/>
      </c>
      <c r="ZG1">
        <f>IFERROR(IF((ISBLANK(VLOOKUP(ZG7,#REF!,4,FALSE)))=TRUE,VLOOKUP(ZG7,#REF!,3,FALSE),VLOOKUP(ZG7,#REF!,4,FALSE)),0)</f>
        <v/>
      </c>
      <c r="ZH1">
        <f>IFERROR(IF((ISBLANK(VLOOKUP(ZH7,#REF!,4,FALSE)))=TRUE,VLOOKUP(ZH7,#REF!,3,FALSE),VLOOKUP(ZH7,#REF!,4,FALSE)),0)</f>
        <v/>
      </c>
      <c r="ZI1">
        <f>IFERROR(IF((ISBLANK(VLOOKUP(ZI7,#REF!,4,FALSE)))=TRUE,VLOOKUP(ZI7,#REF!,3,FALSE),VLOOKUP(ZI7,#REF!,4,FALSE)),0)</f>
        <v/>
      </c>
      <c r="ZJ1">
        <f>IFERROR(IF((ISBLANK(VLOOKUP(ZJ7,#REF!,4,FALSE)))=TRUE,VLOOKUP(ZJ7,#REF!,3,FALSE),VLOOKUP(ZJ7,#REF!,4,FALSE)),0)</f>
        <v/>
      </c>
      <c r="ZK1">
        <f>IFERROR(IF((ISBLANK(VLOOKUP(ZK7,#REF!,4,FALSE)))=TRUE,VLOOKUP(ZK7,#REF!,3,FALSE),VLOOKUP(ZK7,#REF!,4,FALSE)),0)</f>
        <v/>
      </c>
      <c r="ZL1">
        <f>IFERROR(IF((ISBLANK(VLOOKUP(ZL7,#REF!,4,FALSE)))=TRUE,VLOOKUP(ZL7,#REF!,3,FALSE),VLOOKUP(ZL7,#REF!,4,FALSE)),0)</f>
        <v/>
      </c>
      <c r="ZM1">
        <f>IFERROR(IF((ISBLANK(VLOOKUP(ZM7,#REF!,4,FALSE)))=TRUE,VLOOKUP(ZM7,#REF!,3,FALSE),VLOOKUP(ZM7,#REF!,4,FALSE)),0)</f>
        <v/>
      </c>
      <c r="ZN1">
        <f>IFERROR(IF((ISBLANK(VLOOKUP(ZN7,#REF!,4,FALSE)))=TRUE,VLOOKUP(ZN7,#REF!,3,FALSE),VLOOKUP(ZN7,#REF!,4,FALSE)),0)</f>
        <v/>
      </c>
      <c r="ZO1">
        <f>IFERROR(IF((ISBLANK(VLOOKUP(ZO7,#REF!,4,FALSE)))=TRUE,VLOOKUP(ZO7,#REF!,3,FALSE),VLOOKUP(ZO7,#REF!,4,FALSE)),0)</f>
        <v/>
      </c>
      <c r="ZP1">
        <f>IFERROR(IF((ISBLANK(VLOOKUP(ZP7,#REF!,4,FALSE)))=TRUE,VLOOKUP(ZP7,#REF!,3,FALSE),VLOOKUP(ZP7,#REF!,4,FALSE)),0)</f>
        <v/>
      </c>
      <c r="ZQ1">
        <f>IFERROR(IF((ISBLANK(VLOOKUP(ZQ7,#REF!,4,FALSE)))=TRUE,VLOOKUP(ZQ7,#REF!,3,FALSE),VLOOKUP(ZQ7,#REF!,4,FALSE)),0)</f>
        <v/>
      </c>
      <c r="ZR1">
        <f>IFERROR(IF((ISBLANK(VLOOKUP(ZR7,#REF!,4,FALSE)))=TRUE,VLOOKUP(ZR7,#REF!,3,FALSE),VLOOKUP(ZR7,#REF!,4,FALSE)),0)</f>
        <v/>
      </c>
      <c r="ZS1">
        <f>IFERROR(IF((ISBLANK(VLOOKUP(ZS7,#REF!,4,FALSE)))=TRUE,VLOOKUP(ZS7,#REF!,3,FALSE),VLOOKUP(ZS7,#REF!,4,FALSE)),0)</f>
        <v/>
      </c>
      <c r="ZT1">
        <f>IFERROR(IF((ISBLANK(VLOOKUP(ZT7,#REF!,4,FALSE)))=TRUE,VLOOKUP(ZT7,#REF!,3,FALSE),VLOOKUP(ZT7,#REF!,4,FALSE)),0)</f>
        <v/>
      </c>
      <c r="ZU1">
        <f>IFERROR(IF((ISBLANK(VLOOKUP(ZU7,#REF!,4,FALSE)))=TRUE,VLOOKUP(ZU7,#REF!,3,FALSE),VLOOKUP(ZU7,#REF!,4,FALSE)),0)</f>
        <v/>
      </c>
      <c r="ZV1">
        <f>IFERROR(IF((ISBLANK(VLOOKUP(ZV7,#REF!,4,FALSE)))=TRUE,VLOOKUP(ZV7,#REF!,3,FALSE),VLOOKUP(ZV7,#REF!,4,FALSE)),0)</f>
        <v/>
      </c>
      <c r="ZW1">
        <f>IFERROR(IF((ISBLANK(VLOOKUP(ZW7,#REF!,4,FALSE)))=TRUE,VLOOKUP(ZW7,#REF!,3,FALSE),VLOOKUP(ZW7,#REF!,4,FALSE)),0)</f>
        <v/>
      </c>
      <c r="ZX1">
        <f>IFERROR(IF((ISBLANK(VLOOKUP(ZX7,#REF!,4,FALSE)))=TRUE,VLOOKUP(ZX7,#REF!,3,FALSE),VLOOKUP(ZX7,#REF!,4,FALSE)),0)</f>
        <v/>
      </c>
      <c r="ZY1">
        <f>IFERROR(IF((ISBLANK(VLOOKUP(ZY7,#REF!,4,FALSE)))=TRUE,VLOOKUP(ZY7,#REF!,3,FALSE),VLOOKUP(ZY7,#REF!,4,FALSE)),0)</f>
        <v/>
      </c>
      <c r="ZZ1">
        <f>IFERROR(IF((ISBLANK(VLOOKUP(ZZ7,#REF!,4,FALSE)))=TRUE,VLOOKUP(ZZ7,#REF!,3,FALSE),VLOOKUP(ZZ7,#REF!,4,FALSE)),0)</f>
        <v/>
      </c>
      <c r="AAA1">
        <f>IFERROR(IF((ISBLANK(VLOOKUP(AAA7,#REF!,4,FALSE)))=TRUE,VLOOKUP(AAA7,#REF!,3,FALSE),VLOOKUP(AAA7,#REF!,4,FALSE)),0)</f>
        <v/>
      </c>
      <c r="AAB1">
        <f>IFERROR(IF((ISBLANK(VLOOKUP(AAB7,#REF!,4,FALSE)))=TRUE,VLOOKUP(AAB7,#REF!,3,FALSE),VLOOKUP(AAB7,#REF!,4,FALSE)),0)</f>
        <v/>
      </c>
      <c r="AAC1">
        <f>IFERROR(IF((ISBLANK(VLOOKUP(AAC7,#REF!,4,FALSE)))=TRUE,VLOOKUP(AAC7,#REF!,3,FALSE),VLOOKUP(AAC7,#REF!,4,FALSE)),0)</f>
        <v/>
      </c>
      <c r="AAD1">
        <f>IFERROR(IF((ISBLANK(VLOOKUP(AAD7,#REF!,4,FALSE)))=TRUE,VLOOKUP(AAD7,#REF!,3,FALSE),VLOOKUP(AAD7,#REF!,4,FALSE)),0)</f>
        <v/>
      </c>
      <c r="AAE1">
        <f>IFERROR(IF((ISBLANK(VLOOKUP(AAE7,#REF!,4,FALSE)))=TRUE,VLOOKUP(AAE7,#REF!,3,FALSE),VLOOKUP(AAE7,#REF!,4,FALSE)),0)</f>
        <v/>
      </c>
      <c r="AAF1">
        <f>IFERROR(IF((ISBLANK(VLOOKUP(AAF7,#REF!,4,FALSE)))=TRUE,VLOOKUP(AAF7,#REF!,3,FALSE),VLOOKUP(AAF7,#REF!,4,FALSE)),0)</f>
        <v/>
      </c>
      <c r="AAG1">
        <f>IFERROR(IF((ISBLANK(VLOOKUP(AAG7,#REF!,4,FALSE)))=TRUE,VLOOKUP(AAG7,#REF!,3,FALSE),VLOOKUP(AAG7,#REF!,4,FALSE)),0)</f>
        <v/>
      </c>
      <c r="AAH1">
        <f>IFERROR(IF((ISBLANK(VLOOKUP(AAH7,#REF!,4,FALSE)))=TRUE,VLOOKUP(AAH7,#REF!,3,FALSE),VLOOKUP(AAH7,#REF!,4,FALSE)),0)</f>
        <v/>
      </c>
      <c r="AAI1">
        <f>IFERROR(IF((ISBLANK(VLOOKUP(AAI7,#REF!,4,FALSE)))=TRUE,VLOOKUP(AAI7,#REF!,3,FALSE),VLOOKUP(AAI7,#REF!,4,FALSE)),0)</f>
        <v/>
      </c>
      <c r="AAJ1">
        <f>IFERROR(IF((ISBLANK(VLOOKUP(AAJ7,#REF!,4,FALSE)))=TRUE,VLOOKUP(AAJ7,#REF!,3,FALSE),VLOOKUP(AAJ7,#REF!,4,FALSE)),0)</f>
        <v/>
      </c>
      <c r="AAK1">
        <f>IFERROR(IF((ISBLANK(VLOOKUP(AAK7,#REF!,4,FALSE)))=TRUE,VLOOKUP(AAK7,#REF!,3,FALSE),VLOOKUP(AAK7,#REF!,4,FALSE)),0)</f>
        <v/>
      </c>
      <c r="AAL1">
        <f>IFERROR(IF((ISBLANK(VLOOKUP(AAL7,#REF!,4,FALSE)))=TRUE,VLOOKUP(AAL7,#REF!,3,FALSE),VLOOKUP(AAL7,#REF!,4,FALSE)),0)</f>
        <v/>
      </c>
      <c r="AAM1">
        <f>IFERROR(IF((ISBLANK(VLOOKUP(AAM7,#REF!,4,FALSE)))=TRUE,VLOOKUP(AAM7,#REF!,3,FALSE),VLOOKUP(AAM7,#REF!,4,FALSE)),0)</f>
        <v/>
      </c>
      <c r="AAN1">
        <f>IFERROR(IF((ISBLANK(VLOOKUP(AAN7,#REF!,4,FALSE)))=TRUE,VLOOKUP(AAN7,#REF!,3,FALSE),VLOOKUP(AAN7,#REF!,4,FALSE)),0)</f>
        <v/>
      </c>
      <c r="AAO1">
        <f>IFERROR(IF((ISBLANK(VLOOKUP(AAO7,#REF!,4,FALSE)))=TRUE,VLOOKUP(AAO7,#REF!,3,FALSE),VLOOKUP(AAO7,#REF!,4,FALSE)),0)</f>
        <v/>
      </c>
      <c r="AAP1">
        <f>IFERROR(IF((ISBLANK(VLOOKUP(AAP7,#REF!,4,FALSE)))=TRUE,VLOOKUP(AAP7,#REF!,3,FALSE),VLOOKUP(AAP7,#REF!,4,FALSE)),0)</f>
        <v/>
      </c>
      <c r="AAQ1">
        <f>IFERROR(IF((ISBLANK(VLOOKUP(AAQ7,#REF!,4,FALSE)))=TRUE,VLOOKUP(AAQ7,#REF!,3,FALSE),VLOOKUP(AAQ7,#REF!,4,FALSE)),0)</f>
        <v/>
      </c>
      <c r="AAR1">
        <f>IFERROR(IF((ISBLANK(VLOOKUP(AAR7,#REF!,4,FALSE)))=TRUE,VLOOKUP(AAR7,#REF!,3,FALSE),VLOOKUP(AAR7,#REF!,4,FALSE)),0)</f>
        <v/>
      </c>
      <c r="AAS1">
        <f>IFERROR(IF((ISBLANK(VLOOKUP(AAS7,#REF!,4,FALSE)))=TRUE,VLOOKUP(AAS7,#REF!,3,FALSE),VLOOKUP(AAS7,#REF!,4,FALSE)),0)</f>
        <v/>
      </c>
      <c r="AAT1">
        <f>IFERROR(IF((ISBLANK(VLOOKUP(AAT7,#REF!,4,FALSE)))=TRUE,VLOOKUP(AAT7,#REF!,3,FALSE),VLOOKUP(AAT7,#REF!,4,FALSE)),0)</f>
        <v/>
      </c>
      <c r="AAU1">
        <f>IFERROR(IF((ISBLANK(VLOOKUP(AAU7,#REF!,4,FALSE)))=TRUE,VLOOKUP(AAU7,#REF!,3,FALSE),VLOOKUP(AAU7,#REF!,4,FALSE)),0)</f>
        <v/>
      </c>
      <c r="AAV1">
        <f>IFERROR(IF((ISBLANK(VLOOKUP(AAV7,#REF!,4,FALSE)))=TRUE,VLOOKUP(AAV7,#REF!,3,FALSE),VLOOKUP(AAV7,#REF!,4,FALSE)),0)</f>
        <v/>
      </c>
      <c r="AAW1">
        <f>IFERROR(IF((ISBLANK(VLOOKUP(AAW7,#REF!,4,FALSE)))=TRUE,VLOOKUP(AAW7,#REF!,3,FALSE),VLOOKUP(AAW7,#REF!,4,FALSE)),0)</f>
        <v/>
      </c>
      <c r="AAX1">
        <f>IFERROR(IF((ISBLANK(VLOOKUP(AAX7,#REF!,4,FALSE)))=TRUE,VLOOKUP(AAX7,#REF!,3,FALSE),VLOOKUP(AAX7,#REF!,4,FALSE)),0)</f>
        <v/>
      </c>
      <c r="AAY1">
        <f>IFERROR(IF((ISBLANK(VLOOKUP(AAY7,#REF!,4,FALSE)))=TRUE,VLOOKUP(AAY7,#REF!,3,FALSE),VLOOKUP(AAY7,#REF!,4,FALSE)),0)</f>
        <v/>
      </c>
      <c r="AAZ1">
        <f>IFERROR(IF((ISBLANK(VLOOKUP(AAZ7,#REF!,4,FALSE)))=TRUE,VLOOKUP(AAZ7,#REF!,3,FALSE),VLOOKUP(AAZ7,#REF!,4,FALSE)),0)</f>
        <v/>
      </c>
      <c r="ABA1">
        <f>IFERROR(IF((ISBLANK(VLOOKUP(ABA7,#REF!,4,FALSE)))=TRUE,VLOOKUP(ABA7,#REF!,3,FALSE),VLOOKUP(ABA7,#REF!,4,FALSE)),0)</f>
        <v/>
      </c>
      <c r="ABB1">
        <f>IFERROR(IF((ISBLANK(VLOOKUP(ABB7,#REF!,4,FALSE)))=TRUE,VLOOKUP(ABB7,#REF!,3,FALSE),VLOOKUP(ABB7,#REF!,4,FALSE)),0)</f>
        <v/>
      </c>
      <c r="ABC1">
        <f>IFERROR(IF((ISBLANK(VLOOKUP(ABC7,#REF!,4,FALSE)))=TRUE,VLOOKUP(ABC7,#REF!,3,FALSE),VLOOKUP(ABC7,#REF!,4,FALSE)),0)</f>
        <v/>
      </c>
      <c r="ABD1">
        <f>IFERROR(IF((ISBLANK(VLOOKUP(ABD7,#REF!,4,FALSE)))=TRUE,VLOOKUP(ABD7,#REF!,3,FALSE),VLOOKUP(ABD7,#REF!,4,FALSE)),0)</f>
        <v/>
      </c>
      <c r="ABE1">
        <f>IFERROR(IF((ISBLANK(VLOOKUP(ABE7,#REF!,4,FALSE)))=TRUE,VLOOKUP(ABE7,#REF!,3,FALSE),VLOOKUP(ABE7,#REF!,4,FALSE)),0)</f>
        <v/>
      </c>
      <c r="ABF1">
        <f>IFERROR(IF((ISBLANK(VLOOKUP(ABF7,#REF!,4,FALSE)))=TRUE,VLOOKUP(ABF7,#REF!,3,FALSE),VLOOKUP(ABF7,#REF!,4,FALSE)),0)</f>
        <v/>
      </c>
      <c r="ABG1">
        <f>IFERROR(IF((ISBLANK(VLOOKUP(ABG7,#REF!,4,FALSE)))=TRUE,VLOOKUP(ABG7,#REF!,3,FALSE),VLOOKUP(ABG7,#REF!,4,FALSE)),0)</f>
        <v/>
      </c>
      <c r="ABH1">
        <f>IFERROR(IF((ISBLANK(VLOOKUP(ABH7,#REF!,4,FALSE)))=TRUE,VLOOKUP(ABH7,#REF!,3,FALSE),VLOOKUP(ABH7,#REF!,4,FALSE)),0)</f>
        <v/>
      </c>
      <c r="ABI1">
        <f>IFERROR(IF((ISBLANK(VLOOKUP(ABI7,#REF!,4,FALSE)))=TRUE,VLOOKUP(ABI7,#REF!,3,FALSE),VLOOKUP(ABI7,#REF!,4,FALSE)),0)</f>
        <v/>
      </c>
      <c r="ABJ1">
        <f>IFERROR(IF((ISBLANK(VLOOKUP(ABJ7,#REF!,4,FALSE)))=TRUE,VLOOKUP(ABJ7,#REF!,3,FALSE),VLOOKUP(ABJ7,#REF!,4,FALSE)),0)</f>
        <v/>
      </c>
      <c r="ABK1">
        <f>IFERROR(IF((ISBLANK(VLOOKUP(ABK7,#REF!,4,FALSE)))=TRUE,VLOOKUP(ABK7,#REF!,3,FALSE),VLOOKUP(ABK7,#REF!,4,FALSE)),0)</f>
        <v/>
      </c>
      <c r="ABL1">
        <f>IFERROR(IF((ISBLANK(VLOOKUP(ABL7,#REF!,4,FALSE)))=TRUE,VLOOKUP(ABL7,#REF!,3,FALSE),VLOOKUP(ABL7,#REF!,4,FALSE)),0)</f>
        <v/>
      </c>
      <c r="ABM1">
        <f>IFERROR(IF((ISBLANK(VLOOKUP(ABM7,#REF!,4,FALSE)))=TRUE,VLOOKUP(ABM7,#REF!,3,FALSE),VLOOKUP(ABM7,#REF!,4,FALSE)),0)</f>
        <v/>
      </c>
      <c r="ABN1">
        <f>IFERROR(IF((ISBLANK(VLOOKUP(ABN7,#REF!,4,FALSE)))=TRUE,VLOOKUP(ABN7,#REF!,3,FALSE),VLOOKUP(ABN7,#REF!,4,FALSE)),0)</f>
        <v/>
      </c>
      <c r="ABO1">
        <f>IFERROR(IF((ISBLANK(VLOOKUP(ABO7,#REF!,4,FALSE)))=TRUE,VLOOKUP(ABO7,#REF!,3,FALSE),VLOOKUP(ABO7,#REF!,4,FALSE)),0)</f>
        <v/>
      </c>
      <c r="ABP1">
        <f>IFERROR(IF((ISBLANK(VLOOKUP(ABP7,#REF!,4,FALSE)))=TRUE,VLOOKUP(ABP7,#REF!,3,FALSE),VLOOKUP(ABP7,#REF!,4,FALSE)),0)</f>
        <v/>
      </c>
      <c r="ABQ1">
        <f>IFERROR(IF((ISBLANK(VLOOKUP(ABQ7,#REF!,4,FALSE)))=TRUE,VLOOKUP(ABQ7,#REF!,3,FALSE),VLOOKUP(ABQ7,#REF!,4,FALSE)),0)</f>
        <v/>
      </c>
      <c r="ABR1">
        <f>IF(#REF!="Skip to main content","FILED","NOT FILED")</f>
        <v/>
      </c>
      <c r="ABS1">
        <f>RIGHT(#REF!,2)</f>
        <v/>
      </c>
      <c r="ABT1">
        <f>IFERROR(VLOOKUP(RIGHT(#REF!,6),#REF!,2,FALSE),0)</f>
        <v/>
      </c>
      <c r="ABU1">
        <f>IFERROR(IF((ISBLANK(VLOOKUP(ABU7,#REF!,3,FALSE)))=TRUE,VLOOKUP(ABU7,#REF!,2,FALSE),VLOOKUP(ABU7,#REF!,3,FALSE)),0)</f>
        <v/>
      </c>
      <c r="ABV1">
        <f>IFERROR(IF((ISBLANK(VLOOKUP(ABV7,#REF!,3,FALSE)))=TRUE,VLOOKUP(ABV7,#REF!,2,FALSE),VLOOKUP(ABV7,#REF!,3,FALSE)),0)</f>
        <v/>
      </c>
      <c r="ABW1">
        <f>IFERROR(IF((ISBLANK(VLOOKUP(ABW7,#REF!,3,FALSE)))=TRUE,VLOOKUP(ABW7,#REF!,2,FALSE),VLOOKUP(ABW7,#REF!,3,FALSE)),0)</f>
        <v/>
      </c>
      <c r="ABX1">
        <f>IFERROR(IF((ISBLANK(VLOOKUP(ABX7,#REF!,3,FALSE)))=TRUE,VLOOKUP(ABX7,#REF!,2,FALSE),VLOOKUP(ABX7,#REF!,3,FALSE)),0)</f>
        <v/>
      </c>
      <c r="ABY1">
        <f>IFERROR(IF((ISBLANK(VLOOKUP(ABY7,#REF!,3,FALSE)))=TRUE,VLOOKUP(ABY7,#REF!,2,FALSE),VLOOKUP(ABY7,#REF!,3,FALSE)),0)</f>
        <v/>
      </c>
      <c r="ABZ1">
        <f>IFERROR(IF((ISBLANK(VLOOKUP(ABZ7,#REF!,3,FALSE)))=TRUE,VLOOKUP(ABZ7,#REF!,2,FALSE),VLOOKUP(ABZ7,#REF!,3,FALSE)),0)</f>
        <v/>
      </c>
      <c r="ACA1">
        <f>IFERROR(IF((ISBLANK(VLOOKUP(ACA7,#REF!,4,FALSE)))=TRUE,VLOOKUP(ACA7,#REF!,3,FALSE),VLOOKUP(ACA7,#REF!,4,FALSE)),0)</f>
        <v/>
      </c>
      <c r="ACB1">
        <f>IFERROR(IF((ISBLANK(VLOOKUP(ACB7,#REF!,4,FALSE)))=TRUE,VLOOKUP(ACB7,#REF!,3,FALSE),VLOOKUP(ACB7,#REF!,4,FALSE)),0)</f>
        <v/>
      </c>
      <c r="ACC1">
        <f>IFERROR(IF((ISBLANK(VLOOKUP(ACC7,#REF!,4,FALSE)))=TRUE,VLOOKUP(ACC7,#REF!,3,FALSE),VLOOKUP(ACC7,#REF!,4,FALSE)),0)</f>
        <v/>
      </c>
      <c r="ACD1">
        <f>IFERROR(IF((ISBLANK(VLOOKUP(ACD7,#REF!,4,FALSE)))=TRUE,VLOOKUP(ACD7,#REF!,3,FALSE),VLOOKUP(ACD7,#REF!,4,FALSE)),0)</f>
        <v/>
      </c>
      <c r="ACE1">
        <f>IFERROR(IF((ISBLANK(VLOOKUP(ACE7,#REF!,4,FALSE)))=TRUE,VLOOKUP(ACE7,#REF!,3,FALSE),VLOOKUP(ACE7,#REF!,4,FALSE)),0)</f>
        <v/>
      </c>
      <c r="ACF1">
        <f>IFERROR(IF((ISBLANK(VLOOKUP(ACF7,#REF!,4,FALSE)))=TRUE,VLOOKUP(ACF7,#REF!,3,FALSE),VLOOKUP(ACF7,#REF!,4,FALSE)),0)</f>
        <v/>
      </c>
      <c r="ACG1">
        <f>IFERROR(IF((ISBLANK(VLOOKUP(ACG7,#REF!,4,FALSE)))=TRUE,VLOOKUP(ACG7,#REF!,3,FALSE),VLOOKUP(ACG7,#REF!,4,FALSE)),0)</f>
        <v/>
      </c>
      <c r="ACH1">
        <f>IFERROR(IF((ISBLANK(VLOOKUP(ACH7,#REF!,4,FALSE)))=TRUE,VLOOKUP(ACH7,#REF!,3,FALSE),VLOOKUP(ACH7,#REF!,4,FALSE)),0)</f>
        <v/>
      </c>
      <c r="ACI1">
        <f>IFERROR(IF((ISBLANK(VLOOKUP(ACI7,#REF!,4,FALSE)))=TRUE,VLOOKUP(ACI7,#REF!,3,FALSE),VLOOKUP(ACI7,#REF!,4,FALSE)),0)</f>
        <v/>
      </c>
      <c r="ACJ1">
        <f>IFERROR(IF((ISBLANK(VLOOKUP(ACJ7,#REF!,4,FALSE)))=TRUE,VLOOKUP(ACJ7,#REF!,3,FALSE),VLOOKUP(ACJ7,#REF!,4,FALSE)),0)</f>
        <v/>
      </c>
      <c r="ACK1">
        <f>IFERROR(IF((ISBLANK(VLOOKUP(ACK7,#REF!,4,FALSE)))=TRUE,VLOOKUP(ACK7,#REF!,3,FALSE),VLOOKUP(ACK7,#REF!,4,FALSE)),0)</f>
        <v/>
      </c>
      <c r="ACL1">
        <f>IFERROR(IF((ISBLANK(VLOOKUP(ACL7,#REF!,4,FALSE)))=TRUE,VLOOKUP(ACL7,#REF!,3,FALSE),VLOOKUP(ACL7,#REF!,4,FALSE)),0)</f>
        <v/>
      </c>
      <c r="ACM1">
        <f>IFERROR(IF((ISBLANK(VLOOKUP(ACM7,#REF!,4,FALSE)))=TRUE,VLOOKUP(ACM7,#REF!,3,FALSE),VLOOKUP(ACM7,#REF!,4,FALSE)),0)</f>
        <v/>
      </c>
      <c r="ACN1">
        <f>IFERROR(IF((ISBLANK(VLOOKUP(ACN7,#REF!,4,FALSE)))=TRUE,VLOOKUP(ACN7,#REF!,3,FALSE),VLOOKUP(ACN7,#REF!,4,FALSE)),0)</f>
        <v/>
      </c>
      <c r="ACO1">
        <f>IFERROR(IF((ISBLANK(VLOOKUP(ACO7,#REF!,4,FALSE)))=TRUE,VLOOKUP(ACO7,#REF!,3,FALSE),VLOOKUP(ACO7,#REF!,4,FALSE)),0)</f>
        <v/>
      </c>
      <c r="ACP1">
        <f>IFERROR(IF((ISBLANK(VLOOKUP(ACP7,#REF!,4,FALSE)))=TRUE,VLOOKUP(ACP7,#REF!,3,FALSE),VLOOKUP(ACP7,#REF!,4,FALSE)),0)</f>
        <v/>
      </c>
      <c r="ACQ1">
        <f>IFERROR(IF((ISBLANK(VLOOKUP(ACQ7,#REF!,4,FALSE)))=TRUE,VLOOKUP(ACQ7,#REF!,3,FALSE),VLOOKUP(ACQ7,#REF!,4,FALSE)),0)</f>
        <v/>
      </c>
      <c r="ACR1">
        <f>IFERROR(IF((ISBLANK(VLOOKUP(ACR7,#REF!,4,FALSE)))=TRUE,VLOOKUP(ACR7,#REF!,3,FALSE),VLOOKUP(ACR7,#REF!,4,FALSE)),0)</f>
        <v/>
      </c>
      <c r="ACS1">
        <f>IFERROR(IF((ISBLANK(VLOOKUP(ACS7,#REF!,4,FALSE)))=TRUE,VLOOKUP(ACS7,#REF!,3,FALSE),VLOOKUP(ACS7,#REF!,4,FALSE)),0)</f>
        <v/>
      </c>
      <c r="ACT1">
        <f>IFERROR(IF((ISBLANK(VLOOKUP(ACT7,#REF!,4,FALSE)))=TRUE,VLOOKUP(ACT7,#REF!,3,FALSE),VLOOKUP(ACT7,#REF!,4,FALSE)),0)</f>
        <v/>
      </c>
      <c r="ACU1">
        <f>IFERROR(IF((ISBLANK(VLOOKUP(ACU7,#REF!,4,FALSE)))=TRUE,VLOOKUP(ACU7,#REF!,3,FALSE),VLOOKUP(ACU7,#REF!,4,FALSE)),0)</f>
        <v/>
      </c>
      <c r="ACV1">
        <f>IFERROR(IF((ISBLANK(VLOOKUP(ACV7,#REF!,4,FALSE)))=TRUE,VLOOKUP(ACV7,#REF!,3,FALSE),VLOOKUP(ACV7,#REF!,4,FALSE)),0)</f>
        <v/>
      </c>
      <c r="ACW1">
        <f>IFERROR(IF((ISBLANK(VLOOKUP(ACW7,#REF!,4,FALSE)))=TRUE,VLOOKUP(ACW7,#REF!,3,FALSE),VLOOKUP(ACW7,#REF!,4,FALSE)),0)</f>
        <v/>
      </c>
      <c r="ACX1">
        <f>IFERROR(IF((ISBLANK(VLOOKUP(ACX7,#REF!,4,FALSE)))=TRUE,VLOOKUP(ACX7,#REF!,3,FALSE),VLOOKUP(ACX7,#REF!,4,FALSE)),0)</f>
        <v/>
      </c>
      <c r="ACY1">
        <f>IFERROR(IF((ISBLANK(VLOOKUP(ACY7,#REF!,4,FALSE)))=TRUE,VLOOKUP(ACY7,#REF!,3,FALSE),VLOOKUP(ACY7,#REF!,4,FALSE)),0)</f>
        <v/>
      </c>
      <c r="ACZ1">
        <f>IFERROR(IF((ISBLANK(VLOOKUP(ACZ7,#REF!,4,FALSE)))=TRUE,VLOOKUP(ACZ7,#REF!,3,FALSE),VLOOKUP(ACZ7,#REF!,4,FALSE)),0)</f>
        <v/>
      </c>
      <c r="ADA1">
        <f>IFERROR(IF((ISBLANK(VLOOKUP(ADA7,#REF!,4,FALSE)))=TRUE,VLOOKUP(ADA7,#REF!,3,FALSE),VLOOKUP(ADA7,#REF!,4,FALSE)),0)</f>
        <v/>
      </c>
      <c r="ADB1">
        <f>IFERROR(IF((ISBLANK(VLOOKUP(ADB7,#REF!,4,FALSE)))=TRUE,VLOOKUP(ADB7,#REF!,3,FALSE),VLOOKUP(ADB7,#REF!,4,FALSE)),0)</f>
        <v/>
      </c>
      <c r="ADC1">
        <f>IFERROR(IF((ISBLANK(VLOOKUP(ADC7,#REF!,4,FALSE)))=TRUE,VLOOKUP(ADC7,#REF!,3,FALSE),VLOOKUP(ADC7,#REF!,4,FALSE)),0)</f>
        <v/>
      </c>
      <c r="ADD1">
        <f>IFERROR(IF((ISBLANK(VLOOKUP(ADD7,#REF!,4,FALSE)))=TRUE,VLOOKUP(ADD7,#REF!,3,FALSE),VLOOKUP(ADD7,#REF!,4,FALSE)),0)</f>
        <v/>
      </c>
      <c r="ADE1">
        <f>IFERROR(IF((ISBLANK(VLOOKUP(ADE7,#REF!,4,FALSE)))=TRUE,VLOOKUP(ADE7,#REF!,3,FALSE),VLOOKUP(ADE7,#REF!,4,FALSE)),0)</f>
        <v/>
      </c>
      <c r="ADF1">
        <f>IFERROR(IF((ISBLANK(VLOOKUP(ADF7,#REF!,4,FALSE)))=TRUE,VLOOKUP(ADF7,#REF!,3,FALSE),VLOOKUP(ADF7,#REF!,4,FALSE)),0)</f>
        <v/>
      </c>
      <c r="ADG1">
        <f>IFERROR(IF((ISBLANK(VLOOKUP(ADG7,#REF!,4,FALSE)))=TRUE,VLOOKUP(ADG7,#REF!,3,FALSE),VLOOKUP(ADG7,#REF!,4,FALSE)),0)</f>
        <v/>
      </c>
      <c r="ADH1">
        <f>IFERROR(IF((ISBLANK(VLOOKUP(ADH7,#REF!,4,FALSE)))=TRUE,VLOOKUP(ADH7,#REF!,3,FALSE),VLOOKUP(ADH7,#REF!,4,FALSE)),0)</f>
        <v/>
      </c>
      <c r="ADI1">
        <f>IFERROR(IF((ISBLANK(VLOOKUP(ADI7,#REF!,4,FALSE)))=TRUE,VLOOKUP(ADI7,#REF!,3,FALSE),VLOOKUP(ADI7,#REF!,4,FALSE)),0)</f>
        <v/>
      </c>
      <c r="ADJ1">
        <f>IFERROR(IF((ISBLANK(VLOOKUP(ADJ7,#REF!,4,FALSE)))=TRUE,VLOOKUP(ADJ7,#REF!,3,FALSE),VLOOKUP(ADJ7,#REF!,4,FALSE)),0)</f>
        <v/>
      </c>
      <c r="ADK1">
        <f>IFERROR(IF((ISBLANK(VLOOKUP(ADK7,#REF!,4,FALSE)))=TRUE,VLOOKUP(ADK7,#REF!,3,FALSE),VLOOKUP(ADK7,#REF!,4,FALSE)),0)</f>
        <v/>
      </c>
      <c r="ADL1">
        <f>IFERROR(IF((ISBLANK(VLOOKUP(ADL7,#REF!,4,FALSE)))=TRUE,VLOOKUP(ADL7,#REF!,3,FALSE),VLOOKUP(ADL7,#REF!,4,FALSE)),0)</f>
        <v/>
      </c>
      <c r="ADM1">
        <f>IFERROR(IF((ISBLANK(VLOOKUP(ADM7,#REF!,4,FALSE)))=TRUE,VLOOKUP(ADM7,#REF!,3,FALSE),VLOOKUP(ADM7,#REF!,4,FALSE)),0)</f>
        <v/>
      </c>
      <c r="ADN1">
        <f>IFERROR(IF((ISBLANK(VLOOKUP(ADN7,#REF!,4,FALSE)))=TRUE,VLOOKUP(ADN7,#REF!,3,FALSE),VLOOKUP(ADN7,#REF!,4,FALSE)),0)</f>
        <v/>
      </c>
      <c r="ADO1">
        <f>IFERROR(IF((ISBLANK(VLOOKUP(ADO7,#REF!,4,FALSE)))=TRUE,VLOOKUP(ADO7,#REF!,3,FALSE),VLOOKUP(ADO7,#REF!,4,FALSE)),0)</f>
        <v/>
      </c>
      <c r="ADP1">
        <f>IFERROR(IF((ISBLANK(VLOOKUP(ADP7,#REF!,4,FALSE)))=TRUE,VLOOKUP(ADP7,#REF!,3,FALSE),VLOOKUP(ADP7,#REF!,4,FALSE)),0)</f>
        <v/>
      </c>
      <c r="ADQ1">
        <f>IFERROR(IF((ISBLANK(VLOOKUP(ADQ7,#REF!,4,FALSE)))=TRUE,VLOOKUP(ADQ7,#REF!,3,FALSE),VLOOKUP(ADQ7,#REF!,4,FALSE)),0)</f>
        <v/>
      </c>
      <c r="ADR1">
        <f>IFERROR(IF((ISBLANK(VLOOKUP(ADR7,#REF!,4,FALSE)))=TRUE,VLOOKUP(ADR7,#REF!,3,FALSE),VLOOKUP(ADR7,#REF!,4,FALSE)),0)</f>
        <v/>
      </c>
      <c r="ADS1">
        <f>IFERROR(IF((ISBLANK(VLOOKUP(ADS7,#REF!,4,FALSE)))=TRUE,VLOOKUP(ADS7,#REF!,3,FALSE),VLOOKUP(ADS7,#REF!,4,FALSE)),0)</f>
        <v/>
      </c>
      <c r="ADT1">
        <f>IFERROR(IF((ISBLANK(VLOOKUP(ADT7,#REF!,4,FALSE)))=TRUE,VLOOKUP(ADT7,#REF!,3,FALSE),VLOOKUP(ADT7,#REF!,4,FALSE)),0)</f>
        <v/>
      </c>
      <c r="ADU1">
        <f>IFERROR(IF((ISBLANK(VLOOKUP(ADU7,#REF!,4,FALSE)))=TRUE,VLOOKUP(ADU7,#REF!,3,FALSE),VLOOKUP(ADU7,#REF!,4,FALSE)),0)</f>
        <v/>
      </c>
      <c r="ADV1">
        <f>IFERROR(IF((ISBLANK(VLOOKUP(ADV7,#REF!,4,FALSE)))=TRUE,VLOOKUP(ADV7,#REF!,3,FALSE),VLOOKUP(ADV7,#REF!,4,FALSE)),0)</f>
        <v/>
      </c>
      <c r="ADW1">
        <f>IFERROR(IF((ISBLANK(VLOOKUP(ADW7,#REF!,4,FALSE)))=TRUE,VLOOKUP(ADW7,#REF!,3,FALSE),VLOOKUP(ADW7,#REF!,4,FALSE)),0)</f>
        <v/>
      </c>
      <c r="ADX1">
        <f>IFERROR(IF((ISBLANK(VLOOKUP(ADX7,#REF!,4,FALSE)))=TRUE,VLOOKUP(ADX7,#REF!,3,FALSE),VLOOKUP(ADX7,#REF!,4,FALSE)),0)</f>
        <v/>
      </c>
      <c r="ADY1">
        <f>IFERROR(IF((ISBLANK(VLOOKUP(ADY7,#REF!,4,FALSE)))=TRUE,VLOOKUP(ADY7,#REF!,3,FALSE),VLOOKUP(ADY7,#REF!,4,FALSE)),0)</f>
        <v/>
      </c>
      <c r="ADZ1">
        <f>IFERROR(IF((ISBLANK(VLOOKUP(ADZ7,#REF!,4,FALSE)))=TRUE,VLOOKUP(ADZ7,#REF!,3,FALSE),VLOOKUP(ADZ7,#REF!,4,FALSE)),0)</f>
        <v/>
      </c>
      <c r="AEA1">
        <f>IFERROR(IF((ISBLANK(VLOOKUP(AEA7,#REF!,4,FALSE)))=TRUE,VLOOKUP(AEA7,#REF!,3,FALSE),VLOOKUP(AEA7,#REF!,4,FALSE)),0)</f>
        <v/>
      </c>
      <c r="AEB1">
        <f>IFERROR(IF((ISBLANK(VLOOKUP(AEB7,#REF!,4,FALSE)))=TRUE,VLOOKUP(AEB7,#REF!,3,FALSE),VLOOKUP(AEB7,#REF!,4,FALSE)),0)</f>
        <v/>
      </c>
      <c r="AEC1">
        <f>IFERROR(IF((ISBLANK(VLOOKUP(AEC7,#REF!,4,FALSE)))=TRUE,VLOOKUP(AEC7,#REF!,3,FALSE),VLOOKUP(AEC7,#REF!,4,FALSE)),0)</f>
        <v/>
      </c>
      <c r="AED1">
        <f>IFERROR(IF((ISBLANK(VLOOKUP(AED7,#REF!,4,FALSE)))=TRUE,VLOOKUP(AED7,#REF!,3,FALSE),VLOOKUP(AED7,#REF!,4,FALSE)),0)</f>
        <v/>
      </c>
      <c r="AEE1">
        <f>IFERROR(IF((ISBLANK(VLOOKUP(AEE7,#REF!,4,FALSE)))=TRUE,VLOOKUP(AEE7,#REF!,3,FALSE),VLOOKUP(AEE7,#REF!,4,FALSE)),0)</f>
        <v/>
      </c>
      <c r="AEF1">
        <f>IFERROR(IF((ISBLANK(VLOOKUP(AEF7,#REF!,4,FALSE)))=TRUE,VLOOKUP(AEF7,#REF!,3,FALSE),VLOOKUP(AEF7,#REF!,4,FALSE)),0)</f>
        <v/>
      </c>
      <c r="AEG1">
        <f>IFERROR(IF((ISBLANK(VLOOKUP(AEG7,#REF!,4,FALSE)))=TRUE,VLOOKUP(AEG7,#REF!,3,FALSE),VLOOKUP(AEG7,#REF!,4,FALSE)),0)</f>
        <v/>
      </c>
      <c r="AEH1">
        <f>IFERROR(IF((ISBLANK(VLOOKUP(AEH7,#REF!,4,FALSE)))=TRUE,VLOOKUP(AEH7,#REF!,3,FALSE),VLOOKUP(AEH7,#REF!,4,FALSE)),0)</f>
        <v/>
      </c>
      <c r="AEI1">
        <f>IFERROR(IF((ISBLANK(VLOOKUP(AEI7,#REF!,4,FALSE)))=TRUE,VLOOKUP(AEI7,#REF!,3,FALSE),VLOOKUP(AEI7,#REF!,4,FALSE)),0)</f>
        <v/>
      </c>
      <c r="AEJ1">
        <f>IFERROR(IF((ISBLANK(VLOOKUP(AEJ7,#REF!,4,FALSE)))=TRUE,VLOOKUP(AEJ7,#REF!,3,FALSE),VLOOKUP(AEJ7,#REF!,4,FALSE)),0)</f>
        <v/>
      </c>
      <c r="AEK1">
        <f>IFERROR(IF((ISBLANK(VLOOKUP(AEK7,#REF!,4,FALSE)))=TRUE,VLOOKUP(AEK7,#REF!,3,FALSE),VLOOKUP(AEK7,#REF!,4,FALSE)),0)</f>
        <v/>
      </c>
      <c r="AEL1">
        <f>IFERROR(IF((ISBLANK(VLOOKUP(AEL7,#REF!,4,FALSE)))=TRUE,VLOOKUP(AEL7,#REF!,3,FALSE),VLOOKUP(AEL7,#REF!,4,FALSE)),0)</f>
        <v/>
      </c>
      <c r="AEM1">
        <f>IFERROR(IF((ISBLANK(VLOOKUP(AEM7,#REF!,4,FALSE)))=TRUE,VLOOKUP(AEM7,#REF!,3,FALSE),VLOOKUP(AEM7,#REF!,4,FALSE)),0)</f>
        <v/>
      </c>
      <c r="AEN1">
        <f>IFERROR(IF((ISBLANK(VLOOKUP(AEN7,#REF!,4,FALSE)))=TRUE,VLOOKUP(AEN7,#REF!,3,FALSE),VLOOKUP(AEN7,#REF!,4,FALSE)),0)</f>
        <v/>
      </c>
      <c r="AEO1">
        <f>IFERROR(IF((ISBLANK(VLOOKUP(AEO7,#REF!,4,FALSE)))=TRUE,VLOOKUP(AEO7,#REF!,3,FALSE),VLOOKUP(AEO7,#REF!,4,FALSE)),0)</f>
        <v/>
      </c>
      <c r="AEP1">
        <f>IFERROR(IF((ISBLANK(VLOOKUP(AEP7,#REF!,4,FALSE)))=TRUE,VLOOKUP(AEP7,#REF!,3,FALSE),VLOOKUP(AEP7,#REF!,4,FALSE)),0)</f>
        <v/>
      </c>
      <c r="AEQ1">
        <f>IFERROR(IF((ISBLANK(VLOOKUP(AEQ7,#REF!,4,FALSE)))=TRUE,VLOOKUP(AEQ7,#REF!,3,FALSE),VLOOKUP(AEQ7,#REF!,4,FALSE)),0)</f>
        <v/>
      </c>
      <c r="AER1">
        <f>IFERROR(IF((ISBLANK(VLOOKUP(AER7,#REF!,4,FALSE)))=TRUE,VLOOKUP(AER7,#REF!,3,FALSE),VLOOKUP(AER7,#REF!,4,FALSE)),0)</f>
        <v/>
      </c>
      <c r="AES1">
        <f>IFERROR(IF((ISBLANK(VLOOKUP(AES7,#REF!,4,FALSE)))=TRUE,VLOOKUP(AES7,#REF!,3,FALSE),VLOOKUP(AES7,#REF!,4,FALSE)),0)</f>
        <v/>
      </c>
      <c r="AET1">
        <f>IFERROR(IF((ISBLANK(VLOOKUP(AET7,#REF!,4,FALSE)))=TRUE,VLOOKUP(AET7,#REF!,3,FALSE),VLOOKUP(AET7,#REF!,4,FALSE)),0)</f>
        <v/>
      </c>
      <c r="AEU1">
        <f>IFERROR(IF((ISBLANK(VLOOKUP(AEU7,#REF!,4,FALSE)))=TRUE,VLOOKUP(AEU7,#REF!,3,FALSE),VLOOKUP(AEU7,#REF!,4,FALSE)),0)</f>
        <v/>
      </c>
      <c r="AEV1">
        <f>IFERROR(IF((ISBLANK(VLOOKUP(AEV7,#REF!,4,FALSE)))=TRUE,VLOOKUP(AEV7,#REF!,3,FALSE),VLOOKUP(AEV7,#REF!,4,FALSE)),0)</f>
        <v/>
      </c>
      <c r="AEW1">
        <f>IFERROR(IF((ISBLANK(VLOOKUP(AEW7,#REF!,4,FALSE)))=TRUE,VLOOKUP(AEW7,#REF!,3,FALSE),VLOOKUP(AEW7,#REF!,4,FALSE)),0)</f>
        <v/>
      </c>
      <c r="AEX1">
        <f>IFERROR(IF((ISBLANK(VLOOKUP(AEX7,#REF!,4,FALSE)))=TRUE,VLOOKUP(AEX7,#REF!,3,FALSE),VLOOKUP(AEX7,#REF!,4,FALSE)),0)</f>
        <v/>
      </c>
      <c r="AEY1">
        <f>IFERROR(IF((ISBLANK(VLOOKUP(AEY7,#REF!,4,FALSE)))=TRUE,VLOOKUP(AEY7,#REF!,3,FALSE),VLOOKUP(AEY7,#REF!,4,FALSE)),0)</f>
        <v/>
      </c>
      <c r="AEZ1">
        <f>IFERROR(IF((ISBLANK(VLOOKUP(AEZ7,#REF!,4,FALSE)))=TRUE,VLOOKUP(AEZ7,#REF!,3,FALSE),VLOOKUP(AEZ7,#REF!,4,FALSE)),0)</f>
        <v/>
      </c>
      <c r="AFA1">
        <f>IFERROR(IF((ISBLANK(VLOOKUP(AFA7,#REF!,4,FALSE)))=TRUE,VLOOKUP(AFA7,#REF!,3,FALSE),VLOOKUP(AFA7,#REF!,4,FALSE)),0)</f>
        <v/>
      </c>
      <c r="AFB1">
        <f>IFERROR(IF((ISBLANK(VLOOKUP(AFB7,#REF!,4,FALSE)))=TRUE,VLOOKUP(AFB7,#REF!,3,FALSE),VLOOKUP(AFB7,#REF!,4,FALSE)),0)</f>
        <v/>
      </c>
      <c r="AFC1">
        <f>IFERROR(IF((ISBLANK(VLOOKUP(AFC7,#REF!,4,FALSE)))=TRUE,VLOOKUP(AFC7,#REF!,3,FALSE),VLOOKUP(AFC7,#REF!,4,FALSE)),0)</f>
        <v/>
      </c>
      <c r="AFD1">
        <f>IFERROR(IF((ISBLANK(VLOOKUP(AFD7,#REF!,4,FALSE)))=TRUE,VLOOKUP(AFD7,#REF!,3,FALSE),VLOOKUP(AFD7,#REF!,4,FALSE)),0)</f>
        <v/>
      </c>
      <c r="AFE1">
        <f>IFERROR(IF((ISBLANK(VLOOKUP(AFE7,#REF!,4,FALSE)))=TRUE,VLOOKUP(AFE7,#REF!,3,FALSE),VLOOKUP(AFE7,#REF!,4,FALSE)),0)</f>
        <v/>
      </c>
      <c r="AFF1">
        <f>IFERROR(IF((ISBLANK(VLOOKUP(AFF7,#REF!,4,FALSE)))=TRUE,VLOOKUP(AFF7,#REF!,3,FALSE),VLOOKUP(AFF7,#REF!,4,FALSE)),0)</f>
        <v/>
      </c>
      <c r="AFG1">
        <f>IFERROR(IF((ISBLANK(VLOOKUP(AFG7,#REF!,4,FALSE)))=TRUE,VLOOKUP(AFG7,#REF!,3,FALSE),VLOOKUP(AFG7,#REF!,4,FALSE)),0)</f>
        <v/>
      </c>
      <c r="AFH1">
        <f>IFERROR(IF((ISBLANK(VLOOKUP(AFH7,#REF!,4,FALSE)))=TRUE,VLOOKUP(AFH7,#REF!,3,FALSE),VLOOKUP(AFH7,#REF!,4,FALSE)),0)</f>
        <v/>
      </c>
      <c r="AFI1">
        <f>IFERROR(IF((ISBLANK(VLOOKUP(AFI7,#REF!,4,FALSE)))=TRUE,VLOOKUP(AFI7,#REF!,3,FALSE),VLOOKUP(AFI7,#REF!,4,FALSE)),0)</f>
        <v/>
      </c>
      <c r="AFJ1">
        <f>IFERROR(IF((ISBLANK(VLOOKUP(AFJ7,#REF!,4,FALSE)))=TRUE,VLOOKUP(AFJ7,#REF!,3,FALSE),VLOOKUP(AFJ7,#REF!,4,FALSE)),0)</f>
        <v/>
      </c>
      <c r="AFK1">
        <f>IFERROR(IF((ISBLANK(VLOOKUP(AFK7,#REF!,4,FALSE)))=TRUE,VLOOKUP(AFK7,#REF!,3,FALSE),VLOOKUP(AFK7,#REF!,4,FALSE)),0)</f>
        <v/>
      </c>
      <c r="AFL1">
        <f>IFERROR(IF((ISBLANK(VLOOKUP(AFL7,#REF!,4,FALSE)))=TRUE,VLOOKUP(AFL7,#REF!,3,FALSE),VLOOKUP(AFL7,#REF!,4,FALSE)),0)</f>
        <v/>
      </c>
      <c r="AFM1">
        <f>IFERROR(IF((ISBLANK(VLOOKUP(AFM7,#REF!,4,FALSE)))=TRUE,VLOOKUP(AFM7,#REF!,3,FALSE),VLOOKUP(AFM7,#REF!,4,FALSE)),0)</f>
        <v/>
      </c>
      <c r="AFN1">
        <f>IFERROR(IF((ISBLANK(VLOOKUP(AFN7,#REF!,4,FALSE)))=TRUE,VLOOKUP(AFN7,#REF!,3,FALSE),VLOOKUP(AFN7,#REF!,4,FALSE)),0)</f>
        <v/>
      </c>
      <c r="AFO1">
        <f>IFERROR(IF((ISBLANK(VLOOKUP(AFO7,#REF!,4,FALSE)))=TRUE,VLOOKUP(AFO7,#REF!,3,FALSE),VLOOKUP(AFO7,#REF!,4,FALSE)),0)</f>
        <v/>
      </c>
      <c r="AFP1">
        <f>IFERROR(IF((ISBLANK(VLOOKUP(AFP7,#REF!,4,FALSE)))=TRUE,VLOOKUP(AFP7,#REF!,3,FALSE),VLOOKUP(AFP7,#REF!,4,FALSE)),0)</f>
        <v/>
      </c>
      <c r="AFQ1">
        <f>IFERROR(IF((ISBLANK(VLOOKUP(AFQ7,#REF!,4,FALSE)))=TRUE,VLOOKUP(AFQ7,#REF!,3,FALSE),VLOOKUP(AFQ7,#REF!,4,FALSE)),0)</f>
        <v/>
      </c>
      <c r="AFR1">
        <f>IFERROR(IF((ISBLANK(VLOOKUP(AFR7,#REF!,4,FALSE)))=TRUE,VLOOKUP(AFR7,#REF!,3,FALSE),VLOOKUP(AFR7,#REF!,4,FALSE)),0)</f>
        <v/>
      </c>
      <c r="AFS1">
        <f>IFERROR(IF((ISBLANK(VLOOKUP(AFS7,#REF!,4,FALSE)))=TRUE,VLOOKUP(AFS7,#REF!,3,FALSE),VLOOKUP(AFS7,#REF!,4,FALSE)),0)</f>
        <v/>
      </c>
      <c r="AFT1">
        <f>IFERROR(IF((ISBLANK(VLOOKUP(AFT7,#REF!,4,FALSE)))=TRUE,VLOOKUP(AFT7,#REF!,3,FALSE),VLOOKUP(AFT7,#REF!,4,FALSE)),0)</f>
        <v/>
      </c>
      <c r="AFU1">
        <f>IFERROR(IF((ISBLANK(VLOOKUP(AFU7,#REF!,4,FALSE)))=TRUE,VLOOKUP(AFU7,#REF!,3,FALSE),VLOOKUP(AFU7,#REF!,4,FALSE)),0)</f>
        <v/>
      </c>
      <c r="AFV1">
        <f>IFERROR(IF((ISBLANK(VLOOKUP(AFV7,#REF!,4,FALSE)))=TRUE,VLOOKUP(AFV7,#REF!,3,FALSE),VLOOKUP(AFV7,#REF!,4,FALSE)),0)</f>
        <v/>
      </c>
      <c r="AFW1">
        <f>IFERROR(IF((ISBLANK(VLOOKUP(AFW7,#REF!,4,FALSE)))=TRUE,VLOOKUP(AFW7,#REF!,3,FALSE),VLOOKUP(AFW7,#REF!,4,FALSE)),0)</f>
        <v/>
      </c>
      <c r="AFX1">
        <f>IFERROR(IF((ISBLANK(VLOOKUP(AFX7,#REF!,4,FALSE)))=TRUE,VLOOKUP(AFX7,#REF!,3,FALSE),VLOOKUP(AFX7,#REF!,4,FALSE)),0)</f>
        <v/>
      </c>
      <c r="AFY1">
        <f>IFERROR(IF((ISBLANK(VLOOKUP(AFY7,#REF!,4,FALSE)))=TRUE,VLOOKUP(AFY7,#REF!,3,FALSE),VLOOKUP(AFY7,#REF!,4,FALSE)),0)</f>
        <v/>
      </c>
      <c r="AFZ1">
        <f>IFERROR(IF((ISBLANK(VLOOKUP(AFZ7,#REF!,4,FALSE)))=TRUE,VLOOKUP(AFZ7,#REF!,3,FALSE),VLOOKUP(AFZ7,#REF!,4,FALSE)),0)</f>
        <v/>
      </c>
      <c r="AGA1">
        <f>IFERROR(IF((ISBLANK(VLOOKUP(AGA7,#REF!,4,FALSE)))=TRUE,VLOOKUP(AGA7,#REF!,3,FALSE),VLOOKUP(AGA7,#REF!,4,FALSE)),0)</f>
        <v/>
      </c>
      <c r="AGB1">
        <f>IFERROR(IF((ISBLANK(VLOOKUP(AGB7,#REF!,4,FALSE)))=TRUE,VLOOKUP(AGB7,#REF!,3,FALSE),VLOOKUP(AGB7,#REF!,4,FALSE)),0)</f>
        <v/>
      </c>
      <c r="AGC1">
        <f>IFERROR(IF((ISBLANK(VLOOKUP(AGC7,#REF!,4,FALSE)))=TRUE,VLOOKUP(AGC7,#REF!,3,FALSE),VLOOKUP(AGC7,#REF!,4,FALSE)),0)</f>
        <v/>
      </c>
      <c r="AGD1">
        <f>IFERROR(IF((ISBLANK(VLOOKUP(AGD7,#REF!,4,FALSE)))=TRUE,VLOOKUP(AGD7,#REF!,3,FALSE),VLOOKUP(AGD7,#REF!,4,FALSE)),0)</f>
        <v/>
      </c>
      <c r="AGE1">
        <f>IFERROR(IF((ISBLANK(VLOOKUP(AGE7,#REF!,4,FALSE)))=TRUE,VLOOKUP(AGE7,#REF!,3,FALSE),VLOOKUP(AGE7,#REF!,4,FALSE)),0)</f>
        <v/>
      </c>
      <c r="AGF1">
        <f>IFERROR(IF((ISBLANK(VLOOKUP(AGF7,#REF!,4,FALSE)))=TRUE,VLOOKUP(AGF7,#REF!,3,FALSE),VLOOKUP(AGF7,#REF!,4,FALSE)),0)</f>
        <v/>
      </c>
      <c r="AGG1">
        <f>IFERROR(IF((ISBLANK(VLOOKUP(AGG7,#REF!,4,FALSE)))=TRUE,VLOOKUP(AGG7,#REF!,3,FALSE),VLOOKUP(AGG7,#REF!,4,FALSE)),0)</f>
        <v/>
      </c>
      <c r="AGH1">
        <f>IFERROR(IF((ISBLANK(VLOOKUP(AGH7,#REF!,4,FALSE)))=TRUE,VLOOKUP(AGH7,#REF!,3,FALSE),VLOOKUP(AGH7,#REF!,4,FALSE)),0)</f>
        <v/>
      </c>
      <c r="AGI1">
        <f>IFERROR(IF((ISBLANK(VLOOKUP(AGI7,#REF!,4,FALSE)))=TRUE,VLOOKUP(AGI7,#REF!,3,FALSE),VLOOKUP(AGI7,#REF!,4,FALSE)),0)</f>
        <v/>
      </c>
      <c r="AGJ1">
        <f>IFERROR(IF((ISBLANK(VLOOKUP(AGJ7,#REF!,4,FALSE)))=TRUE,VLOOKUP(AGJ7,#REF!,3,FALSE),VLOOKUP(AGJ7,#REF!,4,FALSE)),0)</f>
        <v/>
      </c>
      <c r="AGK1">
        <f>IFERROR(IF((ISBLANK(VLOOKUP(AGK7,#REF!,4,FALSE)))=TRUE,VLOOKUP(AGK7,#REF!,3,FALSE),VLOOKUP(AGK7,#REF!,4,FALSE)),0)</f>
        <v/>
      </c>
      <c r="AGL1">
        <f>IFERROR(IF((ISBLANK(VLOOKUP(AGL7,#REF!,4,FALSE)))=TRUE,VLOOKUP(AGL7,#REF!,3,FALSE),VLOOKUP(AGL7,#REF!,4,FALSE)),0)</f>
        <v/>
      </c>
      <c r="AGM1">
        <f>IFERROR(IF((ISBLANK(VLOOKUP(AGM7,#REF!,4,FALSE)))=TRUE,VLOOKUP(AGM7,#REF!,3,FALSE),VLOOKUP(AGM7,#REF!,4,FALSE)),0)</f>
        <v/>
      </c>
      <c r="AGN1">
        <f>IFERROR(IF((ISBLANK(VLOOKUP(AGN7,#REF!,4,FALSE)))=TRUE,VLOOKUP(AGN7,#REF!,3,FALSE),VLOOKUP(AGN7,#REF!,4,FALSE)),0)</f>
        <v/>
      </c>
      <c r="AGO1">
        <f>IFERROR(IF((ISBLANK(VLOOKUP(AGO7,#REF!,4,FALSE)))=TRUE,VLOOKUP(AGO7,#REF!,3,FALSE),VLOOKUP(AGO7,#REF!,4,FALSE)),0)</f>
        <v/>
      </c>
      <c r="AGP1">
        <f>IFERROR(IF((ISBLANK(VLOOKUP(AGP7,#REF!,4,FALSE)))=TRUE,VLOOKUP(AGP7,#REF!,3,FALSE),VLOOKUP(AGP7,#REF!,4,FALSE)),0)</f>
        <v/>
      </c>
      <c r="AGQ1">
        <f>IFERROR(IF((ISBLANK(VLOOKUP(AGQ7,#REF!,4,FALSE)))=TRUE,VLOOKUP(AGQ7,#REF!,3,FALSE),VLOOKUP(AGQ7,#REF!,4,FALSE)),0)</f>
        <v/>
      </c>
      <c r="AGR1">
        <f>IFERROR(IF((ISBLANK(VLOOKUP(AGR7,#REF!,4,FALSE)))=TRUE,VLOOKUP(AGR7,#REF!,3,FALSE),VLOOKUP(AGR7,#REF!,4,FALSE)),0)</f>
        <v/>
      </c>
      <c r="AGS1">
        <f>IFERROR(IF((ISBLANK(VLOOKUP(AGS7,#REF!,4,FALSE)))=TRUE,VLOOKUP(AGS7,#REF!,3,FALSE),VLOOKUP(AGS7,#REF!,4,FALSE)),0)</f>
        <v/>
      </c>
      <c r="AGT1">
        <f>IFERROR(IF((ISBLANK(VLOOKUP(AGT7,#REF!,4,FALSE)))=TRUE,VLOOKUP(AGT7,#REF!,3,FALSE),VLOOKUP(AGT7,#REF!,4,FALSE)),0)</f>
        <v/>
      </c>
      <c r="AGU1">
        <f>IFERROR(IF((ISBLANK(VLOOKUP(AGU7,#REF!,4,FALSE)))=TRUE,VLOOKUP(AGU7,#REF!,3,FALSE),VLOOKUP(AGU7,#REF!,4,FALSE)),0)</f>
        <v/>
      </c>
      <c r="AGV1">
        <f>IFERROR(IF((ISBLANK(VLOOKUP(AGV7,#REF!,4,FALSE)))=TRUE,VLOOKUP(AGV7,#REF!,3,FALSE),VLOOKUP(AGV7,#REF!,4,FALSE)),0)</f>
        <v/>
      </c>
      <c r="AGW1">
        <f>IFERROR(IF((ISBLANK(VLOOKUP(AGW7,#REF!,4,FALSE)))=TRUE,VLOOKUP(AGW7,#REF!,3,FALSE),VLOOKUP(AGW7,#REF!,4,FALSE)),0)</f>
        <v/>
      </c>
      <c r="AGX1">
        <f>IFERROR(IF((ISBLANK(VLOOKUP(AGX7,#REF!,4,FALSE)))=TRUE,VLOOKUP(AGX7,#REF!,3,FALSE),VLOOKUP(AGX7,#REF!,4,FALSE)),0)</f>
        <v/>
      </c>
      <c r="AGY1">
        <f>IFERROR(IF((ISBLANK(VLOOKUP(AGY7,#REF!,4,FALSE)))=TRUE,VLOOKUP(AGY7,#REF!,3,FALSE),VLOOKUP(AGY7,#REF!,4,FALSE)),0)</f>
        <v/>
      </c>
      <c r="AGZ1">
        <f>IFERROR(IF((ISBLANK(VLOOKUP(AGZ7,#REF!,4,FALSE)))=TRUE,VLOOKUP(AGZ7,#REF!,3,FALSE),VLOOKUP(AGZ7,#REF!,4,FALSE)),0)</f>
        <v/>
      </c>
      <c r="AHA1">
        <f>IFERROR(IF((ISBLANK(VLOOKUP(AHA7,#REF!,4,FALSE)))=TRUE,VLOOKUP(AHA7,#REF!,3,FALSE),VLOOKUP(AHA7,#REF!,4,FALSE)),0)</f>
        <v/>
      </c>
      <c r="AHB1">
        <f>IFERROR(IF((ISBLANK(VLOOKUP(AHB7,#REF!,4,FALSE)))=TRUE,VLOOKUP(AHB7,#REF!,3,FALSE),VLOOKUP(AHB7,#REF!,4,FALSE)),0)</f>
        <v/>
      </c>
      <c r="AHC1">
        <f>IFERROR(IF((ISBLANK(VLOOKUP(AHC7,#REF!,4,FALSE)))=TRUE,VLOOKUP(AHC7,#REF!,3,FALSE),VLOOKUP(AHC7,#REF!,4,FALSE)),0)</f>
        <v/>
      </c>
      <c r="AHD1">
        <f>IFERROR(IF((ISBLANK(VLOOKUP(AHD7,#REF!,4,FALSE)))=TRUE,VLOOKUP(AHD7,#REF!,3,FALSE),VLOOKUP(AHD7,#REF!,4,FALSE)),0)</f>
        <v/>
      </c>
      <c r="AHE1">
        <f>IFERROR(IF((ISBLANK(VLOOKUP(AHE7,#REF!,4,FALSE)))=TRUE,VLOOKUP(AHE7,#REF!,3,FALSE),VLOOKUP(AHE7,#REF!,4,FALSE)),0)</f>
        <v/>
      </c>
      <c r="AHF1">
        <f>IFERROR(IF((ISBLANK(VLOOKUP(AHF7,#REF!,4,FALSE)))=TRUE,VLOOKUP(AHF7,#REF!,3,FALSE),VLOOKUP(AHF7,#REF!,4,FALSE)),0)</f>
        <v/>
      </c>
      <c r="AHG1">
        <f>IFERROR(IF((ISBLANK(VLOOKUP(AHG7,#REF!,4,FALSE)))=TRUE,VLOOKUP(AHG7,#REF!,3,FALSE),VLOOKUP(AHG7,#REF!,4,FALSE)),0)</f>
        <v/>
      </c>
      <c r="AHH1">
        <f>IFERROR(IF((ISBLANK(VLOOKUP(AHH7,#REF!,4,FALSE)))=TRUE,VLOOKUP(AHH7,#REF!,3,FALSE),VLOOKUP(AHH7,#REF!,4,FALSE)),0)</f>
        <v/>
      </c>
      <c r="AHI1">
        <f>IFERROR(IF((ISBLANK(VLOOKUP(AHI7,#REF!,4,FALSE)))=TRUE,VLOOKUP(AHI7,#REF!,3,FALSE),VLOOKUP(AHI7,#REF!,4,FALSE)),0)</f>
        <v/>
      </c>
      <c r="AHJ1">
        <f>IFERROR(IF((ISBLANK(VLOOKUP(AHJ7,#REF!,4,FALSE)))=TRUE,VLOOKUP(AHJ7,#REF!,3,FALSE),VLOOKUP(AHJ7,#REF!,4,FALSE)),0)</f>
        <v/>
      </c>
      <c r="AHK1">
        <f>IFERROR(IF((ISBLANK(VLOOKUP(AHK7,#REF!,4,FALSE)))=TRUE,VLOOKUP(AHK7,#REF!,3,FALSE),VLOOKUP(AHK7,#REF!,4,FALSE)),0)</f>
        <v/>
      </c>
      <c r="AHL1">
        <f>IFERROR(IF((ISBLANK(VLOOKUP(AHL7,#REF!,4,FALSE)))=TRUE,VLOOKUP(AHL7,#REF!,3,FALSE),VLOOKUP(AHL7,#REF!,4,FALSE)),0)</f>
        <v/>
      </c>
      <c r="AHM1">
        <f>IFERROR(IF((ISBLANK(VLOOKUP(AHM7,#REF!,4,FALSE)))=TRUE,VLOOKUP(AHM7,#REF!,3,FALSE),VLOOKUP(AHM7,#REF!,4,FALSE)),0)</f>
        <v/>
      </c>
      <c r="AHN1">
        <f>IFERROR(IF((ISBLANK(VLOOKUP(AHN7,#REF!,4,FALSE)))=TRUE,VLOOKUP(AHN7,#REF!,3,FALSE),VLOOKUP(AHN7,#REF!,4,FALSE)),0)</f>
        <v/>
      </c>
      <c r="AHO1">
        <f>IFERROR(IF((ISBLANK(VLOOKUP(AHO7,#REF!,4,FALSE)))=TRUE,VLOOKUP(AHO7,#REF!,3,FALSE),VLOOKUP(AHO7,#REF!,4,FALSE)),0)</f>
        <v/>
      </c>
      <c r="AHP1">
        <f>IFERROR(IF((ISBLANK(VLOOKUP(AHP7,#REF!,4,FALSE)))=TRUE,VLOOKUP(AHP7,#REF!,3,FALSE),VLOOKUP(AHP7,#REF!,4,FALSE)),0)</f>
        <v/>
      </c>
      <c r="AHQ1">
        <f>IFERROR(IF((ISBLANK(VLOOKUP(AHQ7,#REF!,4,FALSE)))=TRUE,VLOOKUP(AHQ7,#REF!,3,FALSE),VLOOKUP(AHQ7,#REF!,4,FALSE)),0)</f>
        <v/>
      </c>
      <c r="AHR1">
        <f>IFERROR(IF((ISBLANK(VLOOKUP(AHR7,#REF!,4,FALSE)))=TRUE,VLOOKUP(AHR7,#REF!,3,FALSE),VLOOKUP(AHR7,#REF!,4,FALSE)),0)</f>
        <v/>
      </c>
      <c r="AHS1">
        <f>IFERROR(IF((ISBLANK(VLOOKUP(AHS7,#REF!,4,FALSE)))=TRUE,VLOOKUP(AHS7,#REF!,3,FALSE),VLOOKUP(AHS7,#REF!,4,FALSE)),0)</f>
        <v/>
      </c>
      <c r="AHT1">
        <f>IFERROR(IF((ISBLANK(VLOOKUP(AHT7,#REF!,4,FALSE)))=TRUE,VLOOKUP(AHT7,#REF!,3,FALSE),VLOOKUP(AHT7,#REF!,4,FALSE)),0)</f>
        <v/>
      </c>
      <c r="AHU1">
        <f>IFERROR(IF((ISBLANK(VLOOKUP(AHU7,#REF!,4,FALSE)))=TRUE,VLOOKUP(AHU7,#REF!,3,FALSE),VLOOKUP(AHU7,#REF!,4,FALSE)),0)</f>
        <v/>
      </c>
      <c r="AHV1">
        <f>IFERROR(IF((ISBLANK(VLOOKUP(AHV7,#REF!,4,FALSE)))=TRUE,VLOOKUP(AHV7,#REF!,3,FALSE),VLOOKUP(AHV7,#REF!,4,FALSE)),0)</f>
        <v/>
      </c>
      <c r="AHW1">
        <f>IFERROR(IF((ISBLANK(VLOOKUP(AHW7,#REF!,4,FALSE)))=TRUE,VLOOKUP(AHW7,#REF!,3,FALSE),VLOOKUP(AHW7,#REF!,4,FALSE)),0)</f>
        <v/>
      </c>
      <c r="AHX1">
        <f>IFERROR(IF((ISBLANK(VLOOKUP(AHX7,#REF!,4,FALSE)))=TRUE,VLOOKUP(AHX7,#REF!,3,FALSE),VLOOKUP(AHX7,#REF!,4,FALSE)),0)</f>
        <v/>
      </c>
      <c r="AHY1">
        <f>IFERROR(IF((ISBLANK(VLOOKUP(AHY7,#REF!,4,FALSE)))=TRUE,VLOOKUP(AHY7,#REF!,3,FALSE),VLOOKUP(AHY7,#REF!,4,FALSE)),0)</f>
        <v/>
      </c>
      <c r="AHZ1">
        <f>IFERROR(IF((ISBLANK(VLOOKUP(AHZ7,#REF!,4,FALSE)))=TRUE,VLOOKUP(AHZ7,#REF!,3,FALSE),VLOOKUP(AHZ7,#REF!,4,FALSE)),0)</f>
        <v/>
      </c>
      <c r="AIA1">
        <f>IFERROR(IF((ISBLANK(VLOOKUP(AIA7,#REF!,4,FALSE)))=TRUE,VLOOKUP(AIA7,#REF!,3,FALSE),VLOOKUP(AIA7,#REF!,4,FALSE)),0)</f>
        <v/>
      </c>
      <c r="AIB1">
        <f>IFERROR(IF((ISBLANK(VLOOKUP(AIB7,#REF!,4,FALSE)))=TRUE,VLOOKUP(AIB7,#REF!,3,FALSE),VLOOKUP(AIB7,#REF!,4,FALSE)),0)</f>
        <v/>
      </c>
      <c r="AIC1">
        <f>IFERROR(IF((ISBLANK(VLOOKUP(AIC7,#REF!,4,FALSE)))=TRUE,VLOOKUP(AIC7,#REF!,3,FALSE),VLOOKUP(AIC7,#REF!,4,FALSE)),0)</f>
        <v/>
      </c>
      <c r="AID1">
        <f>IFERROR(IF((ISBLANK(VLOOKUP(AID7,#REF!,4,FALSE)))=TRUE,VLOOKUP(AID7,#REF!,3,FALSE),VLOOKUP(AID7,#REF!,4,FALSE)),0)</f>
        <v/>
      </c>
      <c r="AIE1">
        <f>IFERROR(IF((ISBLANK(VLOOKUP(AIE7,#REF!,4,FALSE)))=TRUE,VLOOKUP(AIE7,#REF!,3,FALSE),VLOOKUP(AIE7,#REF!,4,FALSE)),0)</f>
        <v/>
      </c>
      <c r="AIF1">
        <f>IFERROR(IF((ISBLANK(VLOOKUP(AIF7,#REF!,4,FALSE)))=TRUE,VLOOKUP(AIF7,#REF!,3,FALSE),VLOOKUP(AIF7,#REF!,4,FALSE)),0)</f>
        <v/>
      </c>
      <c r="AIG1">
        <f>IFERROR(IF((ISBLANK(VLOOKUP(AIG7,#REF!,4,FALSE)))=TRUE,VLOOKUP(AIG7,#REF!,3,FALSE),VLOOKUP(AIG7,#REF!,4,FALSE)),0)</f>
        <v/>
      </c>
      <c r="AIH1">
        <f>IFERROR(IF((ISBLANK(VLOOKUP(AIH7,#REF!,4,FALSE)))=TRUE,VLOOKUP(AIH7,#REF!,3,FALSE),VLOOKUP(AIH7,#REF!,4,FALSE)),0)</f>
        <v/>
      </c>
      <c r="AII1">
        <f>IFERROR(IF((ISBLANK(VLOOKUP(AII7,#REF!,4,FALSE)))=TRUE,VLOOKUP(AII7,#REF!,3,FALSE),VLOOKUP(AII7,#REF!,4,FALSE)),0)</f>
        <v/>
      </c>
      <c r="AIJ1">
        <f>IFERROR(IF((ISBLANK(VLOOKUP(AIJ7,#REF!,4,FALSE)))=TRUE,VLOOKUP(AIJ7,#REF!,3,FALSE),VLOOKUP(AIJ7,#REF!,4,FALSE)),0)</f>
        <v/>
      </c>
      <c r="AIK1">
        <f>IFERROR(IF((ISBLANK(VLOOKUP(AIK7,#REF!,4,FALSE)))=TRUE,VLOOKUP(AIK7,#REF!,3,FALSE),VLOOKUP(AIK7,#REF!,4,FALSE)),0)</f>
        <v/>
      </c>
      <c r="AIL1">
        <f>IFERROR(IF((ISBLANK(VLOOKUP(AIL7,#REF!,4,FALSE)))=TRUE,VLOOKUP(AIL7,#REF!,3,FALSE),VLOOKUP(AIL7,#REF!,4,FALSE)),0)</f>
        <v/>
      </c>
      <c r="AIM1">
        <f>IFERROR(IF((ISBLANK(VLOOKUP(AIM7,#REF!,4,FALSE)))=TRUE,VLOOKUP(AIM7,#REF!,3,FALSE),VLOOKUP(AIM7,#REF!,4,FALSE)),0)</f>
        <v/>
      </c>
      <c r="AIN1">
        <f>IFERROR(IF((ISBLANK(VLOOKUP(AIN7,#REF!,4,FALSE)))=TRUE,VLOOKUP(AIN7,#REF!,3,FALSE),VLOOKUP(AIN7,#REF!,4,FALSE)),0)</f>
        <v/>
      </c>
      <c r="AIO1">
        <f>IFERROR(IF((ISBLANK(VLOOKUP(AIO7,#REF!,4,FALSE)))=TRUE,VLOOKUP(AIO7,#REF!,3,FALSE),VLOOKUP(AIO7,#REF!,4,FALSE)),0)</f>
        <v/>
      </c>
      <c r="AIP1">
        <f>IFERROR(IF((ISBLANK(VLOOKUP(AIP7,#REF!,4,FALSE)))=TRUE,VLOOKUP(AIP7,#REF!,3,FALSE),VLOOKUP(AIP7,#REF!,4,FALSE)),0)</f>
        <v/>
      </c>
      <c r="AIQ1">
        <f>IFERROR(IF((ISBLANK(VLOOKUP(AIQ7,#REF!,4,FALSE)))=TRUE,VLOOKUP(AIQ7,#REF!,3,FALSE),VLOOKUP(AIQ7,#REF!,4,FALSE)),0)</f>
        <v/>
      </c>
      <c r="AIR1">
        <f>IFERROR(IF((ISBLANK(VLOOKUP(AIR7,#REF!,4,FALSE)))=TRUE,VLOOKUP(AIR7,#REF!,3,FALSE),VLOOKUP(AIR7,#REF!,4,FALSE)),0)</f>
        <v/>
      </c>
      <c r="AIS1">
        <f>IFERROR(IF((ISBLANK(VLOOKUP(AIS7,#REF!,4,FALSE)))=TRUE,VLOOKUP(AIS7,#REF!,3,FALSE),VLOOKUP(AIS7,#REF!,4,FALSE)),0)</f>
        <v/>
      </c>
      <c r="AIT1">
        <f>IFERROR(IF((ISBLANK(VLOOKUP(AIT7,#REF!,4,FALSE)))=TRUE,VLOOKUP(AIT7,#REF!,3,FALSE),VLOOKUP(AIT7,#REF!,4,FALSE)),0)</f>
        <v/>
      </c>
      <c r="AIU1">
        <f>IFERROR(IF((ISBLANK(VLOOKUP(AIU7,#REF!,4,FALSE)))=TRUE,VLOOKUP(AIU7,#REF!,3,FALSE),VLOOKUP(AIU7,#REF!,4,FALSE)),0)</f>
        <v/>
      </c>
      <c r="AIV1">
        <f>IFERROR(IF((ISBLANK(VLOOKUP(AIV7,#REF!,4,FALSE)))=TRUE,VLOOKUP(AIV7,#REF!,3,FALSE),VLOOKUP(AIV7,#REF!,4,FALSE)),0)</f>
        <v/>
      </c>
      <c r="AIW1">
        <f>IFERROR(IF((ISBLANK(VLOOKUP(AIW7,#REF!,4,FALSE)))=TRUE,VLOOKUP(AIW7,#REF!,3,FALSE),VLOOKUP(AIW7,#REF!,4,FALSE)),0)</f>
        <v/>
      </c>
      <c r="AIX1">
        <f>ABX1</f>
        <v/>
      </c>
      <c r="AIY1">
        <f>IFERROR(IF((ISBLANK(VLOOKUP(AIY7,#REF!,4,FALSE)))=TRUE,VLOOKUP(AIY7,#REF!,3,FALSE),VLOOKUP(AIY7,#REF!,4,FALSE)),0)</f>
        <v/>
      </c>
      <c r="AIZ1">
        <f>IFERROR(IF((ISBLANK(VLOOKUP(AIZ7,#REF!,4,FALSE)))=TRUE,VLOOKUP(AIZ7,#REF!,3,FALSE),VLOOKUP(AIZ7,#REF!,4,FALSE)),0)</f>
        <v/>
      </c>
      <c r="AJA1">
        <f>IFERROR(IF((ISBLANK(VLOOKUP(AJA7,#REF!,4,FALSE)))=TRUE,VLOOKUP(AJA7,#REF!,3,FALSE),VLOOKUP(AJA7,#REF!,4,FALSE)),0)</f>
        <v/>
      </c>
      <c r="AJB1">
        <f>IFERROR(IF((ISBLANK(VLOOKUP(AJB7,#REF!,4,FALSE)))=TRUE,VLOOKUP(AJB7,#REF!,3,FALSE),VLOOKUP(AJB7,#REF!,4,FALSE)),0)</f>
        <v/>
      </c>
      <c r="AJC1">
        <f>IFERROR(IF((ISBLANK(VLOOKUP(AJC7,#REF!,4,FALSE)))=TRUE,VLOOKUP(AJC7,#REF!,3,FALSE),VLOOKUP(AJC7,#REF!,4,FALSE)),0)</f>
        <v/>
      </c>
      <c r="AJD1">
        <f>IFERROR(IF((ISBLANK(VLOOKUP(AJD7,#REF!,4,FALSE)))=TRUE,VLOOKUP(AJD7,#REF!,3,FALSE),VLOOKUP(AJD7,#REF!,4,FALSE)),0)</f>
        <v/>
      </c>
      <c r="AJE1">
        <f>IFERROR(IF((ISBLANK(VLOOKUP(AJE7,#REF!,4,FALSE)))=TRUE,VLOOKUP(AJE7,#REF!,3,FALSE),VLOOKUP(AJE7,#REF!,4,FALSE)),0)</f>
        <v/>
      </c>
      <c r="AJF1">
        <f>IFERROR(IF((ISBLANK(VLOOKUP(AJF7,#REF!,4,FALSE)))=TRUE,VLOOKUP(AJF7,#REF!,3,FALSE),VLOOKUP(AJF7,#REF!,4,FALSE)),0)</f>
        <v/>
      </c>
      <c r="AJG1">
        <f>IFERROR(IF((ISBLANK(VLOOKUP(AJG7,#REF!,4,FALSE)))=TRUE,VLOOKUP(AJG7,#REF!,3,FALSE),VLOOKUP(AJG7,#REF!,4,FALSE)),0)</f>
        <v/>
      </c>
      <c r="AJH1">
        <f>IFERROR(IF((ISBLANK(VLOOKUP(AJH7,#REF!,4,FALSE)))=TRUE,VLOOKUP(AJH7,#REF!,3,FALSE),VLOOKUP(AJH7,#REF!,4,FALSE)),0)</f>
        <v/>
      </c>
      <c r="AJI1">
        <f>IFERROR(IF((ISBLANK(VLOOKUP(AJI7,#REF!,4,FALSE)))=TRUE,VLOOKUP(AJI7,#REF!,3,FALSE),VLOOKUP(AJI7,#REF!,4,FALSE)),0)</f>
        <v/>
      </c>
      <c r="AJJ1">
        <f>IFERROR(IF((ISBLANK(VLOOKUP(AJJ7,#REF!,4,FALSE)))=TRUE,VLOOKUP(AJJ7,#REF!,3,FALSE),VLOOKUP(AJJ7,#REF!,4,FALSE)),0)</f>
        <v/>
      </c>
      <c r="AJK1">
        <f>IFERROR(IF((ISBLANK(VLOOKUP(AJK7,#REF!,4,FALSE)))=TRUE,VLOOKUP(AJK7,#REF!,3,FALSE),VLOOKUP(AJK7,#REF!,4,FALSE)),0)</f>
        <v/>
      </c>
      <c r="AJL1">
        <f>IFERROR(IF((ISBLANK(VLOOKUP(AJL7,#REF!,4,FALSE)))=TRUE,VLOOKUP(AJL7,#REF!,3,FALSE),VLOOKUP(AJL7,#REF!,4,FALSE)),0)</f>
        <v/>
      </c>
      <c r="AJM1">
        <f>IFERROR(IF((ISBLANK(VLOOKUP(AJM7,#REF!,4,FALSE)))=TRUE,VLOOKUP(AJM7,#REF!,3,FALSE),VLOOKUP(AJM7,#REF!,4,FALSE)),0)</f>
        <v/>
      </c>
      <c r="AJN1">
        <f>IFERROR(IF((ISBLANK(VLOOKUP(AJN7,#REF!,4,FALSE)))=TRUE,VLOOKUP(AJN7,#REF!,3,FALSE),VLOOKUP(AJN7,#REF!,4,FALSE)),0)</f>
        <v/>
      </c>
      <c r="AJO1">
        <f>IFERROR(IF((ISBLANK(VLOOKUP(AJO7,#REF!,4,FALSE)))=TRUE,VLOOKUP(AJO7,#REF!,3,FALSE),VLOOKUP(AJO7,#REF!,4,FALSE)),0)</f>
        <v/>
      </c>
      <c r="AJP1">
        <f>IFERROR(IF((ISBLANK(VLOOKUP(AJP7,#REF!,4,FALSE)))=TRUE,VLOOKUP(AJP7,#REF!,3,FALSE),VLOOKUP(AJP7,#REF!,4,FALSE)),0)</f>
        <v/>
      </c>
      <c r="AJQ1">
        <f>IFERROR(IF((ISBLANK(VLOOKUP(AJQ7,#REF!,4,FALSE)))=TRUE,VLOOKUP(AJQ7,#REF!,3,FALSE),VLOOKUP(AJQ7,#REF!,4,FALSE)),0)</f>
        <v/>
      </c>
      <c r="AJR1">
        <f>IFERROR(IF((ISBLANK(VLOOKUP(AJR7,#REF!,4,FALSE)))=TRUE,VLOOKUP(AJR7,#REF!,3,FALSE),VLOOKUP(AJR7,#REF!,4,FALSE)),0)</f>
        <v/>
      </c>
      <c r="AJS1">
        <f>IFERROR(IF((ISBLANK(VLOOKUP(AJS7,#REF!,4,FALSE)))=TRUE,VLOOKUP(AJS7,#REF!,3,FALSE),VLOOKUP(AJS7,#REF!,4,FALSE)),0)</f>
        <v/>
      </c>
      <c r="AJT1">
        <f>IFERROR(IF((ISBLANK(VLOOKUP(AJT7,#REF!,4,FALSE)))=TRUE,VLOOKUP(AJT7,#REF!,3,FALSE),VLOOKUP(AJT7,#REF!,4,FALSE)),0)</f>
        <v/>
      </c>
      <c r="AJU1">
        <f>IFERROR(IF((ISBLANK(VLOOKUP(AJU7,#REF!,4,FALSE)))=TRUE,VLOOKUP(AJU7,#REF!,3,FALSE),VLOOKUP(AJU7,#REF!,4,FALSE)),0)</f>
        <v/>
      </c>
      <c r="AJV1">
        <f>IFERROR(IF((ISBLANK(VLOOKUP(AJV7,#REF!,4,FALSE)))=TRUE,VLOOKUP(AJV7,#REF!,3,FALSE),VLOOKUP(AJV7,#REF!,4,FALSE)),0)</f>
        <v/>
      </c>
      <c r="AJW1">
        <f>IFERROR(IF((ISBLANK(VLOOKUP(AJW7,#REF!,4,FALSE)))=TRUE,VLOOKUP(AJW7,#REF!,3,FALSE),VLOOKUP(AJW7,#REF!,4,FALSE)),0)</f>
        <v/>
      </c>
      <c r="AJX1">
        <f>IFERROR(IF((ISBLANK(VLOOKUP(AJX7,#REF!,4,FALSE)))=TRUE,VLOOKUP(AJX7,#REF!,3,FALSE),VLOOKUP(AJX7,#REF!,4,FALSE)),0)</f>
        <v/>
      </c>
      <c r="AJY1">
        <f>IFERROR(IF((ISBLANK(VLOOKUP(AJY7,#REF!,4,FALSE)))=TRUE,VLOOKUP(AJY7,#REF!,3,FALSE),VLOOKUP(AJY7,#REF!,4,FALSE)),0)</f>
        <v/>
      </c>
      <c r="AJZ1">
        <f>IFERROR(IF((ISBLANK(VLOOKUP(AJZ7,#REF!,4,FALSE)))=TRUE,VLOOKUP(AJZ7,#REF!,3,FALSE),VLOOKUP(AJZ7,#REF!,4,FALSE)),0)</f>
        <v/>
      </c>
      <c r="AKA1">
        <f>IFERROR(IF((ISBLANK(VLOOKUP(AKA7,#REF!,4,FALSE)))=TRUE,VLOOKUP(AKA7,#REF!,3,FALSE),VLOOKUP(AKA7,#REF!,4,FALSE)),0)</f>
        <v/>
      </c>
      <c r="AKB1">
        <f>IFERROR(IF((ISBLANK(VLOOKUP(AKB7,#REF!,4,FALSE)))=TRUE,VLOOKUP(AKB7,#REF!,3,FALSE),VLOOKUP(AKB7,#REF!,4,FALSE)),0)</f>
        <v/>
      </c>
      <c r="AKC1">
        <f>IFERROR(IF((ISBLANK(VLOOKUP(AKC7,#REF!,4,FALSE)))=TRUE,VLOOKUP(AKC7,#REF!,3,FALSE),VLOOKUP(AKC7,#REF!,4,FALSE)),0)</f>
        <v/>
      </c>
      <c r="AKD1">
        <f>IFERROR(IF((ISBLANK(VLOOKUP(AKD7,#REF!,4,FALSE)))=TRUE,VLOOKUP(AKD7,#REF!,3,FALSE),VLOOKUP(AKD7,#REF!,4,FALSE)),0)</f>
        <v/>
      </c>
      <c r="AKE1">
        <f>IFERROR(IF((ISBLANK(VLOOKUP(AKE7,#REF!,4,FALSE)))=TRUE,VLOOKUP(AKE7,#REF!,3,FALSE),VLOOKUP(AKE7,#REF!,4,FALSE)),0)</f>
        <v/>
      </c>
      <c r="AKF1">
        <f>IFERROR(IF((ISBLANK(VLOOKUP(AKF7,#REF!,4,FALSE)))=TRUE,VLOOKUP(AKF7,#REF!,3,FALSE),VLOOKUP(AKF7,#REF!,4,FALSE)),0)</f>
        <v/>
      </c>
      <c r="AKG1">
        <f>IFERROR(IF((ISBLANK(VLOOKUP(AKG7,#REF!,4,FALSE)))=TRUE,VLOOKUP(AKG7,#REF!,3,FALSE),VLOOKUP(AKG7,#REF!,4,FALSE)),0)</f>
        <v/>
      </c>
      <c r="AKH1">
        <f>IFERROR(IF((ISBLANK(VLOOKUP(AKH7,#REF!,4,FALSE)))=TRUE,VLOOKUP(AKH7,#REF!,3,FALSE),VLOOKUP(AKH7,#REF!,4,FALSE)),0)</f>
        <v/>
      </c>
      <c r="AKI1">
        <f>IFERROR(IF((ISBLANK(VLOOKUP(AKI7,#REF!,4,FALSE)))=TRUE,VLOOKUP(AKI7,#REF!,3,FALSE),VLOOKUP(AKI7,#REF!,4,FALSE)),0)</f>
        <v/>
      </c>
      <c r="AKJ1">
        <f>IFERROR(IF((ISBLANK(VLOOKUP(AKJ7,#REF!,4,FALSE)))=TRUE,VLOOKUP(AKJ7,#REF!,3,FALSE),VLOOKUP(AKJ7,#REF!,4,FALSE)),0)</f>
        <v/>
      </c>
      <c r="AKK1">
        <f>IFERROR(IF((ISBLANK(VLOOKUP(AKK7,#REF!,4,FALSE)))=TRUE,VLOOKUP(AKK7,#REF!,3,FALSE),VLOOKUP(AKK7,#REF!,4,FALSE)),0)</f>
        <v/>
      </c>
      <c r="AKL1">
        <f>IFERROR(IF((ISBLANK(VLOOKUP(AKL7,#REF!,4,FALSE)))=TRUE,VLOOKUP(AKL7,#REF!,3,FALSE),VLOOKUP(AKL7,#REF!,4,FALSE)),0)</f>
        <v/>
      </c>
      <c r="AKM1">
        <f>IFERROR(IF((ISBLANK(VLOOKUP(AKM7,#REF!,4,FALSE)))=TRUE,VLOOKUP(AKM7,#REF!,3,FALSE),VLOOKUP(AKM7,#REF!,4,FALSE)),0)</f>
        <v/>
      </c>
      <c r="AKN1">
        <f>IFERROR(IF((ISBLANK(VLOOKUP(AKN7,#REF!,4,FALSE)))=TRUE,VLOOKUP(AKN7,#REF!,3,FALSE),VLOOKUP(AKN7,#REF!,4,FALSE)),0)</f>
        <v/>
      </c>
      <c r="AKO1">
        <f>IFERROR(IF((ISBLANK(VLOOKUP(AKO7,#REF!,4,FALSE)))=TRUE,VLOOKUP(AKO7,#REF!,3,FALSE),VLOOKUP(AKO7,#REF!,4,FALSE)),0)</f>
        <v/>
      </c>
      <c r="AKP1">
        <f>IFERROR(IF((ISBLANK(VLOOKUP(AKP7,#REF!,4,FALSE)))=TRUE,VLOOKUP(AKP7,#REF!,3,FALSE),VLOOKUP(AKP7,#REF!,4,FALSE)),0)</f>
        <v/>
      </c>
      <c r="AKQ1">
        <f>IFERROR(IF((ISBLANK(VLOOKUP(AKQ7,#REF!,4,FALSE)))=TRUE,VLOOKUP(AKQ7,#REF!,3,FALSE),VLOOKUP(AKQ7,#REF!,4,FALSE)),0)</f>
        <v/>
      </c>
      <c r="AKR1">
        <f>IFERROR(IF((ISBLANK(VLOOKUP(AKR7,#REF!,4,FALSE)))=TRUE,VLOOKUP(AKR7,#REF!,3,FALSE),VLOOKUP(AKR7,#REF!,4,FALSE)),0)</f>
        <v/>
      </c>
      <c r="AKS1">
        <f>IFERROR(IF((ISBLANK(VLOOKUP(AKS7,#REF!,4,FALSE)))=TRUE,VLOOKUP(AKS7,#REF!,3,FALSE),VLOOKUP(AKS7,#REF!,4,FALSE)),0)</f>
        <v/>
      </c>
      <c r="AKT1">
        <f>IFERROR(IF((ISBLANK(VLOOKUP(AKT7,#REF!,4,FALSE)))=TRUE,VLOOKUP(AKT7,#REF!,3,FALSE),VLOOKUP(AKT7,#REF!,4,FALSE)),0)</f>
        <v/>
      </c>
      <c r="AKU1">
        <f>IFERROR(IF((ISBLANK(VLOOKUP(AKU7,#REF!,4,FALSE)))=TRUE,VLOOKUP(AKU7,#REF!,3,FALSE),VLOOKUP(AKU7,#REF!,4,FALSE)),0)</f>
        <v/>
      </c>
      <c r="AKV1">
        <f>IFERROR(IF((ISBLANK(VLOOKUP(AKV7,#REF!,4,FALSE)))=TRUE,VLOOKUP(AKV7,#REF!,3,FALSE),VLOOKUP(AKV7,#REF!,4,FALSE)),0)</f>
        <v/>
      </c>
      <c r="AKW1">
        <f>IFERROR(IF((ISBLANK(VLOOKUP(AKW7,#REF!,4,FALSE)))=TRUE,VLOOKUP(AKW7,#REF!,3,FALSE),VLOOKUP(AKW7,#REF!,4,FALSE)),0)</f>
        <v/>
      </c>
      <c r="AKX1">
        <f>IFERROR(IF((ISBLANK(VLOOKUP(AKX7,#REF!,4,FALSE)))=TRUE,VLOOKUP(AKX7,#REF!,3,FALSE),VLOOKUP(AKX7,#REF!,4,FALSE)),0)</f>
        <v/>
      </c>
      <c r="AKY1">
        <f>IFERROR(IF((ISBLANK(VLOOKUP(AKY7,#REF!,4,FALSE)))=TRUE,VLOOKUP(AKY7,#REF!,3,FALSE),VLOOKUP(AKY7,#REF!,4,FALSE)),0)</f>
        <v/>
      </c>
      <c r="AKZ1">
        <f>IFERROR(IF((ISBLANK(VLOOKUP(AKZ7,#REF!,4,FALSE)))=TRUE,VLOOKUP(AKZ7,#REF!,3,FALSE),VLOOKUP(AKZ7,#REF!,4,FALSE)),0)</f>
        <v/>
      </c>
      <c r="ALA1">
        <f>IFERROR(IF((ISBLANK(VLOOKUP(ALA7,#REF!,4,FALSE)))=TRUE,VLOOKUP(ALA7,#REF!,3,FALSE),VLOOKUP(ALA7,#REF!,4,FALSE)),0)</f>
        <v/>
      </c>
      <c r="ALB1">
        <f>IFERROR(IF((ISBLANK(VLOOKUP(ALB7,#REF!,4,FALSE)))=TRUE,VLOOKUP(ALB7,#REF!,3,FALSE),VLOOKUP(ALB7,#REF!,4,FALSE)),0)</f>
        <v/>
      </c>
      <c r="ALC1">
        <f>IFERROR(IF((ISBLANK(VLOOKUP(ALC7,#REF!,4,FALSE)))=TRUE,VLOOKUP(ALC7,#REF!,3,FALSE),VLOOKUP(ALC7,#REF!,4,FALSE)),0)</f>
        <v/>
      </c>
      <c r="ALD1">
        <f>IFERROR(IF((ISBLANK(VLOOKUP(ALD7,#REF!,4,FALSE)))=TRUE,VLOOKUP(ALD7,#REF!,3,FALSE),VLOOKUP(ALD7,#REF!,4,FALSE)),0)</f>
        <v/>
      </c>
      <c r="ALE1">
        <f>IFERROR(IF((ISBLANK(VLOOKUP(ALE7,#REF!,4,FALSE)))=TRUE,VLOOKUP(ALE7,#REF!,3,FALSE),VLOOKUP(ALE7,#REF!,4,FALSE)),0)</f>
        <v/>
      </c>
      <c r="ALF1">
        <f>IFERROR(IF((ISBLANK(VLOOKUP(ALF7,#REF!,4,FALSE)))=TRUE,VLOOKUP(ALF7,#REF!,3,FALSE),VLOOKUP(ALF7,#REF!,4,FALSE)),0)</f>
        <v/>
      </c>
      <c r="ALG1">
        <f>IFERROR(IF((ISBLANK(VLOOKUP(ALG7,#REF!,4,FALSE)))=TRUE,VLOOKUP(ALG7,#REF!,3,FALSE),VLOOKUP(ALG7,#REF!,4,FALSE)),0)</f>
        <v/>
      </c>
      <c r="ALH1">
        <f>IFERROR(IF((ISBLANK(VLOOKUP(ALH7,#REF!,4,FALSE)))=TRUE,VLOOKUP(ALH7,#REF!,3,FALSE),VLOOKUP(ALH7,#REF!,4,FALSE)),0)</f>
        <v/>
      </c>
      <c r="ALI1">
        <f>IFERROR(IF((ISBLANK(VLOOKUP(ALI7,#REF!,4,FALSE)))=TRUE,VLOOKUP(ALI7,#REF!,3,FALSE),VLOOKUP(ALI7,#REF!,4,FALSE)),0)</f>
        <v/>
      </c>
      <c r="ALJ1">
        <f>IFERROR(IF((ISBLANK(VLOOKUP(ALJ7,#REF!,4,FALSE)))=TRUE,VLOOKUP(ALJ7,#REF!,3,FALSE),VLOOKUP(ALJ7,#REF!,4,FALSE)),0)</f>
        <v/>
      </c>
      <c r="ALK1">
        <f>IFERROR(IF((ISBLANK(VLOOKUP(ALK7,#REF!,4,FALSE)))=TRUE,VLOOKUP(ALK7,#REF!,3,FALSE),VLOOKUP(ALK7,#REF!,4,FALSE)),0)</f>
        <v/>
      </c>
      <c r="ALL1">
        <f>IFERROR(IF((ISBLANK(VLOOKUP(ALL7,#REF!,4,FALSE)))=TRUE,VLOOKUP(ALL7,#REF!,3,FALSE),VLOOKUP(ALL7,#REF!,4,FALSE)),0)</f>
        <v/>
      </c>
      <c r="ALM1">
        <f>IFERROR(IF((ISBLANK(VLOOKUP(ALM7,#REF!,4,FALSE)))=TRUE,VLOOKUP(ALM7,#REF!,3,FALSE),VLOOKUP(ALM7,#REF!,4,FALSE)),0)</f>
        <v/>
      </c>
      <c r="ALN1">
        <f>IFERROR(IF((ISBLANK(VLOOKUP(ALN7,#REF!,4,FALSE)))=TRUE,VLOOKUP(ALN7,#REF!,3,FALSE),VLOOKUP(ALN7,#REF!,4,FALSE)),0)</f>
        <v/>
      </c>
      <c r="ALO1">
        <f>IFERROR(IF((ISBLANK(VLOOKUP(ALO7,#REF!,4,FALSE)))=TRUE,VLOOKUP(ALO7,#REF!,3,FALSE),VLOOKUP(ALO7,#REF!,4,FALSE)),0)</f>
        <v/>
      </c>
      <c r="ALP1">
        <f>IFERROR(IF((ISBLANK(VLOOKUP(ALP7,#REF!,4,FALSE)))=TRUE,VLOOKUP(ALP7,#REF!,3,FALSE),VLOOKUP(ALP7,#REF!,4,FALSE)),0)</f>
        <v/>
      </c>
      <c r="ALQ1">
        <f>IFERROR(IF((ISBLANK(VLOOKUP(ALQ7,#REF!,4,FALSE)))=TRUE,VLOOKUP(ALQ7,#REF!,3,FALSE),VLOOKUP(ALQ7,#REF!,4,FALSE)),0)</f>
        <v/>
      </c>
      <c r="ALR1">
        <f>IFERROR(IF((ISBLANK(VLOOKUP(ALR7,#REF!,4,FALSE)))=TRUE,VLOOKUP(ALR7,#REF!,3,FALSE),VLOOKUP(ALR7,#REF!,4,FALSE)),0)</f>
        <v/>
      </c>
      <c r="ALS1">
        <f>IFERROR(IF((ISBLANK(VLOOKUP(ALS7,#REF!,4,FALSE)))=TRUE,VLOOKUP(ALS7,#REF!,3,FALSE),VLOOKUP(ALS7,#REF!,4,FALSE)),0)</f>
        <v/>
      </c>
      <c r="ALT1">
        <f>IFERROR(IF((ISBLANK(VLOOKUP(ALT7,#REF!,4,FALSE)))=TRUE,VLOOKUP(ALT7,#REF!,3,FALSE),VLOOKUP(ALT7,#REF!,4,FALSE)),0)</f>
        <v/>
      </c>
      <c r="ALU1">
        <f>IFERROR(IF((ISBLANK(VLOOKUP(ALU7,#REF!,4,FALSE)))=TRUE,VLOOKUP(ALU7,#REF!,3,FALSE),VLOOKUP(ALU7,#REF!,4,FALSE)),0)</f>
        <v/>
      </c>
      <c r="ALV1">
        <f>IFERROR(IF((ISBLANK(VLOOKUP(ALV7,#REF!,4,FALSE)))=TRUE,VLOOKUP(ALV7,#REF!,3,FALSE),VLOOKUP(ALV7,#REF!,4,FALSE)),0)</f>
        <v/>
      </c>
      <c r="ALW1">
        <f>IFERROR(IF((ISBLANK(VLOOKUP(ALW7,#REF!,4,FALSE)))=TRUE,VLOOKUP(ALW7,#REF!,3,FALSE),VLOOKUP(ALW7,#REF!,4,FALSE)),0)</f>
        <v/>
      </c>
      <c r="ALX1">
        <f>IFERROR(IF((ISBLANK(VLOOKUP(ALX7,#REF!,4,FALSE)))=TRUE,VLOOKUP(ALX7,#REF!,3,FALSE),VLOOKUP(ALX7,#REF!,4,FALSE)),0)</f>
        <v/>
      </c>
      <c r="ALY1">
        <f>IFERROR(IF((ISBLANK(VLOOKUP(ALY7,#REF!,4,FALSE)))=TRUE,VLOOKUP(ALY7,#REF!,3,FALSE),VLOOKUP(ALY7,#REF!,4,FALSE)),0)</f>
        <v/>
      </c>
      <c r="ALZ1">
        <f>IFERROR(IF((ISBLANK(VLOOKUP(ALZ7,#REF!,4,FALSE)))=TRUE,VLOOKUP(ALZ7,#REF!,3,FALSE),VLOOKUP(ALZ7,#REF!,4,FALSE)),0)</f>
        <v/>
      </c>
      <c r="AMA1">
        <f>IFERROR(IF((ISBLANK(VLOOKUP(AMA7,#REF!,4,FALSE)))=TRUE,VLOOKUP(AMA7,#REF!,3,FALSE),VLOOKUP(AMA7,#REF!,4,FALSE)),0)</f>
        <v/>
      </c>
      <c r="AMB1">
        <f>IFERROR(IF((ISBLANK(VLOOKUP(AMB7,#REF!,4,FALSE)))=TRUE,VLOOKUP(AMB7,#REF!,3,FALSE),VLOOKUP(AMB7,#REF!,4,FALSE)),0)</f>
        <v/>
      </c>
      <c r="AMC1">
        <f>IFERROR(IF((ISBLANK(VLOOKUP(AMC7,#REF!,4,FALSE)))=TRUE,VLOOKUP(AMC7,#REF!,3,FALSE),VLOOKUP(AMC7,#REF!,4,FALSE)),0)</f>
        <v/>
      </c>
      <c r="AMD1">
        <f>IFERROR(IF((ISBLANK(VLOOKUP(AMD7,#REF!,4,FALSE)))=TRUE,VLOOKUP(AMD7,#REF!,3,FALSE),VLOOKUP(AMD7,#REF!,4,FALSE)),0)</f>
        <v/>
      </c>
      <c r="AME1">
        <f>IFERROR(IF((ISBLANK(VLOOKUP(AME7,#REF!,4,FALSE)))=TRUE,VLOOKUP(AME7,#REF!,3,FALSE),VLOOKUP(AME7,#REF!,4,FALSE)),0)</f>
        <v/>
      </c>
      <c r="AMF1">
        <f>IFERROR(IF((ISBLANK(VLOOKUP(AMF7,#REF!,4,FALSE)))=TRUE,VLOOKUP(AMF7,#REF!,3,FALSE),VLOOKUP(AMF7,#REF!,4,FALSE)),0)</f>
        <v/>
      </c>
      <c r="AMG1">
        <f>IFERROR(IF((ISBLANK(VLOOKUP(AMG7,#REF!,4,FALSE)))=TRUE,VLOOKUP(AMG7,#REF!,3,FALSE),VLOOKUP(AMG7,#REF!,4,FALSE)),0)</f>
        <v/>
      </c>
      <c r="AMH1">
        <f>IFERROR(IF((ISBLANK(VLOOKUP(AMH7,#REF!,4,FALSE)))=TRUE,VLOOKUP(AMH7,#REF!,3,FALSE),VLOOKUP(AMH7,#REF!,4,FALSE)),0)</f>
        <v/>
      </c>
      <c r="AMI1">
        <f>IFERROR(IF((ISBLANK(VLOOKUP(AMI7,#REF!,4,FALSE)))=TRUE,VLOOKUP(AMI7,#REF!,3,FALSE),VLOOKUP(AMI7,#REF!,4,FALSE)),0)</f>
        <v/>
      </c>
      <c r="AMJ1">
        <f>IFERROR(IF((ISBLANK(VLOOKUP(AMJ7,#REF!,4,FALSE)))=TRUE,VLOOKUP(AMJ7,#REF!,3,FALSE),VLOOKUP(AMJ7,#REF!,4,FALSE)),0)</f>
        <v/>
      </c>
      <c r="AMK1">
        <f>IFERROR(IF((ISBLANK(VLOOKUP(AMK7,#REF!,4,FALSE)))=TRUE,VLOOKUP(AMK7,#REF!,3,FALSE),VLOOKUP(AMK7,#REF!,4,FALSE)),0)</f>
        <v/>
      </c>
      <c r="AML1">
        <f>IFERROR(IF((ISBLANK(VLOOKUP(AML7,#REF!,4,FALSE)))=TRUE,VLOOKUP(AML7,#REF!,3,FALSE),VLOOKUP(AML7,#REF!,4,FALSE)),0)</f>
        <v/>
      </c>
      <c r="AMM1">
        <f>IFERROR(IF((ISBLANK(VLOOKUP(AMM7,#REF!,4,FALSE)))=TRUE,VLOOKUP(AMM7,#REF!,3,FALSE),VLOOKUP(AMM7,#REF!,4,FALSE)),0)</f>
        <v/>
      </c>
      <c r="AMN1">
        <f>IFERROR(IF((ISBLANK(VLOOKUP(AMN7,#REF!,4,FALSE)))=TRUE,VLOOKUP(AMN7,#REF!,3,FALSE),VLOOKUP(AMN7,#REF!,4,FALSE)),0)</f>
        <v/>
      </c>
      <c r="AMO1">
        <f>IFERROR(IF((ISBLANK(VLOOKUP(AMO7,#REF!,4,FALSE)))=TRUE,VLOOKUP(AMO7,#REF!,3,FALSE),VLOOKUP(AMO7,#REF!,4,FALSE)),0)</f>
        <v/>
      </c>
      <c r="AMP1">
        <f>IFERROR(IF((ISBLANK(VLOOKUP(AMP7,#REF!,4,FALSE)))=TRUE,VLOOKUP(AMP7,#REF!,3,FALSE),VLOOKUP(AMP7,#REF!,4,FALSE)),0)</f>
        <v/>
      </c>
      <c r="AMQ1">
        <f>IFERROR(IF((ISBLANK(VLOOKUP(AMQ7,#REF!,4,FALSE)))=TRUE,VLOOKUP(AMQ7,#REF!,3,FALSE),VLOOKUP(AMQ7,#REF!,4,FALSE)),0)</f>
        <v/>
      </c>
      <c r="AMR1">
        <f>IFERROR(IF((ISBLANK(VLOOKUP(AMR7,#REF!,4,FALSE)))=TRUE,VLOOKUP(AMR7,#REF!,3,FALSE),VLOOKUP(AMR7,#REF!,4,FALSE)),0)</f>
        <v/>
      </c>
      <c r="AMS1">
        <f>IFERROR(IF((ISBLANK(VLOOKUP(AMS7,#REF!,4,FALSE)))=TRUE,VLOOKUP(AMS7,#REF!,3,FALSE),VLOOKUP(AMS7,#REF!,4,FALSE)),0)</f>
        <v/>
      </c>
      <c r="AMT1">
        <f>IFERROR(IF((ISBLANK(VLOOKUP(AMT7,#REF!,4,FALSE)))=TRUE,VLOOKUP(AMT7,#REF!,3,FALSE),VLOOKUP(AMT7,#REF!,4,FALSE)),0)</f>
        <v/>
      </c>
      <c r="AMU1">
        <f>IFERROR(IF((ISBLANK(VLOOKUP(AMU7,#REF!,4,FALSE)))=TRUE,VLOOKUP(AMU7,#REF!,3,FALSE),VLOOKUP(AMU7,#REF!,4,FALSE)),0)</f>
        <v/>
      </c>
      <c r="AMV1">
        <f>IFERROR(IF((ISBLANK(VLOOKUP(AMV7,#REF!,4,FALSE)))=TRUE,VLOOKUP(AMV7,#REF!,3,FALSE),VLOOKUP(AMV7,#REF!,4,FALSE)),0)</f>
        <v/>
      </c>
      <c r="AMW1">
        <f>IFERROR(IF((ISBLANK(VLOOKUP(AMW7,#REF!,4,FALSE)))=TRUE,VLOOKUP(AMW7,#REF!,3,FALSE),VLOOKUP(AMW7,#REF!,4,FALSE)),0)</f>
        <v/>
      </c>
      <c r="AMX1">
        <f>IFERROR(IF((ISBLANK(VLOOKUP(AMX7,#REF!,4,FALSE)))=TRUE,VLOOKUP(AMX7,#REF!,3,FALSE),VLOOKUP(AMX7,#REF!,4,FALSE)),0)</f>
        <v/>
      </c>
      <c r="AMY1">
        <f>IFERROR(IF((ISBLANK(VLOOKUP(AMY7,#REF!,4,FALSE)))=TRUE,VLOOKUP(AMY7,#REF!,3,FALSE),VLOOKUP(AMY7,#REF!,4,FALSE)),0)</f>
        <v/>
      </c>
      <c r="AMZ1">
        <f>IFERROR(IF((ISBLANK(VLOOKUP(AMZ7,#REF!,4,FALSE)))=TRUE,VLOOKUP(AMZ7,#REF!,3,FALSE),VLOOKUP(AMZ7,#REF!,4,FALSE)),0)</f>
        <v/>
      </c>
      <c r="ANA1">
        <f>IFERROR(IF((ISBLANK(VLOOKUP(ANA7,#REF!,4,FALSE)))=TRUE,VLOOKUP(ANA7,#REF!,3,FALSE),VLOOKUP(ANA7,#REF!,4,FALSE)),0)</f>
        <v/>
      </c>
      <c r="ANB1">
        <f>IFERROR(IF((ISBLANK(VLOOKUP(ANB7,#REF!,4,FALSE)))=TRUE,VLOOKUP(ANB7,#REF!,3,FALSE),VLOOKUP(ANB7,#REF!,4,FALSE)),0)</f>
        <v/>
      </c>
      <c r="ANC1">
        <f>IFERROR(IF((ISBLANK(VLOOKUP(ANC7,#REF!,4,FALSE)))=TRUE,VLOOKUP(ANC7,#REF!,3,FALSE),VLOOKUP(ANC7,#REF!,4,FALSE)),0)</f>
        <v/>
      </c>
      <c r="AND1">
        <f>IFERROR(IF((ISBLANK(VLOOKUP(AND7,#REF!,4,FALSE)))=TRUE,VLOOKUP(AND7,#REF!,3,FALSE),VLOOKUP(AND7,#REF!,4,FALSE)),0)</f>
        <v/>
      </c>
      <c r="ANE1">
        <f>IFERROR(IF((ISBLANK(VLOOKUP(ANE7,#REF!,4,FALSE)))=TRUE,VLOOKUP(ANE7,#REF!,3,FALSE),VLOOKUP(ANE7,#REF!,4,FALSE)),0)</f>
        <v/>
      </c>
      <c r="ANF1">
        <f>IFERROR(IF((ISBLANK(VLOOKUP(ANF7,#REF!,4,FALSE)))=TRUE,VLOOKUP(ANF7,#REF!,3,FALSE),VLOOKUP(ANF7,#REF!,4,FALSE)),0)</f>
        <v/>
      </c>
      <c r="ANG1">
        <f>IFERROR(IF((ISBLANK(VLOOKUP(ANG7,#REF!,4,FALSE)))=TRUE,VLOOKUP(ANG7,#REF!,3,FALSE),VLOOKUP(ANG7,#REF!,4,FALSE)),0)</f>
        <v/>
      </c>
      <c r="ANH1">
        <f>IFERROR(IF((ISBLANK(VLOOKUP(ANH7,#REF!,4,FALSE)))=TRUE,VLOOKUP(ANH7,#REF!,3,FALSE),VLOOKUP(ANH7,#REF!,4,FALSE)),0)</f>
        <v/>
      </c>
      <c r="ANI1">
        <f>IFERROR(IF((ISBLANK(VLOOKUP(ANI7,#REF!,4,FALSE)))=TRUE,VLOOKUP(ANI7,#REF!,3,FALSE),VLOOKUP(ANI7,#REF!,4,FALSE)),0)</f>
        <v/>
      </c>
      <c r="ANJ1">
        <f>IFERROR(IF((ISBLANK(VLOOKUP(ANJ7,#REF!,4,FALSE)))=TRUE,VLOOKUP(ANJ7,#REF!,3,FALSE),VLOOKUP(ANJ7,#REF!,4,FALSE)),0)</f>
        <v/>
      </c>
      <c r="ANK1">
        <f>IFERROR(IF((ISBLANK(VLOOKUP(ANK7,#REF!,4,FALSE)))=TRUE,VLOOKUP(ANK7,#REF!,3,FALSE),VLOOKUP(ANK7,#REF!,4,FALSE)),0)</f>
        <v/>
      </c>
      <c r="ANL1">
        <f>IFERROR(IF((ISBLANK(VLOOKUP(ANL7,#REF!,4,FALSE)))=TRUE,VLOOKUP(ANL7,#REF!,3,FALSE),VLOOKUP(ANL7,#REF!,4,FALSE)),0)</f>
        <v/>
      </c>
      <c r="ANM1">
        <f>IFERROR(IF((ISBLANK(VLOOKUP(ANM7,#REF!,4,FALSE)))=TRUE,VLOOKUP(ANM7,#REF!,3,FALSE),VLOOKUP(ANM7,#REF!,4,FALSE)),0)</f>
        <v/>
      </c>
      <c r="ANN1">
        <f>IFERROR(IF((ISBLANK(VLOOKUP(ANN7,#REF!,4,FALSE)))=TRUE,VLOOKUP(ANN7,#REF!,3,FALSE),VLOOKUP(ANN7,#REF!,4,FALSE)),0)</f>
        <v/>
      </c>
      <c r="ANO1">
        <f>IFERROR(IF((ISBLANK(VLOOKUP(ANO7,#REF!,4,FALSE)))=TRUE,VLOOKUP(ANO7,#REF!,3,FALSE),VLOOKUP(ANO7,#REF!,4,FALSE)),0)</f>
        <v/>
      </c>
      <c r="ANP1">
        <f>IFERROR(IF((ISBLANK(VLOOKUP(ANP7,#REF!,4,FALSE)))=TRUE,VLOOKUP(ANP7,#REF!,3,FALSE),VLOOKUP(ANP7,#REF!,4,FALSE)),0)</f>
        <v/>
      </c>
      <c r="ANQ1">
        <f>IFERROR(IF((ISBLANK(VLOOKUP(ANQ7,#REF!,4,FALSE)))=TRUE,VLOOKUP(ANQ7,#REF!,3,FALSE),VLOOKUP(ANQ7,#REF!,4,FALSE)),0)</f>
        <v/>
      </c>
      <c r="ANR1">
        <f>IFERROR(IF((ISBLANK(VLOOKUP(ANR7,#REF!,4,FALSE)))=TRUE,VLOOKUP(ANR7,#REF!,3,FALSE),VLOOKUP(ANR7,#REF!,4,FALSE)),0)</f>
        <v/>
      </c>
      <c r="ANS1">
        <f>IFERROR(IF((ISBLANK(VLOOKUP(ANS7,#REF!,4,FALSE)))=TRUE,VLOOKUP(ANS7,#REF!,3,FALSE),VLOOKUP(ANS7,#REF!,4,FALSE)),0)</f>
        <v/>
      </c>
      <c r="ANT1">
        <f>IFERROR(IF((ISBLANK(VLOOKUP(ANT7,#REF!,4,FALSE)))=TRUE,VLOOKUP(ANT7,#REF!,3,FALSE),VLOOKUP(ANT7,#REF!,4,FALSE)),0)</f>
        <v/>
      </c>
      <c r="ANU1">
        <f>IFERROR(IF((ISBLANK(VLOOKUP(ANU7,#REF!,4,FALSE)))=TRUE,VLOOKUP(ANU7,#REF!,3,FALSE),VLOOKUP(ANU7,#REF!,4,FALSE)),0)</f>
        <v/>
      </c>
      <c r="ANV1">
        <f>IFERROR(IF((ISBLANK(VLOOKUP(ANV7,#REF!,4,FALSE)))=TRUE,VLOOKUP(ANV7,#REF!,3,FALSE),VLOOKUP(ANV7,#REF!,4,FALSE)),0)</f>
        <v/>
      </c>
      <c r="ANW1">
        <f>IFERROR(IF((ISBLANK(VLOOKUP(ANW7,#REF!,4,FALSE)))=TRUE,VLOOKUP(ANW7,#REF!,3,FALSE),VLOOKUP(ANW7,#REF!,4,FALSE)),0)</f>
        <v/>
      </c>
      <c r="ANX1">
        <f>IFERROR(IF((ISBLANK(VLOOKUP(ANX7,#REF!,4,FALSE)))=TRUE,VLOOKUP(ANX7,#REF!,3,FALSE),VLOOKUP(ANX7,#REF!,4,FALSE)),0)</f>
        <v/>
      </c>
      <c r="ANY1">
        <f>IFERROR(IF((ISBLANK(VLOOKUP(ANY7,#REF!,4,FALSE)))=TRUE,VLOOKUP(ANY7,#REF!,3,FALSE),VLOOKUP(ANY7,#REF!,4,FALSE)),0)</f>
        <v/>
      </c>
      <c r="ANZ1">
        <f>IFERROR(IF((ISBLANK(VLOOKUP(ANZ7,#REF!,4,FALSE)))=TRUE,VLOOKUP(ANZ7,#REF!,3,FALSE),VLOOKUP(ANZ7,#REF!,4,FALSE)),0)</f>
        <v/>
      </c>
      <c r="AOA1">
        <f>IFERROR(IF((ISBLANK(VLOOKUP(AOA7,#REF!,4,FALSE)))=TRUE,VLOOKUP(AOA7,#REF!,3,FALSE),VLOOKUP(AOA7,#REF!,4,FALSE)),0)</f>
        <v/>
      </c>
      <c r="AOB1">
        <f>IFERROR(IF((ISBLANK(VLOOKUP(AOB7,#REF!,4,FALSE)))=TRUE,VLOOKUP(AOB7,#REF!,3,FALSE),VLOOKUP(AOB7,#REF!,4,FALSE)),0)</f>
        <v/>
      </c>
      <c r="AOC1">
        <f>IFERROR(IF((ISBLANK(VLOOKUP(AOC7,#REF!,4,FALSE)))=TRUE,VLOOKUP(AOC7,#REF!,3,FALSE),VLOOKUP(AOC7,#REF!,4,FALSE)),0)</f>
        <v/>
      </c>
      <c r="AOD1">
        <f>IFERROR(IF((ISBLANK(VLOOKUP(AOD7,#REF!,4,FALSE)))=TRUE,VLOOKUP(AOD7,#REF!,3,FALSE),VLOOKUP(AOD7,#REF!,4,FALSE)),0)</f>
        <v/>
      </c>
      <c r="AOE1">
        <f>IFERROR(IF((ISBLANK(VLOOKUP(AOE7,#REF!,4,FALSE)))=TRUE,VLOOKUP(AOE7,#REF!,3,FALSE),VLOOKUP(AOE7,#REF!,4,FALSE)),0)</f>
        <v/>
      </c>
      <c r="AOF1">
        <f>IFERROR(IF((ISBLANK(VLOOKUP(AOF7,#REF!,4,FALSE)))=TRUE,VLOOKUP(AOF7,#REF!,3,FALSE),VLOOKUP(AOF7,#REF!,4,FALSE)),0)</f>
        <v/>
      </c>
      <c r="AOG1">
        <f>IFERROR(IF((ISBLANK(VLOOKUP(AOG7,#REF!,4,FALSE)))=TRUE,VLOOKUP(AOG7,#REF!,3,FALSE),VLOOKUP(AOG7,#REF!,4,FALSE)),0)</f>
        <v/>
      </c>
      <c r="AOH1">
        <f>IFERROR(IF((ISBLANK(VLOOKUP(AOH7,#REF!,4,FALSE)))=TRUE,VLOOKUP(AOH7,#REF!,3,FALSE),VLOOKUP(AOH7,#REF!,4,FALSE)),0)</f>
        <v/>
      </c>
      <c r="AOI1">
        <f>IFERROR(IF((ISBLANK(VLOOKUP(AOI7,#REF!,4,FALSE)))=TRUE,VLOOKUP(AOI7,#REF!,3,FALSE),VLOOKUP(AOI7,#REF!,4,FALSE)),0)</f>
        <v/>
      </c>
      <c r="AOJ1">
        <f>IFERROR(IF((ISBLANK(VLOOKUP(AOJ7,#REF!,4,FALSE)))=TRUE,VLOOKUP(AOJ7,#REF!,3,FALSE),VLOOKUP(AOJ7,#REF!,4,FALSE)),0)</f>
        <v/>
      </c>
      <c r="AOK1">
        <f>IFERROR(IF((ISBLANK(VLOOKUP(AOK7,#REF!,4,FALSE)))=TRUE,VLOOKUP(AOK7,#REF!,3,FALSE),VLOOKUP(AOK7,#REF!,4,FALSE)),0)</f>
        <v/>
      </c>
      <c r="AOL1">
        <f>IFERROR(IF((ISBLANK(VLOOKUP(AOL7,#REF!,4,FALSE)))=TRUE,VLOOKUP(AOL7,#REF!,3,FALSE),VLOOKUP(AOL7,#REF!,4,FALSE)),0)</f>
        <v/>
      </c>
      <c r="AOM1">
        <f>IFERROR(IF((ISBLANK(VLOOKUP(AOM7,#REF!,4,FALSE)))=TRUE,VLOOKUP(AOM7,#REF!,3,FALSE),VLOOKUP(AOM7,#REF!,4,FALSE)),0)</f>
        <v/>
      </c>
      <c r="AON1">
        <f>IFERROR(IF((ISBLANK(VLOOKUP(AON7,#REF!,4,FALSE)))=TRUE,VLOOKUP(AON7,#REF!,3,FALSE),VLOOKUP(AON7,#REF!,4,FALSE)),0)</f>
        <v/>
      </c>
      <c r="AOO1">
        <f>IFERROR(IF((ISBLANK(VLOOKUP(AOO7,#REF!,4,FALSE)))=TRUE,VLOOKUP(AOO7,#REF!,3,FALSE),VLOOKUP(AOO7,#REF!,4,FALSE)),0)</f>
        <v/>
      </c>
      <c r="AOP1">
        <f>IFERROR(IF((ISBLANK(VLOOKUP(AOP7,#REF!,4,FALSE)))=TRUE,VLOOKUP(AOP7,#REF!,3,FALSE),VLOOKUP(AOP7,#REF!,4,FALSE)),0)</f>
        <v/>
      </c>
      <c r="AOQ1">
        <f>IFERROR(IF((ISBLANK(VLOOKUP(AOQ7,#REF!,4,FALSE)))=TRUE,VLOOKUP(AOQ7,#REF!,3,FALSE),VLOOKUP(AOQ7,#REF!,4,FALSE)),0)</f>
        <v/>
      </c>
      <c r="AOR1">
        <f>IFERROR(IF((ISBLANK(VLOOKUP(AOR7,#REF!,4,FALSE)))=TRUE,VLOOKUP(AOR7,#REF!,3,FALSE),VLOOKUP(AOR7,#REF!,4,FALSE)),0)</f>
        <v/>
      </c>
      <c r="AOS1">
        <f>IFERROR(IF((ISBLANK(VLOOKUP(AOS7,#REF!,4,FALSE)))=TRUE,VLOOKUP(AOS7,#REF!,3,FALSE),VLOOKUP(AOS7,#REF!,4,FALSE)),0)</f>
        <v/>
      </c>
      <c r="AOT1">
        <f>IFERROR(IF((ISBLANK(VLOOKUP(AOT7,#REF!,4,FALSE)))=TRUE,VLOOKUP(AOT7,#REF!,3,FALSE),VLOOKUP(AOT7,#REF!,4,FALSE)),0)</f>
        <v/>
      </c>
      <c r="AOU1">
        <f>IFERROR(IF((ISBLANK(VLOOKUP(AOU7,#REF!,4,FALSE)))=TRUE,VLOOKUP(AOU7,#REF!,3,FALSE),VLOOKUP(AOU7,#REF!,4,FALSE)),0)</f>
        <v/>
      </c>
      <c r="AOV1">
        <f>IFERROR(IF((ISBLANK(VLOOKUP(AOV7,#REF!,4,FALSE)))=TRUE,VLOOKUP(AOV7,#REF!,3,FALSE),VLOOKUP(AOV7,#REF!,4,FALSE)),0)</f>
        <v/>
      </c>
      <c r="AOW1">
        <f>IFERROR(IF((ISBLANK(VLOOKUP(AOW7,#REF!,4,FALSE)))=TRUE,VLOOKUP(AOW7,#REF!,3,FALSE),VLOOKUP(AOW7,#REF!,4,FALSE)),0)</f>
        <v/>
      </c>
      <c r="AOX1">
        <f>IFERROR(IF((ISBLANK(VLOOKUP(AOX7,#REF!,4,FALSE)))=TRUE,VLOOKUP(AOX7,#REF!,3,FALSE),VLOOKUP(AOX7,#REF!,4,FALSE)),0)</f>
        <v/>
      </c>
      <c r="AOY1">
        <f>IFERROR(IF((ISBLANK(VLOOKUP(AOY7,#REF!,4,FALSE)))=TRUE,VLOOKUP(AOY7,#REF!,3,FALSE),VLOOKUP(AOY7,#REF!,4,FALSE)),0)</f>
        <v/>
      </c>
      <c r="AOZ1">
        <f>IFERROR(IF((ISBLANK(VLOOKUP(AOZ7,#REF!,4,FALSE)))=TRUE,VLOOKUP(AOZ7,#REF!,3,FALSE),VLOOKUP(AOZ7,#REF!,4,FALSE)),0)</f>
        <v/>
      </c>
      <c r="APA1">
        <f>IFERROR(IF((ISBLANK(VLOOKUP(APA7,#REF!,4,FALSE)))=TRUE,VLOOKUP(APA7,#REF!,3,FALSE),VLOOKUP(APA7,#REF!,4,FALSE)),0)</f>
        <v/>
      </c>
      <c r="APB1">
        <f>IFERROR(IF((ISBLANK(VLOOKUP(APB7,#REF!,4,FALSE)))=TRUE,VLOOKUP(APB7,#REF!,3,FALSE),VLOOKUP(APB7,#REF!,4,FALSE)),0)</f>
        <v/>
      </c>
      <c r="APC1">
        <f>IFERROR(IF((ISBLANK(VLOOKUP(APC7,#REF!,4,FALSE)))=TRUE,VLOOKUP(APC7,#REF!,3,FALSE),VLOOKUP(APC7,#REF!,4,FALSE)),0)</f>
        <v/>
      </c>
      <c r="APD1">
        <f>IFERROR(IF((ISBLANK(VLOOKUP(APD7,#REF!,4,FALSE)))=TRUE,VLOOKUP(APD7,#REF!,3,FALSE),VLOOKUP(APD7,#REF!,4,FALSE)),0)</f>
        <v/>
      </c>
      <c r="APE1">
        <f>IFERROR(IF((ISBLANK(VLOOKUP(APE7,#REF!,4,FALSE)))=TRUE,VLOOKUP(APE7,#REF!,3,FALSE),VLOOKUP(APE7,#REF!,4,FALSE)),0)</f>
        <v/>
      </c>
      <c r="APF1">
        <f>IFERROR(IF((ISBLANK(VLOOKUP(APF7,#REF!,4,FALSE)))=TRUE,VLOOKUP(APF7,#REF!,3,FALSE),VLOOKUP(APF7,#REF!,4,FALSE)),0)</f>
        <v/>
      </c>
      <c r="APG1">
        <f>IFERROR(IF((ISBLANK(VLOOKUP(APG7,#REF!,4,FALSE)))=TRUE,VLOOKUP(APG7,#REF!,3,FALSE),VLOOKUP(APG7,#REF!,4,FALSE)),0)</f>
        <v/>
      </c>
      <c r="APH1">
        <f>IFERROR(IF((ISBLANK(VLOOKUP(APH7,#REF!,4,FALSE)))=TRUE,VLOOKUP(APH7,#REF!,3,FALSE),VLOOKUP(APH7,#REF!,4,FALSE)),0)</f>
        <v/>
      </c>
      <c r="API1">
        <f>IFERROR(IF((ISBLANK(VLOOKUP(API7,#REF!,4,FALSE)))=TRUE,VLOOKUP(API7,#REF!,3,FALSE),VLOOKUP(API7,#REF!,4,FALSE)),0)</f>
        <v/>
      </c>
      <c r="APJ1">
        <f>IFERROR(IF((ISBLANK(VLOOKUP(APJ7,#REF!,4,FALSE)))=TRUE,VLOOKUP(APJ7,#REF!,3,FALSE),VLOOKUP(APJ7,#REF!,4,FALSE)),0)</f>
        <v/>
      </c>
      <c r="APK1">
        <f>IFERROR(IF((ISBLANK(VLOOKUP(APK7,#REF!,4,FALSE)))=TRUE,VLOOKUP(APK7,#REF!,3,FALSE),VLOOKUP(APK7,#REF!,4,FALSE)),0)</f>
        <v/>
      </c>
      <c r="APL1">
        <f>IFERROR(IF((ISBLANK(VLOOKUP(APL7,#REF!,4,FALSE)))=TRUE,VLOOKUP(APL7,#REF!,3,FALSE),VLOOKUP(APL7,#REF!,4,FALSE)),0)</f>
        <v/>
      </c>
      <c r="APM1">
        <f>IFERROR(IF((ISBLANK(VLOOKUP(APM7,#REF!,4,FALSE)))=TRUE,VLOOKUP(APM7,#REF!,3,FALSE),VLOOKUP(APM7,#REF!,4,FALSE)),0)</f>
        <v/>
      </c>
      <c r="APN1">
        <f>IFERROR(IF((ISBLANK(VLOOKUP(APN7,#REF!,4,FALSE)))=TRUE,VLOOKUP(APN7,#REF!,3,FALSE),VLOOKUP(APN7,#REF!,4,FALSE)),0)</f>
        <v/>
      </c>
      <c r="APO1">
        <f>IFERROR(IF((ISBLANK(VLOOKUP(APO7,#REF!,4,FALSE)))=TRUE,VLOOKUP(APO7,#REF!,3,FALSE),VLOOKUP(APO7,#REF!,4,FALSE)),0)</f>
        <v/>
      </c>
      <c r="APP1">
        <f>IFERROR(IF((ISBLANK(VLOOKUP(APP7,#REF!,4,FALSE)))=TRUE,VLOOKUP(APP7,#REF!,3,FALSE),VLOOKUP(APP7,#REF!,4,FALSE)),0)</f>
        <v/>
      </c>
      <c r="APQ1">
        <f>IFERROR(IF((ISBLANK(VLOOKUP(APQ7,#REF!,4,FALSE)))=TRUE,VLOOKUP(APQ7,#REF!,3,FALSE),VLOOKUP(APQ7,#REF!,4,FALSE)),0)</f>
        <v/>
      </c>
      <c r="APR1">
        <f>IFERROR(IF((ISBLANK(VLOOKUP(APR7,#REF!,4,FALSE)))=TRUE,VLOOKUP(APR7,#REF!,3,FALSE),VLOOKUP(APR7,#REF!,4,FALSE)),0)</f>
        <v/>
      </c>
      <c r="APS1">
        <f>IFERROR(IF((ISBLANK(VLOOKUP(APS7,#REF!,4,FALSE)))=TRUE,VLOOKUP(APS7,#REF!,3,FALSE),VLOOKUP(APS7,#REF!,4,FALSE)),0)</f>
        <v/>
      </c>
      <c r="APT1">
        <f>IFERROR(IF((ISBLANK(VLOOKUP(APT7,#REF!,4,FALSE)))=TRUE,VLOOKUP(APT7,#REF!,3,FALSE),VLOOKUP(APT7,#REF!,4,FALSE)),0)</f>
        <v/>
      </c>
      <c r="APU1">
        <f>IFERROR(IF((ISBLANK(VLOOKUP(APU7,#REF!,4,FALSE)))=TRUE,VLOOKUP(APU7,#REF!,3,FALSE),VLOOKUP(APU7,#REF!,4,FALSE)),0)</f>
        <v/>
      </c>
      <c r="APV1">
        <f>IFERROR(IF((ISBLANK(VLOOKUP(APV7,#REF!,4,FALSE)))=TRUE,VLOOKUP(APV7,#REF!,3,FALSE),VLOOKUP(APV7,#REF!,4,FALSE)),0)</f>
        <v/>
      </c>
      <c r="APW1">
        <f>IFERROR(IF((ISBLANK(VLOOKUP(APW7,#REF!,4,FALSE)))=TRUE,VLOOKUP(APW7,#REF!,3,FALSE),VLOOKUP(APW7,#REF!,4,FALSE)),0)</f>
        <v/>
      </c>
      <c r="APX1">
        <f>IFERROR(IF((ISBLANK(VLOOKUP(APX7,#REF!,4,FALSE)))=TRUE,VLOOKUP(APX7,#REF!,3,FALSE),VLOOKUP(APX7,#REF!,4,FALSE)),0)</f>
        <v/>
      </c>
      <c r="APY1">
        <f>IFERROR(IF((ISBLANK(VLOOKUP(APY7,#REF!,4,FALSE)))=TRUE,VLOOKUP(APY7,#REF!,3,FALSE),VLOOKUP(APY7,#REF!,4,FALSE)),0)</f>
        <v/>
      </c>
      <c r="APZ1">
        <f>IFERROR(IF((ISBLANK(VLOOKUP(APZ7,#REF!,4,FALSE)))=TRUE,VLOOKUP(APZ7,#REF!,3,FALSE),VLOOKUP(APZ7,#REF!,4,FALSE)),0)</f>
        <v/>
      </c>
      <c r="AQA1">
        <f>IFERROR(IF((ISBLANK(VLOOKUP(AQA7,#REF!,4,FALSE)))=TRUE,VLOOKUP(AQA7,#REF!,3,FALSE),VLOOKUP(AQA7,#REF!,4,FALSE)),0)</f>
        <v/>
      </c>
      <c r="AQB1">
        <f>IFERROR(IF((ISBLANK(VLOOKUP(AQB7,#REF!,4,FALSE)))=TRUE,VLOOKUP(AQB7,#REF!,3,FALSE),VLOOKUP(AQB7,#REF!,4,FALSE)),0)</f>
        <v/>
      </c>
      <c r="AQC1">
        <f>IFERROR(IF((ISBLANK(VLOOKUP(AQC7,#REF!,4,FALSE)))=TRUE,VLOOKUP(AQC7,#REF!,3,FALSE),VLOOKUP(AQC7,#REF!,4,FALSE)),0)</f>
        <v/>
      </c>
      <c r="AQD1">
        <f>IFERROR(IF((ISBLANK(VLOOKUP(AQD7,#REF!,4,FALSE)))=TRUE,VLOOKUP(AQD7,#REF!,3,FALSE),VLOOKUP(AQD7,#REF!,4,FALSE)),0)</f>
        <v/>
      </c>
      <c r="AQE1">
        <f>IFERROR(IF((ISBLANK(VLOOKUP(AQE7,#REF!,4,FALSE)))=TRUE,VLOOKUP(AQE7,#REF!,3,FALSE),VLOOKUP(AQE7,#REF!,4,FALSE)),0)</f>
        <v/>
      </c>
      <c r="AQF1">
        <f>IFERROR(IF((ISBLANK(VLOOKUP(AQF7,#REF!,4,FALSE)))=TRUE,VLOOKUP(AQF7,#REF!,3,FALSE),VLOOKUP(AQF7,#REF!,4,FALSE)),0)</f>
        <v/>
      </c>
      <c r="AQG1">
        <f>IFERROR(IF((ISBLANK(VLOOKUP(AQG7,#REF!,4,FALSE)))=TRUE,VLOOKUP(AQG7,#REF!,3,FALSE),VLOOKUP(AQG7,#REF!,4,FALSE)),0)</f>
        <v/>
      </c>
      <c r="AQH1">
        <f>IFERROR(IF((ISBLANK(VLOOKUP(AQH7,#REF!,4,FALSE)))=TRUE,VLOOKUP(AQH7,#REF!,3,FALSE),VLOOKUP(AQH7,#REF!,4,FALSE)),0)</f>
        <v/>
      </c>
      <c r="AQI1">
        <f>IFERROR(IF((ISBLANK(VLOOKUP(AQI7,#REF!,4,FALSE)))=TRUE,VLOOKUP(AQI7,#REF!,3,FALSE),VLOOKUP(AQI7,#REF!,4,FALSE)),0)</f>
        <v/>
      </c>
      <c r="AQJ1">
        <f>IFERROR(IF((ISBLANK(VLOOKUP(AQJ7,#REF!,4,FALSE)))=TRUE,VLOOKUP(AQJ7,#REF!,3,FALSE),VLOOKUP(AQJ7,#REF!,4,FALSE)),0)</f>
        <v/>
      </c>
      <c r="AQK1">
        <f>IFERROR(IF((ISBLANK(VLOOKUP(AQK7,#REF!,4,FALSE)))=TRUE,VLOOKUP(AQK7,#REF!,3,FALSE),VLOOKUP(AQK7,#REF!,4,FALSE)),0)</f>
        <v/>
      </c>
      <c r="AQL1">
        <f>IFERROR(IF((ISBLANK(VLOOKUP(AQL7,#REF!,4,FALSE)))=TRUE,VLOOKUP(AQL7,#REF!,3,FALSE),VLOOKUP(AQL7,#REF!,4,FALSE)),0)</f>
        <v/>
      </c>
      <c r="AQM1">
        <f>IFERROR(IF((ISBLANK(VLOOKUP(AQM7,#REF!,4,FALSE)))=TRUE,VLOOKUP(AQM7,#REF!,3,FALSE),VLOOKUP(AQM7,#REF!,4,FALSE)),0)</f>
        <v/>
      </c>
      <c r="AQN1">
        <f>IFERROR(IF((ISBLANK(VLOOKUP(AQN7,#REF!,4,FALSE)))=TRUE,VLOOKUP(AQN7,#REF!,3,FALSE),VLOOKUP(AQN7,#REF!,4,FALSE)),0)</f>
        <v/>
      </c>
      <c r="AQO1">
        <f>IFERROR(IF((ISBLANK(VLOOKUP(AQO7,#REF!,4,FALSE)))=TRUE,VLOOKUP(AQO7,#REF!,3,FALSE),VLOOKUP(AQO7,#REF!,4,FALSE)),0)</f>
        <v/>
      </c>
      <c r="AQP1">
        <f>IFERROR(IF((ISBLANK(VLOOKUP(AQP7,#REF!,4,FALSE)))=TRUE,VLOOKUP(AQP7,#REF!,3,FALSE),VLOOKUP(AQP7,#REF!,4,FALSE)),0)</f>
        <v/>
      </c>
      <c r="AQQ1">
        <f>IFERROR(IF((ISBLANK(VLOOKUP(AQQ7,#REF!,4,FALSE)))=TRUE,VLOOKUP(AQQ7,#REF!,3,FALSE),VLOOKUP(AQQ7,#REF!,4,FALSE)),0)</f>
        <v/>
      </c>
      <c r="AQR1">
        <f>IFERROR(IF((ISBLANK(VLOOKUP(AQR7,#REF!,4,FALSE)))=TRUE,VLOOKUP(AQR7,#REF!,3,FALSE),VLOOKUP(AQR7,#REF!,4,FALSE)),0)</f>
        <v/>
      </c>
      <c r="AQS1">
        <f>IFERROR(IF((ISBLANK(VLOOKUP(AQS7,#REF!,4,FALSE)))=TRUE,VLOOKUP(AQS7,#REF!,3,FALSE),VLOOKUP(AQS7,#REF!,4,FALSE)),0)</f>
        <v/>
      </c>
      <c r="AQT1">
        <f>IFERROR(IF((ISBLANK(VLOOKUP(AQT7,#REF!,4,FALSE)))=TRUE,VLOOKUP(AQT7,#REF!,3,FALSE),VLOOKUP(AQT7,#REF!,4,FALSE)),0)</f>
        <v/>
      </c>
      <c r="AQU1">
        <f>IFERROR(IF((ISBLANK(VLOOKUP(AQU7,#REF!,4,FALSE)))=TRUE,VLOOKUP(AQU7,#REF!,3,FALSE),VLOOKUP(AQU7,#REF!,4,FALSE)),0)</f>
        <v/>
      </c>
      <c r="AQV1">
        <f>IFERROR(IF((ISBLANK(VLOOKUP(AQV7,#REF!,4,FALSE)))=TRUE,VLOOKUP(AQV7,#REF!,3,FALSE),VLOOKUP(AQV7,#REF!,4,FALSE)),0)</f>
        <v/>
      </c>
      <c r="AQW1">
        <f>IFERROR(IF((ISBLANK(VLOOKUP(AQW7,#REF!,4,FALSE)))=TRUE,VLOOKUP(AQW7,#REF!,3,FALSE),VLOOKUP(AQW7,#REF!,4,FALSE)),0)</f>
        <v/>
      </c>
      <c r="AQX1">
        <f>IFERROR(IF((ISBLANK(VLOOKUP(AQX7,#REF!,4,FALSE)))=TRUE,VLOOKUP(AQX7,#REF!,3,FALSE),VLOOKUP(AQX7,#REF!,4,FALSE)),0)</f>
        <v/>
      </c>
      <c r="AQY1">
        <f>IFERROR(IF((ISBLANK(VLOOKUP(AQY7,#REF!,4,FALSE)))=TRUE,VLOOKUP(AQY7,#REF!,3,FALSE),VLOOKUP(AQY7,#REF!,4,FALSE)),0)</f>
        <v/>
      </c>
      <c r="AQZ1">
        <f>IFERROR(IF((ISBLANK(VLOOKUP(AQZ7,#REF!,4,FALSE)))=TRUE,VLOOKUP(AQZ7,#REF!,3,FALSE),VLOOKUP(AQZ7,#REF!,4,FALSE)),0)</f>
        <v/>
      </c>
      <c r="ARA1">
        <f>IFERROR(IF((ISBLANK(VLOOKUP(ARA7,#REF!,4,FALSE)))=TRUE,VLOOKUP(ARA7,#REF!,3,FALSE),VLOOKUP(ARA7,#REF!,4,FALSE)),0)</f>
        <v/>
      </c>
      <c r="ARB1">
        <f>IFERROR(IF((ISBLANK(VLOOKUP(ARB7,#REF!,4,FALSE)))=TRUE,VLOOKUP(ARB7,#REF!,3,FALSE),VLOOKUP(ARB7,#REF!,4,FALSE)),0)</f>
        <v/>
      </c>
      <c r="ARC1">
        <f>IFERROR(IF((ISBLANK(VLOOKUP(ARC7,#REF!,4,FALSE)))=TRUE,VLOOKUP(ARC7,#REF!,3,FALSE),VLOOKUP(ARC7,#REF!,4,FALSE)),0)</f>
        <v/>
      </c>
      <c r="ARD1">
        <f>IFERROR(IF((ISBLANK(VLOOKUP(ARD7,#REF!,4,FALSE)))=TRUE,VLOOKUP(ARD7,#REF!,3,FALSE),VLOOKUP(ARD7,#REF!,4,FALSE)),0)</f>
        <v/>
      </c>
      <c r="ARE1">
        <f>IFERROR(IF((ISBLANK(VLOOKUP(ARE7,#REF!,4,FALSE)))=TRUE,VLOOKUP(ARE7,#REF!,3,FALSE),VLOOKUP(ARE7,#REF!,4,FALSE)),0)</f>
        <v/>
      </c>
      <c r="ARF1">
        <f>IFERROR(IF((ISBLANK(VLOOKUP(ARF7,#REF!,4,FALSE)))=TRUE,VLOOKUP(ARF7,#REF!,3,FALSE),VLOOKUP(ARF7,#REF!,4,FALSE)),0)</f>
        <v/>
      </c>
      <c r="ARG1">
        <f>IFERROR(IF((ISBLANK(VLOOKUP(ARG7,#REF!,4,FALSE)))=TRUE,VLOOKUP(ARG7,#REF!,3,FALSE),VLOOKUP(ARG7,#REF!,4,FALSE)),0)</f>
        <v/>
      </c>
      <c r="ARH1">
        <f>IFERROR(IF((ISBLANK(VLOOKUP(ARH7,#REF!,4,FALSE)))=TRUE,VLOOKUP(ARH7,#REF!,3,FALSE),VLOOKUP(ARH7,#REF!,4,FALSE)),0)</f>
        <v/>
      </c>
      <c r="ARI1">
        <f>IFERROR(IF((ISBLANK(VLOOKUP(ARI7,#REF!,4,FALSE)))=TRUE,VLOOKUP(ARI7,#REF!,3,FALSE),VLOOKUP(ARI7,#REF!,4,FALSE)),0)</f>
        <v/>
      </c>
      <c r="ARJ1">
        <f>IFERROR(IF((ISBLANK(VLOOKUP(ARJ7,#REF!,4,FALSE)))=TRUE,VLOOKUP(ARJ7,#REF!,3,FALSE),VLOOKUP(ARJ7,#REF!,4,FALSE)),0)</f>
        <v/>
      </c>
      <c r="ARK1">
        <f>IFERROR(IF((ISBLANK(VLOOKUP(ARK7,#REF!,4,FALSE)))=TRUE,VLOOKUP(ARK7,#REF!,3,FALSE),VLOOKUP(ARK7,#REF!,4,FALSE)),0)</f>
        <v/>
      </c>
      <c r="ARL1">
        <f>IFERROR(IF((ISBLANK(VLOOKUP(ARL7,#REF!,4,FALSE)))=TRUE,VLOOKUP(ARL7,#REF!,3,FALSE),VLOOKUP(ARL7,#REF!,4,FALSE)),0)</f>
        <v/>
      </c>
      <c r="ARM1">
        <f>IFERROR(IF((ISBLANK(VLOOKUP(ARM7,#REF!,4,FALSE)))=TRUE,VLOOKUP(ARM7,#REF!,3,FALSE),VLOOKUP(ARM7,#REF!,4,FALSE)),0)</f>
        <v/>
      </c>
      <c r="ARN1">
        <f>IFERROR(IF((ISBLANK(VLOOKUP(ARN7,#REF!,4,FALSE)))=TRUE,VLOOKUP(ARN7,#REF!,3,FALSE),VLOOKUP(ARN7,#REF!,4,FALSE)),0)</f>
        <v/>
      </c>
      <c r="ARO1">
        <f>IFERROR(IF((ISBLANK(VLOOKUP(ARO7,#REF!,4,FALSE)))=TRUE,VLOOKUP(ARO7,#REF!,3,FALSE),VLOOKUP(ARO7,#REF!,4,FALSE)),0)</f>
        <v/>
      </c>
      <c r="ARP1">
        <f>IFERROR(IF((ISBLANK(VLOOKUP(ARP7,#REF!,4,FALSE)))=TRUE,VLOOKUP(ARP7,#REF!,3,FALSE),VLOOKUP(ARP7,#REF!,4,FALSE)),0)</f>
        <v/>
      </c>
      <c r="ARQ1">
        <f>IFERROR(IF((ISBLANK(VLOOKUP(ARQ7,#REF!,4,FALSE)))=TRUE,VLOOKUP(ARQ7,#REF!,3,FALSE),VLOOKUP(ARQ7,#REF!,4,FALSE)),0)</f>
        <v/>
      </c>
      <c r="ARR1">
        <f>IFERROR(IF((ISBLANK(VLOOKUP(ARR7,#REF!,4,FALSE)))=TRUE,VLOOKUP(ARR7,#REF!,3,FALSE),VLOOKUP(ARR7,#REF!,4,FALSE)),0)</f>
        <v/>
      </c>
      <c r="ARS1">
        <f>IFERROR(IF((ISBLANK(VLOOKUP(ARS7,#REF!,4,FALSE)))=TRUE,VLOOKUP(ARS7,#REF!,3,FALSE),VLOOKUP(ARS7,#REF!,4,FALSE)),0)</f>
        <v/>
      </c>
      <c r="ART1">
        <f>IFERROR(IF((ISBLANK(VLOOKUP(ART7,#REF!,4,FALSE)))=TRUE,VLOOKUP(ART7,#REF!,3,FALSE),VLOOKUP(ART7,#REF!,4,FALSE)),0)</f>
        <v/>
      </c>
      <c r="ARU1">
        <f>IFERROR(IF((ISBLANK(VLOOKUP(ARU7,#REF!,4,FALSE)))=TRUE,VLOOKUP(ARU7,#REF!,3,FALSE),VLOOKUP(ARU7,#REF!,4,FALSE)),0)</f>
        <v/>
      </c>
      <c r="ARV1">
        <f>IFERROR(IF((ISBLANK(VLOOKUP(ARV7,#REF!,4,FALSE)))=TRUE,VLOOKUP(ARV7,#REF!,3,FALSE),VLOOKUP(ARV7,#REF!,4,FALSE)),0)</f>
        <v/>
      </c>
      <c r="ARW1">
        <f>IFERROR(IF((ISBLANK(VLOOKUP(ARW7,#REF!,4,FALSE)))=TRUE,VLOOKUP(ARW7,#REF!,3,FALSE),VLOOKUP(ARW7,#REF!,4,FALSE)),0)</f>
        <v/>
      </c>
      <c r="ARX1">
        <f>IFERROR(IF((ISBLANK(VLOOKUP(ARX7,#REF!,4,FALSE)))=TRUE,VLOOKUP(ARX7,#REF!,3,FALSE),VLOOKUP(ARX7,#REF!,4,FALSE)),0)</f>
        <v/>
      </c>
      <c r="ARY1">
        <f>IFERROR(IF((ISBLANK(VLOOKUP(ARY7,#REF!,4,FALSE)))=TRUE,VLOOKUP(ARY7,#REF!,3,FALSE),VLOOKUP(ARY7,#REF!,4,FALSE)),0)</f>
        <v/>
      </c>
      <c r="ARZ1">
        <f>IFERROR(IF((ISBLANK(VLOOKUP(ARZ7,#REF!,4,FALSE)))=TRUE,VLOOKUP(ARZ7,#REF!,3,FALSE),VLOOKUP(ARZ7,#REF!,4,FALSE)),0)</f>
        <v/>
      </c>
      <c r="ASA1">
        <f>IFERROR(IF((ISBLANK(VLOOKUP(ASA7,#REF!,4,FALSE)))=TRUE,VLOOKUP(ASA7,#REF!,3,FALSE),VLOOKUP(ASA7,#REF!,4,FALSE)),0)</f>
        <v/>
      </c>
      <c r="ASB1">
        <f>IFERROR(IF((ISBLANK(VLOOKUP(ASB7,#REF!,4,FALSE)))=TRUE,VLOOKUP(ASB7,#REF!,3,FALSE),VLOOKUP(ASB7,#REF!,4,FALSE)),0)</f>
        <v/>
      </c>
      <c r="ASC1">
        <f>IFERROR(IF((ISBLANK(VLOOKUP(ASC7,#REF!,4,FALSE)))=TRUE,VLOOKUP(ASC7,#REF!,3,FALSE),VLOOKUP(ASC7,#REF!,4,FALSE)),0)</f>
        <v/>
      </c>
      <c r="ASD1">
        <f>IFERROR(IF((ISBLANK(VLOOKUP(ASD7,#REF!,4,FALSE)))=TRUE,VLOOKUP(ASD7,#REF!,3,FALSE),VLOOKUP(ASD7,#REF!,4,FALSE)),0)</f>
        <v/>
      </c>
      <c r="ASE1">
        <f>IFERROR(IF((ISBLANK(VLOOKUP(ASE7,#REF!,4,FALSE)))=TRUE,VLOOKUP(ASE7,#REF!,3,FALSE),VLOOKUP(ASE7,#REF!,4,FALSE)),0)</f>
        <v/>
      </c>
      <c r="ASF1">
        <f>IFERROR(IF((ISBLANK(VLOOKUP(ASF7,#REF!,4,FALSE)))=TRUE,VLOOKUP(ASF7,#REF!,3,FALSE),VLOOKUP(ASF7,#REF!,4,FALSE)),0)</f>
        <v/>
      </c>
      <c r="ASG1">
        <f>IFERROR(IF((ISBLANK(VLOOKUP(ASG7,#REF!,4,FALSE)))=TRUE,VLOOKUP(ASG7,#REF!,3,FALSE),VLOOKUP(ASG7,#REF!,4,FALSE)),0)</f>
        <v/>
      </c>
      <c r="ASH1">
        <f>IFERROR(IF((ISBLANK(VLOOKUP(ASH7,#REF!,4,FALSE)))=TRUE,VLOOKUP(ASH7,#REF!,3,FALSE),VLOOKUP(ASH7,#REF!,4,FALSE)),0)</f>
        <v/>
      </c>
      <c r="ASI1">
        <f>IFERROR(IF((ISBLANK(VLOOKUP(ASI7,#REF!,4,FALSE)))=TRUE,VLOOKUP(ASI7,#REF!,3,FALSE),VLOOKUP(ASI7,#REF!,4,FALSE)),0)</f>
        <v/>
      </c>
      <c r="ASJ1">
        <f>IFERROR(IF((ISBLANK(VLOOKUP(ASJ7,#REF!,4,FALSE)))=TRUE,VLOOKUP(ASJ7,#REF!,3,FALSE),VLOOKUP(ASJ7,#REF!,4,FALSE)),0)</f>
        <v/>
      </c>
      <c r="ASK1">
        <f>IFERROR(IF((ISBLANK(VLOOKUP(ASK7,#REF!,4,FALSE)))=TRUE,VLOOKUP(ASK7,#REF!,3,FALSE),VLOOKUP(ASK7,#REF!,4,FALSE)),0)</f>
        <v/>
      </c>
      <c r="ASL1">
        <f>IFERROR(IF((ISBLANK(VLOOKUP(ASL7,#REF!,4,FALSE)))=TRUE,VLOOKUP(ASL7,#REF!,3,FALSE),VLOOKUP(ASL7,#REF!,4,FALSE)),0)</f>
        <v/>
      </c>
      <c r="ASM1">
        <f>IFERROR(IF((ISBLANK(VLOOKUP(ASM7,#REF!,4,FALSE)))=TRUE,VLOOKUP(ASM7,#REF!,3,FALSE),VLOOKUP(ASM7,#REF!,4,FALSE)),0)</f>
        <v/>
      </c>
      <c r="ASN1">
        <f>IFERROR(IF((ISBLANK(VLOOKUP(ASN7,#REF!,4,FALSE)))=TRUE,VLOOKUP(ASN7,#REF!,3,FALSE),VLOOKUP(ASN7,#REF!,4,FALSE)),0)</f>
        <v/>
      </c>
      <c r="ASO1">
        <f>IFERROR(IF((ISBLANK(VLOOKUP(ASO7,#REF!,4,FALSE)))=TRUE,VLOOKUP(ASO7,#REF!,3,FALSE),VLOOKUP(ASO7,#REF!,4,FALSE)),0)</f>
        <v/>
      </c>
      <c r="ASP1">
        <f>IFERROR(IF((ISBLANK(VLOOKUP(ASP7,#REF!,4,FALSE)))=TRUE,VLOOKUP(ASP7,#REF!,3,FALSE),VLOOKUP(ASP7,#REF!,4,FALSE)),0)</f>
        <v/>
      </c>
      <c r="ASQ1">
        <f>IFERROR(IF((ISBLANK(VLOOKUP(ASQ7,#REF!,4,FALSE)))=TRUE,VLOOKUP(ASQ7,#REF!,3,FALSE),VLOOKUP(ASQ7,#REF!,4,FALSE)),0)</f>
        <v/>
      </c>
      <c r="ASR1">
        <f>IFERROR(IF((ISBLANK(VLOOKUP(ASR7,#REF!,4,FALSE)))=TRUE,VLOOKUP(ASR7,#REF!,3,FALSE),VLOOKUP(ASR7,#REF!,4,FALSE)),0)</f>
        <v/>
      </c>
      <c r="ASS1">
        <f>IFERROR(IF((ISBLANK(VLOOKUP(ASS7,#REF!,4,FALSE)))=TRUE,VLOOKUP(ASS7,#REF!,3,FALSE),VLOOKUP(ASS7,#REF!,4,FALSE)),0)</f>
        <v/>
      </c>
      <c r="AST1">
        <f>IFERROR(IF((ISBLANK(VLOOKUP(AST7,#REF!,4,FALSE)))=TRUE,VLOOKUP(AST7,#REF!,3,FALSE),VLOOKUP(AST7,#REF!,4,FALSE)),0)</f>
        <v/>
      </c>
      <c r="ASU1">
        <f>IFERROR(IF((ISBLANK(VLOOKUP(ASU7,#REF!,4,FALSE)))=TRUE,VLOOKUP(ASU7,#REF!,3,FALSE),VLOOKUP(ASU7,#REF!,4,FALSE)),0)</f>
        <v/>
      </c>
      <c r="ASV1">
        <f>IFERROR(IF((ISBLANK(VLOOKUP(ASV7,#REF!,4,FALSE)))=TRUE,VLOOKUP(ASV7,#REF!,3,FALSE),VLOOKUP(ASV7,#REF!,4,FALSE)),0)</f>
        <v/>
      </c>
      <c r="ASW1">
        <f>IFERROR(IF((ISBLANK(VLOOKUP(ASW7,#REF!,4,FALSE)))=TRUE,VLOOKUP(ASW7,#REF!,3,FALSE),VLOOKUP(ASW7,#REF!,4,FALSE)),0)</f>
        <v/>
      </c>
      <c r="ASX1">
        <f>IFERROR(IF((ISBLANK(VLOOKUP(ASX7,#REF!,4,FALSE)))=TRUE,VLOOKUP(ASX7,#REF!,3,FALSE),VLOOKUP(ASX7,#REF!,4,FALSE)),0)</f>
        <v/>
      </c>
      <c r="ASY1">
        <f>IFERROR(IF((ISBLANK(VLOOKUP(ASY7,#REF!,4,FALSE)))=TRUE,VLOOKUP(ASY7,#REF!,3,FALSE),VLOOKUP(ASY7,#REF!,4,FALSE)),0)</f>
        <v/>
      </c>
      <c r="ASZ1">
        <f>IFERROR(IF((ISBLANK(VLOOKUP(ASZ7,#REF!,4,FALSE)))=TRUE,VLOOKUP(ASZ7,#REF!,3,FALSE),VLOOKUP(ASZ7,#REF!,4,FALSE)),0)</f>
        <v/>
      </c>
      <c r="ATA1">
        <f>IFERROR(IF((ISBLANK(VLOOKUP(ATA7,#REF!,4,FALSE)))=TRUE,VLOOKUP(ATA7,#REF!,3,FALSE),VLOOKUP(ATA7,#REF!,4,FALSE)),0)</f>
        <v/>
      </c>
      <c r="ATB1">
        <f>IFERROR(IF((ISBLANK(VLOOKUP(ATB7,#REF!,4,FALSE)))=TRUE,VLOOKUP(ATB7,#REF!,3,FALSE),VLOOKUP(ATB7,#REF!,4,FALSE)),0)</f>
        <v/>
      </c>
      <c r="ATC1">
        <f>IFERROR(IF((ISBLANK(VLOOKUP(ATC7,#REF!,4,FALSE)))=TRUE,VLOOKUP(ATC7,#REF!,3,FALSE),VLOOKUP(ATC7,#REF!,4,FALSE)),0)</f>
        <v/>
      </c>
      <c r="ATD1">
        <f>IFERROR(IF((ISBLANK(VLOOKUP(ATD7,#REF!,4,FALSE)))=TRUE,VLOOKUP(ATD7,#REF!,3,FALSE),VLOOKUP(ATD7,#REF!,4,FALSE)),0)</f>
        <v/>
      </c>
      <c r="ATE1">
        <f>IFERROR(IF((ISBLANK(VLOOKUP(ATE7,#REF!,4,FALSE)))=TRUE,VLOOKUP(ATE7,#REF!,3,FALSE),VLOOKUP(ATE7,#REF!,4,FALSE)),0)</f>
        <v/>
      </c>
      <c r="ATF1">
        <f>IFERROR(IF((ISBLANK(VLOOKUP(ATF7,#REF!,4,FALSE)))=TRUE,VLOOKUP(ATF7,#REF!,3,FALSE),VLOOKUP(ATF7,#REF!,4,FALSE)),0)</f>
        <v/>
      </c>
      <c r="ATG1">
        <f>IFERROR(IF((ISBLANK(VLOOKUP(ATG7,#REF!,4,FALSE)))=TRUE,VLOOKUP(ATG7,#REF!,3,FALSE),VLOOKUP(ATG7,#REF!,4,FALSE)),0)</f>
        <v/>
      </c>
      <c r="ATH1">
        <f>IFERROR(IF((ISBLANK(VLOOKUP(ATH7,#REF!,4,FALSE)))=TRUE,VLOOKUP(ATH7,#REF!,3,FALSE),VLOOKUP(ATH7,#REF!,4,FALSE)),0)</f>
        <v/>
      </c>
      <c r="ATI1">
        <f>IFERROR(IF((ISBLANK(VLOOKUP(ATI7,#REF!,4,FALSE)))=TRUE,VLOOKUP(ATI7,#REF!,3,FALSE),VLOOKUP(ATI7,#REF!,4,FALSE)),0)</f>
        <v/>
      </c>
      <c r="ATJ1">
        <f>IFERROR(IF((ISBLANK(VLOOKUP(ATJ7,#REF!,4,FALSE)))=TRUE,VLOOKUP(ATJ7,#REF!,3,FALSE),VLOOKUP(ATJ7,#REF!,4,FALSE)),0)</f>
        <v/>
      </c>
      <c r="ATK1">
        <f>IFERROR(IF((ISBLANK(VLOOKUP(ATK7,#REF!,4,FALSE)))=TRUE,VLOOKUP(ATK7,#REF!,3,FALSE),VLOOKUP(ATK7,#REF!,4,FALSE)),0)</f>
        <v/>
      </c>
      <c r="ATL1">
        <f>IFERROR(IF((ISBLANK(VLOOKUP(ATL7,#REF!,4,FALSE)))=TRUE,VLOOKUP(ATL7,#REF!,3,FALSE),VLOOKUP(ATL7,#REF!,4,FALSE)),0)</f>
        <v/>
      </c>
      <c r="ATM1">
        <f>IFERROR(IF((ISBLANK(VLOOKUP(ATM7,#REF!,4,FALSE)))=TRUE,VLOOKUP(ATM7,#REF!,3,FALSE),VLOOKUP(ATM7,#REF!,4,FALSE)),0)</f>
        <v/>
      </c>
      <c r="ATN1">
        <f>IFERROR(IF((ISBLANK(VLOOKUP(ATN7,#REF!,4,FALSE)))=TRUE,VLOOKUP(ATN7,#REF!,3,FALSE),VLOOKUP(ATN7,#REF!,4,FALSE)),0)</f>
        <v/>
      </c>
      <c r="ATO1">
        <f>IFERROR(IF((ISBLANK(VLOOKUP(ATO7,#REF!,4,FALSE)))=TRUE,VLOOKUP(ATO7,#REF!,3,FALSE),VLOOKUP(ATO7,#REF!,4,FALSE)),0)</f>
        <v/>
      </c>
      <c r="ATP1">
        <f>IFERROR(IF((ISBLANK(VLOOKUP(ATP7,#REF!,4,FALSE)))=TRUE,VLOOKUP(ATP7,#REF!,3,FALSE),VLOOKUP(ATP7,#REF!,4,FALSE)),0)</f>
        <v/>
      </c>
      <c r="ATQ1">
        <f>IFERROR(IF((ISBLANK(VLOOKUP(ATQ7,#REF!,4,FALSE)))=TRUE,VLOOKUP(ATQ7,#REF!,3,FALSE),VLOOKUP(ATQ7,#REF!,4,FALSE)),0)</f>
        <v/>
      </c>
      <c r="ATR1">
        <f>IFERROR(IF((ISBLANK(VLOOKUP(ATR7,#REF!,4,FALSE)))=TRUE,VLOOKUP(ATR7,#REF!,3,FALSE),VLOOKUP(ATR7,#REF!,4,FALSE)),0)</f>
        <v/>
      </c>
      <c r="ATS1">
        <f>IFERROR(IF((ISBLANK(VLOOKUP(ATS7,#REF!,4,FALSE)))=TRUE,VLOOKUP(ATS7,#REF!,3,FALSE),VLOOKUP(ATS7,#REF!,4,FALSE)),0)</f>
        <v/>
      </c>
      <c r="ATT1">
        <f>IFERROR(IF((ISBLANK(VLOOKUP(ATT7,#REF!,4,FALSE)))=TRUE,VLOOKUP(ATT7,#REF!,3,FALSE),VLOOKUP(ATT7,#REF!,4,FALSE)),0)</f>
        <v/>
      </c>
      <c r="ATU1">
        <f>IFERROR(IF((ISBLANK(VLOOKUP(ATU7,#REF!,4,FALSE)))=TRUE,VLOOKUP(ATU7,#REF!,3,FALSE),VLOOKUP(ATU7,#REF!,4,FALSE)),0)</f>
        <v/>
      </c>
      <c r="ATV1">
        <f>IFERROR(IF((ISBLANK(VLOOKUP(ATV7,#REF!,4,FALSE)))=TRUE,VLOOKUP(ATV7,#REF!,3,FALSE),VLOOKUP(ATV7,#REF!,4,FALSE)),0)</f>
        <v/>
      </c>
      <c r="ATW1">
        <f>IFERROR(IF((ISBLANK(VLOOKUP(ATW7,#REF!,4,FALSE)))=TRUE,VLOOKUP(ATW7,#REF!,3,FALSE),VLOOKUP(ATW7,#REF!,4,FALSE)),0)</f>
        <v/>
      </c>
      <c r="ATX1">
        <f>IFERROR(IF((ISBLANK(VLOOKUP(ATX7,#REF!,4,FALSE)))=TRUE,VLOOKUP(ATX7,#REF!,3,FALSE),VLOOKUP(ATX7,#REF!,4,FALSE)),0)</f>
        <v/>
      </c>
      <c r="ATY1">
        <f>IFERROR(IF((ISBLANK(VLOOKUP(ATY7,#REF!,4,FALSE)))=TRUE,VLOOKUP(ATY7,#REF!,3,FALSE),VLOOKUP(ATY7,#REF!,4,FALSE)),0)</f>
        <v/>
      </c>
      <c r="ATZ1">
        <f>IFERROR(IF((ISBLANK(VLOOKUP(ATZ7,#REF!,4,FALSE)))=TRUE,VLOOKUP(ATZ7,#REF!,3,FALSE),VLOOKUP(ATZ7,#REF!,4,FALSE)),0)</f>
        <v/>
      </c>
      <c r="AUA1">
        <f>IFERROR(IF((ISBLANK(VLOOKUP(AUA7,#REF!,4,FALSE)))=TRUE,VLOOKUP(AUA7,#REF!,3,FALSE),VLOOKUP(AUA7,#REF!,4,FALSE)),0)</f>
        <v/>
      </c>
      <c r="AUB1">
        <f>IFERROR(IF((ISBLANK(VLOOKUP(AUB7,#REF!,4,FALSE)))=TRUE,VLOOKUP(AUB7,#REF!,3,FALSE),VLOOKUP(AUB7,#REF!,4,FALSE)),0)</f>
        <v/>
      </c>
      <c r="AUC1">
        <f>IFERROR(IF((ISBLANK(VLOOKUP(AUC7,#REF!,4,FALSE)))=TRUE,VLOOKUP(AUC7,#REF!,3,FALSE),VLOOKUP(AUC7,#REF!,4,FALSE)),0)</f>
        <v/>
      </c>
      <c r="AUD1">
        <f>IFERROR(IF((ISBLANK(VLOOKUP(AUD7,#REF!,4,FALSE)))=TRUE,VLOOKUP(AUD7,#REF!,3,FALSE),VLOOKUP(AUD7,#REF!,4,FALSE)),0)</f>
        <v/>
      </c>
      <c r="AUE1">
        <f>IFERROR(IF((ISBLANK(VLOOKUP(AUE7,#REF!,4,FALSE)))=TRUE,VLOOKUP(AUE7,#REF!,3,FALSE),VLOOKUP(AUE7,#REF!,4,FALSE)),0)</f>
        <v/>
      </c>
      <c r="AUF1">
        <f>IFERROR(IF((ISBLANK(VLOOKUP(AUF7,#REF!,4,FALSE)))=TRUE,VLOOKUP(AUF7,#REF!,3,FALSE),VLOOKUP(AUF7,#REF!,4,FALSE)),0)</f>
        <v/>
      </c>
      <c r="AUG1">
        <f>IFERROR(IF((ISBLANK(VLOOKUP(AUG7,#REF!,4,FALSE)))=TRUE,VLOOKUP(AUG7,#REF!,3,FALSE),VLOOKUP(AUG7,#REF!,4,FALSE)),0)</f>
        <v/>
      </c>
      <c r="AUH1">
        <f>IFERROR(IF((ISBLANK(VLOOKUP(AUH7,#REF!,4,FALSE)))=TRUE,VLOOKUP(AUH7,#REF!,3,FALSE),VLOOKUP(AUH7,#REF!,4,FALSE)),0)</f>
        <v/>
      </c>
      <c r="AUI1">
        <f>IFERROR(IF((ISBLANK(VLOOKUP(AUI7,#REF!,4,FALSE)))=TRUE,VLOOKUP(AUI7,#REF!,3,FALSE),VLOOKUP(AUI7,#REF!,4,FALSE)),0)</f>
        <v/>
      </c>
      <c r="AUJ1">
        <f>IFERROR(IF((ISBLANK(VLOOKUP(AUJ7,#REF!,4,FALSE)))=TRUE,VLOOKUP(AUJ7,#REF!,3,FALSE),VLOOKUP(AUJ7,#REF!,4,FALSE)),0)</f>
        <v/>
      </c>
      <c r="AUK1">
        <f>IFERROR(IF((ISBLANK(VLOOKUP(AUK7,#REF!,4,FALSE)))=TRUE,VLOOKUP(AUK7,#REF!,3,FALSE),VLOOKUP(AUK7,#REF!,4,FALSE)),0)</f>
        <v/>
      </c>
      <c r="AUL1">
        <f>IFERROR(IF((ISBLANK(VLOOKUP(AUL7,#REF!,4,FALSE)))=TRUE,VLOOKUP(AUL7,#REF!,3,FALSE),VLOOKUP(AUL7,#REF!,4,FALSE)),0)</f>
        <v/>
      </c>
      <c r="AUM1">
        <f>IFERROR(IF((ISBLANK(VLOOKUP(AUM7,#REF!,4,FALSE)))=TRUE,VLOOKUP(AUM7,#REF!,3,FALSE),VLOOKUP(AUM7,#REF!,4,FALSE)),0)</f>
        <v/>
      </c>
      <c r="AUN1">
        <f>IFERROR(IF((ISBLANK(VLOOKUP(AUN7,#REF!,4,FALSE)))=TRUE,VLOOKUP(AUN7,#REF!,3,FALSE),VLOOKUP(AUN7,#REF!,4,FALSE)),0)</f>
        <v/>
      </c>
      <c r="AUO1">
        <f>IFERROR(IF((ISBLANK(VLOOKUP(AUO7,#REF!,4,FALSE)))=TRUE,VLOOKUP(AUO7,#REF!,3,FALSE),VLOOKUP(AUO7,#REF!,4,FALSE)),0)</f>
        <v/>
      </c>
      <c r="AUP1">
        <f>IFERROR(IF((ISBLANK(VLOOKUP(AUP7,#REF!,4,FALSE)))=TRUE,VLOOKUP(AUP7,#REF!,3,FALSE),VLOOKUP(AUP7,#REF!,4,FALSE)),0)</f>
        <v/>
      </c>
      <c r="AUQ1">
        <f>IFERROR(IF((ISBLANK(VLOOKUP(AUQ7,#REF!,4,FALSE)))=TRUE,VLOOKUP(AUQ7,#REF!,3,FALSE),VLOOKUP(AUQ7,#REF!,4,FALSE)),0)</f>
        <v/>
      </c>
      <c r="AUR1">
        <f>IFERROR(IF((ISBLANK(VLOOKUP(AUR7,#REF!,4,FALSE)))=TRUE,VLOOKUP(AUR7,#REF!,3,FALSE),VLOOKUP(AUR7,#REF!,4,FALSE)),0)</f>
        <v/>
      </c>
      <c r="AUS1">
        <f>IFERROR(IF((ISBLANK(VLOOKUP(AUS7,#REF!,4,FALSE)))=TRUE,VLOOKUP(AUS7,#REF!,3,FALSE),VLOOKUP(AUS7,#REF!,4,FALSE)),0)</f>
        <v/>
      </c>
      <c r="AUT1">
        <f>IFERROR(IF((ISBLANK(VLOOKUP(AUT7,#REF!,4,FALSE)))=TRUE,VLOOKUP(AUT7,#REF!,3,FALSE),VLOOKUP(AUT7,#REF!,4,FALSE)),0)</f>
        <v/>
      </c>
      <c r="AUU1">
        <f>IFERROR(IF((ISBLANK(VLOOKUP(AUU7,#REF!,4,FALSE)))=TRUE,VLOOKUP(AUU7,#REF!,3,FALSE),VLOOKUP(AUU7,#REF!,4,FALSE)),0)</f>
        <v/>
      </c>
      <c r="AUV1">
        <f>IFERROR(IF((ISBLANK(VLOOKUP(AUV7,#REF!,4,FALSE)))=TRUE,VLOOKUP(AUV7,#REF!,3,FALSE),VLOOKUP(AUV7,#REF!,4,FALSE)),0)</f>
        <v/>
      </c>
      <c r="AUW1">
        <f>IFERROR(IF((ISBLANK(VLOOKUP(AUW7,#REF!,4,FALSE)))=TRUE,VLOOKUP(AUW7,#REF!,3,FALSE),VLOOKUP(AUW7,#REF!,4,FALSE)),0)</f>
        <v/>
      </c>
      <c r="AUX1">
        <f>IFERROR(IF((ISBLANK(VLOOKUP(AUX7,#REF!,4,FALSE)))=TRUE,VLOOKUP(AUX7,#REF!,3,FALSE),VLOOKUP(AUX7,#REF!,4,FALSE)),0)</f>
        <v/>
      </c>
      <c r="AUY1">
        <f>IFERROR(IF((ISBLANK(VLOOKUP(AUY7,#REF!,4,FALSE)))=TRUE,VLOOKUP(AUY7,#REF!,3,FALSE),VLOOKUP(AUY7,#REF!,4,FALSE)),0)</f>
        <v/>
      </c>
      <c r="AUZ1">
        <f>IFERROR(IF((ISBLANK(VLOOKUP(AUZ7,#REF!,4,FALSE)))=TRUE,VLOOKUP(AUZ7,#REF!,3,FALSE),VLOOKUP(AUZ7,#REF!,4,FALSE)),0)</f>
        <v/>
      </c>
      <c r="AVA1">
        <f>IFERROR(IF((ISBLANK(VLOOKUP(AVA7,#REF!,4,FALSE)))=TRUE,VLOOKUP(AVA7,#REF!,3,FALSE),VLOOKUP(AVA7,#REF!,4,FALSE)),0)</f>
        <v/>
      </c>
      <c r="AVB1">
        <f>IFERROR(IF((ISBLANK(VLOOKUP(AVB7,#REF!,4,FALSE)))=TRUE,VLOOKUP(AVB7,#REF!,3,FALSE),VLOOKUP(AVB7,#REF!,4,FALSE)),0)</f>
        <v/>
      </c>
      <c r="AVC1">
        <f>IFERROR(IF((ISBLANK(VLOOKUP(AVC7,#REF!,4,FALSE)))=TRUE,VLOOKUP(AVC7,#REF!,3,FALSE),VLOOKUP(AVC7,#REF!,4,FALSE)),0)</f>
        <v/>
      </c>
      <c r="AVD1">
        <f>IFERROR(IF((ISBLANK(VLOOKUP(AVD7,#REF!,4,FALSE)))=TRUE,VLOOKUP(AVD7,#REF!,3,FALSE),VLOOKUP(AVD7,#REF!,4,FALSE)),0)</f>
        <v/>
      </c>
      <c r="AVE1">
        <f>IFERROR(IF((ISBLANK(VLOOKUP(AVE7,#REF!,4,FALSE)))=TRUE,VLOOKUP(AVE7,#REF!,3,FALSE),VLOOKUP(AVE7,#REF!,4,FALSE)),0)</f>
        <v/>
      </c>
      <c r="AVF1">
        <f>IFERROR(IF((ISBLANK(VLOOKUP(AVF7,#REF!,4,FALSE)))=TRUE,VLOOKUP(AVF7,#REF!,3,FALSE),VLOOKUP(AVF7,#REF!,4,FALSE)),0)</f>
        <v/>
      </c>
      <c r="AVG1">
        <f>IFERROR(IF((ISBLANK(VLOOKUP(AVG7,#REF!,4,FALSE)))=TRUE,VLOOKUP(AVG7,#REF!,3,FALSE),VLOOKUP(AVG7,#REF!,4,FALSE)),0)</f>
        <v/>
      </c>
      <c r="AVH1">
        <f>IFERROR(IF((ISBLANK(VLOOKUP(AVH7,#REF!,4,FALSE)))=TRUE,VLOOKUP(AVH7,#REF!,3,FALSE),VLOOKUP(AVH7,#REF!,4,FALSE)),0)</f>
        <v/>
      </c>
      <c r="AVI1">
        <f>IFERROR(IF((ISBLANK(VLOOKUP(AVI7,#REF!,4,FALSE)))=TRUE,VLOOKUP(AVI7,#REF!,3,FALSE),VLOOKUP(AVI7,#REF!,4,FALSE)),0)</f>
        <v/>
      </c>
      <c r="AVJ1">
        <f>IFERROR(IF((ISBLANK(VLOOKUP(AVJ7,#REF!,4,FALSE)))=TRUE,VLOOKUP(AVJ7,#REF!,3,FALSE),VLOOKUP(AVJ7,#REF!,4,FALSE)),0)</f>
        <v/>
      </c>
      <c r="AVK1">
        <f>IFERROR(IF((ISBLANK(VLOOKUP(AVK7,#REF!,4,FALSE)))=TRUE,VLOOKUP(AVK7,#REF!,3,FALSE),VLOOKUP(AVK7,#REF!,4,FALSE)),0)</f>
        <v/>
      </c>
      <c r="AVL1">
        <f>IFERROR(IF((ISBLANK(VLOOKUP(AVL7,#REF!,4,FALSE)))=TRUE,VLOOKUP(AVL7,#REF!,3,FALSE),VLOOKUP(AVL7,#REF!,4,FALSE)),0)</f>
        <v/>
      </c>
      <c r="AVM1">
        <f>IFERROR(IF((ISBLANK(VLOOKUP(AVM7,#REF!,4,FALSE)))=TRUE,VLOOKUP(AVM7,#REF!,3,FALSE),VLOOKUP(AVM7,#REF!,4,FALSE)),0)</f>
        <v/>
      </c>
      <c r="AVN1">
        <f>IFERROR(IF((ISBLANK(VLOOKUP(AVN7,#REF!,4,FALSE)))=TRUE,VLOOKUP(AVN7,#REF!,3,FALSE),VLOOKUP(AVN7,#REF!,4,FALSE)),0)</f>
        <v/>
      </c>
      <c r="AVO1">
        <f>IFERROR(IF((ISBLANK(VLOOKUP(AVO7,#REF!,4,FALSE)))=TRUE,VLOOKUP(AVO7,#REF!,3,FALSE),VLOOKUP(AVO7,#REF!,4,FALSE)),0)</f>
        <v/>
      </c>
      <c r="AVP1">
        <f>IFERROR(IF((ISBLANK(VLOOKUP(AVP7,#REF!,4,FALSE)))=TRUE,VLOOKUP(AVP7,#REF!,3,FALSE),VLOOKUP(AVP7,#REF!,4,FALSE)),0)</f>
        <v/>
      </c>
      <c r="AVQ1">
        <f>IFERROR(IF((ISBLANK(VLOOKUP(AVQ7,#REF!,4,FALSE)))=TRUE,VLOOKUP(AVQ7,#REF!,3,FALSE),VLOOKUP(AVQ7,#REF!,4,FALSE)),0)</f>
        <v/>
      </c>
      <c r="AVR1">
        <f>IFERROR(IF((ISBLANK(VLOOKUP(AVR7,#REF!,4,FALSE)))=TRUE,VLOOKUP(AVR7,#REF!,3,FALSE),VLOOKUP(AVR7,#REF!,4,FALSE)),0)</f>
        <v/>
      </c>
      <c r="AVS1">
        <f>IFERROR(IF((ISBLANK(VLOOKUP(AVS7,#REF!,4,FALSE)))=TRUE,VLOOKUP(AVS7,#REF!,3,FALSE),VLOOKUP(AVS7,#REF!,4,FALSE)),0)</f>
        <v/>
      </c>
      <c r="AVT1">
        <f>IFERROR(IF((ISBLANK(VLOOKUP(AVT7,#REF!,4,FALSE)))=TRUE,VLOOKUP(AVT7,#REF!,3,FALSE),VLOOKUP(AVT7,#REF!,4,FALSE)),0)</f>
        <v/>
      </c>
      <c r="AVU1">
        <f>IFERROR(IF((ISBLANK(VLOOKUP(AVU7,#REF!,4,FALSE)))=TRUE,VLOOKUP(AVU7,#REF!,3,FALSE),VLOOKUP(AVU7,#REF!,4,FALSE)),0)</f>
        <v/>
      </c>
      <c r="AVV1">
        <f>IFERROR(IF((ISBLANK(VLOOKUP(AVV7,#REF!,4,FALSE)))=TRUE,VLOOKUP(AVV7,#REF!,3,FALSE),VLOOKUP(AVV7,#REF!,4,FALSE)),0)</f>
        <v/>
      </c>
      <c r="AVW1">
        <f>IFERROR(IF((ISBLANK(VLOOKUP(AVW7,#REF!,4,FALSE)))=TRUE,VLOOKUP(AVW7,#REF!,3,FALSE),VLOOKUP(AVW7,#REF!,4,FALSE)),0)</f>
        <v/>
      </c>
      <c r="AVX1">
        <f>IFERROR(IF((ISBLANK(VLOOKUP(AVX7,#REF!,4,FALSE)))=TRUE,VLOOKUP(AVX7,#REF!,3,FALSE),VLOOKUP(AVX7,#REF!,4,FALSE)),0)</f>
        <v/>
      </c>
      <c r="AVY1">
        <f>IFERROR(IF((ISBLANK(VLOOKUP(AVY7,#REF!,4,FALSE)))=TRUE,VLOOKUP(AVY7,#REF!,3,FALSE),VLOOKUP(AVY7,#REF!,4,FALSE)),0)</f>
        <v/>
      </c>
      <c r="AVZ1">
        <f>IFERROR(IF((ISBLANK(VLOOKUP(AVZ7,#REF!,4,FALSE)))=TRUE,VLOOKUP(AVZ7,#REF!,3,FALSE),VLOOKUP(AVZ7,#REF!,4,FALSE)),0)</f>
        <v/>
      </c>
      <c r="AWA1">
        <f>IFERROR(IF((ISBLANK(VLOOKUP(AWA7,#REF!,4,FALSE)))=TRUE,VLOOKUP(AWA7,#REF!,3,FALSE),VLOOKUP(AWA7,#REF!,4,FALSE)),0)</f>
        <v/>
      </c>
      <c r="AWB1">
        <f>IFERROR(IF((ISBLANK(VLOOKUP(AWB7,#REF!,4,FALSE)))=TRUE,VLOOKUP(AWB7,#REF!,3,FALSE),VLOOKUP(AWB7,#REF!,4,FALSE)),0)</f>
        <v/>
      </c>
      <c r="AWC1">
        <f>IFERROR(IF((ISBLANK(VLOOKUP(AWC7,#REF!,4,FALSE)))=TRUE,VLOOKUP(AWC7,#REF!,3,FALSE),VLOOKUP(AWC7,#REF!,4,FALSE)),0)</f>
        <v/>
      </c>
      <c r="AWD1">
        <f>IFERROR(IF((ISBLANK(VLOOKUP(AWD7,#REF!,4,FALSE)))=TRUE,VLOOKUP(AWD7,#REF!,3,FALSE),VLOOKUP(AWD7,#REF!,4,FALSE)),0)</f>
        <v/>
      </c>
      <c r="AWE1">
        <f>IFERROR(IF((ISBLANK(VLOOKUP(AWE7,#REF!,4,FALSE)))=TRUE,VLOOKUP(AWE7,#REF!,3,FALSE),VLOOKUP(AWE7,#REF!,4,FALSE)),0)</f>
        <v/>
      </c>
      <c r="AWF1">
        <f>IFERROR(IF((ISBLANK(VLOOKUP(AWF7,#REF!,4,FALSE)))=TRUE,VLOOKUP(AWF7,#REF!,3,FALSE),VLOOKUP(AWF7,#REF!,4,FALSE)),0)</f>
        <v/>
      </c>
      <c r="AWG1">
        <f>IFERROR(IF((ISBLANK(VLOOKUP(AWG7,#REF!,4,FALSE)))=TRUE,VLOOKUP(AWG7,#REF!,3,FALSE),VLOOKUP(AWG7,#REF!,4,FALSE)),0)</f>
        <v/>
      </c>
      <c r="AWH1">
        <f>IFERROR(IF((ISBLANK(VLOOKUP(AWH7,#REF!,4,FALSE)))=TRUE,VLOOKUP(AWH7,#REF!,3,FALSE),VLOOKUP(AWH7,#REF!,4,FALSE)),0)</f>
        <v/>
      </c>
      <c r="AWI1">
        <f>IFERROR(IF((ISBLANK(VLOOKUP(AWI7,#REF!,4,FALSE)))=TRUE,VLOOKUP(AWI7,#REF!,3,FALSE),VLOOKUP(AWI7,#REF!,4,FALSE)),0)</f>
        <v/>
      </c>
      <c r="AWJ1">
        <f>IFERROR(IF((ISBLANK(VLOOKUP(AWJ7,#REF!,4,FALSE)))=TRUE,VLOOKUP(AWJ7,#REF!,3,FALSE),VLOOKUP(AWJ7,#REF!,4,FALSE)),0)</f>
        <v/>
      </c>
      <c r="AWK1">
        <f>IFERROR(IF((ISBLANK(VLOOKUP(AWK7,#REF!,4,FALSE)))=TRUE,VLOOKUP(AWK7,#REF!,3,FALSE),VLOOKUP(AWK7,#REF!,4,FALSE)),0)</f>
        <v/>
      </c>
      <c r="AWL1">
        <f>IFERROR(IF((ISBLANK(VLOOKUP(AWL7,#REF!,4,FALSE)))=TRUE,VLOOKUP(AWL7,#REF!,3,FALSE),VLOOKUP(AWL7,#REF!,4,FALSE)),0)</f>
        <v/>
      </c>
      <c r="AWM1">
        <f>IFERROR(IF((ISBLANK(VLOOKUP(AWM7,#REF!,4,FALSE)))=TRUE,VLOOKUP(AWM7,#REF!,3,FALSE),VLOOKUP(AWM7,#REF!,4,FALSE)),0)</f>
        <v/>
      </c>
      <c r="AWN1">
        <f>IFERROR(IF((ISBLANK(VLOOKUP(AWN7,#REF!,4,FALSE)))=TRUE,VLOOKUP(AWN7,#REF!,3,FALSE),VLOOKUP(AWN7,#REF!,4,FALSE)),0)</f>
        <v/>
      </c>
      <c r="AWO1">
        <f>IFERROR(IF((ISBLANK(VLOOKUP(AWO7,#REF!,4,FALSE)))=TRUE,VLOOKUP(AWO7,#REF!,3,FALSE),VLOOKUP(AWO7,#REF!,4,FALSE)),0)</f>
        <v/>
      </c>
      <c r="AWP1">
        <f>IFERROR(IF((ISBLANK(VLOOKUP(AWP7,#REF!,4,FALSE)))=TRUE,VLOOKUP(AWP7,#REF!,3,FALSE),VLOOKUP(AWP7,#REF!,4,FALSE)),0)</f>
        <v/>
      </c>
      <c r="AWQ1">
        <f>IFERROR(IF((ISBLANK(VLOOKUP(AWQ7,#REF!,4,FALSE)))=TRUE,VLOOKUP(AWQ7,#REF!,3,FALSE),VLOOKUP(AWQ7,#REF!,4,FALSE)),0)</f>
        <v/>
      </c>
      <c r="AWR1">
        <f>IFERROR(IF((ISBLANK(VLOOKUP(AWR7,#REF!,4,FALSE)))=TRUE,VLOOKUP(AWR7,#REF!,3,FALSE),VLOOKUP(AWR7,#REF!,4,FALSE)),0)</f>
        <v/>
      </c>
      <c r="AWS1">
        <f>IFERROR(IF((ISBLANK(VLOOKUP(AWS7,#REF!,4,FALSE)))=TRUE,VLOOKUP(AWS7,#REF!,3,FALSE),VLOOKUP(AWS7,#REF!,4,FALSE)),0)</f>
        <v/>
      </c>
      <c r="AWT1">
        <f>IFERROR(IF((ISBLANK(VLOOKUP(AWT7,#REF!,4,FALSE)))=TRUE,VLOOKUP(AWT7,#REF!,3,FALSE),VLOOKUP(AWT7,#REF!,4,FALSE)),0)</f>
        <v/>
      </c>
      <c r="AWU1">
        <f>IFERROR(IF((ISBLANK(VLOOKUP(AWU7,#REF!,4,FALSE)))=TRUE,VLOOKUP(AWU7,#REF!,3,FALSE),VLOOKUP(AWU7,#REF!,4,FALSE)),0)</f>
        <v/>
      </c>
      <c r="AWV1">
        <f>IFERROR(IF((ISBLANK(VLOOKUP(AWV7,#REF!,4,FALSE)))=TRUE,VLOOKUP(AWV7,#REF!,3,FALSE),VLOOKUP(AWV7,#REF!,4,FALSE)),0)</f>
        <v/>
      </c>
      <c r="AWW1">
        <f>IFERROR(IF((ISBLANK(VLOOKUP(AWW7,#REF!,4,FALSE)))=TRUE,VLOOKUP(AWW7,#REF!,3,FALSE),VLOOKUP(AWW7,#REF!,4,FALSE)),0)</f>
        <v/>
      </c>
      <c r="AWX1">
        <f>IFERROR(IF((ISBLANK(VLOOKUP(AWX7,#REF!,4,FALSE)))=TRUE,VLOOKUP(AWX7,#REF!,3,FALSE),VLOOKUP(AWX7,#REF!,4,FALSE)),0)</f>
        <v/>
      </c>
      <c r="AWY1">
        <f>IFERROR(IF((ISBLANK(VLOOKUP(AWY7,#REF!,4,FALSE)))=TRUE,VLOOKUP(AWY7,#REF!,3,FALSE),VLOOKUP(AWY7,#REF!,4,FALSE)),0)</f>
        <v/>
      </c>
      <c r="AWZ1">
        <f>IFERROR(IF((ISBLANK(VLOOKUP(AWZ7,#REF!,4,FALSE)))=TRUE,VLOOKUP(AWZ7,#REF!,3,FALSE),VLOOKUP(AWZ7,#REF!,4,FALSE)),0)</f>
        <v/>
      </c>
      <c r="AXA1">
        <f>IFERROR(IF((ISBLANK(VLOOKUP(AXA7,#REF!,4,FALSE)))=TRUE,VLOOKUP(AXA7,#REF!,3,FALSE),VLOOKUP(AXA7,#REF!,4,FALSE)),0)</f>
        <v/>
      </c>
      <c r="AXB1">
        <f>IFERROR(IF((ISBLANK(VLOOKUP(AXB7,#REF!,4,FALSE)))=TRUE,VLOOKUP(AXB7,#REF!,3,FALSE),VLOOKUP(AXB7,#REF!,4,FALSE)),0)</f>
        <v/>
      </c>
      <c r="AXC1">
        <f>IFERROR(IF((ISBLANK(VLOOKUP(AXC7,#REF!,4,FALSE)))=TRUE,VLOOKUP(AXC7,#REF!,3,FALSE),VLOOKUP(AXC7,#REF!,4,FALSE)),0)</f>
        <v/>
      </c>
      <c r="AXD1">
        <f>IFERROR(IF((ISBLANK(VLOOKUP(AXD7,#REF!,4,FALSE)))=TRUE,VLOOKUP(AXD7,#REF!,3,FALSE),VLOOKUP(AXD7,#REF!,4,FALSE)),0)</f>
        <v/>
      </c>
      <c r="AXE1">
        <f>IFERROR(IF((ISBLANK(VLOOKUP(AXE7,#REF!,4,FALSE)))=TRUE,VLOOKUP(AXE7,#REF!,3,FALSE),VLOOKUP(AXE7,#REF!,4,FALSE)),0)</f>
        <v/>
      </c>
      <c r="AXF1">
        <f>IFERROR(IF((ISBLANK(VLOOKUP(AXF7,#REF!,4,FALSE)))=TRUE,VLOOKUP(AXF7,#REF!,3,FALSE),VLOOKUP(AXF7,#REF!,4,FALSE)),0)</f>
        <v/>
      </c>
      <c r="AXG1">
        <f>IFERROR(IF((ISBLANK(VLOOKUP(AXG7,#REF!,4,FALSE)))=TRUE,VLOOKUP(AXG7,#REF!,3,FALSE),VLOOKUP(AXG7,#REF!,4,FALSE)),0)</f>
        <v/>
      </c>
      <c r="AXH1">
        <f>IFERROR(IF((ISBLANK(VLOOKUP(AXH7,#REF!,4,FALSE)))=TRUE,VLOOKUP(AXH7,#REF!,3,FALSE),VLOOKUP(AXH7,#REF!,4,FALSE)),0)</f>
        <v/>
      </c>
      <c r="AXI1">
        <f>IFERROR(IF((ISBLANK(VLOOKUP(AXI7,#REF!,4,FALSE)))=TRUE,VLOOKUP(AXI7,#REF!,3,FALSE),VLOOKUP(AXI7,#REF!,4,FALSE)),0)</f>
        <v/>
      </c>
      <c r="AXJ1">
        <f>IFERROR(IF((ISBLANK(VLOOKUP(AXJ7,#REF!,4,FALSE)))=TRUE,VLOOKUP(AXJ7,#REF!,3,FALSE),VLOOKUP(AXJ7,#REF!,4,FALSE)),0)</f>
        <v/>
      </c>
      <c r="AXK1">
        <f>IFERROR(IF((ISBLANK(VLOOKUP(AXK7,#REF!,4,FALSE)))=TRUE,VLOOKUP(AXK7,#REF!,3,FALSE),VLOOKUP(AXK7,#REF!,4,FALSE)),0)</f>
        <v/>
      </c>
      <c r="AXL1">
        <f>IFERROR(IF((ISBLANK(VLOOKUP(AXL7,#REF!,4,FALSE)))=TRUE,VLOOKUP(AXL7,#REF!,3,FALSE),VLOOKUP(AXL7,#REF!,4,FALSE)),0)</f>
        <v/>
      </c>
      <c r="AXM1">
        <f>IFERROR(IF((ISBLANK(VLOOKUP(AXM7,#REF!,4,FALSE)))=TRUE,VLOOKUP(AXM7,#REF!,3,FALSE),VLOOKUP(AXM7,#REF!,4,FALSE)),0)</f>
        <v/>
      </c>
      <c r="AXN1">
        <f>IFERROR(IF((ISBLANK(VLOOKUP(AXN7,#REF!,4,FALSE)))=TRUE,VLOOKUP(AXN7,#REF!,3,FALSE),VLOOKUP(AXN7,#REF!,4,FALSE)),0)</f>
        <v/>
      </c>
      <c r="AXO1">
        <f>IFERROR(IF((ISBLANK(VLOOKUP(AXO7,#REF!,4,FALSE)))=TRUE,VLOOKUP(AXO7,#REF!,3,FALSE),VLOOKUP(AXO7,#REF!,4,FALSE)),0)</f>
        <v/>
      </c>
      <c r="AXP1">
        <f>IFERROR(IF((ISBLANK(VLOOKUP(AXP7,#REF!,4,FALSE)))=TRUE,VLOOKUP(AXP7,#REF!,3,FALSE),VLOOKUP(AXP7,#REF!,4,FALSE)),0)</f>
        <v/>
      </c>
      <c r="AXQ1">
        <f>IFERROR(IF((ISBLANK(VLOOKUP(AXQ7,#REF!,4,FALSE)))=TRUE,VLOOKUP(AXQ7,#REF!,3,FALSE),VLOOKUP(AXQ7,#REF!,4,FALSE)),0)</f>
        <v/>
      </c>
      <c r="AXR1">
        <f>IFERROR(IF((ISBLANK(VLOOKUP(AXR7,#REF!,4,FALSE)))=TRUE,VLOOKUP(AXR7,#REF!,3,FALSE),VLOOKUP(AXR7,#REF!,4,FALSE)),0)</f>
        <v/>
      </c>
      <c r="AXS1">
        <f>IFERROR(IF((ISBLANK(VLOOKUP(AXS7,#REF!,4,FALSE)))=TRUE,VLOOKUP(AXS7,#REF!,3,FALSE),VLOOKUP(AXS7,#REF!,4,FALSE)),0)</f>
        <v/>
      </c>
      <c r="AXT1">
        <f>IFERROR(IF((ISBLANK(VLOOKUP(AXT7,#REF!,4,FALSE)))=TRUE,VLOOKUP(AXT7,#REF!,3,FALSE),VLOOKUP(AXT7,#REF!,4,FALSE)),0)</f>
        <v/>
      </c>
      <c r="AXU1">
        <f>IFERROR(IF((ISBLANK(VLOOKUP(AXU7,#REF!,4,FALSE)))=TRUE,VLOOKUP(AXU7,#REF!,3,FALSE),VLOOKUP(AXU7,#REF!,4,FALSE)),0)</f>
        <v/>
      </c>
      <c r="AXV1">
        <f>IFERROR(IF((ISBLANK(VLOOKUP(AXV7,#REF!,4,FALSE)))=TRUE,VLOOKUP(AXV7,#REF!,3,FALSE),VLOOKUP(AXV7,#REF!,4,FALSE)),0)</f>
        <v/>
      </c>
      <c r="AXW1">
        <f>IFERROR(IF((ISBLANK(VLOOKUP(AXW7,#REF!,4,FALSE)))=TRUE,VLOOKUP(AXW7,#REF!,3,FALSE),VLOOKUP(AXW7,#REF!,4,FALSE)),0)</f>
        <v/>
      </c>
      <c r="AXX1">
        <f>IFERROR(IF((ISBLANK(VLOOKUP(AXX7,#REF!,4,FALSE)))=TRUE,VLOOKUP(AXX7,#REF!,3,FALSE),VLOOKUP(AXX7,#REF!,4,FALSE)),0)</f>
        <v/>
      </c>
      <c r="AXY1">
        <f>IFERROR(IF((ISBLANK(VLOOKUP(AXY7,#REF!,4,FALSE)))=TRUE,VLOOKUP(AXY7,#REF!,3,FALSE),VLOOKUP(AXY7,#REF!,4,FALSE)),0)</f>
        <v/>
      </c>
      <c r="AXZ1">
        <f>IFERROR(IF((ISBLANK(VLOOKUP(AXZ7,#REF!,4,FALSE)))=TRUE,VLOOKUP(AXZ7,#REF!,3,FALSE),VLOOKUP(AXZ7,#REF!,4,FALSE)),0)</f>
        <v/>
      </c>
      <c r="AYA1">
        <f>IFERROR(IF((ISBLANK(VLOOKUP(AYA7,#REF!,4,FALSE)))=TRUE,VLOOKUP(AYA7,#REF!,3,FALSE),VLOOKUP(AYA7,#REF!,4,FALSE)),0)</f>
        <v/>
      </c>
      <c r="AYB1">
        <f>IFERROR(IF((ISBLANK(VLOOKUP(AYB7,#REF!,4,FALSE)))=TRUE,VLOOKUP(AYB7,#REF!,3,FALSE),VLOOKUP(AYB7,#REF!,4,FALSE)),0)</f>
        <v/>
      </c>
      <c r="AYC1">
        <f>IFERROR(IF((ISBLANK(VLOOKUP(AYC7,#REF!,4,FALSE)))=TRUE,VLOOKUP(AYC7,#REF!,3,FALSE),VLOOKUP(AYC7,#REF!,4,FALSE)),0)</f>
        <v/>
      </c>
      <c r="AYD1">
        <f>IFERROR(IF((ISBLANK(VLOOKUP(AYD7,#REF!,4,FALSE)))=TRUE,VLOOKUP(AYD7,#REF!,3,FALSE),VLOOKUP(AYD7,#REF!,4,FALSE)),0)</f>
        <v/>
      </c>
      <c r="AYE1">
        <f>IFERROR(IF((ISBLANK(VLOOKUP(AYE7,#REF!,4,FALSE)))=TRUE,VLOOKUP(AYE7,#REF!,3,FALSE),VLOOKUP(AYE7,#REF!,4,FALSE)),0)</f>
        <v/>
      </c>
      <c r="AYF1">
        <f>IFERROR(IF((ISBLANK(VLOOKUP(AYF7,#REF!,4,FALSE)))=TRUE,VLOOKUP(AYF7,#REF!,3,FALSE),VLOOKUP(AYF7,#REF!,4,FALSE)),0)</f>
        <v/>
      </c>
      <c r="AYG1">
        <f>IFERROR(IF((ISBLANK(VLOOKUP(AYG7,#REF!,4,FALSE)))=TRUE,VLOOKUP(AYG7,#REF!,3,FALSE),VLOOKUP(AYG7,#REF!,4,FALSE)),0)</f>
        <v/>
      </c>
      <c r="AYH1">
        <f>IFERROR(IF((ISBLANK(VLOOKUP(AYH7,#REF!,4,FALSE)))=TRUE,VLOOKUP(AYH7,#REF!,3,FALSE),VLOOKUP(AYH7,#REF!,4,FALSE)),0)</f>
        <v/>
      </c>
      <c r="AYI1">
        <f>IFERROR(IF((ISBLANK(VLOOKUP(AYI7,#REF!,4,FALSE)))=TRUE,VLOOKUP(AYI7,#REF!,3,FALSE),VLOOKUP(AYI7,#REF!,4,FALSE)),0)</f>
        <v/>
      </c>
      <c r="AYJ1">
        <f>IFERROR(IF((ISBLANK(VLOOKUP(AYJ7,#REF!,4,FALSE)))=TRUE,VLOOKUP(AYJ7,#REF!,3,FALSE),VLOOKUP(AYJ7,#REF!,4,FALSE)),0)</f>
        <v/>
      </c>
      <c r="AYK1">
        <f>IFERROR(IF((ISBLANK(VLOOKUP(AYK7,#REF!,4,FALSE)))=TRUE,VLOOKUP(AYK7,#REF!,3,FALSE),VLOOKUP(AYK7,#REF!,4,FALSE)),0)</f>
        <v/>
      </c>
      <c r="AYL1">
        <f>IFERROR(IF((ISBLANK(VLOOKUP(AYL7,#REF!,4,FALSE)))=TRUE,VLOOKUP(AYL7,#REF!,3,FALSE),VLOOKUP(AYL7,#REF!,4,FALSE)),0)</f>
        <v/>
      </c>
      <c r="AYM1">
        <f>IFERROR(IF((ISBLANK(VLOOKUP(AYM7,#REF!,4,FALSE)))=TRUE,VLOOKUP(AYM7,#REF!,3,FALSE),VLOOKUP(AYM7,#REF!,4,FALSE)),0)</f>
        <v/>
      </c>
      <c r="AYN1">
        <f>IFERROR(IF((ISBLANK(VLOOKUP(AYN7,#REF!,4,FALSE)))=TRUE,VLOOKUP(AYN7,#REF!,3,FALSE),VLOOKUP(AYN7,#REF!,4,FALSE)),0)</f>
        <v/>
      </c>
      <c r="AYO1">
        <f>IFERROR(IF((ISBLANK(VLOOKUP(AYO7,#REF!,4,FALSE)))=TRUE,VLOOKUP(AYO7,#REF!,3,FALSE),VLOOKUP(AYO7,#REF!,4,FALSE)),0)</f>
        <v/>
      </c>
      <c r="AYP1">
        <f>IFERROR(IF((ISBLANK(VLOOKUP(AYP7,#REF!,4,FALSE)))=TRUE,VLOOKUP(AYP7,#REF!,3,FALSE),VLOOKUP(AYP7,#REF!,4,FALSE)),0)</f>
        <v/>
      </c>
      <c r="AYQ1">
        <f>IFERROR(IF((ISBLANK(VLOOKUP(AYQ7,#REF!,4,FALSE)))=TRUE,VLOOKUP(AYQ7,#REF!,3,FALSE),VLOOKUP(AYQ7,#REF!,4,FALSE)),0)</f>
        <v/>
      </c>
      <c r="AYR1">
        <f>IFERROR(IF((ISBLANK(VLOOKUP(AYR7,#REF!,4,FALSE)))=TRUE,VLOOKUP(AYR7,#REF!,3,FALSE),VLOOKUP(AYR7,#REF!,4,FALSE)),0)</f>
        <v/>
      </c>
      <c r="AYS1">
        <f>IFERROR(IF((ISBLANK(VLOOKUP(AYS7,#REF!,4,FALSE)))=TRUE,VLOOKUP(AYS7,#REF!,3,FALSE),VLOOKUP(AYS7,#REF!,4,FALSE)),0)</f>
        <v/>
      </c>
      <c r="AYT1">
        <f>IFERROR(IF((ISBLANK(VLOOKUP(AYT7,#REF!,4,FALSE)))=TRUE,VLOOKUP(AYT7,#REF!,3,FALSE),VLOOKUP(AYT7,#REF!,4,FALSE)),0)</f>
        <v/>
      </c>
      <c r="AYU1">
        <f>IFERROR(IF((ISBLANK(VLOOKUP(AYU7,#REF!,4,FALSE)))=TRUE,VLOOKUP(AYU7,#REF!,3,FALSE),VLOOKUP(AYU7,#REF!,4,FALSE)),0)</f>
        <v/>
      </c>
      <c r="AYV1">
        <f>IFERROR(IF((ISBLANK(VLOOKUP(AYV7,#REF!,4,FALSE)))=TRUE,VLOOKUP(AYV7,#REF!,3,FALSE),VLOOKUP(AYV7,#REF!,4,FALSE)),0)</f>
        <v/>
      </c>
      <c r="AYW1">
        <f>IFERROR(IF((ISBLANK(VLOOKUP(AYW7,#REF!,4,FALSE)))=TRUE,VLOOKUP(AYW7,#REF!,3,FALSE),VLOOKUP(AYW7,#REF!,4,FALSE)),0)</f>
        <v/>
      </c>
      <c r="AYX1">
        <f>IFERROR(IF((ISBLANK(VLOOKUP(AYX7,#REF!,4,FALSE)))=TRUE,VLOOKUP(AYX7,#REF!,3,FALSE),VLOOKUP(AYX7,#REF!,4,FALSE)),0)</f>
        <v/>
      </c>
      <c r="AYY1">
        <f>IFERROR(IF((ISBLANK(VLOOKUP(AYY7,#REF!,4,FALSE)))=TRUE,VLOOKUP(AYY7,#REF!,3,FALSE),VLOOKUP(AYY7,#REF!,4,FALSE)),0)</f>
        <v/>
      </c>
      <c r="AYZ1">
        <f>IFERROR(IF((ISBLANK(VLOOKUP(AYZ7,#REF!,4,FALSE)))=TRUE,VLOOKUP(AYZ7,#REF!,3,FALSE),VLOOKUP(AYZ7,#REF!,4,FALSE)),0)</f>
        <v/>
      </c>
      <c r="AZA1">
        <f>IFERROR(IF((ISBLANK(VLOOKUP(AZA7,#REF!,4,FALSE)))=TRUE,VLOOKUP(AZA7,#REF!,3,FALSE),VLOOKUP(AZA7,#REF!,4,FALSE)),0)</f>
        <v/>
      </c>
      <c r="AZB1">
        <f>IFERROR(IF((ISBLANK(VLOOKUP(AZB7,#REF!,4,FALSE)))=TRUE,VLOOKUP(AZB7,#REF!,3,FALSE),VLOOKUP(AZB7,#REF!,4,FALSE)),0)</f>
        <v/>
      </c>
      <c r="AZC1">
        <f>IFERROR(IF((ISBLANK(VLOOKUP(AZC7,#REF!,4,FALSE)))=TRUE,VLOOKUP(AZC7,#REF!,3,FALSE),VLOOKUP(AZC7,#REF!,4,FALSE)),0)</f>
        <v/>
      </c>
      <c r="AZD1">
        <f>IFERROR(IF((ISBLANK(VLOOKUP(AZD7,#REF!,4,FALSE)))=TRUE,VLOOKUP(AZD7,#REF!,3,FALSE),VLOOKUP(AZD7,#REF!,4,FALSE)),0)</f>
        <v/>
      </c>
      <c r="AZE1">
        <f>IFERROR(IF((ISBLANK(VLOOKUP(AZE7,#REF!,4,FALSE)))=TRUE,VLOOKUP(AZE7,#REF!,3,FALSE),VLOOKUP(AZE7,#REF!,4,FALSE)),0)</f>
        <v/>
      </c>
      <c r="AZF1">
        <f>IFERROR(IF((ISBLANK(VLOOKUP(AZF7,#REF!,4,FALSE)))=TRUE,VLOOKUP(AZF7,#REF!,3,FALSE),VLOOKUP(AZF7,#REF!,4,FALSE)),0)</f>
        <v/>
      </c>
      <c r="AZG1">
        <f>IFERROR(IF((ISBLANK(VLOOKUP(AZG7,#REF!,4,FALSE)))=TRUE,VLOOKUP(AZG7,#REF!,3,FALSE),VLOOKUP(AZG7,#REF!,4,FALSE)),0)</f>
        <v/>
      </c>
      <c r="AZH1">
        <f>IFERROR(IF((ISBLANK(VLOOKUP(AZH7,#REF!,4,FALSE)))=TRUE,VLOOKUP(AZH7,#REF!,3,FALSE),VLOOKUP(AZH7,#REF!,4,FALSE)),0)</f>
        <v/>
      </c>
      <c r="AZI1">
        <f>IFERROR(IF((ISBLANK(VLOOKUP(AZI7,#REF!,4,FALSE)))=TRUE,VLOOKUP(AZI7,#REF!,3,FALSE),VLOOKUP(AZI7,#REF!,4,FALSE)),0)</f>
        <v/>
      </c>
      <c r="AZJ1">
        <f>IFERROR(IF((ISBLANK(VLOOKUP(AZJ7,#REF!,4,FALSE)))=TRUE,VLOOKUP(AZJ7,#REF!,3,FALSE),VLOOKUP(AZJ7,#REF!,4,FALSE)),0)</f>
        <v/>
      </c>
      <c r="AZK1">
        <f>IFERROR(IF((ISBLANK(VLOOKUP(AZK7,#REF!,4,FALSE)))=TRUE,VLOOKUP(AZK7,#REF!,3,FALSE),VLOOKUP(AZK7,#REF!,4,FALSE)),0)</f>
        <v/>
      </c>
      <c r="AZL1">
        <f>IFERROR(IF((ISBLANK(VLOOKUP(AZL7,#REF!,4,FALSE)))=TRUE,VLOOKUP(AZL7,#REF!,3,FALSE),VLOOKUP(AZL7,#REF!,4,FALSE)),0)</f>
        <v/>
      </c>
      <c r="AZM1">
        <f>IFERROR(IF((ISBLANK(VLOOKUP(AZM7,#REF!,4,FALSE)))=TRUE,VLOOKUP(AZM7,#REF!,3,FALSE),VLOOKUP(AZM7,#REF!,4,FALSE)),0)</f>
        <v/>
      </c>
      <c r="AZN1">
        <f>IFERROR(IF((ISBLANK(VLOOKUP(AZN7,#REF!,4,FALSE)))=TRUE,VLOOKUP(AZN7,#REF!,3,FALSE),VLOOKUP(AZN7,#REF!,4,FALSE)),0)</f>
        <v/>
      </c>
      <c r="AZO1">
        <f>IFERROR(IF((ISBLANK(VLOOKUP(AZO7,#REF!,4,FALSE)))=TRUE,VLOOKUP(AZO7,#REF!,3,FALSE),VLOOKUP(AZO7,#REF!,4,FALSE)),0)</f>
        <v/>
      </c>
      <c r="AZP1">
        <f>IFERROR(IF((ISBLANK(VLOOKUP(AZP7,#REF!,4,FALSE)))=TRUE,VLOOKUP(AZP7,#REF!,3,FALSE),VLOOKUP(AZP7,#REF!,4,FALSE)),0)</f>
        <v/>
      </c>
      <c r="AZQ1">
        <f>IFERROR(IF((ISBLANK(VLOOKUP(AZQ7,#REF!,4,FALSE)))=TRUE,VLOOKUP(AZQ7,#REF!,3,FALSE),VLOOKUP(AZQ7,#REF!,4,FALSE)),0)</f>
        <v/>
      </c>
      <c r="AZR1">
        <f>IFERROR(IF((ISBLANK(VLOOKUP(AZR7,#REF!,4,FALSE)))=TRUE,VLOOKUP(AZR7,#REF!,3,FALSE),VLOOKUP(AZR7,#REF!,4,FALSE)),0)</f>
        <v/>
      </c>
      <c r="AZS1">
        <f>IFERROR(IF((ISBLANK(VLOOKUP(AZS7,#REF!,4,FALSE)))=TRUE,VLOOKUP(AZS7,#REF!,3,FALSE),VLOOKUP(AZS7,#REF!,4,FALSE)),0)</f>
        <v/>
      </c>
      <c r="AZT1">
        <f>IFERROR(IF((ISBLANK(VLOOKUP(AZT7,#REF!,4,FALSE)))=TRUE,VLOOKUP(AZT7,#REF!,3,FALSE),VLOOKUP(AZT7,#REF!,4,FALSE)),0)</f>
        <v/>
      </c>
      <c r="AZU1">
        <f>IFERROR(IF((ISBLANK(VLOOKUP(AZU7,#REF!,4,FALSE)))=TRUE,VLOOKUP(AZU7,#REF!,3,FALSE),VLOOKUP(AZU7,#REF!,4,FALSE)),0)</f>
        <v/>
      </c>
      <c r="AZV1">
        <f>IFERROR(IF((ISBLANK(VLOOKUP(AZV7,#REF!,4,FALSE)))=TRUE,VLOOKUP(AZV7,#REF!,3,FALSE),VLOOKUP(AZV7,#REF!,4,FALSE)),0)</f>
        <v/>
      </c>
      <c r="AZW1">
        <f>IFERROR(IF((ISBLANK(VLOOKUP(AZW7,#REF!,4,FALSE)))=TRUE,VLOOKUP(AZW7,#REF!,3,FALSE),VLOOKUP(AZW7,#REF!,4,FALSE)),0)</f>
        <v/>
      </c>
      <c r="AZX1">
        <f>IFERROR(IF((ISBLANK(VLOOKUP(AZX7,#REF!,4,FALSE)))=TRUE,VLOOKUP(AZX7,#REF!,3,FALSE),VLOOKUP(AZX7,#REF!,4,FALSE)),0)</f>
        <v/>
      </c>
      <c r="AZY1">
        <f>IFERROR(IF((ISBLANK(VLOOKUP(AZY7,#REF!,4,FALSE)))=TRUE,VLOOKUP(AZY7,#REF!,3,FALSE),VLOOKUP(AZY7,#REF!,4,FALSE)),0)</f>
        <v/>
      </c>
      <c r="AZZ1">
        <f>IFERROR(IF((ISBLANK(VLOOKUP(AZZ7,#REF!,4,FALSE)))=TRUE,VLOOKUP(AZZ7,#REF!,3,FALSE),VLOOKUP(AZZ7,#REF!,4,FALSE)),0)</f>
        <v/>
      </c>
      <c r="BAA1">
        <f>IFERROR(IF((ISBLANK(VLOOKUP(BAA7,#REF!,4,FALSE)))=TRUE,VLOOKUP(BAA7,#REF!,3,FALSE),VLOOKUP(BAA7,#REF!,4,FALSE)),0)</f>
        <v/>
      </c>
      <c r="BAB1">
        <f>IFERROR(IF((ISBLANK(VLOOKUP(BAB7,#REF!,4,FALSE)))=TRUE,VLOOKUP(BAB7,#REF!,3,FALSE),VLOOKUP(BAB7,#REF!,4,FALSE)),0)</f>
        <v/>
      </c>
      <c r="BAC1">
        <f>IFERROR(IF((ISBLANK(VLOOKUP(BAC7,#REF!,4,FALSE)))=TRUE,VLOOKUP(BAC7,#REF!,3,FALSE),VLOOKUP(BAC7,#REF!,4,FALSE)),0)</f>
        <v/>
      </c>
      <c r="BAD1">
        <f>IFERROR(IF((ISBLANK(VLOOKUP(BAD7,#REF!,4,FALSE)))=TRUE,VLOOKUP(BAD7,#REF!,3,FALSE),VLOOKUP(BAD7,#REF!,4,FALSE)),0)</f>
        <v/>
      </c>
      <c r="BAE1">
        <f>IFERROR(IF((ISBLANK(VLOOKUP(BAE7,#REF!,4,FALSE)))=TRUE,VLOOKUP(BAE7,#REF!,3,FALSE),VLOOKUP(BAE7,#REF!,4,FALSE)),0)</f>
        <v/>
      </c>
      <c r="BAF1">
        <f>IFERROR(IF((ISBLANK(VLOOKUP(BAF7,#REF!,4,FALSE)))=TRUE,VLOOKUP(BAF7,#REF!,3,FALSE),VLOOKUP(BAF7,#REF!,4,FALSE)),0)</f>
        <v/>
      </c>
      <c r="BAG1">
        <f>IFERROR(IF((ISBLANK(VLOOKUP(BAG7,#REF!,4,FALSE)))=TRUE,VLOOKUP(BAG7,#REF!,3,FALSE),VLOOKUP(BAG7,#REF!,4,FALSE)),0)</f>
        <v/>
      </c>
      <c r="BAH1">
        <f>IFERROR(IF((ISBLANK(VLOOKUP(BAH7,#REF!,4,FALSE)))=TRUE,VLOOKUP(BAH7,#REF!,3,FALSE),VLOOKUP(BAH7,#REF!,4,FALSE)),0)</f>
        <v/>
      </c>
      <c r="BAI1">
        <f>IFERROR(IF((ISBLANK(VLOOKUP(BAI7,#REF!,4,FALSE)))=TRUE,VLOOKUP(BAI7,#REF!,3,FALSE),VLOOKUP(BAI7,#REF!,4,FALSE)),0)</f>
        <v/>
      </c>
      <c r="BAJ1">
        <f>IFERROR(IF((ISBLANK(VLOOKUP(BAJ7,#REF!,4,FALSE)))=TRUE,VLOOKUP(BAJ7,#REF!,3,FALSE),VLOOKUP(BAJ7,#REF!,4,FALSE)),0)</f>
        <v/>
      </c>
      <c r="BAK1">
        <f>IFERROR(IF((ISBLANK(VLOOKUP(BAK7,#REF!,4,FALSE)))=TRUE,VLOOKUP(BAK7,#REF!,3,FALSE),VLOOKUP(BAK7,#REF!,4,FALSE)),0)</f>
        <v/>
      </c>
      <c r="BAL1">
        <f>IFERROR(IF((ISBLANK(VLOOKUP(BAL7,#REF!,4,FALSE)))=TRUE,VLOOKUP(BAL7,#REF!,3,FALSE),VLOOKUP(BAL7,#REF!,4,FALSE)),0)</f>
        <v/>
      </c>
      <c r="BAM1">
        <f>IFERROR(IF((ISBLANK(VLOOKUP(BAM7,#REF!,4,FALSE)))=TRUE,VLOOKUP(BAM7,#REF!,3,FALSE),VLOOKUP(BAM7,#REF!,4,FALSE)),0)</f>
        <v/>
      </c>
      <c r="BAN1">
        <f>IFERROR(IF((ISBLANK(VLOOKUP(BAN7,#REF!,4,FALSE)))=TRUE,VLOOKUP(BAN7,#REF!,3,FALSE),VLOOKUP(BAN7,#REF!,4,FALSE)),0)</f>
        <v/>
      </c>
      <c r="BAO1">
        <f>IFERROR(IF((ISBLANK(VLOOKUP(BAO7,#REF!,4,FALSE)))=TRUE,VLOOKUP(BAO7,#REF!,3,FALSE),VLOOKUP(BAO7,#REF!,4,FALSE)),0)</f>
        <v/>
      </c>
      <c r="BAP1">
        <f>IFERROR(IF((ISBLANK(VLOOKUP(BAP7,#REF!,4,FALSE)))=TRUE,VLOOKUP(BAP7,#REF!,3,FALSE),VLOOKUP(BAP7,#REF!,4,FALSE)),0)</f>
        <v/>
      </c>
      <c r="BAQ1">
        <f>IFERROR(IF((ISBLANK(VLOOKUP(BAQ7,#REF!,4,FALSE)))=TRUE,VLOOKUP(BAQ7,#REF!,3,FALSE),VLOOKUP(BAQ7,#REF!,4,FALSE)),0)</f>
        <v/>
      </c>
      <c r="BAR1">
        <f>IFERROR(IF((ISBLANK(VLOOKUP(BAR7,#REF!,4,FALSE)))=TRUE,VLOOKUP(BAR7,#REF!,3,FALSE),VLOOKUP(BAR7,#REF!,4,FALSE)),0)</f>
        <v/>
      </c>
      <c r="BAS1">
        <f>IFERROR(IF((ISBLANK(VLOOKUP(BAS7,#REF!,4,FALSE)))=TRUE,VLOOKUP(BAS7,#REF!,3,FALSE),VLOOKUP(BAS7,#REF!,4,FALSE)),0)</f>
        <v/>
      </c>
      <c r="BAT1">
        <f>IFERROR(IF((ISBLANK(VLOOKUP(BAT7,#REF!,4,FALSE)))=TRUE,VLOOKUP(BAT7,#REF!,3,FALSE),VLOOKUP(BAT7,#REF!,4,FALSE)),0)</f>
        <v/>
      </c>
      <c r="BAU1">
        <f>IFERROR(IF((ISBLANK(VLOOKUP(BAU7,#REF!,4,FALSE)))=TRUE,VLOOKUP(BAU7,#REF!,3,FALSE),VLOOKUP(BAU7,#REF!,4,FALSE)),0)</f>
        <v/>
      </c>
      <c r="BAV1">
        <f>IFERROR(IF((ISBLANK(VLOOKUP(BAV7,#REF!,4,FALSE)))=TRUE,VLOOKUP(BAV7,#REF!,3,FALSE),VLOOKUP(BAV7,#REF!,4,FALSE)),0)</f>
        <v/>
      </c>
      <c r="BAW1">
        <f>IFERROR(IF((ISBLANK(VLOOKUP(BAW7,#REF!,4,FALSE)))=TRUE,VLOOKUP(BAW7,#REF!,3,FALSE),VLOOKUP(BAW7,#REF!,4,FALSE)),0)</f>
        <v/>
      </c>
      <c r="BAX1">
        <f>IFERROR(IF((ISBLANK(VLOOKUP(BAX7,#REF!,4,FALSE)))=TRUE,VLOOKUP(BAX7,#REF!,3,FALSE),VLOOKUP(BAX7,#REF!,4,FALSE)),0)</f>
        <v/>
      </c>
      <c r="BAY1">
        <f>IFERROR(IF((ISBLANK(VLOOKUP(BAY7,#REF!,4,FALSE)))=TRUE,VLOOKUP(BAY7,#REF!,3,FALSE),VLOOKUP(BAY7,#REF!,4,FALSE)),0)</f>
        <v/>
      </c>
      <c r="BAZ1">
        <f>IFERROR(IF((ISBLANK(VLOOKUP(BAZ7,#REF!,4,FALSE)))=TRUE,VLOOKUP(BAZ7,#REF!,3,FALSE),VLOOKUP(BAZ7,#REF!,4,FALSE)),0)</f>
        <v/>
      </c>
      <c r="BBA1">
        <f>IFERROR(IF((ISBLANK(VLOOKUP(BBA7,#REF!,4,FALSE)))=TRUE,VLOOKUP(BBA7,#REF!,3,FALSE),VLOOKUP(BBA7,#REF!,4,FALSE)),0)</f>
        <v/>
      </c>
      <c r="BBB1">
        <f>IFERROR(IF((ISBLANK(VLOOKUP(BBB7,#REF!,4,FALSE)))=TRUE,VLOOKUP(BBB7,#REF!,3,FALSE),VLOOKUP(BBB7,#REF!,4,FALSE)),0)</f>
        <v/>
      </c>
      <c r="BBC1">
        <f>IFERROR(IF((ISBLANK(VLOOKUP(BBC7,#REF!,4,FALSE)))=TRUE,VLOOKUP(BBC7,#REF!,3,FALSE),VLOOKUP(BBC7,#REF!,4,FALSE)),0)</f>
        <v/>
      </c>
      <c r="BBD1">
        <f>IFERROR(IF((ISBLANK(VLOOKUP(BBD7,#REF!,4,FALSE)))=TRUE,VLOOKUP(BBD7,#REF!,3,FALSE),VLOOKUP(BBD7,#REF!,4,FALSE)),0)</f>
        <v/>
      </c>
      <c r="BBE1">
        <f>IFERROR(IF((ISBLANK(VLOOKUP(BBE7,#REF!,4,FALSE)))=TRUE,VLOOKUP(BBE7,#REF!,3,FALSE),VLOOKUP(BBE7,#REF!,4,FALSE)),0)</f>
        <v/>
      </c>
      <c r="BBF1">
        <f>IFERROR(IF((ISBLANK(VLOOKUP(BBF7,#REF!,4,FALSE)))=TRUE,VLOOKUP(BBF7,#REF!,3,FALSE),VLOOKUP(BBF7,#REF!,4,FALSE)),0)</f>
        <v/>
      </c>
      <c r="BBG1">
        <f>IFERROR(IF((ISBLANK(VLOOKUP(BBG7,#REF!,4,FALSE)))=TRUE,VLOOKUP(BBG7,#REF!,3,FALSE),VLOOKUP(BBG7,#REF!,4,FALSE)),0)</f>
        <v/>
      </c>
      <c r="BBH1">
        <f>IFERROR(IF((ISBLANK(VLOOKUP(BBH7,#REF!,4,FALSE)))=TRUE,VLOOKUP(BBH7,#REF!,3,FALSE),VLOOKUP(BBH7,#REF!,4,FALSE)),0)</f>
        <v/>
      </c>
      <c r="BBI1">
        <f>IFERROR(IF((ISBLANK(VLOOKUP(BBI7,#REF!,4,FALSE)))=TRUE,VLOOKUP(BBI7,#REF!,3,FALSE),VLOOKUP(BBI7,#REF!,4,FALSE)),0)</f>
        <v/>
      </c>
      <c r="BBJ1">
        <f>IFERROR(IF((ISBLANK(VLOOKUP(BBJ7,#REF!,4,FALSE)))=TRUE,VLOOKUP(BBJ7,#REF!,3,FALSE),VLOOKUP(BBJ7,#REF!,4,FALSE)),0)</f>
        <v/>
      </c>
      <c r="BBK1">
        <f>IFERROR(IF((ISBLANK(VLOOKUP(BBK7,#REF!,4,FALSE)))=TRUE,VLOOKUP(BBK7,#REF!,3,FALSE),VLOOKUP(BBK7,#REF!,4,FALSE)),0)</f>
        <v/>
      </c>
      <c r="BBL1">
        <f>IFERROR(IF((ISBLANK(VLOOKUP(BBL7,#REF!,4,FALSE)))=TRUE,VLOOKUP(BBL7,#REF!,3,FALSE),VLOOKUP(BBL7,#REF!,4,FALSE)),0)</f>
        <v/>
      </c>
      <c r="BBM1">
        <f>IFERROR(IF((ISBLANK(VLOOKUP(BBM7,#REF!,4,FALSE)))=TRUE,VLOOKUP(BBM7,#REF!,3,FALSE),VLOOKUP(BBM7,#REF!,4,FALSE)),0)</f>
        <v/>
      </c>
      <c r="BBN1">
        <f>IFERROR(IF((ISBLANK(VLOOKUP(BBN7,#REF!,4,FALSE)))=TRUE,VLOOKUP(BBN7,#REF!,3,FALSE),VLOOKUP(BBN7,#REF!,4,FALSE)),0)</f>
        <v/>
      </c>
      <c r="BBO1">
        <f>IFERROR(IF((ISBLANK(VLOOKUP(BBO7,#REF!,4,FALSE)))=TRUE,VLOOKUP(BBO7,#REF!,3,FALSE),VLOOKUP(BBO7,#REF!,4,FALSE)),0)</f>
        <v/>
      </c>
      <c r="BBP1">
        <f>IFERROR(IF((ISBLANK(VLOOKUP(BBP7,#REF!,4,FALSE)))=TRUE,VLOOKUP(BBP7,#REF!,3,FALSE),VLOOKUP(BBP7,#REF!,4,FALSE)),0)</f>
        <v/>
      </c>
      <c r="BBQ1">
        <f>IFERROR(IF((ISBLANK(VLOOKUP(BBQ7,#REF!,4,FALSE)))=TRUE,VLOOKUP(BBQ7,#REF!,3,FALSE),VLOOKUP(BBQ7,#REF!,4,FALSE)),0)</f>
        <v/>
      </c>
      <c r="BBR1">
        <f>IFERROR(IF((ISBLANK(VLOOKUP(BBR7,#REF!,4,FALSE)))=TRUE,VLOOKUP(BBR7,#REF!,3,FALSE),VLOOKUP(BBR7,#REF!,4,FALSE)),0)</f>
        <v/>
      </c>
      <c r="BBS1">
        <f>IFERROR(IF((ISBLANK(VLOOKUP(BBS7,#REF!,4,FALSE)))=TRUE,VLOOKUP(BBS7,#REF!,3,FALSE),VLOOKUP(BBS7,#REF!,4,FALSE)),0)</f>
        <v/>
      </c>
      <c r="BBT1">
        <f>IFERROR(IF((ISBLANK(VLOOKUP(BBT7,#REF!,4,FALSE)))=TRUE,VLOOKUP(BBT7,#REF!,3,FALSE),VLOOKUP(BBT7,#REF!,4,FALSE)),0)</f>
        <v/>
      </c>
      <c r="BBU1">
        <f>IFERROR(IF((ISBLANK(VLOOKUP(BBU7,#REF!,4,FALSE)))=TRUE,VLOOKUP(BBU7,#REF!,3,FALSE),VLOOKUP(BBU7,#REF!,4,FALSE)),0)</f>
        <v/>
      </c>
      <c r="BBV1">
        <f>IFERROR(IF((ISBLANK(VLOOKUP(BBV7,#REF!,4,FALSE)))=TRUE,VLOOKUP(BBV7,#REF!,3,FALSE),VLOOKUP(BBV7,#REF!,4,FALSE)),0)</f>
        <v/>
      </c>
      <c r="BBW1">
        <f>IFERROR(IF((ISBLANK(VLOOKUP(BBW7,#REF!,4,FALSE)))=TRUE,VLOOKUP(BBW7,#REF!,3,FALSE),VLOOKUP(BBW7,#REF!,4,FALSE)),0)</f>
        <v/>
      </c>
      <c r="BBX1">
        <f>IFERROR(IF((ISBLANK(VLOOKUP(BBX7,#REF!,4,FALSE)))=TRUE,VLOOKUP(BBX7,#REF!,3,FALSE),VLOOKUP(BBX7,#REF!,4,FALSE)),0)</f>
        <v/>
      </c>
      <c r="BBY1">
        <f>IFERROR(IF((ISBLANK(VLOOKUP(BBY7,#REF!,4,FALSE)))=TRUE,VLOOKUP(BBY7,#REF!,3,FALSE),VLOOKUP(BBY7,#REF!,4,FALSE)),0)</f>
        <v/>
      </c>
      <c r="BBZ1">
        <f>IFERROR(IF((ISBLANK(VLOOKUP(BBZ7,#REF!,4,FALSE)))=TRUE,VLOOKUP(BBZ7,#REF!,3,FALSE),VLOOKUP(BBZ7,#REF!,4,FALSE)),0)</f>
        <v/>
      </c>
      <c r="BCA1">
        <f>IFERROR(IF((ISBLANK(VLOOKUP(BCA7,#REF!,4,FALSE)))=TRUE,VLOOKUP(BCA7,#REF!,3,FALSE),VLOOKUP(BCA7,#REF!,4,FALSE)),0)</f>
        <v/>
      </c>
      <c r="BCB1">
        <f>IFERROR(IF((ISBLANK(VLOOKUP(BCB7,#REF!,4,FALSE)))=TRUE,VLOOKUP(BCB7,#REF!,3,FALSE),VLOOKUP(BCB7,#REF!,4,FALSE)),0)</f>
        <v/>
      </c>
      <c r="BCC1">
        <f>IFERROR(IF((ISBLANK(VLOOKUP(BCC7,#REF!,4,FALSE)))=TRUE,VLOOKUP(BCC7,#REF!,3,FALSE),VLOOKUP(BCC7,#REF!,4,FALSE)),0)</f>
        <v/>
      </c>
      <c r="BCD1">
        <f>IFERROR(IF((ISBLANK(VLOOKUP(BCD7,#REF!,4,FALSE)))=TRUE,VLOOKUP(BCD7,#REF!,3,FALSE),VLOOKUP(BCD7,#REF!,4,FALSE)),0)</f>
        <v/>
      </c>
      <c r="BCE1">
        <f>IFERROR(IF((ISBLANK(VLOOKUP(BCE7,#REF!,4,FALSE)))=TRUE,VLOOKUP(BCE7,#REF!,3,FALSE),VLOOKUP(BCE7,#REF!,4,FALSE)),0)</f>
        <v/>
      </c>
      <c r="BCF1">
        <f>IFERROR(IF((ISBLANK(VLOOKUP(BCF7,#REF!,4,FALSE)))=TRUE,VLOOKUP(BCF7,#REF!,3,FALSE),VLOOKUP(BCF7,#REF!,4,FALSE)),0)</f>
        <v/>
      </c>
      <c r="BCG1">
        <f>IFERROR(IF((ISBLANK(VLOOKUP(BCG7,#REF!,4,FALSE)))=TRUE,VLOOKUP(BCG7,#REF!,3,FALSE),VLOOKUP(BCG7,#REF!,4,FALSE)),0)</f>
        <v/>
      </c>
      <c r="BCH1">
        <f>IFERROR(IF((ISBLANK(VLOOKUP(BCH7,#REF!,4,FALSE)))=TRUE,VLOOKUP(BCH7,#REF!,3,FALSE),VLOOKUP(BCH7,#REF!,4,FALSE)),0)</f>
        <v/>
      </c>
      <c r="BCI1">
        <f>IFERROR(IF((ISBLANK(VLOOKUP(BCI7,#REF!,4,FALSE)))=TRUE,VLOOKUP(BCI7,#REF!,3,FALSE),VLOOKUP(BCI7,#REF!,4,FALSE)),0)</f>
        <v/>
      </c>
      <c r="BCJ1">
        <f>IFERROR(IF((ISBLANK(VLOOKUP(BCJ7,#REF!,4,FALSE)))=TRUE,VLOOKUP(BCJ7,#REF!,3,FALSE),VLOOKUP(BCJ7,#REF!,4,FALSE)),0)</f>
        <v/>
      </c>
      <c r="BCK1">
        <f>IFERROR(IF((ISBLANK(VLOOKUP(BCK7,#REF!,4,FALSE)))=TRUE,VLOOKUP(BCK7,#REF!,3,FALSE),VLOOKUP(BCK7,#REF!,4,FALSE)),0)</f>
        <v/>
      </c>
      <c r="BCL1">
        <f>IFERROR(IF((ISBLANK(VLOOKUP(BCL7,#REF!,4,FALSE)))=TRUE,VLOOKUP(BCL7,#REF!,3,FALSE),VLOOKUP(BCL7,#REF!,4,FALSE)),0)</f>
        <v/>
      </c>
      <c r="BCM1">
        <f>IF(#REF!="Skip to main content","FILED","NOT FILED")</f>
        <v/>
      </c>
      <c r="BCN1">
        <f>RIGHT(#REF!,2)</f>
        <v/>
      </c>
      <c r="BCO1">
        <f>IFERROR(VLOOKUP(RIGHT(#REF!,6),#REF!,2,FALSE),0)</f>
        <v/>
      </c>
      <c r="BCP1">
        <f>IFERROR(IF((ISBLANK(VLOOKUP(BCP7,#REF!,3,FALSE)))=TRUE,VLOOKUP(BCP7,#REF!,2,FALSE),VLOOKUP(BCP7,#REF!,3,FALSE)),0)</f>
        <v/>
      </c>
      <c r="BCQ1">
        <f>IFERROR(IF((ISBLANK(VLOOKUP(BCQ7,#REF!,3,FALSE)))=TRUE,VLOOKUP(BCQ7,#REF!,2,FALSE),VLOOKUP(BCQ7,#REF!,3,FALSE)),0)</f>
        <v/>
      </c>
      <c r="BCR1">
        <f>IFERROR(IF((ISBLANK(VLOOKUP(BCR7,#REF!,3,FALSE)))=TRUE,VLOOKUP(BCR7,#REF!,2,FALSE),VLOOKUP(BCR7,#REF!,3,FALSE)),0)</f>
        <v/>
      </c>
      <c r="BCS1">
        <f>IFERROR(IF((ISBLANK(VLOOKUP(BCS7,#REF!,3,FALSE)))=TRUE,VLOOKUP(BCS7,#REF!,2,FALSE),VLOOKUP(BCS7,#REF!,3,FALSE)),0)</f>
        <v/>
      </c>
      <c r="BCT1">
        <f>IFERROR(IF((ISBLANK(VLOOKUP(BCT7,#REF!,3,FALSE)))=TRUE,VLOOKUP(BCT7,#REF!,2,FALSE),VLOOKUP(BCT7,#REF!,3,FALSE)),0)</f>
        <v/>
      </c>
      <c r="BCU1">
        <f>IFERROR(IF((ISBLANK(VLOOKUP(BCU7,#REF!,3,FALSE)))=TRUE,VLOOKUP(BCU7,#REF!,2,FALSE),VLOOKUP(BCU7,#REF!,3,FALSE)),0)</f>
        <v/>
      </c>
      <c r="BCV1">
        <f>IFERROR(IF((ISBLANK(VLOOKUP(BCV7,#REF!,4,FALSE)))=TRUE,VLOOKUP(BCV7,#REF!,3,FALSE),VLOOKUP(BCV7,#REF!,4,FALSE)),0)</f>
        <v/>
      </c>
      <c r="BCW1">
        <f>IFERROR(IF((ISBLANK(VLOOKUP(BCW7,#REF!,4,FALSE)))=TRUE,VLOOKUP(BCW7,#REF!,3,FALSE),VLOOKUP(BCW7,#REF!,4,FALSE)),0)</f>
        <v/>
      </c>
      <c r="BCX1">
        <f>IFERROR(IF((ISBLANK(VLOOKUP(BCX7,#REF!,4,FALSE)))=TRUE,VLOOKUP(BCX7,#REF!,3,FALSE),VLOOKUP(BCX7,#REF!,4,FALSE)),0)</f>
        <v/>
      </c>
      <c r="BCY1">
        <f>IFERROR(IF((ISBLANK(VLOOKUP(BCY7,#REF!,4,FALSE)))=TRUE,VLOOKUP(BCY7,#REF!,3,FALSE),VLOOKUP(BCY7,#REF!,4,FALSE)),0)</f>
        <v/>
      </c>
      <c r="BCZ1">
        <f>IFERROR(IF((ISBLANK(VLOOKUP(BCZ7,#REF!,4,FALSE)))=TRUE,VLOOKUP(BCZ7,#REF!,3,FALSE),VLOOKUP(BCZ7,#REF!,4,FALSE)),0)</f>
        <v/>
      </c>
      <c r="BDA1">
        <f>IFERROR(IF((ISBLANK(VLOOKUP(BDA7,#REF!,4,FALSE)))=TRUE,VLOOKUP(BDA7,#REF!,3,FALSE),VLOOKUP(BDA7,#REF!,4,FALSE)),0)</f>
        <v/>
      </c>
      <c r="BDB1">
        <f>IFERROR(IF((ISBLANK(VLOOKUP(BDB7,#REF!,4,FALSE)))=TRUE,VLOOKUP(BDB7,#REF!,3,FALSE),VLOOKUP(BDB7,#REF!,4,FALSE)),0)</f>
        <v/>
      </c>
      <c r="BDC1">
        <f>IFERROR(IF((ISBLANK(VLOOKUP(BDC7,#REF!,4,FALSE)))=TRUE,VLOOKUP(BDC7,#REF!,3,FALSE),VLOOKUP(BDC7,#REF!,4,FALSE)),0)</f>
        <v/>
      </c>
      <c r="BDD1">
        <f>IFERROR(IF((ISBLANK(VLOOKUP(BDD7,#REF!,4,FALSE)))=TRUE,VLOOKUP(BDD7,#REF!,3,FALSE),VLOOKUP(BDD7,#REF!,4,FALSE)),0)</f>
        <v/>
      </c>
      <c r="BDE1">
        <f>IFERROR(IF((ISBLANK(VLOOKUP(BDE7,#REF!,4,FALSE)))=TRUE,VLOOKUP(BDE7,#REF!,3,FALSE),VLOOKUP(BDE7,#REF!,4,FALSE)),0)</f>
        <v/>
      </c>
      <c r="BDF1">
        <f>IFERROR(IF((ISBLANK(VLOOKUP(BDF7,#REF!,4,FALSE)))=TRUE,VLOOKUP(BDF7,#REF!,3,FALSE),VLOOKUP(BDF7,#REF!,4,FALSE)),0)</f>
        <v/>
      </c>
      <c r="BDG1">
        <f>IFERROR(IF((ISBLANK(VLOOKUP(BDG7,#REF!,4,FALSE)))=TRUE,VLOOKUP(BDG7,#REF!,3,FALSE),VLOOKUP(BDG7,#REF!,4,FALSE)),0)</f>
        <v/>
      </c>
      <c r="BDH1">
        <f>IFERROR(IF((ISBLANK(VLOOKUP(BDH7,#REF!,4,FALSE)))=TRUE,VLOOKUP(BDH7,#REF!,3,FALSE),VLOOKUP(BDH7,#REF!,4,FALSE)),0)</f>
        <v/>
      </c>
      <c r="BDI1">
        <f>IFERROR(IF((ISBLANK(VLOOKUP(BDI7,#REF!,4,FALSE)))=TRUE,VLOOKUP(BDI7,#REF!,3,FALSE),VLOOKUP(BDI7,#REF!,4,FALSE)),0)</f>
        <v/>
      </c>
      <c r="BDJ1">
        <f>IFERROR(IF((ISBLANK(VLOOKUP(BDJ7,#REF!,4,FALSE)))=TRUE,VLOOKUP(BDJ7,#REF!,3,FALSE),VLOOKUP(BDJ7,#REF!,4,FALSE)),0)</f>
        <v/>
      </c>
      <c r="BDK1">
        <f>IFERROR(IF((ISBLANK(VLOOKUP(BDK7,#REF!,4,FALSE)))=TRUE,VLOOKUP(BDK7,#REF!,3,FALSE),VLOOKUP(BDK7,#REF!,4,FALSE)),0)</f>
        <v/>
      </c>
      <c r="BDL1">
        <f>IFERROR(IF((ISBLANK(VLOOKUP(BDL7,#REF!,4,FALSE)))=TRUE,VLOOKUP(BDL7,#REF!,3,FALSE),VLOOKUP(BDL7,#REF!,4,FALSE)),0)</f>
        <v/>
      </c>
      <c r="BDM1">
        <f>IFERROR(IF((ISBLANK(VLOOKUP(BDM7,#REF!,4,FALSE)))=TRUE,VLOOKUP(BDM7,#REF!,3,FALSE),VLOOKUP(BDM7,#REF!,4,FALSE)),0)</f>
        <v/>
      </c>
      <c r="BDN1">
        <f>IFERROR(IF((ISBLANK(VLOOKUP(BDN7,#REF!,4,FALSE)))=TRUE,VLOOKUP(BDN7,#REF!,3,FALSE),VLOOKUP(BDN7,#REF!,4,FALSE)),0)</f>
        <v/>
      </c>
      <c r="BDO1">
        <f>IFERROR(IF((ISBLANK(VLOOKUP(BDO7,#REF!,4,FALSE)))=TRUE,VLOOKUP(BDO7,#REF!,3,FALSE),VLOOKUP(BDO7,#REF!,4,FALSE)),0)</f>
        <v/>
      </c>
      <c r="BDP1">
        <f>IFERROR(IF((ISBLANK(VLOOKUP(BDP7,#REF!,4,FALSE)))=TRUE,VLOOKUP(BDP7,#REF!,3,FALSE),VLOOKUP(BDP7,#REF!,4,FALSE)),0)</f>
        <v/>
      </c>
      <c r="BDQ1">
        <f>IFERROR(IF((ISBLANK(VLOOKUP(BDQ7,#REF!,4,FALSE)))=TRUE,VLOOKUP(BDQ7,#REF!,3,FALSE),VLOOKUP(BDQ7,#REF!,4,FALSE)),0)</f>
        <v/>
      </c>
      <c r="BDR1">
        <f>IFERROR(IF((ISBLANK(VLOOKUP(BDR7,#REF!,4,FALSE)))=TRUE,VLOOKUP(BDR7,#REF!,3,FALSE),VLOOKUP(BDR7,#REF!,4,FALSE)),0)</f>
        <v/>
      </c>
      <c r="BDS1">
        <f>IFERROR(IF((ISBLANK(VLOOKUP(BDS7,#REF!,4,FALSE)))=TRUE,VLOOKUP(BDS7,#REF!,3,FALSE),VLOOKUP(BDS7,#REF!,4,FALSE)),0)</f>
        <v/>
      </c>
      <c r="BDT1">
        <f>IFERROR(IF((ISBLANK(VLOOKUP(BDT7,#REF!,4,FALSE)))=TRUE,VLOOKUP(BDT7,#REF!,3,FALSE),VLOOKUP(BDT7,#REF!,4,FALSE)),0)</f>
        <v/>
      </c>
      <c r="BDU1">
        <f>IFERROR(IF((ISBLANK(VLOOKUP(BDU7,#REF!,4,FALSE)))=TRUE,VLOOKUP(BDU7,#REF!,3,FALSE),VLOOKUP(BDU7,#REF!,4,FALSE)),0)</f>
        <v/>
      </c>
      <c r="BDV1">
        <f>IFERROR(IF((ISBLANK(VLOOKUP(BDV7,#REF!,4,FALSE)))=TRUE,VLOOKUP(BDV7,#REF!,3,FALSE),VLOOKUP(BDV7,#REF!,4,FALSE)),0)</f>
        <v/>
      </c>
      <c r="BDW1">
        <f>IFERROR(IF((ISBLANK(VLOOKUP(BDW7,#REF!,4,FALSE)))=TRUE,VLOOKUP(BDW7,#REF!,3,FALSE),VLOOKUP(BDW7,#REF!,4,FALSE)),0)</f>
        <v/>
      </c>
      <c r="BDX1">
        <f>IFERROR(IF((ISBLANK(VLOOKUP(BDX7,#REF!,4,FALSE)))=TRUE,VLOOKUP(BDX7,#REF!,3,FALSE),VLOOKUP(BDX7,#REF!,4,FALSE)),0)</f>
        <v/>
      </c>
      <c r="BDY1">
        <f>IFERROR(IF((ISBLANK(VLOOKUP(BDY7,#REF!,4,FALSE)))=TRUE,VLOOKUP(BDY7,#REF!,3,FALSE),VLOOKUP(BDY7,#REF!,4,FALSE)),0)</f>
        <v/>
      </c>
      <c r="BDZ1">
        <f>IFERROR(IF((ISBLANK(VLOOKUP(BDZ7,#REF!,4,FALSE)))=TRUE,VLOOKUP(BDZ7,#REF!,3,FALSE),VLOOKUP(BDZ7,#REF!,4,FALSE)),0)</f>
        <v/>
      </c>
      <c r="BEA1">
        <f>IFERROR(IF((ISBLANK(VLOOKUP(BEA7,#REF!,4,FALSE)))=TRUE,VLOOKUP(BEA7,#REF!,3,FALSE),VLOOKUP(BEA7,#REF!,4,FALSE)),0)</f>
        <v/>
      </c>
      <c r="BEB1">
        <f>IFERROR(IF((ISBLANK(VLOOKUP(BEB7,#REF!,4,FALSE)))=TRUE,VLOOKUP(BEB7,#REF!,3,FALSE),VLOOKUP(BEB7,#REF!,4,FALSE)),0)</f>
        <v/>
      </c>
      <c r="BEC1">
        <f>IFERROR(IF((ISBLANK(VLOOKUP(BEC7,#REF!,4,FALSE)))=TRUE,VLOOKUP(BEC7,#REF!,3,FALSE),VLOOKUP(BEC7,#REF!,4,FALSE)),0)</f>
        <v/>
      </c>
      <c r="BED1">
        <f>IFERROR(IF((ISBLANK(VLOOKUP(BED7,#REF!,4,FALSE)))=TRUE,VLOOKUP(BED7,#REF!,3,FALSE),VLOOKUP(BED7,#REF!,4,FALSE)),0)</f>
        <v/>
      </c>
      <c r="BEE1">
        <f>IFERROR(IF((ISBLANK(VLOOKUP(BEE7,#REF!,4,FALSE)))=TRUE,VLOOKUP(BEE7,#REF!,3,FALSE),VLOOKUP(BEE7,#REF!,4,FALSE)),0)</f>
        <v/>
      </c>
      <c r="BEF1">
        <f>IFERROR(IF((ISBLANK(VLOOKUP(BEF7,#REF!,4,FALSE)))=TRUE,VLOOKUP(BEF7,#REF!,3,FALSE),VLOOKUP(BEF7,#REF!,4,FALSE)),0)</f>
        <v/>
      </c>
      <c r="BEG1">
        <f>IFERROR(IF((ISBLANK(VLOOKUP(BEG7,#REF!,4,FALSE)))=TRUE,VLOOKUP(BEG7,#REF!,3,FALSE),VLOOKUP(BEG7,#REF!,4,FALSE)),0)</f>
        <v/>
      </c>
      <c r="BEH1">
        <f>IFERROR(IF((ISBLANK(VLOOKUP(BEH7,#REF!,4,FALSE)))=TRUE,VLOOKUP(BEH7,#REF!,3,FALSE),VLOOKUP(BEH7,#REF!,4,FALSE)),0)</f>
        <v/>
      </c>
      <c r="BEI1">
        <f>IFERROR(IF((ISBLANK(VLOOKUP(BEI7,#REF!,4,FALSE)))=TRUE,VLOOKUP(BEI7,#REF!,3,FALSE),VLOOKUP(BEI7,#REF!,4,FALSE)),0)</f>
        <v/>
      </c>
      <c r="BEJ1">
        <f>IFERROR(IF((ISBLANK(VLOOKUP(BEJ7,#REF!,4,FALSE)))=TRUE,VLOOKUP(BEJ7,#REF!,3,FALSE),VLOOKUP(BEJ7,#REF!,4,FALSE)),0)</f>
        <v/>
      </c>
      <c r="BEK1">
        <f>IFERROR(IF((ISBLANK(VLOOKUP(BEK7,#REF!,4,FALSE)))=TRUE,VLOOKUP(BEK7,#REF!,3,FALSE),VLOOKUP(BEK7,#REF!,4,FALSE)),0)</f>
        <v/>
      </c>
      <c r="BEL1">
        <f>IFERROR(IF((ISBLANK(VLOOKUP(BEL7,#REF!,4,FALSE)))=TRUE,VLOOKUP(BEL7,#REF!,3,FALSE),VLOOKUP(BEL7,#REF!,4,FALSE)),0)</f>
        <v/>
      </c>
      <c r="BEM1">
        <f>IFERROR(IF((ISBLANK(VLOOKUP(BEM7,#REF!,4,FALSE)))=TRUE,VLOOKUP(BEM7,#REF!,3,FALSE),VLOOKUP(BEM7,#REF!,4,FALSE)),0)</f>
        <v/>
      </c>
      <c r="BEN1">
        <f>IFERROR(IF((ISBLANK(VLOOKUP(BEN7,#REF!,4,FALSE)))=TRUE,VLOOKUP(BEN7,#REF!,3,FALSE),VLOOKUP(BEN7,#REF!,4,FALSE)),0)</f>
        <v/>
      </c>
      <c r="BEO1">
        <f>IFERROR(IF((ISBLANK(VLOOKUP(BEO7,#REF!,4,FALSE)))=TRUE,VLOOKUP(BEO7,#REF!,3,FALSE),VLOOKUP(BEO7,#REF!,4,FALSE)),0)</f>
        <v/>
      </c>
      <c r="BEP1">
        <f>IFERROR(IF((ISBLANK(VLOOKUP(BEP7,#REF!,4,FALSE)))=TRUE,VLOOKUP(BEP7,#REF!,3,FALSE),VLOOKUP(BEP7,#REF!,4,FALSE)),0)</f>
        <v/>
      </c>
      <c r="BEQ1">
        <f>IFERROR(IF((ISBLANK(VLOOKUP(BEQ7,#REF!,4,FALSE)))=TRUE,VLOOKUP(BEQ7,#REF!,3,FALSE),VLOOKUP(BEQ7,#REF!,4,FALSE)),0)</f>
        <v/>
      </c>
      <c r="BER1">
        <f>IFERROR(IF((ISBLANK(VLOOKUP(BER7,#REF!,4,FALSE)))=TRUE,VLOOKUP(BER7,#REF!,3,FALSE),VLOOKUP(BER7,#REF!,4,FALSE)),0)</f>
        <v/>
      </c>
      <c r="BES1">
        <f>IFERROR(IF((ISBLANK(VLOOKUP(BES7,#REF!,4,FALSE)))=TRUE,VLOOKUP(BES7,#REF!,3,FALSE),VLOOKUP(BES7,#REF!,4,FALSE)),0)</f>
        <v/>
      </c>
      <c r="BET1">
        <f>IFERROR(IF((ISBLANK(VLOOKUP(BET7,#REF!,4,FALSE)))=TRUE,VLOOKUP(BET7,#REF!,3,FALSE),VLOOKUP(BET7,#REF!,4,FALSE)),0)</f>
        <v/>
      </c>
      <c r="BEU1">
        <f>IFERROR(IF((ISBLANK(VLOOKUP(BEU7,#REF!,4,FALSE)))=TRUE,VLOOKUP(BEU7,#REF!,3,FALSE),VLOOKUP(BEU7,#REF!,4,FALSE)),0)</f>
        <v/>
      </c>
      <c r="BEV1">
        <f>IFERROR(IF((ISBLANK(VLOOKUP(BEV7,#REF!,4,FALSE)))=TRUE,VLOOKUP(BEV7,#REF!,3,FALSE),VLOOKUP(BEV7,#REF!,4,FALSE)),0)</f>
        <v/>
      </c>
      <c r="BEW1">
        <f>IFERROR(IF((ISBLANK(VLOOKUP(BEW7,#REF!,4,FALSE)))=TRUE,VLOOKUP(BEW7,#REF!,3,FALSE),VLOOKUP(BEW7,#REF!,4,FALSE)),0)</f>
        <v/>
      </c>
      <c r="BEX1">
        <f>IFERROR(IF((ISBLANK(VLOOKUP(BEX7,#REF!,4,FALSE)))=TRUE,VLOOKUP(BEX7,#REF!,3,FALSE),VLOOKUP(BEX7,#REF!,4,FALSE)),0)</f>
        <v/>
      </c>
      <c r="BEY1">
        <f>IFERROR(IF((ISBLANK(VLOOKUP(BEY7,#REF!,4,FALSE)))=TRUE,VLOOKUP(BEY7,#REF!,3,FALSE),VLOOKUP(BEY7,#REF!,4,FALSE)),0)</f>
        <v/>
      </c>
      <c r="BEZ1">
        <f>IFERROR(IF((ISBLANK(VLOOKUP(BEZ7,#REF!,4,FALSE)))=TRUE,VLOOKUP(BEZ7,#REF!,3,FALSE),VLOOKUP(BEZ7,#REF!,4,FALSE)),0)</f>
        <v/>
      </c>
      <c r="BFA1">
        <f>IFERROR(IF((ISBLANK(VLOOKUP(BFA7,#REF!,4,FALSE)))=TRUE,VLOOKUP(BFA7,#REF!,3,FALSE),VLOOKUP(BFA7,#REF!,4,FALSE)),0)</f>
        <v/>
      </c>
      <c r="BFB1">
        <f>IFERROR(IF((ISBLANK(VLOOKUP(BFB7,#REF!,4,FALSE)))=TRUE,VLOOKUP(BFB7,#REF!,3,FALSE),VLOOKUP(BFB7,#REF!,4,FALSE)),0)</f>
        <v/>
      </c>
      <c r="BFC1">
        <f>IFERROR(IF((ISBLANK(VLOOKUP(BFC7,#REF!,4,FALSE)))=TRUE,VLOOKUP(BFC7,#REF!,3,FALSE),VLOOKUP(BFC7,#REF!,4,FALSE)),0)</f>
        <v/>
      </c>
      <c r="BFD1">
        <f>IFERROR(IF((ISBLANK(VLOOKUP(BFD7,#REF!,4,FALSE)))=TRUE,VLOOKUP(BFD7,#REF!,3,FALSE),VLOOKUP(BFD7,#REF!,4,FALSE)),0)</f>
        <v/>
      </c>
      <c r="BFE1">
        <f>IFERROR(IF((ISBLANK(VLOOKUP(BFE7,#REF!,4,FALSE)))=TRUE,VLOOKUP(BFE7,#REF!,3,FALSE),VLOOKUP(BFE7,#REF!,4,FALSE)),0)</f>
        <v/>
      </c>
      <c r="BFF1">
        <f>IFERROR(IF((ISBLANK(VLOOKUP(BFF7,#REF!,4,FALSE)))=TRUE,VLOOKUP(BFF7,#REF!,3,FALSE),VLOOKUP(BFF7,#REF!,4,FALSE)),0)</f>
        <v/>
      </c>
      <c r="BFG1">
        <f>IFERROR(IF((ISBLANK(VLOOKUP(BFG7,#REF!,4,FALSE)))=TRUE,VLOOKUP(BFG7,#REF!,3,FALSE),VLOOKUP(BFG7,#REF!,4,FALSE)),0)</f>
        <v/>
      </c>
      <c r="BFH1">
        <f>IFERROR(IF((ISBLANK(VLOOKUP(BFH7,#REF!,4,FALSE)))=TRUE,VLOOKUP(BFH7,#REF!,3,FALSE),VLOOKUP(BFH7,#REF!,4,FALSE)),0)</f>
        <v/>
      </c>
      <c r="BFI1">
        <f>IFERROR(IF((ISBLANK(VLOOKUP(BFI7,#REF!,4,FALSE)))=TRUE,VLOOKUP(BFI7,#REF!,3,FALSE),VLOOKUP(BFI7,#REF!,4,FALSE)),0)</f>
        <v/>
      </c>
      <c r="BFJ1">
        <f>IFERROR(IF((ISBLANK(VLOOKUP(BFJ7,#REF!,4,FALSE)))=TRUE,VLOOKUP(BFJ7,#REF!,3,FALSE),VLOOKUP(BFJ7,#REF!,4,FALSE)),0)</f>
        <v/>
      </c>
      <c r="BFK1">
        <f>IFERROR(IF((ISBLANK(VLOOKUP(BFK7,#REF!,4,FALSE)))=TRUE,VLOOKUP(BFK7,#REF!,3,FALSE),VLOOKUP(BFK7,#REF!,4,FALSE)),0)</f>
        <v/>
      </c>
      <c r="BFL1">
        <f>IFERROR(IF((ISBLANK(VLOOKUP(BFL7,#REF!,4,FALSE)))=TRUE,VLOOKUP(BFL7,#REF!,3,FALSE),VLOOKUP(BFL7,#REF!,4,FALSE)),0)</f>
        <v/>
      </c>
      <c r="BFM1">
        <f>IFERROR(IF((ISBLANK(VLOOKUP(BFM7,#REF!,4,FALSE)))=TRUE,VLOOKUP(BFM7,#REF!,3,FALSE),VLOOKUP(BFM7,#REF!,4,FALSE)),0)</f>
        <v/>
      </c>
      <c r="BFN1">
        <f>IFERROR(IF((ISBLANK(VLOOKUP(BFN7,#REF!,4,FALSE)))=TRUE,VLOOKUP(BFN7,#REF!,3,FALSE),VLOOKUP(BFN7,#REF!,4,FALSE)),0)</f>
        <v/>
      </c>
      <c r="BFO1">
        <f>IFERROR(IF((ISBLANK(VLOOKUP(BFO7,#REF!,4,FALSE)))=TRUE,VLOOKUP(BFO7,#REF!,3,FALSE),VLOOKUP(BFO7,#REF!,4,FALSE)),0)</f>
        <v/>
      </c>
      <c r="BFP1">
        <f>IFERROR(IF((ISBLANK(VLOOKUP(BFP7,#REF!,4,FALSE)))=TRUE,VLOOKUP(BFP7,#REF!,3,FALSE),VLOOKUP(BFP7,#REF!,4,FALSE)),0)</f>
        <v/>
      </c>
      <c r="BFQ1">
        <f>IFERROR(IF((ISBLANK(VLOOKUP(BFQ7,#REF!,4,FALSE)))=TRUE,VLOOKUP(BFQ7,#REF!,3,FALSE),VLOOKUP(BFQ7,#REF!,4,FALSE)),0)</f>
        <v/>
      </c>
      <c r="BFR1">
        <f>IFERROR(IF((ISBLANK(VLOOKUP(BFR7,#REF!,4,FALSE)))=TRUE,VLOOKUP(BFR7,#REF!,3,FALSE),VLOOKUP(BFR7,#REF!,4,FALSE)),0)</f>
        <v/>
      </c>
      <c r="BFS1">
        <f>IFERROR(IF((ISBLANK(VLOOKUP(BFS7,#REF!,4,FALSE)))=TRUE,VLOOKUP(BFS7,#REF!,3,FALSE),VLOOKUP(BFS7,#REF!,4,FALSE)),0)</f>
        <v/>
      </c>
      <c r="BFT1">
        <f>IFERROR(IF((ISBLANK(VLOOKUP(BFT7,#REF!,4,FALSE)))=TRUE,VLOOKUP(BFT7,#REF!,3,FALSE),VLOOKUP(BFT7,#REF!,4,FALSE)),0)</f>
        <v/>
      </c>
      <c r="BFU1">
        <f>IFERROR(IF((ISBLANK(VLOOKUP(BFU7,#REF!,4,FALSE)))=TRUE,VLOOKUP(BFU7,#REF!,3,FALSE),VLOOKUP(BFU7,#REF!,4,FALSE)),0)</f>
        <v/>
      </c>
      <c r="BFV1">
        <f>IFERROR(IF((ISBLANK(VLOOKUP(BFV7,#REF!,4,FALSE)))=TRUE,VLOOKUP(BFV7,#REF!,3,FALSE),VLOOKUP(BFV7,#REF!,4,FALSE)),0)</f>
        <v/>
      </c>
      <c r="BFW1">
        <f>IFERROR(IF((ISBLANK(VLOOKUP(BFW7,#REF!,4,FALSE)))=TRUE,VLOOKUP(BFW7,#REF!,3,FALSE),VLOOKUP(BFW7,#REF!,4,FALSE)),0)</f>
        <v/>
      </c>
      <c r="BFX1">
        <f>IFERROR(IF((ISBLANK(VLOOKUP(BFX7,#REF!,4,FALSE)))=TRUE,VLOOKUP(BFX7,#REF!,3,FALSE),VLOOKUP(BFX7,#REF!,4,FALSE)),0)</f>
        <v/>
      </c>
      <c r="BFY1">
        <f>IFERROR(IF((ISBLANK(VLOOKUP(BFY7,#REF!,4,FALSE)))=TRUE,VLOOKUP(BFY7,#REF!,3,FALSE),VLOOKUP(BFY7,#REF!,4,FALSE)),0)</f>
        <v/>
      </c>
      <c r="BFZ1">
        <f>IFERROR(IF((ISBLANK(VLOOKUP(BFZ7,#REF!,4,FALSE)))=TRUE,VLOOKUP(BFZ7,#REF!,3,FALSE),VLOOKUP(BFZ7,#REF!,4,FALSE)),0)</f>
        <v/>
      </c>
      <c r="BGA1">
        <f>IFERROR(IF((ISBLANK(VLOOKUP(BGA7,#REF!,4,FALSE)))=TRUE,VLOOKUP(BGA7,#REF!,3,FALSE),VLOOKUP(BGA7,#REF!,4,FALSE)),0)</f>
        <v/>
      </c>
      <c r="BGB1">
        <f>IFERROR(IF((ISBLANK(VLOOKUP(BGB7,#REF!,4,FALSE)))=TRUE,VLOOKUP(BGB7,#REF!,3,FALSE),VLOOKUP(BGB7,#REF!,4,FALSE)),0)</f>
        <v/>
      </c>
      <c r="BGC1">
        <f>IFERROR(IF((ISBLANK(VLOOKUP(BGC7,#REF!,4,FALSE)))=TRUE,VLOOKUP(BGC7,#REF!,3,FALSE),VLOOKUP(BGC7,#REF!,4,FALSE)),0)</f>
        <v/>
      </c>
      <c r="BGD1">
        <f>IFERROR(IF((ISBLANK(VLOOKUP(BGD7,#REF!,4,FALSE)))=TRUE,VLOOKUP(BGD7,#REF!,3,FALSE),VLOOKUP(BGD7,#REF!,4,FALSE)),0)</f>
        <v/>
      </c>
      <c r="BGE1">
        <f>IFERROR(IF((ISBLANK(VLOOKUP(BGE7,#REF!,4,FALSE)))=TRUE,VLOOKUP(BGE7,#REF!,3,FALSE),VLOOKUP(BGE7,#REF!,4,FALSE)),0)</f>
        <v/>
      </c>
      <c r="BGF1">
        <f>IFERROR(IF((ISBLANK(VLOOKUP(BGF7,#REF!,4,FALSE)))=TRUE,VLOOKUP(BGF7,#REF!,3,FALSE),VLOOKUP(BGF7,#REF!,4,FALSE)),0)</f>
        <v/>
      </c>
      <c r="BGG1">
        <f>IFERROR(IF((ISBLANK(VLOOKUP(BGG7,#REF!,4,FALSE)))=TRUE,VLOOKUP(BGG7,#REF!,3,FALSE),VLOOKUP(BGG7,#REF!,4,FALSE)),0)</f>
        <v/>
      </c>
      <c r="BGH1">
        <f>IFERROR(IF((ISBLANK(VLOOKUP(BGH7,#REF!,4,FALSE)))=TRUE,VLOOKUP(BGH7,#REF!,3,FALSE),VLOOKUP(BGH7,#REF!,4,FALSE)),0)</f>
        <v/>
      </c>
      <c r="BGI1">
        <f>IFERROR(IF((ISBLANK(VLOOKUP(BGI7,#REF!,4,FALSE)))=TRUE,VLOOKUP(BGI7,#REF!,3,FALSE),VLOOKUP(BGI7,#REF!,4,FALSE)),0)</f>
        <v/>
      </c>
      <c r="BGJ1">
        <f>IFERROR(IF((ISBLANK(VLOOKUP(BGJ7,#REF!,4,FALSE)))=TRUE,VLOOKUP(BGJ7,#REF!,3,FALSE),VLOOKUP(BGJ7,#REF!,4,FALSE)),0)</f>
        <v/>
      </c>
      <c r="BGK1">
        <f>IFERROR(IF((ISBLANK(VLOOKUP(BGK7,#REF!,4,FALSE)))=TRUE,VLOOKUP(BGK7,#REF!,3,FALSE),VLOOKUP(BGK7,#REF!,4,FALSE)),0)</f>
        <v/>
      </c>
      <c r="BGL1">
        <f>IFERROR(IF((ISBLANK(VLOOKUP(BGL7,#REF!,4,FALSE)))=TRUE,VLOOKUP(BGL7,#REF!,3,FALSE),VLOOKUP(BGL7,#REF!,4,FALSE)),0)</f>
        <v/>
      </c>
      <c r="BGM1">
        <f>IFERROR(IF((ISBLANK(VLOOKUP(BGM7,#REF!,4,FALSE)))=TRUE,VLOOKUP(BGM7,#REF!,3,FALSE),VLOOKUP(BGM7,#REF!,4,FALSE)),0)</f>
        <v/>
      </c>
      <c r="BGN1">
        <f>IFERROR(IF((ISBLANK(VLOOKUP(BGN7,#REF!,4,FALSE)))=TRUE,VLOOKUP(BGN7,#REF!,3,FALSE),VLOOKUP(BGN7,#REF!,4,FALSE)),0)</f>
        <v/>
      </c>
      <c r="BGO1">
        <f>IFERROR(IF((ISBLANK(VLOOKUP(BGO7,#REF!,4,FALSE)))=TRUE,VLOOKUP(BGO7,#REF!,3,FALSE),VLOOKUP(BGO7,#REF!,4,FALSE)),0)</f>
        <v/>
      </c>
      <c r="BGP1">
        <f>IFERROR(IF((ISBLANK(VLOOKUP(BGP7,#REF!,4,FALSE)))=TRUE,VLOOKUP(BGP7,#REF!,3,FALSE),VLOOKUP(BGP7,#REF!,4,FALSE)),0)</f>
        <v/>
      </c>
      <c r="BGQ1">
        <f>IFERROR(IF((ISBLANK(VLOOKUP(BGQ7,#REF!,4,FALSE)))=TRUE,VLOOKUP(BGQ7,#REF!,3,FALSE),VLOOKUP(BGQ7,#REF!,4,FALSE)),0)</f>
        <v/>
      </c>
      <c r="BGR1">
        <f>IFERROR(IF((ISBLANK(VLOOKUP(BGR7,#REF!,4,FALSE)))=TRUE,VLOOKUP(BGR7,#REF!,3,FALSE),VLOOKUP(BGR7,#REF!,4,FALSE)),0)</f>
        <v/>
      </c>
      <c r="BGS1">
        <f>IFERROR(IF((ISBLANK(VLOOKUP(BGS7,#REF!,4,FALSE)))=TRUE,VLOOKUP(BGS7,#REF!,3,FALSE),VLOOKUP(BGS7,#REF!,4,FALSE)),0)</f>
        <v/>
      </c>
      <c r="BGT1">
        <f>IFERROR(IF((ISBLANK(VLOOKUP(BGT7,#REF!,4,FALSE)))=TRUE,VLOOKUP(BGT7,#REF!,3,FALSE),VLOOKUP(BGT7,#REF!,4,FALSE)),0)</f>
        <v/>
      </c>
      <c r="BGU1">
        <f>IFERROR(IF((ISBLANK(VLOOKUP(BGU7,#REF!,4,FALSE)))=TRUE,VLOOKUP(BGU7,#REF!,3,FALSE),VLOOKUP(BGU7,#REF!,4,FALSE)),0)</f>
        <v/>
      </c>
      <c r="BGV1">
        <f>IFERROR(IF((ISBLANK(VLOOKUP(BGV7,#REF!,4,FALSE)))=TRUE,VLOOKUP(BGV7,#REF!,3,FALSE),VLOOKUP(BGV7,#REF!,4,FALSE)),0)</f>
        <v/>
      </c>
      <c r="BGW1">
        <f>IFERROR(IF((ISBLANK(VLOOKUP(BGW7,#REF!,4,FALSE)))=TRUE,VLOOKUP(BGW7,#REF!,3,FALSE),VLOOKUP(BGW7,#REF!,4,FALSE)),0)</f>
        <v/>
      </c>
      <c r="BGX1">
        <f>IFERROR(IF((ISBLANK(VLOOKUP(BGX7,#REF!,4,FALSE)))=TRUE,VLOOKUP(BGX7,#REF!,3,FALSE),VLOOKUP(BGX7,#REF!,4,FALSE)),0)</f>
        <v/>
      </c>
      <c r="BGY1">
        <f>IFERROR(IF((ISBLANK(VLOOKUP(BGY7,#REF!,4,FALSE)))=TRUE,VLOOKUP(BGY7,#REF!,3,FALSE),VLOOKUP(BGY7,#REF!,4,FALSE)),0)</f>
        <v/>
      </c>
      <c r="BGZ1">
        <f>IFERROR(IF((ISBLANK(VLOOKUP(BGZ7,#REF!,4,FALSE)))=TRUE,VLOOKUP(BGZ7,#REF!,3,FALSE),VLOOKUP(BGZ7,#REF!,4,FALSE)),0)</f>
        <v/>
      </c>
      <c r="BHA1">
        <f>IFERROR(IF((ISBLANK(VLOOKUP(BHA7,#REF!,4,FALSE)))=TRUE,VLOOKUP(BHA7,#REF!,3,FALSE),VLOOKUP(BHA7,#REF!,4,FALSE)),0)</f>
        <v/>
      </c>
      <c r="BHB1">
        <f>IFERROR(IF((ISBLANK(VLOOKUP(BHB7,#REF!,4,FALSE)))=TRUE,VLOOKUP(BHB7,#REF!,3,FALSE),VLOOKUP(BHB7,#REF!,4,FALSE)),0)</f>
        <v/>
      </c>
      <c r="BHC1">
        <f>IFERROR(IF((ISBLANK(VLOOKUP(BHC7,#REF!,4,FALSE)))=TRUE,VLOOKUP(BHC7,#REF!,3,FALSE),VLOOKUP(BHC7,#REF!,4,FALSE)),0)</f>
        <v/>
      </c>
      <c r="BHD1">
        <f>IFERROR(IF((ISBLANK(VLOOKUP(BHD7,#REF!,4,FALSE)))=TRUE,VLOOKUP(BHD7,#REF!,3,FALSE),VLOOKUP(BHD7,#REF!,4,FALSE)),0)</f>
        <v/>
      </c>
      <c r="BHE1">
        <f>IFERROR(IF((ISBLANK(VLOOKUP(BHE7,#REF!,4,FALSE)))=TRUE,VLOOKUP(BHE7,#REF!,3,FALSE),VLOOKUP(BHE7,#REF!,4,FALSE)),0)</f>
        <v/>
      </c>
      <c r="BHF1">
        <f>IFERROR(IF((ISBLANK(VLOOKUP(BHF7,#REF!,4,FALSE)))=TRUE,VLOOKUP(BHF7,#REF!,3,FALSE),VLOOKUP(BHF7,#REF!,4,FALSE)),0)</f>
        <v/>
      </c>
      <c r="BHG1">
        <f>IFERROR(IF((ISBLANK(VLOOKUP(BHG7,#REF!,4,FALSE)))=TRUE,VLOOKUP(BHG7,#REF!,3,FALSE),VLOOKUP(BHG7,#REF!,4,FALSE)),0)</f>
        <v/>
      </c>
      <c r="BHH1">
        <f>IFERROR(IF((ISBLANK(VLOOKUP(BHH7,#REF!,4,FALSE)))=TRUE,VLOOKUP(BHH7,#REF!,3,FALSE),VLOOKUP(BHH7,#REF!,4,FALSE)),0)</f>
        <v/>
      </c>
      <c r="BHI1">
        <f>IFERROR(IF((ISBLANK(VLOOKUP(BHI7,#REF!,4,FALSE)))=TRUE,VLOOKUP(BHI7,#REF!,3,FALSE),VLOOKUP(BHI7,#REF!,4,FALSE)),0)</f>
        <v/>
      </c>
      <c r="BHJ1">
        <f>IFERROR(IF((ISBLANK(VLOOKUP(BHJ7,#REF!,4,FALSE)))=TRUE,VLOOKUP(BHJ7,#REF!,3,FALSE),VLOOKUP(BHJ7,#REF!,4,FALSE)),0)</f>
        <v/>
      </c>
      <c r="BHK1">
        <f>IFERROR(IF((ISBLANK(VLOOKUP(BHK7,#REF!,4,FALSE)))=TRUE,VLOOKUP(BHK7,#REF!,3,FALSE),VLOOKUP(BHK7,#REF!,4,FALSE)),0)</f>
        <v/>
      </c>
      <c r="BHL1">
        <f>IFERROR(IF((ISBLANK(VLOOKUP(BHL7,#REF!,4,FALSE)))=TRUE,VLOOKUP(BHL7,#REF!,3,FALSE),VLOOKUP(BHL7,#REF!,4,FALSE)),0)</f>
        <v/>
      </c>
      <c r="BHM1">
        <f>IFERROR(IF((ISBLANK(VLOOKUP(BHM7,#REF!,4,FALSE)))=TRUE,VLOOKUP(BHM7,#REF!,3,FALSE),VLOOKUP(BHM7,#REF!,4,FALSE)),0)</f>
        <v/>
      </c>
      <c r="BHN1">
        <f>IFERROR(IF((ISBLANK(VLOOKUP(BHN7,#REF!,4,FALSE)))=TRUE,VLOOKUP(BHN7,#REF!,3,FALSE),VLOOKUP(BHN7,#REF!,4,FALSE)),0)</f>
        <v/>
      </c>
      <c r="BHO1">
        <f>IFERROR(IF((ISBLANK(VLOOKUP(BHO7,#REF!,4,FALSE)))=TRUE,VLOOKUP(BHO7,#REF!,3,FALSE),VLOOKUP(BHO7,#REF!,4,FALSE)),0)</f>
        <v/>
      </c>
      <c r="BHP1">
        <f>IFERROR(IF((ISBLANK(VLOOKUP(BHP7,#REF!,4,FALSE)))=TRUE,VLOOKUP(BHP7,#REF!,3,FALSE),VLOOKUP(BHP7,#REF!,4,FALSE)),0)</f>
        <v/>
      </c>
      <c r="BHQ1">
        <f>IFERROR(IF((ISBLANK(VLOOKUP(BHQ7,#REF!,4,FALSE)))=TRUE,VLOOKUP(BHQ7,#REF!,3,FALSE),VLOOKUP(BHQ7,#REF!,4,FALSE)),0)</f>
        <v/>
      </c>
      <c r="BHR1">
        <f>IFERROR(IF((ISBLANK(VLOOKUP(BHR7,#REF!,4,FALSE)))=TRUE,VLOOKUP(BHR7,#REF!,3,FALSE),VLOOKUP(BHR7,#REF!,4,FALSE)),0)</f>
        <v/>
      </c>
      <c r="BHS1">
        <f>IFERROR(IF((ISBLANK(VLOOKUP(BHS7,#REF!,4,FALSE)))=TRUE,VLOOKUP(BHS7,#REF!,3,FALSE),VLOOKUP(BHS7,#REF!,4,FALSE)),0)</f>
        <v/>
      </c>
      <c r="BHT1">
        <f>IFERROR(IF((ISBLANK(VLOOKUP(BHT7,#REF!,4,FALSE)))=TRUE,VLOOKUP(BHT7,#REF!,3,FALSE),VLOOKUP(BHT7,#REF!,4,FALSE)),0)</f>
        <v/>
      </c>
      <c r="BHU1">
        <f>IFERROR(IF((ISBLANK(VLOOKUP(BHU7,#REF!,4,FALSE)))=TRUE,VLOOKUP(BHU7,#REF!,3,FALSE),VLOOKUP(BHU7,#REF!,4,FALSE)),0)</f>
        <v/>
      </c>
      <c r="BHV1">
        <f>IFERROR(IF((ISBLANK(VLOOKUP(BHV7,#REF!,4,FALSE)))=TRUE,VLOOKUP(BHV7,#REF!,3,FALSE),VLOOKUP(BHV7,#REF!,4,FALSE)),0)</f>
        <v/>
      </c>
      <c r="BHW1">
        <f>IFERROR(IF((ISBLANK(VLOOKUP(BHW7,#REF!,4,FALSE)))=TRUE,VLOOKUP(BHW7,#REF!,3,FALSE),VLOOKUP(BHW7,#REF!,4,FALSE)),0)</f>
        <v/>
      </c>
      <c r="BHX1">
        <f>IFERROR(IF((ISBLANK(VLOOKUP(BHX7,#REF!,4,FALSE)))=TRUE,VLOOKUP(BHX7,#REF!,3,FALSE),VLOOKUP(BHX7,#REF!,4,FALSE)),0)</f>
        <v/>
      </c>
      <c r="BHY1">
        <f>IFERROR(IF((ISBLANK(VLOOKUP(BHY7,#REF!,4,FALSE)))=TRUE,VLOOKUP(BHY7,#REF!,3,FALSE),VLOOKUP(BHY7,#REF!,4,FALSE)),0)</f>
        <v/>
      </c>
      <c r="BHZ1">
        <f>IFERROR(IF((ISBLANK(VLOOKUP(BHZ7,#REF!,4,FALSE)))=TRUE,VLOOKUP(BHZ7,#REF!,3,FALSE),VLOOKUP(BHZ7,#REF!,4,FALSE)),0)</f>
        <v/>
      </c>
      <c r="BIA1">
        <f>IFERROR(IF((ISBLANK(VLOOKUP(BIA7,#REF!,4,FALSE)))=TRUE,VLOOKUP(BIA7,#REF!,3,FALSE),VLOOKUP(BIA7,#REF!,4,FALSE)),0)</f>
        <v/>
      </c>
      <c r="BIB1">
        <f>IFERROR(IF((ISBLANK(VLOOKUP(BIB7,#REF!,4,FALSE)))=TRUE,VLOOKUP(BIB7,#REF!,3,FALSE),VLOOKUP(BIB7,#REF!,4,FALSE)),0)</f>
        <v/>
      </c>
      <c r="BIC1">
        <f>IFERROR(IF((ISBLANK(VLOOKUP(BIC7,#REF!,4,FALSE)))=TRUE,VLOOKUP(BIC7,#REF!,3,FALSE),VLOOKUP(BIC7,#REF!,4,FALSE)),0)</f>
        <v/>
      </c>
      <c r="BID1">
        <f>IFERROR(IF((ISBLANK(VLOOKUP(BID7,#REF!,4,FALSE)))=TRUE,VLOOKUP(BID7,#REF!,3,FALSE),VLOOKUP(BID7,#REF!,4,FALSE)),0)</f>
        <v/>
      </c>
      <c r="BIE1">
        <f>IFERROR(IF((ISBLANK(VLOOKUP(BIE7,#REF!,4,FALSE)))=TRUE,VLOOKUP(BIE7,#REF!,3,FALSE),VLOOKUP(BIE7,#REF!,4,FALSE)),0)</f>
        <v/>
      </c>
      <c r="BIF1">
        <f>IFERROR(IF((ISBLANK(VLOOKUP(BIF7,#REF!,4,FALSE)))=TRUE,VLOOKUP(BIF7,#REF!,3,FALSE),VLOOKUP(BIF7,#REF!,4,FALSE)),0)</f>
        <v/>
      </c>
      <c r="BIG1">
        <f>IFERROR(IF((ISBLANK(VLOOKUP(BIG7,#REF!,4,FALSE)))=TRUE,VLOOKUP(BIG7,#REF!,3,FALSE),VLOOKUP(BIG7,#REF!,4,FALSE)),0)</f>
        <v/>
      </c>
      <c r="BIH1">
        <f>IFERROR(IF((ISBLANK(VLOOKUP(BIH7,#REF!,4,FALSE)))=TRUE,VLOOKUP(BIH7,#REF!,3,FALSE),VLOOKUP(BIH7,#REF!,4,FALSE)),0)</f>
        <v/>
      </c>
      <c r="BII1">
        <f>IFERROR(IF((ISBLANK(VLOOKUP(BII7,#REF!,4,FALSE)))=TRUE,VLOOKUP(BII7,#REF!,3,FALSE),VLOOKUP(BII7,#REF!,4,FALSE)),0)</f>
        <v/>
      </c>
      <c r="BIJ1">
        <f>IFERROR(IF((ISBLANK(VLOOKUP(BIJ7,#REF!,4,FALSE)))=TRUE,VLOOKUP(BIJ7,#REF!,3,FALSE),VLOOKUP(BIJ7,#REF!,4,FALSE)),0)</f>
        <v/>
      </c>
      <c r="BIK1">
        <f>IFERROR(IF((ISBLANK(VLOOKUP(BIK7,#REF!,4,FALSE)))=TRUE,VLOOKUP(BIK7,#REF!,3,FALSE),VLOOKUP(BIK7,#REF!,4,FALSE)),0)</f>
        <v/>
      </c>
      <c r="BIL1">
        <f>IFERROR(IF((ISBLANK(VLOOKUP(BIL7,#REF!,4,FALSE)))=TRUE,VLOOKUP(BIL7,#REF!,3,FALSE),VLOOKUP(BIL7,#REF!,4,FALSE)),0)</f>
        <v/>
      </c>
      <c r="BIM1">
        <f>IFERROR(IF((ISBLANK(VLOOKUP(BIM7,#REF!,4,FALSE)))=TRUE,VLOOKUP(BIM7,#REF!,3,FALSE),VLOOKUP(BIM7,#REF!,4,FALSE)),0)</f>
        <v/>
      </c>
      <c r="BIN1">
        <f>IFERROR(IF((ISBLANK(VLOOKUP(BIN7,#REF!,4,FALSE)))=TRUE,VLOOKUP(BIN7,#REF!,3,FALSE),VLOOKUP(BIN7,#REF!,4,FALSE)),0)</f>
        <v/>
      </c>
      <c r="BIO1">
        <f>IFERROR(IF((ISBLANK(VLOOKUP(BIO7,#REF!,4,FALSE)))=TRUE,VLOOKUP(BIO7,#REF!,3,FALSE),VLOOKUP(BIO7,#REF!,4,FALSE)),0)</f>
        <v/>
      </c>
      <c r="BIP1">
        <f>IFERROR(IF((ISBLANK(VLOOKUP(BIP7,#REF!,4,FALSE)))=TRUE,VLOOKUP(BIP7,#REF!,3,FALSE),VLOOKUP(BIP7,#REF!,4,FALSE)),0)</f>
        <v/>
      </c>
      <c r="BIQ1">
        <f>IFERROR(IF((ISBLANK(VLOOKUP(BIQ7,#REF!,4,FALSE)))=TRUE,VLOOKUP(BIQ7,#REF!,3,FALSE),VLOOKUP(BIQ7,#REF!,4,FALSE)),0)</f>
        <v/>
      </c>
      <c r="BIR1">
        <f>IFERROR(IF((ISBLANK(VLOOKUP(BIR7,#REF!,4,FALSE)))=TRUE,VLOOKUP(BIR7,#REF!,3,FALSE),VLOOKUP(BIR7,#REF!,4,FALSE)),0)</f>
        <v/>
      </c>
      <c r="BIS1">
        <f>IFERROR(IF((ISBLANK(VLOOKUP(BIS7,#REF!,4,FALSE)))=TRUE,VLOOKUP(BIS7,#REF!,3,FALSE),VLOOKUP(BIS7,#REF!,4,FALSE)),0)</f>
        <v/>
      </c>
      <c r="BIT1">
        <f>IFERROR(IF((ISBLANK(VLOOKUP(BIT7,#REF!,4,FALSE)))=TRUE,VLOOKUP(BIT7,#REF!,3,FALSE),VLOOKUP(BIT7,#REF!,4,FALSE)),0)</f>
        <v/>
      </c>
      <c r="BIU1">
        <f>IFERROR(IF((ISBLANK(VLOOKUP(BIU7,#REF!,4,FALSE)))=TRUE,VLOOKUP(BIU7,#REF!,3,FALSE),VLOOKUP(BIU7,#REF!,4,FALSE)),0)</f>
        <v/>
      </c>
      <c r="BIV1">
        <f>IFERROR(IF((ISBLANK(VLOOKUP(BIV7,#REF!,4,FALSE)))=TRUE,VLOOKUP(BIV7,#REF!,3,FALSE),VLOOKUP(BIV7,#REF!,4,FALSE)),0)</f>
        <v/>
      </c>
      <c r="BIW1">
        <f>IFERROR(IF((ISBLANK(VLOOKUP(BIW7,#REF!,4,FALSE)))=TRUE,VLOOKUP(BIW7,#REF!,3,FALSE),VLOOKUP(BIW7,#REF!,4,FALSE)),0)</f>
        <v/>
      </c>
      <c r="BIX1">
        <f>IFERROR(IF((ISBLANK(VLOOKUP(BIX7,#REF!,4,FALSE)))=TRUE,VLOOKUP(BIX7,#REF!,3,FALSE),VLOOKUP(BIX7,#REF!,4,FALSE)),0)</f>
        <v/>
      </c>
      <c r="BIY1">
        <f>IFERROR(IF((ISBLANK(VLOOKUP(BIY7,#REF!,4,FALSE)))=TRUE,VLOOKUP(BIY7,#REF!,3,FALSE),VLOOKUP(BIY7,#REF!,4,FALSE)),0)</f>
        <v/>
      </c>
      <c r="BIZ1">
        <f>IFERROR(IF((ISBLANK(VLOOKUP(BIZ7,#REF!,4,FALSE)))=TRUE,VLOOKUP(BIZ7,#REF!,3,FALSE),VLOOKUP(BIZ7,#REF!,4,FALSE)),0)</f>
        <v/>
      </c>
      <c r="BJA1">
        <f>IFERROR(IF((ISBLANK(VLOOKUP(BJA7,#REF!,4,FALSE)))=TRUE,VLOOKUP(BJA7,#REF!,3,FALSE),VLOOKUP(BJA7,#REF!,4,FALSE)),0)</f>
        <v/>
      </c>
      <c r="BJB1">
        <f>IFERROR(IF((ISBLANK(VLOOKUP(BJB7,#REF!,4,FALSE)))=TRUE,VLOOKUP(BJB7,#REF!,3,FALSE),VLOOKUP(BJB7,#REF!,4,FALSE)),0)</f>
        <v/>
      </c>
      <c r="BJC1">
        <f>IFERROR(IF((ISBLANK(VLOOKUP(BJC7,#REF!,4,FALSE)))=TRUE,VLOOKUP(BJC7,#REF!,3,FALSE),VLOOKUP(BJC7,#REF!,4,FALSE)),0)</f>
        <v/>
      </c>
      <c r="BJD1">
        <f>IFERROR(IF((ISBLANK(VLOOKUP(BJD7,#REF!,4,FALSE)))=TRUE,VLOOKUP(BJD7,#REF!,3,FALSE),VLOOKUP(BJD7,#REF!,4,FALSE)),0)</f>
        <v/>
      </c>
      <c r="BJE1">
        <f>IFERROR(IF((ISBLANK(VLOOKUP(BJE7,#REF!,4,FALSE)))=TRUE,VLOOKUP(BJE7,#REF!,3,FALSE),VLOOKUP(BJE7,#REF!,4,FALSE)),0)</f>
        <v/>
      </c>
      <c r="BJF1">
        <f>IFERROR(IF((ISBLANK(VLOOKUP(BJF7,#REF!,4,FALSE)))=TRUE,VLOOKUP(BJF7,#REF!,3,FALSE),VLOOKUP(BJF7,#REF!,4,FALSE)),0)</f>
        <v/>
      </c>
      <c r="BJG1">
        <f>IFERROR(IF((ISBLANK(VLOOKUP(BJG7,#REF!,4,FALSE)))=TRUE,VLOOKUP(BJG7,#REF!,3,FALSE),VLOOKUP(BJG7,#REF!,4,FALSE)),0)</f>
        <v/>
      </c>
      <c r="BJH1">
        <f>IFERROR(IF((ISBLANK(VLOOKUP(BJH7,#REF!,4,FALSE)))=TRUE,VLOOKUP(BJH7,#REF!,3,FALSE),VLOOKUP(BJH7,#REF!,4,FALSE)),0)</f>
        <v/>
      </c>
      <c r="BJI1">
        <f>IFERROR(IF((ISBLANK(VLOOKUP(BJI7,#REF!,4,FALSE)))=TRUE,VLOOKUP(BJI7,#REF!,3,FALSE),VLOOKUP(BJI7,#REF!,4,FALSE)),0)</f>
        <v/>
      </c>
      <c r="BJJ1">
        <f>IFERROR(IF((ISBLANK(VLOOKUP(BJJ7,#REF!,4,FALSE)))=TRUE,VLOOKUP(BJJ7,#REF!,3,FALSE),VLOOKUP(BJJ7,#REF!,4,FALSE)),0)</f>
        <v/>
      </c>
      <c r="BJK1">
        <f>IFERROR(IF((ISBLANK(VLOOKUP(BJK7,#REF!,4,FALSE)))=TRUE,VLOOKUP(BJK7,#REF!,3,FALSE),VLOOKUP(BJK7,#REF!,4,FALSE)),0)</f>
        <v/>
      </c>
      <c r="BJL1">
        <f>IFERROR(IF((ISBLANK(VLOOKUP(BJL7,#REF!,4,FALSE)))=TRUE,VLOOKUP(BJL7,#REF!,3,FALSE),VLOOKUP(BJL7,#REF!,4,FALSE)),0)</f>
        <v/>
      </c>
      <c r="BJM1">
        <f>IFERROR(IF((ISBLANK(VLOOKUP(BJM7,#REF!,4,FALSE)))=TRUE,VLOOKUP(BJM7,#REF!,3,FALSE),VLOOKUP(BJM7,#REF!,4,FALSE)),0)</f>
        <v/>
      </c>
      <c r="BJN1">
        <f>IFERROR(IF((ISBLANK(VLOOKUP(BJN7,#REF!,4,FALSE)))=TRUE,VLOOKUP(BJN7,#REF!,3,FALSE),VLOOKUP(BJN7,#REF!,4,FALSE)),0)</f>
        <v/>
      </c>
      <c r="BJO1">
        <f>IFERROR(IF((ISBLANK(VLOOKUP(BJO7,#REF!,4,FALSE)))=TRUE,VLOOKUP(BJO7,#REF!,3,FALSE),VLOOKUP(BJO7,#REF!,4,FALSE)),0)</f>
        <v/>
      </c>
      <c r="BJP1">
        <f>IFERROR(IF((ISBLANK(VLOOKUP(BJP7,#REF!,4,FALSE)))=TRUE,VLOOKUP(BJP7,#REF!,3,FALSE),VLOOKUP(BJP7,#REF!,4,FALSE)),0)</f>
        <v/>
      </c>
      <c r="BJQ1">
        <f>IFERROR(IF((ISBLANK(VLOOKUP(BJQ7,#REF!,4,FALSE)))=TRUE,VLOOKUP(BJQ7,#REF!,3,FALSE),VLOOKUP(BJQ7,#REF!,4,FALSE)),0)</f>
        <v/>
      </c>
      <c r="BJR1">
        <f>IFERROR(IF((ISBLANK(VLOOKUP(BJR7,#REF!,4,FALSE)))=TRUE,VLOOKUP(BJR7,#REF!,3,FALSE),VLOOKUP(BJR7,#REF!,4,FALSE)),0)</f>
        <v/>
      </c>
      <c r="BJS1">
        <f>BCS1</f>
        <v/>
      </c>
      <c r="BJT1">
        <f>IFERROR(IF((ISBLANK(VLOOKUP(BJT7,#REF!,4,FALSE)))=TRUE,VLOOKUP(BJT7,#REF!,3,FALSE),VLOOKUP(BJT7,#REF!,4,FALSE)),0)</f>
        <v/>
      </c>
      <c r="BJU1">
        <f>IFERROR(IF((ISBLANK(VLOOKUP(BJU7,#REF!,4,FALSE)))=TRUE,VLOOKUP(BJU7,#REF!,3,FALSE),VLOOKUP(BJU7,#REF!,4,FALSE)),0)</f>
        <v/>
      </c>
      <c r="BJV1">
        <f>IFERROR(IF((ISBLANK(VLOOKUP(BJV7,#REF!,4,FALSE)))=TRUE,VLOOKUP(BJV7,#REF!,3,FALSE),VLOOKUP(BJV7,#REF!,4,FALSE)),0)</f>
        <v/>
      </c>
      <c r="BJW1">
        <f>IFERROR(IF((ISBLANK(VLOOKUP(BJW7,#REF!,4,FALSE)))=TRUE,VLOOKUP(BJW7,#REF!,3,FALSE),VLOOKUP(BJW7,#REF!,4,FALSE)),0)</f>
        <v/>
      </c>
      <c r="BJX1">
        <f>IFERROR(IF((ISBLANK(VLOOKUP(BJX7,#REF!,4,FALSE)))=TRUE,VLOOKUP(BJX7,#REF!,3,FALSE),VLOOKUP(BJX7,#REF!,4,FALSE)),0)</f>
        <v/>
      </c>
      <c r="BJY1">
        <f>IFERROR(IF((ISBLANK(VLOOKUP(BJY7,#REF!,4,FALSE)))=TRUE,VLOOKUP(BJY7,#REF!,3,FALSE),VLOOKUP(BJY7,#REF!,4,FALSE)),0)</f>
        <v/>
      </c>
      <c r="BJZ1">
        <f>IFERROR(IF((ISBLANK(VLOOKUP(BJZ7,#REF!,4,FALSE)))=TRUE,VLOOKUP(BJZ7,#REF!,3,FALSE),VLOOKUP(BJZ7,#REF!,4,FALSE)),0)</f>
        <v/>
      </c>
      <c r="BKA1">
        <f>IFERROR(IF((ISBLANK(VLOOKUP(BKA7,#REF!,4,FALSE)))=TRUE,VLOOKUP(BKA7,#REF!,3,FALSE),VLOOKUP(BKA7,#REF!,4,FALSE)),0)</f>
        <v/>
      </c>
      <c r="BKB1">
        <f>IFERROR(IF((ISBLANK(VLOOKUP(BKB7,#REF!,4,FALSE)))=TRUE,VLOOKUP(BKB7,#REF!,3,FALSE),VLOOKUP(BKB7,#REF!,4,FALSE)),0)</f>
        <v/>
      </c>
      <c r="BKC1">
        <f>IFERROR(IF((ISBLANK(VLOOKUP(BKC7,#REF!,4,FALSE)))=TRUE,VLOOKUP(BKC7,#REF!,3,FALSE),VLOOKUP(BKC7,#REF!,4,FALSE)),0)</f>
        <v/>
      </c>
      <c r="BKD1">
        <f>IFERROR(IF((ISBLANK(VLOOKUP(BKD7,#REF!,4,FALSE)))=TRUE,VLOOKUP(BKD7,#REF!,3,FALSE),VLOOKUP(BKD7,#REF!,4,FALSE)),0)</f>
        <v/>
      </c>
      <c r="BKE1">
        <f>IFERROR(IF((ISBLANK(VLOOKUP(BKE7,#REF!,4,FALSE)))=TRUE,VLOOKUP(BKE7,#REF!,3,FALSE),VLOOKUP(BKE7,#REF!,4,FALSE)),0)</f>
        <v/>
      </c>
      <c r="BKF1">
        <f>IFERROR(IF((ISBLANK(VLOOKUP(BKF7,#REF!,4,FALSE)))=TRUE,VLOOKUP(BKF7,#REF!,3,FALSE),VLOOKUP(BKF7,#REF!,4,FALSE)),0)</f>
        <v/>
      </c>
      <c r="BKG1">
        <f>IFERROR(IF((ISBLANK(VLOOKUP(BKG7,#REF!,4,FALSE)))=TRUE,VLOOKUP(BKG7,#REF!,3,FALSE),VLOOKUP(BKG7,#REF!,4,FALSE)),0)</f>
        <v/>
      </c>
      <c r="BKH1">
        <f>IFERROR(IF((ISBLANK(VLOOKUP(BKH7,#REF!,4,FALSE)))=TRUE,VLOOKUP(BKH7,#REF!,3,FALSE),VLOOKUP(BKH7,#REF!,4,FALSE)),0)</f>
        <v/>
      </c>
      <c r="BKI1">
        <f>IFERROR(IF((ISBLANK(VLOOKUP(BKI7,#REF!,4,FALSE)))=TRUE,VLOOKUP(BKI7,#REF!,3,FALSE),VLOOKUP(BKI7,#REF!,4,FALSE)),0)</f>
        <v/>
      </c>
      <c r="BKJ1">
        <f>IFERROR(IF((ISBLANK(VLOOKUP(BKJ7,#REF!,4,FALSE)))=TRUE,VLOOKUP(BKJ7,#REF!,3,FALSE),VLOOKUP(BKJ7,#REF!,4,FALSE)),0)</f>
        <v/>
      </c>
      <c r="BKK1">
        <f>IFERROR(IF((ISBLANK(VLOOKUP(BKK7,#REF!,4,FALSE)))=TRUE,VLOOKUP(BKK7,#REF!,3,FALSE),VLOOKUP(BKK7,#REF!,4,FALSE)),0)</f>
        <v/>
      </c>
      <c r="BKL1">
        <f>IFERROR(IF((ISBLANK(VLOOKUP(BKL7,#REF!,4,FALSE)))=TRUE,VLOOKUP(BKL7,#REF!,3,FALSE),VLOOKUP(BKL7,#REF!,4,FALSE)),0)</f>
        <v/>
      </c>
      <c r="BKM1">
        <f>IFERROR(IF((ISBLANK(VLOOKUP(BKM7,#REF!,4,FALSE)))=TRUE,VLOOKUP(BKM7,#REF!,3,FALSE),VLOOKUP(BKM7,#REF!,4,FALSE)),0)</f>
        <v/>
      </c>
      <c r="BKN1">
        <f>IFERROR(IF((ISBLANK(VLOOKUP(BKN7,#REF!,4,FALSE)))=TRUE,VLOOKUP(BKN7,#REF!,3,FALSE),VLOOKUP(BKN7,#REF!,4,FALSE)),0)</f>
        <v/>
      </c>
      <c r="BKO1">
        <f>IFERROR(IF((ISBLANK(VLOOKUP(BKO7,#REF!,4,FALSE)))=TRUE,VLOOKUP(BKO7,#REF!,3,FALSE),VLOOKUP(BKO7,#REF!,4,FALSE)),0)</f>
        <v/>
      </c>
      <c r="BKP1">
        <f>IFERROR(IF((ISBLANK(VLOOKUP(BKP7,#REF!,4,FALSE)))=TRUE,VLOOKUP(BKP7,#REF!,3,FALSE),VLOOKUP(BKP7,#REF!,4,FALSE)),0)</f>
        <v/>
      </c>
      <c r="BKQ1">
        <f>IFERROR(IF((ISBLANK(VLOOKUP(BKQ7,#REF!,4,FALSE)))=TRUE,VLOOKUP(BKQ7,#REF!,3,FALSE),VLOOKUP(BKQ7,#REF!,4,FALSE)),0)</f>
        <v/>
      </c>
      <c r="BKR1">
        <f>IFERROR(IF((ISBLANK(VLOOKUP(BKR7,#REF!,4,FALSE)))=TRUE,VLOOKUP(BKR7,#REF!,3,FALSE),VLOOKUP(BKR7,#REF!,4,FALSE)),0)</f>
        <v/>
      </c>
      <c r="BKS1">
        <f>IFERROR(IF((ISBLANK(VLOOKUP(BKS7,#REF!,4,FALSE)))=TRUE,VLOOKUP(BKS7,#REF!,3,FALSE),VLOOKUP(BKS7,#REF!,4,FALSE)),0)</f>
        <v/>
      </c>
      <c r="BKT1">
        <f>IFERROR(IF((ISBLANK(VLOOKUP(BKT7,#REF!,4,FALSE)))=TRUE,VLOOKUP(BKT7,#REF!,3,FALSE),VLOOKUP(BKT7,#REF!,4,FALSE)),0)</f>
        <v/>
      </c>
      <c r="BKU1">
        <f>IFERROR(IF((ISBLANK(VLOOKUP(BKU7,#REF!,4,FALSE)))=TRUE,VLOOKUP(BKU7,#REF!,3,FALSE),VLOOKUP(BKU7,#REF!,4,FALSE)),0)</f>
        <v/>
      </c>
      <c r="BKV1">
        <f>IFERROR(IF((ISBLANK(VLOOKUP(BKV7,#REF!,4,FALSE)))=TRUE,VLOOKUP(BKV7,#REF!,3,FALSE),VLOOKUP(BKV7,#REF!,4,FALSE)),0)</f>
        <v/>
      </c>
      <c r="BKW1">
        <f>IFERROR(IF((ISBLANK(VLOOKUP(BKW7,#REF!,4,FALSE)))=TRUE,VLOOKUP(BKW7,#REF!,3,FALSE),VLOOKUP(BKW7,#REF!,4,FALSE)),0)</f>
        <v/>
      </c>
      <c r="BKX1">
        <f>IFERROR(IF((ISBLANK(VLOOKUP(BKX7,#REF!,4,FALSE)))=TRUE,VLOOKUP(BKX7,#REF!,3,FALSE),VLOOKUP(BKX7,#REF!,4,FALSE)),0)</f>
        <v/>
      </c>
      <c r="BKY1">
        <f>IFERROR(IF((ISBLANK(VLOOKUP(BKY7,#REF!,4,FALSE)))=TRUE,VLOOKUP(BKY7,#REF!,3,FALSE),VLOOKUP(BKY7,#REF!,4,FALSE)),0)</f>
        <v/>
      </c>
      <c r="BKZ1">
        <f>IFERROR(IF((ISBLANK(VLOOKUP(BKZ7,#REF!,4,FALSE)))=TRUE,VLOOKUP(BKZ7,#REF!,3,FALSE),VLOOKUP(BKZ7,#REF!,4,FALSE)),0)</f>
        <v/>
      </c>
      <c r="BLA1">
        <f>IFERROR(IF((ISBLANK(VLOOKUP(BLA7,#REF!,4,FALSE)))=TRUE,VLOOKUP(BLA7,#REF!,3,FALSE),VLOOKUP(BLA7,#REF!,4,FALSE)),0)</f>
        <v/>
      </c>
      <c r="BLB1">
        <f>IFERROR(IF((ISBLANK(VLOOKUP(BLB7,#REF!,4,FALSE)))=TRUE,VLOOKUP(BLB7,#REF!,3,FALSE),VLOOKUP(BLB7,#REF!,4,FALSE)),0)</f>
        <v/>
      </c>
      <c r="BLC1">
        <f>IFERROR(IF((ISBLANK(VLOOKUP(BLC7,#REF!,4,FALSE)))=TRUE,VLOOKUP(BLC7,#REF!,3,FALSE),VLOOKUP(BLC7,#REF!,4,FALSE)),0)</f>
        <v/>
      </c>
      <c r="BLD1">
        <f>IFERROR(IF((ISBLANK(VLOOKUP(BLD7,#REF!,4,FALSE)))=TRUE,VLOOKUP(BLD7,#REF!,3,FALSE),VLOOKUP(BLD7,#REF!,4,FALSE)),0)</f>
        <v/>
      </c>
      <c r="BLE1">
        <f>IFERROR(IF((ISBLANK(VLOOKUP(BLE7,#REF!,4,FALSE)))=TRUE,VLOOKUP(BLE7,#REF!,3,FALSE),VLOOKUP(BLE7,#REF!,4,FALSE)),0)</f>
        <v/>
      </c>
      <c r="BLF1">
        <f>IFERROR(IF((ISBLANK(VLOOKUP(BLF7,#REF!,4,FALSE)))=TRUE,VLOOKUP(BLF7,#REF!,3,FALSE),VLOOKUP(BLF7,#REF!,4,FALSE)),0)</f>
        <v/>
      </c>
      <c r="BLG1">
        <f>IFERROR(IF((ISBLANK(VLOOKUP(BLG7,#REF!,4,FALSE)))=TRUE,VLOOKUP(BLG7,#REF!,3,FALSE),VLOOKUP(BLG7,#REF!,4,FALSE)),0)</f>
        <v/>
      </c>
      <c r="BLH1">
        <f>IFERROR(IF((ISBLANK(VLOOKUP(BLH7,#REF!,4,FALSE)))=TRUE,VLOOKUP(BLH7,#REF!,3,FALSE),VLOOKUP(BLH7,#REF!,4,FALSE)),0)</f>
        <v/>
      </c>
      <c r="BLI1">
        <f>IFERROR(IF((ISBLANK(VLOOKUP(BLI7,#REF!,4,FALSE)))=TRUE,VLOOKUP(BLI7,#REF!,3,FALSE),VLOOKUP(BLI7,#REF!,4,FALSE)),0)</f>
        <v/>
      </c>
      <c r="BLJ1">
        <f>IFERROR(IF((ISBLANK(VLOOKUP(BLJ7,#REF!,4,FALSE)))=TRUE,VLOOKUP(BLJ7,#REF!,3,FALSE),VLOOKUP(BLJ7,#REF!,4,FALSE)),0)</f>
        <v/>
      </c>
      <c r="BLK1">
        <f>IFERROR(IF((ISBLANK(VLOOKUP(BLK7,#REF!,4,FALSE)))=TRUE,VLOOKUP(BLK7,#REF!,3,FALSE),VLOOKUP(BLK7,#REF!,4,FALSE)),0)</f>
        <v/>
      </c>
      <c r="BLL1">
        <f>IFERROR(IF((ISBLANK(VLOOKUP(BLL7,#REF!,4,FALSE)))=TRUE,VLOOKUP(BLL7,#REF!,3,FALSE),VLOOKUP(BLL7,#REF!,4,FALSE)),0)</f>
        <v/>
      </c>
      <c r="BLM1">
        <f>IFERROR(IF((ISBLANK(VLOOKUP(BLM7,#REF!,4,FALSE)))=TRUE,VLOOKUP(BLM7,#REF!,3,FALSE),VLOOKUP(BLM7,#REF!,4,FALSE)),0)</f>
        <v/>
      </c>
      <c r="BLN1">
        <f>IFERROR(IF((ISBLANK(VLOOKUP(BLN7,#REF!,4,FALSE)))=TRUE,VLOOKUP(BLN7,#REF!,3,FALSE),VLOOKUP(BLN7,#REF!,4,FALSE)),0)</f>
        <v/>
      </c>
      <c r="BLO1">
        <f>IFERROR(IF((ISBLANK(VLOOKUP(BLO7,#REF!,4,FALSE)))=TRUE,VLOOKUP(BLO7,#REF!,3,FALSE),VLOOKUP(BLO7,#REF!,4,FALSE)),0)</f>
        <v/>
      </c>
      <c r="BLP1">
        <f>IFERROR(IF((ISBLANK(VLOOKUP(BLP7,#REF!,4,FALSE)))=TRUE,VLOOKUP(BLP7,#REF!,3,FALSE),VLOOKUP(BLP7,#REF!,4,FALSE)),0)</f>
        <v/>
      </c>
      <c r="BLQ1">
        <f>IFERROR(IF((ISBLANK(VLOOKUP(BLQ7,#REF!,4,FALSE)))=TRUE,VLOOKUP(BLQ7,#REF!,3,FALSE),VLOOKUP(BLQ7,#REF!,4,FALSE)),0)</f>
        <v/>
      </c>
      <c r="BLR1">
        <f>IFERROR(IF((ISBLANK(VLOOKUP(BLR7,#REF!,4,FALSE)))=TRUE,VLOOKUP(BLR7,#REF!,3,FALSE),VLOOKUP(BLR7,#REF!,4,FALSE)),0)</f>
        <v/>
      </c>
      <c r="BLS1">
        <f>IFERROR(IF((ISBLANK(VLOOKUP(BLS7,#REF!,4,FALSE)))=TRUE,VLOOKUP(BLS7,#REF!,3,FALSE),VLOOKUP(BLS7,#REF!,4,FALSE)),0)</f>
        <v/>
      </c>
      <c r="BLT1">
        <f>IFERROR(IF((ISBLANK(VLOOKUP(BLT7,#REF!,4,FALSE)))=TRUE,VLOOKUP(BLT7,#REF!,3,FALSE),VLOOKUP(BLT7,#REF!,4,FALSE)),0)</f>
        <v/>
      </c>
      <c r="BLU1">
        <f>IFERROR(IF((ISBLANK(VLOOKUP(BLU7,#REF!,4,FALSE)))=TRUE,VLOOKUP(BLU7,#REF!,3,FALSE),VLOOKUP(BLU7,#REF!,4,FALSE)),0)</f>
        <v/>
      </c>
      <c r="BLV1">
        <f>IFERROR(IF((ISBLANK(VLOOKUP(BLV7,#REF!,4,FALSE)))=TRUE,VLOOKUP(BLV7,#REF!,3,FALSE),VLOOKUP(BLV7,#REF!,4,FALSE)),0)</f>
        <v/>
      </c>
      <c r="BLW1">
        <f>IFERROR(IF((ISBLANK(VLOOKUP(BLW7,#REF!,4,FALSE)))=TRUE,VLOOKUP(BLW7,#REF!,3,FALSE),VLOOKUP(BLW7,#REF!,4,FALSE)),0)</f>
        <v/>
      </c>
      <c r="BLX1">
        <f>IFERROR(IF((ISBLANK(VLOOKUP(BLX7,#REF!,4,FALSE)))=TRUE,VLOOKUP(BLX7,#REF!,3,FALSE),VLOOKUP(BLX7,#REF!,4,FALSE)),0)</f>
        <v/>
      </c>
      <c r="BLY1">
        <f>IFERROR(IF((ISBLANK(VLOOKUP(BLY7,#REF!,4,FALSE)))=TRUE,VLOOKUP(BLY7,#REF!,3,FALSE),VLOOKUP(BLY7,#REF!,4,FALSE)),0)</f>
        <v/>
      </c>
      <c r="BLZ1">
        <f>IFERROR(IF((ISBLANK(VLOOKUP(BLZ7,#REF!,4,FALSE)))=TRUE,VLOOKUP(BLZ7,#REF!,3,FALSE),VLOOKUP(BLZ7,#REF!,4,FALSE)),0)</f>
        <v/>
      </c>
      <c r="BMA1">
        <f>IFERROR(IF((ISBLANK(VLOOKUP(BMA7,#REF!,4,FALSE)))=TRUE,VLOOKUP(BMA7,#REF!,3,FALSE),VLOOKUP(BMA7,#REF!,4,FALSE)),0)</f>
        <v/>
      </c>
      <c r="BMB1">
        <f>IFERROR(IF((ISBLANK(VLOOKUP(BMB7,#REF!,4,FALSE)))=TRUE,VLOOKUP(BMB7,#REF!,3,FALSE),VLOOKUP(BMB7,#REF!,4,FALSE)),0)</f>
        <v/>
      </c>
      <c r="BMC1">
        <f>IFERROR(IF((ISBLANK(VLOOKUP(BMC7,#REF!,4,FALSE)))=TRUE,VLOOKUP(BMC7,#REF!,3,FALSE),VLOOKUP(BMC7,#REF!,4,FALSE)),0)</f>
        <v/>
      </c>
      <c r="BMD1">
        <f>IFERROR(IF((ISBLANK(VLOOKUP(BMD7,#REF!,4,FALSE)))=TRUE,VLOOKUP(BMD7,#REF!,3,FALSE),VLOOKUP(BMD7,#REF!,4,FALSE)),0)</f>
        <v/>
      </c>
      <c r="BME1">
        <f>IFERROR(IF((ISBLANK(VLOOKUP(BME7,#REF!,4,FALSE)))=TRUE,VLOOKUP(BME7,#REF!,3,FALSE),VLOOKUP(BME7,#REF!,4,FALSE)),0)</f>
        <v/>
      </c>
      <c r="BMF1">
        <f>IFERROR(IF((ISBLANK(VLOOKUP(BMF7,#REF!,4,FALSE)))=TRUE,VLOOKUP(BMF7,#REF!,3,FALSE),VLOOKUP(BMF7,#REF!,4,FALSE)),0)</f>
        <v/>
      </c>
      <c r="BMG1">
        <f>IFERROR(IF((ISBLANK(VLOOKUP(BMG7,#REF!,4,FALSE)))=TRUE,VLOOKUP(BMG7,#REF!,3,FALSE),VLOOKUP(BMG7,#REF!,4,FALSE)),0)</f>
        <v/>
      </c>
      <c r="BMH1">
        <f>IFERROR(IF((ISBLANK(VLOOKUP(BMH7,#REF!,4,FALSE)))=TRUE,VLOOKUP(BMH7,#REF!,3,FALSE),VLOOKUP(BMH7,#REF!,4,FALSE)),0)</f>
        <v/>
      </c>
      <c r="BMI1">
        <f>IFERROR(IF((ISBLANK(VLOOKUP(BMI7,#REF!,4,FALSE)))=TRUE,VLOOKUP(BMI7,#REF!,3,FALSE),VLOOKUP(BMI7,#REF!,4,FALSE)),0)</f>
        <v/>
      </c>
      <c r="BMJ1">
        <f>IFERROR(IF((ISBLANK(VLOOKUP(BMJ7,#REF!,4,FALSE)))=TRUE,VLOOKUP(BMJ7,#REF!,3,FALSE),VLOOKUP(BMJ7,#REF!,4,FALSE)),0)</f>
        <v/>
      </c>
      <c r="BMK1">
        <f>IFERROR(IF((ISBLANK(VLOOKUP(BMK7,#REF!,4,FALSE)))=TRUE,VLOOKUP(BMK7,#REF!,3,FALSE),VLOOKUP(BMK7,#REF!,4,FALSE)),0)</f>
        <v/>
      </c>
      <c r="BML1">
        <f>IFERROR(IF((ISBLANK(VLOOKUP(BML7,#REF!,4,FALSE)))=TRUE,VLOOKUP(BML7,#REF!,3,FALSE),VLOOKUP(BML7,#REF!,4,FALSE)),0)</f>
        <v/>
      </c>
      <c r="BMM1">
        <f>IFERROR(IF((ISBLANK(VLOOKUP(BMM7,#REF!,4,FALSE)))=TRUE,VLOOKUP(BMM7,#REF!,3,FALSE),VLOOKUP(BMM7,#REF!,4,FALSE)),0)</f>
        <v/>
      </c>
      <c r="BMN1">
        <f>IFERROR(IF((ISBLANK(VLOOKUP(BMN7,#REF!,4,FALSE)))=TRUE,VLOOKUP(BMN7,#REF!,3,FALSE),VLOOKUP(BMN7,#REF!,4,FALSE)),0)</f>
        <v/>
      </c>
      <c r="BMO1">
        <f>IFERROR(IF((ISBLANK(VLOOKUP(BMO7,#REF!,4,FALSE)))=TRUE,VLOOKUP(BMO7,#REF!,3,FALSE),VLOOKUP(BMO7,#REF!,4,FALSE)),0)</f>
        <v/>
      </c>
      <c r="BMP1">
        <f>IFERROR(IF((ISBLANK(VLOOKUP(BMP7,#REF!,4,FALSE)))=TRUE,VLOOKUP(BMP7,#REF!,3,FALSE),VLOOKUP(BMP7,#REF!,4,FALSE)),0)</f>
        <v/>
      </c>
      <c r="BMQ1">
        <f>IFERROR(IF((ISBLANK(VLOOKUP(BMQ7,#REF!,4,FALSE)))=TRUE,VLOOKUP(BMQ7,#REF!,3,FALSE),VLOOKUP(BMQ7,#REF!,4,FALSE)),0)</f>
        <v/>
      </c>
      <c r="BMR1">
        <f>IFERROR(IF((ISBLANK(VLOOKUP(BMR7,#REF!,4,FALSE)))=TRUE,VLOOKUP(BMR7,#REF!,3,FALSE),VLOOKUP(BMR7,#REF!,4,FALSE)),0)</f>
        <v/>
      </c>
      <c r="BMS1">
        <f>IFERROR(IF((ISBLANK(VLOOKUP(BMS7,#REF!,4,FALSE)))=TRUE,VLOOKUP(BMS7,#REF!,3,FALSE),VLOOKUP(BMS7,#REF!,4,FALSE)),0)</f>
        <v/>
      </c>
      <c r="BMT1">
        <f>IFERROR(IF((ISBLANK(VLOOKUP(BMT7,#REF!,4,FALSE)))=TRUE,VLOOKUP(BMT7,#REF!,3,FALSE),VLOOKUP(BMT7,#REF!,4,FALSE)),0)</f>
        <v/>
      </c>
      <c r="BMU1">
        <f>IFERROR(IF((ISBLANK(VLOOKUP(BMU7,#REF!,4,FALSE)))=TRUE,VLOOKUP(BMU7,#REF!,3,FALSE),VLOOKUP(BMU7,#REF!,4,FALSE)),0)</f>
        <v/>
      </c>
      <c r="BMV1">
        <f>IFERROR(IF((ISBLANK(VLOOKUP(BMV7,#REF!,4,FALSE)))=TRUE,VLOOKUP(BMV7,#REF!,3,FALSE),VLOOKUP(BMV7,#REF!,4,FALSE)),0)</f>
        <v/>
      </c>
      <c r="BMW1">
        <f>IFERROR(IF((ISBLANK(VLOOKUP(BMW7,#REF!,4,FALSE)))=TRUE,VLOOKUP(BMW7,#REF!,3,FALSE),VLOOKUP(BMW7,#REF!,4,FALSE)),0)</f>
        <v/>
      </c>
      <c r="BMX1">
        <f>IFERROR(IF((ISBLANK(VLOOKUP(BMX7,#REF!,4,FALSE)))=TRUE,VLOOKUP(BMX7,#REF!,3,FALSE),VLOOKUP(BMX7,#REF!,4,FALSE)),0)</f>
        <v/>
      </c>
      <c r="BMY1">
        <f>IFERROR(IF((ISBLANK(VLOOKUP(BMY7,#REF!,4,FALSE)))=TRUE,VLOOKUP(BMY7,#REF!,3,FALSE),VLOOKUP(BMY7,#REF!,4,FALSE)),0)</f>
        <v/>
      </c>
      <c r="BMZ1">
        <f>IFERROR(IF((ISBLANK(VLOOKUP(BMZ7,#REF!,4,FALSE)))=TRUE,VLOOKUP(BMZ7,#REF!,3,FALSE),VLOOKUP(BMZ7,#REF!,4,FALSE)),0)</f>
        <v/>
      </c>
      <c r="BNA1">
        <f>IFERROR(IF((ISBLANK(VLOOKUP(BNA7,#REF!,4,FALSE)))=TRUE,VLOOKUP(BNA7,#REF!,3,FALSE),VLOOKUP(BNA7,#REF!,4,FALSE)),0)</f>
        <v/>
      </c>
      <c r="BNB1">
        <f>IFERROR(IF((ISBLANK(VLOOKUP(BNB7,#REF!,4,FALSE)))=TRUE,VLOOKUP(BNB7,#REF!,3,FALSE),VLOOKUP(BNB7,#REF!,4,FALSE)),0)</f>
        <v/>
      </c>
      <c r="BNC1">
        <f>IFERROR(IF((ISBLANK(VLOOKUP(BNC7,#REF!,4,FALSE)))=TRUE,VLOOKUP(BNC7,#REF!,3,FALSE),VLOOKUP(BNC7,#REF!,4,FALSE)),0)</f>
        <v/>
      </c>
      <c r="BND1">
        <f>IFERROR(IF((ISBLANK(VLOOKUP(BND7,#REF!,4,FALSE)))=TRUE,VLOOKUP(BND7,#REF!,3,FALSE),VLOOKUP(BND7,#REF!,4,FALSE)),0)</f>
        <v/>
      </c>
      <c r="BNE1">
        <f>IFERROR(IF((ISBLANK(VLOOKUP(BNE7,#REF!,4,FALSE)))=TRUE,VLOOKUP(BNE7,#REF!,3,FALSE),VLOOKUP(BNE7,#REF!,4,FALSE)),0)</f>
        <v/>
      </c>
      <c r="BNF1">
        <f>IFERROR(IF((ISBLANK(VLOOKUP(BNF7,#REF!,4,FALSE)))=TRUE,VLOOKUP(BNF7,#REF!,3,FALSE),VLOOKUP(BNF7,#REF!,4,FALSE)),0)</f>
        <v/>
      </c>
      <c r="BNG1">
        <f>IFERROR(IF((ISBLANK(VLOOKUP(BNG7,#REF!,4,FALSE)))=TRUE,VLOOKUP(BNG7,#REF!,3,FALSE),VLOOKUP(BNG7,#REF!,4,FALSE)),0)</f>
        <v/>
      </c>
      <c r="BNH1">
        <f>IFERROR(IF((ISBLANK(VLOOKUP(BNH7,#REF!,4,FALSE)))=TRUE,VLOOKUP(BNH7,#REF!,3,FALSE),VLOOKUP(BNH7,#REF!,4,FALSE)),0)</f>
        <v/>
      </c>
      <c r="BNI1">
        <f>IFERROR(IF((ISBLANK(VLOOKUP(BNI7,#REF!,4,FALSE)))=TRUE,VLOOKUP(BNI7,#REF!,3,FALSE),VLOOKUP(BNI7,#REF!,4,FALSE)),0)</f>
        <v/>
      </c>
      <c r="BNJ1">
        <f>IFERROR(IF((ISBLANK(VLOOKUP(BNJ7,#REF!,4,FALSE)))=TRUE,VLOOKUP(BNJ7,#REF!,3,FALSE),VLOOKUP(BNJ7,#REF!,4,FALSE)),0)</f>
        <v/>
      </c>
      <c r="BNK1">
        <f>IFERROR(IF((ISBLANK(VLOOKUP(BNK7,#REF!,4,FALSE)))=TRUE,VLOOKUP(BNK7,#REF!,3,FALSE),VLOOKUP(BNK7,#REF!,4,FALSE)),0)</f>
        <v/>
      </c>
      <c r="BNL1">
        <f>IFERROR(IF((ISBLANK(VLOOKUP(BNL7,#REF!,4,FALSE)))=TRUE,VLOOKUP(BNL7,#REF!,3,FALSE),VLOOKUP(BNL7,#REF!,4,FALSE)),0)</f>
        <v/>
      </c>
      <c r="BNM1">
        <f>IFERROR(IF((ISBLANK(VLOOKUP(BNM7,#REF!,4,FALSE)))=TRUE,VLOOKUP(BNM7,#REF!,3,FALSE),VLOOKUP(BNM7,#REF!,4,FALSE)),0)</f>
        <v/>
      </c>
      <c r="BNN1">
        <f>IFERROR(IF((ISBLANK(VLOOKUP(BNN7,#REF!,4,FALSE)))=TRUE,VLOOKUP(BNN7,#REF!,3,FALSE),VLOOKUP(BNN7,#REF!,4,FALSE)),0)</f>
        <v/>
      </c>
      <c r="BNO1">
        <f>IFERROR(IF((ISBLANK(VLOOKUP(BNO7,#REF!,4,FALSE)))=TRUE,VLOOKUP(BNO7,#REF!,3,FALSE),VLOOKUP(BNO7,#REF!,4,FALSE)),0)</f>
        <v/>
      </c>
      <c r="BNP1">
        <f>IFERROR(IF((ISBLANK(VLOOKUP(BNP7,#REF!,4,FALSE)))=TRUE,VLOOKUP(BNP7,#REF!,3,FALSE),VLOOKUP(BNP7,#REF!,4,FALSE)),0)</f>
        <v/>
      </c>
      <c r="BNQ1">
        <f>IFERROR(IF((ISBLANK(VLOOKUP(BNQ7,#REF!,4,FALSE)))=TRUE,VLOOKUP(BNQ7,#REF!,3,FALSE),VLOOKUP(BNQ7,#REF!,4,FALSE)),0)</f>
        <v/>
      </c>
      <c r="BNR1">
        <f>IFERROR(IF((ISBLANK(VLOOKUP(BNR7,#REF!,4,FALSE)))=TRUE,VLOOKUP(BNR7,#REF!,3,FALSE),VLOOKUP(BNR7,#REF!,4,FALSE)),0)</f>
        <v/>
      </c>
      <c r="BNS1">
        <f>IFERROR(IF((ISBLANK(VLOOKUP(BNS7,#REF!,4,FALSE)))=TRUE,VLOOKUP(BNS7,#REF!,3,FALSE),VLOOKUP(BNS7,#REF!,4,FALSE)),0)</f>
        <v/>
      </c>
      <c r="BNT1">
        <f>IFERROR(IF((ISBLANK(VLOOKUP(BNT7,#REF!,4,FALSE)))=TRUE,VLOOKUP(BNT7,#REF!,3,FALSE),VLOOKUP(BNT7,#REF!,4,FALSE)),0)</f>
        <v/>
      </c>
      <c r="BNU1">
        <f>IFERROR(IF((ISBLANK(VLOOKUP(BNU7,#REF!,4,FALSE)))=TRUE,VLOOKUP(BNU7,#REF!,3,FALSE),VLOOKUP(BNU7,#REF!,4,FALSE)),0)</f>
        <v/>
      </c>
      <c r="BNV1">
        <f>IFERROR(IF((ISBLANK(VLOOKUP(BNV7,#REF!,4,FALSE)))=TRUE,VLOOKUP(BNV7,#REF!,3,FALSE),VLOOKUP(BNV7,#REF!,4,FALSE)),0)</f>
        <v/>
      </c>
      <c r="BNW1">
        <f>IFERROR(IF((ISBLANK(VLOOKUP(BNW7,#REF!,4,FALSE)))=TRUE,VLOOKUP(BNW7,#REF!,3,FALSE),VLOOKUP(BNW7,#REF!,4,FALSE)),0)</f>
        <v/>
      </c>
      <c r="BNX1">
        <f>IFERROR(IF((ISBLANK(VLOOKUP(BNX7,#REF!,4,FALSE)))=TRUE,VLOOKUP(BNX7,#REF!,3,FALSE),VLOOKUP(BNX7,#REF!,4,FALSE)),0)</f>
        <v/>
      </c>
      <c r="BNY1">
        <f>IFERROR(IF((ISBLANK(VLOOKUP(BNY7,#REF!,4,FALSE)))=TRUE,VLOOKUP(BNY7,#REF!,3,FALSE),VLOOKUP(BNY7,#REF!,4,FALSE)),0)</f>
        <v/>
      </c>
      <c r="BNZ1">
        <f>IFERROR(IF((ISBLANK(VLOOKUP(BNZ7,#REF!,4,FALSE)))=TRUE,VLOOKUP(BNZ7,#REF!,3,FALSE),VLOOKUP(BNZ7,#REF!,4,FALSE)),0)</f>
        <v/>
      </c>
      <c r="BOA1">
        <f>IFERROR(IF((ISBLANK(VLOOKUP(BOA7,#REF!,4,FALSE)))=TRUE,VLOOKUP(BOA7,#REF!,3,FALSE),VLOOKUP(BOA7,#REF!,4,FALSE)),0)</f>
        <v/>
      </c>
      <c r="BOB1">
        <f>IFERROR(IF((ISBLANK(VLOOKUP(BOB7,#REF!,4,FALSE)))=TRUE,VLOOKUP(BOB7,#REF!,3,FALSE),VLOOKUP(BOB7,#REF!,4,FALSE)),0)</f>
        <v/>
      </c>
      <c r="BOC1">
        <f>IFERROR(IF((ISBLANK(VLOOKUP(BOC7,#REF!,4,FALSE)))=TRUE,VLOOKUP(BOC7,#REF!,3,FALSE),VLOOKUP(BOC7,#REF!,4,FALSE)),0)</f>
        <v/>
      </c>
      <c r="BOD1">
        <f>IFERROR(IF((ISBLANK(VLOOKUP(BOD7,#REF!,4,FALSE)))=TRUE,VLOOKUP(BOD7,#REF!,3,FALSE),VLOOKUP(BOD7,#REF!,4,FALSE)),0)</f>
        <v/>
      </c>
      <c r="BOE1">
        <f>IFERROR(IF((ISBLANK(VLOOKUP(BOE7,#REF!,4,FALSE)))=TRUE,VLOOKUP(BOE7,#REF!,3,FALSE),VLOOKUP(BOE7,#REF!,4,FALSE)),0)</f>
        <v/>
      </c>
      <c r="BOF1">
        <f>IFERROR(IF((ISBLANK(VLOOKUP(BOF7,#REF!,4,FALSE)))=TRUE,VLOOKUP(BOF7,#REF!,3,FALSE),VLOOKUP(BOF7,#REF!,4,FALSE)),0)</f>
        <v/>
      </c>
      <c r="BOG1">
        <f>IFERROR(IF((ISBLANK(VLOOKUP(BOG7,#REF!,4,FALSE)))=TRUE,VLOOKUP(BOG7,#REF!,3,FALSE),VLOOKUP(BOG7,#REF!,4,FALSE)),0)</f>
        <v/>
      </c>
      <c r="BOH1">
        <f>IFERROR(IF((ISBLANK(VLOOKUP(BOH7,#REF!,4,FALSE)))=TRUE,VLOOKUP(BOH7,#REF!,3,FALSE),VLOOKUP(BOH7,#REF!,4,FALSE)),0)</f>
        <v/>
      </c>
      <c r="BOI1">
        <f>IFERROR(IF((ISBLANK(VLOOKUP(BOI7,#REF!,4,FALSE)))=TRUE,VLOOKUP(BOI7,#REF!,3,FALSE),VLOOKUP(BOI7,#REF!,4,FALSE)),0)</f>
        <v/>
      </c>
      <c r="BOJ1">
        <f>IFERROR(IF((ISBLANK(VLOOKUP(BOJ7,#REF!,4,FALSE)))=TRUE,VLOOKUP(BOJ7,#REF!,3,FALSE),VLOOKUP(BOJ7,#REF!,4,FALSE)),0)</f>
        <v/>
      </c>
      <c r="BOK1">
        <f>IFERROR(IF((ISBLANK(VLOOKUP(BOK7,#REF!,4,FALSE)))=TRUE,VLOOKUP(BOK7,#REF!,3,FALSE),VLOOKUP(BOK7,#REF!,4,FALSE)),0)</f>
        <v/>
      </c>
      <c r="BOL1">
        <f>IFERROR(IF((ISBLANK(VLOOKUP(BOL7,#REF!,4,FALSE)))=TRUE,VLOOKUP(BOL7,#REF!,3,FALSE),VLOOKUP(BOL7,#REF!,4,FALSE)),0)</f>
        <v/>
      </c>
      <c r="BOM1">
        <f>IFERROR(IF((ISBLANK(VLOOKUP(BOM7,#REF!,4,FALSE)))=TRUE,VLOOKUP(BOM7,#REF!,3,FALSE),VLOOKUP(BOM7,#REF!,4,FALSE)),0)</f>
        <v/>
      </c>
      <c r="BON1">
        <f>IFERROR(IF((ISBLANK(VLOOKUP(BON7,#REF!,4,FALSE)))=TRUE,VLOOKUP(BON7,#REF!,3,FALSE),VLOOKUP(BON7,#REF!,4,FALSE)),0)</f>
        <v/>
      </c>
      <c r="BOO1">
        <f>IFERROR(IF((ISBLANK(VLOOKUP(BOO7,#REF!,4,FALSE)))=TRUE,VLOOKUP(BOO7,#REF!,3,FALSE),VLOOKUP(BOO7,#REF!,4,FALSE)),0)</f>
        <v/>
      </c>
      <c r="BOP1">
        <f>IFERROR(IF((ISBLANK(VLOOKUP(BOP7,#REF!,4,FALSE)))=TRUE,VLOOKUP(BOP7,#REF!,3,FALSE),VLOOKUP(BOP7,#REF!,4,FALSE)),0)</f>
        <v/>
      </c>
      <c r="BOQ1">
        <f>IFERROR(IF((ISBLANK(VLOOKUP(BOQ7,#REF!,4,FALSE)))=TRUE,VLOOKUP(BOQ7,#REF!,3,FALSE),VLOOKUP(BOQ7,#REF!,4,FALSE)),0)</f>
        <v/>
      </c>
      <c r="BOR1">
        <f>IFERROR(IF((ISBLANK(VLOOKUP(BOR7,#REF!,4,FALSE)))=TRUE,VLOOKUP(BOR7,#REF!,3,FALSE),VLOOKUP(BOR7,#REF!,4,FALSE)),0)</f>
        <v/>
      </c>
      <c r="BOS1">
        <f>IFERROR(IF((ISBLANK(VLOOKUP(BOS7,#REF!,4,FALSE)))=TRUE,VLOOKUP(BOS7,#REF!,3,FALSE),VLOOKUP(BOS7,#REF!,4,FALSE)),0)</f>
        <v/>
      </c>
      <c r="BOT1">
        <f>IFERROR(IF((ISBLANK(VLOOKUP(BOT7,#REF!,4,FALSE)))=TRUE,VLOOKUP(BOT7,#REF!,3,FALSE),VLOOKUP(BOT7,#REF!,4,FALSE)),0)</f>
        <v/>
      </c>
      <c r="BOU1">
        <f>IFERROR(IF((ISBLANK(VLOOKUP(BOU7,#REF!,4,FALSE)))=TRUE,VLOOKUP(BOU7,#REF!,3,FALSE),VLOOKUP(BOU7,#REF!,4,FALSE)),0)</f>
        <v/>
      </c>
      <c r="BOV1">
        <f>IFERROR(IF((ISBLANK(VLOOKUP(BOV7,#REF!,4,FALSE)))=TRUE,VLOOKUP(BOV7,#REF!,3,FALSE),VLOOKUP(BOV7,#REF!,4,FALSE)),0)</f>
        <v/>
      </c>
      <c r="BOW1">
        <f>IFERROR(IF((ISBLANK(VLOOKUP(BOW7,#REF!,4,FALSE)))=TRUE,VLOOKUP(BOW7,#REF!,3,FALSE),VLOOKUP(BOW7,#REF!,4,FALSE)),0)</f>
        <v/>
      </c>
      <c r="BOX1">
        <f>IFERROR(IF((ISBLANK(VLOOKUP(BOX7,#REF!,4,FALSE)))=TRUE,VLOOKUP(BOX7,#REF!,3,FALSE),VLOOKUP(BOX7,#REF!,4,FALSE)),0)</f>
        <v/>
      </c>
      <c r="BOY1">
        <f>IFERROR(IF((ISBLANK(VLOOKUP(BOY7,#REF!,4,FALSE)))=TRUE,VLOOKUP(BOY7,#REF!,3,FALSE),VLOOKUP(BOY7,#REF!,4,FALSE)),0)</f>
        <v/>
      </c>
      <c r="BOZ1">
        <f>IFERROR(IF((ISBLANK(VLOOKUP(BOZ7,#REF!,4,FALSE)))=TRUE,VLOOKUP(BOZ7,#REF!,3,FALSE),VLOOKUP(BOZ7,#REF!,4,FALSE)),0)</f>
        <v/>
      </c>
      <c r="BPA1">
        <f>IFERROR(IF((ISBLANK(VLOOKUP(BPA7,#REF!,4,FALSE)))=TRUE,VLOOKUP(BPA7,#REF!,3,FALSE),VLOOKUP(BPA7,#REF!,4,FALSE)),0)</f>
        <v/>
      </c>
      <c r="BPB1">
        <f>IFERROR(IF((ISBLANK(VLOOKUP(BPB7,#REF!,4,FALSE)))=TRUE,VLOOKUP(BPB7,#REF!,3,FALSE),VLOOKUP(BPB7,#REF!,4,FALSE)),0)</f>
        <v/>
      </c>
      <c r="BPC1">
        <f>IFERROR(IF((ISBLANK(VLOOKUP(BPC7,#REF!,4,FALSE)))=TRUE,VLOOKUP(BPC7,#REF!,3,FALSE),VLOOKUP(BPC7,#REF!,4,FALSE)),0)</f>
        <v/>
      </c>
      <c r="BPD1">
        <f>IFERROR(IF((ISBLANK(VLOOKUP(BPD7,#REF!,4,FALSE)))=TRUE,VLOOKUP(BPD7,#REF!,3,FALSE),VLOOKUP(BPD7,#REF!,4,FALSE)),0)</f>
        <v/>
      </c>
      <c r="BPE1">
        <f>IFERROR(IF((ISBLANK(VLOOKUP(BPE7,#REF!,4,FALSE)))=TRUE,VLOOKUP(BPE7,#REF!,3,FALSE),VLOOKUP(BPE7,#REF!,4,FALSE)),0)</f>
        <v/>
      </c>
      <c r="BPF1">
        <f>IFERROR(IF((ISBLANK(VLOOKUP(BPF7,#REF!,4,FALSE)))=TRUE,VLOOKUP(BPF7,#REF!,3,FALSE),VLOOKUP(BPF7,#REF!,4,FALSE)),0)</f>
        <v/>
      </c>
      <c r="BPG1">
        <f>IFERROR(IF((ISBLANK(VLOOKUP(BPG7,#REF!,4,FALSE)))=TRUE,VLOOKUP(BPG7,#REF!,3,FALSE),VLOOKUP(BPG7,#REF!,4,FALSE)),0)</f>
        <v/>
      </c>
      <c r="BPH1">
        <f>IFERROR(IF((ISBLANK(VLOOKUP(BPH7,#REF!,4,FALSE)))=TRUE,VLOOKUP(BPH7,#REF!,3,FALSE),VLOOKUP(BPH7,#REF!,4,FALSE)),0)</f>
        <v/>
      </c>
      <c r="BPI1">
        <f>IFERROR(IF((ISBLANK(VLOOKUP(BPI7,#REF!,4,FALSE)))=TRUE,VLOOKUP(BPI7,#REF!,3,FALSE),VLOOKUP(BPI7,#REF!,4,FALSE)),0)</f>
        <v/>
      </c>
      <c r="BPJ1">
        <f>IFERROR(IF((ISBLANK(VLOOKUP(BPJ7,#REF!,4,FALSE)))=TRUE,VLOOKUP(BPJ7,#REF!,3,FALSE),VLOOKUP(BPJ7,#REF!,4,FALSE)),0)</f>
        <v/>
      </c>
      <c r="BPK1">
        <f>IFERROR(IF((ISBLANK(VLOOKUP(BPK7,#REF!,4,FALSE)))=TRUE,VLOOKUP(BPK7,#REF!,3,FALSE),VLOOKUP(BPK7,#REF!,4,FALSE)),0)</f>
        <v/>
      </c>
      <c r="BPL1">
        <f>IFERROR(IF((ISBLANK(VLOOKUP(BPL7,#REF!,4,FALSE)))=TRUE,VLOOKUP(BPL7,#REF!,3,FALSE),VLOOKUP(BPL7,#REF!,4,FALSE)),0)</f>
        <v/>
      </c>
      <c r="BPM1">
        <f>IFERROR(IF((ISBLANK(VLOOKUP(BPM7,#REF!,4,FALSE)))=TRUE,VLOOKUP(BPM7,#REF!,3,FALSE),VLOOKUP(BPM7,#REF!,4,FALSE)),0)</f>
        <v/>
      </c>
      <c r="BPN1">
        <f>IFERROR(IF((ISBLANK(VLOOKUP(BPN7,#REF!,4,FALSE)))=TRUE,VLOOKUP(BPN7,#REF!,3,FALSE),VLOOKUP(BPN7,#REF!,4,FALSE)),0)</f>
        <v/>
      </c>
      <c r="BPO1">
        <f>IFERROR(IF((ISBLANK(VLOOKUP(BPO7,#REF!,4,FALSE)))=TRUE,VLOOKUP(BPO7,#REF!,3,FALSE),VLOOKUP(BPO7,#REF!,4,FALSE)),0)</f>
        <v/>
      </c>
      <c r="BPP1">
        <f>IFERROR(IF((ISBLANK(VLOOKUP(BPP7,#REF!,4,FALSE)))=TRUE,VLOOKUP(BPP7,#REF!,3,FALSE),VLOOKUP(BPP7,#REF!,4,FALSE)),0)</f>
        <v/>
      </c>
      <c r="BPQ1">
        <f>IFERROR(IF((ISBLANK(VLOOKUP(BPQ7,#REF!,4,FALSE)))=TRUE,VLOOKUP(BPQ7,#REF!,3,FALSE),VLOOKUP(BPQ7,#REF!,4,FALSE)),0)</f>
        <v/>
      </c>
      <c r="BPR1">
        <f>IFERROR(IF((ISBLANK(VLOOKUP(BPR7,#REF!,4,FALSE)))=TRUE,VLOOKUP(BPR7,#REF!,3,FALSE),VLOOKUP(BPR7,#REF!,4,FALSE)),0)</f>
        <v/>
      </c>
      <c r="BPS1">
        <f>IFERROR(IF((ISBLANK(VLOOKUP(BPS7,#REF!,4,FALSE)))=TRUE,VLOOKUP(BPS7,#REF!,3,FALSE),VLOOKUP(BPS7,#REF!,4,FALSE)),0)</f>
        <v/>
      </c>
      <c r="BPT1">
        <f>IFERROR(IF((ISBLANK(VLOOKUP(BPT7,#REF!,4,FALSE)))=TRUE,VLOOKUP(BPT7,#REF!,3,FALSE),VLOOKUP(BPT7,#REF!,4,FALSE)),0)</f>
        <v/>
      </c>
      <c r="BPU1">
        <f>IFERROR(IF((ISBLANK(VLOOKUP(BPU7,#REF!,4,FALSE)))=TRUE,VLOOKUP(BPU7,#REF!,3,FALSE),VLOOKUP(BPU7,#REF!,4,FALSE)),0)</f>
        <v/>
      </c>
      <c r="BPV1">
        <f>IFERROR(IF((ISBLANK(VLOOKUP(BPV7,#REF!,4,FALSE)))=TRUE,VLOOKUP(BPV7,#REF!,3,FALSE),VLOOKUP(BPV7,#REF!,4,FALSE)),0)</f>
        <v/>
      </c>
      <c r="BPW1">
        <f>IFERROR(IF((ISBLANK(VLOOKUP(BPW7,#REF!,4,FALSE)))=TRUE,VLOOKUP(BPW7,#REF!,3,FALSE),VLOOKUP(BPW7,#REF!,4,FALSE)),0)</f>
        <v/>
      </c>
      <c r="BPX1">
        <f>IFERROR(IF((ISBLANK(VLOOKUP(BPX7,#REF!,4,FALSE)))=TRUE,VLOOKUP(BPX7,#REF!,3,FALSE),VLOOKUP(BPX7,#REF!,4,FALSE)),0)</f>
        <v/>
      </c>
      <c r="BPY1">
        <f>IFERROR(IF((ISBLANK(VLOOKUP(BPY7,#REF!,4,FALSE)))=TRUE,VLOOKUP(BPY7,#REF!,3,FALSE),VLOOKUP(BPY7,#REF!,4,FALSE)),0)</f>
        <v/>
      </c>
      <c r="BPZ1">
        <f>IFERROR(IF((ISBLANK(VLOOKUP(BPZ7,#REF!,4,FALSE)))=TRUE,VLOOKUP(BPZ7,#REF!,3,FALSE),VLOOKUP(BPZ7,#REF!,4,FALSE)),0)</f>
        <v/>
      </c>
      <c r="BQA1">
        <f>IFERROR(IF((ISBLANK(VLOOKUP(BQA7,#REF!,4,FALSE)))=TRUE,VLOOKUP(BQA7,#REF!,3,FALSE),VLOOKUP(BQA7,#REF!,4,FALSE)),0)</f>
        <v/>
      </c>
      <c r="BQB1">
        <f>IFERROR(IF((ISBLANK(VLOOKUP(BQB7,#REF!,4,FALSE)))=TRUE,VLOOKUP(BQB7,#REF!,3,FALSE),VLOOKUP(BQB7,#REF!,4,FALSE)),0)</f>
        <v/>
      </c>
      <c r="BQC1">
        <f>IFERROR(IF((ISBLANK(VLOOKUP(BQC7,#REF!,4,FALSE)))=TRUE,VLOOKUP(BQC7,#REF!,3,FALSE),VLOOKUP(BQC7,#REF!,4,FALSE)),0)</f>
        <v/>
      </c>
      <c r="BQD1">
        <f>IFERROR(IF((ISBLANK(VLOOKUP(BQD7,#REF!,4,FALSE)))=TRUE,VLOOKUP(BQD7,#REF!,3,FALSE),VLOOKUP(BQD7,#REF!,4,FALSE)),0)</f>
        <v/>
      </c>
      <c r="BQE1">
        <f>IFERROR(IF((ISBLANK(VLOOKUP(BQE7,#REF!,4,FALSE)))=TRUE,VLOOKUP(BQE7,#REF!,3,FALSE),VLOOKUP(BQE7,#REF!,4,FALSE)),0)</f>
        <v/>
      </c>
      <c r="BQF1">
        <f>IFERROR(IF((ISBLANK(VLOOKUP(BQF7,#REF!,4,FALSE)))=TRUE,VLOOKUP(BQF7,#REF!,3,FALSE),VLOOKUP(BQF7,#REF!,4,FALSE)),0)</f>
        <v/>
      </c>
      <c r="BQG1">
        <f>IFERROR(IF((ISBLANK(VLOOKUP(BQG7,#REF!,4,FALSE)))=TRUE,VLOOKUP(BQG7,#REF!,3,FALSE),VLOOKUP(BQG7,#REF!,4,FALSE)),0)</f>
        <v/>
      </c>
      <c r="BQH1">
        <f>IFERROR(IF((ISBLANK(VLOOKUP(BQH7,#REF!,4,FALSE)))=TRUE,VLOOKUP(BQH7,#REF!,3,FALSE),VLOOKUP(BQH7,#REF!,4,FALSE)),0)</f>
        <v/>
      </c>
      <c r="BQI1">
        <f>IFERROR(IF((ISBLANK(VLOOKUP(BQI7,#REF!,4,FALSE)))=TRUE,VLOOKUP(BQI7,#REF!,3,FALSE),VLOOKUP(BQI7,#REF!,4,FALSE)),0)</f>
        <v/>
      </c>
      <c r="BQJ1">
        <f>IFERROR(IF((ISBLANK(VLOOKUP(BQJ7,#REF!,4,FALSE)))=TRUE,VLOOKUP(BQJ7,#REF!,3,FALSE),VLOOKUP(BQJ7,#REF!,4,FALSE)),0)</f>
        <v/>
      </c>
      <c r="BQK1">
        <f>IFERROR(IF((ISBLANK(VLOOKUP(BQK7,#REF!,4,FALSE)))=TRUE,VLOOKUP(BQK7,#REF!,3,FALSE),VLOOKUP(BQK7,#REF!,4,FALSE)),0)</f>
        <v/>
      </c>
      <c r="BQL1">
        <f>IFERROR(IF((ISBLANK(VLOOKUP(BQL7,#REF!,4,FALSE)))=TRUE,VLOOKUP(BQL7,#REF!,3,FALSE),VLOOKUP(BQL7,#REF!,4,FALSE)),0)</f>
        <v/>
      </c>
      <c r="BQM1">
        <f>IFERROR(IF((ISBLANK(VLOOKUP(BQM7,#REF!,4,FALSE)))=TRUE,VLOOKUP(BQM7,#REF!,3,FALSE),VLOOKUP(BQM7,#REF!,4,FALSE)),0)</f>
        <v/>
      </c>
      <c r="BQN1">
        <f>IFERROR(IF((ISBLANK(VLOOKUP(BQN7,#REF!,4,FALSE)))=TRUE,VLOOKUP(BQN7,#REF!,3,FALSE),VLOOKUP(BQN7,#REF!,4,FALSE)),0)</f>
        <v/>
      </c>
      <c r="BQO1">
        <f>IFERROR(IF((ISBLANK(VLOOKUP(BQO7,#REF!,4,FALSE)))=TRUE,VLOOKUP(BQO7,#REF!,3,FALSE),VLOOKUP(BQO7,#REF!,4,FALSE)),0)</f>
        <v/>
      </c>
      <c r="BQP1">
        <f>IFERROR(IF((ISBLANK(VLOOKUP(BQP7,#REF!,4,FALSE)))=TRUE,VLOOKUP(BQP7,#REF!,3,FALSE),VLOOKUP(BQP7,#REF!,4,FALSE)),0)</f>
        <v/>
      </c>
      <c r="BQQ1">
        <f>IFERROR(IF((ISBLANK(VLOOKUP(BQQ7,#REF!,4,FALSE)))=TRUE,VLOOKUP(BQQ7,#REF!,3,FALSE),VLOOKUP(BQQ7,#REF!,4,FALSE)),0)</f>
        <v/>
      </c>
      <c r="BQR1">
        <f>IFERROR(IF((ISBLANK(VLOOKUP(BQR7,#REF!,4,FALSE)))=TRUE,VLOOKUP(BQR7,#REF!,3,FALSE),VLOOKUP(BQR7,#REF!,4,FALSE)),0)</f>
        <v/>
      </c>
      <c r="BQS1">
        <f>IFERROR(IF((ISBLANK(VLOOKUP(BQS7,#REF!,4,FALSE)))=TRUE,VLOOKUP(BQS7,#REF!,3,FALSE),VLOOKUP(BQS7,#REF!,4,FALSE)),0)</f>
        <v/>
      </c>
      <c r="BQT1">
        <f>IFERROR(IF((ISBLANK(VLOOKUP(BQT7,#REF!,4,FALSE)))=TRUE,VLOOKUP(BQT7,#REF!,3,FALSE),VLOOKUP(BQT7,#REF!,4,FALSE)),0)</f>
        <v/>
      </c>
      <c r="BQU1">
        <f>IFERROR(IF((ISBLANK(VLOOKUP(BQU7,#REF!,4,FALSE)))=TRUE,VLOOKUP(BQU7,#REF!,3,FALSE),VLOOKUP(BQU7,#REF!,4,FALSE)),0)</f>
        <v/>
      </c>
      <c r="BQV1">
        <f>IFERROR(IF((ISBLANK(VLOOKUP(BQV7,#REF!,4,FALSE)))=TRUE,VLOOKUP(BQV7,#REF!,3,FALSE),VLOOKUP(BQV7,#REF!,4,FALSE)),0)</f>
        <v/>
      </c>
      <c r="BQW1">
        <f>IFERROR(IF((ISBLANK(VLOOKUP(BQW7,#REF!,4,FALSE)))=TRUE,VLOOKUP(BQW7,#REF!,3,FALSE),VLOOKUP(BQW7,#REF!,4,FALSE)),0)</f>
        <v/>
      </c>
      <c r="BQX1">
        <f>IFERROR(IF((ISBLANK(VLOOKUP(BQX7,#REF!,4,FALSE)))=TRUE,VLOOKUP(BQX7,#REF!,3,FALSE),VLOOKUP(BQX7,#REF!,4,FALSE)),0)</f>
        <v/>
      </c>
      <c r="BQY1">
        <f>IFERROR(IF((ISBLANK(VLOOKUP(BQY7,#REF!,4,FALSE)))=TRUE,VLOOKUP(BQY7,#REF!,3,FALSE),VLOOKUP(BQY7,#REF!,4,FALSE)),0)</f>
        <v/>
      </c>
      <c r="BQZ1">
        <f>IFERROR(IF((ISBLANK(VLOOKUP(BQZ7,#REF!,4,FALSE)))=TRUE,VLOOKUP(BQZ7,#REF!,3,FALSE),VLOOKUP(BQZ7,#REF!,4,FALSE)),0)</f>
        <v/>
      </c>
      <c r="BRA1">
        <f>IFERROR(IF((ISBLANK(VLOOKUP(BRA7,#REF!,4,FALSE)))=TRUE,VLOOKUP(BRA7,#REF!,3,FALSE),VLOOKUP(BRA7,#REF!,4,FALSE)),0)</f>
        <v/>
      </c>
      <c r="BRB1">
        <f>IFERROR(IF((ISBLANK(VLOOKUP(BRB7,#REF!,4,FALSE)))=TRUE,VLOOKUP(BRB7,#REF!,3,FALSE),VLOOKUP(BRB7,#REF!,4,FALSE)),0)</f>
        <v/>
      </c>
      <c r="BRC1">
        <f>IFERROR(IF((ISBLANK(VLOOKUP(BRC7,#REF!,4,FALSE)))=TRUE,VLOOKUP(BRC7,#REF!,3,FALSE),VLOOKUP(BRC7,#REF!,4,FALSE)),0)</f>
        <v/>
      </c>
      <c r="BRD1">
        <f>IFERROR(IF((ISBLANK(VLOOKUP(BRD7,#REF!,4,FALSE)))=TRUE,VLOOKUP(BRD7,#REF!,3,FALSE),VLOOKUP(BRD7,#REF!,4,FALSE)),0)</f>
        <v/>
      </c>
      <c r="BRE1">
        <f>IFERROR(IF((ISBLANK(VLOOKUP(BRE7,#REF!,4,FALSE)))=TRUE,VLOOKUP(BRE7,#REF!,3,FALSE),VLOOKUP(BRE7,#REF!,4,FALSE)),0)</f>
        <v/>
      </c>
      <c r="BRF1">
        <f>IFERROR(IF((ISBLANK(VLOOKUP(BRF7,#REF!,4,FALSE)))=TRUE,VLOOKUP(BRF7,#REF!,3,FALSE),VLOOKUP(BRF7,#REF!,4,FALSE)),0)</f>
        <v/>
      </c>
      <c r="BRG1">
        <f>IFERROR(IF((ISBLANK(VLOOKUP(BRG7,#REF!,4,FALSE)))=TRUE,VLOOKUP(BRG7,#REF!,3,FALSE),VLOOKUP(BRG7,#REF!,4,FALSE)),0)</f>
        <v/>
      </c>
      <c r="BRH1">
        <f>IFERROR(IF((ISBLANK(VLOOKUP(BRH7,#REF!,4,FALSE)))=TRUE,VLOOKUP(BRH7,#REF!,3,FALSE),VLOOKUP(BRH7,#REF!,4,FALSE)),0)</f>
        <v/>
      </c>
      <c r="BRI1">
        <f>IFERROR(IF((ISBLANK(VLOOKUP(BRI7,#REF!,4,FALSE)))=TRUE,VLOOKUP(BRI7,#REF!,3,FALSE),VLOOKUP(BRI7,#REF!,4,FALSE)),0)</f>
        <v/>
      </c>
      <c r="BRJ1">
        <f>IFERROR(IF((ISBLANK(VLOOKUP(BRJ7,#REF!,4,FALSE)))=TRUE,VLOOKUP(BRJ7,#REF!,3,FALSE),VLOOKUP(BRJ7,#REF!,4,FALSE)),0)</f>
        <v/>
      </c>
      <c r="BRK1">
        <f>IFERROR(IF((ISBLANK(VLOOKUP(BRK7,#REF!,4,FALSE)))=TRUE,VLOOKUP(BRK7,#REF!,3,FALSE),VLOOKUP(BRK7,#REF!,4,FALSE)),0)</f>
        <v/>
      </c>
      <c r="BRL1">
        <f>IFERROR(IF((ISBLANK(VLOOKUP(BRL7,#REF!,4,FALSE)))=TRUE,VLOOKUP(BRL7,#REF!,3,FALSE),VLOOKUP(BRL7,#REF!,4,FALSE)),0)</f>
        <v/>
      </c>
      <c r="BRM1">
        <f>IFERROR(IF((ISBLANK(VLOOKUP(BRM7,#REF!,4,FALSE)))=TRUE,VLOOKUP(BRM7,#REF!,3,FALSE),VLOOKUP(BRM7,#REF!,4,FALSE)),0)</f>
        <v/>
      </c>
      <c r="BRN1">
        <f>IFERROR(IF((ISBLANK(VLOOKUP(BRN7,#REF!,4,FALSE)))=TRUE,VLOOKUP(BRN7,#REF!,3,FALSE),VLOOKUP(BRN7,#REF!,4,FALSE)),0)</f>
        <v/>
      </c>
      <c r="BRO1">
        <f>IFERROR(IF((ISBLANK(VLOOKUP(BRO7,#REF!,4,FALSE)))=TRUE,VLOOKUP(BRO7,#REF!,3,FALSE),VLOOKUP(BRO7,#REF!,4,FALSE)),0)</f>
        <v/>
      </c>
      <c r="BRP1">
        <f>IFERROR(IF((ISBLANK(VLOOKUP(BRP7,#REF!,4,FALSE)))=TRUE,VLOOKUP(BRP7,#REF!,3,FALSE),VLOOKUP(BRP7,#REF!,4,FALSE)),0)</f>
        <v/>
      </c>
      <c r="BRQ1">
        <f>IFERROR(IF((ISBLANK(VLOOKUP(BRQ7,#REF!,4,FALSE)))=TRUE,VLOOKUP(BRQ7,#REF!,3,FALSE),VLOOKUP(BRQ7,#REF!,4,FALSE)),0)</f>
        <v/>
      </c>
      <c r="BRR1">
        <f>IFERROR(IF((ISBLANK(VLOOKUP(BRR7,#REF!,4,FALSE)))=TRUE,VLOOKUP(BRR7,#REF!,3,FALSE),VLOOKUP(BRR7,#REF!,4,FALSE)),0)</f>
        <v/>
      </c>
      <c r="BRS1">
        <f>IFERROR(IF((ISBLANK(VLOOKUP(BRS7,#REF!,4,FALSE)))=TRUE,VLOOKUP(BRS7,#REF!,3,FALSE),VLOOKUP(BRS7,#REF!,4,FALSE)),0)</f>
        <v/>
      </c>
      <c r="BRT1">
        <f>IFERROR(IF((ISBLANK(VLOOKUP(BRT7,#REF!,4,FALSE)))=TRUE,VLOOKUP(BRT7,#REF!,3,FALSE),VLOOKUP(BRT7,#REF!,4,FALSE)),0)</f>
        <v/>
      </c>
      <c r="BRU1">
        <f>IFERROR(IF((ISBLANK(VLOOKUP(BRU7,#REF!,4,FALSE)))=TRUE,VLOOKUP(BRU7,#REF!,3,FALSE),VLOOKUP(BRU7,#REF!,4,FALSE)),0)</f>
        <v/>
      </c>
      <c r="BRV1">
        <f>IFERROR(IF((ISBLANK(VLOOKUP(BRV7,#REF!,4,FALSE)))=TRUE,VLOOKUP(BRV7,#REF!,3,FALSE),VLOOKUP(BRV7,#REF!,4,FALSE)),0)</f>
        <v/>
      </c>
      <c r="BRW1">
        <f>IFERROR(IF((ISBLANK(VLOOKUP(BRW7,#REF!,4,FALSE)))=TRUE,VLOOKUP(BRW7,#REF!,3,FALSE),VLOOKUP(BRW7,#REF!,4,FALSE)),0)</f>
        <v/>
      </c>
      <c r="BRX1">
        <f>IFERROR(IF((ISBLANK(VLOOKUP(BRX7,#REF!,4,FALSE)))=TRUE,VLOOKUP(BRX7,#REF!,3,FALSE),VLOOKUP(BRX7,#REF!,4,FALSE)),0)</f>
        <v/>
      </c>
      <c r="BRY1">
        <f>IFERROR(IF((ISBLANK(VLOOKUP(BRY7,#REF!,4,FALSE)))=TRUE,VLOOKUP(BRY7,#REF!,3,FALSE),VLOOKUP(BRY7,#REF!,4,FALSE)),0)</f>
        <v/>
      </c>
      <c r="BRZ1">
        <f>IFERROR(IF((ISBLANK(VLOOKUP(BRZ7,#REF!,4,FALSE)))=TRUE,VLOOKUP(BRZ7,#REF!,3,FALSE),VLOOKUP(BRZ7,#REF!,4,FALSE)),0)</f>
        <v/>
      </c>
      <c r="BSA1">
        <f>IFERROR(IF((ISBLANK(VLOOKUP(BSA7,#REF!,4,FALSE)))=TRUE,VLOOKUP(BSA7,#REF!,3,FALSE),VLOOKUP(BSA7,#REF!,4,FALSE)),0)</f>
        <v/>
      </c>
      <c r="BSB1">
        <f>IFERROR(IF((ISBLANK(VLOOKUP(BSB7,#REF!,4,FALSE)))=TRUE,VLOOKUP(BSB7,#REF!,3,FALSE),VLOOKUP(BSB7,#REF!,4,FALSE)),0)</f>
        <v/>
      </c>
      <c r="BSC1">
        <f>IFERROR(IF((ISBLANK(VLOOKUP(BSC7,#REF!,4,FALSE)))=TRUE,VLOOKUP(BSC7,#REF!,3,FALSE),VLOOKUP(BSC7,#REF!,4,FALSE)),0)</f>
        <v/>
      </c>
      <c r="BSD1">
        <f>IFERROR(IF((ISBLANK(VLOOKUP(BSD7,#REF!,4,FALSE)))=TRUE,VLOOKUP(BSD7,#REF!,3,FALSE),VLOOKUP(BSD7,#REF!,4,FALSE)),0)</f>
        <v/>
      </c>
      <c r="BSE1">
        <f>IFERROR(IF((ISBLANK(VLOOKUP(BSE7,#REF!,4,FALSE)))=TRUE,VLOOKUP(BSE7,#REF!,3,FALSE),VLOOKUP(BSE7,#REF!,4,FALSE)),0)</f>
        <v/>
      </c>
      <c r="BSF1">
        <f>IFERROR(IF((ISBLANK(VLOOKUP(BSF7,#REF!,4,FALSE)))=TRUE,VLOOKUP(BSF7,#REF!,3,FALSE),VLOOKUP(BSF7,#REF!,4,FALSE)),0)</f>
        <v/>
      </c>
      <c r="BSG1">
        <f>IFERROR(IF((ISBLANK(VLOOKUP(BSG7,#REF!,4,FALSE)))=TRUE,VLOOKUP(BSG7,#REF!,3,FALSE),VLOOKUP(BSG7,#REF!,4,FALSE)),0)</f>
        <v/>
      </c>
      <c r="BSH1">
        <f>IFERROR(IF((ISBLANK(VLOOKUP(BSH7,#REF!,4,FALSE)))=TRUE,VLOOKUP(BSH7,#REF!,3,FALSE),VLOOKUP(BSH7,#REF!,4,FALSE)),0)</f>
        <v/>
      </c>
      <c r="BSI1">
        <f>IFERROR(IF((ISBLANK(VLOOKUP(BSI7,#REF!,4,FALSE)))=TRUE,VLOOKUP(BSI7,#REF!,3,FALSE),VLOOKUP(BSI7,#REF!,4,FALSE)),0)</f>
        <v/>
      </c>
      <c r="BSJ1">
        <f>IFERROR(IF((ISBLANK(VLOOKUP(BSJ7,#REF!,4,FALSE)))=TRUE,VLOOKUP(BSJ7,#REF!,3,FALSE),VLOOKUP(BSJ7,#REF!,4,FALSE)),0)</f>
        <v/>
      </c>
      <c r="BSK1">
        <f>IFERROR(IF((ISBLANK(VLOOKUP(BSK7,#REF!,4,FALSE)))=TRUE,VLOOKUP(BSK7,#REF!,3,FALSE),VLOOKUP(BSK7,#REF!,4,FALSE)),0)</f>
        <v/>
      </c>
      <c r="BSL1">
        <f>IFERROR(IF((ISBLANK(VLOOKUP(BSL7,#REF!,4,FALSE)))=TRUE,VLOOKUP(BSL7,#REF!,3,FALSE),VLOOKUP(BSL7,#REF!,4,FALSE)),0)</f>
        <v/>
      </c>
      <c r="BSM1">
        <f>IFERROR(IF((ISBLANK(VLOOKUP(BSM7,#REF!,4,FALSE)))=TRUE,VLOOKUP(BSM7,#REF!,3,FALSE),VLOOKUP(BSM7,#REF!,4,FALSE)),0)</f>
        <v/>
      </c>
      <c r="BSN1">
        <f>IFERROR(IF((ISBLANK(VLOOKUP(BSN7,#REF!,4,FALSE)))=TRUE,VLOOKUP(BSN7,#REF!,3,FALSE),VLOOKUP(BSN7,#REF!,4,FALSE)),0)</f>
        <v/>
      </c>
      <c r="BSO1">
        <f>IFERROR(IF((ISBLANK(VLOOKUP(BSO7,#REF!,4,FALSE)))=TRUE,VLOOKUP(BSO7,#REF!,3,FALSE),VLOOKUP(BSO7,#REF!,4,FALSE)),0)</f>
        <v/>
      </c>
      <c r="BSP1">
        <f>IFERROR(IF((ISBLANK(VLOOKUP(BSP7,#REF!,4,FALSE)))=TRUE,VLOOKUP(BSP7,#REF!,3,FALSE),VLOOKUP(BSP7,#REF!,4,FALSE)),0)</f>
        <v/>
      </c>
      <c r="BSQ1">
        <f>IFERROR(IF((ISBLANK(VLOOKUP(BSQ7,#REF!,4,FALSE)))=TRUE,VLOOKUP(BSQ7,#REF!,3,FALSE),VLOOKUP(BSQ7,#REF!,4,FALSE)),0)</f>
        <v/>
      </c>
      <c r="BSR1">
        <f>IFERROR(IF((ISBLANK(VLOOKUP(BSR7,#REF!,4,FALSE)))=TRUE,VLOOKUP(BSR7,#REF!,3,FALSE),VLOOKUP(BSR7,#REF!,4,FALSE)),0)</f>
        <v/>
      </c>
      <c r="BSS1">
        <f>IFERROR(IF((ISBLANK(VLOOKUP(BSS7,#REF!,4,FALSE)))=TRUE,VLOOKUP(BSS7,#REF!,3,FALSE),VLOOKUP(BSS7,#REF!,4,FALSE)),0)</f>
        <v/>
      </c>
      <c r="BST1">
        <f>IFERROR(IF((ISBLANK(VLOOKUP(BST7,#REF!,4,FALSE)))=TRUE,VLOOKUP(BST7,#REF!,3,FALSE),VLOOKUP(BST7,#REF!,4,FALSE)),0)</f>
        <v/>
      </c>
      <c r="BSU1">
        <f>IFERROR(IF((ISBLANK(VLOOKUP(BSU7,#REF!,4,FALSE)))=TRUE,VLOOKUP(BSU7,#REF!,3,FALSE),VLOOKUP(BSU7,#REF!,4,FALSE)),0)</f>
        <v/>
      </c>
      <c r="BSV1">
        <f>IFERROR(IF((ISBLANK(VLOOKUP(BSV7,#REF!,4,FALSE)))=TRUE,VLOOKUP(BSV7,#REF!,3,FALSE),VLOOKUP(BSV7,#REF!,4,FALSE)),0)</f>
        <v/>
      </c>
      <c r="BSW1">
        <f>IFERROR(IF((ISBLANK(VLOOKUP(BSW7,#REF!,4,FALSE)))=TRUE,VLOOKUP(BSW7,#REF!,3,FALSE),VLOOKUP(BSW7,#REF!,4,FALSE)),0)</f>
        <v/>
      </c>
      <c r="BSX1">
        <f>IFERROR(IF((ISBLANK(VLOOKUP(BSX7,#REF!,4,FALSE)))=TRUE,VLOOKUP(BSX7,#REF!,3,FALSE),VLOOKUP(BSX7,#REF!,4,FALSE)),0)</f>
        <v/>
      </c>
      <c r="BSY1">
        <f>IFERROR(IF((ISBLANK(VLOOKUP(BSY7,#REF!,4,FALSE)))=TRUE,VLOOKUP(BSY7,#REF!,3,FALSE),VLOOKUP(BSY7,#REF!,4,FALSE)),0)</f>
        <v/>
      </c>
      <c r="BSZ1">
        <f>IFERROR(IF((ISBLANK(VLOOKUP(BSZ7,#REF!,4,FALSE)))=TRUE,VLOOKUP(BSZ7,#REF!,3,FALSE),VLOOKUP(BSZ7,#REF!,4,FALSE)),0)</f>
        <v/>
      </c>
      <c r="BTA1">
        <f>IFERROR(IF((ISBLANK(VLOOKUP(BTA7,#REF!,4,FALSE)))=TRUE,VLOOKUP(BTA7,#REF!,3,FALSE),VLOOKUP(BTA7,#REF!,4,FALSE)),0)</f>
        <v/>
      </c>
      <c r="BTB1">
        <f>IFERROR(IF((ISBLANK(VLOOKUP(BTB7,#REF!,4,FALSE)))=TRUE,VLOOKUP(BTB7,#REF!,3,FALSE),VLOOKUP(BTB7,#REF!,4,FALSE)),0)</f>
        <v/>
      </c>
      <c r="BTC1">
        <f>IFERROR(IF((ISBLANK(VLOOKUP(BTC7,#REF!,4,FALSE)))=TRUE,VLOOKUP(BTC7,#REF!,3,FALSE),VLOOKUP(BTC7,#REF!,4,FALSE)),0)</f>
        <v/>
      </c>
      <c r="BTD1">
        <f>IFERROR(IF((ISBLANK(VLOOKUP(BTD7,#REF!,4,FALSE)))=TRUE,VLOOKUP(BTD7,#REF!,3,FALSE),VLOOKUP(BTD7,#REF!,4,FALSE)),0)</f>
        <v/>
      </c>
      <c r="BTE1">
        <f>IFERROR(IF((ISBLANK(VLOOKUP(BTE7,#REF!,4,FALSE)))=TRUE,VLOOKUP(BTE7,#REF!,3,FALSE),VLOOKUP(BTE7,#REF!,4,FALSE)),0)</f>
        <v/>
      </c>
      <c r="BTF1">
        <f>IFERROR(IF((ISBLANK(VLOOKUP(BTF7,#REF!,4,FALSE)))=TRUE,VLOOKUP(BTF7,#REF!,3,FALSE),VLOOKUP(BTF7,#REF!,4,FALSE)),0)</f>
        <v/>
      </c>
      <c r="BTG1">
        <f>IFERROR(IF((ISBLANK(VLOOKUP(BTG7,#REF!,4,FALSE)))=TRUE,VLOOKUP(BTG7,#REF!,3,FALSE),VLOOKUP(BTG7,#REF!,4,FALSE)),0)</f>
        <v/>
      </c>
      <c r="BTH1">
        <f>IFERROR(IF((ISBLANK(VLOOKUP(BTH7,#REF!,4,FALSE)))=TRUE,VLOOKUP(BTH7,#REF!,3,FALSE),VLOOKUP(BTH7,#REF!,4,FALSE)),0)</f>
        <v/>
      </c>
      <c r="BTI1">
        <f>IFERROR(IF((ISBLANK(VLOOKUP(BTI7,#REF!,4,FALSE)))=TRUE,VLOOKUP(BTI7,#REF!,3,FALSE),VLOOKUP(BTI7,#REF!,4,FALSE)),0)</f>
        <v/>
      </c>
      <c r="BTJ1">
        <f>IFERROR(IF((ISBLANK(VLOOKUP(BTJ7,#REF!,4,FALSE)))=TRUE,VLOOKUP(BTJ7,#REF!,3,FALSE),VLOOKUP(BTJ7,#REF!,4,FALSE)),0)</f>
        <v/>
      </c>
      <c r="BTK1">
        <f>IFERROR(IF((ISBLANK(VLOOKUP(BTK7,#REF!,4,FALSE)))=TRUE,VLOOKUP(BTK7,#REF!,3,FALSE),VLOOKUP(BTK7,#REF!,4,FALSE)),0)</f>
        <v/>
      </c>
      <c r="BTL1">
        <f>IFERROR(IF((ISBLANK(VLOOKUP(BTL7,#REF!,4,FALSE)))=TRUE,VLOOKUP(BTL7,#REF!,3,FALSE),VLOOKUP(BTL7,#REF!,4,FALSE)),0)</f>
        <v/>
      </c>
      <c r="BTM1">
        <f>IFERROR(IF((ISBLANK(VLOOKUP(BTM7,#REF!,4,FALSE)))=TRUE,VLOOKUP(BTM7,#REF!,3,FALSE),VLOOKUP(BTM7,#REF!,4,FALSE)),0)</f>
        <v/>
      </c>
      <c r="BTN1">
        <f>IFERROR(IF((ISBLANK(VLOOKUP(BTN7,#REF!,4,FALSE)))=TRUE,VLOOKUP(BTN7,#REF!,3,FALSE),VLOOKUP(BTN7,#REF!,4,FALSE)),0)</f>
        <v/>
      </c>
      <c r="BTO1">
        <f>IFERROR(IF((ISBLANK(VLOOKUP(BTO7,#REF!,4,FALSE)))=TRUE,VLOOKUP(BTO7,#REF!,3,FALSE),VLOOKUP(BTO7,#REF!,4,FALSE)),0)</f>
        <v/>
      </c>
      <c r="BTP1">
        <f>IFERROR(IF((ISBLANK(VLOOKUP(BTP7,#REF!,4,FALSE)))=TRUE,VLOOKUP(BTP7,#REF!,3,FALSE),VLOOKUP(BTP7,#REF!,4,FALSE)),0)</f>
        <v/>
      </c>
      <c r="BTQ1">
        <f>IFERROR(IF((ISBLANK(VLOOKUP(BTQ7,#REF!,4,FALSE)))=TRUE,VLOOKUP(BTQ7,#REF!,3,FALSE),VLOOKUP(BTQ7,#REF!,4,FALSE)),0)</f>
        <v/>
      </c>
      <c r="BTR1">
        <f>IFERROR(IF((ISBLANK(VLOOKUP(BTR7,#REF!,4,FALSE)))=TRUE,VLOOKUP(BTR7,#REF!,3,FALSE),VLOOKUP(BTR7,#REF!,4,FALSE)),0)</f>
        <v/>
      </c>
      <c r="BTS1">
        <f>IFERROR(IF((ISBLANK(VLOOKUP(BTS7,#REF!,4,FALSE)))=TRUE,VLOOKUP(BTS7,#REF!,3,FALSE),VLOOKUP(BTS7,#REF!,4,FALSE)),0)</f>
        <v/>
      </c>
      <c r="BTT1">
        <f>IFERROR(IF((ISBLANK(VLOOKUP(BTT7,#REF!,4,FALSE)))=TRUE,VLOOKUP(BTT7,#REF!,3,FALSE),VLOOKUP(BTT7,#REF!,4,FALSE)),0)</f>
        <v/>
      </c>
      <c r="BTU1">
        <f>IFERROR(IF((ISBLANK(VLOOKUP(BTU7,#REF!,4,FALSE)))=TRUE,VLOOKUP(BTU7,#REF!,3,FALSE),VLOOKUP(BTU7,#REF!,4,FALSE)),0)</f>
        <v/>
      </c>
      <c r="BTV1">
        <f>IFERROR(IF((ISBLANK(VLOOKUP(BTV7,#REF!,4,FALSE)))=TRUE,VLOOKUP(BTV7,#REF!,3,FALSE),VLOOKUP(BTV7,#REF!,4,FALSE)),0)</f>
        <v/>
      </c>
      <c r="BTW1">
        <f>IFERROR(IF((ISBLANK(VLOOKUP(BTW7,#REF!,4,FALSE)))=TRUE,VLOOKUP(BTW7,#REF!,3,FALSE),VLOOKUP(BTW7,#REF!,4,FALSE)),0)</f>
        <v/>
      </c>
      <c r="BTX1">
        <f>IFERROR(IF((ISBLANK(VLOOKUP(BTX7,#REF!,4,FALSE)))=TRUE,VLOOKUP(BTX7,#REF!,3,FALSE),VLOOKUP(BTX7,#REF!,4,FALSE)),0)</f>
        <v/>
      </c>
      <c r="BTY1">
        <f>IFERROR(IF((ISBLANK(VLOOKUP(BTY7,#REF!,4,FALSE)))=TRUE,VLOOKUP(BTY7,#REF!,3,FALSE),VLOOKUP(BTY7,#REF!,4,FALSE)),0)</f>
        <v/>
      </c>
      <c r="BTZ1">
        <f>IFERROR(IF((ISBLANK(VLOOKUP(BTZ7,#REF!,4,FALSE)))=TRUE,VLOOKUP(BTZ7,#REF!,3,FALSE),VLOOKUP(BTZ7,#REF!,4,FALSE)),0)</f>
        <v/>
      </c>
      <c r="BUA1">
        <f>IFERROR(IF((ISBLANK(VLOOKUP(BUA7,#REF!,4,FALSE)))=TRUE,VLOOKUP(BUA7,#REF!,3,FALSE),VLOOKUP(BUA7,#REF!,4,FALSE)),0)</f>
        <v/>
      </c>
      <c r="BUB1">
        <f>IFERROR(IF((ISBLANK(VLOOKUP(BUB7,#REF!,4,FALSE)))=TRUE,VLOOKUP(BUB7,#REF!,3,FALSE),VLOOKUP(BUB7,#REF!,4,FALSE)),0)</f>
        <v/>
      </c>
      <c r="BUC1">
        <f>IFERROR(IF((ISBLANK(VLOOKUP(BUC7,#REF!,4,FALSE)))=TRUE,VLOOKUP(BUC7,#REF!,3,FALSE),VLOOKUP(BUC7,#REF!,4,FALSE)),0)</f>
        <v/>
      </c>
      <c r="BUD1">
        <f>IFERROR(IF((ISBLANK(VLOOKUP(BUD7,#REF!,4,FALSE)))=TRUE,VLOOKUP(BUD7,#REF!,3,FALSE),VLOOKUP(BUD7,#REF!,4,FALSE)),0)</f>
        <v/>
      </c>
      <c r="BUE1">
        <f>IFERROR(IF((ISBLANK(VLOOKUP(BUE7,#REF!,4,FALSE)))=TRUE,VLOOKUP(BUE7,#REF!,3,FALSE),VLOOKUP(BUE7,#REF!,4,FALSE)),0)</f>
        <v/>
      </c>
      <c r="BUF1">
        <f>IFERROR(IF((ISBLANK(VLOOKUP(BUF7,#REF!,4,FALSE)))=TRUE,VLOOKUP(BUF7,#REF!,3,FALSE),VLOOKUP(BUF7,#REF!,4,FALSE)),0)</f>
        <v/>
      </c>
      <c r="BUG1">
        <f>IFERROR(IF((ISBLANK(VLOOKUP(BUG7,#REF!,4,FALSE)))=TRUE,VLOOKUP(BUG7,#REF!,3,FALSE),VLOOKUP(BUG7,#REF!,4,FALSE)),0)</f>
        <v/>
      </c>
      <c r="BUH1">
        <f>IFERROR(IF((ISBLANK(VLOOKUP(BUH7,#REF!,4,FALSE)))=TRUE,VLOOKUP(BUH7,#REF!,3,FALSE),VLOOKUP(BUH7,#REF!,4,FALSE)),0)</f>
        <v/>
      </c>
      <c r="BUI1">
        <f>IFERROR(IF((ISBLANK(VLOOKUP(BUI7,#REF!,4,FALSE)))=TRUE,VLOOKUP(BUI7,#REF!,3,FALSE),VLOOKUP(BUI7,#REF!,4,FALSE)),0)</f>
        <v/>
      </c>
      <c r="BUJ1">
        <f>IFERROR(IF((ISBLANK(VLOOKUP(BUJ7,#REF!,4,FALSE)))=TRUE,VLOOKUP(BUJ7,#REF!,3,FALSE),VLOOKUP(BUJ7,#REF!,4,FALSE)),0)</f>
        <v/>
      </c>
      <c r="BUK1">
        <f>IFERROR(IF((ISBLANK(VLOOKUP(BUK7,#REF!,4,FALSE)))=TRUE,VLOOKUP(BUK7,#REF!,3,FALSE),VLOOKUP(BUK7,#REF!,4,FALSE)),0)</f>
        <v/>
      </c>
      <c r="BUL1">
        <f>IFERROR(IF((ISBLANK(VLOOKUP(BUL7,#REF!,4,FALSE)))=TRUE,VLOOKUP(BUL7,#REF!,3,FALSE),VLOOKUP(BUL7,#REF!,4,FALSE)),0)</f>
        <v/>
      </c>
      <c r="BUM1">
        <f>IFERROR(IF((ISBLANK(VLOOKUP(BUM7,#REF!,4,FALSE)))=TRUE,VLOOKUP(BUM7,#REF!,3,FALSE),VLOOKUP(BUM7,#REF!,4,FALSE)),0)</f>
        <v/>
      </c>
      <c r="BUN1">
        <f>IFERROR(IF((ISBLANK(VLOOKUP(BUN7,#REF!,4,FALSE)))=TRUE,VLOOKUP(BUN7,#REF!,3,FALSE),VLOOKUP(BUN7,#REF!,4,FALSE)),0)</f>
        <v/>
      </c>
      <c r="BUO1">
        <f>IFERROR(IF((ISBLANK(VLOOKUP(BUO7,#REF!,4,FALSE)))=TRUE,VLOOKUP(BUO7,#REF!,3,FALSE),VLOOKUP(BUO7,#REF!,4,FALSE)),0)</f>
        <v/>
      </c>
      <c r="BUP1">
        <f>IFERROR(IF((ISBLANK(VLOOKUP(BUP7,#REF!,4,FALSE)))=TRUE,VLOOKUP(BUP7,#REF!,3,FALSE),VLOOKUP(BUP7,#REF!,4,FALSE)),0)</f>
        <v/>
      </c>
      <c r="BUQ1">
        <f>IFERROR(IF((ISBLANK(VLOOKUP(BUQ7,#REF!,4,FALSE)))=TRUE,VLOOKUP(BUQ7,#REF!,3,FALSE),VLOOKUP(BUQ7,#REF!,4,FALSE)),0)</f>
        <v/>
      </c>
      <c r="BUR1">
        <f>IFERROR(IF((ISBLANK(VLOOKUP(BUR7,#REF!,4,FALSE)))=TRUE,VLOOKUP(BUR7,#REF!,3,FALSE),VLOOKUP(BUR7,#REF!,4,FALSE)),0)</f>
        <v/>
      </c>
      <c r="BUS1">
        <f>IFERROR(IF((ISBLANK(VLOOKUP(BUS7,#REF!,4,FALSE)))=TRUE,VLOOKUP(BUS7,#REF!,3,FALSE),VLOOKUP(BUS7,#REF!,4,FALSE)),0)</f>
        <v/>
      </c>
      <c r="BUT1">
        <f>IFERROR(IF((ISBLANK(VLOOKUP(BUT7,#REF!,4,FALSE)))=TRUE,VLOOKUP(BUT7,#REF!,3,FALSE),VLOOKUP(BUT7,#REF!,4,FALSE)),0)</f>
        <v/>
      </c>
      <c r="BUU1">
        <f>IFERROR(IF((ISBLANK(VLOOKUP(BUU7,#REF!,4,FALSE)))=TRUE,VLOOKUP(BUU7,#REF!,3,FALSE),VLOOKUP(BUU7,#REF!,4,FALSE)),0)</f>
        <v/>
      </c>
      <c r="BUV1">
        <f>IFERROR(IF((ISBLANK(VLOOKUP(BUV7,#REF!,4,FALSE)))=TRUE,VLOOKUP(BUV7,#REF!,3,FALSE),VLOOKUP(BUV7,#REF!,4,FALSE)),0)</f>
        <v/>
      </c>
      <c r="BUW1">
        <f>IFERROR(IF((ISBLANK(VLOOKUP(BUW7,#REF!,4,FALSE)))=TRUE,VLOOKUP(BUW7,#REF!,3,FALSE),VLOOKUP(BUW7,#REF!,4,FALSE)),0)</f>
        <v/>
      </c>
      <c r="BUX1">
        <f>IFERROR(IF((ISBLANK(VLOOKUP(BUX7,#REF!,4,FALSE)))=TRUE,VLOOKUP(BUX7,#REF!,3,FALSE),VLOOKUP(BUX7,#REF!,4,FALSE)),0)</f>
        <v/>
      </c>
      <c r="BUY1">
        <f>IFERROR(IF((ISBLANK(VLOOKUP(BUY7,#REF!,4,FALSE)))=TRUE,VLOOKUP(BUY7,#REF!,3,FALSE),VLOOKUP(BUY7,#REF!,4,FALSE)),0)</f>
        <v/>
      </c>
      <c r="BUZ1">
        <f>IFERROR(IF((ISBLANK(VLOOKUP(BUZ7,#REF!,4,FALSE)))=TRUE,VLOOKUP(BUZ7,#REF!,3,FALSE),VLOOKUP(BUZ7,#REF!,4,FALSE)),0)</f>
        <v/>
      </c>
      <c r="BVA1">
        <f>IFERROR(IF((ISBLANK(VLOOKUP(BVA7,#REF!,4,FALSE)))=TRUE,VLOOKUP(BVA7,#REF!,3,FALSE),VLOOKUP(BVA7,#REF!,4,FALSE)),0)</f>
        <v/>
      </c>
      <c r="BVB1">
        <f>IFERROR(IF((ISBLANK(VLOOKUP(BVB7,#REF!,4,FALSE)))=TRUE,VLOOKUP(BVB7,#REF!,3,FALSE),VLOOKUP(BVB7,#REF!,4,FALSE)),0)</f>
        <v/>
      </c>
      <c r="BVC1">
        <f>IFERROR(IF((ISBLANK(VLOOKUP(BVC7,#REF!,4,FALSE)))=TRUE,VLOOKUP(BVC7,#REF!,3,FALSE),VLOOKUP(BVC7,#REF!,4,FALSE)),0)</f>
        <v/>
      </c>
      <c r="BVD1">
        <f>IFERROR(IF((ISBLANK(VLOOKUP(BVD7,#REF!,4,FALSE)))=TRUE,VLOOKUP(BVD7,#REF!,3,FALSE),VLOOKUP(BVD7,#REF!,4,FALSE)),0)</f>
        <v/>
      </c>
      <c r="BVE1">
        <f>IFERROR(IF((ISBLANK(VLOOKUP(BVE7,#REF!,4,FALSE)))=TRUE,VLOOKUP(BVE7,#REF!,3,FALSE),VLOOKUP(BVE7,#REF!,4,FALSE)),0)</f>
        <v/>
      </c>
      <c r="BVF1">
        <f>IFERROR(IF((ISBLANK(VLOOKUP(BVF7,#REF!,4,FALSE)))=TRUE,VLOOKUP(BVF7,#REF!,3,FALSE),VLOOKUP(BVF7,#REF!,4,FALSE)),0)</f>
        <v/>
      </c>
      <c r="BVG1">
        <f>IFERROR(IF((ISBLANK(VLOOKUP(BVG7,#REF!,4,FALSE)))=TRUE,VLOOKUP(BVG7,#REF!,3,FALSE),VLOOKUP(BVG7,#REF!,4,FALSE)),0)</f>
        <v/>
      </c>
      <c r="BVH1">
        <f>IFERROR(IF((ISBLANK(VLOOKUP(BVH7,#REF!,4,FALSE)))=TRUE,VLOOKUP(BVH7,#REF!,3,FALSE),VLOOKUP(BVH7,#REF!,4,FALSE)),0)</f>
        <v/>
      </c>
      <c r="BVI1">
        <f>IFERROR(IF((ISBLANK(VLOOKUP(BVI7,#REF!,4,FALSE)))=TRUE,VLOOKUP(BVI7,#REF!,3,FALSE),VLOOKUP(BVI7,#REF!,4,FALSE)),0)</f>
        <v/>
      </c>
      <c r="BVJ1">
        <f>IFERROR(IF((ISBLANK(VLOOKUP(BVJ7,#REF!,4,FALSE)))=TRUE,VLOOKUP(BVJ7,#REF!,3,FALSE),VLOOKUP(BVJ7,#REF!,4,FALSE)),0)</f>
        <v/>
      </c>
      <c r="BVK1">
        <f>IFERROR(IF((ISBLANK(VLOOKUP(BVK7,#REF!,4,FALSE)))=TRUE,VLOOKUP(BVK7,#REF!,3,FALSE),VLOOKUP(BVK7,#REF!,4,FALSE)),0)</f>
        <v/>
      </c>
      <c r="BVL1">
        <f>IFERROR(IF((ISBLANK(VLOOKUP(BVL7,#REF!,4,FALSE)))=TRUE,VLOOKUP(BVL7,#REF!,3,FALSE),VLOOKUP(BVL7,#REF!,4,FALSE)),0)</f>
        <v/>
      </c>
      <c r="BVM1">
        <f>IFERROR(IF((ISBLANK(VLOOKUP(BVM7,#REF!,4,FALSE)))=TRUE,VLOOKUP(BVM7,#REF!,3,FALSE),VLOOKUP(BVM7,#REF!,4,FALSE)),0)</f>
        <v/>
      </c>
      <c r="BVN1">
        <f>IFERROR(IF((ISBLANK(VLOOKUP(BVN7,#REF!,4,FALSE)))=TRUE,VLOOKUP(BVN7,#REF!,3,FALSE),VLOOKUP(BVN7,#REF!,4,FALSE)),0)</f>
        <v/>
      </c>
      <c r="BVO1">
        <f>IFERROR(IF((ISBLANK(VLOOKUP(BVO7,#REF!,4,FALSE)))=TRUE,VLOOKUP(BVO7,#REF!,3,FALSE),VLOOKUP(BVO7,#REF!,4,FALSE)),0)</f>
        <v/>
      </c>
      <c r="BVP1">
        <f>IFERROR(IF((ISBLANK(VLOOKUP(BVP7,#REF!,4,FALSE)))=TRUE,VLOOKUP(BVP7,#REF!,3,FALSE),VLOOKUP(BVP7,#REF!,4,FALSE)),0)</f>
        <v/>
      </c>
      <c r="BVQ1">
        <f>IFERROR(IF((ISBLANK(VLOOKUP(BVQ7,#REF!,4,FALSE)))=TRUE,VLOOKUP(BVQ7,#REF!,3,FALSE),VLOOKUP(BVQ7,#REF!,4,FALSE)),0)</f>
        <v/>
      </c>
      <c r="BVR1">
        <f>IFERROR(IF((ISBLANK(VLOOKUP(BVR7,#REF!,4,FALSE)))=TRUE,VLOOKUP(BVR7,#REF!,3,FALSE),VLOOKUP(BVR7,#REF!,4,FALSE)),0)</f>
        <v/>
      </c>
      <c r="BVS1">
        <f>IFERROR(IF((ISBLANK(VLOOKUP(BVS7,#REF!,4,FALSE)))=TRUE,VLOOKUP(BVS7,#REF!,3,FALSE),VLOOKUP(BVS7,#REF!,4,FALSE)),0)</f>
        <v/>
      </c>
      <c r="BVT1">
        <f>IFERROR(IF((ISBLANK(VLOOKUP(BVT7,#REF!,4,FALSE)))=TRUE,VLOOKUP(BVT7,#REF!,3,FALSE),VLOOKUP(BVT7,#REF!,4,FALSE)),0)</f>
        <v/>
      </c>
      <c r="BVU1">
        <f>IFERROR(IF((ISBLANK(VLOOKUP(BVU7,#REF!,4,FALSE)))=TRUE,VLOOKUP(BVU7,#REF!,3,FALSE),VLOOKUP(BVU7,#REF!,4,FALSE)),0)</f>
        <v/>
      </c>
      <c r="BVV1">
        <f>IFERROR(IF((ISBLANK(VLOOKUP(BVV7,#REF!,4,FALSE)))=TRUE,VLOOKUP(BVV7,#REF!,3,FALSE),VLOOKUP(BVV7,#REF!,4,FALSE)),0)</f>
        <v/>
      </c>
      <c r="BVW1">
        <f>IFERROR(IF((ISBLANK(VLOOKUP(BVW7,#REF!,4,FALSE)))=TRUE,VLOOKUP(BVW7,#REF!,3,FALSE),VLOOKUP(BVW7,#REF!,4,FALSE)),0)</f>
        <v/>
      </c>
      <c r="BVX1">
        <f>IFERROR(IF((ISBLANK(VLOOKUP(BVX7,#REF!,4,FALSE)))=TRUE,VLOOKUP(BVX7,#REF!,3,FALSE),VLOOKUP(BVX7,#REF!,4,FALSE)),0)</f>
        <v/>
      </c>
      <c r="BVY1">
        <f>IFERROR(IF((ISBLANK(VLOOKUP(BVY7,#REF!,4,FALSE)))=TRUE,VLOOKUP(BVY7,#REF!,3,FALSE),VLOOKUP(BVY7,#REF!,4,FALSE)),0)</f>
        <v/>
      </c>
      <c r="BVZ1">
        <f>IFERROR(IF((ISBLANK(VLOOKUP(BVZ7,#REF!,4,FALSE)))=TRUE,VLOOKUP(BVZ7,#REF!,3,FALSE),VLOOKUP(BVZ7,#REF!,4,FALSE)),0)</f>
        <v/>
      </c>
      <c r="BWA1">
        <f>IFERROR(IF((ISBLANK(VLOOKUP(BWA7,#REF!,4,FALSE)))=TRUE,VLOOKUP(BWA7,#REF!,3,FALSE),VLOOKUP(BWA7,#REF!,4,FALSE)),0)</f>
        <v/>
      </c>
      <c r="BWB1">
        <f>IFERROR(IF((ISBLANK(VLOOKUP(BWB7,#REF!,4,FALSE)))=TRUE,VLOOKUP(BWB7,#REF!,3,FALSE),VLOOKUP(BWB7,#REF!,4,FALSE)),0)</f>
        <v/>
      </c>
      <c r="BWC1">
        <f>IFERROR(IF((ISBLANK(VLOOKUP(BWC7,#REF!,4,FALSE)))=TRUE,VLOOKUP(BWC7,#REF!,3,FALSE),VLOOKUP(BWC7,#REF!,4,FALSE)),0)</f>
        <v/>
      </c>
      <c r="BWD1">
        <f>IFERROR(IF((ISBLANK(VLOOKUP(BWD7,#REF!,4,FALSE)))=TRUE,VLOOKUP(BWD7,#REF!,3,FALSE),VLOOKUP(BWD7,#REF!,4,FALSE)),0)</f>
        <v/>
      </c>
      <c r="BWE1">
        <f>IFERROR(IF((ISBLANK(VLOOKUP(BWE7,#REF!,4,FALSE)))=TRUE,VLOOKUP(BWE7,#REF!,3,FALSE),VLOOKUP(BWE7,#REF!,4,FALSE)),0)</f>
        <v/>
      </c>
      <c r="BWF1">
        <f>IFERROR(IF((ISBLANK(VLOOKUP(BWF7,#REF!,4,FALSE)))=TRUE,VLOOKUP(BWF7,#REF!,3,FALSE),VLOOKUP(BWF7,#REF!,4,FALSE)),0)</f>
        <v/>
      </c>
      <c r="BWG1">
        <f>IFERROR(IF((ISBLANK(VLOOKUP(BWG7,#REF!,4,FALSE)))=TRUE,VLOOKUP(BWG7,#REF!,3,FALSE),VLOOKUP(BWG7,#REF!,4,FALSE)),0)</f>
        <v/>
      </c>
      <c r="BWH1">
        <f>IFERROR(IF((ISBLANK(VLOOKUP(BWH7,#REF!,4,FALSE)))=TRUE,VLOOKUP(BWH7,#REF!,3,FALSE),VLOOKUP(BWH7,#REF!,4,FALSE)),0)</f>
        <v/>
      </c>
      <c r="BWI1">
        <f>IFERROR(IF((ISBLANK(VLOOKUP(BWI7,#REF!,4,FALSE)))=TRUE,VLOOKUP(BWI7,#REF!,3,FALSE),VLOOKUP(BWI7,#REF!,4,FALSE)),0)</f>
        <v/>
      </c>
      <c r="BWJ1">
        <f>IFERROR(IF((ISBLANK(VLOOKUP(BWJ7,#REF!,4,FALSE)))=TRUE,VLOOKUP(BWJ7,#REF!,3,FALSE),VLOOKUP(BWJ7,#REF!,4,FALSE)),0)</f>
        <v/>
      </c>
      <c r="BWK1">
        <f>IFERROR(IF((ISBLANK(VLOOKUP(BWK7,#REF!,4,FALSE)))=TRUE,VLOOKUP(BWK7,#REF!,3,FALSE),VLOOKUP(BWK7,#REF!,4,FALSE)),0)</f>
        <v/>
      </c>
      <c r="BWL1">
        <f>IFERROR(IF((ISBLANK(VLOOKUP(BWL7,#REF!,4,FALSE)))=TRUE,VLOOKUP(BWL7,#REF!,3,FALSE),VLOOKUP(BWL7,#REF!,4,FALSE)),0)</f>
        <v/>
      </c>
      <c r="BWM1">
        <f>IFERROR(IF((ISBLANK(VLOOKUP(BWM7,#REF!,4,FALSE)))=TRUE,VLOOKUP(BWM7,#REF!,3,FALSE),VLOOKUP(BWM7,#REF!,4,FALSE)),0)</f>
        <v/>
      </c>
      <c r="BWN1">
        <f>IFERROR(IF((ISBLANK(VLOOKUP(BWN7,#REF!,4,FALSE)))=TRUE,VLOOKUP(BWN7,#REF!,3,FALSE),VLOOKUP(BWN7,#REF!,4,FALSE)),0)</f>
        <v/>
      </c>
      <c r="BWO1">
        <f>IFERROR(IF((ISBLANK(VLOOKUP(BWO7,#REF!,4,FALSE)))=TRUE,VLOOKUP(BWO7,#REF!,3,FALSE),VLOOKUP(BWO7,#REF!,4,FALSE)),0)</f>
        <v/>
      </c>
      <c r="BWP1">
        <f>IFERROR(IF((ISBLANK(VLOOKUP(BWP7,#REF!,4,FALSE)))=TRUE,VLOOKUP(BWP7,#REF!,3,FALSE),VLOOKUP(BWP7,#REF!,4,FALSE)),0)</f>
        <v/>
      </c>
      <c r="BWQ1">
        <f>IFERROR(IF((ISBLANK(VLOOKUP(BWQ7,#REF!,4,FALSE)))=TRUE,VLOOKUP(BWQ7,#REF!,3,FALSE),VLOOKUP(BWQ7,#REF!,4,FALSE)),0)</f>
        <v/>
      </c>
      <c r="BWR1">
        <f>IFERROR(IF((ISBLANK(VLOOKUP(BWR7,#REF!,4,FALSE)))=TRUE,VLOOKUP(BWR7,#REF!,3,FALSE),VLOOKUP(BWR7,#REF!,4,FALSE)),0)</f>
        <v/>
      </c>
      <c r="BWS1">
        <f>IFERROR(IF((ISBLANK(VLOOKUP(BWS7,#REF!,4,FALSE)))=TRUE,VLOOKUP(BWS7,#REF!,3,FALSE),VLOOKUP(BWS7,#REF!,4,FALSE)),0)</f>
        <v/>
      </c>
      <c r="BWT1">
        <f>IFERROR(IF((ISBLANK(VLOOKUP(BWT7,#REF!,4,FALSE)))=TRUE,VLOOKUP(BWT7,#REF!,3,FALSE),VLOOKUP(BWT7,#REF!,4,FALSE)),0)</f>
        <v/>
      </c>
      <c r="BWU1">
        <f>IFERROR(IF((ISBLANK(VLOOKUP(BWU7,#REF!,4,FALSE)))=TRUE,VLOOKUP(BWU7,#REF!,3,FALSE),VLOOKUP(BWU7,#REF!,4,FALSE)),0)</f>
        <v/>
      </c>
      <c r="BWV1">
        <f>IFERROR(IF((ISBLANK(VLOOKUP(BWV7,#REF!,4,FALSE)))=TRUE,VLOOKUP(BWV7,#REF!,3,FALSE),VLOOKUP(BWV7,#REF!,4,FALSE)),0)</f>
        <v/>
      </c>
      <c r="BWW1">
        <f>IFERROR(IF((ISBLANK(VLOOKUP(BWW7,#REF!,4,FALSE)))=TRUE,VLOOKUP(BWW7,#REF!,3,FALSE),VLOOKUP(BWW7,#REF!,4,FALSE)),0)</f>
        <v/>
      </c>
      <c r="BWX1">
        <f>IFERROR(IF((ISBLANK(VLOOKUP(BWX7,#REF!,4,FALSE)))=TRUE,VLOOKUP(BWX7,#REF!,3,FALSE),VLOOKUP(BWX7,#REF!,4,FALSE)),0)</f>
        <v/>
      </c>
      <c r="BWY1">
        <f>IFERROR(IF((ISBLANK(VLOOKUP(BWY7,#REF!,4,FALSE)))=TRUE,VLOOKUP(BWY7,#REF!,3,FALSE),VLOOKUP(BWY7,#REF!,4,FALSE)),0)</f>
        <v/>
      </c>
      <c r="BWZ1">
        <f>IFERROR(IF((ISBLANK(VLOOKUP(BWZ7,#REF!,4,FALSE)))=TRUE,VLOOKUP(BWZ7,#REF!,3,FALSE),VLOOKUP(BWZ7,#REF!,4,FALSE)),0)</f>
        <v/>
      </c>
      <c r="BXA1">
        <f>IFERROR(IF((ISBLANK(VLOOKUP(BXA7,#REF!,4,FALSE)))=TRUE,VLOOKUP(BXA7,#REF!,3,FALSE),VLOOKUP(BXA7,#REF!,4,FALSE)),0)</f>
        <v/>
      </c>
      <c r="BXB1">
        <f>IFERROR(IF((ISBLANK(VLOOKUP(BXB7,#REF!,4,FALSE)))=TRUE,VLOOKUP(BXB7,#REF!,3,FALSE),VLOOKUP(BXB7,#REF!,4,FALSE)),0)</f>
        <v/>
      </c>
      <c r="BXC1">
        <f>IFERROR(IF((ISBLANK(VLOOKUP(BXC7,#REF!,4,FALSE)))=TRUE,VLOOKUP(BXC7,#REF!,3,FALSE),VLOOKUP(BXC7,#REF!,4,FALSE)),0)</f>
        <v/>
      </c>
      <c r="BXD1">
        <f>IFERROR(IF((ISBLANK(VLOOKUP(BXD7,#REF!,4,FALSE)))=TRUE,VLOOKUP(BXD7,#REF!,3,FALSE),VLOOKUP(BXD7,#REF!,4,FALSE)),0)</f>
        <v/>
      </c>
      <c r="BXE1">
        <f>IFERROR(IF((ISBLANK(VLOOKUP(BXE7,#REF!,4,FALSE)))=TRUE,VLOOKUP(BXE7,#REF!,3,FALSE),VLOOKUP(BXE7,#REF!,4,FALSE)),0)</f>
        <v/>
      </c>
      <c r="BXF1">
        <f>IFERROR(IF((ISBLANK(VLOOKUP(BXF7,#REF!,4,FALSE)))=TRUE,VLOOKUP(BXF7,#REF!,3,FALSE),VLOOKUP(BXF7,#REF!,4,FALSE)),0)</f>
        <v/>
      </c>
      <c r="BXG1">
        <f>IFERROR(IF((ISBLANK(VLOOKUP(BXG7,#REF!,4,FALSE)))=TRUE,VLOOKUP(BXG7,#REF!,3,FALSE),VLOOKUP(BXG7,#REF!,4,FALSE)),0)</f>
        <v/>
      </c>
      <c r="BXH1">
        <f>IFERROR(IF((ISBLANK(VLOOKUP(BXH7,#REF!,4,FALSE)))=TRUE,VLOOKUP(BXH7,#REF!,3,FALSE),VLOOKUP(BXH7,#REF!,4,FALSE)),0)</f>
        <v/>
      </c>
      <c r="BXI1">
        <f>IFERROR(IF((ISBLANK(VLOOKUP(BXI7,#REF!,4,FALSE)))=TRUE,VLOOKUP(BXI7,#REF!,3,FALSE),VLOOKUP(BXI7,#REF!,4,FALSE)),0)</f>
        <v/>
      </c>
      <c r="BXJ1">
        <f>IFERROR(IF((ISBLANK(VLOOKUP(BXJ7,#REF!,4,FALSE)))=TRUE,VLOOKUP(BXJ7,#REF!,3,FALSE),VLOOKUP(BXJ7,#REF!,4,FALSE)),0)</f>
        <v/>
      </c>
      <c r="BXK1">
        <f>IFERROR(IF((ISBLANK(VLOOKUP(BXK7,#REF!,4,FALSE)))=TRUE,VLOOKUP(BXK7,#REF!,3,FALSE),VLOOKUP(BXK7,#REF!,4,FALSE)),0)</f>
        <v/>
      </c>
      <c r="BXL1">
        <f>IFERROR(IF((ISBLANK(VLOOKUP(BXL7,#REF!,4,FALSE)))=TRUE,VLOOKUP(BXL7,#REF!,3,FALSE),VLOOKUP(BXL7,#REF!,4,FALSE)),0)</f>
        <v/>
      </c>
      <c r="BXM1">
        <f>IFERROR(IF((ISBLANK(VLOOKUP(BXM7,#REF!,4,FALSE)))=TRUE,VLOOKUP(BXM7,#REF!,3,FALSE),VLOOKUP(BXM7,#REF!,4,FALSE)),0)</f>
        <v/>
      </c>
      <c r="BXN1">
        <f>IFERROR(IF((ISBLANK(VLOOKUP(BXN7,#REF!,4,FALSE)))=TRUE,VLOOKUP(BXN7,#REF!,3,FALSE),VLOOKUP(BXN7,#REF!,4,FALSE)),0)</f>
        <v/>
      </c>
      <c r="BXO1">
        <f>IFERROR(IF((ISBLANK(VLOOKUP(BXO7,#REF!,4,FALSE)))=TRUE,VLOOKUP(BXO7,#REF!,3,FALSE),VLOOKUP(BXO7,#REF!,4,FALSE)),0)</f>
        <v/>
      </c>
      <c r="BXP1">
        <f>IFERROR(IF((ISBLANK(VLOOKUP(BXP7,#REF!,4,FALSE)))=TRUE,VLOOKUP(BXP7,#REF!,3,FALSE),VLOOKUP(BXP7,#REF!,4,FALSE)),0)</f>
        <v/>
      </c>
      <c r="BXQ1">
        <f>IFERROR(IF((ISBLANK(VLOOKUP(BXQ7,#REF!,4,FALSE)))=TRUE,VLOOKUP(BXQ7,#REF!,3,FALSE),VLOOKUP(BXQ7,#REF!,4,FALSE)),0)</f>
        <v/>
      </c>
      <c r="BXR1">
        <f>IFERROR(IF((ISBLANK(VLOOKUP(BXR7,#REF!,4,FALSE)))=TRUE,VLOOKUP(BXR7,#REF!,3,FALSE),VLOOKUP(BXR7,#REF!,4,FALSE)),0)</f>
        <v/>
      </c>
      <c r="BXS1">
        <f>IFERROR(IF((ISBLANK(VLOOKUP(BXS7,#REF!,4,FALSE)))=TRUE,VLOOKUP(BXS7,#REF!,3,FALSE),VLOOKUP(BXS7,#REF!,4,FALSE)),0)</f>
        <v/>
      </c>
      <c r="BXT1">
        <f>IFERROR(IF((ISBLANK(VLOOKUP(BXT7,#REF!,4,FALSE)))=TRUE,VLOOKUP(BXT7,#REF!,3,FALSE),VLOOKUP(BXT7,#REF!,4,FALSE)),0)</f>
        <v/>
      </c>
      <c r="BXU1">
        <f>IFERROR(IF((ISBLANK(VLOOKUP(BXU7,#REF!,4,FALSE)))=TRUE,VLOOKUP(BXU7,#REF!,3,FALSE),VLOOKUP(BXU7,#REF!,4,FALSE)),0)</f>
        <v/>
      </c>
      <c r="BXV1">
        <f>IFERROR(IF((ISBLANK(VLOOKUP(BXV7,#REF!,4,FALSE)))=TRUE,VLOOKUP(BXV7,#REF!,3,FALSE),VLOOKUP(BXV7,#REF!,4,FALSE)),0)</f>
        <v/>
      </c>
      <c r="BXW1">
        <f>IFERROR(IF((ISBLANK(VLOOKUP(BXW7,#REF!,4,FALSE)))=TRUE,VLOOKUP(BXW7,#REF!,3,FALSE),VLOOKUP(BXW7,#REF!,4,FALSE)),0)</f>
        <v/>
      </c>
      <c r="BXX1">
        <f>IFERROR(IF((ISBLANK(VLOOKUP(BXX7,#REF!,4,FALSE)))=TRUE,VLOOKUP(BXX7,#REF!,3,FALSE),VLOOKUP(BXX7,#REF!,4,FALSE)),0)</f>
        <v/>
      </c>
      <c r="BXY1">
        <f>IFERROR(IF((ISBLANK(VLOOKUP(BXY7,#REF!,4,FALSE)))=TRUE,VLOOKUP(BXY7,#REF!,3,FALSE),VLOOKUP(BXY7,#REF!,4,FALSE)),0)</f>
        <v/>
      </c>
      <c r="BXZ1">
        <f>IFERROR(IF((ISBLANK(VLOOKUP(BXZ7,#REF!,4,FALSE)))=TRUE,VLOOKUP(BXZ7,#REF!,3,FALSE),VLOOKUP(BXZ7,#REF!,4,FALSE)),0)</f>
        <v/>
      </c>
      <c r="BYA1">
        <f>IFERROR(IF((ISBLANK(VLOOKUP(BYA7,#REF!,4,FALSE)))=TRUE,VLOOKUP(BYA7,#REF!,3,FALSE),VLOOKUP(BYA7,#REF!,4,FALSE)),0)</f>
        <v/>
      </c>
      <c r="BYB1">
        <f>IFERROR(IF((ISBLANK(VLOOKUP(BYB7,#REF!,4,FALSE)))=TRUE,VLOOKUP(BYB7,#REF!,3,FALSE),VLOOKUP(BYB7,#REF!,4,FALSE)),0)</f>
        <v/>
      </c>
      <c r="BYC1">
        <f>IFERROR(IF((ISBLANK(VLOOKUP(BYC7,#REF!,4,FALSE)))=TRUE,VLOOKUP(BYC7,#REF!,3,FALSE),VLOOKUP(BYC7,#REF!,4,FALSE)),0)</f>
        <v/>
      </c>
      <c r="BYD1">
        <f>IFERROR(IF((ISBLANK(VLOOKUP(BYD7,#REF!,4,FALSE)))=TRUE,VLOOKUP(BYD7,#REF!,3,FALSE),VLOOKUP(BYD7,#REF!,4,FALSE)),0)</f>
        <v/>
      </c>
      <c r="BYE1">
        <f>IFERROR(IF((ISBLANK(VLOOKUP(BYE7,#REF!,4,FALSE)))=TRUE,VLOOKUP(BYE7,#REF!,3,FALSE),VLOOKUP(BYE7,#REF!,4,FALSE)),0)</f>
        <v/>
      </c>
      <c r="BYF1">
        <f>IFERROR(IF((ISBLANK(VLOOKUP(BYF7,#REF!,4,FALSE)))=TRUE,VLOOKUP(BYF7,#REF!,3,FALSE),VLOOKUP(BYF7,#REF!,4,FALSE)),0)</f>
        <v/>
      </c>
      <c r="BYG1">
        <f>IFERROR(IF((ISBLANK(VLOOKUP(BYG7,#REF!,4,FALSE)))=TRUE,VLOOKUP(BYG7,#REF!,3,FALSE),VLOOKUP(BYG7,#REF!,4,FALSE)),0)</f>
        <v/>
      </c>
      <c r="BYH1">
        <f>IFERROR(IF((ISBLANK(VLOOKUP(BYH7,#REF!,4,FALSE)))=TRUE,VLOOKUP(BYH7,#REF!,3,FALSE),VLOOKUP(BYH7,#REF!,4,FALSE)),0)</f>
        <v/>
      </c>
      <c r="BYI1">
        <f>IFERROR(IF((ISBLANK(VLOOKUP(BYI7,#REF!,4,FALSE)))=TRUE,VLOOKUP(BYI7,#REF!,3,FALSE),VLOOKUP(BYI7,#REF!,4,FALSE)),0)</f>
        <v/>
      </c>
      <c r="BYJ1">
        <f>IFERROR(IF((ISBLANK(VLOOKUP(BYJ7,#REF!,4,FALSE)))=TRUE,VLOOKUP(BYJ7,#REF!,3,FALSE),VLOOKUP(BYJ7,#REF!,4,FALSE)),0)</f>
        <v/>
      </c>
      <c r="BYK1">
        <f>IFERROR(IF((ISBLANK(VLOOKUP(BYK7,#REF!,4,FALSE)))=TRUE,VLOOKUP(BYK7,#REF!,3,FALSE),VLOOKUP(BYK7,#REF!,4,FALSE)),0)</f>
        <v/>
      </c>
      <c r="BYL1">
        <f>IFERROR(IF((ISBLANK(VLOOKUP(BYL7,#REF!,4,FALSE)))=TRUE,VLOOKUP(BYL7,#REF!,3,FALSE),VLOOKUP(BYL7,#REF!,4,FALSE)),0)</f>
        <v/>
      </c>
      <c r="BYM1">
        <f>IFERROR(IF((ISBLANK(VLOOKUP(BYM7,#REF!,4,FALSE)))=TRUE,VLOOKUP(BYM7,#REF!,3,FALSE),VLOOKUP(BYM7,#REF!,4,FALSE)),0)</f>
        <v/>
      </c>
      <c r="BYN1">
        <f>IFERROR(IF((ISBLANK(VLOOKUP(BYN7,#REF!,4,FALSE)))=TRUE,VLOOKUP(BYN7,#REF!,3,FALSE),VLOOKUP(BYN7,#REF!,4,FALSE)),0)</f>
        <v/>
      </c>
      <c r="BYO1">
        <f>IFERROR(IF((ISBLANK(VLOOKUP(BYO7,#REF!,4,FALSE)))=TRUE,VLOOKUP(BYO7,#REF!,3,FALSE),VLOOKUP(BYO7,#REF!,4,FALSE)),0)</f>
        <v/>
      </c>
      <c r="BYP1">
        <f>IFERROR(IF((ISBLANK(VLOOKUP(BYP7,#REF!,4,FALSE)))=TRUE,VLOOKUP(BYP7,#REF!,3,FALSE),VLOOKUP(BYP7,#REF!,4,FALSE)),0)</f>
        <v/>
      </c>
      <c r="BYQ1">
        <f>IFERROR(IF((ISBLANK(VLOOKUP(BYQ7,#REF!,4,FALSE)))=TRUE,VLOOKUP(BYQ7,#REF!,3,FALSE),VLOOKUP(BYQ7,#REF!,4,FALSE)),0)</f>
        <v/>
      </c>
      <c r="BYR1">
        <f>IFERROR(IF((ISBLANK(VLOOKUP(BYR7,#REF!,4,FALSE)))=TRUE,VLOOKUP(BYR7,#REF!,3,FALSE),VLOOKUP(BYR7,#REF!,4,FALSE)),0)</f>
        <v/>
      </c>
      <c r="BYS1">
        <f>IFERROR(IF((ISBLANK(VLOOKUP(BYS7,#REF!,4,FALSE)))=TRUE,VLOOKUP(BYS7,#REF!,3,FALSE),VLOOKUP(BYS7,#REF!,4,FALSE)),0)</f>
        <v/>
      </c>
      <c r="BYT1">
        <f>IFERROR(IF((ISBLANK(VLOOKUP(BYT7,#REF!,4,FALSE)))=TRUE,VLOOKUP(BYT7,#REF!,3,FALSE),VLOOKUP(BYT7,#REF!,4,FALSE)),0)</f>
        <v/>
      </c>
      <c r="BYU1">
        <f>IFERROR(IF((ISBLANK(VLOOKUP(BYU7,#REF!,4,FALSE)))=TRUE,VLOOKUP(BYU7,#REF!,3,FALSE),VLOOKUP(BYU7,#REF!,4,FALSE)),0)</f>
        <v/>
      </c>
      <c r="BYV1">
        <f>IFERROR(IF((ISBLANK(VLOOKUP(BYV7,#REF!,4,FALSE)))=TRUE,VLOOKUP(BYV7,#REF!,3,FALSE),VLOOKUP(BYV7,#REF!,4,FALSE)),0)</f>
        <v/>
      </c>
      <c r="BYW1">
        <f>IFERROR(IF((ISBLANK(VLOOKUP(BYW7,#REF!,4,FALSE)))=TRUE,VLOOKUP(BYW7,#REF!,3,FALSE),VLOOKUP(BYW7,#REF!,4,FALSE)),0)</f>
        <v/>
      </c>
      <c r="BYX1">
        <f>IFERROR(IF((ISBLANK(VLOOKUP(BYX7,#REF!,4,FALSE)))=TRUE,VLOOKUP(BYX7,#REF!,3,FALSE),VLOOKUP(BYX7,#REF!,4,FALSE)),0)</f>
        <v/>
      </c>
      <c r="BYY1">
        <f>IFERROR(IF((ISBLANK(VLOOKUP(BYY7,#REF!,4,FALSE)))=TRUE,VLOOKUP(BYY7,#REF!,3,FALSE),VLOOKUP(BYY7,#REF!,4,FALSE)),0)</f>
        <v/>
      </c>
      <c r="BYZ1">
        <f>IFERROR(IF((ISBLANK(VLOOKUP(BYZ7,#REF!,4,FALSE)))=TRUE,VLOOKUP(BYZ7,#REF!,3,FALSE),VLOOKUP(BYZ7,#REF!,4,FALSE)),0)</f>
        <v/>
      </c>
      <c r="BZA1">
        <f>IFERROR(IF((ISBLANK(VLOOKUP(BZA7,#REF!,4,FALSE)))=TRUE,VLOOKUP(BZA7,#REF!,3,FALSE),VLOOKUP(BZA7,#REF!,4,FALSE)),0)</f>
        <v/>
      </c>
      <c r="BZB1">
        <f>IFERROR(IF((ISBLANK(VLOOKUP(BZB7,#REF!,4,FALSE)))=TRUE,VLOOKUP(BZB7,#REF!,3,FALSE),VLOOKUP(BZB7,#REF!,4,FALSE)),0)</f>
        <v/>
      </c>
      <c r="BZC1">
        <f>IFERROR(IF((ISBLANK(VLOOKUP(BZC7,#REF!,4,FALSE)))=TRUE,VLOOKUP(BZC7,#REF!,3,FALSE),VLOOKUP(BZC7,#REF!,4,FALSE)),0)</f>
        <v/>
      </c>
      <c r="BZD1">
        <f>IFERROR(IF((ISBLANK(VLOOKUP(BZD7,#REF!,4,FALSE)))=TRUE,VLOOKUP(BZD7,#REF!,3,FALSE),VLOOKUP(BZD7,#REF!,4,FALSE)),0)</f>
        <v/>
      </c>
      <c r="BZE1">
        <f>IFERROR(IF((ISBLANK(VLOOKUP(BZE7,#REF!,4,FALSE)))=TRUE,VLOOKUP(BZE7,#REF!,3,FALSE),VLOOKUP(BZE7,#REF!,4,FALSE)),0)</f>
        <v/>
      </c>
      <c r="BZF1">
        <f>IFERROR(IF((ISBLANK(VLOOKUP(BZF7,#REF!,4,FALSE)))=TRUE,VLOOKUP(BZF7,#REF!,3,FALSE),VLOOKUP(BZF7,#REF!,4,FALSE)),0)</f>
        <v/>
      </c>
      <c r="BZG1">
        <f>IFERROR(IF((ISBLANK(VLOOKUP(BZG7,#REF!,4,FALSE)))=TRUE,VLOOKUP(BZG7,#REF!,3,FALSE),VLOOKUP(BZG7,#REF!,4,FALSE)),0)</f>
        <v/>
      </c>
      <c r="BZH1">
        <f>IFERROR(IF((ISBLANK(VLOOKUP(BZH7,#REF!,4,FALSE)))=TRUE,VLOOKUP(BZH7,#REF!,3,FALSE),VLOOKUP(BZH7,#REF!,4,FALSE)),0)</f>
        <v/>
      </c>
      <c r="BZI1">
        <f>IFERROR(IF((ISBLANK(VLOOKUP(BZI7,#REF!,4,FALSE)))=TRUE,VLOOKUP(BZI7,#REF!,3,FALSE),VLOOKUP(BZI7,#REF!,4,FALSE)),0)</f>
        <v/>
      </c>
      <c r="BZJ1">
        <f>IFERROR(IF((ISBLANK(VLOOKUP(BZJ7,#REF!,4,FALSE)))=TRUE,VLOOKUP(BZJ7,#REF!,3,FALSE),VLOOKUP(BZJ7,#REF!,4,FALSE)),0)</f>
        <v/>
      </c>
      <c r="BZK1">
        <f>IFERROR(IF((ISBLANK(VLOOKUP(BZK7,#REF!,4,FALSE)))=TRUE,VLOOKUP(BZK7,#REF!,3,FALSE),VLOOKUP(BZK7,#REF!,4,FALSE)),0)</f>
        <v/>
      </c>
      <c r="BZL1">
        <f>IFERROR(IF((ISBLANK(VLOOKUP(BZL7,#REF!,4,FALSE)))=TRUE,VLOOKUP(BZL7,#REF!,3,FALSE),VLOOKUP(BZL7,#REF!,4,FALSE)),0)</f>
        <v/>
      </c>
      <c r="BZM1">
        <f>IFERROR(IF((ISBLANK(VLOOKUP(BZM7,#REF!,4,FALSE)))=TRUE,VLOOKUP(BZM7,#REF!,3,FALSE),VLOOKUP(BZM7,#REF!,4,FALSE)),0)</f>
        <v/>
      </c>
      <c r="BZN1">
        <f>IFERROR(IF((ISBLANK(VLOOKUP(BZN7,#REF!,4,FALSE)))=TRUE,VLOOKUP(BZN7,#REF!,3,FALSE),VLOOKUP(BZN7,#REF!,4,FALSE)),0)</f>
        <v/>
      </c>
      <c r="BZO1">
        <f>IFERROR(IF((ISBLANK(VLOOKUP(BZO7,#REF!,4,FALSE)))=TRUE,VLOOKUP(BZO7,#REF!,3,FALSE),VLOOKUP(BZO7,#REF!,4,FALSE)),0)</f>
        <v/>
      </c>
      <c r="BZP1">
        <f>IFERROR(IF((ISBLANK(VLOOKUP(BZP7,#REF!,4,FALSE)))=TRUE,VLOOKUP(BZP7,#REF!,3,FALSE),VLOOKUP(BZP7,#REF!,4,FALSE)),0)</f>
        <v/>
      </c>
      <c r="BZQ1">
        <f>IFERROR(IF((ISBLANK(VLOOKUP(BZQ7,#REF!,4,FALSE)))=TRUE,VLOOKUP(BZQ7,#REF!,3,FALSE),VLOOKUP(BZQ7,#REF!,4,FALSE)),0)</f>
        <v/>
      </c>
      <c r="BZR1">
        <f>IFERROR(IF((ISBLANK(VLOOKUP(BZR7,#REF!,4,FALSE)))=TRUE,VLOOKUP(BZR7,#REF!,3,FALSE),VLOOKUP(BZR7,#REF!,4,FALSE)),0)</f>
        <v/>
      </c>
      <c r="BZS1">
        <f>IFERROR(IF((ISBLANK(VLOOKUP(BZS7,#REF!,4,FALSE)))=TRUE,VLOOKUP(BZS7,#REF!,3,FALSE),VLOOKUP(BZS7,#REF!,4,FALSE)),0)</f>
        <v/>
      </c>
      <c r="BZT1">
        <f>IFERROR(IF((ISBLANK(VLOOKUP(BZT7,#REF!,4,FALSE)))=TRUE,VLOOKUP(BZT7,#REF!,3,FALSE),VLOOKUP(BZT7,#REF!,4,FALSE)),0)</f>
        <v/>
      </c>
      <c r="BZU1">
        <f>IFERROR(IF((ISBLANK(VLOOKUP(BZU7,#REF!,4,FALSE)))=TRUE,VLOOKUP(BZU7,#REF!,3,FALSE),VLOOKUP(BZU7,#REF!,4,FALSE)),0)</f>
        <v/>
      </c>
      <c r="BZV1">
        <f>IFERROR(IF((ISBLANK(VLOOKUP(BZV7,#REF!,4,FALSE)))=TRUE,VLOOKUP(BZV7,#REF!,3,FALSE),VLOOKUP(BZV7,#REF!,4,FALSE)),0)</f>
        <v/>
      </c>
      <c r="BZW1">
        <f>IFERROR(IF((ISBLANK(VLOOKUP(BZW7,#REF!,4,FALSE)))=TRUE,VLOOKUP(BZW7,#REF!,3,FALSE),VLOOKUP(BZW7,#REF!,4,FALSE)),0)</f>
        <v/>
      </c>
      <c r="BZX1">
        <f>IFERROR(IF((ISBLANK(VLOOKUP(BZX7,#REF!,4,FALSE)))=TRUE,VLOOKUP(BZX7,#REF!,3,FALSE),VLOOKUP(BZX7,#REF!,4,FALSE)),0)</f>
        <v/>
      </c>
      <c r="BZY1">
        <f>IFERROR(IF((ISBLANK(VLOOKUP(BZY7,#REF!,4,FALSE)))=TRUE,VLOOKUP(BZY7,#REF!,3,FALSE),VLOOKUP(BZY7,#REF!,4,FALSE)),0)</f>
        <v/>
      </c>
      <c r="BZZ1">
        <f>IFERROR(IF((ISBLANK(VLOOKUP(BZZ7,#REF!,4,FALSE)))=TRUE,VLOOKUP(BZZ7,#REF!,3,FALSE),VLOOKUP(BZZ7,#REF!,4,FALSE)),0)</f>
        <v/>
      </c>
      <c r="CAA1">
        <f>IFERROR(IF((ISBLANK(VLOOKUP(CAA7,#REF!,4,FALSE)))=TRUE,VLOOKUP(CAA7,#REF!,3,FALSE),VLOOKUP(CAA7,#REF!,4,FALSE)),0)</f>
        <v/>
      </c>
      <c r="CAB1">
        <f>IFERROR(IF((ISBLANK(VLOOKUP(CAB7,#REF!,4,FALSE)))=TRUE,VLOOKUP(CAB7,#REF!,3,FALSE),VLOOKUP(CAB7,#REF!,4,FALSE)),0)</f>
        <v/>
      </c>
      <c r="CAC1">
        <f>IFERROR(IF((ISBLANK(VLOOKUP(CAC7,#REF!,4,FALSE)))=TRUE,VLOOKUP(CAC7,#REF!,3,FALSE),VLOOKUP(CAC7,#REF!,4,FALSE)),0)</f>
        <v/>
      </c>
      <c r="CAD1">
        <f>IFERROR(IF((ISBLANK(VLOOKUP(CAD7,#REF!,4,FALSE)))=TRUE,VLOOKUP(CAD7,#REF!,3,FALSE),VLOOKUP(CAD7,#REF!,4,FALSE)),0)</f>
        <v/>
      </c>
      <c r="CAE1">
        <f>IFERROR(IF((ISBLANK(VLOOKUP(CAE7,#REF!,4,FALSE)))=TRUE,VLOOKUP(CAE7,#REF!,3,FALSE),VLOOKUP(CAE7,#REF!,4,FALSE)),0)</f>
        <v/>
      </c>
      <c r="CAF1">
        <f>IFERROR(IF((ISBLANK(VLOOKUP(CAF7,#REF!,4,FALSE)))=TRUE,VLOOKUP(CAF7,#REF!,3,FALSE),VLOOKUP(CAF7,#REF!,4,FALSE)),0)</f>
        <v/>
      </c>
      <c r="CAG1">
        <f>IFERROR(IF((ISBLANK(VLOOKUP(CAG7,#REF!,4,FALSE)))=TRUE,VLOOKUP(CAG7,#REF!,3,FALSE),VLOOKUP(CAG7,#REF!,4,FALSE)),0)</f>
        <v/>
      </c>
      <c r="CAH1">
        <f>IFERROR(IF((ISBLANK(VLOOKUP(CAH7,#REF!,4,FALSE)))=TRUE,VLOOKUP(CAH7,#REF!,3,FALSE),VLOOKUP(CAH7,#REF!,4,FALSE)),0)</f>
        <v/>
      </c>
      <c r="CAI1">
        <f>IFERROR(IF((ISBLANK(VLOOKUP(CAI7,#REF!,4,FALSE)))=TRUE,VLOOKUP(CAI7,#REF!,3,FALSE),VLOOKUP(CAI7,#REF!,4,FALSE)),0)</f>
        <v/>
      </c>
      <c r="CAJ1">
        <f>IFERROR(IF((ISBLANK(VLOOKUP(CAJ7,#REF!,4,FALSE)))=TRUE,VLOOKUP(CAJ7,#REF!,3,FALSE),VLOOKUP(CAJ7,#REF!,4,FALSE)),0)</f>
        <v/>
      </c>
      <c r="CAK1">
        <f>IFERROR(IF((ISBLANK(VLOOKUP(CAK7,#REF!,4,FALSE)))=TRUE,VLOOKUP(CAK7,#REF!,3,FALSE),VLOOKUP(CAK7,#REF!,4,FALSE)),0)</f>
        <v/>
      </c>
      <c r="CAL1">
        <f>IFERROR(IF((ISBLANK(VLOOKUP(CAL7,#REF!,4,FALSE)))=TRUE,VLOOKUP(CAL7,#REF!,3,FALSE),VLOOKUP(CAL7,#REF!,4,FALSE)),0)</f>
        <v/>
      </c>
      <c r="CAM1">
        <f>IFERROR(IF((ISBLANK(VLOOKUP(CAM7,#REF!,4,FALSE)))=TRUE,VLOOKUP(CAM7,#REF!,3,FALSE),VLOOKUP(CAM7,#REF!,4,FALSE)),0)</f>
        <v/>
      </c>
      <c r="CAN1">
        <f>IFERROR(IF((ISBLANK(VLOOKUP(CAN7,#REF!,4,FALSE)))=TRUE,VLOOKUP(CAN7,#REF!,3,FALSE),VLOOKUP(CAN7,#REF!,4,FALSE)),0)</f>
        <v/>
      </c>
      <c r="CAO1">
        <f>IFERROR(IF((ISBLANK(VLOOKUP(CAO7,#REF!,4,FALSE)))=TRUE,VLOOKUP(CAO7,#REF!,3,FALSE),VLOOKUP(CAO7,#REF!,4,FALSE)),0)</f>
        <v/>
      </c>
      <c r="CAP1">
        <f>IFERROR(IF((ISBLANK(VLOOKUP(CAP7,#REF!,4,FALSE)))=TRUE,VLOOKUP(CAP7,#REF!,3,FALSE),VLOOKUP(CAP7,#REF!,4,FALSE)),0)</f>
        <v/>
      </c>
      <c r="CAQ1">
        <f>IFERROR(IF((ISBLANK(VLOOKUP(CAQ7,#REF!,4,FALSE)))=TRUE,VLOOKUP(CAQ7,#REF!,3,FALSE),VLOOKUP(CAQ7,#REF!,4,FALSE)),0)</f>
        <v/>
      </c>
      <c r="CAR1">
        <f>IFERROR(IF((ISBLANK(VLOOKUP(CAR7,#REF!,4,FALSE)))=TRUE,VLOOKUP(CAR7,#REF!,3,FALSE),VLOOKUP(CAR7,#REF!,4,FALSE)),0)</f>
        <v/>
      </c>
      <c r="CAS1">
        <f>IFERROR(IF((ISBLANK(VLOOKUP(CAS7,#REF!,4,FALSE)))=TRUE,VLOOKUP(CAS7,#REF!,3,FALSE),VLOOKUP(CAS7,#REF!,4,FALSE)),0)</f>
        <v/>
      </c>
      <c r="CAT1">
        <f>IFERROR(IF((ISBLANK(VLOOKUP(CAT7,#REF!,4,FALSE)))=TRUE,VLOOKUP(CAT7,#REF!,3,FALSE),VLOOKUP(CAT7,#REF!,4,FALSE)),0)</f>
        <v/>
      </c>
      <c r="CAU1">
        <f>IFERROR(IF((ISBLANK(VLOOKUP(CAU7,#REF!,4,FALSE)))=TRUE,VLOOKUP(CAU7,#REF!,3,FALSE),VLOOKUP(CAU7,#REF!,4,FALSE)),0)</f>
        <v/>
      </c>
      <c r="CAV1">
        <f>IFERROR(IF((ISBLANK(VLOOKUP(CAV7,#REF!,4,FALSE)))=TRUE,VLOOKUP(CAV7,#REF!,3,FALSE),VLOOKUP(CAV7,#REF!,4,FALSE)),0)</f>
        <v/>
      </c>
      <c r="CAW1">
        <f>IFERROR(IF((ISBLANK(VLOOKUP(CAW7,#REF!,4,FALSE)))=TRUE,VLOOKUP(CAW7,#REF!,3,FALSE),VLOOKUP(CAW7,#REF!,4,FALSE)),0)</f>
        <v/>
      </c>
      <c r="CAX1">
        <f>IFERROR(IF((ISBLANK(VLOOKUP(CAX7,#REF!,4,FALSE)))=TRUE,VLOOKUP(CAX7,#REF!,3,FALSE),VLOOKUP(CAX7,#REF!,4,FALSE)),0)</f>
        <v/>
      </c>
      <c r="CAY1">
        <f>IFERROR(IF((ISBLANK(VLOOKUP(CAY7,#REF!,4,FALSE)))=TRUE,VLOOKUP(CAY7,#REF!,3,FALSE),VLOOKUP(CAY7,#REF!,4,FALSE)),0)</f>
        <v/>
      </c>
      <c r="CAZ1">
        <f>IFERROR(IF((ISBLANK(VLOOKUP(CAZ7,#REF!,4,FALSE)))=TRUE,VLOOKUP(CAZ7,#REF!,3,FALSE),VLOOKUP(CAZ7,#REF!,4,FALSE)),0)</f>
        <v/>
      </c>
      <c r="CBA1">
        <f>IFERROR(IF((ISBLANK(VLOOKUP(CBA7,#REF!,4,FALSE)))=TRUE,VLOOKUP(CBA7,#REF!,3,FALSE),VLOOKUP(CBA7,#REF!,4,FALSE)),0)</f>
        <v/>
      </c>
      <c r="CBB1">
        <f>IFERROR(IF((ISBLANK(VLOOKUP(CBB7,#REF!,4,FALSE)))=TRUE,VLOOKUP(CBB7,#REF!,3,FALSE),VLOOKUP(CBB7,#REF!,4,FALSE)),0)</f>
        <v/>
      </c>
      <c r="CBC1">
        <f>IFERROR(IF((ISBLANK(VLOOKUP(CBC7,#REF!,4,FALSE)))=TRUE,VLOOKUP(CBC7,#REF!,3,FALSE),VLOOKUP(CBC7,#REF!,4,FALSE)),0)</f>
        <v/>
      </c>
      <c r="CBD1">
        <f>IFERROR(IF((ISBLANK(VLOOKUP(CBD7,#REF!,4,FALSE)))=TRUE,VLOOKUP(CBD7,#REF!,3,FALSE),VLOOKUP(CBD7,#REF!,4,FALSE)),0)</f>
        <v/>
      </c>
      <c r="CBE1">
        <f>IFERROR(IF((ISBLANK(VLOOKUP(CBE7,#REF!,4,FALSE)))=TRUE,VLOOKUP(CBE7,#REF!,3,FALSE),VLOOKUP(CBE7,#REF!,4,FALSE)),0)</f>
        <v/>
      </c>
      <c r="CBF1">
        <f>IFERROR(IF((ISBLANK(VLOOKUP(CBF7,#REF!,4,FALSE)))=TRUE,VLOOKUP(CBF7,#REF!,3,FALSE),VLOOKUP(CBF7,#REF!,4,FALSE)),0)</f>
        <v/>
      </c>
      <c r="CBG1">
        <f>IFERROR(IF((ISBLANK(VLOOKUP(CBG7,#REF!,4,FALSE)))=TRUE,VLOOKUP(CBG7,#REF!,3,FALSE),VLOOKUP(CBG7,#REF!,4,FALSE)),0)</f>
        <v/>
      </c>
      <c r="CBH1">
        <f>IFERROR(IF((ISBLANK(VLOOKUP(CBH7,#REF!,4,FALSE)))=TRUE,VLOOKUP(CBH7,#REF!,3,FALSE),VLOOKUP(CBH7,#REF!,4,FALSE)),0)</f>
        <v/>
      </c>
      <c r="CBI1">
        <f>IFERROR(IF((ISBLANK(VLOOKUP(CBI7,#REF!,4,FALSE)))=TRUE,VLOOKUP(CBI7,#REF!,3,FALSE),VLOOKUP(CBI7,#REF!,4,FALSE)),0)</f>
        <v/>
      </c>
      <c r="CBJ1">
        <f>IFERROR(IF((ISBLANK(VLOOKUP(CBJ7,#REF!,4,FALSE)))=TRUE,VLOOKUP(CBJ7,#REF!,3,FALSE),VLOOKUP(CBJ7,#REF!,4,FALSE)),0)</f>
        <v/>
      </c>
      <c r="CBK1">
        <f>IFERROR(IF((ISBLANK(VLOOKUP(CBK7,#REF!,4,FALSE)))=TRUE,VLOOKUP(CBK7,#REF!,3,FALSE),VLOOKUP(CBK7,#REF!,4,FALSE)),0)</f>
        <v/>
      </c>
      <c r="CBL1">
        <f>IFERROR(IF((ISBLANK(VLOOKUP(CBL7,#REF!,4,FALSE)))=TRUE,VLOOKUP(CBL7,#REF!,3,FALSE),VLOOKUP(CBL7,#REF!,4,FALSE)),0)</f>
        <v/>
      </c>
      <c r="CBM1">
        <f>IFERROR(IF((ISBLANK(VLOOKUP(CBM7,#REF!,4,FALSE)))=TRUE,VLOOKUP(CBM7,#REF!,3,FALSE),VLOOKUP(CBM7,#REF!,4,FALSE)),0)</f>
        <v/>
      </c>
      <c r="CBN1">
        <f>IFERROR(IF((ISBLANK(VLOOKUP(CBN7,#REF!,4,FALSE)))=TRUE,VLOOKUP(CBN7,#REF!,3,FALSE),VLOOKUP(CBN7,#REF!,4,FALSE)),0)</f>
        <v/>
      </c>
      <c r="CBO1">
        <f>IFERROR(IF((ISBLANK(VLOOKUP(CBO7,#REF!,4,FALSE)))=TRUE,VLOOKUP(CBO7,#REF!,3,FALSE),VLOOKUP(CBO7,#REF!,4,FALSE)),0)</f>
        <v/>
      </c>
      <c r="CBP1">
        <f>IFERROR(IF((ISBLANK(VLOOKUP(CBP7,#REF!,4,FALSE)))=TRUE,VLOOKUP(CBP7,#REF!,3,FALSE),VLOOKUP(CBP7,#REF!,4,FALSE)),0)</f>
        <v/>
      </c>
      <c r="CBQ1">
        <f>IFERROR(IF((ISBLANK(VLOOKUP(CBQ7,#REF!,4,FALSE)))=TRUE,VLOOKUP(CBQ7,#REF!,3,FALSE),VLOOKUP(CBQ7,#REF!,4,FALSE)),0)</f>
        <v/>
      </c>
      <c r="CBR1">
        <f>IFERROR(IF((ISBLANK(VLOOKUP(CBR7,#REF!,4,FALSE)))=TRUE,VLOOKUP(CBR7,#REF!,3,FALSE),VLOOKUP(CBR7,#REF!,4,FALSE)),0)</f>
        <v/>
      </c>
      <c r="CBS1">
        <f>IFERROR(IF((ISBLANK(VLOOKUP(CBS7,#REF!,4,FALSE)))=TRUE,VLOOKUP(CBS7,#REF!,3,FALSE),VLOOKUP(CBS7,#REF!,4,FALSE)),0)</f>
        <v/>
      </c>
      <c r="CBT1">
        <f>IFERROR(IF((ISBLANK(VLOOKUP(CBT7,#REF!,4,FALSE)))=TRUE,VLOOKUP(CBT7,#REF!,3,FALSE),VLOOKUP(CBT7,#REF!,4,FALSE)),0)</f>
        <v/>
      </c>
      <c r="CBU1">
        <f>IFERROR(IF((ISBLANK(VLOOKUP(CBU7,#REF!,4,FALSE)))=TRUE,VLOOKUP(CBU7,#REF!,3,FALSE),VLOOKUP(CBU7,#REF!,4,FALSE)),0)</f>
        <v/>
      </c>
      <c r="CBV1">
        <f>IFERROR(IF((ISBLANK(VLOOKUP(CBV7,#REF!,4,FALSE)))=TRUE,VLOOKUP(CBV7,#REF!,3,FALSE),VLOOKUP(CBV7,#REF!,4,FALSE)),0)</f>
        <v/>
      </c>
      <c r="CBW1">
        <f>IFERROR(IF((ISBLANK(VLOOKUP(CBW7,#REF!,4,FALSE)))=TRUE,VLOOKUP(CBW7,#REF!,3,FALSE),VLOOKUP(CBW7,#REF!,4,FALSE)),0)</f>
        <v/>
      </c>
      <c r="CBX1">
        <f>IFERROR(IF((ISBLANK(VLOOKUP(CBX7,#REF!,4,FALSE)))=TRUE,VLOOKUP(CBX7,#REF!,3,FALSE),VLOOKUP(CBX7,#REF!,4,FALSE)),0)</f>
        <v/>
      </c>
      <c r="CBY1">
        <f>IFERROR(IF((ISBLANK(VLOOKUP(CBY7,#REF!,4,FALSE)))=TRUE,VLOOKUP(CBY7,#REF!,3,FALSE),VLOOKUP(CBY7,#REF!,4,FALSE)),0)</f>
        <v/>
      </c>
      <c r="CBZ1">
        <f>IFERROR(IF((ISBLANK(VLOOKUP(CBZ7,#REF!,4,FALSE)))=TRUE,VLOOKUP(CBZ7,#REF!,3,FALSE),VLOOKUP(CBZ7,#REF!,4,FALSE)),0)</f>
        <v/>
      </c>
      <c r="CCA1">
        <f>IFERROR(IF((ISBLANK(VLOOKUP(CCA7,#REF!,4,FALSE)))=TRUE,VLOOKUP(CCA7,#REF!,3,FALSE),VLOOKUP(CCA7,#REF!,4,FALSE)),0)</f>
        <v/>
      </c>
      <c r="CCB1">
        <f>IFERROR(IF((ISBLANK(VLOOKUP(CCB7,#REF!,4,FALSE)))=TRUE,VLOOKUP(CCB7,#REF!,3,FALSE),VLOOKUP(CCB7,#REF!,4,FALSE)),0)</f>
        <v/>
      </c>
      <c r="CCC1">
        <f>IFERROR(IF((ISBLANK(VLOOKUP(CCC7,#REF!,4,FALSE)))=TRUE,VLOOKUP(CCC7,#REF!,3,FALSE),VLOOKUP(CCC7,#REF!,4,FALSE)),0)</f>
        <v/>
      </c>
      <c r="CCD1">
        <f>IFERROR(IF((ISBLANK(VLOOKUP(CCD7,#REF!,4,FALSE)))=TRUE,VLOOKUP(CCD7,#REF!,3,FALSE),VLOOKUP(CCD7,#REF!,4,FALSE)),0)</f>
        <v/>
      </c>
      <c r="CCE1">
        <f>IFERROR(IF((ISBLANK(VLOOKUP(CCE7,#REF!,4,FALSE)))=TRUE,VLOOKUP(CCE7,#REF!,3,FALSE),VLOOKUP(CCE7,#REF!,4,FALSE)),0)</f>
        <v/>
      </c>
      <c r="CCF1">
        <f>IFERROR(IF((ISBLANK(VLOOKUP(CCF7,#REF!,4,FALSE)))=TRUE,VLOOKUP(CCF7,#REF!,3,FALSE),VLOOKUP(CCF7,#REF!,4,FALSE)),0)</f>
        <v/>
      </c>
      <c r="CCG1">
        <f>IFERROR(IF((ISBLANK(VLOOKUP(CCG7,#REF!,4,FALSE)))=TRUE,VLOOKUP(CCG7,#REF!,3,FALSE),VLOOKUP(CCG7,#REF!,4,FALSE)),0)</f>
        <v/>
      </c>
      <c r="CCH1">
        <f>IFERROR(IF((ISBLANK(VLOOKUP(CCH7,#REF!,4,FALSE)))=TRUE,VLOOKUP(CCH7,#REF!,3,FALSE),VLOOKUP(CCH7,#REF!,4,FALSE)),0)</f>
        <v/>
      </c>
      <c r="CCI1">
        <f>IFERROR(IF((ISBLANK(VLOOKUP(CCI7,#REF!,4,FALSE)))=TRUE,VLOOKUP(CCI7,#REF!,3,FALSE),VLOOKUP(CCI7,#REF!,4,FALSE)),0)</f>
        <v/>
      </c>
      <c r="CCJ1">
        <f>IFERROR(IF((ISBLANK(VLOOKUP(CCJ7,#REF!,4,FALSE)))=TRUE,VLOOKUP(CCJ7,#REF!,3,FALSE),VLOOKUP(CCJ7,#REF!,4,FALSE)),0)</f>
        <v/>
      </c>
      <c r="CCK1">
        <f>IFERROR(IF((ISBLANK(VLOOKUP(CCK7,#REF!,4,FALSE)))=TRUE,VLOOKUP(CCK7,#REF!,3,FALSE),VLOOKUP(CCK7,#REF!,4,FALSE)),0)</f>
        <v/>
      </c>
      <c r="CCL1">
        <f>IFERROR(IF((ISBLANK(VLOOKUP(CCL7,#REF!,4,FALSE)))=TRUE,VLOOKUP(CCL7,#REF!,3,FALSE),VLOOKUP(CCL7,#REF!,4,FALSE)),0)</f>
        <v/>
      </c>
      <c r="CCM1">
        <f>IFERROR(IF((ISBLANK(VLOOKUP(CCM7,#REF!,4,FALSE)))=TRUE,VLOOKUP(CCM7,#REF!,3,FALSE),VLOOKUP(CCM7,#REF!,4,FALSE)),0)</f>
        <v/>
      </c>
      <c r="CCN1">
        <f>IFERROR(IF((ISBLANK(VLOOKUP(CCN7,#REF!,4,FALSE)))=TRUE,VLOOKUP(CCN7,#REF!,3,FALSE),VLOOKUP(CCN7,#REF!,4,FALSE)),0)</f>
        <v/>
      </c>
      <c r="CCO1">
        <f>IFERROR(IF((ISBLANK(VLOOKUP(CCO7,#REF!,4,FALSE)))=TRUE,VLOOKUP(CCO7,#REF!,3,FALSE),VLOOKUP(CCO7,#REF!,4,FALSE)),0)</f>
        <v/>
      </c>
      <c r="CCP1">
        <f>IFERROR(IF((ISBLANK(VLOOKUP(CCP7,#REF!,4,FALSE)))=TRUE,VLOOKUP(CCP7,#REF!,3,FALSE),VLOOKUP(CCP7,#REF!,4,FALSE)),0)</f>
        <v/>
      </c>
      <c r="CCQ1">
        <f>IFERROR(IF((ISBLANK(VLOOKUP(CCQ7,#REF!,4,FALSE)))=TRUE,VLOOKUP(CCQ7,#REF!,3,FALSE),VLOOKUP(CCQ7,#REF!,4,FALSE)),0)</f>
        <v/>
      </c>
      <c r="CCR1">
        <f>IFERROR(IF((ISBLANK(VLOOKUP(CCR7,#REF!,4,FALSE)))=TRUE,VLOOKUP(CCR7,#REF!,3,FALSE),VLOOKUP(CCR7,#REF!,4,FALSE)),0)</f>
        <v/>
      </c>
      <c r="CCS1">
        <f>IFERROR(IF((ISBLANK(VLOOKUP(CCS7,#REF!,4,FALSE)))=TRUE,VLOOKUP(CCS7,#REF!,3,FALSE),VLOOKUP(CCS7,#REF!,4,FALSE)),0)</f>
        <v/>
      </c>
      <c r="CCT1">
        <f>IFERROR(IF((ISBLANK(VLOOKUP(CCT7,#REF!,4,FALSE)))=TRUE,VLOOKUP(CCT7,#REF!,3,FALSE),VLOOKUP(CCT7,#REF!,4,FALSE)),0)</f>
        <v/>
      </c>
      <c r="CCU1">
        <f>IFERROR(IF((ISBLANK(VLOOKUP(CCU7,#REF!,4,FALSE)))=TRUE,VLOOKUP(CCU7,#REF!,3,FALSE),VLOOKUP(CCU7,#REF!,4,FALSE)),0)</f>
        <v/>
      </c>
      <c r="CCV1">
        <f>IFERROR(IF((ISBLANK(VLOOKUP(CCV7,#REF!,4,FALSE)))=TRUE,VLOOKUP(CCV7,#REF!,3,FALSE),VLOOKUP(CCV7,#REF!,4,FALSE)),0)</f>
        <v/>
      </c>
      <c r="CCW1">
        <f>IFERROR(IF((ISBLANK(VLOOKUP(CCW7,#REF!,4,FALSE)))=TRUE,VLOOKUP(CCW7,#REF!,3,FALSE),VLOOKUP(CCW7,#REF!,4,FALSE)),0)</f>
        <v/>
      </c>
      <c r="CCX1">
        <f>IFERROR(IF((ISBLANK(VLOOKUP(CCX7,#REF!,4,FALSE)))=TRUE,VLOOKUP(CCX7,#REF!,3,FALSE),VLOOKUP(CCX7,#REF!,4,FALSE)),0)</f>
        <v/>
      </c>
      <c r="CCY1">
        <f>IFERROR(IF((ISBLANK(VLOOKUP(CCY7,#REF!,4,FALSE)))=TRUE,VLOOKUP(CCY7,#REF!,3,FALSE),VLOOKUP(CCY7,#REF!,4,FALSE)),0)</f>
        <v/>
      </c>
      <c r="CCZ1">
        <f>IFERROR(IF((ISBLANK(VLOOKUP(CCZ7,#REF!,4,FALSE)))=TRUE,VLOOKUP(CCZ7,#REF!,3,FALSE),VLOOKUP(CCZ7,#REF!,4,FALSE)),0)</f>
        <v/>
      </c>
      <c r="CDA1">
        <f>IFERROR(IF((ISBLANK(VLOOKUP(CDA7,#REF!,4,FALSE)))=TRUE,VLOOKUP(CDA7,#REF!,3,FALSE),VLOOKUP(CDA7,#REF!,4,FALSE)),0)</f>
        <v/>
      </c>
      <c r="CDB1">
        <f>IFERROR(IF((ISBLANK(VLOOKUP(CDB7,#REF!,4,FALSE)))=TRUE,VLOOKUP(CDB7,#REF!,3,FALSE),VLOOKUP(CDB7,#REF!,4,FALSE)),0)</f>
        <v/>
      </c>
      <c r="CDC1">
        <f>IFERROR(IF((ISBLANK(VLOOKUP(CDC7,#REF!,4,FALSE)))=TRUE,VLOOKUP(CDC7,#REF!,3,FALSE),VLOOKUP(CDC7,#REF!,4,FALSE)),0)</f>
        <v/>
      </c>
      <c r="CDD1">
        <f>IFERROR(IF((ISBLANK(VLOOKUP(CDD7,#REF!,4,FALSE)))=TRUE,VLOOKUP(CDD7,#REF!,3,FALSE),VLOOKUP(CDD7,#REF!,4,FALSE)),0)</f>
        <v/>
      </c>
      <c r="CDE1">
        <f>IFERROR(IF((ISBLANK(VLOOKUP(CDE7,#REF!,4,FALSE)))=TRUE,VLOOKUP(CDE7,#REF!,3,FALSE),VLOOKUP(CDE7,#REF!,4,FALSE)),0)</f>
        <v/>
      </c>
      <c r="CDF1">
        <f>IFERROR(IF((ISBLANK(VLOOKUP(CDF7,#REF!,4,FALSE)))=TRUE,VLOOKUP(CDF7,#REF!,3,FALSE),VLOOKUP(CDF7,#REF!,4,FALSE)),0)</f>
        <v/>
      </c>
      <c r="CDG1">
        <f>IFERROR(IF((ISBLANK(VLOOKUP(CDG7,#REF!,4,FALSE)))=TRUE,VLOOKUP(CDG7,#REF!,3,FALSE),VLOOKUP(CDG7,#REF!,4,FALSE)),0)</f>
        <v/>
      </c>
      <c r="CDH1">
        <f>IF(#REF!="Skip to main content","FILED","NOT FILED")</f>
        <v/>
      </c>
      <c r="CDI1">
        <f>RIGHT(#REF!,2)</f>
        <v/>
      </c>
      <c r="CDJ1">
        <f>IFERROR(VLOOKUP(RIGHT(#REF!,6),#REF!,2,FALSE),0)</f>
        <v/>
      </c>
      <c r="CDK1">
        <f>IFERROR(IF((ISBLANK(VLOOKUP(CDK7,#REF!,3,FALSE)))=TRUE,VLOOKUP(CDK7,#REF!,2,FALSE),VLOOKUP(CDK7,#REF!,3,FALSE)),0)</f>
        <v/>
      </c>
      <c r="CDL1">
        <f>IFERROR(IF((ISBLANK(VLOOKUP(CDL7,#REF!,3,FALSE)))=TRUE,VLOOKUP(CDL7,#REF!,2,FALSE),VLOOKUP(CDL7,#REF!,3,FALSE)),0)</f>
        <v/>
      </c>
      <c r="CDM1">
        <f>IFERROR(IF((ISBLANK(VLOOKUP(CDM7,#REF!,3,FALSE)))=TRUE,VLOOKUP(CDM7,#REF!,2,FALSE),VLOOKUP(CDM7,#REF!,3,FALSE)),0)</f>
        <v/>
      </c>
      <c r="CDN1">
        <f>IFERROR(IF((ISBLANK(VLOOKUP(CDN7,#REF!,3,FALSE)))=TRUE,VLOOKUP(CDN7,#REF!,2,FALSE),VLOOKUP(CDN7,#REF!,3,FALSE)),0)</f>
        <v/>
      </c>
      <c r="CDO1">
        <f>IFERROR(IF((ISBLANK(VLOOKUP(CDO7,#REF!,3,FALSE)))=TRUE,VLOOKUP(CDO7,#REF!,2,FALSE),VLOOKUP(CDO7,#REF!,3,FALSE)),0)</f>
        <v/>
      </c>
      <c r="CDP1">
        <f>IFERROR(IF((ISBLANK(VLOOKUP(CDP7,#REF!,3,FALSE)))=TRUE,VLOOKUP(CDP7,#REF!,2,FALSE),VLOOKUP(CDP7,#REF!,3,FALSE)),0)</f>
        <v/>
      </c>
      <c r="CDQ1">
        <f>IFERROR(IF((ISBLANK(VLOOKUP(CDQ7,#REF!,4,FALSE)))=TRUE,VLOOKUP(CDQ7,#REF!,3,FALSE),VLOOKUP(CDQ7,#REF!,4,FALSE)),0)</f>
        <v/>
      </c>
      <c r="CDR1">
        <f>IFERROR(IF((ISBLANK(VLOOKUP(CDR7,#REF!,4,FALSE)))=TRUE,VLOOKUP(CDR7,#REF!,3,FALSE),VLOOKUP(CDR7,#REF!,4,FALSE)),0)</f>
        <v/>
      </c>
      <c r="CDS1">
        <f>IFERROR(IF((ISBLANK(VLOOKUP(CDS7,#REF!,4,FALSE)))=TRUE,VLOOKUP(CDS7,#REF!,3,FALSE),VLOOKUP(CDS7,#REF!,4,FALSE)),0)</f>
        <v/>
      </c>
      <c r="CDT1">
        <f>IFERROR(IF((ISBLANK(VLOOKUP(CDT7,#REF!,4,FALSE)))=TRUE,VLOOKUP(CDT7,#REF!,3,FALSE),VLOOKUP(CDT7,#REF!,4,FALSE)),0)</f>
        <v/>
      </c>
      <c r="CDU1">
        <f>IFERROR(IF((ISBLANK(VLOOKUP(CDU7,#REF!,4,FALSE)))=TRUE,VLOOKUP(CDU7,#REF!,3,FALSE),VLOOKUP(CDU7,#REF!,4,FALSE)),0)</f>
        <v/>
      </c>
      <c r="CDV1">
        <f>IFERROR(IF((ISBLANK(VLOOKUP(CDV7,#REF!,4,FALSE)))=TRUE,VLOOKUP(CDV7,#REF!,3,FALSE),VLOOKUP(CDV7,#REF!,4,FALSE)),0)</f>
        <v/>
      </c>
      <c r="CDW1">
        <f>IFERROR(IF((ISBLANK(VLOOKUP(CDW7,#REF!,4,FALSE)))=TRUE,VLOOKUP(CDW7,#REF!,3,FALSE),VLOOKUP(CDW7,#REF!,4,FALSE)),0)</f>
        <v/>
      </c>
      <c r="CDX1">
        <f>IFERROR(IF((ISBLANK(VLOOKUP(CDX7,#REF!,4,FALSE)))=TRUE,VLOOKUP(CDX7,#REF!,3,FALSE),VLOOKUP(CDX7,#REF!,4,FALSE)),0)</f>
        <v/>
      </c>
      <c r="CDY1">
        <f>IFERROR(IF((ISBLANK(VLOOKUP(CDY7,#REF!,4,FALSE)))=TRUE,VLOOKUP(CDY7,#REF!,3,FALSE),VLOOKUP(CDY7,#REF!,4,FALSE)),0)</f>
        <v/>
      </c>
      <c r="CDZ1">
        <f>IFERROR(IF((ISBLANK(VLOOKUP(CDZ7,#REF!,4,FALSE)))=TRUE,VLOOKUP(CDZ7,#REF!,3,FALSE),VLOOKUP(CDZ7,#REF!,4,FALSE)),0)</f>
        <v/>
      </c>
      <c r="CEA1">
        <f>IFERROR(IF((ISBLANK(VLOOKUP(CEA7,#REF!,4,FALSE)))=TRUE,VLOOKUP(CEA7,#REF!,3,FALSE),VLOOKUP(CEA7,#REF!,4,FALSE)),0)</f>
        <v/>
      </c>
      <c r="CEB1">
        <f>IFERROR(IF((ISBLANK(VLOOKUP(CEB7,#REF!,4,FALSE)))=TRUE,VLOOKUP(CEB7,#REF!,3,FALSE),VLOOKUP(CEB7,#REF!,4,FALSE)),0)</f>
        <v/>
      </c>
      <c r="CEC1">
        <f>IFERROR(IF((ISBLANK(VLOOKUP(CEC7,#REF!,4,FALSE)))=TRUE,VLOOKUP(CEC7,#REF!,3,FALSE),VLOOKUP(CEC7,#REF!,4,FALSE)),0)</f>
        <v/>
      </c>
      <c r="CED1">
        <f>IFERROR(IF((ISBLANK(VLOOKUP(CED7,#REF!,4,FALSE)))=TRUE,VLOOKUP(CED7,#REF!,3,FALSE),VLOOKUP(CED7,#REF!,4,FALSE)),0)</f>
        <v/>
      </c>
      <c r="CEE1">
        <f>IFERROR(IF((ISBLANK(VLOOKUP(CEE7,#REF!,4,FALSE)))=TRUE,VLOOKUP(CEE7,#REF!,3,FALSE),VLOOKUP(CEE7,#REF!,4,FALSE)),0)</f>
        <v/>
      </c>
      <c r="CEF1">
        <f>IFERROR(IF((ISBLANK(VLOOKUP(CEF7,#REF!,4,FALSE)))=TRUE,VLOOKUP(CEF7,#REF!,3,FALSE),VLOOKUP(CEF7,#REF!,4,FALSE)),0)</f>
        <v/>
      </c>
      <c r="CEG1">
        <f>IFERROR(IF((ISBLANK(VLOOKUP(CEG7,#REF!,4,FALSE)))=TRUE,VLOOKUP(CEG7,#REF!,3,FALSE),VLOOKUP(CEG7,#REF!,4,FALSE)),0)</f>
        <v/>
      </c>
      <c r="CEH1">
        <f>IFERROR(IF((ISBLANK(VLOOKUP(CEH7,#REF!,4,FALSE)))=TRUE,VLOOKUP(CEH7,#REF!,3,FALSE),VLOOKUP(CEH7,#REF!,4,FALSE)),0)</f>
        <v/>
      </c>
      <c r="CEI1">
        <f>IFERROR(IF((ISBLANK(VLOOKUP(CEI7,#REF!,4,FALSE)))=TRUE,VLOOKUP(CEI7,#REF!,3,FALSE),VLOOKUP(CEI7,#REF!,4,FALSE)),0)</f>
        <v/>
      </c>
      <c r="CEJ1">
        <f>IFERROR(IF((ISBLANK(VLOOKUP(CEJ7,#REF!,4,FALSE)))=TRUE,VLOOKUP(CEJ7,#REF!,3,FALSE),VLOOKUP(CEJ7,#REF!,4,FALSE)),0)</f>
        <v/>
      </c>
      <c r="CEK1">
        <f>IFERROR(IF((ISBLANK(VLOOKUP(CEK7,#REF!,4,FALSE)))=TRUE,VLOOKUP(CEK7,#REF!,3,FALSE),VLOOKUP(CEK7,#REF!,4,FALSE)),0)</f>
        <v/>
      </c>
      <c r="CEL1">
        <f>IFERROR(IF((ISBLANK(VLOOKUP(CEL7,#REF!,4,FALSE)))=TRUE,VLOOKUP(CEL7,#REF!,3,FALSE),VLOOKUP(CEL7,#REF!,4,FALSE)),0)</f>
        <v/>
      </c>
      <c r="CEM1">
        <f>IFERROR(IF((ISBLANK(VLOOKUP(CEM7,#REF!,4,FALSE)))=TRUE,VLOOKUP(CEM7,#REF!,3,FALSE),VLOOKUP(CEM7,#REF!,4,FALSE)),0)</f>
        <v/>
      </c>
      <c r="CEN1">
        <f>IFERROR(IF((ISBLANK(VLOOKUP(CEN7,#REF!,4,FALSE)))=TRUE,VLOOKUP(CEN7,#REF!,3,FALSE),VLOOKUP(CEN7,#REF!,4,FALSE)),0)</f>
        <v/>
      </c>
      <c r="CEO1">
        <f>IFERROR(IF((ISBLANK(VLOOKUP(CEO7,#REF!,4,FALSE)))=TRUE,VLOOKUP(CEO7,#REF!,3,FALSE),VLOOKUP(CEO7,#REF!,4,FALSE)),0)</f>
        <v/>
      </c>
      <c r="CEP1">
        <f>IFERROR(IF((ISBLANK(VLOOKUP(CEP7,#REF!,4,FALSE)))=TRUE,VLOOKUP(CEP7,#REF!,3,FALSE),VLOOKUP(CEP7,#REF!,4,FALSE)),0)</f>
        <v/>
      </c>
      <c r="CEQ1">
        <f>IFERROR(IF((ISBLANK(VLOOKUP(CEQ7,#REF!,4,FALSE)))=TRUE,VLOOKUP(CEQ7,#REF!,3,FALSE),VLOOKUP(CEQ7,#REF!,4,FALSE)),0)</f>
        <v/>
      </c>
      <c r="CER1">
        <f>IFERROR(IF((ISBLANK(VLOOKUP(CER7,#REF!,4,FALSE)))=TRUE,VLOOKUP(CER7,#REF!,3,FALSE),VLOOKUP(CER7,#REF!,4,FALSE)),0)</f>
        <v/>
      </c>
      <c r="CES1">
        <f>IFERROR(IF((ISBLANK(VLOOKUP(CES7,#REF!,4,FALSE)))=TRUE,VLOOKUP(CES7,#REF!,3,FALSE),VLOOKUP(CES7,#REF!,4,FALSE)),0)</f>
        <v/>
      </c>
      <c r="CET1">
        <f>IFERROR(IF((ISBLANK(VLOOKUP(CET7,#REF!,4,FALSE)))=TRUE,VLOOKUP(CET7,#REF!,3,FALSE),VLOOKUP(CET7,#REF!,4,FALSE)),0)</f>
        <v/>
      </c>
      <c r="CEU1">
        <f>IFERROR(IF((ISBLANK(VLOOKUP(CEU7,#REF!,4,FALSE)))=TRUE,VLOOKUP(CEU7,#REF!,3,FALSE),VLOOKUP(CEU7,#REF!,4,FALSE)),0)</f>
        <v/>
      </c>
      <c r="CEV1">
        <f>IFERROR(IF((ISBLANK(VLOOKUP(CEV7,#REF!,4,FALSE)))=TRUE,VLOOKUP(CEV7,#REF!,3,FALSE),VLOOKUP(CEV7,#REF!,4,FALSE)),0)</f>
        <v/>
      </c>
      <c r="CEW1">
        <f>IFERROR(IF((ISBLANK(VLOOKUP(CEW7,#REF!,4,FALSE)))=TRUE,VLOOKUP(CEW7,#REF!,3,FALSE),VLOOKUP(CEW7,#REF!,4,FALSE)),0)</f>
        <v/>
      </c>
      <c r="CEX1">
        <f>IFERROR(IF((ISBLANK(VLOOKUP(CEX7,#REF!,4,FALSE)))=TRUE,VLOOKUP(CEX7,#REF!,3,FALSE),VLOOKUP(CEX7,#REF!,4,FALSE)),0)</f>
        <v/>
      </c>
      <c r="CEY1">
        <f>IFERROR(IF((ISBLANK(VLOOKUP(CEY7,#REF!,4,FALSE)))=TRUE,VLOOKUP(CEY7,#REF!,3,FALSE),VLOOKUP(CEY7,#REF!,4,FALSE)),0)</f>
        <v/>
      </c>
      <c r="CEZ1">
        <f>IFERROR(IF((ISBLANK(VLOOKUP(CEZ7,#REF!,4,FALSE)))=TRUE,VLOOKUP(CEZ7,#REF!,3,FALSE),VLOOKUP(CEZ7,#REF!,4,FALSE)),0)</f>
        <v/>
      </c>
      <c r="CFA1">
        <f>IFERROR(IF((ISBLANK(VLOOKUP(CFA7,#REF!,4,FALSE)))=TRUE,VLOOKUP(CFA7,#REF!,3,FALSE),VLOOKUP(CFA7,#REF!,4,FALSE)),0)</f>
        <v/>
      </c>
      <c r="CFB1">
        <f>IFERROR(IF((ISBLANK(VLOOKUP(CFB7,#REF!,4,FALSE)))=TRUE,VLOOKUP(CFB7,#REF!,3,FALSE),VLOOKUP(CFB7,#REF!,4,FALSE)),0)</f>
        <v/>
      </c>
      <c r="CFC1">
        <f>IFERROR(IF((ISBLANK(VLOOKUP(CFC7,#REF!,4,FALSE)))=TRUE,VLOOKUP(CFC7,#REF!,3,FALSE),VLOOKUP(CFC7,#REF!,4,FALSE)),0)</f>
        <v/>
      </c>
      <c r="CFD1">
        <f>IFERROR(IF((ISBLANK(VLOOKUP(CFD7,#REF!,4,FALSE)))=TRUE,VLOOKUP(CFD7,#REF!,3,FALSE),VLOOKUP(CFD7,#REF!,4,FALSE)),0)</f>
        <v/>
      </c>
      <c r="CFE1">
        <f>IFERROR(IF((ISBLANK(VLOOKUP(CFE7,#REF!,4,FALSE)))=TRUE,VLOOKUP(CFE7,#REF!,3,FALSE),VLOOKUP(CFE7,#REF!,4,FALSE)),0)</f>
        <v/>
      </c>
      <c r="CFF1">
        <f>IFERROR(IF((ISBLANK(VLOOKUP(CFF7,#REF!,4,FALSE)))=TRUE,VLOOKUP(CFF7,#REF!,3,FALSE),VLOOKUP(CFF7,#REF!,4,FALSE)),0)</f>
        <v/>
      </c>
      <c r="CFG1">
        <f>IFERROR(IF((ISBLANK(VLOOKUP(CFG7,#REF!,4,FALSE)))=TRUE,VLOOKUP(CFG7,#REF!,3,FALSE),VLOOKUP(CFG7,#REF!,4,FALSE)),0)</f>
        <v/>
      </c>
      <c r="CFH1">
        <f>IFERROR(IF((ISBLANK(VLOOKUP(CFH7,#REF!,4,FALSE)))=TRUE,VLOOKUP(CFH7,#REF!,3,FALSE),VLOOKUP(CFH7,#REF!,4,FALSE)),0)</f>
        <v/>
      </c>
      <c r="CFI1">
        <f>IFERROR(IF((ISBLANK(VLOOKUP(CFI7,#REF!,4,FALSE)))=TRUE,VLOOKUP(CFI7,#REF!,3,FALSE),VLOOKUP(CFI7,#REF!,4,FALSE)),0)</f>
        <v/>
      </c>
      <c r="CFJ1">
        <f>IFERROR(IF((ISBLANK(VLOOKUP(CFJ7,#REF!,4,FALSE)))=TRUE,VLOOKUP(CFJ7,#REF!,3,FALSE),VLOOKUP(CFJ7,#REF!,4,FALSE)),0)</f>
        <v/>
      </c>
      <c r="CFK1">
        <f>IFERROR(IF((ISBLANK(VLOOKUP(CFK7,#REF!,4,FALSE)))=TRUE,VLOOKUP(CFK7,#REF!,3,FALSE),VLOOKUP(CFK7,#REF!,4,FALSE)),0)</f>
        <v/>
      </c>
      <c r="CFL1">
        <f>IFERROR(IF((ISBLANK(VLOOKUP(CFL7,#REF!,4,FALSE)))=TRUE,VLOOKUP(CFL7,#REF!,3,FALSE),VLOOKUP(CFL7,#REF!,4,FALSE)),0)</f>
        <v/>
      </c>
      <c r="CFM1">
        <f>IFERROR(IF((ISBLANK(VLOOKUP(CFM7,#REF!,4,FALSE)))=TRUE,VLOOKUP(CFM7,#REF!,3,FALSE),VLOOKUP(CFM7,#REF!,4,FALSE)),0)</f>
        <v/>
      </c>
      <c r="CFN1">
        <f>IFERROR(IF((ISBLANK(VLOOKUP(CFN7,#REF!,4,FALSE)))=TRUE,VLOOKUP(CFN7,#REF!,3,FALSE),VLOOKUP(CFN7,#REF!,4,FALSE)),0)</f>
        <v/>
      </c>
      <c r="CFO1">
        <f>IFERROR(IF((ISBLANK(VLOOKUP(CFO7,#REF!,4,FALSE)))=TRUE,VLOOKUP(CFO7,#REF!,3,FALSE),VLOOKUP(CFO7,#REF!,4,FALSE)),0)</f>
        <v/>
      </c>
      <c r="CFP1">
        <f>IFERROR(IF((ISBLANK(VLOOKUP(CFP7,#REF!,4,FALSE)))=TRUE,VLOOKUP(CFP7,#REF!,3,FALSE),VLOOKUP(CFP7,#REF!,4,FALSE)),0)</f>
        <v/>
      </c>
      <c r="CFQ1">
        <f>IFERROR(IF((ISBLANK(VLOOKUP(CFQ7,#REF!,4,FALSE)))=TRUE,VLOOKUP(CFQ7,#REF!,3,FALSE),VLOOKUP(CFQ7,#REF!,4,FALSE)),0)</f>
        <v/>
      </c>
      <c r="CFR1">
        <f>IFERROR(IF((ISBLANK(VLOOKUP(CFR7,#REF!,4,FALSE)))=TRUE,VLOOKUP(CFR7,#REF!,3,FALSE),VLOOKUP(CFR7,#REF!,4,FALSE)),0)</f>
        <v/>
      </c>
      <c r="CFS1">
        <f>IFERROR(IF((ISBLANK(VLOOKUP(CFS7,#REF!,4,FALSE)))=TRUE,VLOOKUP(CFS7,#REF!,3,FALSE),VLOOKUP(CFS7,#REF!,4,FALSE)),0)</f>
        <v/>
      </c>
      <c r="CFT1">
        <f>IFERROR(IF((ISBLANK(VLOOKUP(CFT7,#REF!,4,FALSE)))=TRUE,VLOOKUP(CFT7,#REF!,3,FALSE),VLOOKUP(CFT7,#REF!,4,FALSE)),0)</f>
        <v/>
      </c>
      <c r="CFU1">
        <f>IFERROR(IF((ISBLANK(VLOOKUP(CFU7,#REF!,4,FALSE)))=TRUE,VLOOKUP(CFU7,#REF!,3,FALSE),VLOOKUP(CFU7,#REF!,4,FALSE)),0)</f>
        <v/>
      </c>
      <c r="CFV1">
        <f>IFERROR(IF((ISBLANK(VLOOKUP(CFV7,#REF!,4,FALSE)))=TRUE,VLOOKUP(CFV7,#REF!,3,FALSE),VLOOKUP(CFV7,#REF!,4,FALSE)),0)</f>
        <v/>
      </c>
      <c r="CFW1">
        <f>IFERROR(IF((ISBLANK(VLOOKUP(CFW7,#REF!,4,FALSE)))=TRUE,VLOOKUP(CFW7,#REF!,3,FALSE),VLOOKUP(CFW7,#REF!,4,FALSE)),0)</f>
        <v/>
      </c>
      <c r="CFX1">
        <f>IFERROR(IF((ISBLANK(VLOOKUP(CFX7,#REF!,4,FALSE)))=TRUE,VLOOKUP(CFX7,#REF!,3,FALSE),VLOOKUP(CFX7,#REF!,4,FALSE)),0)</f>
        <v/>
      </c>
      <c r="CFY1">
        <f>IFERROR(IF((ISBLANK(VLOOKUP(CFY7,#REF!,4,FALSE)))=TRUE,VLOOKUP(CFY7,#REF!,3,FALSE),VLOOKUP(CFY7,#REF!,4,FALSE)),0)</f>
        <v/>
      </c>
      <c r="CFZ1">
        <f>IFERROR(IF((ISBLANK(VLOOKUP(CFZ7,#REF!,4,FALSE)))=TRUE,VLOOKUP(CFZ7,#REF!,3,FALSE),VLOOKUP(CFZ7,#REF!,4,FALSE)),0)</f>
        <v/>
      </c>
      <c r="CGA1">
        <f>IFERROR(IF((ISBLANK(VLOOKUP(CGA7,#REF!,4,FALSE)))=TRUE,VLOOKUP(CGA7,#REF!,3,FALSE),VLOOKUP(CGA7,#REF!,4,FALSE)),0)</f>
        <v/>
      </c>
      <c r="CGB1">
        <f>IFERROR(IF((ISBLANK(VLOOKUP(CGB7,#REF!,4,FALSE)))=TRUE,VLOOKUP(CGB7,#REF!,3,FALSE),VLOOKUP(CGB7,#REF!,4,FALSE)),0)</f>
        <v/>
      </c>
      <c r="CGC1">
        <f>IFERROR(IF((ISBLANK(VLOOKUP(CGC7,#REF!,4,FALSE)))=TRUE,VLOOKUP(CGC7,#REF!,3,FALSE),VLOOKUP(CGC7,#REF!,4,FALSE)),0)</f>
        <v/>
      </c>
      <c r="CGD1">
        <f>IFERROR(IF((ISBLANK(VLOOKUP(CGD7,#REF!,4,FALSE)))=TRUE,VLOOKUP(CGD7,#REF!,3,FALSE),VLOOKUP(CGD7,#REF!,4,FALSE)),0)</f>
        <v/>
      </c>
      <c r="CGE1">
        <f>IFERROR(IF((ISBLANK(VLOOKUP(CGE7,#REF!,4,FALSE)))=TRUE,VLOOKUP(CGE7,#REF!,3,FALSE),VLOOKUP(CGE7,#REF!,4,FALSE)),0)</f>
        <v/>
      </c>
      <c r="CGF1">
        <f>IFERROR(IF((ISBLANK(VLOOKUP(CGF7,#REF!,4,FALSE)))=TRUE,VLOOKUP(CGF7,#REF!,3,FALSE),VLOOKUP(CGF7,#REF!,4,FALSE)),0)</f>
        <v/>
      </c>
      <c r="CGG1">
        <f>IFERROR(IF((ISBLANK(VLOOKUP(CGG7,#REF!,4,FALSE)))=TRUE,VLOOKUP(CGG7,#REF!,3,FALSE),VLOOKUP(CGG7,#REF!,4,FALSE)),0)</f>
        <v/>
      </c>
      <c r="CGH1">
        <f>IFERROR(IF((ISBLANK(VLOOKUP(CGH7,#REF!,4,FALSE)))=TRUE,VLOOKUP(CGH7,#REF!,3,FALSE),VLOOKUP(CGH7,#REF!,4,FALSE)),0)</f>
        <v/>
      </c>
      <c r="CGI1">
        <f>IFERROR(IF((ISBLANK(VLOOKUP(CGI7,#REF!,4,FALSE)))=TRUE,VLOOKUP(CGI7,#REF!,3,FALSE),VLOOKUP(CGI7,#REF!,4,FALSE)),0)</f>
        <v/>
      </c>
      <c r="CGJ1">
        <f>IFERROR(IF((ISBLANK(VLOOKUP(CGJ7,#REF!,4,FALSE)))=TRUE,VLOOKUP(CGJ7,#REF!,3,FALSE),VLOOKUP(CGJ7,#REF!,4,FALSE)),0)</f>
        <v/>
      </c>
      <c r="CGK1">
        <f>IFERROR(IF((ISBLANK(VLOOKUP(CGK7,#REF!,4,FALSE)))=TRUE,VLOOKUP(CGK7,#REF!,3,FALSE),VLOOKUP(CGK7,#REF!,4,FALSE)),0)</f>
        <v/>
      </c>
      <c r="CGL1">
        <f>IFERROR(IF((ISBLANK(VLOOKUP(CGL7,#REF!,4,FALSE)))=TRUE,VLOOKUP(CGL7,#REF!,3,FALSE),VLOOKUP(CGL7,#REF!,4,FALSE)),0)</f>
        <v/>
      </c>
      <c r="CGM1">
        <f>IFERROR(IF((ISBLANK(VLOOKUP(CGM7,#REF!,4,FALSE)))=TRUE,VLOOKUP(CGM7,#REF!,3,FALSE),VLOOKUP(CGM7,#REF!,4,FALSE)),0)</f>
        <v/>
      </c>
      <c r="CGN1">
        <f>IFERROR(IF((ISBLANK(VLOOKUP(CGN7,#REF!,4,FALSE)))=TRUE,VLOOKUP(CGN7,#REF!,3,FALSE),VLOOKUP(CGN7,#REF!,4,FALSE)),0)</f>
        <v/>
      </c>
      <c r="CGO1">
        <f>IFERROR(IF((ISBLANK(VLOOKUP(CGO7,#REF!,4,FALSE)))=TRUE,VLOOKUP(CGO7,#REF!,3,FALSE),VLOOKUP(CGO7,#REF!,4,FALSE)),0)</f>
        <v/>
      </c>
      <c r="CGP1">
        <f>IFERROR(IF((ISBLANK(VLOOKUP(CGP7,#REF!,4,FALSE)))=TRUE,VLOOKUP(CGP7,#REF!,3,FALSE),VLOOKUP(CGP7,#REF!,4,FALSE)),0)</f>
        <v/>
      </c>
      <c r="CGQ1">
        <f>IFERROR(IF((ISBLANK(VLOOKUP(CGQ7,#REF!,4,FALSE)))=TRUE,VLOOKUP(CGQ7,#REF!,3,FALSE),VLOOKUP(CGQ7,#REF!,4,FALSE)),0)</f>
        <v/>
      </c>
      <c r="CGR1">
        <f>IFERROR(IF((ISBLANK(VLOOKUP(CGR7,#REF!,4,FALSE)))=TRUE,VLOOKUP(CGR7,#REF!,3,FALSE),VLOOKUP(CGR7,#REF!,4,FALSE)),0)</f>
        <v/>
      </c>
      <c r="CGS1">
        <f>IFERROR(IF((ISBLANK(VLOOKUP(CGS7,#REF!,4,FALSE)))=TRUE,VLOOKUP(CGS7,#REF!,3,FALSE),VLOOKUP(CGS7,#REF!,4,FALSE)),0)</f>
        <v/>
      </c>
      <c r="CGT1">
        <f>IFERROR(IF((ISBLANK(VLOOKUP(CGT7,#REF!,4,FALSE)))=TRUE,VLOOKUP(CGT7,#REF!,3,FALSE),VLOOKUP(CGT7,#REF!,4,FALSE)),0)</f>
        <v/>
      </c>
      <c r="CGU1">
        <f>IFERROR(IF((ISBLANK(VLOOKUP(CGU7,#REF!,4,FALSE)))=TRUE,VLOOKUP(CGU7,#REF!,3,FALSE),VLOOKUP(CGU7,#REF!,4,FALSE)),0)</f>
        <v/>
      </c>
      <c r="CGV1">
        <f>IFERROR(IF((ISBLANK(VLOOKUP(CGV7,#REF!,4,FALSE)))=TRUE,VLOOKUP(CGV7,#REF!,3,FALSE),VLOOKUP(CGV7,#REF!,4,FALSE)),0)</f>
        <v/>
      </c>
      <c r="CGW1">
        <f>IFERROR(IF((ISBLANK(VLOOKUP(CGW7,#REF!,4,FALSE)))=TRUE,VLOOKUP(CGW7,#REF!,3,FALSE),VLOOKUP(CGW7,#REF!,4,FALSE)),0)</f>
        <v/>
      </c>
      <c r="CGX1">
        <f>IFERROR(IF((ISBLANK(VLOOKUP(CGX7,#REF!,4,FALSE)))=TRUE,VLOOKUP(CGX7,#REF!,3,FALSE),VLOOKUP(CGX7,#REF!,4,FALSE)),0)</f>
        <v/>
      </c>
      <c r="CGY1">
        <f>IFERROR(IF((ISBLANK(VLOOKUP(CGY7,#REF!,4,FALSE)))=TRUE,VLOOKUP(CGY7,#REF!,3,FALSE),VLOOKUP(CGY7,#REF!,4,FALSE)),0)</f>
        <v/>
      </c>
      <c r="CGZ1">
        <f>IFERROR(IF((ISBLANK(VLOOKUP(CGZ7,#REF!,4,FALSE)))=TRUE,VLOOKUP(CGZ7,#REF!,3,FALSE),VLOOKUP(CGZ7,#REF!,4,FALSE)),0)</f>
        <v/>
      </c>
      <c r="CHA1">
        <f>IFERROR(IF((ISBLANK(VLOOKUP(CHA7,#REF!,4,FALSE)))=TRUE,VLOOKUP(CHA7,#REF!,3,FALSE),VLOOKUP(CHA7,#REF!,4,FALSE)),0)</f>
        <v/>
      </c>
      <c r="CHB1">
        <f>IFERROR(IF((ISBLANK(VLOOKUP(CHB7,#REF!,4,FALSE)))=TRUE,VLOOKUP(CHB7,#REF!,3,FALSE),VLOOKUP(CHB7,#REF!,4,FALSE)),0)</f>
        <v/>
      </c>
      <c r="CHC1">
        <f>IFERROR(IF((ISBLANK(VLOOKUP(CHC7,#REF!,4,FALSE)))=TRUE,VLOOKUP(CHC7,#REF!,3,FALSE),VLOOKUP(CHC7,#REF!,4,FALSE)),0)</f>
        <v/>
      </c>
      <c r="CHD1">
        <f>IFERROR(IF((ISBLANK(VLOOKUP(CHD7,#REF!,4,FALSE)))=TRUE,VLOOKUP(CHD7,#REF!,3,FALSE),VLOOKUP(CHD7,#REF!,4,FALSE)),0)</f>
        <v/>
      </c>
      <c r="CHE1">
        <f>IFERROR(IF((ISBLANK(VLOOKUP(CHE7,#REF!,4,FALSE)))=TRUE,VLOOKUP(CHE7,#REF!,3,FALSE),VLOOKUP(CHE7,#REF!,4,FALSE)),0)</f>
        <v/>
      </c>
      <c r="CHF1">
        <f>IFERROR(IF((ISBLANK(VLOOKUP(CHF7,#REF!,4,FALSE)))=TRUE,VLOOKUP(CHF7,#REF!,3,FALSE),VLOOKUP(CHF7,#REF!,4,FALSE)),0)</f>
        <v/>
      </c>
      <c r="CHG1">
        <f>IFERROR(IF((ISBLANK(VLOOKUP(CHG7,#REF!,4,FALSE)))=TRUE,VLOOKUP(CHG7,#REF!,3,FALSE),VLOOKUP(CHG7,#REF!,4,FALSE)),0)</f>
        <v/>
      </c>
      <c r="CHH1">
        <f>IFERROR(IF((ISBLANK(VLOOKUP(CHH7,#REF!,4,FALSE)))=TRUE,VLOOKUP(CHH7,#REF!,3,FALSE),VLOOKUP(CHH7,#REF!,4,FALSE)),0)</f>
        <v/>
      </c>
      <c r="CHI1">
        <f>IFERROR(IF((ISBLANK(VLOOKUP(CHI7,#REF!,4,FALSE)))=TRUE,VLOOKUP(CHI7,#REF!,3,FALSE),VLOOKUP(CHI7,#REF!,4,FALSE)),0)</f>
        <v/>
      </c>
      <c r="CHJ1">
        <f>IFERROR(IF((ISBLANK(VLOOKUP(CHJ7,#REF!,4,FALSE)))=TRUE,VLOOKUP(CHJ7,#REF!,3,FALSE),VLOOKUP(CHJ7,#REF!,4,FALSE)),0)</f>
        <v/>
      </c>
      <c r="CHK1">
        <f>IFERROR(IF((ISBLANK(VLOOKUP(CHK7,#REF!,4,FALSE)))=TRUE,VLOOKUP(CHK7,#REF!,3,FALSE),VLOOKUP(CHK7,#REF!,4,FALSE)),0)</f>
        <v/>
      </c>
      <c r="CHL1">
        <f>IFERROR(IF((ISBLANK(VLOOKUP(CHL7,#REF!,4,FALSE)))=TRUE,VLOOKUP(CHL7,#REF!,3,FALSE),VLOOKUP(CHL7,#REF!,4,FALSE)),0)</f>
        <v/>
      </c>
      <c r="CHM1">
        <f>IFERROR(IF((ISBLANK(VLOOKUP(CHM7,#REF!,4,FALSE)))=TRUE,VLOOKUP(CHM7,#REF!,3,FALSE),VLOOKUP(CHM7,#REF!,4,FALSE)),0)</f>
        <v/>
      </c>
      <c r="CHN1">
        <f>IFERROR(IF((ISBLANK(VLOOKUP(CHN7,#REF!,4,FALSE)))=TRUE,VLOOKUP(CHN7,#REF!,3,FALSE),VLOOKUP(CHN7,#REF!,4,FALSE)),0)</f>
        <v/>
      </c>
      <c r="CHO1">
        <f>IFERROR(IF((ISBLANK(VLOOKUP(CHO7,#REF!,4,FALSE)))=TRUE,VLOOKUP(CHO7,#REF!,3,FALSE),VLOOKUP(CHO7,#REF!,4,FALSE)),0)</f>
        <v/>
      </c>
      <c r="CHP1">
        <f>IFERROR(IF((ISBLANK(VLOOKUP(CHP7,#REF!,4,FALSE)))=TRUE,VLOOKUP(CHP7,#REF!,3,FALSE),VLOOKUP(CHP7,#REF!,4,FALSE)),0)</f>
        <v/>
      </c>
      <c r="CHQ1">
        <f>IFERROR(IF((ISBLANK(VLOOKUP(CHQ7,#REF!,4,FALSE)))=TRUE,VLOOKUP(CHQ7,#REF!,3,FALSE),VLOOKUP(CHQ7,#REF!,4,FALSE)),0)</f>
        <v/>
      </c>
      <c r="CHR1">
        <f>IFERROR(IF((ISBLANK(VLOOKUP(CHR7,#REF!,4,FALSE)))=TRUE,VLOOKUP(CHR7,#REF!,3,FALSE),VLOOKUP(CHR7,#REF!,4,FALSE)),0)</f>
        <v/>
      </c>
      <c r="CHS1">
        <f>IFERROR(IF((ISBLANK(VLOOKUP(CHS7,#REF!,4,FALSE)))=TRUE,VLOOKUP(CHS7,#REF!,3,FALSE),VLOOKUP(CHS7,#REF!,4,FALSE)),0)</f>
        <v/>
      </c>
      <c r="CHT1">
        <f>IFERROR(IF((ISBLANK(VLOOKUP(CHT7,#REF!,4,FALSE)))=TRUE,VLOOKUP(CHT7,#REF!,3,FALSE),VLOOKUP(CHT7,#REF!,4,FALSE)),0)</f>
        <v/>
      </c>
      <c r="CHU1">
        <f>IFERROR(IF((ISBLANK(VLOOKUP(CHU7,#REF!,4,FALSE)))=TRUE,VLOOKUP(CHU7,#REF!,3,FALSE),VLOOKUP(CHU7,#REF!,4,FALSE)),0)</f>
        <v/>
      </c>
      <c r="CHV1">
        <f>IFERROR(IF((ISBLANK(VLOOKUP(CHV7,#REF!,4,FALSE)))=TRUE,VLOOKUP(CHV7,#REF!,3,FALSE),VLOOKUP(CHV7,#REF!,4,FALSE)),0)</f>
        <v/>
      </c>
      <c r="CHW1">
        <f>IFERROR(IF((ISBLANK(VLOOKUP(CHW7,#REF!,4,FALSE)))=TRUE,VLOOKUP(CHW7,#REF!,3,FALSE),VLOOKUP(CHW7,#REF!,4,FALSE)),0)</f>
        <v/>
      </c>
      <c r="CHX1">
        <f>IFERROR(IF((ISBLANK(VLOOKUP(CHX7,#REF!,4,FALSE)))=TRUE,VLOOKUP(CHX7,#REF!,3,FALSE),VLOOKUP(CHX7,#REF!,4,FALSE)),0)</f>
        <v/>
      </c>
      <c r="CHY1">
        <f>IFERROR(IF((ISBLANK(VLOOKUP(CHY7,#REF!,4,FALSE)))=TRUE,VLOOKUP(CHY7,#REF!,3,FALSE),VLOOKUP(CHY7,#REF!,4,FALSE)),0)</f>
        <v/>
      </c>
      <c r="CHZ1">
        <f>IFERROR(IF((ISBLANK(VLOOKUP(CHZ7,#REF!,4,FALSE)))=TRUE,VLOOKUP(CHZ7,#REF!,3,FALSE),VLOOKUP(CHZ7,#REF!,4,FALSE)),0)</f>
        <v/>
      </c>
      <c r="CIA1">
        <f>IFERROR(IF((ISBLANK(VLOOKUP(CIA7,#REF!,4,FALSE)))=TRUE,VLOOKUP(CIA7,#REF!,3,FALSE),VLOOKUP(CIA7,#REF!,4,FALSE)),0)</f>
        <v/>
      </c>
      <c r="CIB1">
        <f>IFERROR(IF((ISBLANK(VLOOKUP(CIB7,#REF!,4,FALSE)))=TRUE,VLOOKUP(CIB7,#REF!,3,FALSE),VLOOKUP(CIB7,#REF!,4,FALSE)),0)</f>
        <v/>
      </c>
      <c r="CIC1">
        <f>IFERROR(IF((ISBLANK(VLOOKUP(CIC7,#REF!,4,FALSE)))=TRUE,VLOOKUP(CIC7,#REF!,3,FALSE),VLOOKUP(CIC7,#REF!,4,FALSE)),0)</f>
        <v/>
      </c>
      <c r="CID1">
        <f>IFERROR(IF((ISBLANK(VLOOKUP(CID7,#REF!,4,FALSE)))=TRUE,VLOOKUP(CID7,#REF!,3,FALSE),VLOOKUP(CID7,#REF!,4,FALSE)),0)</f>
        <v/>
      </c>
      <c r="CIE1">
        <f>IFERROR(IF((ISBLANK(VLOOKUP(CIE7,#REF!,4,FALSE)))=TRUE,VLOOKUP(CIE7,#REF!,3,FALSE),VLOOKUP(CIE7,#REF!,4,FALSE)),0)</f>
        <v/>
      </c>
      <c r="CIF1">
        <f>IFERROR(IF((ISBLANK(VLOOKUP(CIF7,#REF!,4,FALSE)))=TRUE,VLOOKUP(CIF7,#REF!,3,FALSE),VLOOKUP(CIF7,#REF!,4,FALSE)),0)</f>
        <v/>
      </c>
      <c r="CIG1">
        <f>IFERROR(IF((ISBLANK(VLOOKUP(CIG7,#REF!,4,FALSE)))=TRUE,VLOOKUP(CIG7,#REF!,3,FALSE),VLOOKUP(CIG7,#REF!,4,FALSE)),0)</f>
        <v/>
      </c>
      <c r="CIH1">
        <f>IFERROR(IF((ISBLANK(VLOOKUP(CIH7,#REF!,4,FALSE)))=TRUE,VLOOKUP(CIH7,#REF!,3,FALSE),VLOOKUP(CIH7,#REF!,4,FALSE)),0)</f>
        <v/>
      </c>
      <c r="CII1">
        <f>IFERROR(IF((ISBLANK(VLOOKUP(CII7,#REF!,4,FALSE)))=TRUE,VLOOKUP(CII7,#REF!,3,FALSE),VLOOKUP(CII7,#REF!,4,FALSE)),0)</f>
        <v/>
      </c>
      <c r="CIJ1">
        <f>IFERROR(IF((ISBLANK(VLOOKUP(CIJ7,#REF!,4,FALSE)))=TRUE,VLOOKUP(CIJ7,#REF!,3,FALSE),VLOOKUP(CIJ7,#REF!,4,FALSE)),0)</f>
        <v/>
      </c>
      <c r="CIK1">
        <f>IFERROR(IF((ISBLANK(VLOOKUP(CIK7,#REF!,4,FALSE)))=TRUE,VLOOKUP(CIK7,#REF!,3,FALSE),VLOOKUP(CIK7,#REF!,4,FALSE)),0)</f>
        <v/>
      </c>
      <c r="CIL1">
        <f>IFERROR(IF((ISBLANK(VLOOKUP(CIL7,#REF!,4,FALSE)))=TRUE,VLOOKUP(CIL7,#REF!,3,FALSE),VLOOKUP(CIL7,#REF!,4,FALSE)),0)</f>
        <v/>
      </c>
      <c r="CIM1">
        <f>IFERROR(IF((ISBLANK(VLOOKUP(CIM7,#REF!,4,FALSE)))=TRUE,VLOOKUP(CIM7,#REF!,3,FALSE),VLOOKUP(CIM7,#REF!,4,FALSE)),0)</f>
        <v/>
      </c>
      <c r="CIN1">
        <f>IFERROR(IF((ISBLANK(VLOOKUP(CIN7,#REF!,4,FALSE)))=TRUE,VLOOKUP(CIN7,#REF!,3,FALSE),VLOOKUP(CIN7,#REF!,4,FALSE)),0)</f>
        <v/>
      </c>
      <c r="CIO1">
        <f>IFERROR(IF((ISBLANK(VLOOKUP(CIO7,#REF!,4,FALSE)))=TRUE,VLOOKUP(CIO7,#REF!,3,FALSE),VLOOKUP(CIO7,#REF!,4,FALSE)),0)</f>
        <v/>
      </c>
      <c r="CIP1">
        <f>IFERROR(IF((ISBLANK(VLOOKUP(CIP7,#REF!,4,FALSE)))=TRUE,VLOOKUP(CIP7,#REF!,3,FALSE),VLOOKUP(CIP7,#REF!,4,FALSE)),0)</f>
        <v/>
      </c>
      <c r="CIQ1">
        <f>IFERROR(IF((ISBLANK(VLOOKUP(CIQ7,#REF!,4,FALSE)))=TRUE,VLOOKUP(CIQ7,#REF!,3,FALSE),VLOOKUP(CIQ7,#REF!,4,FALSE)),0)</f>
        <v/>
      </c>
      <c r="CIR1">
        <f>IFERROR(IF((ISBLANK(VLOOKUP(CIR7,#REF!,4,FALSE)))=TRUE,VLOOKUP(CIR7,#REF!,3,FALSE),VLOOKUP(CIR7,#REF!,4,FALSE)),0)</f>
        <v/>
      </c>
      <c r="CIS1">
        <f>IFERROR(IF((ISBLANK(VLOOKUP(CIS7,#REF!,4,FALSE)))=TRUE,VLOOKUP(CIS7,#REF!,3,FALSE),VLOOKUP(CIS7,#REF!,4,FALSE)),0)</f>
        <v/>
      </c>
      <c r="CIT1">
        <f>IFERROR(IF((ISBLANK(VLOOKUP(CIT7,#REF!,4,FALSE)))=TRUE,VLOOKUP(CIT7,#REF!,3,FALSE),VLOOKUP(CIT7,#REF!,4,FALSE)),0)</f>
        <v/>
      </c>
      <c r="CIU1">
        <f>IFERROR(IF((ISBLANK(VLOOKUP(CIU7,#REF!,4,FALSE)))=TRUE,VLOOKUP(CIU7,#REF!,3,FALSE),VLOOKUP(CIU7,#REF!,4,FALSE)),0)</f>
        <v/>
      </c>
      <c r="CIV1">
        <f>IFERROR(IF((ISBLANK(VLOOKUP(CIV7,#REF!,4,FALSE)))=TRUE,VLOOKUP(CIV7,#REF!,3,FALSE),VLOOKUP(CIV7,#REF!,4,FALSE)),0)</f>
        <v/>
      </c>
      <c r="CIW1">
        <f>IFERROR(IF((ISBLANK(VLOOKUP(CIW7,#REF!,4,FALSE)))=TRUE,VLOOKUP(CIW7,#REF!,3,FALSE),VLOOKUP(CIW7,#REF!,4,FALSE)),0)</f>
        <v/>
      </c>
      <c r="CIX1">
        <f>IFERROR(IF((ISBLANK(VLOOKUP(CIX7,#REF!,4,FALSE)))=TRUE,VLOOKUP(CIX7,#REF!,3,FALSE),VLOOKUP(CIX7,#REF!,4,FALSE)),0)</f>
        <v/>
      </c>
      <c r="CIY1">
        <f>IFERROR(IF((ISBLANK(VLOOKUP(CIY7,#REF!,4,FALSE)))=TRUE,VLOOKUP(CIY7,#REF!,3,FALSE),VLOOKUP(CIY7,#REF!,4,FALSE)),0)</f>
        <v/>
      </c>
      <c r="CIZ1">
        <f>IFERROR(IF((ISBLANK(VLOOKUP(CIZ7,#REF!,4,FALSE)))=TRUE,VLOOKUP(CIZ7,#REF!,3,FALSE),VLOOKUP(CIZ7,#REF!,4,FALSE)),0)</f>
        <v/>
      </c>
      <c r="CJA1">
        <f>IFERROR(IF((ISBLANK(VLOOKUP(CJA7,#REF!,4,FALSE)))=TRUE,VLOOKUP(CJA7,#REF!,3,FALSE),VLOOKUP(CJA7,#REF!,4,FALSE)),0)</f>
        <v/>
      </c>
      <c r="CJB1">
        <f>IFERROR(IF((ISBLANK(VLOOKUP(CJB7,#REF!,4,FALSE)))=TRUE,VLOOKUP(CJB7,#REF!,3,FALSE),VLOOKUP(CJB7,#REF!,4,FALSE)),0)</f>
        <v/>
      </c>
      <c r="CJC1">
        <f>IFERROR(IF((ISBLANK(VLOOKUP(CJC7,#REF!,4,FALSE)))=TRUE,VLOOKUP(CJC7,#REF!,3,FALSE),VLOOKUP(CJC7,#REF!,4,FALSE)),0)</f>
        <v/>
      </c>
      <c r="CJD1">
        <f>IFERROR(IF((ISBLANK(VLOOKUP(CJD7,#REF!,4,FALSE)))=TRUE,VLOOKUP(CJD7,#REF!,3,FALSE),VLOOKUP(CJD7,#REF!,4,FALSE)),0)</f>
        <v/>
      </c>
      <c r="CJE1">
        <f>IFERROR(IF((ISBLANK(VLOOKUP(CJE7,#REF!,4,FALSE)))=TRUE,VLOOKUP(CJE7,#REF!,3,FALSE),VLOOKUP(CJE7,#REF!,4,FALSE)),0)</f>
        <v/>
      </c>
      <c r="CJF1">
        <f>IFERROR(IF((ISBLANK(VLOOKUP(CJF7,#REF!,4,FALSE)))=TRUE,VLOOKUP(CJF7,#REF!,3,FALSE),VLOOKUP(CJF7,#REF!,4,FALSE)),0)</f>
        <v/>
      </c>
      <c r="CJG1">
        <f>IFERROR(IF((ISBLANK(VLOOKUP(CJG7,#REF!,4,FALSE)))=TRUE,VLOOKUP(CJG7,#REF!,3,FALSE),VLOOKUP(CJG7,#REF!,4,FALSE)),0)</f>
        <v/>
      </c>
      <c r="CJH1">
        <f>IFERROR(IF((ISBLANK(VLOOKUP(CJH7,#REF!,4,FALSE)))=TRUE,VLOOKUP(CJH7,#REF!,3,FALSE),VLOOKUP(CJH7,#REF!,4,FALSE)),0)</f>
        <v/>
      </c>
      <c r="CJI1">
        <f>IFERROR(IF((ISBLANK(VLOOKUP(CJI7,#REF!,4,FALSE)))=TRUE,VLOOKUP(CJI7,#REF!,3,FALSE),VLOOKUP(CJI7,#REF!,4,FALSE)),0)</f>
        <v/>
      </c>
      <c r="CJJ1">
        <f>IFERROR(IF((ISBLANK(VLOOKUP(CJJ7,#REF!,4,FALSE)))=TRUE,VLOOKUP(CJJ7,#REF!,3,FALSE),VLOOKUP(CJJ7,#REF!,4,FALSE)),0)</f>
        <v/>
      </c>
      <c r="CJK1">
        <f>IFERROR(IF((ISBLANK(VLOOKUP(CJK7,#REF!,4,FALSE)))=TRUE,VLOOKUP(CJK7,#REF!,3,FALSE),VLOOKUP(CJK7,#REF!,4,FALSE)),0)</f>
        <v/>
      </c>
      <c r="CJL1">
        <f>IFERROR(IF((ISBLANK(VLOOKUP(CJL7,#REF!,4,FALSE)))=TRUE,VLOOKUP(CJL7,#REF!,3,FALSE),VLOOKUP(CJL7,#REF!,4,FALSE)),0)</f>
        <v/>
      </c>
      <c r="CJM1">
        <f>IFERROR(IF((ISBLANK(VLOOKUP(CJM7,#REF!,4,FALSE)))=TRUE,VLOOKUP(CJM7,#REF!,3,FALSE),VLOOKUP(CJM7,#REF!,4,FALSE)),0)</f>
        <v/>
      </c>
      <c r="CJN1">
        <f>IFERROR(IF((ISBLANK(VLOOKUP(CJN7,#REF!,4,FALSE)))=TRUE,VLOOKUP(CJN7,#REF!,3,FALSE),VLOOKUP(CJN7,#REF!,4,FALSE)),0)</f>
        <v/>
      </c>
      <c r="CJO1">
        <f>IFERROR(IF((ISBLANK(VLOOKUP(CJO7,#REF!,4,FALSE)))=TRUE,VLOOKUP(CJO7,#REF!,3,FALSE),VLOOKUP(CJO7,#REF!,4,FALSE)),0)</f>
        <v/>
      </c>
      <c r="CJP1">
        <f>IFERROR(IF((ISBLANK(VLOOKUP(CJP7,#REF!,4,FALSE)))=TRUE,VLOOKUP(CJP7,#REF!,3,FALSE),VLOOKUP(CJP7,#REF!,4,FALSE)),0)</f>
        <v/>
      </c>
      <c r="CJQ1">
        <f>IFERROR(IF((ISBLANK(VLOOKUP(CJQ7,#REF!,4,FALSE)))=TRUE,VLOOKUP(CJQ7,#REF!,3,FALSE),VLOOKUP(CJQ7,#REF!,4,FALSE)),0)</f>
        <v/>
      </c>
      <c r="CJR1">
        <f>IFERROR(IF((ISBLANK(VLOOKUP(CJR7,#REF!,4,FALSE)))=TRUE,VLOOKUP(CJR7,#REF!,3,FALSE),VLOOKUP(CJR7,#REF!,4,FALSE)),0)</f>
        <v/>
      </c>
      <c r="CJS1">
        <f>IFERROR(IF((ISBLANK(VLOOKUP(CJS7,#REF!,4,FALSE)))=TRUE,VLOOKUP(CJS7,#REF!,3,FALSE),VLOOKUP(CJS7,#REF!,4,FALSE)),0)</f>
        <v/>
      </c>
      <c r="CJT1">
        <f>IFERROR(IF((ISBLANK(VLOOKUP(CJT7,#REF!,4,FALSE)))=TRUE,VLOOKUP(CJT7,#REF!,3,FALSE),VLOOKUP(CJT7,#REF!,4,FALSE)),0)</f>
        <v/>
      </c>
      <c r="CJU1">
        <f>IFERROR(IF((ISBLANK(VLOOKUP(CJU7,#REF!,4,FALSE)))=TRUE,VLOOKUP(CJU7,#REF!,3,FALSE),VLOOKUP(CJU7,#REF!,4,FALSE)),0)</f>
        <v/>
      </c>
      <c r="CJV1">
        <f>IFERROR(IF((ISBLANK(VLOOKUP(CJV7,#REF!,4,FALSE)))=TRUE,VLOOKUP(CJV7,#REF!,3,FALSE),VLOOKUP(CJV7,#REF!,4,FALSE)),0)</f>
        <v/>
      </c>
      <c r="CJW1">
        <f>IFERROR(IF((ISBLANK(VLOOKUP(CJW7,#REF!,4,FALSE)))=TRUE,VLOOKUP(CJW7,#REF!,3,FALSE),VLOOKUP(CJW7,#REF!,4,FALSE)),0)</f>
        <v/>
      </c>
      <c r="CJX1">
        <f>IFERROR(IF((ISBLANK(VLOOKUP(CJX7,#REF!,4,FALSE)))=TRUE,VLOOKUP(CJX7,#REF!,3,FALSE),VLOOKUP(CJX7,#REF!,4,FALSE)),0)</f>
        <v/>
      </c>
      <c r="CJY1">
        <f>IFERROR(IF((ISBLANK(VLOOKUP(CJY7,#REF!,4,FALSE)))=TRUE,VLOOKUP(CJY7,#REF!,3,FALSE),VLOOKUP(CJY7,#REF!,4,FALSE)),0)</f>
        <v/>
      </c>
      <c r="CJZ1">
        <f>IFERROR(IF((ISBLANK(VLOOKUP(CJZ7,#REF!,4,FALSE)))=TRUE,VLOOKUP(CJZ7,#REF!,3,FALSE),VLOOKUP(CJZ7,#REF!,4,FALSE)),0)</f>
        <v/>
      </c>
      <c r="CKA1">
        <f>IFERROR(IF((ISBLANK(VLOOKUP(CKA7,#REF!,4,FALSE)))=TRUE,VLOOKUP(CKA7,#REF!,3,FALSE),VLOOKUP(CKA7,#REF!,4,FALSE)),0)</f>
        <v/>
      </c>
      <c r="CKB1">
        <f>IFERROR(IF((ISBLANK(VLOOKUP(CKB7,#REF!,4,FALSE)))=TRUE,VLOOKUP(CKB7,#REF!,3,FALSE),VLOOKUP(CKB7,#REF!,4,FALSE)),0)</f>
        <v/>
      </c>
      <c r="CKC1">
        <f>IFERROR(IF((ISBLANK(VLOOKUP(CKC7,#REF!,4,FALSE)))=TRUE,VLOOKUP(CKC7,#REF!,3,FALSE),VLOOKUP(CKC7,#REF!,4,FALSE)),0)</f>
        <v/>
      </c>
      <c r="CKD1">
        <f>IFERROR(IF((ISBLANK(VLOOKUP(CKD7,#REF!,4,FALSE)))=TRUE,VLOOKUP(CKD7,#REF!,3,FALSE),VLOOKUP(CKD7,#REF!,4,FALSE)),0)</f>
        <v/>
      </c>
      <c r="CKE1">
        <f>IFERROR(IF((ISBLANK(VLOOKUP(CKE7,#REF!,4,FALSE)))=TRUE,VLOOKUP(CKE7,#REF!,3,FALSE),VLOOKUP(CKE7,#REF!,4,FALSE)),0)</f>
        <v/>
      </c>
      <c r="CKF1">
        <f>IFERROR(IF((ISBLANK(VLOOKUP(CKF7,#REF!,4,FALSE)))=TRUE,VLOOKUP(CKF7,#REF!,3,FALSE),VLOOKUP(CKF7,#REF!,4,FALSE)),0)</f>
        <v/>
      </c>
      <c r="CKG1">
        <f>IFERROR(IF((ISBLANK(VLOOKUP(CKG7,#REF!,4,FALSE)))=TRUE,VLOOKUP(CKG7,#REF!,3,FALSE),VLOOKUP(CKG7,#REF!,4,FALSE)),0)</f>
        <v/>
      </c>
      <c r="CKH1">
        <f>IFERROR(IF((ISBLANK(VLOOKUP(CKH7,#REF!,4,FALSE)))=TRUE,VLOOKUP(CKH7,#REF!,3,FALSE),VLOOKUP(CKH7,#REF!,4,FALSE)),0)</f>
        <v/>
      </c>
      <c r="CKI1">
        <f>IFERROR(IF((ISBLANK(VLOOKUP(CKI7,#REF!,4,FALSE)))=TRUE,VLOOKUP(CKI7,#REF!,3,FALSE),VLOOKUP(CKI7,#REF!,4,FALSE)),0)</f>
        <v/>
      </c>
      <c r="CKJ1">
        <f>IFERROR(IF((ISBLANK(VLOOKUP(CKJ7,#REF!,4,FALSE)))=TRUE,VLOOKUP(CKJ7,#REF!,3,FALSE),VLOOKUP(CKJ7,#REF!,4,FALSE)),0)</f>
        <v/>
      </c>
      <c r="CKK1">
        <f>IFERROR(IF((ISBLANK(VLOOKUP(CKK7,#REF!,4,FALSE)))=TRUE,VLOOKUP(CKK7,#REF!,3,FALSE),VLOOKUP(CKK7,#REF!,4,FALSE)),0)</f>
        <v/>
      </c>
      <c r="CKL1">
        <f>IFERROR(IF((ISBLANK(VLOOKUP(CKL7,#REF!,4,FALSE)))=TRUE,VLOOKUP(CKL7,#REF!,3,FALSE),VLOOKUP(CKL7,#REF!,4,FALSE)),0)</f>
        <v/>
      </c>
      <c r="CKM1">
        <f>IFERROR(IF((ISBLANK(VLOOKUP(CKM7,#REF!,4,FALSE)))=TRUE,VLOOKUP(CKM7,#REF!,3,FALSE),VLOOKUP(CKM7,#REF!,4,FALSE)),0)</f>
        <v/>
      </c>
      <c r="CKN1">
        <f>IFERROR(IF((ISBLANK(VLOOKUP(CKN7,#REF!,4,FALSE)))=TRUE,VLOOKUP(CKN7,#REF!,3,FALSE),VLOOKUP(CKN7,#REF!,4,FALSE)),0)</f>
        <v/>
      </c>
      <c r="CKO1">
        <f>IFERROR(IF((ISBLANK(VLOOKUP(CKO7,#REF!,4,FALSE)))=TRUE,VLOOKUP(CKO7,#REF!,3,FALSE),VLOOKUP(CKO7,#REF!,4,FALSE)),0)</f>
        <v/>
      </c>
      <c r="CKP1">
        <f>IFERROR(IF((ISBLANK(VLOOKUP(CKP7,#REF!,4,FALSE)))=TRUE,VLOOKUP(CKP7,#REF!,3,FALSE),VLOOKUP(CKP7,#REF!,4,FALSE)),0)</f>
        <v/>
      </c>
      <c r="CKQ1">
        <f>IFERROR(IF((ISBLANK(VLOOKUP(CKQ7,#REF!,4,FALSE)))=TRUE,VLOOKUP(CKQ7,#REF!,3,FALSE),VLOOKUP(CKQ7,#REF!,4,FALSE)),0)</f>
        <v/>
      </c>
      <c r="CKR1">
        <f>IFERROR(IF((ISBLANK(VLOOKUP(CKR7,#REF!,4,FALSE)))=TRUE,VLOOKUP(CKR7,#REF!,3,FALSE),VLOOKUP(CKR7,#REF!,4,FALSE)),0)</f>
        <v/>
      </c>
      <c r="CKS1">
        <f>IFERROR(IF((ISBLANK(VLOOKUP(CKS7,#REF!,4,FALSE)))=TRUE,VLOOKUP(CKS7,#REF!,3,FALSE),VLOOKUP(CKS7,#REF!,4,FALSE)),0)</f>
        <v/>
      </c>
      <c r="CKT1">
        <f>IFERROR(IF((ISBLANK(VLOOKUP(CKT7,#REF!,4,FALSE)))=TRUE,VLOOKUP(CKT7,#REF!,3,FALSE),VLOOKUP(CKT7,#REF!,4,FALSE)),0)</f>
        <v/>
      </c>
      <c r="CKU1">
        <f>IFERROR(IF((ISBLANK(VLOOKUP(CKU7,#REF!,4,FALSE)))=TRUE,VLOOKUP(CKU7,#REF!,3,FALSE),VLOOKUP(CKU7,#REF!,4,FALSE)),0)</f>
        <v/>
      </c>
      <c r="CKV1">
        <f>IFERROR(IF((ISBLANK(VLOOKUP(CKV7,#REF!,4,FALSE)))=TRUE,VLOOKUP(CKV7,#REF!,3,FALSE),VLOOKUP(CKV7,#REF!,4,FALSE)),0)</f>
        <v/>
      </c>
      <c r="CKW1">
        <f>IFERROR(IF((ISBLANK(VLOOKUP(CKW7,#REF!,4,FALSE)))=TRUE,VLOOKUP(CKW7,#REF!,3,FALSE),VLOOKUP(CKW7,#REF!,4,FALSE)),0)</f>
        <v/>
      </c>
      <c r="CKX1">
        <f>IFERROR(IF((ISBLANK(VLOOKUP(CKX7,#REF!,4,FALSE)))=TRUE,VLOOKUP(CKX7,#REF!,3,FALSE),VLOOKUP(CKX7,#REF!,4,FALSE)),0)</f>
        <v/>
      </c>
      <c r="CKY1">
        <f>IFERROR(IF((ISBLANK(VLOOKUP(CKY7,#REF!,4,FALSE)))=TRUE,VLOOKUP(CKY7,#REF!,3,FALSE),VLOOKUP(CKY7,#REF!,4,FALSE)),0)</f>
        <v/>
      </c>
      <c r="CKZ1">
        <f>IFERROR(IF((ISBLANK(VLOOKUP(CKZ7,#REF!,4,FALSE)))=TRUE,VLOOKUP(CKZ7,#REF!,3,FALSE),VLOOKUP(CKZ7,#REF!,4,FALSE)),0)</f>
        <v/>
      </c>
      <c r="CLA1">
        <f>IFERROR(IF((ISBLANK(VLOOKUP(CLA7,#REF!,4,FALSE)))=TRUE,VLOOKUP(CLA7,#REF!,3,FALSE),VLOOKUP(CLA7,#REF!,4,FALSE)),0)</f>
        <v/>
      </c>
      <c r="CLB1">
        <f>IFERROR(IF((ISBLANK(VLOOKUP(CLB7,#REF!,4,FALSE)))=TRUE,VLOOKUP(CLB7,#REF!,3,FALSE),VLOOKUP(CLB7,#REF!,4,FALSE)),0)</f>
        <v/>
      </c>
      <c r="CLC1">
        <f>IFERROR(IF((ISBLANK(VLOOKUP(CLC7,#REF!,4,FALSE)))=TRUE,VLOOKUP(CLC7,#REF!,3,FALSE),VLOOKUP(CLC7,#REF!,4,FALSE)),0)</f>
        <v/>
      </c>
      <c r="CLD1">
        <f>IFERROR(IF((ISBLANK(VLOOKUP(CLD7,#REF!,4,FALSE)))=TRUE,VLOOKUP(CLD7,#REF!,3,FALSE),VLOOKUP(CLD7,#REF!,4,FALSE)),0)</f>
        <v/>
      </c>
      <c r="CLE1">
        <f>IFERROR(IF((ISBLANK(VLOOKUP(CLE7,#REF!,4,FALSE)))=TRUE,VLOOKUP(CLE7,#REF!,3,FALSE),VLOOKUP(CLE7,#REF!,4,FALSE)),0)</f>
        <v/>
      </c>
      <c r="CLF1">
        <f>IFERROR(IF((ISBLANK(VLOOKUP(CLF7,#REF!,4,FALSE)))=TRUE,VLOOKUP(CLF7,#REF!,3,FALSE),VLOOKUP(CLF7,#REF!,4,FALSE)),0)</f>
        <v/>
      </c>
      <c r="CLG1">
        <f>IFERROR(IF((ISBLANK(VLOOKUP(CLG7,#REF!,4,FALSE)))=TRUE,VLOOKUP(CLG7,#REF!,3,FALSE),VLOOKUP(CLG7,#REF!,4,FALSE)),0)</f>
        <v/>
      </c>
      <c r="CLH1">
        <f>IFERROR(IF((ISBLANK(VLOOKUP(CLH7,#REF!,4,FALSE)))=TRUE,VLOOKUP(CLH7,#REF!,3,FALSE),VLOOKUP(CLH7,#REF!,4,FALSE)),0)</f>
        <v/>
      </c>
      <c r="CLI1">
        <f>IFERROR(IF((ISBLANK(VLOOKUP(CLI7,#REF!,4,FALSE)))=TRUE,VLOOKUP(CLI7,#REF!,3,FALSE),VLOOKUP(CLI7,#REF!,4,FALSE)),0)</f>
        <v/>
      </c>
      <c r="CLJ1">
        <f>IFERROR(IF((ISBLANK(VLOOKUP(CLJ7,#REF!,4,FALSE)))=TRUE,VLOOKUP(CLJ7,#REF!,3,FALSE),VLOOKUP(CLJ7,#REF!,4,FALSE)),0)</f>
        <v/>
      </c>
      <c r="CLK1">
        <f>IFERROR(IF((ISBLANK(VLOOKUP(CLK7,#REF!,4,FALSE)))=TRUE,VLOOKUP(CLK7,#REF!,3,FALSE),VLOOKUP(CLK7,#REF!,4,FALSE)),0)</f>
        <v/>
      </c>
      <c r="CLL1">
        <f>IFERROR(IF((ISBLANK(VLOOKUP(CLL7,#REF!,4,FALSE)))=TRUE,VLOOKUP(CLL7,#REF!,3,FALSE),VLOOKUP(CLL7,#REF!,4,FALSE)),0)</f>
        <v/>
      </c>
      <c r="CLM1">
        <f>IFERROR(IF((ISBLANK(VLOOKUP(CLM7,#REF!,4,FALSE)))=TRUE,VLOOKUP(CLM7,#REF!,3,FALSE),VLOOKUP(CLM7,#REF!,4,FALSE)),0)</f>
        <v/>
      </c>
      <c r="CLN1">
        <f>IFERROR(IF((ISBLANK(VLOOKUP(CLN7,#REF!,4,FALSE)))=TRUE,VLOOKUP(CLN7,#REF!,3,FALSE),VLOOKUP(CLN7,#REF!,4,FALSE)),0)</f>
        <v/>
      </c>
      <c r="CLO1">
        <f>IFERROR(IF((ISBLANK(VLOOKUP(CLO7,#REF!,4,FALSE)))=TRUE,VLOOKUP(CLO7,#REF!,3,FALSE),VLOOKUP(CLO7,#REF!,4,FALSE)),0)</f>
        <v/>
      </c>
      <c r="CLP1">
        <f>IFERROR(IF((ISBLANK(VLOOKUP(CLP7,#REF!,4,FALSE)))=TRUE,VLOOKUP(CLP7,#REF!,3,FALSE),VLOOKUP(CLP7,#REF!,4,FALSE)),0)</f>
        <v/>
      </c>
      <c r="CLQ1">
        <f>IFERROR(IF((ISBLANK(VLOOKUP(CLQ7,#REF!,4,FALSE)))=TRUE,VLOOKUP(CLQ7,#REF!,3,FALSE),VLOOKUP(CLQ7,#REF!,4,FALSE)),0)</f>
        <v/>
      </c>
      <c r="CLR1">
        <f>IFERROR(IF((ISBLANK(VLOOKUP(CLR7,#REF!,4,FALSE)))=TRUE,VLOOKUP(CLR7,#REF!,3,FALSE),VLOOKUP(CLR7,#REF!,4,FALSE)),0)</f>
        <v/>
      </c>
      <c r="CLS1">
        <f>IFERROR(IF((ISBLANK(VLOOKUP(CLS7,#REF!,4,FALSE)))=TRUE,VLOOKUP(CLS7,#REF!,3,FALSE),VLOOKUP(CLS7,#REF!,4,FALSE)),0)</f>
        <v/>
      </c>
      <c r="CLT1">
        <f>IFERROR(IF((ISBLANK(VLOOKUP(CLT7,#REF!,4,FALSE)))=TRUE,VLOOKUP(CLT7,#REF!,3,FALSE),VLOOKUP(CLT7,#REF!,4,FALSE)),0)</f>
        <v/>
      </c>
      <c r="CLU1">
        <f>IFERROR(IF((ISBLANK(VLOOKUP(CLU7,#REF!,4,FALSE)))=TRUE,VLOOKUP(CLU7,#REF!,3,FALSE),VLOOKUP(CLU7,#REF!,4,FALSE)),0)</f>
        <v/>
      </c>
      <c r="CLV1">
        <f>IFERROR(IF((ISBLANK(VLOOKUP(CLV7,#REF!,4,FALSE)))=TRUE,VLOOKUP(CLV7,#REF!,3,FALSE),VLOOKUP(CLV7,#REF!,4,FALSE)),0)</f>
        <v/>
      </c>
      <c r="CLW1">
        <f>IFERROR(IF((ISBLANK(VLOOKUP(CLW7,#REF!,4,FALSE)))=TRUE,VLOOKUP(CLW7,#REF!,3,FALSE),VLOOKUP(CLW7,#REF!,4,FALSE)),0)</f>
        <v/>
      </c>
      <c r="CLX1">
        <f>IFERROR(IF((ISBLANK(VLOOKUP(CLX7,#REF!,4,FALSE)))=TRUE,VLOOKUP(CLX7,#REF!,3,FALSE),VLOOKUP(CLX7,#REF!,4,FALSE)),0)</f>
        <v/>
      </c>
      <c r="CLY1">
        <f>IFERROR(IF((ISBLANK(VLOOKUP(CLY7,#REF!,4,FALSE)))=TRUE,VLOOKUP(CLY7,#REF!,3,FALSE),VLOOKUP(CLY7,#REF!,4,FALSE)),0)</f>
        <v/>
      </c>
      <c r="CLZ1">
        <f>IFERROR(IF((ISBLANK(VLOOKUP(CLZ7,#REF!,4,FALSE)))=TRUE,VLOOKUP(CLZ7,#REF!,3,FALSE),VLOOKUP(CLZ7,#REF!,4,FALSE)),0)</f>
        <v/>
      </c>
      <c r="CMA1">
        <f>IFERROR(IF((ISBLANK(VLOOKUP(CMA7,#REF!,4,FALSE)))=TRUE,VLOOKUP(CMA7,#REF!,3,FALSE),VLOOKUP(CMA7,#REF!,4,FALSE)),0)</f>
        <v/>
      </c>
      <c r="CMB1">
        <f>IFERROR(IF((ISBLANK(VLOOKUP(CMB7,#REF!,4,FALSE)))=TRUE,VLOOKUP(CMB7,#REF!,3,FALSE),VLOOKUP(CMB7,#REF!,4,FALSE)),0)</f>
        <v/>
      </c>
      <c r="CMC1">
        <f>IFERROR(IF((ISBLANK(VLOOKUP(CMC7,#REF!,4,FALSE)))=TRUE,VLOOKUP(CMC7,#REF!,3,FALSE),VLOOKUP(CMC7,#REF!,4,FALSE)),0)</f>
        <v/>
      </c>
      <c r="CMD1">
        <f>IFERROR(IF((ISBLANK(VLOOKUP(CMD7,#REF!,4,FALSE)))=TRUE,VLOOKUP(CMD7,#REF!,3,FALSE),VLOOKUP(CMD7,#REF!,4,FALSE)),0)</f>
        <v/>
      </c>
      <c r="CME1">
        <f>IFERROR(IF((ISBLANK(VLOOKUP(CME7,#REF!,4,FALSE)))=TRUE,VLOOKUP(CME7,#REF!,3,FALSE),VLOOKUP(CME7,#REF!,4,FALSE)),0)</f>
        <v/>
      </c>
      <c r="CMF1">
        <f>IFERROR(IF((ISBLANK(VLOOKUP(CMF7,#REF!,4,FALSE)))=TRUE,VLOOKUP(CMF7,#REF!,3,FALSE),VLOOKUP(CMF7,#REF!,4,FALSE)),0)</f>
        <v/>
      </c>
      <c r="CMG1">
        <f>IFERROR(IF((ISBLANK(VLOOKUP(CMG7,#REF!,4,FALSE)))=TRUE,VLOOKUP(CMG7,#REF!,3,FALSE),VLOOKUP(CMG7,#REF!,4,FALSE)),0)</f>
        <v/>
      </c>
      <c r="CMH1">
        <f>IFERROR(IF((ISBLANK(VLOOKUP(CMH7,#REF!,4,FALSE)))=TRUE,VLOOKUP(CMH7,#REF!,3,FALSE),VLOOKUP(CMH7,#REF!,4,FALSE)),0)</f>
        <v/>
      </c>
      <c r="CMI1">
        <f>IFERROR(IF((ISBLANK(VLOOKUP(CMI7,#REF!,4,FALSE)))=TRUE,VLOOKUP(CMI7,#REF!,3,FALSE),VLOOKUP(CMI7,#REF!,4,FALSE)),0)</f>
        <v/>
      </c>
      <c r="CMJ1">
        <f>IFERROR(IF((ISBLANK(VLOOKUP(CMJ7,#REF!,4,FALSE)))=TRUE,VLOOKUP(CMJ7,#REF!,3,FALSE),VLOOKUP(CMJ7,#REF!,4,FALSE)),0)</f>
        <v/>
      </c>
      <c r="CMK1">
        <f>IFERROR(IF((ISBLANK(VLOOKUP(CMK7,#REF!,4,FALSE)))=TRUE,VLOOKUP(CMK7,#REF!,3,FALSE),VLOOKUP(CMK7,#REF!,4,FALSE)),0)</f>
        <v/>
      </c>
      <c r="CML1">
        <f>IFERROR(IF((ISBLANK(VLOOKUP(CML7,#REF!,4,FALSE)))=TRUE,VLOOKUP(CML7,#REF!,3,FALSE),VLOOKUP(CML7,#REF!,4,FALSE)),0)</f>
        <v/>
      </c>
      <c r="CMM1">
        <f>IFERROR(IF((ISBLANK(VLOOKUP(CMM7,#REF!,4,FALSE)))=TRUE,VLOOKUP(CMM7,#REF!,3,FALSE),VLOOKUP(CMM7,#REF!,4,FALSE)),0)</f>
        <v/>
      </c>
      <c r="CMN1">
        <f>IFERROR(IF((ISBLANK(VLOOKUP(CMN7,#REF!,4,FALSE)))=TRUE,VLOOKUP(CMN7,#REF!,3,FALSE),VLOOKUP(CMN7,#REF!,4,FALSE)),0)</f>
        <v/>
      </c>
      <c r="CMO1">
        <f>IFERROR(IF((ISBLANK(VLOOKUP(CMO7,#REF!,4,FALSE)))=TRUE,VLOOKUP(CMO7,#REF!,3,FALSE),VLOOKUP(CMO7,#REF!,4,FALSE)),0)</f>
        <v/>
      </c>
      <c r="CMP1">
        <f>IFERROR(IF((ISBLANK(VLOOKUP(CMP7,#REF!,4,FALSE)))=TRUE,VLOOKUP(CMP7,#REF!,3,FALSE),VLOOKUP(CMP7,#REF!,4,FALSE)),0)</f>
        <v/>
      </c>
      <c r="CMQ1">
        <f>IFERROR(IF((ISBLANK(VLOOKUP(CMQ7,#REF!,4,FALSE)))=TRUE,VLOOKUP(CMQ7,#REF!,3,FALSE),VLOOKUP(CMQ7,#REF!,4,FALSE)),0)</f>
        <v/>
      </c>
      <c r="CMR1">
        <f>IFERROR(IF((ISBLANK(VLOOKUP(CMR7,#REF!,4,FALSE)))=TRUE,VLOOKUP(CMR7,#REF!,3,FALSE),VLOOKUP(CMR7,#REF!,4,FALSE)),0)</f>
        <v/>
      </c>
      <c r="CMS1">
        <f>IFERROR(IF((ISBLANK(VLOOKUP(CMS7,#REF!,4,FALSE)))=TRUE,VLOOKUP(CMS7,#REF!,3,FALSE),VLOOKUP(CMS7,#REF!,4,FALSE)),0)</f>
        <v/>
      </c>
      <c r="CMT1">
        <f>IFERROR(IF((ISBLANK(VLOOKUP(CMT7,#REF!,4,FALSE)))=TRUE,VLOOKUP(CMT7,#REF!,3,FALSE),VLOOKUP(CMT7,#REF!,4,FALSE)),0)</f>
        <v/>
      </c>
      <c r="CMU1">
        <f>IFERROR(IF((ISBLANK(VLOOKUP(CMU7,#REF!,4,FALSE)))=TRUE,VLOOKUP(CMU7,#REF!,3,FALSE),VLOOKUP(CMU7,#REF!,4,FALSE)),0)</f>
        <v/>
      </c>
      <c r="CMV1">
        <f>IFERROR(IF((ISBLANK(VLOOKUP(CMV7,#REF!,4,FALSE)))=TRUE,VLOOKUP(CMV7,#REF!,3,FALSE),VLOOKUP(CMV7,#REF!,4,FALSE)),0)</f>
        <v/>
      </c>
      <c r="CMW1">
        <f>IFERROR(IF((ISBLANK(VLOOKUP(CMW7,#REF!,4,FALSE)))=TRUE,VLOOKUP(CMW7,#REF!,3,FALSE),VLOOKUP(CMW7,#REF!,4,FALSE)),0)</f>
        <v/>
      </c>
      <c r="CMX1">
        <f>IFERROR(IF((ISBLANK(VLOOKUP(CMX7,#REF!,4,FALSE)))=TRUE,VLOOKUP(CMX7,#REF!,3,FALSE),VLOOKUP(CMX7,#REF!,4,FALSE)),0)</f>
        <v/>
      </c>
      <c r="CMY1">
        <f>IFERROR(IF((ISBLANK(VLOOKUP(CMY7,#REF!,4,FALSE)))=TRUE,VLOOKUP(CMY7,#REF!,3,FALSE),VLOOKUP(CMY7,#REF!,4,FALSE)),0)</f>
        <v/>
      </c>
      <c r="CMZ1">
        <f>IFERROR(IF((ISBLANK(VLOOKUP(CMZ7,#REF!,4,FALSE)))=TRUE,VLOOKUP(CMZ7,#REF!,3,FALSE),VLOOKUP(CMZ7,#REF!,4,FALSE)),0)</f>
        <v/>
      </c>
      <c r="CNA1">
        <f>IFERROR(IF((ISBLANK(VLOOKUP(CNA7,#REF!,4,FALSE)))=TRUE,VLOOKUP(CNA7,#REF!,3,FALSE),VLOOKUP(CNA7,#REF!,4,FALSE)),0)</f>
        <v/>
      </c>
      <c r="CNB1">
        <f>IFERROR(IF((ISBLANK(VLOOKUP(CNB7,#REF!,4,FALSE)))=TRUE,VLOOKUP(CNB7,#REF!,3,FALSE),VLOOKUP(CNB7,#REF!,4,FALSE)),0)</f>
        <v/>
      </c>
      <c r="CNC1">
        <f>IFERROR(IF((ISBLANK(VLOOKUP(CNC7,#REF!,4,FALSE)))=TRUE,VLOOKUP(CNC7,#REF!,3,FALSE),VLOOKUP(CNC7,#REF!,4,FALSE)),0)</f>
        <v/>
      </c>
      <c r="CND1">
        <f>IFERROR(IF((ISBLANK(VLOOKUP(CND7,#REF!,4,FALSE)))=TRUE,VLOOKUP(CND7,#REF!,3,FALSE),VLOOKUP(CND7,#REF!,4,FALSE)),0)</f>
        <v/>
      </c>
      <c r="CNE1">
        <f>IFERROR(IF((ISBLANK(VLOOKUP(CNE7,#REF!,4,FALSE)))=TRUE,VLOOKUP(CNE7,#REF!,3,FALSE),VLOOKUP(CNE7,#REF!,4,FALSE)),0)</f>
        <v/>
      </c>
      <c r="CNF1">
        <f>IFERROR(IF((ISBLANK(VLOOKUP(CNF7,#REF!,4,FALSE)))=TRUE,VLOOKUP(CNF7,#REF!,3,FALSE),VLOOKUP(CNF7,#REF!,4,FALSE)),0)</f>
        <v/>
      </c>
      <c r="CNG1">
        <f>IFERROR(IF((ISBLANK(VLOOKUP(CNG7,#REF!,4,FALSE)))=TRUE,VLOOKUP(CNG7,#REF!,3,FALSE),VLOOKUP(CNG7,#REF!,4,FALSE)),0)</f>
        <v/>
      </c>
      <c r="CNH1">
        <f>IFERROR(IF((ISBLANK(VLOOKUP(CNH7,#REF!,4,FALSE)))=TRUE,VLOOKUP(CNH7,#REF!,3,FALSE),VLOOKUP(CNH7,#REF!,4,FALSE)),0)</f>
        <v/>
      </c>
      <c r="CNI1">
        <f>IFERROR(IF((ISBLANK(VLOOKUP(CNI7,#REF!,4,FALSE)))=TRUE,VLOOKUP(CNI7,#REF!,3,FALSE),VLOOKUP(CNI7,#REF!,4,FALSE)),0)</f>
        <v/>
      </c>
      <c r="CNJ1">
        <f>IFERROR(IF((ISBLANK(VLOOKUP(CNJ7,#REF!,4,FALSE)))=TRUE,VLOOKUP(CNJ7,#REF!,3,FALSE),VLOOKUP(CNJ7,#REF!,4,FALSE)),0)</f>
        <v/>
      </c>
      <c r="CNK1">
        <f>IFERROR(IF((ISBLANK(VLOOKUP(CNK7,#REF!,4,FALSE)))=TRUE,VLOOKUP(CNK7,#REF!,3,FALSE),VLOOKUP(CNK7,#REF!,4,FALSE)),0)</f>
        <v/>
      </c>
      <c r="CNL1">
        <f>IFERROR(IF((ISBLANK(VLOOKUP(CNL7,#REF!,4,FALSE)))=TRUE,VLOOKUP(CNL7,#REF!,3,FALSE),VLOOKUP(CNL7,#REF!,4,FALSE)),0)</f>
        <v/>
      </c>
      <c r="CNM1">
        <f>IFERROR(IF((ISBLANK(VLOOKUP(CNM7,#REF!,4,FALSE)))=TRUE,VLOOKUP(CNM7,#REF!,3,FALSE),VLOOKUP(CNM7,#REF!,4,FALSE)),0)</f>
        <v/>
      </c>
      <c r="CNN1">
        <f>IFERROR(IF((ISBLANK(VLOOKUP(CNN7,#REF!,4,FALSE)))=TRUE,VLOOKUP(CNN7,#REF!,3,FALSE),VLOOKUP(CNN7,#REF!,4,FALSE)),0)</f>
        <v/>
      </c>
      <c r="CNO1">
        <f>IFERROR(IF((ISBLANK(VLOOKUP(CNO7,#REF!,4,FALSE)))=TRUE,VLOOKUP(CNO7,#REF!,3,FALSE),VLOOKUP(CNO7,#REF!,4,FALSE)),0)</f>
        <v/>
      </c>
      <c r="CNP1">
        <f>IFERROR(IF((ISBLANK(VLOOKUP(CNP7,#REF!,4,FALSE)))=TRUE,VLOOKUP(CNP7,#REF!,3,FALSE),VLOOKUP(CNP7,#REF!,4,FALSE)),0)</f>
        <v/>
      </c>
      <c r="CNQ1">
        <f>IFERROR(IF((ISBLANK(VLOOKUP(CNQ7,#REF!,4,FALSE)))=TRUE,VLOOKUP(CNQ7,#REF!,3,FALSE),VLOOKUP(CNQ7,#REF!,4,FALSE)),0)</f>
        <v/>
      </c>
      <c r="CNR1">
        <f>IFERROR(IF((ISBLANK(VLOOKUP(CNR7,#REF!,4,FALSE)))=TRUE,VLOOKUP(CNR7,#REF!,3,FALSE),VLOOKUP(CNR7,#REF!,4,FALSE)),0)</f>
        <v/>
      </c>
      <c r="CNS1">
        <f>IFERROR(IF((ISBLANK(VLOOKUP(CNS7,#REF!,4,FALSE)))=TRUE,VLOOKUP(CNS7,#REF!,3,FALSE),VLOOKUP(CNS7,#REF!,4,FALSE)),0)</f>
        <v/>
      </c>
      <c r="CNT1">
        <f>IFERROR(IF((ISBLANK(VLOOKUP(CNT7,#REF!,4,FALSE)))=TRUE,VLOOKUP(CNT7,#REF!,3,FALSE),VLOOKUP(CNT7,#REF!,4,FALSE)),0)</f>
        <v/>
      </c>
      <c r="CNU1">
        <f>IFERROR(IF((ISBLANK(VLOOKUP(CNU7,#REF!,4,FALSE)))=TRUE,VLOOKUP(CNU7,#REF!,3,FALSE),VLOOKUP(CNU7,#REF!,4,FALSE)),0)</f>
        <v/>
      </c>
      <c r="CNV1">
        <f>IFERROR(IF((ISBLANK(VLOOKUP(CNV7,#REF!,4,FALSE)))=TRUE,VLOOKUP(CNV7,#REF!,3,FALSE),VLOOKUP(CNV7,#REF!,4,FALSE)),0)</f>
        <v/>
      </c>
      <c r="CNW1">
        <f>IFERROR(IF((ISBLANK(VLOOKUP(CNW7,#REF!,4,FALSE)))=TRUE,VLOOKUP(CNW7,#REF!,3,FALSE),VLOOKUP(CNW7,#REF!,4,FALSE)),0)</f>
        <v/>
      </c>
      <c r="CNX1">
        <f>IFERROR(IF((ISBLANK(VLOOKUP(CNX7,#REF!,4,FALSE)))=TRUE,VLOOKUP(CNX7,#REF!,3,FALSE),VLOOKUP(CNX7,#REF!,4,FALSE)),0)</f>
        <v/>
      </c>
      <c r="CNY1">
        <f>IFERROR(IF((ISBLANK(VLOOKUP(CNY7,#REF!,4,FALSE)))=TRUE,VLOOKUP(CNY7,#REF!,3,FALSE),VLOOKUP(CNY7,#REF!,4,FALSE)),0)</f>
        <v/>
      </c>
      <c r="CNZ1">
        <f>IFERROR(IF((ISBLANK(VLOOKUP(CNZ7,#REF!,4,FALSE)))=TRUE,VLOOKUP(CNZ7,#REF!,3,FALSE),VLOOKUP(CNZ7,#REF!,4,FALSE)),0)</f>
        <v/>
      </c>
      <c r="COA1">
        <f>IFERROR(IF((ISBLANK(VLOOKUP(COA7,#REF!,4,FALSE)))=TRUE,VLOOKUP(COA7,#REF!,3,FALSE),VLOOKUP(COA7,#REF!,4,FALSE)),0)</f>
        <v/>
      </c>
      <c r="COB1">
        <f>IFERROR(IF((ISBLANK(VLOOKUP(COB7,#REF!,4,FALSE)))=TRUE,VLOOKUP(COB7,#REF!,3,FALSE),VLOOKUP(COB7,#REF!,4,FALSE)),0)</f>
        <v/>
      </c>
      <c r="COC1">
        <f>IFERROR(IF((ISBLANK(VLOOKUP(COC7,#REF!,4,FALSE)))=TRUE,VLOOKUP(COC7,#REF!,3,FALSE),VLOOKUP(COC7,#REF!,4,FALSE)),0)</f>
        <v/>
      </c>
      <c r="COD1">
        <f>IFERROR(IF((ISBLANK(VLOOKUP(COD7,#REF!,4,FALSE)))=TRUE,VLOOKUP(COD7,#REF!,3,FALSE),VLOOKUP(COD7,#REF!,4,FALSE)),0)</f>
        <v/>
      </c>
      <c r="COE1">
        <f>IFERROR(IF((ISBLANK(VLOOKUP(COE7,#REF!,4,FALSE)))=TRUE,VLOOKUP(COE7,#REF!,3,FALSE),VLOOKUP(COE7,#REF!,4,FALSE)),0)</f>
        <v/>
      </c>
      <c r="COF1">
        <f>IFERROR(IF((ISBLANK(VLOOKUP(COF7,#REF!,4,FALSE)))=TRUE,VLOOKUP(COF7,#REF!,3,FALSE),VLOOKUP(COF7,#REF!,4,FALSE)),0)</f>
        <v/>
      </c>
      <c r="COG1">
        <f>IFERROR(IF((ISBLANK(VLOOKUP(COG7,#REF!,4,FALSE)))=TRUE,VLOOKUP(COG7,#REF!,3,FALSE),VLOOKUP(COG7,#REF!,4,FALSE)),0)</f>
        <v/>
      </c>
      <c r="COH1">
        <f>IFERROR(IF((ISBLANK(VLOOKUP(COH7,#REF!,4,FALSE)))=TRUE,VLOOKUP(COH7,#REF!,3,FALSE),VLOOKUP(COH7,#REF!,4,FALSE)),0)</f>
        <v/>
      </c>
      <c r="COI1">
        <f>IFERROR(IF((ISBLANK(VLOOKUP(COI7,#REF!,4,FALSE)))=TRUE,VLOOKUP(COI7,#REF!,3,FALSE),VLOOKUP(COI7,#REF!,4,FALSE)),0)</f>
        <v/>
      </c>
      <c r="COJ1">
        <f>IFERROR(IF((ISBLANK(VLOOKUP(COJ7,#REF!,4,FALSE)))=TRUE,VLOOKUP(COJ7,#REF!,3,FALSE),VLOOKUP(COJ7,#REF!,4,FALSE)),0)</f>
        <v/>
      </c>
      <c r="COK1">
        <f>IFERROR(IF((ISBLANK(VLOOKUP(COK7,#REF!,4,FALSE)))=TRUE,VLOOKUP(COK7,#REF!,3,FALSE),VLOOKUP(COK7,#REF!,4,FALSE)),0)</f>
        <v/>
      </c>
      <c r="COL1">
        <f>IFERROR(IF((ISBLANK(VLOOKUP(COL7,#REF!,4,FALSE)))=TRUE,VLOOKUP(COL7,#REF!,3,FALSE),VLOOKUP(COL7,#REF!,4,FALSE)),0)</f>
        <v/>
      </c>
      <c r="COM1">
        <f>IFERROR(IF((ISBLANK(VLOOKUP(COM7,#REF!,4,FALSE)))=TRUE,VLOOKUP(COM7,#REF!,3,FALSE),VLOOKUP(COM7,#REF!,4,FALSE)),0)</f>
        <v/>
      </c>
      <c r="CON1">
        <f>IFERROR(IF((ISBLANK(VLOOKUP(CON7,#REF!,4,FALSE)))=TRUE,VLOOKUP(CON7,#REF!,3,FALSE),VLOOKUP(CON7,#REF!,4,FALSE)),0)</f>
        <v/>
      </c>
      <c r="COO1">
        <f>IFERROR(IF((ISBLANK(VLOOKUP(COO7,#REF!,4,FALSE)))=TRUE,VLOOKUP(COO7,#REF!,3,FALSE),VLOOKUP(COO7,#REF!,4,FALSE)),0)</f>
        <v/>
      </c>
      <c r="COP1">
        <f>IFERROR(IF((ISBLANK(VLOOKUP(COP7,#REF!,4,FALSE)))=TRUE,VLOOKUP(COP7,#REF!,3,FALSE),VLOOKUP(COP7,#REF!,4,FALSE)),0)</f>
        <v/>
      </c>
      <c r="COQ1">
        <f>IFERROR(IF((ISBLANK(VLOOKUP(COQ7,#REF!,4,FALSE)))=TRUE,VLOOKUP(COQ7,#REF!,3,FALSE),VLOOKUP(COQ7,#REF!,4,FALSE)),0)</f>
        <v/>
      </c>
      <c r="COR1">
        <f>IFERROR(IF((ISBLANK(VLOOKUP(COR7,#REF!,4,FALSE)))=TRUE,VLOOKUP(COR7,#REF!,3,FALSE),VLOOKUP(COR7,#REF!,4,FALSE)),0)</f>
        <v/>
      </c>
      <c r="COS1">
        <f>IFERROR(IF((ISBLANK(VLOOKUP(COS7,#REF!,4,FALSE)))=TRUE,VLOOKUP(COS7,#REF!,3,FALSE),VLOOKUP(COS7,#REF!,4,FALSE)),0)</f>
        <v/>
      </c>
      <c r="COT1">
        <f>IFERROR(IF((ISBLANK(VLOOKUP(COT7,#REF!,4,FALSE)))=TRUE,VLOOKUP(COT7,#REF!,3,FALSE),VLOOKUP(COT7,#REF!,4,FALSE)),0)</f>
        <v/>
      </c>
      <c r="COU1">
        <f>IFERROR(IF((ISBLANK(VLOOKUP(COU7,#REF!,4,FALSE)))=TRUE,VLOOKUP(COU7,#REF!,3,FALSE),VLOOKUP(COU7,#REF!,4,FALSE)),0)</f>
        <v/>
      </c>
      <c r="COV1">
        <f>IFERROR(IF((ISBLANK(VLOOKUP(COV7,#REF!,4,FALSE)))=TRUE,VLOOKUP(COV7,#REF!,3,FALSE),VLOOKUP(COV7,#REF!,4,FALSE)),0)</f>
        <v/>
      </c>
      <c r="COW1">
        <f>IFERROR(IF((ISBLANK(VLOOKUP(COW7,#REF!,4,FALSE)))=TRUE,VLOOKUP(COW7,#REF!,3,FALSE),VLOOKUP(COW7,#REF!,4,FALSE)),0)</f>
        <v/>
      </c>
      <c r="COX1">
        <f>IFERROR(IF((ISBLANK(VLOOKUP(COX7,#REF!,4,FALSE)))=TRUE,VLOOKUP(COX7,#REF!,3,FALSE),VLOOKUP(COX7,#REF!,4,FALSE)),0)</f>
        <v/>
      </c>
      <c r="COY1">
        <f>IFERROR(IF((ISBLANK(VLOOKUP(COY7,#REF!,4,FALSE)))=TRUE,VLOOKUP(COY7,#REF!,3,FALSE),VLOOKUP(COY7,#REF!,4,FALSE)),0)</f>
        <v/>
      </c>
      <c r="COZ1">
        <f>IFERROR(IF((ISBLANK(VLOOKUP(COZ7,#REF!,4,FALSE)))=TRUE,VLOOKUP(COZ7,#REF!,3,FALSE),VLOOKUP(COZ7,#REF!,4,FALSE)),0)</f>
        <v/>
      </c>
      <c r="CPA1">
        <f>IFERROR(IF((ISBLANK(VLOOKUP(CPA7,#REF!,4,FALSE)))=TRUE,VLOOKUP(CPA7,#REF!,3,FALSE),VLOOKUP(CPA7,#REF!,4,FALSE)),0)</f>
        <v/>
      </c>
      <c r="CPB1">
        <f>IFERROR(IF((ISBLANK(VLOOKUP(CPB7,#REF!,4,FALSE)))=TRUE,VLOOKUP(CPB7,#REF!,3,FALSE),VLOOKUP(CPB7,#REF!,4,FALSE)),0)</f>
        <v/>
      </c>
      <c r="CPC1">
        <f>IFERROR(IF((ISBLANK(VLOOKUP(CPC7,#REF!,4,FALSE)))=TRUE,VLOOKUP(CPC7,#REF!,3,FALSE),VLOOKUP(CPC7,#REF!,4,FALSE)),0)</f>
        <v/>
      </c>
      <c r="CPD1">
        <f>IFERROR(IF((ISBLANK(VLOOKUP(CPD7,#REF!,4,FALSE)))=TRUE,VLOOKUP(CPD7,#REF!,3,FALSE),VLOOKUP(CPD7,#REF!,4,FALSE)),0)</f>
        <v/>
      </c>
      <c r="CPE1">
        <f>IFERROR(IF((ISBLANK(VLOOKUP(CPE7,#REF!,4,FALSE)))=TRUE,VLOOKUP(CPE7,#REF!,3,FALSE),VLOOKUP(CPE7,#REF!,4,FALSE)),0)</f>
        <v/>
      </c>
      <c r="CPF1">
        <f>IFERROR(IF((ISBLANK(VLOOKUP(CPF7,#REF!,4,FALSE)))=TRUE,VLOOKUP(CPF7,#REF!,3,FALSE),VLOOKUP(CPF7,#REF!,4,FALSE)),0)</f>
        <v/>
      </c>
      <c r="CPG1">
        <f>IFERROR(IF((ISBLANK(VLOOKUP(CPG7,#REF!,4,FALSE)))=TRUE,VLOOKUP(CPG7,#REF!,3,FALSE),VLOOKUP(CPG7,#REF!,4,FALSE)),0)</f>
        <v/>
      </c>
      <c r="CPH1">
        <f>IFERROR(IF((ISBLANK(VLOOKUP(CPH7,#REF!,4,FALSE)))=TRUE,VLOOKUP(CPH7,#REF!,3,FALSE),VLOOKUP(CPH7,#REF!,4,FALSE)),0)</f>
        <v/>
      </c>
      <c r="CPI1">
        <f>IFERROR(IF((ISBLANK(VLOOKUP(CPI7,#REF!,4,FALSE)))=TRUE,VLOOKUP(CPI7,#REF!,3,FALSE),VLOOKUP(CPI7,#REF!,4,FALSE)),0)</f>
        <v/>
      </c>
      <c r="CPJ1">
        <f>IFERROR(IF((ISBLANK(VLOOKUP(CPJ7,#REF!,4,FALSE)))=TRUE,VLOOKUP(CPJ7,#REF!,3,FALSE),VLOOKUP(CPJ7,#REF!,4,FALSE)),0)</f>
        <v/>
      </c>
      <c r="CPK1">
        <f>IFERROR(IF((ISBLANK(VLOOKUP(CPK7,#REF!,4,FALSE)))=TRUE,VLOOKUP(CPK7,#REF!,3,FALSE),VLOOKUP(CPK7,#REF!,4,FALSE)),0)</f>
        <v/>
      </c>
      <c r="CPL1">
        <f>IFERROR(IF((ISBLANK(VLOOKUP(CPL7,#REF!,4,FALSE)))=TRUE,VLOOKUP(CPL7,#REF!,3,FALSE),VLOOKUP(CPL7,#REF!,4,FALSE)),0)</f>
        <v/>
      </c>
      <c r="CPM1">
        <f>IFERROR(IF((ISBLANK(VLOOKUP(CPM7,#REF!,4,FALSE)))=TRUE,VLOOKUP(CPM7,#REF!,3,FALSE),VLOOKUP(CPM7,#REF!,4,FALSE)),0)</f>
        <v/>
      </c>
      <c r="CPN1">
        <f>IFERROR(IF((ISBLANK(VLOOKUP(CPN7,#REF!,4,FALSE)))=TRUE,VLOOKUP(CPN7,#REF!,3,FALSE),VLOOKUP(CPN7,#REF!,4,FALSE)),0)</f>
        <v/>
      </c>
      <c r="CPO1">
        <f>IFERROR(IF((ISBLANK(VLOOKUP(CPO7,#REF!,4,FALSE)))=TRUE,VLOOKUP(CPO7,#REF!,3,FALSE),VLOOKUP(CPO7,#REF!,4,FALSE)),0)</f>
        <v/>
      </c>
      <c r="CPP1">
        <f>IFERROR(IF((ISBLANK(VLOOKUP(CPP7,#REF!,4,FALSE)))=TRUE,VLOOKUP(CPP7,#REF!,3,FALSE),VLOOKUP(CPP7,#REF!,4,FALSE)),0)</f>
        <v/>
      </c>
      <c r="CPQ1">
        <f>IFERROR(IF((ISBLANK(VLOOKUP(CPQ7,#REF!,4,FALSE)))=TRUE,VLOOKUP(CPQ7,#REF!,3,FALSE),VLOOKUP(CPQ7,#REF!,4,FALSE)),0)</f>
        <v/>
      </c>
      <c r="CPR1">
        <f>IFERROR(IF((ISBLANK(VLOOKUP(CPR7,#REF!,4,FALSE)))=TRUE,VLOOKUP(CPR7,#REF!,3,FALSE),VLOOKUP(CPR7,#REF!,4,FALSE)),0)</f>
        <v/>
      </c>
      <c r="CPS1">
        <f>IFERROR(IF((ISBLANK(VLOOKUP(CPS7,#REF!,4,FALSE)))=TRUE,VLOOKUP(CPS7,#REF!,3,FALSE),VLOOKUP(CPS7,#REF!,4,FALSE)),0)</f>
        <v/>
      </c>
      <c r="CPT1">
        <f>IFERROR(IF((ISBLANK(VLOOKUP(CPT7,#REF!,4,FALSE)))=TRUE,VLOOKUP(CPT7,#REF!,3,FALSE),VLOOKUP(CPT7,#REF!,4,FALSE)),0)</f>
        <v/>
      </c>
      <c r="CPU1">
        <f>IFERROR(IF((ISBLANK(VLOOKUP(CPU7,#REF!,4,FALSE)))=TRUE,VLOOKUP(CPU7,#REF!,3,FALSE),VLOOKUP(CPU7,#REF!,4,FALSE)),0)</f>
        <v/>
      </c>
      <c r="CPV1">
        <f>IFERROR(IF((ISBLANK(VLOOKUP(CPV7,#REF!,4,FALSE)))=TRUE,VLOOKUP(CPV7,#REF!,3,FALSE),VLOOKUP(CPV7,#REF!,4,FALSE)),0)</f>
        <v/>
      </c>
      <c r="CPW1">
        <f>IFERROR(IF((ISBLANK(VLOOKUP(CPW7,#REF!,4,FALSE)))=TRUE,VLOOKUP(CPW7,#REF!,3,FALSE),VLOOKUP(CPW7,#REF!,4,FALSE)),0)</f>
        <v/>
      </c>
      <c r="CPX1">
        <f>IFERROR(IF((ISBLANK(VLOOKUP(CPX7,#REF!,4,FALSE)))=TRUE,VLOOKUP(CPX7,#REF!,3,FALSE),VLOOKUP(CPX7,#REF!,4,FALSE)),0)</f>
        <v/>
      </c>
      <c r="CPY1">
        <f>IFERROR(IF((ISBLANK(VLOOKUP(CPY7,#REF!,4,FALSE)))=TRUE,VLOOKUP(CPY7,#REF!,3,FALSE),VLOOKUP(CPY7,#REF!,4,FALSE)),0)</f>
        <v/>
      </c>
      <c r="CPZ1">
        <f>IFERROR(IF((ISBLANK(VLOOKUP(CPZ7,#REF!,4,FALSE)))=TRUE,VLOOKUP(CPZ7,#REF!,3,FALSE),VLOOKUP(CPZ7,#REF!,4,FALSE)),0)</f>
        <v/>
      </c>
      <c r="CQA1">
        <f>IFERROR(IF((ISBLANK(VLOOKUP(CQA7,#REF!,4,FALSE)))=TRUE,VLOOKUP(CQA7,#REF!,3,FALSE),VLOOKUP(CQA7,#REF!,4,FALSE)),0)</f>
        <v/>
      </c>
      <c r="CQB1">
        <f>IFERROR(IF((ISBLANK(VLOOKUP(CQB7,#REF!,4,FALSE)))=TRUE,VLOOKUP(CQB7,#REF!,3,FALSE),VLOOKUP(CQB7,#REF!,4,FALSE)),0)</f>
        <v/>
      </c>
      <c r="CQC1">
        <f>IFERROR(IF((ISBLANK(VLOOKUP(CQC7,#REF!,4,FALSE)))=TRUE,VLOOKUP(CQC7,#REF!,3,FALSE),VLOOKUP(CQC7,#REF!,4,FALSE)),0)</f>
        <v/>
      </c>
      <c r="CQD1">
        <f>IFERROR(IF((ISBLANK(VLOOKUP(CQD7,#REF!,4,FALSE)))=TRUE,VLOOKUP(CQD7,#REF!,3,FALSE),VLOOKUP(CQD7,#REF!,4,FALSE)),0)</f>
        <v/>
      </c>
      <c r="CQE1">
        <f>IFERROR(IF((ISBLANK(VLOOKUP(CQE7,#REF!,4,FALSE)))=TRUE,VLOOKUP(CQE7,#REF!,3,FALSE),VLOOKUP(CQE7,#REF!,4,FALSE)),0)</f>
        <v/>
      </c>
      <c r="CQF1">
        <f>IFERROR(IF((ISBLANK(VLOOKUP(CQF7,#REF!,4,FALSE)))=TRUE,VLOOKUP(CQF7,#REF!,3,FALSE),VLOOKUP(CQF7,#REF!,4,FALSE)),0)</f>
        <v/>
      </c>
      <c r="CQG1">
        <f>IFERROR(IF((ISBLANK(VLOOKUP(CQG7,#REF!,4,FALSE)))=TRUE,VLOOKUP(CQG7,#REF!,3,FALSE),VLOOKUP(CQG7,#REF!,4,FALSE)),0)</f>
        <v/>
      </c>
      <c r="CQH1">
        <f>IFERROR(IF((ISBLANK(VLOOKUP(CQH7,#REF!,4,FALSE)))=TRUE,VLOOKUP(CQH7,#REF!,3,FALSE),VLOOKUP(CQH7,#REF!,4,FALSE)),0)</f>
        <v/>
      </c>
      <c r="CQI1">
        <f>IFERROR(IF((ISBLANK(VLOOKUP(CQI7,#REF!,4,FALSE)))=TRUE,VLOOKUP(CQI7,#REF!,3,FALSE),VLOOKUP(CQI7,#REF!,4,FALSE)),0)</f>
        <v/>
      </c>
      <c r="CQJ1">
        <f>IFERROR(IF((ISBLANK(VLOOKUP(CQJ7,#REF!,4,FALSE)))=TRUE,VLOOKUP(CQJ7,#REF!,3,FALSE),VLOOKUP(CQJ7,#REF!,4,FALSE)),0)</f>
        <v/>
      </c>
      <c r="CQK1">
        <f>IFERROR(IF((ISBLANK(VLOOKUP(CQK7,#REF!,4,FALSE)))=TRUE,VLOOKUP(CQK7,#REF!,3,FALSE),VLOOKUP(CQK7,#REF!,4,FALSE)),0)</f>
        <v/>
      </c>
      <c r="CQL1">
        <f>IFERROR(IF((ISBLANK(VLOOKUP(CQL7,#REF!,4,FALSE)))=TRUE,VLOOKUP(CQL7,#REF!,3,FALSE),VLOOKUP(CQL7,#REF!,4,FALSE)),0)</f>
        <v/>
      </c>
      <c r="CQM1">
        <f>IFERROR(IF((ISBLANK(VLOOKUP(CQM7,#REF!,4,FALSE)))=TRUE,VLOOKUP(CQM7,#REF!,3,FALSE),VLOOKUP(CQM7,#REF!,4,FALSE)),0)</f>
        <v/>
      </c>
      <c r="CQN1">
        <f>IFERROR(IF((ISBLANK(VLOOKUP(CQN7,#REF!,4,FALSE)))=TRUE,VLOOKUP(CQN7,#REF!,3,FALSE),VLOOKUP(CQN7,#REF!,4,FALSE)),0)</f>
        <v/>
      </c>
      <c r="CQO1">
        <f>IFERROR(IF((ISBLANK(VLOOKUP(CQO7,#REF!,4,FALSE)))=TRUE,VLOOKUP(CQO7,#REF!,3,FALSE),VLOOKUP(CQO7,#REF!,4,FALSE)),0)</f>
        <v/>
      </c>
      <c r="CQP1">
        <f>IFERROR(IF((ISBLANK(VLOOKUP(CQP7,#REF!,4,FALSE)))=TRUE,VLOOKUP(CQP7,#REF!,3,FALSE),VLOOKUP(CQP7,#REF!,4,FALSE)),0)</f>
        <v/>
      </c>
      <c r="CQQ1">
        <f>IFERROR(IF((ISBLANK(VLOOKUP(CQQ7,#REF!,4,FALSE)))=TRUE,VLOOKUP(CQQ7,#REF!,3,FALSE),VLOOKUP(CQQ7,#REF!,4,FALSE)),0)</f>
        <v/>
      </c>
      <c r="CQR1">
        <f>IFERROR(IF((ISBLANK(VLOOKUP(CQR7,#REF!,4,FALSE)))=TRUE,VLOOKUP(CQR7,#REF!,3,FALSE),VLOOKUP(CQR7,#REF!,4,FALSE)),0)</f>
        <v/>
      </c>
      <c r="CQS1">
        <f>IFERROR(IF((ISBLANK(VLOOKUP(CQS7,#REF!,4,FALSE)))=TRUE,VLOOKUP(CQS7,#REF!,3,FALSE),VLOOKUP(CQS7,#REF!,4,FALSE)),0)</f>
        <v/>
      </c>
      <c r="CQT1">
        <f>IFERROR(IF((ISBLANK(VLOOKUP(CQT7,#REF!,4,FALSE)))=TRUE,VLOOKUP(CQT7,#REF!,3,FALSE),VLOOKUP(CQT7,#REF!,4,FALSE)),0)</f>
        <v/>
      </c>
      <c r="CQU1">
        <f>IFERROR(IF((ISBLANK(VLOOKUP(CQU7,#REF!,4,FALSE)))=TRUE,VLOOKUP(CQU7,#REF!,3,FALSE),VLOOKUP(CQU7,#REF!,4,FALSE)),0)</f>
        <v/>
      </c>
      <c r="CQV1">
        <f>IFERROR(IF((ISBLANK(VLOOKUP(CQV7,#REF!,4,FALSE)))=TRUE,VLOOKUP(CQV7,#REF!,3,FALSE),VLOOKUP(CQV7,#REF!,4,FALSE)),0)</f>
        <v/>
      </c>
      <c r="CQW1">
        <f>IFERROR(IF((ISBLANK(VLOOKUP(CQW7,#REF!,4,FALSE)))=TRUE,VLOOKUP(CQW7,#REF!,3,FALSE),VLOOKUP(CQW7,#REF!,4,FALSE)),0)</f>
        <v/>
      </c>
      <c r="CQX1">
        <f>IFERROR(IF((ISBLANK(VLOOKUP(CQX7,#REF!,4,FALSE)))=TRUE,VLOOKUP(CQX7,#REF!,3,FALSE),VLOOKUP(CQX7,#REF!,4,FALSE)),0)</f>
        <v/>
      </c>
      <c r="CQY1">
        <f>IFERROR(IF((ISBLANK(VLOOKUP(CQY7,#REF!,4,FALSE)))=TRUE,VLOOKUP(CQY7,#REF!,3,FALSE),VLOOKUP(CQY7,#REF!,4,FALSE)),0)</f>
        <v/>
      </c>
      <c r="CQZ1">
        <f>IFERROR(IF((ISBLANK(VLOOKUP(CQZ7,#REF!,4,FALSE)))=TRUE,VLOOKUP(CQZ7,#REF!,3,FALSE),VLOOKUP(CQZ7,#REF!,4,FALSE)),0)</f>
        <v/>
      </c>
      <c r="CRA1">
        <f>IFERROR(IF((ISBLANK(VLOOKUP(CRA7,#REF!,4,FALSE)))=TRUE,VLOOKUP(CRA7,#REF!,3,FALSE),VLOOKUP(CRA7,#REF!,4,FALSE)),0)</f>
        <v/>
      </c>
      <c r="CRB1">
        <f>IFERROR(IF((ISBLANK(VLOOKUP(CRB7,#REF!,4,FALSE)))=TRUE,VLOOKUP(CRB7,#REF!,3,FALSE),VLOOKUP(CRB7,#REF!,4,FALSE)),0)</f>
        <v/>
      </c>
      <c r="CRC1">
        <f>IFERROR(IF((ISBLANK(VLOOKUP(CRC7,#REF!,4,FALSE)))=TRUE,VLOOKUP(CRC7,#REF!,3,FALSE),VLOOKUP(CRC7,#REF!,4,FALSE)),0)</f>
        <v/>
      </c>
      <c r="CRD1">
        <f>IFERROR(IF((ISBLANK(VLOOKUP(CRD7,#REF!,4,FALSE)))=TRUE,VLOOKUP(CRD7,#REF!,3,FALSE),VLOOKUP(CRD7,#REF!,4,FALSE)),0)</f>
        <v/>
      </c>
      <c r="CRE1">
        <f>IFERROR(IF((ISBLANK(VLOOKUP(CRE7,#REF!,4,FALSE)))=TRUE,VLOOKUP(CRE7,#REF!,3,FALSE),VLOOKUP(CRE7,#REF!,4,FALSE)),0)</f>
        <v/>
      </c>
      <c r="CRF1">
        <f>IFERROR(IF((ISBLANK(VLOOKUP(CRF7,#REF!,4,FALSE)))=TRUE,VLOOKUP(CRF7,#REF!,3,FALSE),VLOOKUP(CRF7,#REF!,4,FALSE)),0)</f>
        <v/>
      </c>
      <c r="CRG1">
        <f>IFERROR(IF((ISBLANK(VLOOKUP(CRG7,#REF!,4,FALSE)))=TRUE,VLOOKUP(CRG7,#REF!,3,FALSE),VLOOKUP(CRG7,#REF!,4,FALSE)),0)</f>
        <v/>
      </c>
      <c r="CRH1">
        <f>IFERROR(IF((ISBLANK(VLOOKUP(CRH7,#REF!,4,FALSE)))=TRUE,VLOOKUP(CRH7,#REF!,3,FALSE),VLOOKUP(CRH7,#REF!,4,FALSE)),0)</f>
        <v/>
      </c>
      <c r="CRI1">
        <f>IFERROR(IF((ISBLANK(VLOOKUP(CRI7,#REF!,4,FALSE)))=TRUE,VLOOKUP(CRI7,#REF!,3,FALSE),VLOOKUP(CRI7,#REF!,4,FALSE)),0)</f>
        <v/>
      </c>
      <c r="CRJ1">
        <f>IFERROR(IF((ISBLANK(VLOOKUP(CRJ7,#REF!,4,FALSE)))=TRUE,VLOOKUP(CRJ7,#REF!,3,FALSE),VLOOKUP(CRJ7,#REF!,4,FALSE)),0)</f>
        <v/>
      </c>
      <c r="CRK1">
        <f>IFERROR(IF((ISBLANK(VLOOKUP(CRK7,#REF!,4,FALSE)))=TRUE,VLOOKUP(CRK7,#REF!,3,FALSE),VLOOKUP(CRK7,#REF!,4,FALSE)),0)</f>
        <v/>
      </c>
      <c r="CRL1">
        <f>IFERROR(IF((ISBLANK(VLOOKUP(CRL7,#REF!,4,FALSE)))=TRUE,VLOOKUP(CRL7,#REF!,3,FALSE),VLOOKUP(CRL7,#REF!,4,FALSE)),0)</f>
        <v/>
      </c>
      <c r="CRM1">
        <f>IFERROR(IF((ISBLANK(VLOOKUP(CRM7,#REF!,4,FALSE)))=TRUE,VLOOKUP(CRM7,#REF!,3,FALSE),VLOOKUP(CRM7,#REF!,4,FALSE)),0)</f>
        <v/>
      </c>
      <c r="CRN1">
        <f>IFERROR(IF((ISBLANK(VLOOKUP(CRN7,#REF!,4,FALSE)))=TRUE,VLOOKUP(CRN7,#REF!,3,FALSE),VLOOKUP(CRN7,#REF!,4,FALSE)),0)</f>
        <v/>
      </c>
      <c r="CRO1">
        <f>IFERROR(IF((ISBLANK(VLOOKUP(CRO7,#REF!,4,FALSE)))=TRUE,VLOOKUP(CRO7,#REF!,3,FALSE),VLOOKUP(CRO7,#REF!,4,FALSE)),0)</f>
        <v/>
      </c>
      <c r="CRP1">
        <f>IFERROR(IF((ISBLANK(VLOOKUP(CRP7,#REF!,4,FALSE)))=TRUE,VLOOKUP(CRP7,#REF!,3,FALSE),VLOOKUP(CRP7,#REF!,4,FALSE)),0)</f>
        <v/>
      </c>
      <c r="CRQ1">
        <f>IFERROR(IF((ISBLANK(VLOOKUP(CRQ7,#REF!,4,FALSE)))=TRUE,VLOOKUP(CRQ7,#REF!,3,FALSE),VLOOKUP(CRQ7,#REF!,4,FALSE)),0)</f>
        <v/>
      </c>
      <c r="CRR1">
        <f>IFERROR(IF((ISBLANK(VLOOKUP(CRR7,#REF!,4,FALSE)))=TRUE,VLOOKUP(CRR7,#REF!,3,FALSE),VLOOKUP(CRR7,#REF!,4,FALSE)),0)</f>
        <v/>
      </c>
      <c r="CRS1">
        <f>IFERROR(IF((ISBLANK(VLOOKUP(CRS7,#REF!,4,FALSE)))=TRUE,VLOOKUP(CRS7,#REF!,3,FALSE),VLOOKUP(CRS7,#REF!,4,FALSE)),0)</f>
        <v/>
      </c>
      <c r="CRT1">
        <f>IFERROR(IF((ISBLANK(VLOOKUP(CRT7,#REF!,4,FALSE)))=TRUE,VLOOKUP(CRT7,#REF!,3,FALSE),VLOOKUP(CRT7,#REF!,4,FALSE)),0)</f>
        <v/>
      </c>
      <c r="CRU1">
        <f>IFERROR(IF((ISBLANK(VLOOKUP(CRU7,#REF!,4,FALSE)))=TRUE,VLOOKUP(CRU7,#REF!,3,FALSE),VLOOKUP(CRU7,#REF!,4,FALSE)),0)</f>
        <v/>
      </c>
      <c r="CRV1">
        <f>IFERROR(IF((ISBLANK(VLOOKUP(CRV7,#REF!,4,FALSE)))=TRUE,VLOOKUP(CRV7,#REF!,3,FALSE),VLOOKUP(CRV7,#REF!,4,FALSE)),0)</f>
        <v/>
      </c>
      <c r="CRW1">
        <f>IFERROR(IF((ISBLANK(VLOOKUP(CRW7,#REF!,4,FALSE)))=TRUE,VLOOKUP(CRW7,#REF!,3,FALSE),VLOOKUP(CRW7,#REF!,4,FALSE)),0)</f>
        <v/>
      </c>
      <c r="CRX1">
        <f>IFERROR(IF((ISBLANK(VLOOKUP(CRX7,#REF!,4,FALSE)))=TRUE,VLOOKUP(CRX7,#REF!,3,FALSE),VLOOKUP(CRX7,#REF!,4,FALSE)),0)</f>
        <v/>
      </c>
      <c r="CRY1">
        <f>IFERROR(IF((ISBLANK(VLOOKUP(CRY7,#REF!,4,FALSE)))=TRUE,VLOOKUP(CRY7,#REF!,3,FALSE),VLOOKUP(CRY7,#REF!,4,FALSE)),0)</f>
        <v/>
      </c>
      <c r="CRZ1">
        <f>IFERROR(IF((ISBLANK(VLOOKUP(CRZ7,#REF!,4,FALSE)))=TRUE,VLOOKUP(CRZ7,#REF!,3,FALSE),VLOOKUP(CRZ7,#REF!,4,FALSE)),0)</f>
        <v/>
      </c>
      <c r="CSA1">
        <f>IFERROR(IF((ISBLANK(VLOOKUP(CSA7,#REF!,4,FALSE)))=TRUE,VLOOKUP(CSA7,#REF!,3,FALSE),VLOOKUP(CSA7,#REF!,4,FALSE)),0)</f>
        <v/>
      </c>
      <c r="CSB1">
        <f>IFERROR(IF((ISBLANK(VLOOKUP(CSB7,#REF!,4,FALSE)))=TRUE,VLOOKUP(CSB7,#REF!,3,FALSE),VLOOKUP(CSB7,#REF!,4,FALSE)),0)</f>
        <v/>
      </c>
      <c r="CSC1">
        <f>IFERROR(IF((ISBLANK(VLOOKUP(CSC7,#REF!,4,FALSE)))=TRUE,VLOOKUP(CSC7,#REF!,3,FALSE),VLOOKUP(CSC7,#REF!,4,FALSE)),0)</f>
        <v/>
      </c>
      <c r="CSD1">
        <f>IFERROR(IF((ISBLANK(VLOOKUP(CSD7,#REF!,4,FALSE)))=TRUE,VLOOKUP(CSD7,#REF!,3,FALSE),VLOOKUP(CSD7,#REF!,4,FALSE)),0)</f>
        <v/>
      </c>
      <c r="CSE1">
        <f>IFERROR(IF((ISBLANK(VLOOKUP(CSE7,#REF!,4,FALSE)))=TRUE,VLOOKUP(CSE7,#REF!,3,FALSE),VLOOKUP(CSE7,#REF!,4,FALSE)),0)</f>
        <v/>
      </c>
      <c r="CSF1">
        <f>IFERROR(IF((ISBLANK(VLOOKUP(CSF7,#REF!,4,FALSE)))=TRUE,VLOOKUP(CSF7,#REF!,3,FALSE),VLOOKUP(CSF7,#REF!,4,FALSE)),0)</f>
        <v/>
      </c>
      <c r="CSG1">
        <f>IFERROR(IF((ISBLANK(VLOOKUP(CSG7,#REF!,4,FALSE)))=TRUE,VLOOKUP(CSG7,#REF!,3,FALSE),VLOOKUP(CSG7,#REF!,4,FALSE)),0)</f>
        <v/>
      </c>
      <c r="CSH1">
        <f>IFERROR(IF((ISBLANK(VLOOKUP(CSH7,#REF!,4,FALSE)))=TRUE,VLOOKUP(CSH7,#REF!,3,FALSE),VLOOKUP(CSH7,#REF!,4,FALSE)),0)</f>
        <v/>
      </c>
      <c r="CSI1">
        <f>IFERROR(IF((ISBLANK(VLOOKUP(CSI7,#REF!,4,FALSE)))=TRUE,VLOOKUP(CSI7,#REF!,3,FALSE),VLOOKUP(CSI7,#REF!,4,FALSE)),0)</f>
        <v/>
      </c>
      <c r="CSJ1">
        <f>IFERROR(IF((ISBLANK(VLOOKUP(CSJ7,#REF!,4,FALSE)))=TRUE,VLOOKUP(CSJ7,#REF!,3,FALSE),VLOOKUP(CSJ7,#REF!,4,FALSE)),0)</f>
        <v/>
      </c>
      <c r="CSK1">
        <f>IFERROR(IF((ISBLANK(VLOOKUP(CSK7,#REF!,4,FALSE)))=TRUE,VLOOKUP(CSK7,#REF!,3,FALSE),VLOOKUP(CSK7,#REF!,4,FALSE)),0)</f>
        <v/>
      </c>
      <c r="CSL1">
        <f>IFERROR(IF((ISBLANK(VLOOKUP(CSL7,#REF!,4,FALSE)))=TRUE,VLOOKUP(CSL7,#REF!,3,FALSE),VLOOKUP(CSL7,#REF!,4,FALSE)),0)</f>
        <v/>
      </c>
      <c r="CSM1">
        <f>IFERROR(IF((ISBLANK(VLOOKUP(CSM7,#REF!,4,FALSE)))=TRUE,VLOOKUP(CSM7,#REF!,3,FALSE),VLOOKUP(CSM7,#REF!,4,FALSE)),0)</f>
        <v/>
      </c>
      <c r="CSN1">
        <f>IFERROR(IF((ISBLANK(VLOOKUP(CSN7,#REF!,4,FALSE)))=TRUE,VLOOKUP(CSN7,#REF!,3,FALSE),VLOOKUP(CSN7,#REF!,4,FALSE)),0)</f>
        <v/>
      </c>
      <c r="CSO1">
        <f>IFERROR(IF((ISBLANK(VLOOKUP(CSO7,#REF!,4,FALSE)))=TRUE,VLOOKUP(CSO7,#REF!,3,FALSE),VLOOKUP(CSO7,#REF!,4,FALSE)),0)</f>
        <v/>
      </c>
      <c r="CSP1">
        <f>IFERROR(IF((ISBLANK(VLOOKUP(CSP7,#REF!,4,FALSE)))=TRUE,VLOOKUP(CSP7,#REF!,3,FALSE),VLOOKUP(CSP7,#REF!,4,FALSE)),0)</f>
        <v/>
      </c>
      <c r="CSQ1">
        <f>IFERROR(IF((ISBLANK(VLOOKUP(CSQ7,#REF!,4,FALSE)))=TRUE,VLOOKUP(CSQ7,#REF!,3,FALSE),VLOOKUP(CSQ7,#REF!,4,FALSE)),0)</f>
        <v/>
      </c>
      <c r="CSR1">
        <f>IFERROR(IF((ISBLANK(VLOOKUP(CSR7,#REF!,4,FALSE)))=TRUE,VLOOKUP(CSR7,#REF!,3,FALSE),VLOOKUP(CSR7,#REF!,4,FALSE)),0)</f>
        <v/>
      </c>
      <c r="CSS1">
        <f>IFERROR(IF((ISBLANK(VLOOKUP(CSS7,#REF!,4,FALSE)))=TRUE,VLOOKUP(CSS7,#REF!,3,FALSE),VLOOKUP(CSS7,#REF!,4,FALSE)),0)</f>
        <v/>
      </c>
      <c r="CST1">
        <f>IFERROR(IF((ISBLANK(VLOOKUP(CST7,#REF!,4,FALSE)))=TRUE,VLOOKUP(CST7,#REF!,3,FALSE),VLOOKUP(CST7,#REF!,4,FALSE)),0)</f>
        <v/>
      </c>
      <c r="CSU1">
        <f>IFERROR(IF((ISBLANK(VLOOKUP(CSU7,#REF!,4,FALSE)))=TRUE,VLOOKUP(CSU7,#REF!,3,FALSE),VLOOKUP(CSU7,#REF!,4,FALSE)),0)</f>
        <v/>
      </c>
      <c r="CSV1">
        <f>IFERROR(IF((ISBLANK(VLOOKUP(CSV7,#REF!,4,FALSE)))=TRUE,VLOOKUP(CSV7,#REF!,3,FALSE),VLOOKUP(CSV7,#REF!,4,FALSE)),0)</f>
        <v/>
      </c>
      <c r="CSW1">
        <f>IFERROR(IF((ISBLANK(VLOOKUP(CSW7,#REF!,4,FALSE)))=TRUE,VLOOKUP(CSW7,#REF!,3,FALSE),VLOOKUP(CSW7,#REF!,4,FALSE)),0)</f>
        <v/>
      </c>
      <c r="CSX1">
        <f>IFERROR(IF((ISBLANK(VLOOKUP(CSX7,#REF!,4,FALSE)))=TRUE,VLOOKUP(CSX7,#REF!,3,FALSE),VLOOKUP(CSX7,#REF!,4,FALSE)),0)</f>
        <v/>
      </c>
      <c r="CSY1">
        <f>IFERROR(IF((ISBLANK(VLOOKUP(CSY7,#REF!,4,FALSE)))=TRUE,VLOOKUP(CSY7,#REF!,3,FALSE),VLOOKUP(CSY7,#REF!,4,FALSE)),0)</f>
        <v/>
      </c>
      <c r="CSZ1">
        <f>IFERROR(IF((ISBLANK(VLOOKUP(CSZ7,#REF!,4,FALSE)))=TRUE,VLOOKUP(CSZ7,#REF!,3,FALSE),VLOOKUP(CSZ7,#REF!,4,FALSE)),0)</f>
        <v/>
      </c>
      <c r="CTA1">
        <f>IFERROR(IF((ISBLANK(VLOOKUP(CTA7,#REF!,4,FALSE)))=TRUE,VLOOKUP(CTA7,#REF!,3,FALSE),VLOOKUP(CTA7,#REF!,4,FALSE)),0)</f>
        <v/>
      </c>
      <c r="CTB1">
        <f>IFERROR(IF((ISBLANK(VLOOKUP(CTB7,#REF!,4,FALSE)))=TRUE,VLOOKUP(CTB7,#REF!,3,FALSE),VLOOKUP(CTB7,#REF!,4,FALSE)),0)</f>
        <v/>
      </c>
      <c r="CTC1">
        <f>IFERROR(IF((ISBLANK(VLOOKUP(CTC7,#REF!,4,FALSE)))=TRUE,VLOOKUP(CTC7,#REF!,3,FALSE),VLOOKUP(CTC7,#REF!,4,FALSE)),0)</f>
        <v/>
      </c>
      <c r="CTD1">
        <f>IFERROR(IF((ISBLANK(VLOOKUP(CTD7,#REF!,4,FALSE)))=TRUE,VLOOKUP(CTD7,#REF!,3,FALSE),VLOOKUP(CTD7,#REF!,4,FALSE)),0)</f>
        <v/>
      </c>
      <c r="CTE1">
        <f>IFERROR(IF((ISBLANK(VLOOKUP(CTE7,#REF!,4,FALSE)))=TRUE,VLOOKUP(CTE7,#REF!,3,FALSE),VLOOKUP(CTE7,#REF!,4,FALSE)),0)</f>
        <v/>
      </c>
      <c r="CTF1">
        <f>IFERROR(IF((ISBLANK(VLOOKUP(CTF7,#REF!,4,FALSE)))=TRUE,VLOOKUP(CTF7,#REF!,3,FALSE),VLOOKUP(CTF7,#REF!,4,FALSE)),0)</f>
        <v/>
      </c>
      <c r="CTG1">
        <f>IFERROR(IF((ISBLANK(VLOOKUP(CTG7,#REF!,4,FALSE)))=TRUE,VLOOKUP(CTG7,#REF!,3,FALSE),VLOOKUP(CTG7,#REF!,4,FALSE)),0)</f>
        <v/>
      </c>
      <c r="CTH1">
        <f>IFERROR(IF((ISBLANK(VLOOKUP(CTH7,#REF!,4,FALSE)))=TRUE,VLOOKUP(CTH7,#REF!,3,FALSE),VLOOKUP(CTH7,#REF!,4,FALSE)),0)</f>
        <v/>
      </c>
      <c r="CTI1">
        <f>IFERROR(IF((ISBLANK(VLOOKUP(CTI7,#REF!,4,FALSE)))=TRUE,VLOOKUP(CTI7,#REF!,3,FALSE),VLOOKUP(CTI7,#REF!,4,FALSE)),0)</f>
        <v/>
      </c>
      <c r="CTJ1">
        <f>IFERROR(IF((ISBLANK(VLOOKUP(CTJ7,#REF!,4,FALSE)))=TRUE,VLOOKUP(CTJ7,#REF!,3,FALSE),VLOOKUP(CTJ7,#REF!,4,FALSE)),0)</f>
        <v/>
      </c>
      <c r="CTK1">
        <f>IFERROR(IF((ISBLANK(VLOOKUP(CTK7,#REF!,4,FALSE)))=TRUE,VLOOKUP(CTK7,#REF!,3,FALSE),VLOOKUP(CTK7,#REF!,4,FALSE)),0)</f>
        <v/>
      </c>
      <c r="CTL1">
        <f>IFERROR(IF((ISBLANK(VLOOKUP(CTL7,#REF!,4,FALSE)))=TRUE,VLOOKUP(CTL7,#REF!,3,FALSE),VLOOKUP(CTL7,#REF!,4,FALSE)),0)</f>
        <v/>
      </c>
      <c r="CTM1">
        <f>IFERROR(IF((ISBLANK(VLOOKUP(CTM7,#REF!,4,FALSE)))=TRUE,VLOOKUP(CTM7,#REF!,3,FALSE),VLOOKUP(CTM7,#REF!,4,FALSE)),0)</f>
        <v/>
      </c>
      <c r="CTN1">
        <f>IFERROR(IF((ISBLANK(VLOOKUP(CTN7,#REF!,4,FALSE)))=TRUE,VLOOKUP(CTN7,#REF!,3,FALSE),VLOOKUP(CTN7,#REF!,4,FALSE)),0)</f>
        <v/>
      </c>
      <c r="CTO1">
        <f>IFERROR(IF((ISBLANK(VLOOKUP(CTO7,#REF!,4,FALSE)))=TRUE,VLOOKUP(CTO7,#REF!,3,FALSE),VLOOKUP(CTO7,#REF!,4,FALSE)),0)</f>
        <v/>
      </c>
      <c r="CTP1">
        <f>IFERROR(IF((ISBLANK(VLOOKUP(CTP7,#REF!,4,FALSE)))=TRUE,VLOOKUP(CTP7,#REF!,3,FALSE),VLOOKUP(CTP7,#REF!,4,FALSE)),0)</f>
        <v/>
      </c>
      <c r="CTQ1">
        <f>IFERROR(IF((ISBLANK(VLOOKUP(CTQ7,#REF!,4,FALSE)))=TRUE,VLOOKUP(CTQ7,#REF!,3,FALSE),VLOOKUP(CTQ7,#REF!,4,FALSE)),0)</f>
        <v/>
      </c>
      <c r="CTR1">
        <f>IFERROR(IF((ISBLANK(VLOOKUP(CTR7,#REF!,4,FALSE)))=TRUE,VLOOKUP(CTR7,#REF!,3,FALSE),VLOOKUP(CTR7,#REF!,4,FALSE)),0)</f>
        <v/>
      </c>
      <c r="CTS1">
        <f>IFERROR(IF((ISBLANK(VLOOKUP(CTS7,#REF!,4,FALSE)))=TRUE,VLOOKUP(CTS7,#REF!,3,FALSE),VLOOKUP(CTS7,#REF!,4,FALSE)),0)</f>
        <v/>
      </c>
      <c r="CTT1">
        <f>IFERROR(IF((ISBLANK(VLOOKUP(CTT7,#REF!,4,FALSE)))=TRUE,VLOOKUP(CTT7,#REF!,3,FALSE),VLOOKUP(CTT7,#REF!,4,FALSE)),0)</f>
        <v/>
      </c>
      <c r="CTU1">
        <f>IFERROR(IF((ISBLANK(VLOOKUP(CTU7,#REF!,4,FALSE)))=TRUE,VLOOKUP(CTU7,#REF!,3,FALSE),VLOOKUP(CTU7,#REF!,4,FALSE)),0)</f>
        <v/>
      </c>
      <c r="CTV1">
        <f>IFERROR(IF((ISBLANK(VLOOKUP(CTV7,#REF!,4,FALSE)))=TRUE,VLOOKUP(CTV7,#REF!,3,FALSE),VLOOKUP(CTV7,#REF!,4,FALSE)),0)</f>
        <v/>
      </c>
      <c r="CTW1">
        <f>IFERROR(IF((ISBLANK(VLOOKUP(CTW7,#REF!,4,FALSE)))=TRUE,VLOOKUP(CTW7,#REF!,3,FALSE),VLOOKUP(CTW7,#REF!,4,FALSE)),0)</f>
        <v/>
      </c>
      <c r="CTX1">
        <f>IFERROR(IF((ISBLANK(VLOOKUP(CTX7,#REF!,4,FALSE)))=TRUE,VLOOKUP(CTX7,#REF!,3,FALSE),VLOOKUP(CTX7,#REF!,4,FALSE)),0)</f>
        <v/>
      </c>
      <c r="CTY1">
        <f>IFERROR(IF((ISBLANK(VLOOKUP(CTY7,#REF!,4,FALSE)))=TRUE,VLOOKUP(CTY7,#REF!,3,FALSE),VLOOKUP(CTY7,#REF!,4,FALSE)),0)</f>
        <v/>
      </c>
      <c r="CTZ1">
        <f>IFERROR(IF((ISBLANK(VLOOKUP(CTZ7,#REF!,4,FALSE)))=TRUE,VLOOKUP(CTZ7,#REF!,3,FALSE),VLOOKUP(CTZ7,#REF!,4,FALSE)),0)</f>
        <v/>
      </c>
      <c r="CUA1">
        <f>IFERROR(IF((ISBLANK(VLOOKUP(CUA7,#REF!,4,FALSE)))=TRUE,VLOOKUP(CUA7,#REF!,3,FALSE),VLOOKUP(CUA7,#REF!,4,FALSE)),0)</f>
        <v/>
      </c>
      <c r="CUB1">
        <f>IFERROR(IF((ISBLANK(VLOOKUP(CUB7,#REF!,4,FALSE)))=TRUE,VLOOKUP(CUB7,#REF!,3,FALSE),VLOOKUP(CUB7,#REF!,4,FALSE)),0)</f>
        <v/>
      </c>
      <c r="CUC1">
        <f>IFERROR(IF((ISBLANK(VLOOKUP(CUC7,#REF!,4,FALSE)))=TRUE,VLOOKUP(CUC7,#REF!,3,FALSE),VLOOKUP(CUC7,#REF!,4,FALSE)),0)</f>
        <v/>
      </c>
      <c r="CUD1">
        <f>IFERROR(IF((ISBLANK(VLOOKUP(CUD7,#REF!,4,FALSE)))=TRUE,VLOOKUP(CUD7,#REF!,3,FALSE),VLOOKUP(CUD7,#REF!,4,FALSE)),0)</f>
        <v/>
      </c>
      <c r="CUE1">
        <f>IFERROR(IF((ISBLANK(VLOOKUP(CUE7,#REF!,4,FALSE)))=TRUE,VLOOKUP(CUE7,#REF!,3,FALSE),VLOOKUP(CUE7,#REF!,4,FALSE)),0)</f>
        <v/>
      </c>
      <c r="CUF1">
        <f>IFERROR(IF((ISBLANK(VLOOKUP(CUF7,#REF!,4,FALSE)))=TRUE,VLOOKUP(CUF7,#REF!,3,FALSE),VLOOKUP(CUF7,#REF!,4,FALSE)),0)</f>
        <v/>
      </c>
      <c r="CUG1">
        <f>IFERROR(IF((ISBLANK(VLOOKUP(CUG7,#REF!,4,FALSE)))=TRUE,VLOOKUP(CUG7,#REF!,3,FALSE),VLOOKUP(CUG7,#REF!,4,FALSE)),0)</f>
        <v/>
      </c>
      <c r="CUH1">
        <f>IFERROR(IF((ISBLANK(VLOOKUP(CUH7,#REF!,4,FALSE)))=TRUE,VLOOKUP(CUH7,#REF!,3,FALSE),VLOOKUP(CUH7,#REF!,4,FALSE)),0)</f>
        <v/>
      </c>
      <c r="CUI1">
        <f>IFERROR(IF((ISBLANK(VLOOKUP(CUI7,#REF!,4,FALSE)))=TRUE,VLOOKUP(CUI7,#REF!,3,FALSE),VLOOKUP(CUI7,#REF!,4,FALSE)),0)</f>
        <v/>
      </c>
      <c r="CUJ1">
        <f>IFERROR(IF((ISBLANK(VLOOKUP(CUJ7,#REF!,4,FALSE)))=TRUE,VLOOKUP(CUJ7,#REF!,3,FALSE),VLOOKUP(CUJ7,#REF!,4,FALSE)),0)</f>
        <v/>
      </c>
      <c r="CUK1">
        <f>IFERROR(IF((ISBLANK(VLOOKUP(CUK7,#REF!,4,FALSE)))=TRUE,VLOOKUP(CUK7,#REF!,3,FALSE),VLOOKUP(CUK7,#REF!,4,FALSE)),0)</f>
        <v/>
      </c>
      <c r="CUL1">
        <f>IFERROR(IF((ISBLANK(VLOOKUP(CUL7,#REF!,4,FALSE)))=TRUE,VLOOKUP(CUL7,#REF!,3,FALSE),VLOOKUP(CUL7,#REF!,4,FALSE)),0)</f>
        <v/>
      </c>
      <c r="CUM1">
        <f>IFERROR(IF((ISBLANK(VLOOKUP(CUM7,#REF!,4,FALSE)))=TRUE,VLOOKUP(CUM7,#REF!,3,FALSE),VLOOKUP(CUM7,#REF!,4,FALSE)),0)</f>
        <v/>
      </c>
      <c r="CUN1">
        <f>IFERROR(IF((ISBLANK(VLOOKUP(CUN7,#REF!,4,FALSE)))=TRUE,VLOOKUP(CUN7,#REF!,3,FALSE),VLOOKUP(CUN7,#REF!,4,FALSE)),0)</f>
        <v/>
      </c>
      <c r="CUO1">
        <f>IFERROR(IF((ISBLANK(VLOOKUP(CUO7,#REF!,4,FALSE)))=TRUE,VLOOKUP(CUO7,#REF!,3,FALSE),VLOOKUP(CUO7,#REF!,4,FALSE)),0)</f>
        <v/>
      </c>
      <c r="CUP1">
        <f>IFERROR(IF((ISBLANK(VLOOKUP(CUP7,#REF!,4,FALSE)))=TRUE,VLOOKUP(CUP7,#REF!,3,FALSE),VLOOKUP(CUP7,#REF!,4,FALSE)),0)</f>
        <v/>
      </c>
      <c r="CUQ1">
        <f>IFERROR(IF((ISBLANK(VLOOKUP(CUQ7,#REF!,4,FALSE)))=TRUE,VLOOKUP(CUQ7,#REF!,3,FALSE),VLOOKUP(CUQ7,#REF!,4,FALSE)),0)</f>
        <v/>
      </c>
      <c r="CUR1">
        <f>IFERROR(IF((ISBLANK(VLOOKUP(CUR7,#REF!,4,FALSE)))=TRUE,VLOOKUP(CUR7,#REF!,3,FALSE),VLOOKUP(CUR7,#REF!,4,FALSE)),0)</f>
        <v/>
      </c>
      <c r="CUS1">
        <f>IFERROR(IF((ISBLANK(VLOOKUP(CUS7,#REF!,4,FALSE)))=TRUE,VLOOKUP(CUS7,#REF!,3,FALSE),VLOOKUP(CUS7,#REF!,4,FALSE)),0)</f>
        <v/>
      </c>
      <c r="CUT1">
        <f>IFERROR(IF((ISBLANK(VLOOKUP(CUT7,#REF!,4,FALSE)))=TRUE,VLOOKUP(CUT7,#REF!,3,FALSE),VLOOKUP(CUT7,#REF!,4,FALSE)),0)</f>
        <v/>
      </c>
      <c r="CUU1">
        <f>IFERROR(IF((ISBLANK(VLOOKUP(CUU7,#REF!,4,FALSE)))=TRUE,VLOOKUP(CUU7,#REF!,3,FALSE),VLOOKUP(CUU7,#REF!,4,FALSE)),0)</f>
        <v/>
      </c>
      <c r="CUV1">
        <f>IFERROR(IF((ISBLANK(VLOOKUP(CUV7,#REF!,4,FALSE)))=TRUE,VLOOKUP(CUV7,#REF!,3,FALSE),VLOOKUP(CUV7,#REF!,4,FALSE)),0)</f>
        <v/>
      </c>
      <c r="CUW1">
        <f>IFERROR(IF((ISBLANK(VLOOKUP(CUW7,#REF!,4,FALSE)))=TRUE,VLOOKUP(CUW7,#REF!,3,FALSE),VLOOKUP(CUW7,#REF!,4,FALSE)),0)</f>
        <v/>
      </c>
      <c r="CUX1">
        <f>IFERROR(IF((ISBLANK(VLOOKUP(CUX7,#REF!,4,FALSE)))=TRUE,VLOOKUP(CUX7,#REF!,3,FALSE),VLOOKUP(CUX7,#REF!,4,FALSE)),0)</f>
        <v/>
      </c>
      <c r="CUY1">
        <f>IFERROR(IF((ISBLANK(VLOOKUP(CUY7,#REF!,4,FALSE)))=TRUE,VLOOKUP(CUY7,#REF!,3,FALSE),VLOOKUP(CUY7,#REF!,4,FALSE)),0)</f>
        <v/>
      </c>
      <c r="CUZ1">
        <f>IFERROR(IF((ISBLANK(VLOOKUP(CUZ7,#REF!,4,FALSE)))=TRUE,VLOOKUP(CUZ7,#REF!,3,FALSE),VLOOKUP(CUZ7,#REF!,4,FALSE)),0)</f>
        <v/>
      </c>
      <c r="CVA1">
        <f>IFERROR(IF((ISBLANK(VLOOKUP(CVA7,#REF!,4,FALSE)))=TRUE,VLOOKUP(CVA7,#REF!,3,FALSE),VLOOKUP(CVA7,#REF!,4,FALSE)),0)</f>
        <v/>
      </c>
      <c r="CVB1">
        <f>IFERROR(IF((ISBLANK(VLOOKUP(CVB7,#REF!,4,FALSE)))=TRUE,VLOOKUP(CVB7,#REF!,3,FALSE),VLOOKUP(CVB7,#REF!,4,FALSE)),0)</f>
        <v/>
      </c>
      <c r="CVC1">
        <f>IFERROR(IF((ISBLANK(VLOOKUP(CVC7,#REF!,4,FALSE)))=TRUE,VLOOKUP(CVC7,#REF!,3,FALSE),VLOOKUP(CVC7,#REF!,4,FALSE)),0)</f>
        <v/>
      </c>
      <c r="CVD1">
        <f>IFERROR(IF((ISBLANK(VLOOKUP(CVD7,#REF!,4,FALSE)))=TRUE,VLOOKUP(CVD7,#REF!,3,FALSE),VLOOKUP(CVD7,#REF!,4,FALSE)),0)</f>
        <v/>
      </c>
      <c r="CVE1">
        <f>IFERROR(IF((ISBLANK(VLOOKUP(CVE7,#REF!,4,FALSE)))=TRUE,VLOOKUP(CVE7,#REF!,3,FALSE),VLOOKUP(CVE7,#REF!,4,FALSE)),0)</f>
        <v/>
      </c>
      <c r="CVF1">
        <f>IFERROR(IF((ISBLANK(VLOOKUP(CVF7,#REF!,4,FALSE)))=TRUE,VLOOKUP(CVF7,#REF!,3,FALSE),VLOOKUP(CVF7,#REF!,4,FALSE)),0)</f>
        <v/>
      </c>
      <c r="CVG1">
        <f>IFERROR(IF((ISBLANK(VLOOKUP(CVG7,#REF!,4,FALSE)))=TRUE,VLOOKUP(CVG7,#REF!,3,FALSE),VLOOKUP(CVG7,#REF!,4,FALSE)),0)</f>
        <v/>
      </c>
      <c r="CVH1">
        <f>IFERROR(IF((ISBLANK(VLOOKUP(CVH7,#REF!,4,FALSE)))=TRUE,VLOOKUP(CVH7,#REF!,3,FALSE),VLOOKUP(CVH7,#REF!,4,FALSE)),0)</f>
        <v/>
      </c>
      <c r="CVI1">
        <f>IFERROR(IF((ISBLANK(VLOOKUP(CVI7,#REF!,4,FALSE)))=TRUE,VLOOKUP(CVI7,#REF!,3,FALSE),VLOOKUP(CVI7,#REF!,4,FALSE)),0)</f>
        <v/>
      </c>
      <c r="CVJ1">
        <f>IFERROR(IF((ISBLANK(VLOOKUP(CVJ7,#REF!,4,FALSE)))=TRUE,VLOOKUP(CVJ7,#REF!,3,FALSE),VLOOKUP(CVJ7,#REF!,4,FALSE)),0)</f>
        <v/>
      </c>
      <c r="CVK1">
        <f>IFERROR(IF((ISBLANK(VLOOKUP(CVK7,#REF!,4,FALSE)))=TRUE,VLOOKUP(CVK7,#REF!,3,FALSE),VLOOKUP(CVK7,#REF!,4,FALSE)),0)</f>
        <v/>
      </c>
      <c r="CVL1">
        <f>IFERROR(IF((ISBLANK(VLOOKUP(CVL7,#REF!,4,FALSE)))=TRUE,VLOOKUP(CVL7,#REF!,3,FALSE),VLOOKUP(CVL7,#REF!,4,FALSE)),0)</f>
        <v/>
      </c>
      <c r="CVM1">
        <f>IFERROR(IF((ISBLANK(VLOOKUP(CVM7,#REF!,4,FALSE)))=TRUE,VLOOKUP(CVM7,#REF!,3,FALSE),VLOOKUP(CVM7,#REF!,4,FALSE)),0)</f>
        <v/>
      </c>
      <c r="CVN1">
        <f>IFERROR(IF((ISBLANK(VLOOKUP(CVN7,#REF!,4,FALSE)))=TRUE,VLOOKUP(CVN7,#REF!,3,FALSE),VLOOKUP(CVN7,#REF!,4,FALSE)),0)</f>
        <v/>
      </c>
      <c r="CVO1">
        <f>IFERROR(IF((ISBLANK(VLOOKUP(CVO7,#REF!,4,FALSE)))=TRUE,VLOOKUP(CVO7,#REF!,3,FALSE),VLOOKUP(CVO7,#REF!,4,FALSE)),0)</f>
        <v/>
      </c>
      <c r="CVP1">
        <f>IFERROR(IF((ISBLANK(VLOOKUP(CVP7,#REF!,4,FALSE)))=TRUE,VLOOKUP(CVP7,#REF!,3,FALSE),VLOOKUP(CVP7,#REF!,4,FALSE)),0)</f>
        <v/>
      </c>
      <c r="CVQ1">
        <f>IFERROR(IF((ISBLANK(VLOOKUP(CVQ7,#REF!,4,FALSE)))=TRUE,VLOOKUP(CVQ7,#REF!,3,FALSE),VLOOKUP(CVQ7,#REF!,4,FALSE)),0)</f>
        <v/>
      </c>
      <c r="CVR1">
        <f>IFERROR(IF((ISBLANK(VLOOKUP(CVR7,#REF!,4,FALSE)))=TRUE,VLOOKUP(CVR7,#REF!,3,FALSE),VLOOKUP(CVR7,#REF!,4,FALSE)),0)</f>
        <v/>
      </c>
      <c r="CVS1">
        <f>IFERROR(IF((ISBLANK(VLOOKUP(CVS7,#REF!,4,FALSE)))=TRUE,VLOOKUP(CVS7,#REF!,3,FALSE),VLOOKUP(CVS7,#REF!,4,FALSE)),0)</f>
        <v/>
      </c>
      <c r="CVT1">
        <f>IFERROR(IF((ISBLANK(VLOOKUP(CVT7,#REF!,4,FALSE)))=TRUE,VLOOKUP(CVT7,#REF!,3,FALSE),VLOOKUP(CVT7,#REF!,4,FALSE)),0)</f>
        <v/>
      </c>
      <c r="CVU1">
        <f>IFERROR(IF((ISBLANK(VLOOKUP(CVU7,#REF!,4,FALSE)))=TRUE,VLOOKUP(CVU7,#REF!,3,FALSE),VLOOKUP(CVU7,#REF!,4,FALSE)),0)</f>
        <v/>
      </c>
      <c r="CVV1">
        <f>IFERROR(IF((ISBLANK(VLOOKUP(CVV7,#REF!,4,FALSE)))=TRUE,VLOOKUP(CVV7,#REF!,3,FALSE),VLOOKUP(CVV7,#REF!,4,FALSE)),0)</f>
        <v/>
      </c>
      <c r="CVW1">
        <f>IFERROR(IF((ISBLANK(VLOOKUP(CVW7,#REF!,4,FALSE)))=TRUE,VLOOKUP(CVW7,#REF!,3,FALSE),VLOOKUP(CVW7,#REF!,4,FALSE)),0)</f>
        <v/>
      </c>
      <c r="CVX1">
        <f>IFERROR(IF((ISBLANK(VLOOKUP(CVX7,#REF!,4,FALSE)))=TRUE,VLOOKUP(CVX7,#REF!,3,FALSE),VLOOKUP(CVX7,#REF!,4,FALSE)),0)</f>
        <v/>
      </c>
      <c r="CVY1">
        <f>IFERROR(IF((ISBLANK(VLOOKUP(CVY7,#REF!,4,FALSE)))=TRUE,VLOOKUP(CVY7,#REF!,3,FALSE),VLOOKUP(CVY7,#REF!,4,FALSE)),0)</f>
        <v/>
      </c>
      <c r="CVZ1">
        <f>IFERROR(IF((ISBLANK(VLOOKUP(CVZ7,#REF!,4,FALSE)))=TRUE,VLOOKUP(CVZ7,#REF!,3,FALSE),VLOOKUP(CVZ7,#REF!,4,FALSE)),0)</f>
        <v/>
      </c>
      <c r="CWA1">
        <f>IFERROR(IF((ISBLANK(VLOOKUP(CWA7,#REF!,4,FALSE)))=TRUE,VLOOKUP(CWA7,#REF!,3,FALSE),VLOOKUP(CWA7,#REF!,4,FALSE)),0)</f>
        <v/>
      </c>
      <c r="CWB1">
        <f>IFERROR(IF((ISBLANK(VLOOKUP(CWB7,#REF!,4,FALSE)))=TRUE,VLOOKUP(CWB7,#REF!,3,FALSE),VLOOKUP(CWB7,#REF!,4,FALSE)),0)</f>
        <v/>
      </c>
      <c r="CWC1">
        <f>IFERROR(IF((ISBLANK(VLOOKUP(CWC7,#REF!,4,FALSE)))=TRUE,VLOOKUP(CWC7,#REF!,3,FALSE),VLOOKUP(CWC7,#REF!,4,FALSE)),0)</f>
        <v/>
      </c>
      <c r="CWD1">
        <f>IFERROR(IF((ISBLANK(VLOOKUP(CWD7,#REF!,4,FALSE)))=TRUE,VLOOKUP(CWD7,#REF!,3,FALSE),VLOOKUP(CWD7,#REF!,4,FALSE)),0)</f>
        <v/>
      </c>
      <c r="CWE1">
        <f>IFERROR(IF((ISBLANK(VLOOKUP(CWE7,#REF!,4,FALSE)))=TRUE,VLOOKUP(CWE7,#REF!,3,FALSE),VLOOKUP(CWE7,#REF!,4,FALSE)),0)</f>
        <v/>
      </c>
      <c r="CWF1">
        <f>IFERROR(IF((ISBLANK(VLOOKUP(CWF7,#REF!,4,FALSE)))=TRUE,VLOOKUP(CWF7,#REF!,3,FALSE),VLOOKUP(CWF7,#REF!,4,FALSE)),0)</f>
        <v/>
      </c>
      <c r="CWG1">
        <f>IFERROR(IF((ISBLANK(VLOOKUP(CWG7,#REF!,4,FALSE)))=TRUE,VLOOKUP(CWG7,#REF!,3,FALSE),VLOOKUP(CWG7,#REF!,4,FALSE)),0)</f>
        <v/>
      </c>
      <c r="CWH1">
        <f>IFERROR(IF((ISBLANK(VLOOKUP(CWH7,#REF!,4,FALSE)))=TRUE,VLOOKUP(CWH7,#REF!,3,FALSE),VLOOKUP(CWH7,#REF!,4,FALSE)),0)</f>
        <v/>
      </c>
      <c r="CWI1">
        <f>IFERROR(IF((ISBLANK(VLOOKUP(CWI7,#REF!,4,FALSE)))=TRUE,VLOOKUP(CWI7,#REF!,3,FALSE),VLOOKUP(CWI7,#REF!,4,FALSE)),0)</f>
        <v/>
      </c>
      <c r="CWJ1">
        <f>IFERROR(IF((ISBLANK(VLOOKUP(CWJ7,#REF!,4,FALSE)))=TRUE,VLOOKUP(CWJ7,#REF!,3,FALSE),VLOOKUP(CWJ7,#REF!,4,FALSE)),0)</f>
        <v/>
      </c>
      <c r="CWK1">
        <f>IFERROR(IF((ISBLANK(VLOOKUP(CWK7,#REF!,4,FALSE)))=TRUE,VLOOKUP(CWK7,#REF!,3,FALSE),VLOOKUP(CWK7,#REF!,4,FALSE)),0)</f>
        <v/>
      </c>
      <c r="CWL1">
        <f>IFERROR(IF((ISBLANK(VLOOKUP(CWL7,#REF!,4,FALSE)))=TRUE,VLOOKUP(CWL7,#REF!,3,FALSE),VLOOKUP(CWL7,#REF!,4,FALSE)),0)</f>
        <v/>
      </c>
      <c r="CWM1">
        <f>IFERROR(IF((ISBLANK(VLOOKUP(CWM7,#REF!,4,FALSE)))=TRUE,VLOOKUP(CWM7,#REF!,3,FALSE),VLOOKUP(CWM7,#REF!,4,FALSE)),0)</f>
        <v/>
      </c>
      <c r="CWN1">
        <f>IFERROR(IF((ISBLANK(VLOOKUP(CWN7,#REF!,4,FALSE)))=TRUE,VLOOKUP(CWN7,#REF!,3,FALSE),VLOOKUP(CWN7,#REF!,4,FALSE)),0)</f>
        <v/>
      </c>
      <c r="CWO1">
        <f>IFERROR(IF((ISBLANK(VLOOKUP(CWO7,#REF!,4,FALSE)))=TRUE,VLOOKUP(CWO7,#REF!,3,FALSE),VLOOKUP(CWO7,#REF!,4,FALSE)),0)</f>
        <v/>
      </c>
      <c r="CWP1">
        <f>IFERROR(IF((ISBLANK(VLOOKUP(CWP7,#REF!,4,FALSE)))=TRUE,VLOOKUP(CWP7,#REF!,3,FALSE),VLOOKUP(CWP7,#REF!,4,FALSE)),0)</f>
        <v/>
      </c>
      <c r="CWQ1">
        <f>IFERROR(IF((ISBLANK(VLOOKUP(CWQ7,#REF!,4,FALSE)))=TRUE,VLOOKUP(CWQ7,#REF!,3,FALSE),VLOOKUP(CWQ7,#REF!,4,FALSE)),0)</f>
        <v/>
      </c>
      <c r="CWR1">
        <f>IFERROR(IF((ISBLANK(VLOOKUP(CWR7,#REF!,4,FALSE)))=TRUE,VLOOKUP(CWR7,#REF!,3,FALSE),VLOOKUP(CWR7,#REF!,4,FALSE)),0)</f>
        <v/>
      </c>
      <c r="CWS1">
        <f>IFERROR(IF((ISBLANK(VLOOKUP(CWS7,#REF!,4,FALSE)))=TRUE,VLOOKUP(CWS7,#REF!,3,FALSE),VLOOKUP(CWS7,#REF!,4,FALSE)),0)</f>
        <v/>
      </c>
      <c r="CWT1">
        <f>IFERROR(IF((ISBLANK(VLOOKUP(CWT7,#REF!,4,FALSE)))=TRUE,VLOOKUP(CWT7,#REF!,3,FALSE),VLOOKUP(CWT7,#REF!,4,FALSE)),0)</f>
        <v/>
      </c>
      <c r="CWU1">
        <f>IFERROR(IF((ISBLANK(VLOOKUP(CWU7,#REF!,4,FALSE)))=TRUE,VLOOKUP(CWU7,#REF!,3,FALSE),VLOOKUP(CWU7,#REF!,4,FALSE)),0)</f>
        <v/>
      </c>
      <c r="CWV1">
        <f>IFERROR(IF((ISBLANK(VLOOKUP(CWV7,#REF!,4,FALSE)))=TRUE,VLOOKUP(CWV7,#REF!,3,FALSE),VLOOKUP(CWV7,#REF!,4,FALSE)),0)</f>
        <v/>
      </c>
      <c r="CWW1">
        <f>IFERROR(IF((ISBLANK(VLOOKUP(CWW7,#REF!,4,FALSE)))=TRUE,VLOOKUP(CWW7,#REF!,3,FALSE),VLOOKUP(CWW7,#REF!,4,FALSE)),0)</f>
        <v/>
      </c>
      <c r="CWX1">
        <f>IFERROR(IF((ISBLANK(VLOOKUP(CWX7,#REF!,4,FALSE)))=TRUE,VLOOKUP(CWX7,#REF!,3,FALSE),VLOOKUP(CWX7,#REF!,4,FALSE)),0)</f>
        <v/>
      </c>
      <c r="CWY1">
        <f>IFERROR(IF((ISBLANK(VLOOKUP(CWY7,#REF!,4,FALSE)))=TRUE,VLOOKUP(CWY7,#REF!,3,FALSE),VLOOKUP(CWY7,#REF!,4,FALSE)),0)</f>
        <v/>
      </c>
      <c r="CWZ1">
        <f>IFERROR(IF((ISBLANK(VLOOKUP(CWZ7,#REF!,4,FALSE)))=TRUE,VLOOKUP(CWZ7,#REF!,3,FALSE),VLOOKUP(CWZ7,#REF!,4,FALSE)),0)</f>
        <v/>
      </c>
      <c r="CXA1">
        <f>IFERROR(IF((ISBLANK(VLOOKUP(CXA7,#REF!,4,FALSE)))=TRUE,VLOOKUP(CXA7,#REF!,3,FALSE),VLOOKUP(CXA7,#REF!,4,FALSE)),0)</f>
        <v/>
      </c>
      <c r="CXB1">
        <f>IFERROR(IF((ISBLANK(VLOOKUP(CXB7,#REF!,4,FALSE)))=TRUE,VLOOKUP(CXB7,#REF!,3,FALSE),VLOOKUP(CXB7,#REF!,4,FALSE)),0)</f>
        <v/>
      </c>
      <c r="CXC1">
        <f>IFERROR(IF((ISBLANK(VLOOKUP(CXC7,#REF!,4,FALSE)))=TRUE,VLOOKUP(CXC7,#REF!,3,FALSE),VLOOKUP(CXC7,#REF!,4,FALSE)),0)</f>
        <v/>
      </c>
      <c r="CXD1">
        <f>IFERROR(IF((ISBLANK(VLOOKUP(CXD7,#REF!,4,FALSE)))=TRUE,VLOOKUP(CXD7,#REF!,3,FALSE),VLOOKUP(CXD7,#REF!,4,FALSE)),0)</f>
        <v/>
      </c>
      <c r="CXE1">
        <f>IFERROR(IF((ISBLANK(VLOOKUP(CXE7,#REF!,4,FALSE)))=TRUE,VLOOKUP(CXE7,#REF!,3,FALSE),VLOOKUP(CXE7,#REF!,4,FALSE)),0)</f>
        <v/>
      </c>
      <c r="CXF1">
        <f>IFERROR(IF((ISBLANK(VLOOKUP(CXF7,#REF!,4,FALSE)))=TRUE,VLOOKUP(CXF7,#REF!,3,FALSE),VLOOKUP(CXF7,#REF!,4,FALSE)),0)</f>
        <v/>
      </c>
      <c r="CXG1">
        <f>IFERROR(IF((ISBLANK(VLOOKUP(CXG7,#REF!,4,FALSE)))=TRUE,VLOOKUP(CXG7,#REF!,3,FALSE),VLOOKUP(CXG7,#REF!,4,FALSE)),0)</f>
        <v/>
      </c>
      <c r="CXH1">
        <f>IFERROR(IF((ISBLANK(VLOOKUP(CXH7,#REF!,4,FALSE)))=TRUE,VLOOKUP(CXH7,#REF!,3,FALSE),VLOOKUP(CXH7,#REF!,4,FALSE)),0)</f>
        <v/>
      </c>
      <c r="CXI1">
        <f>IFERROR(IF((ISBLANK(VLOOKUP(CXI7,#REF!,4,FALSE)))=TRUE,VLOOKUP(CXI7,#REF!,3,FALSE),VLOOKUP(CXI7,#REF!,4,FALSE)),0)</f>
        <v/>
      </c>
      <c r="CXJ1">
        <f>IFERROR(IF((ISBLANK(VLOOKUP(CXJ7,#REF!,4,FALSE)))=TRUE,VLOOKUP(CXJ7,#REF!,3,FALSE),VLOOKUP(CXJ7,#REF!,4,FALSE)),0)</f>
        <v/>
      </c>
      <c r="CXK1">
        <f>IFERROR(IF((ISBLANK(VLOOKUP(CXK7,#REF!,4,FALSE)))=TRUE,VLOOKUP(CXK7,#REF!,3,FALSE),VLOOKUP(CXK7,#REF!,4,FALSE)),0)</f>
        <v/>
      </c>
      <c r="CXL1">
        <f>IFERROR(IF((ISBLANK(VLOOKUP(CXL7,#REF!,4,FALSE)))=TRUE,VLOOKUP(CXL7,#REF!,3,FALSE),VLOOKUP(CXL7,#REF!,4,FALSE)),0)</f>
        <v/>
      </c>
      <c r="CXM1">
        <f>IFERROR(IF((ISBLANK(VLOOKUP(CXM7,#REF!,4,FALSE)))=TRUE,VLOOKUP(CXM7,#REF!,3,FALSE),VLOOKUP(CXM7,#REF!,4,FALSE)),0)</f>
        <v/>
      </c>
      <c r="CXN1">
        <f>IFERROR(IF((ISBLANK(VLOOKUP(CXN7,#REF!,4,FALSE)))=TRUE,VLOOKUP(CXN7,#REF!,3,FALSE),VLOOKUP(CXN7,#REF!,4,FALSE)),0)</f>
        <v/>
      </c>
      <c r="CXO1">
        <f>IFERROR(IF((ISBLANK(VLOOKUP(CXO7,#REF!,4,FALSE)))=TRUE,VLOOKUP(CXO7,#REF!,3,FALSE),VLOOKUP(CXO7,#REF!,4,FALSE)),0)</f>
        <v/>
      </c>
      <c r="CXP1">
        <f>IFERROR(IF((ISBLANK(VLOOKUP(CXP7,#REF!,4,FALSE)))=TRUE,VLOOKUP(CXP7,#REF!,3,FALSE),VLOOKUP(CXP7,#REF!,4,FALSE)),0)</f>
        <v/>
      </c>
      <c r="CXQ1">
        <f>IFERROR(IF((ISBLANK(VLOOKUP(CXQ7,#REF!,4,FALSE)))=TRUE,VLOOKUP(CXQ7,#REF!,3,FALSE),VLOOKUP(CXQ7,#REF!,4,FALSE)),0)</f>
        <v/>
      </c>
      <c r="CXR1">
        <f>IFERROR(IF((ISBLANK(VLOOKUP(CXR7,#REF!,4,FALSE)))=TRUE,VLOOKUP(CXR7,#REF!,3,FALSE),VLOOKUP(CXR7,#REF!,4,FALSE)),0)</f>
        <v/>
      </c>
      <c r="CXS1">
        <f>IFERROR(IF((ISBLANK(VLOOKUP(CXS7,#REF!,4,FALSE)))=TRUE,VLOOKUP(CXS7,#REF!,3,FALSE),VLOOKUP(CXS7,#REF!,4,FALSE)),0)</f>
        <v/>
      </c>
      <c r="CXT1">
        <f>IFERROR(IF((ISBLANK(VLOOKUP(CXT7,#REF!,4,FALSE)))=TRUE,VLOOKUP(CXT7,#REF!,3,FALSE),VLOOKUP(CXT7,#REF!,4,FALSE)),0)</f>
        <v/>
      </c>
      <c r="CXU1">
        <f>IFERROR(IF((ISBLANK(VLOOKUP(CXU7,#REF!,4,FALSE)))=TRUE,VLOOKUP(CXU7,#REF!,3,FALSE),VLOOKUP(CXU7,#REF!,4,FALSE)),0)</f>
        <v/>
      </c>
      <c r="CXV1">
        <f>IFERROR(IF((ISBLANK(VLOOKUP(CXV7,#REF!,4,FALSE)))=TRUE,VLOOKUP(CXV7,#REF!,3,FALSE),VLOOKUP(CXV7,#REF!,4,FALSE)),0)</f>
        <v/>
      </c>
      <c r="CXW1">
        <f>IFERROR(IF((ISBLANK(VLOOKUP(CXW7,#REF!,4,FALSE)))=TRUE,VLOOKUP(CXW7,#REF!,3,FALSE),VLOOKUP(CXW7,#REF!,4,FALSE)),0)</f>
        <v/>
      </c>
      <c r="CXX1">
        <f>IFERROR(IF((ISBLANK(VLOOKUP(CXX7,#REF!,4,FALSE)))=TRUE,VLOOKUP(CXX7,#REF!,3,FALSE),VLOOKUP(CXX7,#REF!,4,FALSE)),0)</f>
        <v/>
      </c>
      <c r="CXY1">
        <f>IFERROR(IF((ISBLANK(VLOOKUP(CXY7,#REF!,4,FALSE)))=TRUE,VLOOKUP(CXY7,#REF!,3,FALSE),VLOOKUP(CXY7,#REF!,4,FALSE)),0)</f>
        <v/>
      </c>
      <c r="CXZ1">
        <f>IFERROR(IF((ISBLANK(VLOOKUP(CXZ7,#REF!,4,FALSE)))=TRUE,VLOOKUP(CXZ7,#REF!,3,FALSE),VLOOKUP(CXZ7,#REF!,4,FALSE)),0)</f>
        <v/>
      </c>
      <c r="CYA1">
        <f>IFERROR(IF((ISBLANK(VLOOKUP(CYA7,#REF!,4,FALSE)))=TRUE,VLOOKUP(CYA7,#REF!,3,FALSE),VLOOKUP(CYA7,#REF!,4,FALSE)),0)</f>
        <v/>
      </c>
      <c r="CYB1">
        <f>IFERROR(IF((ISBLANK(VLOOKUP(CYB7,#REF!,4,FALSE)))=TRUE,VLOOKUP(CYB7,#REF!,3,FALSE),VLOOKUP(CYB7,#REF!,4,FALSE)),0)</f>
        <v/>
      </c>
      <c r="CYC1">
        <f>IFERROR(IF((ISBLANK(VLOOKUP(CYC7,#REF!,4,FALSE)))=TRUE,VLOOKUP(CYC7,#REF!,3,FALSE),VLOOKUP(CYC7,#REF!,4,FALSE)),0)</f>
        <v/>
      </c>
      <c r="CYD1">
        <f>IFERROR(IF((ISBLANK(VLOOKUP(CYD7,#REF!,4,FALSE)))=TRUE,VLOOKUP(CYD7,#REF!,3,FALSE),VLOOKUP(CYD7,#REF!,4,FALSE)),0)</f>
        <v/>
      </c>
      <c r="CYE1">
        <f>IFERROR(IF((ISBLANK(VLOOKUP(CYE7,#REF!,4,FALSE)))=TRUE,VLOOKUP(CYE7,#REF!,3,FALSE),VLOOKUP(CYE7,#REF!,4,FALSE)),0)</f>
        <v/>
      </c>
      <c r="CYF1">
        <f>IFERROR(IF((ISBLANK(VLOOKUP(CYF7,#REF!,4,FALSE)))=TRUE,VLOOKUP(CYF7,#REF!,3,FALSE),VLOOKUP(CYF7,#REF!,4,FALSE)),0)</f>
        <v/>
      </c>
      <c r="CYG1">
        <f>IFERROR(IF((ISBLANK(VLOOKUP(CYG7,#REF!,4,FALSE)))=TRUE,VLOOKUP(CYG7,#REF!,3,FALSE),VLOOKUP(CYG7,#REF!,4,FALSE)),0)</f>
        <v/>
      </c>
      <c r="CYH1">
        <f>IFERROR(IF((ISBLANK(VLOOKUP(CYH7,#REF!,4,FALSE)))=TRUE,VLOOKUP(CYH7,#REF!,3,FALSE),VLOOKUP(CYH7,#REF!,4,FALSE)),0)</f>
        <v/>
      </c>
      <c r="CYI1">
        <f>IFERROR(IF((ISBLANK(VLOOKUP(CYI7,#REF!,4,FALSE)))=TRUE,VLOOKUP(CYI7,#REF!,3,FALSE),VLOOKUP(CYI7,#REF!,4,FALSE)),0)</f>
        <v/>
      </c>
      <c r="CYJ1">
        <f>IFERROR(IF((ISBLANK(VLOOKUP(CYJ7,#REF!,4,FALSE)))=TRUE,VLOOKUP(CYJ7,#REF!,3,FALSE),VLOOKUP(CYJ7,#REF!,4,FALSE)),0)</f>
        <v/>
      </c>
      <c r="CYK1">
        <f>IFERROR(IF((ISBLANK(VLOOKUP(CYK7,#REF!,4,FALSE)))=TRUE,VLOOKUP(CYK7,#REF!,3,FALSE),VLOOKUP(CYK7,#REF!,4,FALSE)),0)</f>
        <v/>
      </c>
      <c r="CYL1">
        <f>IFERROR(IF((ISBLANK(VLOOKUP(CYL7,#REF!,4,FALSE)))=TRUE,VLOOKUP(CYL7,#REF!,3,FALSE),VLOOKUP(CYL7,#REF!,4,FALSE)),0)</f>
        <v/>
      </c>
      <c r="CYM1">
        <f>IFERROR(IF((ISBLANK(VLOOKUP(CYM7,#REF!,4,FALSE)))=TRUE,VLOOKUP(CYM7,#REF!,3,FALSE),VLOOKUP(CYM7,#REF!,4,FALSE)),0)</f>
        <v/>
      </c>
      <c r="CYN1">
        <f>IFERROR(IF((ISBLANK(VLOOKUP(CYN7,#REF!,4,FALSE)))=TRUE,VLOOKUP(CYN7,#REF!,3,FALSE),VLOOKUP(CYN7,#REF!,4,FALSE)),0)</f>
        <v/>
      </c>
      <c r="CYO1">
        <f>IFERROR(IF((ISBLANK(VLOOKUP(CYO7,#REF!,4,FALSE)))=TRUE,VLOOKUP(CYO7,#REF!,3,FALSE),VLOOKUP(CYO7,#REF!,4,FALSE)),0)</f>
        <v/>
      </c>
      <c r="CYP1">
        <f>IFERROR(IF((ISBLANK(VLOOKUP(CYP7,#REF!,4,FALSE)))=TRUE,VLOOKUP(CYP7,#REF!,3,FALSE),VLOOKUP(CYP7,#REF!,4,FALSE)),0)</f>
        <v/>
      </c>
      <c r="CYQ1">
        <f>IFERROR(IF((ISBLANK(VLOOKUP(CYQ7,#REF!,4,FALSE)))=TRUE,VLOOKUP(CYQ7,#REF!,3,FALSE),VLOOKUP(CYQ7,#REF!,4,FALSE)),0)</f>
        <v/>
      </c>
      <c r="CYR1">
        <f>IFERROR(IF((ISBLANK(VLOOKUP(CYR7,#REF!,4,FALSE)))=TRUE,VLOOKUP(CYR7,#REF!,3,FALSE),VLOOKUP(CYR7,#REF!,4,FALSE)),0)</f>
        <v/>
      </c>
      <c r="CYS1">
        <f>IFERROR(IF((ISBLANK(VLOOKUP(CYS7,#REF!,4,FALSE)))=TRUE,VLOOKUP(CYS7,#REF!,3,FALSE),VLOOKUP(CYS7,#REF!,4,FALSE)),0)</f>
        <v/>
      </c>
      <c r="CYT1">
        <f>IFERROR(IF((ISBLANK(VLOOKUP(CYT7,#REF!,4,FALSE)))=TRUE,VLOOKUP(CYT7,#REF!,3,FALSE),VLOOKUP(CYT7,#REF!,4,FALSE)),0)</f>
        <v/>
      </c>
      <c r="CYU1">
        <f>IFERROR(IF((ISBLANK(VLOOKUP(CYU7,#REF!,4,FALSE)))=TRUE,VLOOKUP(CYU7,#REF!,3,FALSE),VLOOKUP(CYU7,#REF!,4,FALSE)),0)</f>
        <v/>
      </c>
      <c r="CYV1">
        <f>IFERROR(IF((ISBLANK(VLOOKUP(CYV7,#REF!,4,FALSE)))=TRUE,VLOOKUP(CYV7,#REF!,3,FALSE),VLOOKUP(CYV7,#REF!,4,FALSE)),0)</f>
        <v/>
      </c>
      <c r="CYW1">
        <f>IFERROR(IF((ISBLANK(VLOOKUP(CYW7,#REF!,4,FALSE)))=TRUE,VLOOKUP(CYW7,#REF!,3,FALSE),VLOOKUP(CYW7,#REF!,4,FALSE)),0)</f>
        <v/>
      </c>
      <c r="CYX1">
        <f>IFERROR(IF((ISBLANK(VLOOKUP(CYX7,#REF!,4,FALSE)))=TRUE,VLOOKUP(CYX7,#REF!,3,FALSE),VLOOKUP(CYX7,#REF!,4,FALSE)),0)</f>
        <v/>
      </c>
      <c r="CYY1">
        <f>IFERROR(IF((ISBLANK(VLOOKUP(CYY7,#REF!,4,FALSE)))=TRUE,VLOOKUP(CYY7,#REF!,3,FALSE),VLOOKUP(CYY7,#REF!,4,FALSE)),0)</f>
        <v/>
      </c>
      <c r="CYZ1">
        <f>IFERROR(IF((ISBLANK(VLOOKUP(CYZ7,#REF!,4,FALSE)))=TRUE,VLOOKUP(CYZ7,#REF!,3,FALSE),VLOOKUP(CYZ7,#REF!,4,FALSE)),0)</f>
        <v/>
      </c>
      <c r="CZA1">
        <f>IFERROR(IF((ISBLANK(VLOOKUP(CZA7,#REF!,4,FALSE)))=TRUE,VLOOKUP(CZA7,#REF!,3,FALSE),VLOOKUP(CZA7,#REF!,4,FALSE)),0)</f>
        <v/>
      </c>
      <c r="CZB1">
        <f>IFERROR(IF((ISBLANK(VLOOKUP(CZB7,#REF!,4,FALSE)))=TRUE,VLOOKUP(CZB7,#REF!,3,FALSE),VLOOKUP(CZB7,#REF!,4,FALSE)),0)</f>
        <v/>
      </c>
      <c r="CZC1">
        <f>IFERROR(IF((ISBLANK(VLOOKUP(CZC7,#REF!,4,FALSE)))=TRUE,VLOOKUP(CZC7,#REF!,3,FALSE),VLOOKUP(CZC7,#REF!,4,FALSE)),0)</f>
        <v/>
      </c>
      <c r="CZD1">
        <f>IFERROR(IF((ISBLANK(VLOOKUP(CZD7,#REF!,4,FALSE)))=TRUE,VLOOKUP(CZD7,#REF!,3,FALSE),VLOOKUP(CZD7,#REF!,4,FALSE)),0)</f>
        <v/>
      </c>
      <c r="CZE1">
        <f>IFERROR(IF((ISBLANK(VLOOKUP(CZE7,#REF!,4,FALSE)))=TRUE,VLOOKUP(CZE7,#REF!,3,FALSE),VLOOKUP(CZE7,#REF!,4,FALSE)),0)</f>
        <v/>
      </c>
      <c r="CZF1">
        <f>IFERROR(IF((ISBLANK(VLOOKUP(CZF7,#REF!,4,FALSE)))=TRUE,VLOOKUP(CZF7,#REF!,3,FALSE),VLOOKUP(CZF7,#REF!,4,FALSE)),0)</f>
        <v/>
      </c>
      <c r="CZG1">
        <f>IFERROR(IF((ISBLANK(VLOOKUP(CZG7,#REF!,4,FALSE)))=TRUE,VLOOKUP(CZG7,#REF!,3,FALSE),VLOOKUP(CZG7,#REF!,4,FALSE)),0)</f>
        <v/>
      </c>
      <c r="CZH1">
        <f>IFERROR(IF((ISBLANK(VLOOKUP(CZH7,#REF!,4,FALSE)))=TRUE,VLOOKUP(CZH7,#REF!,3,FALSE),VLOOKUP(CZH7,#REF!,4,FALSE)),0)</f>
        <v/>
      </c>
      <c r="CZI1">
        <f>IFERROR(IF((ISBLANK(VLOOKUP(CZI7,#REF!,4,FALSE)))=TRUE,VLOOKUP(CZI7,#REF!,3,FALSE),VLOOKUP(CZI7,#REF!,4,FALSE)),0)</f>
        <v/>
      </c>
      <c r="CZJ1">
        <f>IFERROR(IF((ISBLANK(VLOOKUP(CZJ7,#REF!,4,FALSE)))=TRUE,VLOOKUP(CZJ7,#REF!,3,FALSE),VLOOKUP(CZJ7,#REF!,4,FALSE)),0)</f>
        <v/>
      </c>
      <c r="CZK1">
        <f>IFERROR(IF((ISBLANK(VLOOKUP(CZK7,#REF!,4,FALSE)))=TRUE,VLOOKUP(CZK7,#REF!,3,FALSE),VLOOKUP(CZK7,#REF!,4,FALSE)),0)</f>
        <v/>
      </c>
      <c r="CZL1">
        <f>IFERROR(IF((ISBLANK(VLOOKUP(CZL7,#REF!,4,FALSE)))=TRUE,VLOOKUP(CZL7,#REF!,3,FALSE),VLOOKUP(CZL7,#REF!,4,FALSE)),0)</f>
        <v/>
      </c>
      <c r="CZM1">
        <f>IFERROR(IF((ISBLANK(VLOOKUP(CZM7,#REF!,4,FALSE)))=TRUE,VLOOKUP(CZM7,#REF!,3,FALSE),VLOOKUP(CZM7,#REF!,4,FALSE)),0)</f>
        <v/>
      </c>
      <c r="CZN1">
        <f>IFERROR(IF((ISBLANK(VLOOKUP(CZN7,#REF!,4,FALSE)))=TRUE,VLOOKUP(CZN7,#REF!,3,FALSE),VLOOKUP(CZN7,#REF!,4,FALSE)),0)</f>
        <v/>
      </c>
      <c r="CZO1">
        <f>IFERROR(IF((ISBLANK(VLOOKUP(CZO7,#REF!,4,FALSE)))=TRUE,VLOOKUP(CZO7,#REF!,3,FALSE),VLOOKUP(CZO7,#REF!,4,FALSE)),0)</f>
        <v/>
      </c>
      <c r="CZP1">
        <f>IFERROR(IF((ISBLANK(VLOOKUP(CZP7,#REF!,4,FALSE)))=TRUE,VLOOKUP(CZP7,#REF!,3,FALSE),VLOOKUP(CZP7,#REF!,4,FALSE)),0)</f>
        <v/>
      </c>
      <c r="CZQ1">
        <f>IFERROR(IF((ISBLANK(VLOOKUP(CZQ7,#REF!,4,FALSE)))=TRUE,VLOOKUP(CZQ7,#REF!,3,FALSE),VLOOKUP(CZQ7,#REF!,4,FALSE)),0)</f>
        <v/>
      </c>
      <c r="CZR1">
        <f>IFERROR(IF((ISBLANK(VLOOKUP(CZR7,#REF!,4,FALSE)))=TRUE,VLOOKUP(CZR7,#REF!,3,FALSE),VLOOKUP(CZR7,#REF!,4,FALSE)),0)</f>
        <v/>
      </c>
      <c r="CZS1">
        <f>IFERROR(IF((ISBLANK(VLOOKUP(CZS7,#REF!,4,FALSE)))=TRUE,VLOOKUP(CZS7,#REF!,3,FALSE),VLOOKUP(CZS7,#REF!,4,FALSE)),0)</f>
        <v/>
      </c>
      <c r="CZT1">
        <f>IFERROR(IF((ISBLANK(VLOOKUP(CZT7,#REF!,4,FALSE)))=TRUE,VLOOKUP(CZT7,#REF!,3,FALSE),VLOOKUP(CZT7,#REF!,4,FALSE)),0)</f>
        <v/>
      </c>
      <c r="CZU1">
        <f>IFERROR(IF((ISBLANK(VLOOKUP(CZU7,#REF!,4,FALSE)))=TRUE,VLOOKUP(CZU7,#REF!,3,FALSE),VLOOKUP(CZU7,#REF!,4,FALSE)),0)</f>
        <v/>
      </c>
      <c r="CZV1">
        <f>IFERROR(IF((ISBLANK(VLOOKUP(CZV7,#REF!,4,FALSE)))=TRUE,VLOOKUP(CZV7,#REF!,3,FALSE),VLOOKUP(CZV7,#REF!,4,FALSE)),0)</f>
        <v/>
      </c>
      <c r="CZW1">
        <f>IFERROR(IF((ISBLANK(VLOOKUP(CZW7,#REF!,4,FALSE)))=TRUE,VLOOKUP(CZW7,#REF!,3,FALSE),VLOOKUP(CZW7,#REF!,4,FALSE)),0)</f>
        <v/>
      </c>
      <c r="CZX1">
        <f>IFERROR(IF((ISBLANK(VLOOKUP(CZX7,#REF!,4,FALSE)))=TRUE,VLOOKUP(CZX7,#REF!,3,FALSE),VLOOKUP(CZX7,#REF!,4,FALSE)),0)</f>
        <v/>
      </c>
      <c r="CZY1">
        <f>IFERROR(IF((ISBLANK(VLOOKUP(CZY7,#REF!,4,FALSE)))=TRUE,VLOOKUP(CZY7,#REF!,3,FALSE),VLOOKUP(CZY7,#REF!,4,FALSE)),0)</f>
        <v/>
      </c>
      <c r="CZZ1">
        <f>IFERROR(IF((ISBLANK(VLOOKUP(CZZ7,#REF!,4,FALSE)))=TRUE,VLOOKUP(CZZ7,#REF!,3,FALSE),VLOOKUP(CZZ7,#REF!,4,FALSE)),0)</f>
        <v/>
      </c>
      <c r="DAA1">
        <f>IFERROR(IF((ISBLANK(VLOOKUP(DAA7,#REF!,4,FALSE)))=TRUE,VLOOKUP(DAA7,#REF!,3,FALSE),VLOOKUP(DAA7,#REF!,4,FALSE)),0)</f>
        <v/>
      </c>
      <c r="DAB1">
        <f>IFERROR(IF((ISBLANK(VLOOKUP(DAB7,#REF!,4,FALSE)))=TRUE,VLOOKUP(DAB7,#REF!,3,FALSE),VLOOKUP(DAB7,#REF!,4,FALSE)),0)</f>
        <v/>
      </c>
      <c r="DAC1">
        <f>IFERROR(IF((ISBLANK(VLOOKUP(DAC7,#REF!,4,FALSE)))=TRUE,VLOOKUP(DAC7,#REF!,3,FALSE),VLOOKUP(DAC7,#REF!,4,FALSE)),0)</f>
        <v/>
      </c>
      <c r="DAD1">
        <f>IFERROR(IF((ISBLANK(VLOOKUP(DAD7,#REF!,4,FALSE)))=TRUE,VLOOKUP(DAD7,#REF!,3,FALSE),VLOOKUP(DAD7,#REF!,4,FALSE)),0)</f>
        <v/>
      </c>
      <c r="DAE1">
        <f>IFERROR(IF((ISBLANK(VLOOKUP(DAE7,#REF!,4,FALSE)))=TRUE,VLOOKUP(DAE7,#REF!,3,FALSE),VLOOKUP(DAE7,#REF!,4,FALSE)),0)</f>
        <v/>
      </c>
      <c r="DAF1">
        <f>IFERROR(IF((ISBLANK(VLOOKUP(DAF7,#REF!,4,FALSE)))=TRUE,VLOOKUP(DAF7,#REF!,3,FALSE),VLOOKUP(DAF7,#REF!,4,FALSE)),0)</f>
        <v/>
      </c>
      <c r="DAG1">
        <f>IFERROR(IF((ISBLANK(VLOOKUP(DAG7,#REF!,4,FALSE)))=TRUE,VLOOKUP(DAG7,#REF!,3,FALSE),VLOOKUP(DAG7,#REF!,4,FALSE)),0)</f>
        <v/>
      </c>
      <c r="DAH1">
        <f>IFERROR(IF((ISBLANK(VLOOKUP(DAH7,#REF!,4,FALSE)))=TRUE,VLOOKUP(DAH7,#REF!,3,FALSE),VLOOKUP(DAH7,#REF!,4,FALSE)),0)</f>
        <v/>
      </c>
      <c r="DAI1">
        <f>IFERROR(IF((ISBLANK(VLOOKUP(DAI7,#REF!,4,FALSE)))=TRUE,VLOOKUP(DAI7,#REF!,3,FALSE),VLOOKUP(DAI7,#REF!,4,FALSE)),0)</f>
        <v/>
      </c>
      <c r="DAJ1">
        <f>IFERROR(IF((ISBLANK(VLOOKUP(DAJ7,#REF!,4,FALSE)))=TRUE,VLOOKUP(DAJ7,#REF!,3,FALSE),VLOOKUP(DAJ7,#REF!,4,FALSE)),0)</f>
        <v/>
      </c>
      <c r="DAK1">
        <f>IFERROR(IF((ISBLANK(VLOOKUP(DAK7,#REF!,4,FALSE)))=TRUE,VLOOKUP(DAK7,#REF!,3,FALSE),VLOOKUP(DAK7,#REF!,4,FALSE)),0)</f>
        <v/>
      </c>
      <c r="DAL1">
        <f>IFERROR(IF((ISBLANK(VLOOKUP(DAL7,#REF!,4,FALSE)))=TRUE,VLOOKUP(DAL7,#REF!,3,FALSE),VLOOKUP(DAL7,#REF!,4,FALSE)),0)</f>
        <v/>
      </c>
      <c r="DAM1">
        <f>IFERROR(IF((ISBLANK(VLOOKUP(DAM7,#REF!,4,FALSE)))=TRUE,VLOOKUP(DAM7,#REF!,3,FALSE),VLOOKUP(DAM7,#REF!,4,FALSE)),0)</f>
        <v/>
      </c>
      <c r="DAN1">
        <f>IFERROR(IF((ISBLANK(VLOOKUP(DAN7,#REF!,4,FALSE)))=TRUE,VLOOKUP(DAN7,#REF!,3,FALSE),VLOOKUP(DAN7,#REF!,4,FALSE)),0)</f>
        <v/>
      </c>
      <c r="DAO1">
        <f>IFERROR(IF((ISBLANK(VLOOKUP(DAO7,#REF!,4,FALSE)))=TRUE,VLOOKUP(DAO7,#REF!,3,FALSE),VLOOKUP(DAO7,#REF!,4,FALSE)),0)</f>
        <v/>
      </c>
      <c r="DAP1">
        <f>IFERROR(IF((ISBLANK(VLOOKUP(DAP7,#REF!,4,FALSE)))=TRUE,VLOOKUP(DAP7,#REF!,3,FALSE),VLOOKUP(DAP7,#REF!,4,FALSE)),0)</f>
        <v/>
      </c>
      <c r="DAQ1">
        <f>IFERROR(IF((ISBLANK(VLOOKUP(DAQ7,#REF!,4,FALSE)))=TRUE,VLOOKUP(DAQ7,#REF!,3,FALSE),VLOOKUP(DAQ7,#REF!,4,FALSE)),0)</f>
        <v/>
      </c>
      <c r="DAR1">
        <f>IFERROR(IF((ISBLANK(VLOOKUP(DAR7,#REF!,4,FALSE)))=TRUE,VLOOKUP(DAR7,#REF!,3,FALSE),VLOOKUP(DAR7,#REF!,4,FALSE)),0)</f>
        <v/>
      </c>
      <c r="DAS1">
        <f>IFERROR(IF((ISBLANK(VLOOKUP(DAS7,#REF!,4,FALSE)))=TRUE,VLOOKUP(DAS7,#REF!,3,FALSE),VLOOKUP(DAS7,#REF!,4,FALSE)),0)</f>
        <v/>
      </c>
      <c r="DAT1">
        <f>IFERROR(IF((ISBLANK(VLOOKUP(DAT7,#REF!,4,FALSE)))=TRUE,VLOOKUP(DAT7,#REF!,3,FALSE),VLOOKUP(DAT7,#REF!,4,FALSE)),0)</f>
        <v/>
      </c>
      <c r="DAU1">
        <f>IFERROR(IF((ISBLANK(VLOOKUP(DAU7,#REF!,4,FALSE)))=TRUE,VLOOKUP(DAU7,#REF!,3,FALSE),VLOOKUP(DAU7,#REF!,4,FALSE)),0)</f>
        <v/>
      </c>
      <c r="DAV1">
        <f>IFERROR(IF((ISBLANK(VLOOKUP(DAV7,#REF!,4,FALSE)))=TRUE,VLOOKUP(DAV7,#REF!,3,FALSE),VLOOKUP(DAV7,#REF!,4,FALSE)),0)</f>
        <v/>
      </c>
      <c r="DAW1">
        <f>IFERROR(IF((ISBLANK(VLOOKUP(DAW7,#REF!,4,FALSE)))=TRUE,VLOOKUP(DAW7,#REF!,3,FALSE),VLOOKUP(DAW7,#REF!,4,FALSE)),0)</f>
        <v/>
      </c>
      <c r="DAX1">
        <f>IFERROR(IF((ISBLANK(VLOOKUP(DAX7,#REF!,4,FALSE)))=TRUE,VLOOKUP(DAX7,#REF!,3,FALSE),VLOOKUP(DAX7,#REF!,4,FALSE)),0)</f>
        <v/>
      </c>
      <c r="DAY1">
        <f>IFERROR(IF((ISBLANK(VLOOKUP(DAY7,#REF!,4,FALSE)))=TRUE,VLOOKUP(DAY7,#REF!,3,FALSE),VLOOKUP(DAY7,#REF!,4,FALSE)),0)</f>
        <v/>
      </c>
      <c r="DAZ1">
        <f>IFERROR(IF((ISBLANK(VLOOKUP(DAZ7,#REF!,4,FALSE)))=TRUE,VLOOKUP(DAZ7,#REF!,3,FALSE),VLOOKUP(DAZ7,#REF!,4,FALSE)),0)</f>
        <v/>
      </c>
      <c r="DBA1">
        <f>IFERROR(IF((ISBLANK(VLOOKUP(DBA7,#REF!,4,FALSE)))=TRUE,VLOOKUP(DBA7,#REF!,3,FALSE),VLOOKUP(DBA7,#REF!,4,FALSE)),0)</f>
        <v/>
      </c>
      <c r="DBB1">
        <f>IFERROR(IF((ISBLANK(VLOOKUP(DBB7,#REF!,4,FALSE)))=TRUE,VLOOKUP(DBB7,#REF!,3,FALSE),VLOOKUP(DBB7,#REF!,4,FALSE)),0)</f>
        <v/>
      </c>
      <c r="DBC1">
        <f>IFERROR(IF((ISBLANK(VLOOKUP(DBC7,#REF!,4,FALSE)))=TRUE,VLOOKUP(DBC7,#REF!,3,FALSE),VLOOKUP(DBC7,#REF!,4,FALSE)),0)</f>
        <v/>
      </c>
      <c r="DBD1">
        <f>IFERROR(IF((ISBLANK(VLOOKUP(DBD7,#REF!,4,FALSE)))=TRUE,VLOOKUP(DBD7,#REF!,3,FALSE),VLOOKUP(DBD7,#REF!,4,FALSE)),0)</f>
        <v/>
      </c>
      <c r="DBE1">
        <f>IFERROR(IF((ISBLANK(VLOOKUP(DBE7,#REF!,4,FALSE)))=TRUE,VLOOKUP(DBE7,#REF!,3,FALSE),VLOOKUP(DBE7,#REF!,4,FALSE)),0)</f>
        <v/>
      </c>
      <c r="DBF1">
        <f>IFERROR(IF((ISBLANK(VLOOKUP(DBF7,#REF!,4,FALSE)))=TRUE,VLOOKUP(DBF7,#REF!,3,FALSE),VLOOKUP(DBF7,#REF!,4,FALSE)),0)</f>
        <v/>
      </c>
      <c r="DBG1">
        <f>IFERROR(IF((ISBLANK(VLOOKUP(DBG7,#REF!,4,FALSE)))=TRUE,VLOOKUP(DBG7,#REF!,3,FALSE),VLOOKUP(DBG7,#REF!,4,FALSE)),0)</f>
        <v/>
      </c>
      <c r="DBH1">
        <f>IFERROR(IF((ISBLANK(VLOOKUP(DBH7,#REF!,4,FALSE)))=TRUE,VLOOKUP(DBH7,#REF!,3,FALSE),VLOOKUP(DBH7,#REF!,4,FALSE)),0)</f>
        <v/>
      </c>
      <c r="DBI1">
        <f>IFERROR(IF((ISBLANK(VLOOKUP(DBI7,#REF!,4,FALSE)))=TRUE,VLOOKUP(DBI7,#REF!,3,FALSE),VLOOKUP(DBI7,#REF!,4,FALSE)),0)</f>
        <v/>
      </c>
      <c r="DBJ1">
        <f>IFERROR(IF((ISBLANK(VLOOKUP(DBJ7,#REF!,4,FALSE)))=TRUE,VLOOKUP(DBJ7,#REF!,3,FALSE),VLOOKUP(DBJ7,#REF!,4,FALSE)),0)</f>
        <v/>
      </c>
      <c r="DBK1">
        <f>IFERROR(IF((ISBLANK(VLOOKUP(DBK7,#REF!,4,FALSE)))=TRUE,VLOOKUP(DBK7,#REF!,3,FALSE),VLOOKUP(DBK7,#REF!,4,FALSE)),0)</f>
        <v/>
      </c>
      <c r="DBL1">
        <f>IFERROR(IF((ISBLANK(VLOOKUP(DBL7,#REF!,4,FALSE)))=TRUE,VLOOKUP(DBL7,#REF!,3,FALSE),VLOOKUP(DBL7,#REF!,4,FALSE)),0)</f>
        <v/>
      </c>
      <c r="DBM1">
        <f>IFERROR(IF((ISBLANK(VLOOKUP(DBM7,#REF!,4,FALSE)))=TRUE,VLOOKUP(DBM7,#REF!,3,FALSE),VLOOKUP(DBM7,#REF!,4,FALSE)),0)</f>
        <v/>
      </c>
      <c r="DBN1">
        <f>IFERROR(IF((ISBLANK(VLOOKUP(DBN7,#REF!,4,FALSE)))=TRUE,VLOOKUP(DBN7,#REF!,3,FALSE),VLOOKUP(DBN7,#REF!,4,FALSE)),0)</f>
        <v/>
      </c>
      <c r="DBO1">
        <f>IFERROR(IF((ISBLANK(VLOOKUP(DBO7,#REF!,4,FALSE)))=TRUE,VLOOKUP(DBO7,#REF!,3,FALSE),VLOOKUP(DBO7,#REF!,4,FALSE)),0)</f>
        <v/>
      </c>
      <c r="DBP1">
        <f>IFERROR(IF((ISBLANK(VLOOKUP(DBP7,#REF!,4,FALSE)))=TRUE,VLOOKUP(DBP7,#REF!,3,FALSE),VLOOKUP(DBP7,#REF!,4,FALSE)),0)</f>
        <v/>
      </c>
      <c r="DBQ1">
        <f>IFERROR(IF((ISBLANK(VLOOKUP(DBQ7,#REF!,4,FALSE)))=TRUE,VLOOKUP(DBQ7,#REF!,3,FALSE),VLOOKUP(DBQ7,#REF!,4,FALSE)),0)</f>
        <v/>
      </c>
      <c r="DBR1">
        <f>IFERROR(IF((ISBLANK(VLOOKUP(DBR7,#REF!,4,FALSE)))=TRUE,VLOOKUP(DBR7,#REF!,3,FALSE),VLOOKUP(DBR7,#REF!,4,FALSE)),0)</f>
        <v/>
      </c>
      <c r="DBS1">
        <f>IFERROR(IF((ISBLANK(VLOOKUP(DBS7,#REF!,4,FALSE)))=TRUE,VLOOKUP(DBS7,#REF!,3,FALSE),VLOOKUP(DBS7,#REF!,4,FALSE)),0)</f>
        <v/>
      </c>
      <c r="DBT1">
        <f>IFERROR(IF((ISBLANK(VLOOKUP(DBT7,#REF!,4,FALSE)))=TRUE,VLOOKUP(DBT7,#REF!,3,FALSE),VLOOKUP(DBT7,#REF!,4,FALSE)),0)</f>
        <v/>
      </c>
      <c r="DBU1">
        <f>IFERROR(IF((ISBLANK(VLOOKUP(DBU7,#REF!,4,FALSE)))=TRUE,VLOOKUP(DBU7,#REF!,3,FALSE),VLOOKUP(DBU7,#REF!,4,FALSE)),0)</f>
        <v/>
      </c>
      <c r="DBV1">
        <f>IFERROR(IF((ISBLANK(VLOOKUP(DBV7,#REF!,4,FALSE)))=TRUE,VLOOKUP(DBV7,#REF!,3,FALSE),VLOOKUP(DBV7,#REF!,4,FALSE)),0)</f>
        <v/>
      </c>
      <c r="DBW1">
        <f>IFERROR(IF((ISBLANK(VLOOKUP(DBW7,#REF!,4,FALSE)))=TRUE,VLOOKUP(DBW7,#REF!,3,FALSE),VLOOKUP(DBW7,#REF!,4,FALSE)),0)</f>
        <v/>
      </c>
      <c r="DBX1">
        <f>IFERROR(IF((ISBLANK(VLOOKUP(DBX7,#REF!,4,FALSE)))=TRUE,VLOOKUP(DBX7,#REF!,3,FALSE),VLOOKUP(DBX7,#REF!,4,FALSE)),0)</f>
        <v/>
      </c>
      <c r="DBY1">
        <f>IFERROR(IF((ISBLANK(VLOOKUP(DBY7,#REF!,4,FALSE)))=TRUE,VLOOKUP(DBY7,#REF!,3,FALSE),VLOOKUP(DBY7,#REF!,4,FALSE)),0)</f>
        <v/>
      </c>
      <c r="DBZ1">
        <f>IFERROR(IF((ISBLANK(VLOOKUP(DBZ7,#REF!,4,FALSE)))=TRUE,VLOOKUP(DBZ7,#REF!,3,FALSE),VLOOKUP(DBZ7,#REF!,4,FALSE)),0)</f>
        <v/>
      </c>
      <c r="DCA1">
        <f>IFERROR(IF((ISBLANK(VLOOKUP(DCA7,#REF!,4,FALSE)))=TRUE,VLOOKUP(DCA7,#REF!,3,FALSE),VLOOKUP(DCA7,#REF!,4,FALSE)),0)</f>
        <v/>
      </c>
      <c r="DCB1">
        <f>IFERROR(IF((ISBLANK(VLOOKUP(DCB7,#REF!,4,FALSE)))=TRUE,VLOOKUP(DCB7,#REF!,3,FALSE),VLOOKUP(DCB7,#REF!,4,FALSE)),0)</f>
        <v/>
      </c>
      <c r="DCC1">
        <f>IFERROR(IF((ISBLANK(VLOOKUP(DCC7,#REF!,4,FALSE)))=TRUE,VLOOKUP(DCC7,#REF!,3,FALSE),VLOOKUP(DCC7,#REF!,4,FALSE)),0)</f>
        <v/>
      </c>
      <c r="DCD1">
        <f>IFERROR(IF((ISBLANK(VLOOKUP(DCD7,#REF!,4,FALSE)))=TRUE,VLOOKUP(DCD7,#REF!,3,FALSE),VLOOKUP(DCD7,#REF!,4,FALSE)),0)</f>
        <v/>
      </c>
      <c r="DCE1">
        <f>IFERROR(IF((ISBLANK(VLOOKUP(DCE7,#REF!,4,FALSE)))=TRUE,VLOOKUP(DCE7,#REF!,3,FALSE),VLOOKUP(DCE7,#REF!,4,FALSE)),0)</f>
        <v/>
      </c>
      <c r="DCF1">
        <f>IFERROR(IF((ISBLANK(VLOOKUP(DCF7,#REF!,4,FALSE)))=TRUE,VLOOKUP(DCF7,#REF!,3,FALSE),VLOOKUP(DCF7,#REF!,4,FALSE)),0)</f>
        <v/>
      </c>
      <c r="DCG1">
        <f>IFERROR(IF((ISBLANK(VLOOKUP(DCG7,#REF!,4,FALSE)))=TRUE,VLOOKUP(DCG7,#REF!,3,FALSE),VLOOKUP(DCG7,#REF!,4,FALSE)),0)</f>
        <v/>
      </c>
      <c r="DCH1">
        <f>IFERROR(IF((ISBLANK(VLOOKUP(DCH7,#REF!,4,FALSE)))=TRUE,VLOOKUP(DCH7,#REF!,3,FALSE),VLOOKUP(DCH7,#REF!,4,FALSE)),0)</f>
        <v/>
      </c>
      <c r="DCI1">
        <f>IFERROR(IF((ISBLANK(VLOOKUP(DCI7,#REF!,4,FALSE)))=TRUE,VLOOKUP(DCI7,#REF!,3,FALSE),VLOOKUP(DCI7,#REF!,4,FALSE)),0)</f>
        <v/>
      </c>
      <c r="DCJ1">
        <f>IFERROR(IF((ISBLANK(VLOOKUP(DCJ7,#REF!,4,FALSE)))=TRUE,VLOOKUP(DCJ7,#REF!,3,FALSE),VLOOKUP(DCJ7,#REF!,4,FALSE)),0)</f>
        <v/>
      </c>
      <c r="DCK1">
        <f>IFERROR(IF((ISBLANK(VLOOKUP(DCK7,#REF!,4,FALSE)))=TRUE,VLOOKUP(DCK7,#REF!,3,FALSE),VLOOKUP(DCK7,#REF!,4,FALSE)),0)</f>
        <v/>
      </c>
      <c r="DCL1">
        <f>IFERROR(IF((ISBLANK(VLOOKUP(DCL7,#REF!,4,FALSE)))=TRUE,VLOOKUP(DCL7,#REF!,3,FALSE),VLOOKUP(DCL7,#REF!,4,FALSE)),0)</f>
        <v/>
      </c>
      <c r="DCM1">
        <f>IFERROR(IF((ISBLANK(VLOOKUP(DCM7,#REF!,4,FALSE)))=TRUE,VLOOKUP(DCM7,#REF!,3,FALSE),VLOOKUP(DCM7,#REF!,4,FALSE)),0)</f>
        <v/>
      </c>
      <c r="DCN1">
        <f>IFERROR(IF((ISBLANK(VLOOKUP(DCN7,#REF!,4,FALSE)))=TRUE,VLOOKUP(DCN7,#REF!,3,FALSE),VLOOKUP(DCN7,#REF!,4,FALSE)),0)</f>
        <v/>
      </c>
      <c r="DCO1">
        <f>IFERROR(IF((ISBLANK(VLOOKUP(DCO7,#REF!,4,FALSE)))=TRUE,VLOOKUP(DCO7,#REF!,3,FALSE),VLOOKUP(DCO7,#REF!,4,FALSE)),0)</f>
        <v/>
      </c>
      <c r="DCP1">
        <f>IFERROR(IF((ISBLANK(VLOOKUP(DCP7,#REF!,4,FALSE)))=TRUE,VLOOKUP(DCP7,#REF!,3,FALSE),VLOOKUP(DCP7,#REF!,4,FALSE)),0)</f>
        <v/>
      </c>
      <c r="DCQ1">
        <f>IFERROR(IF((ISBLANK(VLOOKUP(DCQ7,#REF!,4,FALSE)))=TRUE,VLOOKUP(DCQ7,#REF!,3,FALSE),VLOOKUP(DCQ7,#REF!,4,FALSE)),0)</f>
        <v/>
      </c>
      <c r="DCR1">
        <f>IFERROR(IF((ISBLANK(VLOOKUP(DCR7,#REF!,4,FALSE)))=TRUE,VLOOKUP(DCR7,#REF!,3,FALSE),VLOOKUP(DCR7,#REF!,4,FALSE)),0)</f>
        <v/>
      </c>
      <c r="DCS1">
        <f>IFERROR(IF((ISBLANK(VLOOKUP(DCS7,#REF!,4,FALSE)))=TRUE,VLOOKUP(DCS7,#REF!,3,FALSE),VLOOKUP(DCS7,#REF!,4,FALSE)),0)</f>
        <v/>
      </c>
      <c r="DCT1">
        <f>IFERROR(IF((ISBLANK(VLOOKUP(DCT7,#REF!,4,FALSE)))=TRUE,VLOOKUP(DCT7,#REF!,3,FALSE),VLOOKUP(DCT7,#REF!,4,FALSE)),0)</f>
        <v/>
      </c>
      <c r="DCU1">
        <f>IFERROR(IF((ISBLANK(VLOOKUP(DCU7,#REF!,4,FALSE)))=TRUE,VLOOKUP(DCU7,#REF!,3,FALSE),VLOOKUP(DCU7,#REF!,4,FALSE)),0)</f>
        <v/>
      </c>
      <c r="DCV1">
        <f>IFERROR(IF((ISBLANK(VLOOKUP(DCV7,#REF!,4,FALSE)))=TRUE,VLOOKUP(DCV7,#REF!,3,FALSE),VLOOKUP(DCV7,#REF!,4,FALSE)),0)</f>
        <v/>
      </c>
      <c r="DCW1">
        <f>IFERROR(IF((ISBLANK(VLOOKUP(DCW7,#REF!,4,FALSE)))=TRUE,VLOOKUP(DCW7,#REF!,3,FALSE),VLOOKUP(DCW7,#REF!,4,FALSE)),0)</f>
        <v/>
      </c>
      <c r="DCX1">
        <f>IFERROR(IF((ISBLANK(VLOOKUP(DCX7,#REF!,4,FALSE)))=TRUE,VLOOKUP(DCX7,#REF!,3,FALSE),VLOOKUP(DCX7,#REF!,4,FALSE)),0)</f>
        <v/>
      </c>
      <c r="DCY1">
        <f>IFERROR(IF((ISBLANK(VLOOKUP(DCY7,#REF!,4,FALSE)))=TRUE,VLOOKUP(DCY7,#REF!,3,FALSE),VLOOKUP(DCY7,#REF!,4,FALSE)),0)</f>
        <v/>
      </c>
      <c r="DCZ1">
        <f>IFERROR(IF((ISBLANK(VLOOKUP(DCZ7,#REF!,4,FALSE)))=TRUE,VLOOKUP(DCZ7,#REF!,3,FALSE),VLOOKUP(DCZ7,#REF!,4,FALSE)),0)</f>
        <v/>
      </c>
      <c r="DDA1">
        <f>IFERROR(IF((ISBLANK(VLOOKUP(DDA7,#REF!,4,FALSE)))=TRUE,VLOOKUP(DDA7,#REF!,3,FALSE),VLOOKUP(DDA7,#REF!,4,FALSE)),0)</f>
        <v/>
      </c>
      <c r="DDB1">
        <f>IFERROR(IF((ISBLANK(VLOOKUP(DDB7,#REF!,4,FALSE)))=TRUE,VLOOKUP(DDB7,#REF!,3,FALSE),VLOOKUP(DDB7,#REF!,4,FALSE)),0)</f>
        <v/>
      </c>
      <c r="DDC1">
        <f>IFERROR(IF((ISBLANK(VLOOKUP(DDC7,#REF!,4,FALSE)))=TRUE,VLOOKUP(DDC7,#REF!,3,FALSE),VLOOKUP(DDC7,#REF!,4,FALSE)),0)</f>
        <v/>
      </c>
      <c r="DDD1">
        <f>IFERROR(IF((ISBLANK(VLOOKUP(DDD7,#REF!,4,FALSE)))=TRUE,VLOOKUP(DDD7,#REF!,3,FALSE),VLOOKUP(DDD7,#REF!,4,FALSE)),0)</f>
        <v/>
      </c>
      <c r="DDE1">
        <f>IFERROR(IF((ISBLANK(VLOOKUP(DDE7,#REF!,4,FALSE)))=TRUE,VLOOKUP(DDE7,#REF!,3,FALSE),VLOOKUP(DDE7,#REF!,4,FALSE)),0)</f>
        <v/>
      </c>
      <c r="DDF1">
        <f>IFERROR(IF((ISBLANK(VLOOKUP(DDF7,#REF!,4,FALSE)))=TRUE,VLOOKUP(DDF7,#REF!,3,FALSE),VLOOKUP(DDF7,#REF!,4,FALSE)),0)</f>
        <v/>
      </c>
      <c r="DDG1">
        <f>IFERROR(IF((ISBLANK(VLOOKUP(DDG7,#REF!,4,FALSE)))=TRUE,VLOOKUP(DDG7,#REF!,3,FALSE),VLOOKUP(DDG7,#REF!,4,FALSE)),0)</f>
        <v/>
      </c>
      <c r="DDH1">
        <f>IFERROR(IF((ISBLANK(VLOOKUP(DDH7,#REF!,4,FALSE)))=TRUE,VLOOKUP(DDH7,#REF!,3,FALSE),VLOOKUP(DDH7,#REF!,4,FALSE)),0)</f>
        <v/>
      </c>
      <c r="DDI1">
        <f>IFERROR(IF((ISBLANK(VLOOKUP(DDI7,#REF!,4,FALSE)))=TRUE,VLOOKUP(DDI7,#REF!,3,FALSE),VLOOKUP(DDI7,#REF!,4,FALSE)),0)</f>
        <v/>
      </c>
      <c r="DDJ1">
        <f>IFERROR(IF((ISBLANK(VLOOKUP(DDJ7,#REF!,4,FALSE)))=TRUE,VLOOKUP(DDJ7,#REF!,3,FALSE),VLOOKUP(DDJ7,#REF!,4,FALSE)),0)</f>
        <v/>
      </c>
      <c r="DDK1">
        <f>IFERROR(IF((ISBLANK(VLOOKUP(DDK7,#REF!,4,FALSE)))=TRUE,VLOOKUP(DDK7,#REF!,3,FALSE),VLOOKUP(DDK7,#REF!,4,FALSE)),0)</f>
        <v/>
      </c>
      <c r="DDL1">
        <f>IFERROR(IF((ISBLANK(VLOOKUP(DDL7,#REF!,4,FALSE)))=TRUE,VLOOKUP(DDL7,#REF!,3,FALSE),VLOOKUP(DDL7,#REF!,4,FALSE)),0)</f>
        <v/>
      </c>
      <c r="DDM1">
        <f>IFERROR(IF((ISBLANK(VLOOKUP(DDM7,#REF!,4,FALSE)))=TRUE,VLOOKUP(DDM7,#REF!,3,FALSE),VLOOKUP(DDM7,#REF!,4,FALSE)),0)</f>
        <v/>
      </c>
      <c r="DDN1">
        <f>IFERROR(IF((ISBLANK(VLOOKUP(DDN7,#REF!,4,FALSE)))=TRUE,VLOOKUP(DDN7,#REF!,3,FALSE),VLOOKUP(DDN7,#REF!,4,FALSE)),0)</f>
        <v/>
      </c>
      <c r="DDO1">
        <f>IFERROR(IF((ISBLANK(VLOOKUP(DDO7,#REF!,4,FALSE)))=TRUE,VLOOKUP(DDO7,#REF!,3,FALSE),VLOOKUP(DDO7,#REF!,4,FALSE)),0)</f>
        <v/>
      </c>
      <c r="DDP1">
        <f>IFERROR(IF((ISBLANK(VLOOKUP(DDP7,#REF!,4,FALSE)))=TRUE,VLOOKUP(DDP7,#REF!,3,FALSE),VLOOKUP(DDP7,#REF!,4,FALSE)),0)</f>
        <v/>
      </c>
      <c r="DDQ1">
        <f>IFERROR(IF((ISBLANK(VLOOKUP(DDQ7,#REF!,4,FALSE)))=TRUE,VLOOKUP(DDQ7,#REF!,3,FALSE),VLOOKUP(DDQ7,#REF!,4,FALSE)),0)</f>
        <v/>
      </c>
      <c r="DDR1">
        <f>IFERROR(IF((ISBLANK(VLOOKUP(DDR7,#REF!,4,FALSE)))=TRUE,VLOOKUP(DDR7,#REF!,3,FALSE),VLOOKUP(DDR7,#REF!,4,FALSE)),0)</f>
        <v/>
      </c>
      <c r="DDS1">
        <f>IFERROR(IF((ISBLANK(VLOOKUP(DDS7,#REF!,4,FALSE)))=TRUE,VLOOKUP(DDS7,#REF!,3,FALSE),VLOOKUP(DDS7,#REF!,4,FALSE)),0)</f>
        <v/>
      </c>
      <c r="DDT1">
        <f>IFERROR(IF((ISBLANK(VLOOKUP(DDT7,#REF!,4,FALSE)))=TRUE,VLOOKUP(DDT7,#REF!,3,FALSE),VLOOKUP(DDT7,#REF!,4,FALSE)),0)</f>
        <v/>
      </c>
      <c r="DDU1">
        <f>IFERROR(IF((ISBLANK(VLOOKUP(DDU7,#REF!,4,FALSE)))=TRUE,VLOOKUP(DDU7,#REF!,3,FALSE),VLOOKUP(DDU7,#REF!,4,FALSE)),0)</f>
        <v/>
      </c>
      <c r="DDV1">
        <f>IFERROR(IF((ISBLANK(VLOOKUP(DDV7,#REF!,4,FALSE)))=TRUE,VLOOKUP(DDV7,#REF!,3,FALSE),VLOOKUP(DDV7,#REF!,4,FALSE)),0)</f>
        <v/>
      </c>
      <c r="DDW1">
        <f>IFERROR(IF((ISBLANK(VLOOKUP(DDW7,#REF!,4,FALSE)))=TRUE,VLOOKUP(DDW7,#REF!,3,FALSE),VLOOKUP(DDW7,#REF!,4,FALSE)),0)</f>
        <v/>
      </c>
      <c r="DDX1">
        <f>IFERROR(IF((ISBLANK(VLOOKUP(DDX7,#REF!,4,FALSE)))=TRUE,VLOOKUP(DDX7,#REF!,3,FALSE),VLOOKUP(DDX7,#REF!,4,FALSE)),0)</f>
        <v/>
      </c>
      <c r="DDY1">
        <f>IFERROR(IF((ISBLANK(VLOOKUP(DDY7,#REF!,4,FALSE)))=TRUE,VLOOKUP(DDY7,#REF!,3,FALSE),VLOOKUP(DDY7,#REF!,4,FALSE)),0)</f>
        <v/>
      </c>
      <c r="DDZ1">
        <f>IFERROR(IF((ISBLANK(VLOOKUP(DDZ7,#REF!,4,FALSE)))=TRUE,VLOOKUP(DDZ7,#REF!,3,FALSE),VLOOKUP(DDZ7,#REF!,4,FALSE)),0)</f>
        <v/>
      </c>
      <c r="DEA1">
        <f>IFERROR(IF((ISBLANK(VLOOKUP(DEA7,#REF!,4,FALSE)))=TRUE,VLOOKUP(DEA7,#REF!,3,FALSE),VLOOKUP(DEA7,#REF!,4,FALSE)),0)</f>
        <v/>
      </c>
      <c r="DEB1">
        <f>IFERROR(IF((ISBLANK(VLOOKUP(DEB7,#REF!,4,FALSE)))=TRUE,VLOOKUP(DEB7,#REF!,3,FALSE),VLOOKUP(DEB7,#REF!,4,FALSE)),0)</f>
        <v/>
      </c>
      <c r="DEC1">
        <f>IF(#REF!="Skip to main content","FILED","NOT FILED")</f>
        <v/>
      </c>
      <c r="DED1">
        <f>RIGHT(#REF!,2)</f>
        <v/>
      </c>
      <c r="DEE1">
        <f>IFERROR(VLOOKUP(RIGHT(#REF!,6),#REF!,2,FALSE),0)</f>
        <v/>
      </c>
      <c r="DEF1">
        <f>IFERROR(IF((ISBLANK(VLOOKUP(DEF7,#REF!,3,FALSE)))=TRUE,VLOOKUP(DEF7,#REF!,2,FALSE),VLOOKUP(DEF7,#REF!,3,FALSE)),0)</f>
        <v/>
      </c>
      <c r="DEG1">
        <f>IFERROR(IF((ISBLANK(VLOOKUP(DEG7,#REF!,3,FALSE)))=TRUE,VLOOKUP(DEG7,#REF!,2,FALSE),VLOOKUP(DEG7,#REF!,3,FALSE)),0)</f>
        <v/>
      </c>
      <c r="DEH1">
        <f>IFERROR(IF((ISBLANK(VLOOKUP(DEH7,#REF!,3,FALSE)))=TRUE,VLOOKUP(DEH7,#REF!,2,FALSE),VLOOKUP(DEH7,#REF!,3,FALSE)),0)</f>
        <v/>
      </c>
      <c r="DEI1">
        <f>IFERROR(IF((ISBLANK(VLOOKUP(DEI7,#REF!,3,FALSE)))=TRUE,VLOOKUP(DEI7,#REF!,2,FALSE),VLOOKUP(DEI7,#REF!,3,FALSE)),0)</f>
        <v/>
      </c>
      <c r="DEJ1">
        <f>IFERROR(IF((ISBLANK(VLOOKUP(DEJ7,#REF!,3,FALSE)))=TRUE,VLOOKUP(DEJ7,#REF!,2,FALSE),VLOOKUP(DEJ7,#REF!,3,FALSE)),0)</f>
        <v/>
      </c>
      <c r="DEK1">
        <f>IFERROR(IF((ISBLANK(VLOOKUP(DEK7,#REF!,3,FALSE)))=TRUE,VLOOKUP(DEK7,#REF!,2,FALSE),VLOOKUP(DEK7,#REF!,3,FALSE)),0)</f>
        <v/>
      </c>
      <c r="DEL1">
        <f>IFERROR(IF((ISBLANK(VLOOKUP(DEL7,#REF!,3,FALSE)))=TRUE,VLOOKUP(DEL7,#REF!,2,FALSE),VLOOKUP(DEL7,#REF!,3,FALSE)),0)</f>
        <v/>
      </c>
      <c r="DEM1">
        <f>IFERROR(IF((ISBLANK(VLOOKUP(DEM7,#REF!,4,FALSE)))=TRUE,VLOOKUP(DEM7,#REF!,3,FALSE),VLOOKUP(DEM7,#REF!,4,FALSE)),0)</f>
        <v/>
      </c>
      <c r="DEN1">
        <f>IFERROR(IF((ISBLANK(VLOOKUP(DEN7,#REF!,4,FALSE)))=TRUE,VLOOKUP(DEN7,#REF!,3,FALSE),VLOOKUP(DEN7,#REF!,4,FALSE)),0)</f>
        <v/>
      </c>
      <c r="DEO1">
        <f>IFERROR(IF((ISBLANK(VLOOKUP(DEO7,#REF!,4,FALSE)))=TRUE,VLOOKUP(DEO7,#REF!,3,FALSE),VLOOKUP(DEO7,#REF!,4,FALSE)),0)</f>
        <v/>
      </c>
      <c r="DEP1">
        <f>IFERROR(IF((ISBLANK(VLOOKUP(DEP7,#REF!,4,FALSE)))=TRUE,VLOOKUP(DEP7,#REF!,3,FALSE),VLOOKUP(DEP7,#REF!,4,FALSE)),0)</f>
        <v/>
      </c>
      <c r="DEQ1">
        <f>IFERROR(IF((ISBLANK(VLOOKUP(DEQ7,#REF!,4,FALSE)))=TRUE,VLOOKUP(DEQ7,#REF!,3,FALSE),VLOOKUP(DEQ7,#REF!,4,FALSE)),0)</f>
        <v/>
      </c>
      <c r="DER1">
        <f>IFERROR(IF((ISBLANK(VLOOKUP(DER7,#REF!,4,FALSE)))=TRUE,VLOOKUP(DER7,#REF!,3,FALSE),VLOOKUP(DER7,#REF!,4,FALSE)),0)</f>
        <v/>
      </c>
      <c r="DES1">
        <f>IFERROR(IF((ISBLANK(VLOOKUP(DES7,#REF!,4,FALSE)))=TRUE,VLOOKUP(DES7,#REF!,3,FALSE),VLOOKUP(DES7,#REF!,4,FALSE)),0)</f>
        <v/>
      </c>
      <c r="DET1">
        <f>IFERROR(IF((ISBLANK(VLOOKUP(DET7,#REF!,4,FALSE)))=TRUE,VLOOKUP(DET7,#REF!,3,FALSE),VLOOKUP(DET7,#REF!,4,FALSE)),0)</f>
        <v/>
      </c>
      <c r="DEU1">
        <f>IFERROR(IF((ISBLANK(VLOOKUP(DEU7,#REF!,4,FALSE)))=TRUE,VLOOKUP(DEU7,#REF!,3,FALSE),VLOOKUP(DEU7,#REF!,4,FALSE)),0)</f>
        <v/>
      </c>
      <c r="DEV1">
        <f>IFERROR(IF((ISBLANK(VLOOKUP(DEV7,#REF!,4,FALSE)))=TRUE,VLOOKUP(DEV7,#REF!,3,FALSE),VLOOKUP(DEV7,#REF!,4,FALSE)),0)</f>
        <v/>
      </c>
      <c r="DEW1">
        <f>IFERROR(IF((ISBLANK(VLOOKUP(DEW7,#REF!,4,FALSE)))=TRUE,VLOOKUP(DEW7,#REF!,3,FALSE),VLOOKUP(DEW7,#REF!,4,FALSE)),0)</f>
        <v/>
      </c>
      <c r="DEX1">
        <f>IFERROR(IF((ISBLANK(VLOOKUP(DEX7,#REF!,4,FALSE)))=TRUE,VLOOKUP(DEX7,#REF!,3,FALSE),VLOOKUP(DEX7,#REF!,4,FALSE)),0)</f>
        <v/>
      </c>
      <c r="DEY1">
        <f>IFERROR(IF((ISBLANK(VLOOKUP(DEY7,#REF!,4,FALSE)))=TRUE,VLOOKUP(DEY7,#REF!,3,FALSE),VLOOKUP(DEY7,#REF!,4,FALSE)),0)</f>
        <v/>
      </c>
      <c r="DEZ1">
        <f>IFERROR(IF((ISBLANK(VLOOKUP(DEZ7,#REF!,4,FALSE)))=TRUE,VLOOKUP(DEZ7,#REF!,3,FALSE),VLOOKUP(DEZ7,#REF!,4,FALSE)),0)</f>
        <v/>
      </c>
      <c r="DFA1">
        <f>IFERROR(IF((ISBLANK(VLOOKUP(DFA7,#REF!,4,FALSE)))=TRUE,VLOOKUP(DFA7,#REF!,3,FALSE),VLOOKUP(DFA7,#REF!,4,FALSE)),0)</f>
        <v/>
      </c>
      <c r="DFB1">
        <f>IFERROR(IF((ISBLANK(VLOOKUP(DFB7,#REF!,4,FALSE)))=TRUE,VLOOKUP(DFB7,#REF!,3,FALSE),VLOOKUP(DFB7,#REF!,4,FALSE)),0)</f>
        <v/>
      </c>
      <c r="DFC1">
        <f>IFERROR(IF((ISBLANK(VLOOKUP(DFC7,#REF!,4,FALSE)))=TRUE,VLOOKUP(DFC7,#REF!,3,FALSE),VLOOKUP(DFC7,#REF!,4,FALSE)),0)</f>
        <v/>
      </c>
      <c r="DFD1">
        <f>IFERROR(IF((ISBLANK(VLOOKUP(DFD7,#REF!,4,FALSE)))=TRUE,VLOOKUP(DFD7,#REF!,3,FALSE),VLOOKUP(DFD7,#REF!,4,FALSE)),0)</f>
        <v/>
      </c>
      <c r="DFE1">
        <f>IFERROR(IF((ISBLANK(VLOOKUP(DFE7,#REF!,4,FALSE)))=TRUE,VLOOKUP(DFE7,#REF!,3,FALSE),VLOOKUP(DFE7,#REF!,4,FALSE)),0)</f>
        <v/>
      </c>
      <c r="DFF1">
        <f>IFERROR(IF((ISBLANK(VLOOKUP(DFF7,#REF!,4,FALSE)))=TRUE,VLOOKUP(DFF7,#REF!,3,FALSE),VLOOKUP(DFF7,#REF!,4,FALSE)),0)</f>
        <v/>
      </c>
      <c r="DFG1">
        <f>IFERROR(IF((ISBLANK(VLOOKUP(DFG7,#REF!,4,FALSE)))=TRUE,VLOOKUP(DFG7,#REF!,3,FALSE),VLOOKUP(DFG7,#REF!,4,FALSE)),0)</f>
        <v/>
      </c>
      <c r="DFH1">
        <f>IFERROR(IF((ISBLANK(VLOOKUP(DFH7,#REF!,4,FALSE)))=TRUE,VLOOKUP(DFH7,#REF!,3,FALSE),VLOOKUP(DFH7,#REF!,4,FALSE)),0)</f>
        <v/>
      </c>
      <c r="DFI1">
        <f>IFERROR(IF((ISBLANK(VLOOKUP(DFI7,#REF!,4,FALSE)))=TRUE,VLOOKUP(DFI7,#REF!,3,FALSE),VLOOKUP(DFI7,#REF!,4,FALSE)),0)</f>
        <v/>
      </c>
      <c r="DFJ1">
        <f>IFERROR(IF((ISBLANK(VLOOKUP(DFJ7,#REF!,4,FALSE)))=TRUE,VLOOKUP(DFJ7,#REF!,3,FALSE),VLOOKUP(DFJ7,#REF!,4,FALSE)),0)</f>
        <v/>
      </c>
      <c r="DFK1">
        <f>IFERROR(IF((ISBLANK(VLOOKUP(DFK7,#REF!,4,FALSE)))=TRUE,VLOOKUP(DFK7,#REF!,3,FALSE),VLOOKUP(DFK7,#REF!,4,FALSE)),0)</f>
        <v/>
      </c>
      <c r="DFL1">
        <f>IFERROR(IF((ISBLANK(VLOOKUP(DFL7,#REF!,4,FALSE)))=TRUE,VLOOKUP(DFL7,#REF!,3,FALSE),VLOOKUP(DFL7,#REF!,4,FALSE)),0)</f>
        <v/>
      </c>
      <c r="DFM1">
        <f>IFERROR(IF((ISBLANK(VLOOKUP(DFM7,#REF!,4,FALSE)))=TRUE,VLOOKUP(DFM7,#REF!,3,FALSE),VLOOKUP(DFM7,#REF!,4,FALSE)),0)</f>
        <v/>
      </c>
      <c r="DFN1">
        <f>IFERROR(IF((ISBLANK(VLOOKUP(DFN7,#REF!,4,FALSE)))=TRUE,VLOOKUP(DFN7,#REF!,3,FALSE),VLOOKUP(DFN7,#REF!,4,FALSE)),0)</f>
        <v/>
      </c>
      <c r="DFO1">
        <f>IFERROR(IF((ISBLANK(VLOOKUP(DFO7,#REF!,4,FALSE)))=TRUE,VLOOKUP(DFO7,#REF!,3,FALSE),VLOOKUP(DFO7,#REF!,4,FALSE)),0)</f>
        <v/>
      </c>
      <c r="DFP1">
        <f>IFERROR(IF((ISBLANK(VLOOKUP(DFP7,#REF!,4,FALSE)))=TRUE,VLOOKUP(DFP7,#REF!,3,FALSE),VLOOKUP(DFP7,#REF!,4,FALSE)),0)</f>
        <v/>
      </c>
      <c r="DFQ1">
        <f>IFERROR(IF((ISBLANK(VLOOKUP(DFQ7,#REF!,4,FALSE)))=TRUE,VLOOKUP(DFQ7,#REF!,3,FALSE),VLOOKUP(DFQ7,#REF!,4,FALSE)),0)</f>
        <v/>
      </c>
      <c r="DFR1">
        <f>IFERROR(IF((ISBLANK(VLOOKUP(DFR7,#REF!,4,FALSE)))=TRUE,VLOOKUP(DFR7,#REF!,3,FALSE),VLOOKUP(DFR7,#REF!,4,FALSE)),0)</f>
        <v/>
      </c>
      <c r="DFS1">
        <f>IFERROR(IF((ISBLANK(VLOOKUP(DFS7,#REF!,4,FALSE)))=TRUE,VLOOKUP(DFS7,#REF!,3,FALSE),VLOOKUP(DFS7,#REF!,4,FALSE)),0)</f>
        <v/>
      </c>
      <c r="DFT1">
        <f>IFERROR(IF((ISBLANK(VLOOKUP(DFT7,#REF!,4,FALSE)))=TRUE,VLOOKUP(DFT7,#REF!,3,FALSE),VLOOKUP(DFT7,#REF!,4,FALSE)),0)</f>
        <v/>
      </c>
      <c r="DFU1">
        <f>IFERROR(IF((ISBLANK(VLOOKUP(DFU7,#REF!,4,FALSE)))=TRUE,VLOOKUP(DFU7,#REF!,3,FALSE),VLOOKUP(DFU7,#REF!,4,FALSE)),0)</f>
        <v/>
      </c>
      <c r="DFV1">
        <f>IFERROR(IF((ISBLANK(VLOOKUP(DFV7,#REF!,4,FALSE)))=TRUE,VLOOKUP(DFV7,#REF!,3,FALSE),VLOOKUP(DFV7,#REF!,4,FALSE)),0)</f>
        <v/>
      </c>
      <c r="DFW1">
        <f>IFERROR(IF((ISBLANK(VLOOKUP(DFW7,#REF!,4,FALSE)))=TRUE,VLOOKUP(DFW7,#REF!,3,FALSE),VLOOKUP(DFW7,#REF!,4,FALSE)),0)</f>
        <v/>
      </c>
      <c r="DFX1">
        <f>IFERROR(IF((ISBLANK(VLOOKUP(DFX7,#REF!,4,FALSE)))=TRUE,VLOOKUP(DFX7,#REF!,3,FALSE),VLOOKUP(DFX7,#REF!,4,FALSE)),0)</f>
        <v/>
      </c>
      <c r="DFY1">
        <f>IFERROR(IF((ISBLANK(VLOOKUP(DFY7,#REF!,4,FALSE)))=TRUE,VLOOKUP(DFY7,#REF!,3,FALSE),VLOOKUP(DFY7,#REF!,4,FALSE)),0)</f>
        <v/>
      </c>
      <c r="DFZ1">
        <f>IFERROR(IF((ISBLANK(VLOOKUP(DFZ7,#REF!,4,FALSE)))=TRUE,VLOOKUP(DFZ7,#REF!,3,FALSE),VLOOKUP(DFZ7,#REF!,4,FALSE)),0)</f>
        <v/>
      </c>
      <c r="DGA1">
        <f>IFERROR(IF((ISBLANK(VLOOKUP(DGA7,#REF!,4,FALSE)))=TRUE,VLOOKUP(DGA7,#REF!,3,FALSE),VLOOKUP(DGA7,#REF!,4,FALSE)),0)</f>
        <v/>
      </c>
      <c r="DGB1">
        <f>IFERROR(IF((ISBLANK(VLOOKUP(DGB7,#REF!,4,FALSE)))=TRUE,VLOOKUP(DGB7,#REF!,3,FALSE),VLOOKUP(DGB7,#REF!,4,FALSE)),0)</f>
        <v/>
      </c>
      <c r="DGC1">
        <f>IFERROR(IF((ISBLANK(VLOOKUP(DGC7,#REF!,4,FALSE)))=TRUE,VLOOKUP(DGC7,#REF!,3,FALSE),VLOOKUP(DGC7,#REF!,4,FALSE)),0)</f>
        <v/>
      </c>
      <c r="DGD1">
        <f>IFERROR(IF((ISBLANK(VLOOKUP(DGD7,#REF!,4,FALSE)))=TRUE,VLOOKUP(DGD7,#REF!,3,FALSE),VLOOKUP(DGD7,#REF!,4,FALSE)),0)</f>
        <v/>
      </c>
      <c r="DGE1">
        <f>IFERROR(IF((ISBLANK(VLOOKUP(DGE7,#REF!,4,FALSE)))=TRUE,VLOOKUP(DGE7,#REF!,3,FALSE),VLOOKUP(DGE7,#REF!,4,FALSE)),0)</f>
        <v/>
      </c>
      <c r="DGF1">
        <f>IFERROR(IF((ISBLANK(VLOOKUP(DGF7,#REF!,4,FALSE)))=TRUE,VLOOKUP(DGF7,#REF!,3,FALSE),VLOOKUP(DGF7,#REF!,4,FALSE)),0)</f>
        <v/>
      </c>
      <c r="DGG1">
        <f>IFERROR(IF((ISBLANK(VLOOKUP(DGG7,#REF!,4,FALSE)))=TRUE,VLOOKUP(DGG7,#REF!,3,FALSE),VLOOKUP(DGG7,#REF!,4,FALSE)),0)</f>
        <v/>
      </c>
      <c r="DGH1">
        <f>IFERROR(IF((ISBLANK(VLOOKUP(DGH7,#REF!,4,FALSE)))=TRUE,VLOOKUP(DGH7,#REF!,3,FALSE),VLOOKUP(DGH7,#REF!,4,FALSE)),0)</f>
        <v/>
      </c>
      <c r="DGI1">
        <f>IFERROR(IF((ISBLANK(VLOOKUP(DGI7,#REF!,4,FALSE)))=TRUE,VLOOKUP(DGI7,#REF!,3,FALSE),VLOOKUP(DGI7,#REF!,4,FALSE)),0)</f>
        <v/>
      </c>
      <c r="DGJ1">
        <f>IFERROR(IF((ISBLANK(VLOOKUP(DGJ7,#REF!,4,FALSE)))=TRUE,VLOOKUP(DGJ7,#REF!,3,FALSE),VLOOKUP(DGJ7,#REF!,4,FALSE)),0)</f>
        <v/>
      </c>
      <c r="DGK1">
        <f>IFERROR(IF((ISBLANK(VLOOKUP(DGK7,#REF!,4,FALSE)))=TRUE,VLOOKUP(DGK7,#REF!,3,FALSE),VLOOKUP(DGK7,#REF!,4,FALSE)),0)</f>
        <v/>
      </c>
      <c r="DGL1">
        <f>IFERROR(IF((ISBLANK(VLOOKUP(DGL7,#REF!,4,FALSE)))=TRUE,VLOOKUP(DGL7,#REF!,3,FALSE),VLOOKUP(DGL7,#REF!,4,FALSE)),0)</f>
        <v/>
      </c>
      <c r="DGM1">
        <f>IFERROR(IF((ISBLANK(VLOOKUP(DGM7,#REF!,4,FALSE)))=TRUE,VLOOKUP(DGM7,#REF!,3,FALSE),VLOOKUP(DGM7,#REF!,4,FALSE)),0)</f>
        <v/>
      </c>
      <c r="DGN1">
        <f>IFERROR(IF((ISBLANK(VLOOKUP(DGN7,#REF!,4,FALSE)))=TRUE,VLOOKUP(DGN7,#REF!,3,FALSE),VLOOKUP(DGN7,#REF!,4,FALSE)),0)</f>
        <v/>
      </c>
      <c r="DGO1">
        <f>IFERROR(IF((ISBLANK(VLOOKUP(DGO7,#REF!,4,FALSE)))=TRUE,VLOOKUP(DGO7,#REF!,3,FALSE),VLOOKUP(DGO7,#REF!,4,FALSE)),0)</f>
        <v/>
      </c>
      <c r="DGP1">
        <f>IFERROR(IF((ISBLANK(VLOOKUP(DGP7,#REF!,4,FALSE)))=TRUE,VLOOKUP(DGP7,#REF!,3,FALSE),VLOOKUP(DGP7,#REF!,4,FALSE)),0)</f>
        <v/>
      </c>
      <c r="DGQ1">
        <f>IFERROR(IF((ISBLANK(VLOOKUP(DGQ7,#REF!,4,FALSE)))=TRUE,VLOOKUP(DGQ7,#REF!,3,FALSE),VLOOKUP(DGQ7,#REF!,4,FALSE)),0)</f>
        <v/>
      </c>
      <c r="DGR1">
        <f>IFERROR(IF((ISBLANK(VLOOKUP(DGR7,#REF!,4,FALSE)))=TRUE,VLOOKUP(DGR7,#REF!,3,FALSE),VLOOKUP(DGR7,#REF!,4,FALSE)),0)</f>
        <v/>
      </c>
      <c r="DGS1">
        <f>IFERROR(IF((ISBLANK(VLOOKUP(DGS7,#REF!,4,FALSE)))=TRUE,VLOOKUP(DGS7,#REF!,3,FALSE),VLOOKUP(DGS7,#REF!,4,FALSE)),0)</f>
        <v/>
      </c>
      <c r="DGT1">
        <f>IFERROR(IF((ISBLANK(VLOOKUP(DGT7,#REF!,4,FALSE)))=TRUE,VLOOKUP(DGT7,#REF!,3,FALSE),VLOOKUP(DGT7,#REF!,4,FALSE)),0)</f>
        <v/>
      </c>
      <c r="DGU1">
        <f>IFERROR(IF((ISBLANK(VLOOKUP(DGU7,#REF!,4,FALSE)))=TRUE,VLOOKUP(DGU7,#REF!,3,FALSE),VLOOKUP(DGU7,#REF!,4,FALSE)),0)</f>
        <v/>
      </c>
      <c r="DGV1">
        <f>IFERROR(IF((ISBLANK(VLOOKUP(DGV7,#REF!,4,FALSE)))=TRUE,VLOOKUP(DGV7,#REF!,3,FALSE),VLOOKUP(DGV7,#REF!,4,FALSE)),0)</f>
        <v/>
      </c>
      <c r="DGW1">
        <f>IFERROR(IF((ISBLANK(VLOOKUP(DGW7,#REF!,4,FALSE)))=TRUE,VLOOKUP(DGW7,#REF!,3,FALSE),VLOOKUP(DGW7,#REF!,4,FALSE)),0)</f>
        <v/>
      </c>
      <c r="DGX1">
        <f>IFERROR(IF((ISBLANK(VLOOKUP(DGX7,#REF!,4,FALSE)))=TRUE,VLOOKUP(DGX7,#REF!,3,FALSE),VLOOKUP(DGX7,#REF!,4,FALSE)),0)</f>
        <v/>
      </c>
      <c r="DGY1">
        <f>IFERROR(IF((ISBLANK(VLOOKUP(DGY7,#REF!,4,FALSE)))=TRUE,VLOOKUP(DGY7,#REF!,3,FALSE),VLOOKUP(DGY7,#REF!,4,FALSE)),0)</f>
        <v/>
      </c>
      <c r="DGZ1">
        <f>IFERROR(IF((ISBLANK(VLOOKUP(DGZ7,#REF!,4,FALSE)))=TRUE,VLOOKUP(DGZ7,#REF!,3,FALSE),VLOOKUP(DGZ7,#REF!,4,FALSE)),0)</f>
        <v/>
      </c>
      <c r="DHA1">
        <f>IFERROR(IF((ISBLANK(VLOOKUP(DHA7,#REF!,4,FALSE)))=TRUE,VLOOKUP(DHA7,#REF!,3,FALSE),VLOOKUP(DHA7,#REF!,4,FALSE)),0)</f>
        <v/>
      </c>
      <c r="DHB1">
        <f>IFERROR(IF((ISBLANK(VLOOKUP(DHB7,#REF!,4,FALSE)))=TRUE,VLOOKUP(DHB7,#REF!,3,FALSE),VLOOKUP(DHB7,#REF!,4,FALSE)),0)</f>
        <v/>
      </c>
      <c r="DHC1">
        <f>IFERROR(IF((ISBLANK(VLOOKUP(DHC7,#REF!,4,FALSE)))=TRUE,VLOOKUP(DHC7,#REF!,3,FALSE),VLOOKUP(DHC7,#REF!,4,FALSE)),0)</f>
        <v/>
      </c>
      <c r="DHD1">
        <f>IFERROR(IF((ISBLANK(VLOOKUP(DHD7,#REF!,4,FALSE)))=TRUE,VLOOKUP(DHD7,#REF!,3,FALSE),VLOOKUP(DHD7,#REF!,4,FALSE)),0)</f>
        <v/>
      </c>
      <c r="DHE1">
        <f>IFERROR(IF((ISBLANK(VLOOKUP(DHE7,#REF!,4,FALSE)))=TRUE,VLOOKUP(DHE7,#REF!,3,FALSE),VLOOKUP(DHE7,#REF!,4,FALSE)),0)</f>
        <v/>
      </c>
      <c r="DHF1">
        <f>IFERROR(IF((ISBLANK(VLOOKUP(DHF7,#REF!,4,FALSE)))=TRUE,VLOOKUP(DHF7,#REF!,3,FALSE),VLOOKUP(DHF7,#REF!,4,FALSE)),0)</f>
        <v/>
      </c>
      <c r="DHG1">
        <f>IFERROR(IF((ISBLANK(VLOOKUP(DHG7,#REF!,4,FALSE)))=TRUE,VLOOKUP(DHG7,#REF!,3,FALSE),VLOOKUP(DHG7,#REF!,4,FALSE)),0)</f>
        <v/>
      </c>
      <c r="DHH1">
        <f>IFERROR(IF((ISBLANK(VLOOKUP(DHH7,#REF!,4,FALSE)))=TRUE,VLOOKUP(DHH7,#REF!,3,FALSE),VLOOKUP(DHH7,#REF!,4,FALSE)),0)</f>
        <v/>
      </c>
      <c r="DHI1">
        <f>IFERROR(IF((ISBLANK(VLOOKUP(DHI7,#REF!,4,FALSE)))=TRUE,VLOOKUP(DHI7,#REF!,3,FALSE),VLOOKUP(DHI7,#REF!,4,FALSE)),0)</f>
        <v/>
      </c>
      <c r="DHJ1">
        <f>IFERROR(IF((ISBLANK(VLOOKUP(DHJ7,#REF!,4,FALSE)))=TRUE,VLOOKUP(DHJ7,#REF!,3,FALSE),VLOOKUP(DHJ7,#REF!,4,FALSE)),0)</f>
        <v/>
      </c>
      <c r="DHK1">
        <f>IFERROR(IF((ISBLANK(VLOOKUP(DHK7,#REF!,4,FALSE)))=TRUE,VLOOKUP(DHK7,#REF!,3,FALSE),VLOOKUP(DHK7,#REF!,4,FALSE)),0)</f>
        <v/>
      </c>
      <c r="DHL1">
        <f>IFERROR(IF((ISBLANK(VLOOKUP(DHL7,#REF!,4,FALSE)))=TRUE,VLOOKUP(DHL7,#REF!,3,FALSE),VLOOKUP(DHL7,#REF!,4,FALSE)),0)</f>
        <v/>
      </c>
      <c r="DHM1">
        <f>IFERROR(IF((ISBLANK(VLOOKUP(DHM7,#REF!,4,FALSE)))=TRUE,VLOOKUP(DHM7,#REF!,3,FALSE),VLOOKUP(DHM7,#REF!,4,FALSE)),0)</f>
        <v/>
      </c>
      <c r="DHN1">
        <f>IFERROR(IF((ISBLANK(VLOOKUP(DHN7,#REF!,4,FALSE)))=TRUE,VLOOKUP(DHN7,#REF!,3,FALSE),VLOOKUP(DHN7,#REF!,4,FALSE)),0)</f>
        <v/>
      </c>
      <c r="DHO1">
        <f>IFERROR(IF((ISBLANK(VLOOKUP(DHO7,#REF!,4,FALSE)))=TRUE,VLOOKUP(DHO7,#REF!,3,FALSE),VLOOKUP(DHO7,#REF!,4,FALSE)),0)</f>
        <v/>
      </c>
      <c r="DHP1">
        <f>IFERROR(IF((ISBLANK(VLOOKUP(DHP7,#REF!,4,FALSE)))=TRUE,VLOOKUP(DHP7,#REF!,3,FALSE),VLOOKUP(DHP7,#REF!,4,FALSE)),0)</f>
        <v/>
      </c>
      <c r="DHQ1">
        <f>IFERROR(IF((ISBLANK(VLOOKUP(DHQ7,#REF!,4,FALSE)))=TRUE,VLOOKUP(DHQ7,#REF!,3,FALSE),VLOOKUP(DHQ7,#REF!,4,FALSE)),0)</f>
        <v/>
      </c>
      <c r="DHR1">
        <f>IFERROR(IF((ISBLANK(VLOOKUP(DHR7,#REF!,4,FALSE)))=TRUE,VLOOKUP(DHR7,#REF!,3,FALSE),VLOOKUP(DHR7,#REF!,4,FALSE)),0)</f>
        <v/>
      </c>
      <c r="DHS1">
        <f>IFERROR(IF((ISBLANK(VLOOKUP(DHS7,#REF!,4,FALSE)))=TRUE,VLOOKUP(DHS7,#REF!,3,FALSE),VLOOKUP(DHS7,#REF!,4,FALSE)),0)</f>
        <v/>
      </c>
      <c r="DHT1">
        <f>IFERROR(IF((ISBLANK(VLOOKUP(DHT7,#REF!,4,FALSE)))=TRUE,VLOOKUP(DHT7,#REF!,3,FALSE),VLOOKUP(DHT7,#REF!,4,FALSE)),0)</f>
        <v/>
      </c>
      <c r="DHU1">
        <f>IFERROR(IF((ISBLANK(VLOOKUP(DHU7,#REF!,4,FALSE)))=TRUE,VLOOKUP(DHU7,#REF!,3,FALSE),VLOOKUP(DHU7,#REF!,4,FALSE)),0)</f>
        <v/>
      </c>
      <c r="DHV1">
        <f>IFERROR(IF((ISBLANK(VLOOKUP(DHV7,#REF!,4,FALSE)))=TRUE,VLOOKUP(DHV7,#REF!,3,FALSE),VLOOKUP(DHV7,#REF!,4,FALSE)),0)</f>
        <v/>
      </c>
      <c r="DHW1">
        <f>IFERROR(IF((ISBLANK(VLOOKUP(DHW7,#REF!,4,FALSE)))=TRUE,VLOOKUP(DHW7,#REF!,3,FALSE),VLOOKUP(DHW7,#REF!,4,FALSE)),0)</f>
        <v/>
      </c>
      <c r="DHX1">
        <f>IFERROR(IF((ISBLANK(VLOOKUP(DHX7,#REF!,4,FALSE)))=TRUE,VLOOKUP(DHX7,#REF!,3,FALSE),VLOOKUP(DHX7,#REF!,4,FALSE)),0)</f>
        <v/>
      </c>
      <c r="DHY1">
        <f>IFERROR(IF((ISBLANK(VLOOKUP(DHY7,#REF!,4,FALSE)))=TRUE,VLOOKUP(DHY7,#REF!,3,FALSE),VLOOKUP(DHY7,#REF!,4,FALSE)),0)</f>
        <v/>
      </c>
      <c r="DHZ1">
        <f>IFERROR(IF((ISBLANK(VLOOKUP(DHZ7,#REF!,4,FALSE)))=TRUE,VLOOKUP(DHZ7,#REF!,3,FALSE),VLOOKUP(DHZ7,#REF!,4,FALSE)),0)</f>
        <v/>
      </c>
      <c r="DIA1">
        <f>IFERROR(IF((ISBLANK(VLOOKUP(DIA7,#REF!,4,FALSE)))=TRUE,VLOOKUP(DIA7,#REF!,3,FALSE),VLOOKUP(DIA7,#REF!,4,FALSE)),0)</f>
        <v/>
      </c>
      <c r="DIB1">
        <f>IFERROR(IF((ISBLANK(VLOOKUP(DIB7,#REF!,4,FALSE)))=TRUE,VLOOKUP(DIB7,#REF!,3,FALSE),VLOOKUP(DIB7,#REF!,4,FALSE)),0)</f>
        <v/>
      </c>
      <c r="DIC1">
        <f>IFERROR(IF((ISBLANK(VLOOKUP(DIC7,#REF!,4,FALSE)))=TRUE,VLOOKUP(DIC7,#REF!,3,FALSE),VLOOKUP(DIC7,#REF!,4,FALSE)),0)</f>
        <v/>
      </c>
      <c r="DID1">
        <f>IFERROR(IF((ISBLANK(VLOOKUP(DID7,#REF!,4,FALSE)))=TRUE,VLOOKUP(DID7,#REF!,3,FALSE),VLOOKUP(DID7,#REF!,4,FALSE)),0)</f>
        <v/>
      </c>
      <c r="DIE1">
        <f>IFERROR(IF((ISBLANK(VLOOKUP(DIE7,#REF!,4,FALSE)))=TRUE,VLOOKUP(DIE7,#REF!,3,FALSE),VLOOKUP(DIE7,#REF!,4,FALSE)),0)</f>
        <v/>
      </c>
      <c r="DIF1">
        <f>IFERROR(IF((ISBLANK(VLOOKUP(DIF7,#REF!,4,FALSE)))=TRUE,VLOOKUP(DIF7,#REF!,3,FALSE),VLOOKUP(DIF7,#REF!,4,FALSE)),0)</f>
        <v/>
      </c>
      <c r="DIG1">
        <f>IFERROR(IF((ISBLANK(VLOOKUP(DIG7,#REF!,4,FALSE)))=TRUE,VLOOKUP(DIG7,#REF!,3,FALSE),VLOOKUP(DIG7,#REF!,4,FALSE)),0)</f>
        <v/>
      </c>
      <c r="DIH1">
        <f>IFERROR(IF((ISBLANK(VLOOKUP(DIH7,#REF!,4,FALSE)))=TRUE,VLOOKUP(DIH7,#REF!,3,FALSE),VLOOKUP(DIH7,#REF!,4,FALSE)),0)</f>
        <v/>
      </c>
      <c r="DII1">
        <f>IFERROR(IF((ISBLANK(VLOOKUP(DII7,#REF!,4,FALSE)))=TRUE,VLOOKUP(DII7,#REF!,3,FALSE),VLOOKUP(DII7,#REF!,4,FALSE)),0)</f>
        <v/>
      </c>
      <c r="DIJ1">
        <f>IFERROR(IF((ISBLANK(VLOOKUP(DIJ7,#REF!,4,FALSE)))=TRUE,VLOOKUP(DIJ7,#REF!,3,FALSE),VLOOKUP(DIJ7,#REF!,4,FALSE)),0)</f>
        <v/>
      </c>
      <c r="DIK1">
        <f>IFERROR(IF((ISBLANK(VLOOKUP(DIK7,#REF!,4,FALSE)))=TRUE,VLOOKUP(DIK7,#REF!,3,FALSE),VLOOKUP(DIK7,#REF!,4,FALSE)),0)</f>
        <v/>
      </c>
      <c r="DIL1">
        <f>IFERROR(IF((ISBLANK(VLOOKUP(DIL7,#REF!,4,FALSE)))=TRUE,VLOOKUP(DIL7,#REF!,3,FALSE),VLOOKUP(DIL7,#REF!,4,FALSE)),0)</f>
        <v/>
      </c>
      <c r="DIM1">
        <f>IFERROR(IF((ISBLANK(VLOOKUP(DIM7,#REF!,4,FALSE)))=TRUE,VLOOKUP(DIM7,#REF!,3,FALSE),VLOOKUP(DIM7,#REF!,4,FALSE)),0)</f>
        <v/>
      </c>
      <c r="DIN1">
        <f>IFERROR(IF((ISBLANK(VLOOKUP(DIN7,#REF!,4,FALSE)))=TRUE,VLOOKUP(DIN7,#REF!,3,FALSE),VLOOKUP(DIN7,#REF!,4,FALSE)),0)</f>
        <v/>
      </c>
      <c r="DIO1">
        <f>IFERROR(IF((ISBLANK(VLOOKUP(DIO7,#REF!,4,FALSE)))=TRUE,VLOOKUP(DIO7,#REF!,3,FALSE),VLOOKUP(DIO7,#REF!,4,FALSE)),0)</f>
        <v/>
      </c>
      <c r="DIP1">
        <f>IFERROR(IF((ISBLANK(VLOOKUP(DIP7,#REF!,4,FALSE)))=TRUE,VLOOKUP(DIP7,#REF!,3,FALSE),VLOOKUP(DIP7,#REF!,4,FALSE)),0)</f>
        <v/>
      </c>
      <c r="DIQ1">
        <f>IFERROR(IF((ISBLANK(VLOOKUP(DIQ7,#REF!,4,FALSE)))=TRUE,VLOOKUP(DIQ7,#REF!,3,FALSE),VLOOKUP(DIQ7,#REF!,4,FALSE)),0)</f>
        <v/>
      </c>
      <c r="DIR1">
        <f>IFERROR(IF((ISBLANK(VLOOKUP(DIR7,#REF!,4,FALSE)))=TRUE,VLOOKUP(DIR7,#REF!,3,FALSE),VLOOKUP(DIR7,#REF!,4,FALSE)),0)</f>
        <v/>
      </c>
      <c r="DIS1">
        <f>IFERROR(IF((ISBLANK(VLOOKUP(DIS7,#REF!,4,FALSE)))=TRUE,VLOOKUP(DIS7,#REF!,3,FALSE),VLOOKUP(DIS7,#REF!,4,FALSE)),0)</f>
        <v/>
      </c>
      <c r="DIT1">
        <f>IFERROR(IF((ISBLANK(VLOOKUP(DIT7,#REF!,4,FALSE)))=TRUE,VLOOKUP(DIT7,#REF!,3,FALSE),VLOOKUP(DIT7,#REF!,4,FALSE)),0)</f>
        <v/>
      </c>
      <c r="DIU1">
        <f>IFERROR(IF((ISBLANK(VLOOKUP(DIU7,#REF!,4,FALSE)))=TRUE,VLOOKUP(DIU7,#REF!,3,FALSE),VLOOKUP(DIU7,#REF!,4,FALSE)),0)</f>
        <v/>
      </c>
      <c r="DIV1">
        <f>IFERROR(IF((ISBLANK(VLOOKUP(DIV7,#REF!,4,FALSE)))=TRUE,VLOOKUP(DIV7,#REF!,3,FALSE),VLOOKUP(DIV7,#REF!,4,FALSE)),0)</f>
        <v/>
      </c>
      <c r="DIW1">
        <f>IFERROR(IF((ISBLANK(VLOOKUP(DIW7,#REF!,4,FALSE)))=TRUE,VLOOKUP(DIW7,#REF!,3,FALSE),VLOOKUP(DIW7,#REF!,4,FALSE)),0)</f>
        <v/>
      </c>
      <c r="DIX1">
        <f>IFERROR(IF((ISBLANK(VLOOKUP(DIX7,#REF!,4,FALSE)))=TRUE,VLOOKUP(DIX7,#REF!,3,FALSE),VLOOKUP(DIX7,#REF!,4,FALSE)),0)</f>
        <v/>
      </c>
      <c r="DIY1">
        <f>IFERROR(IF((ISBLANK(VLOOKUP(DIY7,#REF!,4,FALSE)))=TRUE,VLOOKUP(DIY7,#REF!,3,FALSE),VLOOKUP(DIY7,#REF!,4,FALSE)),0)</f>
        <v/>
      </c>
      <c r="DIZ1">
        <f>IFERROR(IF((ISBLANK(VLOOKUP(DIZ7,#REF!,4,FALSE)))=TRUE,VLOOKUP(DIZ7,#REF!,3,FALSE),VLOOKUP(DIZ7,#REF!,4,FALSE)),0)</f>
        <v/>
      </c>
      <c r="DJA1">
        <f>IFERROR(IF((ISBLANK(VLOOKUP(DJA7,#REF!,4,FALSE)))=TRUE,VLOOKUP(DJA7,#REF!,3,FALSE),VLOOKUP(DJA7,#REF!,4,FALSE)),0)</f>
        <v/>
      </c>
      <c r="DJB1">
        <f>IFERROR(IF((ISBLANK(VLOOKUP(DJB7,#REF!,4,FALSE)))=TRUE,VLOOKUP(DJB7,#REF!,3,FALSE),VLOOKUP(DJB7,#REF!,4,FALSE)),0)</f>
        <v/>
      </c>
      <c r="DJC1">
        <f>IFERROR(IF((ISBLANK(VLOOKUP(DJC7,#REF!,4,FALSE)))=TRUE,VLOOKUP(DJC7,#REF!,3,FALSE),VLOOKUP(DJC7,#REF!,4,FALSE)),0)</f>
        <v/>
      </c>
      <c r="DJD1">
        <f>IFERROR(IF((ISBLANK(VLOOKUP(DJD7,#REF!,4,FALSE)))=TRUE,VLOOKUP(DJD7,#REF!,3,FALSE),VLOOKUP(DJD7,#REF!,4,FALSE)),0)</f>
        <v/>
      </c>
      <c r="DJE1">
        <f>IFERROR(IF((ISBLANK(VLOOKUP(DJE7,#REF!,4,FALSE)))=TRUE,VLOOKUP(DJE7,#REF!,3,FALSE),VLOOKUP(DJE7,#REF!,4,FALSE)),0)</f>
        <v/>
      </c>
      <c r="DJF1">
        <f>IFERROR(IF((ISBLANK(VLOOKUP(DJF7,#REF!,4,FALSE)))=TRUE,VLOOKUP(DJF7,#REF!,3,FALSE),VLOOKUP(DJF7,#REF!,4,FALSE)),0)</f>
        <v/>
      </c>
      <c r="DJG1">
        <f>IFERROR(IF((ISBLANK(VLOOKUP(DJG7,#REF!,4,FALSE)))=TRUE,VLOOKUP(DJG7,#REF!,3,FALSE),VLOOKUP(DJG7,#REF!,4,FALSE)),0)</f>
        <v/>
      </c>
      <c r="DJH1">
        <f>IFERROR(IF((ISBLANK(VLOOKUP(DJH7,#REF!,4,FALSE)))=TRUE,VLOOKUP(DJH7,#REF!,3,FALSE),VLOOKUP(DJH7,#REF!,4,FALSE)),0)</f>
        <v/>
      </c>
      <c r="DJI1">
        <f>IFERROR(IF((ISBLANK(VLOOKUP(DJI7,#REF!,4,FALSE)))=TRUE,VLOOKUP(DJI7,#REF!,3,FALSE),VLOOKUP(DJI7,#REF!,4,FALSE)),0)</f>
        <v/>
      </c>
      <c r="DJJ1">
        <f>IFERROR(IF((ISBLANK(VLOOKUP(DJJ7,#REF!,4,FALSE)))=TRUE,VLOOKUP(DJJ7,#REF!,3,FALSE),VLOOKUP(DJJ7,#REF!,4,FALSE)),0)</f>
        <v/>
      </c>
      <c r="DJK1">
        <f>IFERROR(IF((ISBLANK(VLOOKUP(DJK7,#REF!,4,FALSE)))=TRUE,VLOOKUP(DJK7,#REF!,3,FALSE),VLOOKUP(DJK7,#REF!,4,FALSE)),0)</f>
        <v/>
      </c>
      <c r="DJL1">
        <f>IFERROR(IF((ISBLANK(VLOOKUP(DJL7,#REF!,4,FALSE)))=TRUE,VLOOKUP(DJL7,#REF!,3,FALSE),VLOOKUP(DJL7,#REF!,4,FALSE)),0)</f>
        <v/>
      </c>
      <c r="DJM1">
        <f>IFERROR(IF((ISBLANK(VLOOKUP(DJM7,#REF!,4,FALSE)))=TRUE,VLOOKUP(DJM7,#REF!,3,FALSE),VLOOKUP(DJM7,#REF!,4,FALSE)),0)</f>
        <v/>
      </c>
      <c r="DJN1">
        <f>IFERROR(IF((ISBLANK(VLOOKUP(DJN7,#REF!,4,FALSE)))=TRUE,VLOOKUP(DJN7,#REF!,3,FALSE),VLOOKUP(DJN7,#REF!,4,FALSE)),0)</f>
        <v/>
      </c>
      <c r="DJO1">
        <f>IFERROR(IF((ISBLANK(VLOOKUP(DJO7,#REF!,4,FALSE)))=TRUE,VLOOKUP(DJO7,#REF!,3,FALSE),VLOOKUP(DJO7,#REF!,4,FALSE)),0)</f>
        <v/>
      </c>
      <c r="DJP1">
        <f>IFERROR(IF((ISBLANK(VLOOKUP(DJP7,#REF!,4,FALSE)))=TRUE,VLOOKUP(DJP7,#REF!,3,FALSE),VLOOKUP(DJP7,#REF!,4,FALSE)),0)</f>
        <v/>
      </c>
      <c r="DJQ1">
        <f>IFERROR(IF((ISBLANK(VLOOKUP(DJQ7,#REF!,4,FALSE)))=TRUE,VLOOKUP(DJQ7,#REF!,3,FALSE),VLOOKUP(DJQ7,#REF!,4,FALSE)),0)</f>
        <v/>
      </c>
      <c r="DJR1">
        <f>IFERROR(IF((ISBLANK(VLOOKUP(DJR7,#REF!,4,FALSE)))=TRUE,VLOOKUP(DJR7,#REF!,3,FALSE),VLOOKUP(DJR7,#REF!,4,FALSE)),0)</f>
        <v/>
      </c>
      <c r="DJS1">
        <f>IFERROR(IF((ISBLANK(VLOOKUP(DJS7,#REF!,4,FALSE)))=TRUE,VLOOKUP(DJS7,#REF!,3,FALSE),VLOOKUP(DJS7,#REF!,4,FALSE)),0)</f>
        <v/>
      </c>
      <c r="DJT1">
        <f>IFERROR(IF((ISBLANK(VLOOKUP(DJT7,#REF!,4,FALSE)))=TRUE,VLOOKUP(DJT7,#REF!,3,FALSE),VLOOKUP(DJT7,#REF!,4,FALSE)),0)</f>
        <v/>
      </c>
      <c r="DJU1">
        <f>IFERROR(IF((ISBLANK(VLOOKUP(DJU7,#REF!,4,FALSE)))=TRUE,VLOOKUP(DJU7,#REF!,3,FALSE),VLOOKUP(DJU7,#REF!,4,FALSE)),0)</f>
        <v/>
      </c>
      <c r="DJV1">
        <f>IFERROR(IF((ISBLANK(VLOOKUP(DJV7,#REF!,4,FALSE)))=TRUE,VLOOKUP(DJV7,#REF!,3,FALSE),VLOOKUP(DJV7,#REF!,4,FALSE)),0)</f>
        <v/>
      </c>
      <c r="DJW1">
        <f>IFERROR(IF((ISBLANK(VLOOKUP(DJW7,#REF!,4,FALSE)))=TRUE,VLOOKUP(DJW7,#REF!,3,FALSE),VLOOKUP(DJW7,#REF!,4,FALSE)),0)</f>
        <v/>
      </c>
      <c r="DJX1">
        <f>IFERROR(IF((ISBLANK(VLOOKUP(DJX7,#REF!,4,FALSE)))=TRUE,VLOOKUP(DJX7,#REF!,3,FALSE),VLOOKUP(DJX7,#REF!,4,FALSE)),0)</f>
        <v/>
      </c>
      <c r="DJY1">
        <f>IFERROR(IF((ISBLANK(VLOOKUP(DJY7,#REF!,4,FALSE)))=TRUE,VLOOKUP(DJY7,#REF!,3,FALSE),VLOOKUP(DJY7,#REF!,4,FALSE)),0)</f>
        <v/>
      </c>
      <c r="DJZ1">
        <f>IFERROR(IF((ISBLANK(VLOOKUP(DJZ7,#REF!,4,FALSE)))=TRUE,VLOOKUP(DJZ7,#REF!,3,FALSE),VLOOKUP(DJZ7,#REF!,4,FALSE)),0)</f>
        <v/>
      </c>
      <c r="DKA1">
        <f>IFERROR(IF((ISBLANK(VLOOKUP(DKA7,#REF!,4,FALSE)))=TRUE,VLOOKUP(DKA7,#REF!,3,FALSE),VLOOKUP(DKA7,#REF!,4,FALSE)),0)</f>
        <v/>
      </c>
      <c r="DKB1">
        <f>IFERROR(IF((ISBLANK(VLOOKUP(DKB7,#REF!,4,FALSE)))=TRUE,VLOOKUP(DKB7,#REF!,3,FALSE),VLOOKUP(DKB7,#REF!,4,FALSE)),0)</f>
        <v/>
      </c>
      <c r="DKC1">
        <f>IFERROR(IF((ISBLANK(VLOOKUP(DKC7,#REF!,4,FALSE)))=TRUE,VLOOKUP(DKC7,#REF!,3,FALSE),VLOOKUP(DKC7,#REF!,4,FALSE)),0)</f>
        <v/>
      </c>
      <c r="DKD1">
        <f>IFERROR(IF((ISBLANK(VLOOKUP(DKD7,#REF!,4,FALSE)))=TRUE,VLOOKUP(DKD7,#REF!,3,FALSE),VLOOKUP(DKD7,#REF!,4,FALSE)),0)</f>
        <v/>
      </c>
      <c r="DKE1">
        <f>IFERROR(IF((ISBLANK(VLOOKUP(DKE7,#REF!,4,FALSE)))=TRUE,VLOOKUP(DKE7,#REF!,3,FALSE),VLOOKUP(DKE7,#REF!,4,FALSE)),0)</f>
        <v/>
      </c>
      <c r="DKF1">
        <f>IFERROR(IF((ISBLANK(VLOOKUP(DKF7,#REF!,4,FALSE)))=TRUE,VLOOKUP(DKF7,#REF!,3,FALSE),VLOOKUP(DKF7,#REF!,4,FALSE)),0)</f>
        <v/>
      </c>
      <c r="DKG1">
        <f>IFERROR(IF((ISBLANK(VLOOKUP(DKG7,#REF!,4,FALSE)))=TRUE,VLOOKUP(DKG7,#REF!,3,FALSE),VLOOKUP(DKG7,#REF!,4,FALSE)),0)</f>
        <v/>
      </c>
      <c r="DKH1">
        <f>IFERROR(IF((ISBLANK(VLOOKUP(DKH7,#REF!,4,FALSE)))=TRUE,VLOOKUP(DKH7,#REF!,3,FALSE),VLOOKUP(DKH7,#REF!,4,FALSE)),0)</f>
        <v/>
      </c>
      <c r="DKI1">
        <f>IFERROR(IF((ISBLANK(VLOOKUP(DKI7,#REF!,4,FALSE)))=TRUE,VLOOKUP(DKI7,#REF!,3,FALSE),VLOOKUP(DKI7,#REF!,4,FALSE)),0)</f>
        <v/>
      </c>
      <c r="DKJ1">
        <f>IFERROR(IF((ISBLANK(VLOOKUP(DKJ7,#REF!,4,FALSE)))=TRUE,VLOOKUP(DKJ7,#REF!,3,FALSE),VLOOKUP(DKJ7,#REF!,4,FALSE)),0)</f>
        <v/>
      </c>
      <c r="DKK1">
        <f>IFERROR(IF((ISBLANK(VLOOKUP(DKK7,#REF!,4,FALSE)))=TRUE,VLOOKUP(DKK7,#REF!,3,FALSE),VLOOKUP(DKK7,#REF!,4,FALSE)),0)</f>
        <v/>
      </c>
      <c r="DKL1">
        <f>IFERROR(IF((ISBLANK(VLOOKUP(DKL7,#REF!,4,FALSE)))=TRUE,VLOOKUP(DKL7,#REF!,3,FALSE),VLOOKUP(DKL7,#REF!,4,FALSE)),0)</f>
        <v/>
      </c>
      <c r="DKM1">
        <f>IFERROR(IF((ISBLANK(VLOOKUP(DKM7,#REF!,4,FALSE)))=TRUE,VLOOKUP(DKM7,#REF!,3,FALSE),VLOOKUP(DKM7,#REF!,4,FALSE)),0)</f>
        <v/>
      </c>
      <c r="DKN1">
        <f>IFERROR(IF((ISBLANK(VLOOKUP(DKN7,#REF!,4,FALSE)))=TRUE,VLOOKUP(DKN7,#REF!,3,FALSE),VLOOKUP(DKN7,#REF!,4,FALSE)),0)</f>
        <v/>
      </c>
      <c r="DKO1">
        <f>IFERROR(IF((ISBLANK(VLOOKUP(DKO7,#REF!,4,FALSE)))=TRUE,VLOOKUP(DKO7,#REF!,3,FALSE),VLOOKUP(DKO7,#REF!,4,FALSE)),0)</f>
        <v/>
      </c>
      <c r="DKP1">
        <f>IFERROR(IF((ISBLANK(VLOOKUP(DKP7,#REF!,4,FALSE)))=TRUE,VLOOKUP(DKP7,#REF!,3,FALSE),VLOOKUP(DKP7,#REF!,4,FALSE)),0)</f>
        <v/>
      </c>
      <c r="DKQ1">
        <f>IFERROR(IF((ISBLANK(VLOOKUP(DKQ7,#REF!,4,FALSE)))=TRUE,VLOOKUP(DKQ7,#REF!,3,FALSE),VLOOKUP(DKQ7,#REF!,4,FALSE)),0)</f>
        <v/>
      </c>
      <c r="DKR1">
        <f>IFERROR(IF((ISBLANK(VLOOKUP(DKR7,#REF!,4,FALSE)))=TRUE,VLOOKUP(DKR7,#REF!,3,FALSE),VLOOKUP(DKR7,#REF!,4,FALSE)),0)</f>
        <v/>
      </c>
      <c r="DKS1">
        <f>IFERROR(IF((ISBLANK(VLOOKUP(DKS7,#REF!,4,FALSE)))=TRUE,VLOOKUP(DKS7,#REF!,3,FALSE),VLOOKUP(DKS7,#REF!,4,FALSE)),0)</f>
        <v/>
      </c>
      <c r="DKT1">
        <f>IFERROR(IF((ISBLANK(VLOOKUP(DKT7,#REF!,4,FALSE)))=TRUE,VLOOKUP(DKT7,#REF!,3,FALSE),VLOOKUP(DKT7,#REF!,4,FALSE)),0)</f>
        <v/>
      </c>
      <c r="DKU1">
        <f>IFERROR(IF((ISBLANK(VLOOKUP(DKU7,#REF!,4,FALSE)))=TRUE,VLOOKUP(DKU7,#REF!,3,FALSE),VLOOKUP(DKU7,#REF!,4,FALSE)),0)</f>
        <v/>
      </c>
      <c r="DKV1">
        <f>IFERROR(IF((ISBLANK(VLOOKUP(DKV7,#REF!,4,FALSE)))=TRUE,VLOOKUP(DKV7,#REF!,3,FALSE),VLOOKUP(DKV7,#REF!,4,FALSE)),0)</f>
        <v/>
      </c>
      <c r="DKW1">
        <f>IFERROR(IF((ISBLANK(VLOOKUP(DKW7,#REF!,4,FALSE)))=TRUE,VLOOKUP(DKW7,#REF!,3,FALSE),VLOOKUP(DKW7,#REF!,4,FALSE)),0)</f>
        <v/>
      </c>
      <c r="DKX1">
        <f>IFERROR(IF((ISBLANK(VLOOKUP(DKX7,#REF!,4,FALSE)))=TRUE,VLOOKUP(DKX7,#REF!,3,FALSE),VLOOKUP(DKX7,#REF!,4,FALSE)),0)</f>
        <v/>
      </c>
      <c r="DKY1">
        <f>IFERROR(IF((ISBLANK(VLOOKUP(DKY7,#REF!,4,FALSE)))=TRUE,VLOOKUP(DKY7,#REF!,3,FALSE),VLOOKUP(DKY7,#REF!,4,FALSE)),0)</f>
        <v/>
      </c>
      <c r="DKZ1">
        <f>IFERROR(IF((ISBLANK(VLOOKUP(DKZ7,#REF!,4,FALSE)))=TRUE,VLOOKUP(DKZ7,#REF!,3,FALSE),VLOOKUP(DKZ7,#REF!,4,FALSE)),0)</f>
        <v/>
      </c>
      <c r="DLA1">
        <f>IFERROR(IF((ISBLANK(VLOOKUP(DLA7,#REF!,4,FALSE)))=TRUE,VLOOKUP(DLA7,#REF!,3,FALSE),VLOOKUP(DLA7,#REF!,4,FALSE)),0)</f>
        <v/>
      </c>
      <c r="DLB1">
        <f>IFERROR(IF((ISBLANK(VLOOKUP(DLB7,#REF!,4,FALSE)))=TRUE,VLOOKUP(DLB7,#REF!,3,FALSE),VLOOKUP(DLB7,#REF!,4,FALSE)),0)</f>
        <v/>
      </c>
      <c r="DLC1">
        <f>IFERROR(IF((ISBLANK(VLOOKUP(DLC7,#REF!,4,FALSE)))=TRUE,VLOOKUP(DLC7,#REF!,3,FALSE),VLOOKUP(DLC7,#REF!,4,FALSE)),0)</f>
        <v/>
      </c>
      <c r="DLD1">
        <f>IFERROR(IF((ISBLANK(VLOOKUP(DLD7,#REF!,4,FALSE)))=TRUE,VLOOKUP(DLD7,#REF!,3,FALSE),VLOOKUP(DLD7,#REF!,4,FALSE)),0)</f>
        <v/>
      </c>
      <c r="DLE1">
        <f>IFERROR(IF((ISBLANK(VLOOKUP(DLE7,#REF!,4,FALSE)))=TRUE,VLOOKUP(DLE7,#REF!,3,FALSE),VLOOKUP(DLE7,#REF!,4,FALSE)),0)</f>
        <v/>
      </c>
      <c r="DLF1">
        <f>IFERROR(IF((ISBLANK(VLOOKUP(DLF7,#REF!,4,FALSE)))=TRUE,VLOOKUP(DLF7,#REF!,3,FALSE),VLOOKUP(DLF7,#REF!,4,FALSE)),0)</f>
        <v/>
      </c>
      <c r="DLG1">
        <f>IFERROR(IF((ISBLANK(VLOOKUP(DLG7,#REF!,4,FALSE)))=TRUE,VLOOKUP(DLG7,#REF!,3,FALSE),VLOOKUP(DLG7,#REF!,4,FALSE)),0)</f>
        <v/>
      </c>
      <c r="DLH1">
        <f>IFERROR(IF((ISBLANK(VLOOKUP(DLH7,#REF!,4,FALSE)))=TRUE,VLOOKUP(DLH7,#REF!,3,FALSE),VLOOKUP(DLH7,#REF!,4,FALSE)),0)</f>
        <v/>
      </c>
      <c r="DLI1">
        <f>IFERROR(IF((ISBLANK(VLOOKUP(DLI7,#REF!,4,FALSE)))=TRUE,VLOOKUP(DLI7,#REF!,3,FALSE),VLOOKUP(DLI7,#REF!,4,FALSE)),0)</f>
        <v/>
      </c>
      <c r="DLJ1">
        <f>IFERROR(IF((ISBLANK(VLOOKUP(DLJ7,#REF!,4,FALSE)))=TRUE,VLOOKUP(DLJ7,#REF!,3,FALSE),VLOOKUP(DLJ7,#REF!,4,FALSE)),0)</f>
        <v/>
      </c>
      <c r="DLK1">
        <f>IFERROR(IF((ISBLANK(VLOOKUP(DLK7,#REF!,4,FALSE)))=TRUE,VLOOKUP(DLK7,#REF!,3,FALSE),VLOOKUP(DLK7,#REF!,4,FALSE)),0)</f>
        <v/>
      </c>
      <c r="DLL1">
        <f>IFERROR(IF((ISBLANK(VLOOKUP(DLL7,#REF!,4,FALSE)))=TRUE,VLOOKUP(DLL7,#REF!,3,FALSE),VLOOKUP(DLL7,#REF!,4,FALSE)),0)</f>
        <v/>
      </c>
      <c r="DLM1">
        <f>IFERROR(IF((ISBLANK(VLOOKUP(DLM7,#REF!,4,FALSE)))=TRUE,VLOOKUP(DLM7,#REF!,3,FALSE),VLOOKUP(DLM7,#REF!,4,FALSE)),0)</f>
        <v/>
      </c>
      <c r="DLN1">
        <f>IFERROR(IF((ISBLANK(VLOOKUP(DLN7,#REF!,4,FALSE)))=TRUE,VLOOKUP(DLN7,#REF!,3,FALSE),VLOOKUP(DLN7,#REF!,4,FALSE)),0)</f>
        <v/>
      </c>
      <c r="DLO1">
        <f>IFERROR(IF((ISBLANK(VLOOKUP(DLO7,#REF!,4,FALSE)))=TRUE,VLOOKUP(DLO7,#REF!,3,FALSE),VLOOKUP(DLO7,#REF!,4,FALSE)),0)</f>
        <v/>
      </c>
      <c r="DLP1">
        <f>IFERROR(IF((ISBLANK(VLOOKUP(DLP7,#REF!,4,FALSE)))=TRUE,VLOOKUP(DLP7,#REF!,3,FALSE),VLOOKUP(DLP7,#REF!,4,FALSE)),0)</f>
        <v/>
      </c>
      <c r="DLQ1">
        <f>IFERROR(IF((ISBLANK(VLOOKUP(DLQ7,#REF!,4,FALSE)))=TRUE,VLOOKUP(DLQ7,#REF!,3,FALSE),VLOOKUP(DLQ7,#REF!,4,FALSE)),0)</f>
        <v/>
      </c>
      <c r="DLR1">
        <f>IFERROR(IF((ISBLANK(VLOOKUP(DLR7,#REF!,4,FALSE)))=TRUE,VLOOKUP(DLR7,#REF!,3,FALSE),VLOOKUP(DLR7,#REF!,4,FALSE)),0)</f>
        <v/>
      </c>
      <c r="DLS1">
        <f>IFERROR(IF((ISBLANK(VLOOKUP(DLS7,#REF!,4,FALSE)))=TRUE,VLOOKUP(DLS7,#REF!,3,FALSE),VLOOKUP(DLS7,#REF!,4,FALSE)),0)</f>
        <v/>
      </c>
      <c r="DLT1">
        <f>IFERROR(IF((ISBLANK(VLOOKUP(DLT7,#REF!,4,FALSE)))=TRUE,VLOOKUP(DLT7,#REF!,3,FALSE),VLOOKUP(DLT7,#REF!,4,FALSE)),0)</f>
        <v/>
      </c>
      <c r="DLU1">
        <f>IFERROR(IF((ISBLANK(VLOOKUP(DLU7,#REF!,4,FALSE)))=TRUE,VLOOKUP(DLU7,#REF!,3,FALSE),VLOOKUP(DLU7,#REF!,4,FALSE)),0)</f>
        <v/>
      </c>
      <c r="DLV1">
        <f>IFERROR(IF((ISBLANK(VLOOKUP(DLV7,#REF!,4,FALSE)))=TRUE,VLOOKUP(DLV7,#REF!,3,FALSE),VLOOKUP(DLV7,#REF!,4,FALSE)),0)</f>
        <v/>
      </c>
      <c r="DLW1">
        <f>IFERROR(IF((ISBLANK(VLOOKUP(DLW7,#REF!,4,FALSE)))=TRUE,VLOOKUP(DLW7,#REF!,3,FALSE),VLOOKUP(DLW7,#REF!,4,FALSE)),0)</f>
        <v/>
      </c>
      <c r="DLX1">
        <f>IFERROR(IF((ISBLANK(VLOOKUP(DLX7,#REF!,4,FALSE)))=TRUE,VLOOKUP(DLX7,#REF!,3,FALSE),VLOOKUP(DLX7,#REF!,4,FALSE)),0)</f>
        <v/>
      </c>
      <c r="DLY1">
        <f>IFERROR(IF((ISBLANK(VLOOKUP(DLY7,#REF!,4,FALSE)))=TRUE,VLOOKUP(DLY7,#REF!,3,FALSE),VLOOKUP(DLY7,#REF!,4,FALSE)),0)</f>
        <v/>
      </c>
      <c r="DLZ1">
        <f>IFERROR(IF((ISBLANK(VLOOKUP(DLZ7,#REF!,4,FALSE)))=TRUE,VLOOKUP(DLZ7,#REF!,3,FALSE),VLOOKUP(DLZ7,#REF!,4,FALSE)),0)</f>
        <v/>
      </c>
      <c r="DMA1">
        <f>IFERROR(IF((ISBLANK(VLOOKUP(DMA7,#REF!,4,FALSE)))=TRUE,VLOOKUP(DMA7,#REF!,3,FALSE),VLOOKUP(DMA7,#REF!,4,FALSE)),0)</f>
        <v/>
      </c>
      <c r="DMB1">
        <f>IFERROR(IF((ISBLANK(VLOOKUP(DMB7,#REF!,4,FALSE)))=TRUE,VLOOKUP(DMB7,#REF!,3,FALSE),VLOOKUP(DMB7,#REF!,4,FALSE)),0)</f>
        <v/>
      </c>
      <c r="DMC1">
        <f>IFERROR(IF((ISBLANK(VLOOKUP(DMC7,#REF!,4,FALSE)))=TRUE,VLOOKUP(DMC7,#REF!,3,FALSE),VLOOKUP(DMC7,#REF!,4,FALSE)),0)</f>
        <v/>
      </c>
      <c r="DMD1">
        <f>IFERROR(IF((ISBLANK(VLOOKUP(DMD7,#REF!,4,FALSE)))=TRUE,VLOOKUP(DMD7,#REF!,3,FALSE),VLOOKUP(DMD7,#REF!,4,FALSE)),0)</f>
        <v/>
      </c>
      <c r="DME1">
        <f>IFERROR(IF((ISBLANK(VLOOKUP(DME7,#REF!,4,FALSE)))=TRUE,VLOOKUP(DME7,#REF!,3,FALSE),VLOOKUP(DME7,#REF!,4,FALSE)),0)</f>
        <v/>
      </c>
      <c r="DMF1">
        <f>IFERROR(IF((ISBLANK(VLOOKUP(DMF7,#REF!,4,FALSE)))=TRUE,VLOOKUP(DMF7,#REF!,3,FALSE),VLOOKUP(DMF7,#REF!,4,FALSE)),0)</f>
        <v/>
      </c>
      <c r="DMG1">
        <f>IFERROR(IF((ISBLANK(VLOOKUP(DMG7,#REF!,4,FALSE)))=TRUE,VLOOKUP(DMG7,#REF!,3,FALSE),VLOOKUP(DMG7,#REF!,4,FALSE)),0)</f>
        <v/>
      </c>
      <c r="DMH1">
        <f>IFERROR(IF((ISBLANK(VLOOKUP(DMH7,#REF!,4,FALSE)))=TRUE,VLOOKUP(DMH7,#REF!,3,FALSE),VLOOKUP(DMH7,#REF!,4,FALSE)),0)</f>
        <v/>
      </c>
      <c r="DMI1">
        <f>IFERROR(IF((ISBLANK(VLOOKUP(DMI7,#REF!,4,FALSE)))=TRUE,VLOOKUP(DMI7,#REF!,3,FALSE),VLOOKUP(DMI7,#REF!,4,FALSE)),0)</f>
        <v/>
      </c>
      <c r="DMJ1">
        <f>IFERROR(IF((ISBLANK(VLOOKUP(DMJ7,#REF!,4,FALSE)))=TRUE,VLOOKUP(DMJ7,#REF!,3,FALSE),VLOOKUP(DMJ7,#REF!,4,FALSE)),0)</f>
        <v/>
      </c>
      <c r="DMK1">
        <f>IFERROR(IF((ISBLANK(VLOOKUP(DMK7,#REF!,4,FALSE)))=TRUE,VLOOKUP(DMK7,#REF!,3,FALSE),VLOOKUP(DMK7,#REF!,4,FALSE)),0)</f>
        <v/>
      </c>
      <c r="DML1">
        <f>IFERROR(IF((ISBLANK(VLOOKUP(DML7,#REF!,4,FALSE)))=TRUE,VLOOKUP(DML7,#REF!,3,FALSE),VLOOKUP(DML7,#REF!,4,FALSE)),0)</f>
        <v/>
      </c>
      <c r="DMM1">
        <f>IFERROR(IF((ISBLANK(VLOOKUP(DMM7,#REF!,4,FALSE)))=TRUE,VLOOKUP(DMM7,#REF!,3,FALSE),VLOOKUP(DMM7,#REF!,4,FALSE)),0)</f>
        <v/>
      </c>
      <c r="DMN1">
        <f>IFERROR(IF((ISBLANK(VLOOKUP(DMN7,#REF!,4,FALSE)))=TRUE,VLOOKUP(DMN7,#REF!,3,FALSE),VLOOKUP(DMN7,#REF!,4,FALSE)),0)</f>
        <v/>
      </c>
      <c r="DMO1">
        <f>IFERROR(IF((ISBLANK(VLOOKUP(DMO7,#REF!,4,FALSE)))=TRUE,VLOOKUP(DMO7,#REF!,3,FALSE),VLOOKUP(DMO7,#REF!,4,FALSE)),0)</f>
        <v/>
      </c>
      <c r="DMP1">
        <f>IFERROR(IF((ISBLANK(VLOOKUP(DMP7,#REF!,4,FALSE)))=TRUE,VLOOKUP(DMP7,#REF!,3,FALSE),VLOOKUP(DMP7,#REF!,4,FALSE)),0)</f>
        <v/>
      </c>
      <c r="DMQ1">
        <f>IFERROR(IF((ISBLANK(VLOOKUP(DMQ7,#REF!,4,FALSE)))=TRUE,VLOOKUP(DMQ7,#REF!,3,FALSE),VLOOKUP(DMQ7,#REF!,4,FALSE)),0)</f>
        <v/>
      </c>
      <c r="DMR1">
        <f>IFERROR(IF((ISBLANK(VLOOKUP(DMR7,#REF!,4,FALSE)))=TRUE,VLOOKUP(DMR7,#REF!,3,FALSE),VLOOKUP(DMR7,#REF!,4,FALSE)),0)</f>
        <v/>
      </c>
      <c r="DMS1">
        <f>IFERROR(IF((ISBLANK(VLOOKUP(DMS7,#REF!,4,FALSE)))=TRUE,VLOOKUP(DMS7,#REF!,3,FALSE),VLOOKUP(DMS7,#REF!,4,FALSE)),0)</f>
        <v/>
      </c>
      <c r="DMT1">
        <f>IFERROR(IF((ISBLANK(VLOOKUP(DMT7,#REF!,4,FALSE)))=TRUE,VLOOKUP(DMT7,#REF!,3,FALSE),VLOOKUP(DMT7,#REF!,4,FALSE)),0)</f>
        <v/>
      </c>
      <c r="DMU1">
        <f>IFERROR(IF((ISBLANK(VLOOKUP(DMU7,#REF!,4,FALSE)))=TRUE,VLOOKUP(DMU7,#REF!,3,FALSE),VLOOKUP(DMU7,#REF!,4,FALSE)),0)</f>
        <v/>
      </c>
      <c r="DMV1">
        <f>IFERROR(IF((ISBLANK(VLOOKUP(DMV7,#REF!,4,FALSE)))=TRUE,VLOOKUP(DMV7,#REF!,3,FALSE),VLOOKUP(DMV7,#REF!,4,FALSE)),0)</f>
        <v/>
      </c>
      <c r="DMW1">
        <f>IFERROR(IF((ISBLANK(VLOOKUP(DMW7,#REF!,4,FALSE)))=TRUE,VLOOKUP(DMW7,#REF!,3,FALSE),VLOOKUP(DMW7,#REF!,4,FALSE)),0)</f>
        <v/>
      </c>
      <c r="DMX1">
        <f>IFERROR(IF((ISBLANK(VLOOKUP(DMX7,#REF!,4,FALSE)))=TRUE,VLOOKUP(DMX7,#REF!,3,FALSE),VLOOKUP(DMX7,#REF!,4,FALSE)),0)</f>
        <v/>
      </c>
      <c r="DMY1">
        <f>IFERROR(IF((ISBLANK(VLOOKUP(DMY7,#REF!,4,FALSE)))=TRUE,VLOOKUP(DMY7,#REF!,3,FALSE),VLOOKUP(DMY7,#REF!,4,FALSE)),0)</f>
        <v/>
      </c>
      <c r="DMZ1">
        <f>IFERROR(IF((ISBLANK(VLOOKUP(DMZ7,#REF!,4,FALSE)))=TRUE,VLOOKUP(DMZ7,#REF!,3,FALSE),VLOOKUP(DMZ7,#REF!,4,FALSE)),0)</f>
        <v/>
      </c>
      <c r="DNA1">
        <f>IFERROR(IF((ISBLANK(VLOOKUP(DNA7,#REF!,4,FALSE)))=TRUE,VLOOKUP(DNA7,#REF!,3,FALSE),VLOOKUP(DNA7,#REF!,4,FALSE)),0)</f>
        <v/>
      </c>
      <c r="DNB1">
        <f>IFERROR(IF((ISBLANK(VLOOKUP(DNB7,#REF!,4,FALSE)))=TRUE,VLOOKUP(DNB7,#REF!,3,FALSE),VLOOKUP(DNB7,#REF!,4,FALSE)),0)</f>
        <v/>
      </c>
      <c r="DNC1">
        <f>IFERROR(IF((ISBLANK(VLOOKUP(DNC7,#REF!,4,FALSE)))=TRUE,VLOOKUP(DNC7,#REF!,3,FALSE),VLOOKUP(DNC7,#REF!,4,FALSE)),0)</f>
        <v/>
      </c>
      <c r="DND1">
        <f>IFERROR(IF((ISBLANK(VLOOKUP(DND7,#REF!,4,FALSE)))=TRUE,VLOOKUP(DND7,#REF!,3,FALSE),VLOOKUP(DND7,#REF!,4,FALSE)),0)</f>
        <v/>
      </c>
      <c r="DNE1">
        <f>IFERROR(IF((ISBLANK(VLOOKUP(DNE7,#REF!,4,FALSE)))=TRUE,VLOOKUP(DNE7,#REF!,3,FALSE),VLOOKUP(DNE7,#REF!,4,FALSE)),0)</f>
        <v/>
      </c>
      <c r="DNF1">
        <f>IFERROR(IF((ISBLANK(VLOOKUP(DNF7,#REF!,4,FALSE)))=TRUE,VLOOKUP(DNF7,#REF!,3,FALSE),VLOOKUP(DNF7,#REF!,4,FALSE)),0)</f>
        <v/>
      </c>
      <c r="DNG1">
        <f>IFERROR(IF((ISBLANK(VLOOKUP(DNG7,#REF!,4,FALSE)))=TRUE,VLOOKUP(DNG7,#REF!,3,FALSE),VLOOKUP(DNG7,#REF!,4,FALSE)),0)</f>
        <v/>
      </c>
      <c r="DNH1">
        <f>IFERROR(IF((ISBLANK(VLOOKUP(DNH7,#REF!,4,FALSE)))=TRUE,VLOOKUP(DNH7,#REF!,3,FALSE),VLOOKUP(DNH7,#REF!,4,FALSE)),0)</f>
        <v/>
      </c>
      <c r="DNI1">
        <f>IFERROR(IF((ISBLANK(VLOOKUP(DNI7,#REF!,4,FALSE)))=TRUE,VLOOKUP(DNI7,#REF!,3,FALSE),VLOOKUP(DNI7,#REF!,4,FALSE)),0)</f>
        <v/>
      </c>
      <c r="DNJ1">
        <f>IFERROR(IF((ISBLANK(VLOOKUP(DNJ7,#REF!,4,FALSE)))=TRUE,VLOOKUP(DNJ7,#REF!,3,FALSE),VLOOKUP(DNJ7,#REF!,4,FALSE)),0)</f>
        <v/>
      </c>
      <c r="DNK1">
        <f>IFERROR(IF((ISBLANK(VLOOKUP(DNK7,#REF!,4,FALSE)))=TRUE,VLOOKUP(DNK7,#REF!,3,FALSE),VLOOKUP(DNK7,#REF!,4,FALSE)),0)</f>
        <v/>
      </c>
      <c r="DNL1">
        <f>IFERROR(IF((ISBLANK(VLOOKUP(DNL7,#REF!,4,FALSE)))=TRUE,VLOOKUP(DNL7,#REF!,3,FALSE),VLOOKUP(DNL7,#REF!,4,FALSE)),0)</f>
        <v/>
      </c>
      <c r="DNM1">
        <f>IFERROR(IF((ISBLANK(VLOOKUP(DNM7,#REF!,4,FALSE)))=TRUE,VLOOKUP(DNM7,#REF!,3,FALSE),VLOOKUP(DNM7,#REF!,4,FALSE)),0)</f>
        <v/>
      </c>
      <c r="DNN1">
        <f>IFERROR(IF((ISBLANK(VLOOKUP(DNN7,#REF!,4,FALSE)))=TRUE,VLOOKUP(DNN7,#REF!,3,FALSE),VLOOKUP(DNN7,#REF!,4,FALSE)),0)</f>
        <v/>
      </c>
      <c r="DNO1">
        <f>IFERROR(IF((ISBLANK(VLOOKUP(DNO7,#REF!,4,FALSE)))=TRUE,VLOOKUP(DNO7,#REF!,3,FALSE),VLOOKUP(DNO7,#REF!,4,FALSE)),0)</f>
        <v/>
      </c>
      <c r="DNP1">
        <f>IFERROR(IF((ISBLANK(VLOOKUP(DNP7,#REF!,4,FALSE)))=TRUE,VLOOKUP(DNP7,#REF!,3,FALSE),VLOOKUP(DNP7,#REF!,4,FALSE)),0)</f>
        <v/>
      </c>
      <c r="DNQ1">
        <f>IFERROR(IF((ISBLANK(VLOOKUP(DNQ7,#REF!,4,FALSE)))=TRUE,VLOOKUP(DNQ7,#REF!,3,FALSE),VLOOKUP(DNQ7,#REF!,4,FALSE)),0)</f>
        <v/>
      </c>
      <c r="DNR1">
        <f>IFERROR(IF((ISBLANK(VLOOKUP(DNR7,#REF!,4,FALSE)))=TRUE,VLOOKUP(DNR7,#REF!,3,FALSE),VLOOKUP(DNR7,#REF!,4,FALSE)),0)</f>
        <v/>
      </c>
      <c r="DNS1">
        <f>IFERROR(IF((ISBLANK(VLOOKUP(DNS7,#REF!,4,FALSE)))=TRUE,VLOOKUP(DNS7,#REF!,3,FALSE),VLOOKUP(DNS7,#REF!,4,FALSE)),0)</f>
        <v/>
      </c>
      <c r="DNT1">
        <f>IFERROR(IF((ISBLANK(VLOOKUP(DNT7,#REF!,4,FALSE)))=TRUE,VLOOKUP(DNT7,#REF!,3,FALSE),VLOOKUP(DNT7,#REF!,4,FALSE)),0)</f>
        <v/>
      </c>
      <c r="DNU1">
        <f>IFERROR(IF((ISBLANK(VLOOKUP(DNU7,#REF!,4,FALSE)))=TRUE,VLOOKUP(DNU7,#REF!,3,FALSE),VLOOKUP(DNU7,#REF!,4,FALSE)),0)</f>
        <v/>
      </c>
      <c r="DNV1">
        <f>IFERROR(IF((ISBLANK(VLOOKUP(DNV7,#REF!,4,FALSE)))=TRUE,VLOOKUP(DNV7,#REF!,3,FALSE),VLOOKUP(DNV7,#REF!,4,FALSE)),0)</f>
        <v/>
      </c>
      <c r="DNW1">
        <f>IFERROR(IF((ISBLANK(VLOOKUP(DNW7,#REF!,4,FALSE)))=TRUE,VLOOKUP(DNW7,#REF!,3,FALSE),VLOOKUP(DNW7,#REF!,4,FALSE)),0)</f>
        <v/>
      </c>
      <c r="DNX1">
        <f>IFERROR(IF((ISBLANK(VLOOKUP(DNX7,#REF!,4,FALSE)))=TRUE,VLOOKUP(DNX7,#REF!,3,FALSE),VLOOKUP(DNX7,#REF!,4,FALSE)),0)</f>
        <v/>
      </c>
      <c r="DNY1">
        <f>IFERROR(IF((ISBLANK(VLOOKUP(DNY7,#REF!,4,FALSE)))=TRUE,VLOOKUP(DNY7,#REF!,3,FALSE),VLOOKUP(DNY7,#REF!,4,FALSE)),0)</f>
        <v/>
      </c>
      <c r="DNZ1">
        <f>IFERROR(IF((ISBLANK(VLOOKUP(DNZ7,#REF!,4,FALSE)))=TRUE,VLOOKUP(DNZ7,#REF!,3,FALSE),VLOOKUP(DNZ7,#REF!,4,FALSE)),0)</f>
        <v/>
      </c>
      <c r="DOA1">
        <f>IFERROR(IF((ISBLANK(VLOOKUP(DOA7,#REF!,4,FALSE)))=TRUE,VLOOKUP(DOA7,#REF!,3,FALSE),VLOOKUP(DOA7,#REF!,4,FALSE)),0)</f>
        <v/>
      </c>
      <c r="DOB1">
        <f>IFERROR(IF((ISBLANK(VLOOKUP(DOB7,#REF!,4,FALSE)))=TRUE,VLOOKUP(DOB7,#REF!,3,FALSE),VLOOKUP(DOB7,#REF!,4,FALSE)),0)</f>
        <v/>
      </c>
      <c r="DOC1">
        <f>IFERROR(IF((ISBLANK(VLOOKUP(DOC7,#REF!,4,FALSE)))=TRUE,VLOOKUP(DOC7,#REF!,3,FALSE),VLOOKUP(DOC7,#REF!,4,FALSE)),0)</f>
        <v/>
      </c>
      <c r="DOD1">
        <f>IFERROR(IF((ISBLANK(VLOOKUP(DOD7,#REF!,4,FALSE)))=TRUE,VLOOKUP(DOD7,#REF!,3,FALSE),VLOOKUP(DOD7,#REF!,4,FALSE)),0)</f>
        <v/>
      </c>
      <c r="DOE1">
        <f>IFERROR(IF((ISBLANK(VLOOKUP(DOE7,#REF!,4,FALSE)))=TRUE,VLOOKUP(DOE7,#REF!,3,FALSE),VLOOKUP(DOE7,#REF!,4,FALSE)),0)</f>
        <v/>
      </c>
      <c r="DOF1">
        <f>IFERROR(IF((ISBLANK(VLOOKUP(DOF7,#REF!,4,FALSE)))=TRUE,VLOOKUP(DOF7,#REF!,3,FALSE),VLOOKUP(DOF7,#REF!,4,FALSE)),0)</f>
        <v/>
      </c>
      <c r="DOG1">
        <f>IFERROR(IF((ISBLANK(VLOOKUP(DOG7,#REF!,4,FALSE)))=TRUE,VLOOKUP(DOG7,#REF!,3,FALSE),VLOOKUP(DOG7,#REF!,4,FALSE)),0)</f>
        <v/>
      </c>
      <c r="DOH1">
        <f>IFERROR(IF((ISBLANK(VLOOKUP(DOH7,#REF!,4,FALSE)))=TRUE,VLOOKUP(DOH7,#REF!,3,FALSE),VLOOKUP(DOH7,#REF!,4,FALSE)),0)</f>
        <v/>
      </c>
      <c r="DOI1">
        <f>IFERROR(IF((ISBLANK(VLOOKUP(DOI7,#REF!,4,FALSE)))=TRUE,VLOOKUP(DOI7,#REF!,3,FALSE),VLOOKUP(DOI7,#REF!,4,FALSE)),0)</f>
        <v/>
      </c>
      <c r="DOJ1">
        <f>IFERROR(IF((ISBLANK(VLOOKUP(DOJ7,#REF!,4,FALSE)))=TRUE,VLOOKUP(DOJ7,#REF!,3,FALSE),VLOOKUP(DOJ7,#REF!,4,FALSE)),0)</f>
        <v/>
      </c>
      <c r="DOK1">
        <f>IFERROR(IF((ISBLANK(VLOOKUP(DOK7,#REF!,4,FALSE)))=TRUE,VLOOKUP(DOK7,#REF!,3,FALSE),VLOOKUP(DOK7,#REF!,4,FALSE)),0)</f>
        <v/>
      </c>
      <c r="DOL1">
        <f>IFERROR(IF((ISBLANK(VLOOKUP(DOL7,#REF!,4,FALSE)))=TRUE,VLOOKUP(DOL7,#REF!,3,FALSE),VLOOKUP(DOL7,#REF!,4,FALSE)),0)</f>
        <v/>
      </c>
      <c r="DOM1">
        <f>IFERROR(IF((ISBLANK(VLOOKUP(DOM7,#REF!,4,FALSE)))=TRUE,VLOOKUP(DOM7,#REF!,3,FALSE),VLOOKUP(DOM7,#REF!,4,FALSE)),0)</f>
        <v/>
      </c>
      <c r="DON1">
        <f>IFERROR(IF((ISBLANK(VLOOKUP(DON7,#REF!,4,FALSE)))=TRUE,VLOOKUP(DON7,#REF!,3,FALSE),VLOOKUP(DON7,#REF!,4,FALSE)),0)</f>
        <v/>
      </c>
      <c r="DOO1">
        <f>IFERROR(IF((ISBLANK(VLOOKUP(DOO7,#REF!,4,FALSE)))=TRUE,VLOOKUP(DOO7,#REF!,3,FALSE),VLOOKUP(DOO7,#REF!,4,FALSE)),0)</f>
        <v/>
      </c>
      <c r="DOP1">
        <f>IFERROR(IF((ISBLANK(VLOOKUP(DOP7,#REF!,4,FALSE)))=TRUE,VLOOKUP(DOP7,#REF!,3,FALSE),VLOOKUP(DOP7,#REF!,4,FALSE)),0)</f>
        <v/>
      </c>
      <c r="DOQ1">
        <f>IFERROR(IF((ISBLANK(VLOOKUP(DOQ7,#REF!,4,FALSE)))=TRUE,VLOOKUP(DOQ7,#REF!,3,FALSE),VLOOKUP(DOQ7,#REF!,4,FALSE)),0)</f>
        <v/>
      </c>
      <c r="DOR1">
        <f>IFERROR(IF((ISBLANK(VLOOKUP(DOR7,#REF!,4,FALSE)))=TRUE,VLOOKUP(DOR7,#REF!,3,FALSE),VLOOKUP(DOR7,#REF!,4,FALSE)),0)</f>
        <v/>
      </c>
      <c r="DOS1">
        <f>IFERROR(IF((ISBLANK(VLOOKUP(DOS7,#REF!,4,FALSE)))=TRUE,VLOOKUP(DOS7,#REF!,3,FALSE),VLOOKUP(DOS7,#REF!,4,FALSE)),0)</f>
        <v/>
      </c>
      <c r="DOT1">
        <f>IFERROR(IF((ISBLANK(VLOOKUP(DOT7,#REF!,4,FALSE)))=TRUE,VLOOKUP(DOT7,#REF!,3,FALSE),VLOOKUP(DOT7,#REF!,4,FALSE)),0)</f>
        <v/>
      </c>
      <c r="DOU1">
        <f>IFERROR(IF((ISBLANK(VLOOKUP(DOU7,#REF!,4,FALSE)))=TRUE,VLOOKUP(DOU7,#REF!,3,FALSE),VLOOKUP(DOU7,#REF!,4,FALSE)),0)</f>
        <v/>
      </c>
      <c r="DOV1">
        <f>IFERROR(IF((ISBLANK(VLOOKUP(DOV7,#REF!,4,FALSE)))=TRUE,VLOOKUP(DOV7,#REF!,3,FALSE),VLOOKUP(DOV7,#REF!,4,FALSE)),0)</f>
        <v/>
      </c>
      <c r="DOW1">
        <f>IFERROR(IF((ISBLANK(VLOOKUP(DOW7,#REF!,4,FALSE)))=TRUE,VLOOKUP(DOW7,#REF!,3,FALSE),VLOOKUP(DOW7,#REF!,4,FALSE)),0)</f>
        <v/>
      </c>
      <c r="DOX1">
        <f>IFERROR(IF((ISBLANK(VLOOKUP(DOX7,#REF!,4,FALSE)))=TRUE,VLOOKUP(DOX7,#REF!,3,FALSE),VLOOKUP(DOX7,#REF!,4,FALSE)),0)</f>
        <v/>
      </c>
      <c r="DOY1">
        <f>IFERROR(IF((ISBLANK(VLOOKUP(DOY7,#REF!,4,FALSE)))=TRUE,VLOOKUP(DOY7,#REF!,3,FALSE),VLOOKUP(DOY7,#REF!,4,FALSE)),0)</f>
        <v/>
      </c>
      <c r="DOZ1">
        <f>IFERROR(IF((ISBLANK(VLOOKUP(DOZ7,#REF!,4,FALSE)))=TRUE,VLOOKUP(DOZ7,#REF!,3,FALSE),VLOOKUP(DOZ7,#REF!,4,FALSE)),0)</f>
        <v/>
      </c>
      <c r="DPA1">
        <f>IFERROR(IF((ISBLANK(VLOOKUP(DPA7,#REF!,4,FALSE)))=TRUE,VLOOKUP(DPA7,#REF!,3,FALSE),VLOOKUP(DPA7,#REF!,4,FALSE)),0)</f>
        <v/>
      </c>
      <c r="DPB1">
        <f>IFERROR(IF((ISBLANK(VLOOKUP(DPB7,#REF!,4,FALSE)))=TRUE,VLOOKUP(DPB7,#REF!,3,FALSE),VLOOKUP(DPB7,#REF!,4,FALSE)),0)</f>
        <v/>
      </c>
      <c r="DPC1">
        <f>IFERROR(IF((ISBLANK(VLOOKUP(DPC7,#REF!,4,FALSE)))=TRUE,VLOOKUP(DPC7,#REF!,3,FALSE),VLOOKUP(DPC7,#REF!,4,FALSE)),0)</f>
        <v/>
      </c>
      <c r="DPD1">
        <f>IFERROR(IF((ISBLANK(VLOOKUP(DPD7,#REF!,4,FALSE)))=TRUE,VLOOKUP(DPD7,#REF!,3,FALSE),VLOOKUP(DPD7,#REF!,4,FALSE)),0)</f>
        <v/>
      </c>
      <c r="DPE1">
        <f>IFERROR(IF((ISBLANK(VLOOKUP(DPE7,#REF!,4,FALSE)))=TRUE,VLOOKUP(DPE7,#REF!,3,FALSE),VLOOKUP(DPE7,#REF!,4,FALSE)),0)</f>
        <v/>
      </c>
      <c r="DPF1">
        <f>IFERROR(IF((ISBLANK(VLOOKUP(DPF7,#REF!,4,FALSE)))=TRUE,VLOOKUP(DPF7,#REF!,3,FALSE),VLOOKUP(DPF7,#REF!,4,FALSE)),0)</f>
        <v/>
      </c>
      <c r="DPG1">
        <f>IFERROR(IF((ISBLANK(VLOOKUP(DPG7,#REF!,4,FALSE)))=TRUE,VLOOKUP(DPG7,#REF!,3,FALSE),VLOOKUP(DPG7,#REF!,4,FALSE)),0)</f>
        <v/>
      </c>
      <c r="DPH1">
        <f>IFERROR(IF((ISBLANK(VLOOKUP(DPH7,#REF!,4,FALSE)))=TRUE,VLOOKUP(DPH7,#REF!,3,FALSE),VLOOKUP(DPH7,#REF!,4,FALSE)),0)</f>
        <v/>
      </c>
      <c r="DPI1">
        <f>IFERROR(IF((ISBLANK(VLOOKUP(DPI7,#REF!,4,FALSE)))=TRUE,VLOOKUP(DPI7,#REF!,3,FALSE),VLOOKUP(DPI7,#REF!,4,FALSE)),0)</f>
        <v/>
      </c>
      <c r="DPJ1">
        <f>IFERROR(IF((ISBLANK(VLOOKUP(DPJ7,#REF!,4,FALSE)))=TRUE,VLOOKUP(DPJ7,#REF!,3,FALSE),VLOOKUP(DPJ7,#REF!,4,FALSE)),0)</f>
        <v/>
      </c>
      <c r="DPK1">
        <f>IFERROR(IF((ISBLANK(VLOOKUP(DPK7,#REF!,4,FALSE)))=TRUE,VLOOKUP(DPK7,#REF!,3,FALSE),VLOOKUP(DPK7,#REF!,4,FALSE)),0)</f>
        <v/>
      </c>
      <c r="DPL1">
        <f>IFERROR(IF((ISBLANK(VLOOKUP(DPL7,#REF!,4,FALSE)))=TRUE,VLOOKUP(DPL7,#REF!,3,FALSE),VLOOKUP(DPL7,#REF!,4,FALSE)),0)</f>
        <v/>
      </c>
      <c r="DPM1">
        <f>IFERROR(IF((ISBLANK(VLOOKUP(DPM7,#REF!,4,FALSE)))=TRUE,VLOOKUP(DPM7,#REF!,3,FALSE),VLOOKUP(DPM7,#REF!,4,FALSE)),0)</f>
        <v/>
      </c>
      <c r="DPN1">
        <f>IFERROR(IF((ISBLANK(VLOOKUP(DPN7,#REF!,4,FALSE)))=TRUE,VLOOKUP(DPN7,#REF!,3,FALSE),VLOOKUP(DPN7,#REF!,4,FALSE)),0)</f>
        <v/>
      </c>
      <c r="DPO1">
        <f>IFERROR(IF((ISBLANK(VLOOKUP(DPO7,#REF!,4,FALSE)))=TRUE,VLOOKUP(DPO7,#REF!,3,FALSE),VLOOKUP(DPO7,#REF!,4,FALSE)),0)</f>
        <v/>
      </c>
      <c r="DPP1">
        <f>IFERROR(IF((ISBLANK(VLOOKUP(DPP7,#REF!,4,FALSE)))=TRUE,VLOOKUP(DPP7,#REF!,3,FALSE),VLOOKUP(DPP7,#REF!,4,FALSE)),0)</f>
        <v/>
      </c>
      <c r="DPQ1">
        <f>IFERROR(IF((ISBLANK(VLOOKUP(DPQ7,#REF!,4,FALSE)))=TRUE,VLOOKUP(DPQ7,#REF!,3,FALSE),VLOOKUP(DPQ7,#REF!,4,FALSE)),0)</f>
        <v/>
      </c>
      <c r="DPR1">
        <f>IFERROR(IF((ISBLANK(VLOOKUP(DPR7,#REF!,4,FALSE)))=TRUE,VLOOKUP(DPR7,#REF!,3,FALSE),VLOOKUP(DPR7,#REF!,4,FALSE)),0)</f>
        <v/>
      </c>
      <c r="DPS1">
        <f>IFERROR(IF((ISBLANK(VLOOKUP(DPS7,#REF!,4,FALSE)))=TRUE,VLOOKUP(DPS7,#REF!,3,FALSE),VLOOKUP(DPS7,#REF!,4,FALSE)),0)</f>
        <v/>
      </c>
      <c r="DPT1">
        <f>IFERROR(IF((ISBLANK(VLOOKUP(DPT7,#REF!,4,FALSE)))=TRUE,VLOOKUP(DPT7,#REF!,3,FALSE),VLOOKUP(DPT7,#REF!,4,FALSE)),0)</f>
        <v/>
      </c>
      <c r="DPU1">
        <f>IFERROR(IF((ISBLANK(VLOOKUP(DPU7,#REF!,4,FALSE)))=TRUE,VLOOKUP(DPU7,#REF!,3,FALSE),VLOOKUP(DPU7,#REF!,4,FALSE)),0)</f>
        <v/>
      </c>
      <c r="DPV1">
        <f>IFERROR(IF((ISBLANK(VLOOKUP(DPV7,#REF!,4,FALSE)))=TRUE,VLOOKUP(DPV7,#REF!,3,FALSE),VLOOKUP(DPV7,#REF!,4,FALSE)),0)</f>
        <v/>
      </c>
      <c r="DPW1">
        <f>IFERROR(IF((ISBLANK(VLOOKUP(DPW7,#REF!,4,FALSE)))=TRUE,VLOOKUP(DPW7,#REF!,3,FALSE),VLOOKUP(DPW7,#REF!,4,FALSE)),0)</f>
        <v/>
      </c>
      <c r="DPX1">
        <f>IFERROR(IF((ISBLANK(VLOOKUP(DPX7,#REF!,4,FALSE)))=TRUE,VLOOKUP(DPX7,#REF!,3,FALSE),VLOOKUP(DPX7,#REF!,4,FALSE)),0)</f>
        <v/>
      </c>
      <c r="DPY1">
        <f>IFERROR(IF((ISBLANK(VLOOKUP(DPY7,#REF!,4,FALSE)))=TRUE,VLOOKUP(DPY7,#REF!,3,FALSE),VLOOKUP(DPY7,#REF!,4,FALSE)),0)</f>
        <v/>
      </c>
      <c r="DPZ1">
        <f>IFERROR(IF((ISBLANK(VLOOKUP(DPZ7,#REF!,4,FALSE)))=TRUE,VLOOKUP(DPZ7,#REF!,3,FALSE),VLOOKUP(DPZ7,#REF!,4,FALSE)),0)</f>
        <v/>
      </c>
      <c r="DQA1">
        <f>IFERROR(IF((ISBLANK(VLOOKUP(DQA7,#REF!,4,FALSE)))=TRUE,VLOOKUP(DQA7,#REF!,3,FALSE),VLOOKUP(DQA7,#REF!,4,FALSE)),0)</f>
        <v/>
      </c>
      <c r="DQB1">
        <f>IFERROR(IF((ISBLANK(VLOOKUP(DQB7,#REF!,4,FALSE)))=TRUE,VLOOKUP(DQB7,#REF!,3,FALSE),VLOOKUP(DQB7,#REF!,4,FALSE)),0)</f>
        <v/>
      </c>
      <c r="DQC1">
        <f>IFERROR(IF((ISBLANK(VLOOKUP(DQC7,#REF!,4,FALSE)))=TRUE,VLOOKUP(DQC7,#REF!,3,FALSE),VLOOKUP(DQC7,#REF!,4,FALSE)),0)</f>
        <v/>
      </c>
      <c r="DQD1">
        <f>IFERROR(IF((ISBLANK(VLOOKUP(DQD7,#REF!,4,FALSE)))=TRUE,VLOOKUP(DQD7,#REF!,3,FALSE),VLOOKUP(DQD7,#REF!,4,FALSE)),0)</f>
        <v/>
      </c>
      <c r="DQE1">
        <f>IFERROR(IF((ISBLANK(VLOOKUP(DQE7,#REF!,4,FALSE)))=TRUE,VLOOKUP(DQE7,#REF!,3,FALSE),VLOOKUP(DQE7,#REF!,4,FALSE)),0)</f>
        <v/>
      </c>
      <c r="DQF1">
        <f>IFERROR(IF((ISBLANK(VLOOKUP(DQF7,#REF!,4,FALSE)))=TRUE,VLOOKUP(DQF7,#REF!,3,FALSE),VLOOKUP(DQF7,#REF!,4,FALSE)),0)</f>
        <v/>
      </c>
      <c r="DQG1">
        <f>IFERROR(IF((ISBLANK(VLOOKUP(DQG7,#REF!,4,FALSE)))=TRUE,VLOOKUP(DQG7,#REF!,3,FALSE),VLOOKUP(DQG7,#REF!,4,FALSE)),0)</f>
        <v/>
      </c>
      <c r="DQH1">
        <f>IFERROR(IF((ISBLANK(VLOOKUP(DQH7,#REF!,4,FALSE)))=TRUE,VLOOKUP(DQH7,#REF!,3,FALSE),VLOOKUP(DQH7,#REF!,4,FALSE)),0)</f>
        <v/>
      </c>
      <c r="DQI1">
        <f>IFERROR(IF((ISBLANK(VLOOKUP(DQI7,#REF!,4,FALSE)))=TRUE,VLOOKUP(DQI7,#REF!,3,FALSE),VLOOKUP(DQI7,#REF!,4,FALSE)),0)</f>
        <v/>
      </c>
      <c r="DQJ1">
        <f>IFERROR(IF((ISBLANK(VLOOKUP(DQJ7,#REF!,4,FALSE)))=TRUE,VLOOKUP(DQJ7,#REF!,3,FALSE),VLOOKUP(DQJ7,#REF!,4,FALSE)),0)</f>
        <v/>
      </c>
      <c r="DQK1">
        <f>IFERROR(IF((ISBLANK(VLOOKUP(DQK7,#REF!,4,FALSE)))=TRUE,VLOOKUP(DQK7,#REF!,3,FALSE),VLOOKUP(DQK7,#REF!,4,FALSE)),0)</f>
        <v/>
      </c>
      <c r="DQL1">
        <f>IFERROR(IF((ISBLANK(VLOOKUP(DQL7,#REF!,4,FALSE)))=TRUE,VLOOKUP(DQL7,#REF!,3,FALSE),VLOOKUP(DQL7,#REF!,4,FALSE)),0)</f>
        <v/>
      </c>
      <c r="DQM1">
        <f>IFERROR(IF((ISBLANK(VLOOKUP(DQM7,#REF!,4,FALSE)))=TRUE,VLOOKUP(DQM7,#REF!,3,FALSE),VLOOKUP(DQM7,#REF!,4,FALSE)),0)</f>
        <v/>
      </c>
      <c r="DQN1">
        <f>IFERROR(IF((ISBLANK(VLOOKUP(DQN7,#REF!,4,FALSE)))=TRUE,VLOOKUP(DQN7,#REF!,3,FALSE),VLOOKUP(DQN7,#REF!,4,FALSE)),0)</f>
        <v/>
      </c>
      <c r="DQO1">
        <f>IFERROR(IF((ISBLANK(VLOOKUP(DQO7,#REF!,4,FALSE)))=TRUE,VLOOKUP(DQO7,#REF!,3,FALSE),VLOOKUP(DQO7,#REF!,4,FALSE)),0)</f>
        <v/>
      </c>
      <c r="DQP1">
        <f>IFERROR(IF((ISBLANK(VLOOKUP(DQP7,#REF!,4,FALSE)))=TRUE,VLOOKUP(DQP7,#REF!,3,FALSE),VLOOKUP(DQP7,#REF!,4,FALSE)),0)</f>
        <v/>
      </c>
      <c r="DQQ1">
        <f>IFERROR(IF((ISBLANK(VLOOKUP(DQQ7,#REF!,4,FALSE)))=TRUE,VLOOKUP(DQQ7,#REF!,3,FALSE),VLOOKUP(DQQ7,#REF!,4,FALSE)),0)</f>
        <v/>
      </c>
      <c r="DQR1">
        <f>IFERROR(IF((ISBLANK(VLOOKUP(DQR7,#REF!,4,FALSE)))=TRUE,VLOOKUP(DQR7,#REF!,3,FALSE),VLOOKUP(DQR7,#REF!,4,FALSE)),0)</f>
        <v/>
      </c>
      <c r="DQS1">
        <f>IFERROR(IF((ISBLANK(VLOOKUP(DQS7,#REF!,4,FALSE)))=TRUE,VLOOKUP(DQS7,#REF!,3,FALSE),VLOOKUP(DQS7,#REF!,4,FALSE)),0)</f>
        <v/>
      </c>
      <c r="DQT1">
        <f>IFERROR(IF((ISBLANK(VLOOKUP(DQT7,#REF!,4,FALSE)))=TRUE,VLOOKUP(DQT7,#REF!,3,FALSE),VLOOKUP(DQT7,#REF!,4,FALSE)),0)</f>
        <v/>
      </c>
      <c r="DQU1">
        <f>IFERROR(IF((ISBLANK(VLOOKUP(DQU7,#REF!,4,FALSE)))=TRUE,VLOOKUP(DQU7,#REF!,3,FALSE),VLOOKUP(DQU7,#REF!,4,FALSE)),0)</f>
        <v/>
      </c>
      <c r="DQV1">
        <f>IFERROR(IF((ISBLANK(VLOOKUP(DQV7,#REF!,4,FALSE)))=TRUE,VLOOKUP(DQV7,#REF!,3,FALSE),VLOOKUP(DQV7,#REF!,4,FALSE)),0)</f>
        <v/>
      </c>
      <c r="DQW1">
        <f>IFERROR(IF((ISBLANK(VLOOKUP(DQW7,#REF!,4,FALSE)))=TRUE,VLOOKUP(DQW7,#REF!,3,FALSE),VLOOKUP(DQW7,#REF!,4,FALSE)),0)</f>
        <v/>
      </c>
      <c r="DQX1">
        <f>IFERROR(IF((ISBLANK(VLOOKUP(DQX7,#REF!,4,FALSE)))=TRUE,VLOOKUP(DQX7,#REF!,3,FALSE),VLOOKUP(DQX7,#REF!,4,FALSE)),0)</f>
        <v/>
      </c>
      <c r="DQY1">
        <f>IFERROR(IF((ISBLANK(VLOOKUP(DQY7,#REF!,4,FALSE)))=TRUE,VLOOKUP(DQY7,#REF!,3,FALSE),VLOOKUP(DQY7,#REF!,4,FALSE)),0)</f>
        <v/>
      </c>
      <c r="DQZ1">
        <f>IFERROR(IF((ISBLANK(VLOOKUP(DQZ7,#REF!,4,FALSE)))=TRUE,VLOOKUP(DQZ7,#REF!,3,FALSE),VLOOKUP(DQZ7,#REF!,4,FALSE)),0)</f>
        <v/>
      </c>
      <c r="DRA1">
        <f>IFERROR(IF((ISBLANK(VLOOKUP(DRA7,#REF!,4,FALSE)))=TRUE,VLOOKUP(DRA7,#REF!,3,FALSE),VLOOKUP(DRA7,#REF!,4,FALSE)),0)</f>
        <v/>
      </c>
      <c r="DRB1">
        <f>IFERROR(IF((ISBLANK(VLOOKUP(DRB7,#REF!,4,FALSE)))=TRUE,VLOOKUP(DRB7,#REF!,3,FALSE),VLOOKUP(DRB7,#REF!,4,FALSE)),0)</f>
        <v/>
      </c>
      <c r="DRC1">
        <f>IFERROR(IF((ISBLANK(VLOOKUP(DRC7,#REF!,4,FALSE)))=TRUE,VLOOKUP(DRC7,#REF!,3,FALSE),VLOOKUP(DRC7,#REF!,4,FALSE)),0)</f>
        <v/>
      </c>
      <c r="DRD1">
        <f>IFERROR(IF((ISBLANK(VLOOKUP(DRD7,#REF!,4,FALSE)))=TRUE,VLOOKUP(DRD7,#REF!,3,FALSE),VLOOKUP(DRD7,#REF!,4,FALSE)),0)</f>
        <v/>
      </c>
      <c r="DRE1">
        <f>IFERROR(IF((ISBLANK(VLOOKUP(DRE7,#REF!,4,FALSE)))=TRUE,VLOOKUP(DRE7,#REF!,3,FALSE),VLOOKUP(DRE7,#REF!,4,FALSE)),0)</f>
        <v/>
      </c>
      <c r="DRF1">
        <f>IFERROR(IF((ISBLANK(VLOOKUP(DRF7,#REF!,4,FALSE)))=TRUE,VLOOKUP(DRF7,#REF!,3,FALSE),VLOOKUP(DRF7,#REF!,4,FALSE)),0)</f>
        <v/>
      </c>
      <c r="DRG1">
        <f>IFERROR(IF((ISBLANK(VLOOKUP(DRG7,#REF!,4,FALSE)))=TRUE,VLOOKUP(DRG7,#REF!,3,FALSE),VLOOKUP(DRG7,#REF!,4,FALSE)),0)</f>
        <v/>
      </c>
      <c r="DRH1">
        <f>IFERROR(IF((ISBLANK(VLOOKUP(DRH7,#REF!,4,FALSE)))=TRUE,VLOOKUP(DRH7,#REF!,3,FALSE),VLOOKUP(DRH7,#REF!,4,FALSE)),0)</f>
        <v/>
      </c>
      <c r="DRI1">
        <f>IFERROR(IF((ISBLANK(VLOOKUP(DRI7,#REF!,4,FALSE)))=TRUE,VLOOKUP(DRI7,#REF!,3,FALSE),VLOOKUP(DRI7,#REF!,4,FALSE)),0)</f>
        <v/>
      </c>
      <c r="DRJ1">
        <f>IFERROR(IF((ISBLANK(VLOOKUP(DRJ7,#REF!,4,FALSE)))=TRUE,VLOOKUP(DRJ7,#REF!,3,FALSE),VLOOKUP(DRJ7,#REF!,4,FALSE)),0)</f>
        <v/>
      </c>
      <c r="DRK1">
        <f>IFERROR(IF((ISBLANK(VLOOKUP(DRK7,#REF!,4,FALSE)))=TRUE,VLOOKUP(DRK7,#REF!,3,FALSE),VLOOKUP(DRK7,#REF!,4,FALSE)),0)</f>
        <v/>
      </c>
      <c r="DRL1">
        <f>IFERROR(IF((ISBLANK(VLOOKUP(DRL7,#REF!,4,FALSE)))=TRUE,VLOOKUP(DRL7,#REF!,3,FALSE),VLOOKUP(DRL7,#REF!,4,FALSE)),0)</f>
        <v/>
      </c>
      <c r="DRM1">
        <f>IFERROR(IF((ISBLANK(VLOOKUP(DRM7,#REF!,4,FALSE)))=TRUE,VLOOKUP(DRM7,#REF!,3,FALSE),VLOOKUP(DRM7,#REF!,4,FALSE)),0)</f>
        <v/>
      </c>
      <c r="DRN1">
        <f>IFERROR(IF((ISBLANK(VLOOKUP(DRN7,#REF!,4,FALSE)))=TRUE,VLOOKUP(DRN7,#REF!,3,FALSE),VLOOKUP(DRN7,#REF!,4,FALSE)),0)</f>
        <v/>
      </c>
      <c r="DRO1">
        <f>IFERROR(IF((ISBLANK(VLOOKUP(DRO7,#REF!,4,FALSE)))=TRUE,VLOOKUP(DRO7,#REF!,3,FALSE),VLOOKUP(DRO7,#REF!,4,FALSE)),0)</f>
        <v/>
      </c>
      <c r="DRP1">
        <f>IFERROR(IF((ISBLANK(VLOOKUP(DRP7,#REF!,4,FALSE)))=TRUE,VLOOKUP(DRP7,#REF!,3,FALSE),VLOOKUP(DRP7,#REF!,4,FALSE)),0)</f>
        <v/>
      </c>
      <c r="DRQ1">
        <f>IFERROR(IF((ISBLANK(VLOOKUP(DRQ7,#REF!,4,FALSE)))=TRUE,VLOOKUP(DRQ7,#REF!,3,FALSE),VLOOKUP(DRQ7,#REF!,4,FALSE)),0)</f>
        <v/>
      </c>
      <c r="DRR1">
        <f>IFERROR(IF((ISBLANK(VLOOKUP(DRR7,#REF!,4,FALSE)))=TRUE,VLOOKUP(DRR7,#REF!,3,FALSE),VLOOKUP(DRR7,#REF!,4,FALSE)),0)</f>
        <v/>
      </c>
      <c r="DRS1">
        <f>IFERROR(IF((ISBLANK(VLOOKUP(DRS7,#REF!,4,FALSE)))=TRUE,VLOOKUP(DRS7,#REF!,3,FALSE),VLOOKUP(DRS7,#REF!,4,FALSE)),0)</f>
        <v/>
      </c>
      <c r="DRT1">
        <f>IFERROR(IF((ISBLANK(VLOOKUP(DRT7,#REF!,4,FALSE)))=TRUE,VLOOKUP(DRT7,#REF!,3,FALSE),VLOOKUP(DRT7,#REF!,4,FALSE)),0)</f>
        <v/>
      </c>
      <c r="DRU1">
        <f>IFERROR(IF((ISBLANK(VLOOKUP(DRU7,#REF!,4,FALSE)))=TRUE,VLOOKUP(DRU7,#REF!,3,FALSE),VLOOKUP(DRU7,#REF!,4,FALSE)),0)</f>
        <v/>
      </c>
      <c r="DRV1">
        <f>IFERROR(IF((ISBLANK(VLOOKUP(DRV7,#REF!,4,FALSE)))=TRUE,VLOOKUP(DRV7,#REF!,3,FALSE),VLOOKUP(DRV7,#REF!,4,FALSE)),0)</f>
        <v/>
      </c>
      <c r="DRW1">
        <f>IFERROR(IF((ISBLANK(VLOOKUP(DRW7,#REF!,4,FALSE)))=TRUE,VLOOKUP(DRW7,#REF!,3,FALSE),VLOOKUP(DRW7,#REF!,4,FALSE)),0)</f>
        <v/>
      </c>
      <c r="DRX1">
        <f>IFERROR(IF((ISBLANK(VLOOKUP(DRX7,#REF!,4,FALSE)))=TRUE,VLOOKUP(DRX7,#REF!,3,FALSE),VLOOKUP(DRX7,#REF!,4,FALSE)),0)</f>
        <v/>
      </c>
      <c r="DRY1">
        <f>IFERROR(IF((ISBLANK(VLOOKUP(DRY7,#REF!,4,FALSE)))=TRUE,VLOOKUP(DRY7,#REF!,3,FALSE),VLOOKUP(DRY7,#REF!,4,FALSE)),0)</f>
        <v/>
      </c>
      <c r="DRZ1">
        <f>IFERROR(IF((ISBLANK(VLOOKUP(DRZ7,#REF!,4,FALSE)))=TRUE,VLOOKUP(DRZ7,#REF!,3,FALSE),VLOOKUP(DRZ7,#REF!,4,FALSE)),0)</f>
        <v/>
      </c>
      <c r="DSA1">
        <f>IFERROR(IF((ISBLANK(VLOOKUP(DSA7,#REF!,4,FALSE)))=TRUE,VLOOKUP(DSA7,#REF!,3,FALSE),VLOOKUP(DSA7,#REF!,4,FALSE)),0)</f>
        <v/>
      </c>
      <c r="DSB1">
        <f>IFERROR(IF((ISBLANK(VLOOKUP(DSB7,#REF!,4,FALSE)))=TRUE,VLOOKUP(DSB7,#REF!,3,FALSE),VLOOKUP(DSB7,#REF!,4,FALSE)),0)</f>
        <v/>
      </c>
      <c r="DSC1">
        <f>IFERROR(IF((ISBLANK(VLOOKUP(DSC7,#REF!,4,FALSE)))=TRUE,VLOOKUP(DSC7,#REF!,3,FALSE),VLOOKUP(DSC7,#REF!,4,FALSE)),0)</f>
        <v/>
      </c>
      <c r="DSD1">
        <f>IFERROR(IF((ISBLANK(VLOOKUP(DSD7,#REF!,4,FALSE)))=TRUE,VLOOKUP(DSD7,#REF!,3,FALSE),VLOOKUP(DSD7,#REF!,4,FALSE)),0)</f>
        <v/>
      </c>
      <c r="DSE1">
        <f>IFERROR(IF((ISBLANK(VLOOKUP(DSE7,#REF!,4,FALSE)))=TRUE,VLOOKUP(DSE7,#REF!,3,FALSE),VLOOKUP(DSE7,#REF!,4,FALSE)),0)</f>
        <v/>
      </c>
      <c r="DSF1">
        <f>IFERROR(IF((ISBLANK(VLOOKUP(DSF7,#REF!,4,FALSE)))=TRUE,VLOOKUP(DSF7,#REF!,3,FALSE),VLOOKUP(DSF7,#REF!,4,FALSE)),0)</f>
        <v/>
      </c>
      <c r="DSG1">
        <f>IFERROR(IF((ISBLANK(VLOOKUP(DSG7,#REF!,4,FALSE)))=TRUE,VLOOKUP(DSG7,#REF!,3,FALSE),VLOOKUP(DSG7,#REF!,4,FALSE)),0)</f>
        <v/>
      </c>
      <c r="DSH1">
        <f>IFERROR(IF((ISBLANK(VLOOKUP(DSH7,#REF!,4,FALSE)))=TRUE,VLOOKUP(DSH7,#REF!,3,FALSE),VLOOKUP(DSH7,#REF!,4,FALSE)),0)</f>
        <v/>
      </c>
      <c r="DSI1">
        <f>IFERROR(IF((ISBLANK(VLOOKUP(DSI7,#REF!,4,FALSE)))=TRUE,VLOOKUP(DSI7,#REF!,3,FALSE),VLOOKUP(DSI7,#REF!,4,FALSE)),0)</f>
        <v/>
      </c>
      <c r="DSJ1">
        <f>IFERROR(IF((ISBLANK(VLOOKUP(DSJ7,#REF!,4,FALSE)))=TRUE,VLOOKUP(DSJ7,#REF!,3,FALSE),VLOOKUP(DSJ7,#REF!,4,FALSE)),0)</f>
        <v/>
      </c>
      <c r="DSK1">
        <f>IFERROR(IF((ISBLANK(VLOOKUP(DSK7,#REF!,4,FALSE)))=TRUE,VLOOKUP(DSK7,#REF!,3,FALSE),VLOOKUP(DSK7,#REF!,4,FALSE)),0)</f>
        <v/>
      </c>
      <c r="DSL1">
        <f>IFERROR(IF((ISBLANK(VLOOKUP(DSL7,#REF!,4,FALSE)))=TRUE,VLOOKUP(DSL7,#REF!,3,FALSE),VLOOKUP(DSL7,#REF!,4,FALSE)),0)</f>
        <v/>
      </c>
      <c r="DSM1">
        <f>IFERROR(IF((ISBLANK(VLOOKUP(DSM7,#REF!,4,FALSE)))=TRUE,VLOOKUP(DSM7,#REF!,3,FALSE),VLOOKUP(DSM7,#REF!,4,FALSE)),0)</f>
        <v/>
      </c>
      <c r="DSN1">
        <f>IFERROR(IF((ISBLANK(VLOOKUP(DSN7,#REF!,4,FALSE)))=TRUE,VLOOKUP(DSN7,#REF!,3,FALSE),VLOOKUP(DSN7,#REF!,4,FALSE)),0)</f>
        <v/>
      </c>
      <c r="DSO1">
        <f>IFERROR(IF((ISBLANK(VLOOKUP(DSO7,#REF!,4,FALSE)))=TRUE,VLOOKUP(DSO7,#REF!,3,FALSE),VLOOKUP(DSO7,#REF!,4,FALSE)),0)</f>
        <v/>
      </c>
      <c r="DSP1">
        <f>IFERROR(IF((ISBLANK(VLOOKUP(DSP7,#REF!,4,FALSE)))=TRUE,VLOOKUP(DSP7,#REF!,3,FALSE),VLOOKUP(DSP7,#REF!,4,FALSE)),0)</f>
        <v/>
      </c>
      <c r="DSQ1">
        <f>IFERROR(IF((ISBLANK(VLOOKUP(DSQ7,#REF!,4,FALSE)))=TRUE,VLOOKUP(DSQ7,#REF!,3,FALSE),VLOOKUP(DSQ7,#REF!,4,FALSE)),0)</f>
        <v/>
      </c>
      <c r="DSR1">
        <f>IFERROR(IF((ISBLANK(VLOOKUP(DSR7,#REF!,4,FALSE)))=TRUE,VLOOKUP(DSR7,#REF!,3,FALSE),VLOOKUP(DSR7,#REF!,4,FALSE)),0)</f>
        <v/>
      </c>
      <c r="DSS1">
        <f>IFERROR(IF((ISBLANK(VLOOKUP(DSS7,#REF!,4,FALSE)))=TRUE,VLOOKUP(DSS7,#REF!,3,FALSE),VLOOKUP(DSS7,#REF!,4,FALSE)),0)</f>
        <v/>
      </c>
      <c r="DST1">
        <f>IFERROR(IF((ISBLANK(VLOOKUP(DST7,#REF!,4,FALSE)))=TRUE,VLOOKUP(DST7,#REF!,3,FALSE),VLOOKUP(DST7,#REF!,4,FALSE)),0)</f>
        <v/>
      </c>
      <c r="DSU1">
        <f>IFERROR(IF((ISBLANK(VLOOKUP(DSU7,#REF!,4,FALSE)))=TRUE,VLOOKUP(DSU7,#REF!,3,FALSE),VLOOKUP(DSU7,#REF!,4,FALSE)),0)</f>
        <v/>
      </c>
      <c r="DSV1">
        <f>IFERROR(IF((ISBLANK(VLOOKUP(DSV7,#REF!,4,FALSE)))=TRUE,VLOOKUP(DSV7,#REF!,3,FALSE),VLOOKUP(DSV7,#REF!,4,FALSE)),0)</f>
        <v/>
      </c>
      <c r="DSW1">
        <f>IFERROR(IF((ISBLANK(VLOOKUP(DSW7,#REF!,4,FALSE)))=TRUE,VLOOKUP(DSW7,#REF!,3,FALSE),VLOOKUP(DSW7,#REF!,4,FALSE)),0)</f>
        <v/>
      </c>
      <c r="DSX1">
        <f>IFERROR(IF((ISBLANK(VLOOKUP(DSX7,#REF!,4,FALSE)))=TRUE,VLOOKUP(DSX7,#REF!,3,FALSE),VLOOKUP(DSX7,#REF!,4,FALSE)),0)</f>
        <v/>
      </c>
      <c r="DSY1">
        <f>IFERROR(IF((ISBLANK(VLOOKUP(DSY7,#REF!,4,FALSE)))=TRUE,VLOOKUP(DSY7,#REF!,3,FALSE),VLOOKUP(DSY7,#REF!,4,FALSE)),0)</f>
        <v/>
      </c>
      <c r="DSZ1">
        <f>IFERROR(IF((ISBLANK(VLOOKUP(DSZ7,#REF!,4,FALSE)))=TRUE,VLOOKUP(DSZ7,#REF!,3,FALSE),VLOOKUP(DSZ7,#REF!,4,FALSE)),0)</f>
        <v/>
      </c>
      <c r="DTA1">
        <f>IFERROR(IF((ISBLANK(VLOOKUP(DTA7,#REF!,4,FALSE)))=TRUE,VLOOKUP(DTA7,#REF!,3,FALSE),VLOOKUP(DTA7,#REF!,4,FALSE)),0)</f>
        <v/>
      </c>
      <c r="DTB1">
        <f>IFERROR(IF((ISBLANK(VLOOKUP(DTB7,#REF!,4,FALSE)))=TRUE,VLOOKUP(DTB7,#REF!,3,FALSE),VLOOKUP(DTB7,#REF!,4,FALSE)),0)</f>
        <v/>
      </c>
      <c r="DTC1">
        <f>IFERROR(IF((ISBLANK(VLOOKUP(DTC7,#REF!,4,FALSE)))=TRUE,VLOOKUP(DTC7,#REF!,3,FALSE),VLOOKUP(DTC7,#REF!,4,FALSE)),0)</f>
        <v/>
      </c>
      <c r="DTD1">
        <f>IFERROR(IF((ISBLANK(VLOOKUP(DTD7,#REF!,4,FALSE)))=TRUE,VLOOKUP(DTD7,#REF!,3,FALSE),VLOOKUP(DTD7,#REF!,4,FALSE)),0)</f>
        <v/>
      </c>
      <c r="DTE1">
        <f>IFERROR(IF((ISBLANK(VLOOKUP(DTE7,#REF!,4,FALSE)))=TRUE,VLOOKUP(DTE7,#REF!,3,FALSE),VLOOKUP(DTE7,#REF!,4,FALSE)),0)</f>
        <v/>
      </c>
      <c r="DTF1">
        <f>IFERROR(IF((ISBLANK(VLOOKUP(DTF7,#REF!,4,FALSE)))=TRUE,VLOOKUP(DTF7,#REF!,3,FALSE),VLOOKUP(DTF7,#REF!,4,FALSE)),0)</f>
        <v/>
      </c>
      <c r="DTG1">
        <f>IFERROR(IF((ISBLANK(VLOOKUP(DTG7,#REF!,4,FALSE)))=TRUE,VLOOKUP(DTG7,#REF!,3,FALSE),VLOOKUP(DTG7,#REF!,4,FALSE)),0)</f>
        <v/>
      </c>
      <c r="DTH1">
        <f>IFERROR(IF((ISBLANK(VLOOKUP(DTH7,#REF!,4,FALSE)))=TRUE,VLOOKUP(DTH7,#REF!,3,FALSE),VLOOKUP(DTH7,#REF!,4,FALSE)),0)</f>
        <v/>
      </c>
      <c r="DTI1">
        <f>IFERROR(IF((ISBLANK(VLOOKUP(DTI7,#REF!,4,FALSE)))=TRUE,VLOOKUP(DTI7,#REF!,3,FALSE),VLOOKUP(DTI7,#REF!,4,FALSE)),0)</f>
        <v/>
      </c>
      <c r="DTJ1">
        <f>IFERROR(IF((ISBLANK(VLOOKUP(DTJ7,#REF!,4,FALSE)))=TRUE,VLOOKUP(DTJ7,#REF!,3,FALSE),VLOOKUP(DTJ7,#REF!,4,FALSE)),0)</f>
        <v/>
      </c>
      <c r="DTK1">
        <f>IFERROR(IF((ISBLANK(VLOOKUP(DTK7,#REF!,4,FALSE)))=TRUE,VLOOKUP(DTK7,#REF!,3,FALSE),VLOOKUP(DTK7,#REF!,4,FALSE)),0)</f>
        <v/>
      </c>
      <c r="DTL1">
        <f>IFERROR(IF((ISBLANK(VLOOKUP(DTL7,#REF!,4,FALSE)))=TRUE,VLOOKUP(DTL7,#REF!,3,FALSE),VLOOKUP(DTL7,#REF!,4,FALSE)),0)</f>
        <v/>
      </c>
      <c r="DTM1">
        <f>IFERROR(IF((ISBLANK(VLOOKUP(DTM7,#REF!,4,FALSE)))=TRUE,VLOOKUP(DTM7,#REF!,3,FALSE),VLOOKUP(DTM7,#REF!,4,FALSE)),0)</f>
        <v/>
      </c>
      <c r="DTN1">
        <f>IFERROR(IF((ISBLANK(VLOOKUP(DTN7,#REF!,4,FALSE)))=TRUE,VLOOKUP(DTN7,#REF!,3,FALSE),VLOOKUP(DTN7,#REF!,4,FALSE)),0)</f>
        <v/>
      </c>
      <c r="DTO1">
        <f>IFERROR(IF((ISBLANK(VLOOKUP(DTO7,#REF!,4,FALSE)))=TRUE,VLOOKUP(DTO7,#REF!,3,FALSE),VLOOKUP(DTO7,#REF!,4,FALSE)),0)</f>
        <v/>
      </c>
      <c r="DTP1">
        <f>IFERROR(IF((ISBLANK(VLOOKUP(DTP7,#REF!,4,FALSE)))=TRUE,VLOOKUP(DTP7,#REF!,3,FALSE),VLOOKUP(DTP7,#REF!,4,FALSE)),0)</f>
        <v/>
      </c>
      <c r="DTQ1">
        <f>IFERROR(IF((ISBLANK(VLOOKUP(DTQ7,#REF!,4,FALSE)))=TRUE,VLOOKUP(DTQ7,#REF!,3,FALSE),VLOOKUP(DTQ7,#REF!,4,FALSE)),0)</f>
        <v/>
      </c>
      <c r="DTR1">
        <f>IFERROR(IF((ISBLANK(VLOOKUP(DTR7,#REF!,4,FALSE)))=TRUE,VLOOKUP(DTR7,#REF!,3,FALSE),VLOOKUP(DTR7,#REF!,4,FALSE)),0)</f>
        <v/>
      </c>
      <c r="DTS1">
        <f>IFERROR(IF((ISBLANK(VLOOKUP(DTS7,#REF!,4,FALSE)))=TRUE,VLOOKUP(DTS7,#REF!,3,FALSE),VLOOKUP(DTS7,#REF!,4,FALSE)),0)</f>
        <v/>
      </c>
      <c r="DTT1">
        <f>IFERROR(IF((ISBLANK(VLOOKUP(DTT7,#REF!,4,FALSE)))=TRUE,VLOOKUP(DTT7,#REF!,3,FALSE),VLOOKUP(DTT7,#REF!,4,FALSE)),0)</f>
        <v/>
      </c>
      <c r="DTU1">
        <f>IFERROR(IF((ISBLANK(VLOOKUP(DTU7,#REF!,4,FALSE)))=TRUE,VLOOKUP(DTU7,#REF!,3,FALSE),VLOOKUP(DTU7,#REF!,4,FALSE)),0)</f>
        <v/>
      </c>
      <c r="DTV1">
        <f>IFERROR(IF((ISBLANK(VLOOKUP(DTV7,#REF!,4,FALSE)))=TRUE,VLOOKUP(DTV7,#REF!,3,FALSE),VLOOKUP(DTV7,#REF!,4,FALSE)),0)</f>
        <v/>
      </c>
      <c r="DTW1">
        <f>IFERROR(IF((ISBLANK(VLOOKUP(DTW7,#REF!,4,FALSE)))=TRUE,VLOOKUP(DTW7,#REF!,3,FALSE),VLOOKUP(DTW7,#REF!,4,FALSE)),0)</f>
        <v/>
      </c>
      <c r="DTX1">
        <f>IFERROR(IF((ISBLANK(VLOOKUP(DTX7,#REF!,4,FALSE)))=TRUE,VLOOKUP(DTX7,#REF!,3,FALSE),VLOOKUP(DTX7,#REF!,4,FALSE)),0)</f>
        <v/>
      </c>
      <c r="DTY1">
        <f>IFERROR(IF((ISBLANK(VLOOKUP(DTY7,#REF!,4,FALSE)))=TRUE,VLOOKUP(DTY7,#REF!,3,FALSE),VLOOKUP(DTY7,#REF!,4,FALSE)),0)</f>
        <v/>
      </c>
      <c r="DTZ1">
        <f>IFERROR(IF((ISBLANK(VLOOKUP(DTZ7,#REF!,4,FALSE)))=TRUE,VLOOKUP(DTZ7,#REF!,3,FALSE),VLOOKUP(DTZ7,#REF!,4,FALSE)),0)</f>
        <v/>
      </c>
      <c r="DUA1">
        <f>IFERROR(IF((ISBLANK(VLOOKUP(DUA7,#REF!,4,FALSE)))=TRUE,VLOOKUP(DUA7,#REF!,3,FALSE),VLOOKUP(DUA7,#REF!,4,FALSE)),0)</f>
        <v/>
      </c>
      <c r="DUB1">
        <f>IFERROR(IF((ISBLANK(VLOOKUP(DUB7,#REF!,4,FALSE)))=TRUE,VLOOKUP(DUB7,#REF!,3,FALSE),VLOOKUP(DUB7,#REF!,4,FALSE)),0)</f>
        <v/>
      </c>
      <c r="DUC1">
        <f>IFERROR(IF((ISBLANK(VLOOKUP(DUC7,#REF!,4,FALSE)))=TRUE,VLOOKUP(DUC7,#REF!,3,FALSE),VLOOKUP(DUC7,#REF!,4,FALSE)),0)</f>
        <v/>
      </c>
      <c r="DUD1">
        <f>IFERROR(IF((ISBLANK(VLOOKUP(DUD7,#REF!,4,FALSE)))=TRUE,VLOOKUP(DUD7,#REF!,3,FALSE),VLOOKUP(DUD7,#REF!,4,FALSE)),0)</f>
        <v/>
      </c>
      <c r="DUE1">
        <f>IFERROR(IF((ISBLANK(VLOOKUP(DUE7,#REF!,4,FALSE)))=TRUE,VLOOKUP(DUE7,#REF!,3,FALSE),VLOOKUP(DUE7,#REF!,4,FALSE)),0)</f>
        <v/>
      </c>
      <c r="DUF1">
        <f>IFERROR(IF((ISBLANK(VLOOKUP(DUF7,#REF!,4,FALSE)))=TRUE,VLOOKUP(DUF7,#REF!,3,FALSE),VLOOKUP(DUF7,#REF!,4,FALSE)),0)</f>
        <v/>
      </c>
      <c r="DUG1">
        <f>IFERROR(IF((ISBLANK(VLOOKUP(DUG7,#REF!,4,FALSE)))=TRUE,VLOOKUP(DUG7,#REF!,3,FALSE),VLOOKUP(DUG7,#REF!,4,FALSE)),0)</f>
        <v/>
      </c>
      <c r="DUH1">
        <f>IFERROR(IF((ISBLANK(VLOOKUP(DUH7,#REF!,4,FALSE)))=TRUE,VLOOKUP(DUH7,#REF!,3,FALSE),VLOOKUP(DUH7,#REF!,4,FALSE)),0)</f>
        <v/>
      </c>
      <c r="DUI1">
        <f>IFERROR(IF((ISBLANK(VLOOKUP(DUI7,#REF!,4,FALSE)))=TRUE,VLOOKUP(DUI7,#REF!,3,FALSE),VLOOKUP(DUI7,#REF!,4,FALSE)),0)</f>
        <v/>
      </c>
      <c r="DUJ1">
        <f>IFERROR(IF((ISBLANK(VLOOKUP(DUJ7,#REF!,4,FALSE)))=TRUE,VLOOKUP(DUJ7,#REF!,3,FALSE),VLOOKUP(DUJ7,#REF!,4,FALSE)),0)</f>
        <v/>
      </c>
      <c r="DUK1">
        <f>IFERROR(IF((ISBLANK(VLOOKUP(DUK7,#REF!,4,FALSE)))=TRUE,VLOOKUP(DUK7,#REF!,3,FALSE),VLOOKUP(DUK7,#REF!,4,FALSE)),0)</f>
        <v/>
      </c>
      <c r="DUL1">
        <f>IFERROR(IF((ISBLANK(VLOOKUP(DUL7,#REF!,4,FALSE)))=TRUE,VLOOKUP(DUL7,#REF!,3,FALSE),VLOOKUP(DUL7,#REF!,4,FALSE)),0)</f>
        <v/>
      </c>
      <c r="DUM1">
        <f>IFERROR(IF((ISBLANK(VLOOKUP(DUM7,#REF!,4,FALSE)))=TRUE,VLOOKUP(DUM7,#REF!,3,FALSE),VLOOKUP(DUM7,#REF!,4,FALSE)),0)</f>
        <v/>
      </c>
      <c r="DUN1">
        <f>IFERROR(IF((ISBLANK(VLOOKUP(DUN7,#REF!,4,FALSE)))=TRUE,VLOOKUP(DUN7,#REF!,3,FALSE),VLOOKUP(DUN7,#REF!,4,FALSE)),0)</f>
        <v/>
      </c>
      <c r="DUO1">
        <f>IFERROR(IF((ISBLANK(VLOOKUP(DUO7,#REF!,4,FALSE)))=TRUE,VLOOKUP(DUO7,#REF!,3,FALSE),VLOOKUP(DUO7,#REF!,4,FALSE)),0)</f>
        <v/>
      </c>
      <c r="DUP1">
        <f>IFERROR(IF((ISBLANK(VLOOKUP(DUP7,#REF!,4,FALSE)))=TRUE,VLOOKUP(DUP7,#REF!,3,FALSE),VLOOKUP(DUP7,#REF!,4,FALSE)),0)</f>
        <v/>
      </c>
      <c r="DUQ1">
        <f>IFERROR(IF((ISBLANK(VLOOKUP(DUQ7,#REF!,4,FALSE)))=TRUE,VLOOKUP(DUQ7,#REF!,3,FALSE),VLOOKUP(DUQ7,#REF!,4,FALSE)),0)</f>
        <v/>
      </c>
      <c r="DUR1">
        <f>IFERROR(IF((ISBLANK(VLOOKUP(DUR7,#REF!,4,FALSE)))=TRUE,VLOOKUP(DUR7,#REF!,3,FALSE),VLOOKUP(DUR7,#REF!,4,FALSE)),0)</f>
        <v/>
      </c>
      <c r="DUS1">
        <f>IFERROR(IF((ISBLANK(VLOOKUP(DUS7,#REF!,4,FALSE)))=TRUE,VLOOKUP(DUS7,#REF!,3,FALSE),VLOOKUP(DUS7,#REF!,4,FALSE)),0)</f>
        <v/>
      </c>
      <c r="DUT1">
        <f>IFERROR(IF((ISBLANK(VLOOKUP(DUT7,#REF!,4,FALSE)))=TRUE,VLOOKUP(DUT7,#REF!,3,FALSE),VLOOKUP(DUT7,#REF!,4,FALSE)),0)</f>
        <v/>
      </c>
      <c r="DUU1">
        <f>IFERROR(IF((ISBLANK(VLOOKUP(DUU7,#REF!,4,FALSE)))=TRUE,VLOOKUP(DUU7,#REF!,3,FALSE),VLOOKUP(DUU7,#REF!,4,FALSE)),0)</f>
        <v/>
      </c>
      <c r="DUV1">
        <f>IFERROR(IF((ISBLANK(VLOOKUP(DUV7,#REF!,4,FALSE)))=TRUE,VLOOKUP(DUV7,#REF!,3,FALSE),VLOOKUP(DUV7,#REF!,4,FALSE)),0)</f>
        <v/>
      </c>
      <c r="DUW1">
        <f>IFERROR(IF((ISBLANK(VLOOKUP(DUW7,#REF!,4,FALSE)))=TRUE,VLOOKUP(DUW7,#REF!,3,FALSE),VLOOKUP(DUW7,#REF!,4,FALSE)),0)</f>
        <v/>
      </c>
      <c r="DUX1">
        <f>IFERROR(IF((ISBLANK(VLOOKUP(DUX7,#REF!,4,FALSE)))=TRUE,VLOOKUP(DUX7,#REF!,3,FALSE),VLOOKUP(DUX7,#REF!,4,FALSE)),0)</f>
        <v/>
      </c>
      <c r="DUY1">
        <f>IFERROR(IF((ISBLANK(VLOOKUP(DUY7,#REF!,4,FALSE)))=TRUE,VLOOKUP(DUY7,#REF!,3,FALSE),VLOOKUP(DUY7,#REF!,4,FALSE)),0)</f>
        <v/>
      </c>
      <c r="DUZ1">
        <f>IFERROR(IF((ISBLANK(VLOOKUP(DUZ7,#REF!,4,FALSE)))=TRUE,VLOOKUP(DUZ7,#REF!,3,FALSE),VLOOKUP(DUZ7,#REF!,4,FALSE)),0)</f>
        <v/>
      </c>
      <c r="DVA1">
        <f>IFERROR(IF((ISBLANK(VLOOKUP(DVA7,#REF!,4,FALSE)))=TRUE,VLOOKUP(DVA7,#REF!,3,FALSE),VLOOKUP(DVA7,#REF!,4,FALSE)),0)</f>
        <v/>
      </c>
      <c r="DVB1">
        <f>IFERROR(IF((ISBLANK(VLOOKUP(DVB7,#REF!,4,FALSE)))=TRUE,VLOOKUP(DVB7,#REF!,3,FALSE),VLOOKUP(DVB7,#REF!,4,FALSE)),0)</f>
        <v/>
      </c>
      <c r="DVC1">
        <f>IFERROR(IF((ISBLANK(VLOOKUP(DVC7,#REF!,4,FALSE)))=TRUE,VLOOKUP(DVC7,#REF!,3,FALSE),VLOOKUP(DVC7,#REF!,4,FALSE)),0)</f>
        <v/>
      </c>
      <c r="DVD1">
        <f>IFERROR(IF((ISBLANK(VLOOKUP(DVD7,#REF!,4,FALSE)))=TRUE,VLOOKUP(DVD7,#REF!,3,FALSE),VLOOKUP(DVD7,#REF!,4,FALSE)),0)</f>
        <v/>
      </c>
      <c r="DVE1">
        <f>IFERROR(IF((ISBLANK(VLOOKUP(DVE7,#REF!,4,FALSE)))=TRUE,VLOOKUP(DVE7,#REF!,3,FALSE),VLOOKUP(DVE7,#REF!,4,FALSE)),0)</f>
        <v/>
      </c>
      <c r="DVF1">
        <f>IFERROR(IF((ISBLANK(VLOOKUP(DVF7,#REF!,4,FALSE)))=TRUE,VLOOKUP(DVF7,#REF!,3,FALSE),VLOOKUP(DVF7,#REF!,4,FALSE)),0)</f>
        <v/>
      </c>
      <c r="DVG1">
        <f>IFERROR(IF((ISBLANK(VLOOKUP(DVG7,#REF!,4,FALSE)))=TRUE,VLOOKUP(DVG7,#REF!,3,FALSE),VLOOKUP(DVG7,#REF!,4,FALSE)),0)</f>
        <v/>
      </c>
      <c r="DVH1">
        <f>IFERROR(IF((ISBLANK(VLOOKUP(DVH7,#REF!,4,FALSE)))=TRUE,VLOOKUP(DVH7,#REF!,3,FALSE),VLOOKUP(DVH7,#REF!,4,FALSE)),0)</f>
        <v/>
      </c>
      <c r="DVI1">
        <f>IFERROR(IF((ISBLANK(VLOOKUP(DVI7,#REF!,4,FALSE)))=TRUE,VLOOKUP(DVI7,#REF!,3,FALSE),VLOOKUP(DVI7,#REF!,4,FALSE)),0)</f>
        <v/>
      </c>
      <c r="DVJ1">
        <f>IFERROR(IF((ISBLANK(VLOOKUP(DVJ7,#REF!,4,FALSE)))=TRUE,VLOOKUP(DVJ7,#REF!,3,FALSE),VLOOKUP(DVJ7,#REF!,4,FALSE)),0)</f>
        <v/>
      </c>
      <c r="DVK1">
        <f>IFERROR(IF((ISBLANK(VLOOKUP(DVK7,#REF!,4,FALSE)))=TRUE,VLOOKUP(DVK7,#REF!,3,FALSE),VLOOKUP(DVK7,#REF!,4,FALSE)),0)</f>
        <v/>
      </c>
      <c r="DVL1">
        <f>IFERROR(IF((ISBLANK(VLOOKUP(DVL7,#REF!,4,FALSE)))=TRUE,VLOOKUP(DVL7,#REF!,3,FALSE),VLOOKUP(DVL7,#REF!,4,FALSE)),0)</f>
        <v/>
      </c>
      <c r="DVM1">
        <f>IFERROR(IF((ISBLANK(VLOOKUP(DVM7,#REF!,4,FALSE)))=TRUE,VLOOKUP(DVM7,#REF!,3,FALSE),VLOOKUP(DVM7,#REF!,4,FALSE)),0)</f>
        <v/>
      </c>
      <c r="DVN1">
        <f>IFERROR(IF((ISBLANK(VLOOKUP(DVN7,#REF!,4,FALSE)))=TRUE,VLOOKUP(DVN7,#REF!,3,FALSE),VLOOKUP(DVN7,#REF!,4,FALSE)),0)</f>
        <v/>
      </c>
      <c r="DVO1">
        <f>IFERROR(IF((ISBLANK(VLOOKUP(DVO7,#REF!,4,FALSE)))=TRUE,VLOOKUP(DVO7,#REF!,3,FALSE),VLOOKUP(DVO7,#REF!,4,FALSE)),0)</f>
        <v/>
      </c>
      <c r="DVP1">
        <f>IFERROR(IF((ISBLANK(VLOOKUP(DVP7,#REF!,4,FALSE)))=TRUE,VLOOKUP(DVP7,#REF!,3,FALSE),VLOOKUP(DVP7,#REF!,4,FALSE)),0)</f>
        <v/>
      </c>
      <c r="DVQ1">
        <f>IFERROR(IF((ISBLANK(VLOOKUP(DVQ7,#REF!,4,FALSE)))=TRUE,VLOOKUP(DVQ7,#REF!,3,FALSE),VLOOKUP(DVQ7,#REF!,4,FALSE)),0)</f>
        <v/>
      </c>
      <c r="DVR1">
        <f>IFERROR(IF((ISBLANK(VLOOKUP(DVR7,#REF!,4,FALSE)))=TRUE,VLOOKUP(DVR7,#REF!,3,FALSE),VLOOKUP(DVR7,#REF!,4,FALSE)),0)</f>
        <v/>
      </c>
      <c r="DVS1">
        <f>IFERROR(IF((ISBLANK(VLOOKUP(DVS7,#REF!,4,FALSE)))=TRUE,VLOOKUP(DVS7,#REF!,3,FALSE),VLOOKUP(DVS7,#REF!,4,FALSE)),0)</f>
        <v/>
      </c>
      <c r="DVT1">
        <f>IFERROR(IF((ISBLANK(VLOOKUP(DVT7,#REF!,4,FALSE)))=TRUE,VLOOKUP(DVT7,#REF!,3,FALSE),VLOOKUP(DVT7,#REF!,4,FALSE)),0)</f>
        <v/>
      </c>
      <c r="DVU1">
        <f>IFERROR(IF((ISBLANK(VLOOKUP(DVU7,#REF!,4,FALSE)))=TRUE,VLOOKUP(DVU7,#REF!,3,FALSE),VLOOKUP(DVU7,#REF!,4,FALSE)),0)</f>
        <v/>
      </c>
      <c r="DVV1">
        <f>IFERROR(IF((ISBLANK(VLOOKUP(DVV7,#REF!,4,FALSE)))=TRUE,VLOOKUP(DVV7,#REF!,3,FALSE),VLOOKUP(DVV7,#REF!,4,FALSE)),0)</f>
        <v/>
      </c>
      <c r="DVW1">
        <f>IFERROR(IF((ISBLANK(VLOOKUP(DVW7,#REF!,4,FALSE)))=TRUE,VLOOKUP(DVW7,#REF!,3,FALSE),VLOOKUP(DVW7,#REF!,4,FALSE)),0)</f>
        <v/>
      </c>
      <c r="DVX1">
        <f>IFERROR(IF((ISBLANK(VLOOKUP(DVX7,#REF!,4,FALSE)))=TRUE,VLOOKUP(DVX7,#REF!,3,FALSE),VLOOKUP(DVX7,#REF!,4,FALSE)),0)</f>
        <v/>
      </c>
      <c r="DVY1">
        <f>IFERROR(IF((ISBLANK(VLOOKUP(DVY7,#REF!,4,FALSE)))=TRUE,VLOOKUP(DVY7,#REF!,3,FALSE),VLOOKUP(DVY7,#REF!,4,FALSE)),0)</f>
        <v/>
      </c>
      <c r="DVZ1">
        <f>IFERROR(IF((ISBLANK(VLOOKUP(DVZ7,#REF!,4,FALSE)))=TRUE,VLOOKUP(DVZ7,#REF!,3,FALSE),VLOOKUP(DVZ7,#REF!,4,FALSE)),0)</f>
        <v/>
      </c>
      <c r="DWA1">
        <f>IFERROR(IF((ISBLANK(VLOOKUP(DWA7,#REF!,4,FALSE)))=TRUE,VLOOKUP(DWA7,#REF!,3,FALSE),VLOOKUP(DWA7,#REF!,4,FALSE)),0)</f>
        <v/>
      </c>
      <c r="DWB1">
        <f>IFERROR(IF((ISBLANK(VLOOKUP(DWB7,#REF!,4,FALSE)))=TRUE,VLOOKUP(DWB7,#REF!,3,FALSE),VLOOKUP(DWB7,#REF!,4,FALSE)),0)</f>
        <v/>
      </c>
      <c r="DWC1">
        <f>IFERROR(IF((ISBLANK(VLOOKUP(DWC7,#REF!,4,FALSE)))=TRUE,VLOOKUP(DWC7,#REF!,3,FALSE),VLOOKUP(DWC7,#REF!,4,FALSE)),0)</f>
        <v/>
      </c>
      <c r="DWD1">
        <f>IFERROR(IF((ISBLANK(VLOOKUP(DWD7,#REF!,4,FALSE)))=TRUE,VLOOKUP(DWD7,#REF!,3,FALSE),VLOOKUP(DWD7,#REF!,4,FALSE)),0)</f>
        <v/>
      </c>
      <c r="DWE1">
        <f>IFERROR(IF((ISBLANK(VLOOKUP(DWE7,#REF!,4,FALSE)))=TRUE,VLOOKUP(DWE7,#REF!,3,FALSE),VLOOKUP(DWE7,#REF!,4,FALSE)),0)</f>
        <v/>
      </c>
      <c r="DWF1">
        <f>IFERROR(IF((ISBLANK(VLOOKUP(DWF7,#REF!,4,FALSE)))=TRUE,VLOOKUP(DWF7,#REF!,3,FALSE),VLOOKUP(DWF7,#REF!,4,FALSE)),0)</f>
        <v/>
      </c>
      <c r="DWG1">
        <f>IFERROR(IF((ISBLANK(VLOOKUP(DWG7,#REF!,4,FALSE)))=TRUE,VLOOKUP(DWG7,#REF!,3,FALSE),VLOOKUP(DWG7,#REF!,4,FALSE)),0)</f>
        <v/>
      </c>
      <c r="DWH1">
        <f>IFERROR(IF((ISBLANK(VLOOKUP(DWH7,#REF!,4,FALSE)))=TRUE,VLOOKUP(DWH7,#REF!,3,FALSE),VLOOKUP(DWH7,#REF!,4,FALSE)),0)</f>
        <v/>
      </c>
      <c r="DWI1">
        <f>IFERROR(IF((ISBLANK(VLOOKUP(DWI7,#REF!,4,FALSE)))=TRUE,VLOOKUP(DWI7,#REF!,3,FALSE),VLOOKUP(DWI7,#REF!,4,FALSE)),0)</f>
        <v/>
      </c>
      <c r="DWJ1">
        <f>IFERROR(IF((ISBLANK(VLOOKUP(DWJ7,#REF!,4,FALSE)))=TRUE,VLOOKUP(DWJ7,#REF!,3,FALSE),VLOOKUP(DWJ7,#REF!,4,FALSE)),0)</f>
        <v/>
      </c>
      <c r="DWK1">
        <f>IFERROR(IF((ISBLANK(VLOOKUP(DWK7,#REF!,4,FALSE)))=TRUE,VLOOKUP(DWK7,#REF!,3,FALSE),VLOOKUP(DWK7,#REF!,4,FALSE)),0)</f>
        <v/>
      </c>
      <c r="DWL1">
        <f>IFERROR(IF((ISBLANK(VLOOKUP(DWL7,#REF!,4,FALSE)))=TRUE,VLOOKUP(DWL7,#REF!,3,FALSE),VLOOKUP(DWL7,#REF!,4,FALSE)),0)</f>
        <v/>
      </c>
      <c r="DWM1">
        <f>IFERROR(IF((ISBLANK(VLOOKUP(DWM7,#REF!,4,FALSE)))=TRUE,VLOOKUP(DWM7,#REF!,3,FALSE),VLOOKUP(DWM7,#REF!,4,FALSE)),0)</f>
        <v/>
      </c>
      <c r="DWN1">
        <f>IFERROR(IF((ISBLANK(VLOOKUP(DWN7,#REF!,4,FALSE)))=TRUE,VLOOKUP(DWN7,#REF!,3,FALSE),VLOOKUP(DWN7,#REF!,4,FALSE)),0)</f>
        <v/>
      </c>
      <c r="DWO1">
        <f>IFERROR(IF((ISBLANK(VLOOKUP(DWO7,#REF!,4,FALSE)))=TRUE,VLOOKUP(DWO7,#REF!,3,FALSE),VLOOKUP(DWO7,#REF!,4,FALSE)),0)</f>
        <v/>
      </c>
      <c r="DWP1">
        <f>IFERROR(IF((ISBLANK(VLOOKUP(DWP7,#REF!,4,FALSE)))=TRUE,VLOOKUP(DWP7,#REF!,3,FALSE),VLOOKUP(DWP7,#REF!,4,FALSE)),0)</f>
        <v/>
      </c>
      <c r="DWQ1">
        <f>IFERROR(IF((ISBLANK(VLOOKUP(DWQ7,#REF!,4,FALSE)))=TRUE,VLOOKUP(DWQ7,#REF!,3,FALSE),VLOOKUP(DWQ7,#REF!,4,FALSE)),0)</f>
        <v/>
      </c>
      <c r="DWR1">
        <f>IFERROR(IF((ISBLANK(VLOOKUP(DWR7,#REF!,4,FALSE)))=TRUE,VLOOKUP(DWR7,#REF!,3,FALSE),VLOOKUP(DWR7,#REF!,4,FALSE)),0)</f>
        <v/>
      </c>
      <c r="DWS1">
        <f>IFERROR(IF((ISBLANK(VLOOKUP(DWS7,#REF!,4,FALSE)))=TRUE,VLOOKUP(DWS7,#REF!,3,FALSE),VLOOKUP(DWS7,#REF!,4,FALSE)),0)</f>
        <v/>
      </c>
      <c r="DWT1">
        <f>IFERROR(IF((ISBLANK(VLOOKUP(DWT7,#REF!,4,FALSE)))=TRUE,VLOOKUP(DWT7,#REF!,3,FALSE),VLOOKUP(DWT7,#REF!,4,FALSE)),0)</f>
        <v/>
      </c>
      <c r="DWU1">
        <f>IFERROR(IF((ISBLANK(VLOOKUP(DWU7,#REF!,4,FALSE)))=TRUE,VLOOKUP(DWU7,#REF!,3,FALSE),VLOOKUP(DWU7,#REF!,4,FALSE)),0)</f>
        <v/>
      </c>
      <c r="DWV1">
        <f>IFERROR(IF((ISBLANK(VLOOKUP(DWV7,#REF!,4,FALSE)))=TRUE,VLOOKUP(DWV7,#REF!,3,FALSE),VLOOKUP(DWV7,#REF!,4,FALSE)),0)</f>
        <v/>
      </c>
      <c r="DWW1">
        <f>IFERROR(IF((ISBLANK(VLOOKUP(DWW7,#REF!,4,FALSE)))=TRUE,VLOOKUP(DWW7,#REF!,3,FALSE),VLOOKUP(DWW7,#REF!,4,FALSE)),0)</f>
        <v/>
      </c>
      <c r="DWX1">
        <f>IFERROR(IF((ISBLANK(VLOOKUP(DWX7,#REF!,4,FALSE)))=TRUE,VLOOKUP(DWX7,#REF!,3,FALSE),VLOOKUP(DWX7,#REF!,4,FALSE)),0)</f>
        <v/>
      </c>
      <c r="DWY1">
        <f>IFERROR(IF((ISBLANK(VLOOKUP(DWY7,#REF!,4,FALSE)))=TRUE,VLOOKUP(DWY7,#REF!,3,FALSE),VLOOKUP(DWY7,#REF!,4,FALSE)),0)</f>
        <v/>
      </c>
      <c r="DWZ1">
        <f>IFERROR(IF((ISBLANK(VLOOKUP(DWZ7,#REF!,4,FALSE)))=TRUE,VLOOKUP(DWZ7,#REF!,3,FALSE),VLOOKUP(DWZ7,#REF!,4,FALSE)),0)</f>
        <v/>
      </c>
      <c r="DXA1">
        <f>IFERROR(IF((ISBLANK(VLOOKUP(DXA7,#REF!,4,FALSE)))=TRUE,VLOOKUP(DXA7,#REF!,3,FALSE),VLOOKUP(DXA7,#REF!,4,FALSE)),0)</f>
        <v/>
      </c>
      <c r="DXB1">
        <f>IFERROR(IF((ISBLANK(VLOOKUP(DXB7,#REF!,4,FALSE)))=TRUE,VLOOKUP(DXB7,#REF!,3,FALSE),VLOOKUP(DXB7,#REF!,4,FALSE)),0)</f>
        <v/>
      </c>
      <c r="DXC1">
        <f>IFERROR(IF((ISBLANK(VLOOKUP(DXC7,#REF!,4,FALSE)))=TRUE,VLOOKUP(DXC7,#REF!,3,FALSE),VLOOKUP(DXC7,#REF!,4,FALSE)),0)</f>
        <v/>
      </c>
      <c r="DXD1">
        <f>IFERROR(IF((ISBLANK(VLOOKUP(DXD7,#REF!,4,FALSE)))=TRUE,VLOOKUP(DXD7,#REF!,3,FALSE),VLOOKUP(DXD7,#REF!,4,FALSE)),0)</f>
        <v/>
      </c>
      <c r="DXE1">
        <f>IFERROR(IF((ISBLANK(VLOOKUP(DXE7,#REF!,4,FALSE)))=TRUE,VLOOKUP(DXE7,#REF!,3,FALSE),VLOOKUP(DXE7,#REF!,4,FALSE)),0)</f>
        <v/>
      </c>
      <c r="DXF1">
        <f>IFERROR(IF((ISBLANK(VLOOKUP(DXF7,#REF!,4,FALSE)))=TRUE,VLOOKUP(DXF7,#REF!,3,FALSE),VLOOKUP(DXF7,#REF!,4,FALSE)),0)</f>
        <v/>
      </c>
      <c r="DXG1">
        <f>IFERROR(IF((ISBLANK(VLOOKUP(DXG7,#REF!,4,FALSE)))=TRUE,VLOOKUP(DXG7,#REF!,3,FALSE),VLOOKUP(DXG7,#REF!,4,FALSE)),0)</f>
        <v/>
      </c>
      <c r="DXH1">
        <f>IFERROR(IF((ISBLANK(VLOOKUP(DXH7,#REF!,4,FALSE)))=TRUE,VLOOKUP(DXH7,#REF!,3,FALSE),VLOOKUP(DXH7,#REF!,4,FALSE)),0)</f>
        <v/>
      </c>
      <c r="DXI1">
        <f>IFERROR(IF((ISBLANK(VLOOKUP(DXI7,#REF!,4,FALSE)))=TRUE,VLOOKUP(DXI7,#REF!,3,FALSE),VLOOKUP(DXI7,#REF!,4,FALSE)),0)</f>
        <v/>
      </c>
      <c r="DXJ1">
        <f>IFERROR(IF((ISBLANK(VLOOKUP(DXJ7,#REF!,4,FALSE)))=TRUE,VLOOKUP(DXJ7,#REF!,3,FALSE),VLOOKUP(DXJ7,#REF!,4,FALSE)),0)</f>
        <v/>
      </c>
      <c r="DXK1">
        <f>IFERROR(IF((ISBLANK(VLOOKUP(DXK7,#REF!,4,FALSE)))=TRUE,VLOOKUP(DXK7,#REF!,3,FALSE),VLOOKUP(DXK7,#REF!,4,FALSE)),0)</f>
        <v/>
      </c>
      <c r="DXL1">
        <f>IFERROR(IF((ISBLANK(VLOOKUP(DXL7,#REF!,4,FALSE)))=TRUE,VLOOKUP(DXL7,#REF!,3,FALSE),VLOOKUP(DXL7,#REF!,4,FALSE)),0)</f>
        <v/>
      </c>
      <c r="DXM1">
        <f>IFERROR(IF((ISBLANK(VLOOKUP(DXM7,#REF!,4,FALSE)))=TRUE,VLOOKUP(DXM7,#REF!,3,FALSE),VLOOKUP(DXM7,#REF!,4,FALSE)),0)</f>
        <v/>
      </c>
      <c r="DXN1">
        <f>IFERROR(IF((ISBLANK(VLOOKUP(DXN7,#REF!,4,FALSE)))=TRUE,VLOOKUP(DXN7,#REF!,3,FALSE),VLOOKUP(DXN7,#REF!,4,FALSE)),0)</f>
        <v/>
      </c>
      <c r="DXO1">
        <f>IFERROR(IF((ISBLANK(VLOOKUP(DXO7,#REF!,4,FALSE)))=TRUE,VLOOKUP(DXO7,#REF!,3,FALSE),VLOOKUP(DXO7,#REF!,4,FALSE)),0)</f>
        <v/>
      </c>
      <c r="DXP1">
        <f>IFERROR(IF((ISBLANK(VLOOKUP(DXP7,#REF!,4,FALSE)))=TRUE,VLOOKUP(DXP7,#REF!,3,FALSE),VLOOKUP(DXP7,#REF!,4,FALSE)),0)</f>
        <v/>
      </c>
      <c r="DXQ1">
        <f>IFERROR(IF((ISBLANK(VLOOKUP(DXQ7,#REF!,4,FALSE)))=TRUE,VLOOKUP(DXQ7,#REF!,3,FALSE),VLOOKUP(DXQ7,#REF!,4,FALSE)),0)</f>
        <v/>
      </c>
      <c r="DXR1">
        <f>IFERROR(IF((ISBLANK(VLOOKUP(DXR7,#REF!,4,FALSE)))=TRUE,VLOOKUP(DXR7,#REF!,3,FALSE),VLOOKUP(DXR7,#REF!,4,FALSE)),0)</f>
        <v/>
      </c>
      <c r="DXS1">
        <f>IFERROR(IF((ISBLANK(VLOOKUP(DXS7,#REF!,4,FALSE)))=TRUE,VLOOKUP(DXS7,#REF!,3,FALSE),VLOOKUP(DXS7,#REF!,4,FALSE)),0)</f>
        <v/>
      </c>
      <c r="DXT1">
        <f>IFERROR(IF((ISBLANK(VLOOKUP(DXT7,#REF!,4,FALSE)))=TRUE,VLOOKUP(DXT7,#REF!,3,FALSE),VLOOKUP(DXT7,#REF!,4,FALSE)),0)</f>
        <v/>
      </c>
      <c r="DXU1">
        <f>IFERROR(IF((ISBLANK(VLOOKUP(DXU7,#REF!,4,FALSE)))=TRUE,VLOOKUP(DXU7,#REF!,3,FALSE),VLOOKUP(DXU7,#REF!,4,FALSE)),0)</f>
        <v/>
      </c>
      <c r="DXV1">
        <f>IFERROR(IF((ISBLANK(VLOOKUP(DXV7,#REF!,4,FALSE)))=TRUE,VLOOKUP(DXV7,#REF!,3,FALSE),VLOOKUP(DXV7,#REF!,4,FALSE)),0)</f>
        <v/>
      </c>
      <c r="DXW1">
        <f>IFERROR(IF((ISBLANK(VLOOKUP(DXW7,#REF!,4,FALSE)))=TRUE,VLOOKUP(DXW7,#REF!,3,FALSE),VLOOKUP(DXW7,#REF!,4,FALSE)),0)</f>
        <v/>
      </c>
      <c r="DXX1">
        <f>IFERROR(IF((ISBLANK(VLOOKUP(DXX7,#REF!,4,FALSE)))=TRUE,VLOOKUP(DXX7,#REF!,3,FALSE),VLOOKUP(DXX7,#REF!,4,FALSE)),0)</f>
        <v/>
      </c>
      <c r="DXY1">
        <f>IFERROR(IF((ISBLANK(VLOOKUP(DXY7,#REF!,4,FALSE)))=TRUE,VLOOKUP(DXY7,#REF!,3,FALSE),VLOOKUP(DXY7,#REF!,4,FALSE)),0)</f>
        <v/>
      </c>
      <c r="DXZ1">
        <f>IFERROR(IF((ISBLANK(VLOOKUP(DXZ7,#REF!,4,FALSE)))=TRUE,VLOOKUP(DXZ7,#REF!,3,FALSE),VLOOKUP(DXZ7,#REF!,4,FALSE)),0)</f>
        <v/>
      </c>
      <c r="DYA1">
        <f>IFERROR(IF((ISBLANK(VLOOKUP(DYA7,#REF!,4,FALSE)))=TRUE,VLOOKUP(DYA7,#REF!,3,FALSE),VLOOKUP(DYA7,#REF!,4,FALSE)),0)</f>
        <v/>
      </c>
      <c r="DYB1">
        <f>IFERROR(IF((ISBLANK(VLOOKUP(DYB7,#REF!,4,FALSE)))=TRUE,VLOOKUP(DYB7,#REF!,3,FALSE),VLOOKUP(DYB7,#REF!,4,FALSE)),0)</f>
        <v/>
      </c>
      <c r="DYC1">
        <f>IFERROR(IF((ISBLANK(VLOOKUP(DYC7,#REF!,4,FALSE)))=TRUE,VLOOKUP(DYC7,#REF!,3,FALSE),VLOOKUP(DYC7,#REF!,4,FALSE)),0)</f>
        <v/>
      </c>
      <c r="DYD1">
        <f>IFERROR(IF((ISBLANK(VLOOKUP(DYD7,#REF!,4,FALSE)))=TRUE,VLOOKUP(DYD7,#REF!,3,FALSE),VLOOKUP(DYD7,#REF!,4,FALSE)),0)</f>
        <v/>
      </c>
      <c r="DYE1">
        <f>IFERROR(IF((ISBLANK(VLOOKUP(DYE7,#REF!,4,FALSE)))=TRUE,VLOOKUP(DYE7,#REF!,3,FALSE),VLOOKUP(DYE7,#REF!,4,FALSE)),0)</f>
        <v/>
      </c>
      <c r="DYF1">
        <f>IFERROR(IF((ISBLANK(VLOOKUP(DYF7,#REF!,4,FALSE)))=TRUE,VLOOKUP(DYF7,#REF!,3,FALSE),VLOOKUP(DYF7,#REF!,4,FALSE)),0)</f>
        <v/>
      </c>
      <c r="DYG1">
        <f>IFERROR(IF((ISBLANK(VLOOKUP(DYG7,#REF!,4,FALSE)))=TRUE,VLOOKUP(DYG7,#REF!,3,FALSE),VLOOKUP(DYG7,#REF!,4,FALSE)),0)</f>
        <v/>
      </c>
      <c r="DYH1">
        <f>IFERROR(IF((ISBLANK(VLOOKUP(DYH7,#REF!,4,FALSE)))=TRUE,VLOOKUP(DYH7,#REF!,3,FALSE),VLOOKUP(DYH7,#REF!,4,FALSE)),0)</f>
        <v/>
      </c>
      <c r="DYI1">
        <f>IFERROR(IF((ISBLANK(VLOOKUP(DYI7,#REF!,4,FALSE)))=TRUE,VLOOKUP(DYI7,#REF!,3,FALSE),VLOOKUP(DYI7,#REF!,4,FALSE)),0)</f>
        <v/>
      </c>
      <c r="DYJ1">
        <f>IFERROR(IF((ISBLANK(VLOOKUP(DYJ7,#REF!,4,FALSE)))=TRUE,VLOOKUP(DYJ7,#REF!,3,FALSE),VLOOKUP(DYJ7,#REF!,4,FALSE)),0)</f>
        <v/>
      </c>
      <c r="DYK1">
        <f>IFERROR(IF((ISBLANK(VLOOKUP(DYK7,#REF!,4,FALSE)))=TRUE,VLOOKUP(DYK7,#REF!,3,FALSE),VLOOKUP(DYK7,#REF!,4,FALSE)),0)</f>
        <v/>
      </c>
      <c r="DYL1">
        <f>IFERROR(IF((ISBLANK(VLOOKUP(DYL7,#REF!,4,FALSE)))=TRUE,VLOOKUP(DYL7,#REF!,3,FALSE),VLOOKUP(DYL7,#REF!,4,FALSE)),0)</f>
        <v/>
      </c>
      <c r="DYM1">
        <f>IFERROR(IF((ISBLANK(VLOOKUP(DYM7,#REF!,4,FALSE)))=TRUE,VLOOKUP(DYM7,#REF!,3,FALSE),VLOOKUP(DYM7,#REF!,4,FALSE)),0)</f>
        <v/>
      </c>
      <c r="DYN1">
        <f>IFERROR(IF((ISBLANK(VLOOKUP(DYN7,#REF!,4,FALSE)))=TRUE,VLOOKUP(DYN7,#REF!,3,FALSE),VLOOKUP(DYN7,#REF!,4,FALSE)),0)</f>
        <v/>
      </c>
      <c r="DYO1">
        <f>IFERROR(IF((ISBLANK(VLOOKUP(DYO7,#REF!,4,FALSE)))=TRUE,VLOOKUP(DYO7,#REF!,3,FALSE),VLOOKUP(DYO7,#REF!,4,FALSE)),0)</f>
        <v/>
      </c>
      <c r="DYP1">
        <f>IFERROR(IF((ISBLANK(VLOOKUP(DYP7,#REF!,4,FALSE)))=TRUE,VLOOKUP(DYP7,#REF!,3,FALSE),VLOOKUP(DYP7,#REF!,4,FALSE)),0)</f>
        <v/>
      </c>
      <c r="DYQ1">
        <f>IFERROR(IF((ISBLANK(VLOOKUP(DYQ7,#REF!,4,FALSE)))=TRUE,VLOOKUP(DYQ7,#REF!,3,FALSE),VLOOKUP(DYQ7,#REF!,4,FALSE)),0)</f>
        <v/>
      </c>
      <c r="DYR1">
        <f>IFERROR(IF((ISBLANK(VLOOKUP(DYR7,#REF!,4,FALSE)))=TRUE,VLOOKUP(DYR7,#REF!,3,FALSE),VLOOKUP(DYR7,#REF!,4,FALSE)),0)</f>
        <v/>
      </c>
      <c r="DYS1">
        <f>IFERROR(IF((ISBLANK(VLOOKUP(DYS7,#REF!,4,FALSE)))=TRUE,VLOOKUP(DYS7,#REF!,3,FALSE),VLOOKUP(DYS7,#REF!,4,FALSE)),0)</f>
        <v/>
      </c>
      <c r="DYT1">
        <f>IFERROR(IF((ISBLANK(VLOOKUP(DYT7,#REF!,4,FALSE)))=TRUE,VLOOKUP(DYT7,#REF!,3,FALSE),VLOOKUP(DYT7,#REF!,4,FALSE)),0)</f>
        <v/>
      </c>
      <c r="DYU1">
        <f>IFERROR(IF((ISBLANK(VLOOKUP(DYU7,#REF!,4,FALSE)))=TRUE,VLOOKUP(DYU7,#REF!,3,FALSE),VLOOKUP(DYU7,#REF!,4,FALSE)),0)</f>
        <v/>
      </c>
      <c r="DYV1">
        <f>IFERROR(IF((ISBLANK(VLOOKUP(DYV7,#REF!,4,FALSE)))=TRUE,VLOOKUP(DYV7,#REF!,3,FALSE),VLOOKUP(DYV7,#REF!,4,FALSE)),0)</f>
        <v/>
      </c>
      <c r="DYW1">
        <f>IFERROR(IF((ISBLANK(VLOOKUP(DYW7,#REF!,4,FALSE)))=TRUE,VLOOKUP(DYW7,#REF!,3,FALSE),VLOOKUP(DYW7,#REF!,4,FALSE)),0)</f>
        <v/>
      </c>
      <c r="DYX1">
        <f>IFERROR(IF((ISBLANK(VLOOKUP(DYX7,#REF!,4,FALSE)))=TRUE,VLOOKUP(DYX7,#REF!,3,FALSE),VLOOKUP(DYX7,#REF!,4,FALSE)),0)</f>
        <v/>
      </c>
      <c r="DYY1">
        <f>IFERROR(IF((ISBLANK(VLOOKUP(DYY7,#REF!,4,FALSE)))=TRUE,VLOOKUP(DYY7,#REF!,3,FALSE),VLOOKUP(DYY7,#REF!,4,FALSE)),0)</f>
        <v/>
      </c>
      <c r="DYZ1">
        <f>IFERROR(IF((ISBLANK(VLOOKUP(DYZ7,#REF!,4,FALSE)))=TRUE,VLOOKUP(DYZ7,#REF!,3,FALSE),VLOOKUP(DYZ7,#REF!,4,FALSE)),0)</f>
        <v/>
      </c>
      <c r="DZA1">
        <f>IFERROR(IF((ISBLANK(VLOOKUP(DZA7,#REF!,4,FALSE)))=TRUE,VLOOKUP(DZA7,#REF!,3,FALSE),VLOOKUP(DZA7,#REF!,4,FALSE)),0)</f>
        <v/>
      </c>
      <c r="DZB1">
        <f>IFERROR(IF((ISBLANK(VLOOKUP(DZB7,#REF!,4,FALSE)))=TRUE,VLOOKUP(DZB7,#REF!,3,FALSE),VLOOKUP(DZB7,#REF!,4,FALSE)),0)</f>
        <v/>
      </c>
      <c r="DZC1">
        <f>IFERROR(IF((ISBLANK(VLOOKUP(DZC7,#REF!,4,FALSE)))=TRUE,VLOOKUP(DZC7,#REF!,3,FALSE),VLOOKUP(DZC7,#REF!,4,FALSE)),0)</f>
        <v/>
      </c>
      <c r="DZD1">
        <f>IFERROR(IF((ISBLANK(VLOOKUP(DZD7,#REF!,4,FALSE)))=TRUE,VLOOKUP(DZD7,#REF!,3,FALSE),VLOOKUP(DZD7,#REF!,4,FALSE)),0)</f>
        <v/>
      </c>
      <c r="DZE1">
        <f>IFERROR(IF((ISBLANK(VLOOKUP(DZE7,#REF!,4,FALSE)))=TRUE,VLOOKUP(DZE7,#REF!,3,FALSE),VLOOKUP(DZE7,#REF!,4,FALSE)),0)</f>
        <v/>
      </c>
      <c r="DZF1">
        <f>IFERROR(IF((ISBLANK(VLOOKUP(DZF7,#REF!,4,FALSE)))=TRUE,VLOOKUP(DZF7,#REF!,3,FALSE),VLOOKUP(DZF7,#REF!,4,FALSE)),0)</f>
        <v/>
      </c>
      <c r="DZG1">
        <f>IFERROR(IF((ISBLANK(VLOOKUP(DZG7,#REF!,4,FALSE)))=TRUE,VLOOKUP(DZG7,#REF!,3,FALSE),VLOOKUP(DZG7,#REF!,4,FALSE)),0)</f>
        <v/>
      </c>
      <c r="DZH1">
        <f>IFERROR(IF((ISBLANK(VLOOKUP(DZH7,#REF!,4,FALSE)))=TRUE,VLOOKUP(DZH7,#REF!,3,FALSE),VLOOKUP(DZH7,#REF!,4,FALSE)),0)</f>
        <v/>
      </c>
      <c r="DZI1">
        <f>IFERROR(IF((ISBLANK(VLOOKUP(DZI7,#REF!,4,FALSE)))=TRUE,VLOOKUP(DZI7,#REF!,3,FALSE),VLOOKUP(DZI7,#REF!,4,FALSE)),0)</f>
        <v/>
      </c>
      <c r="DZJ1">
        <f>IFERROR(IF((ISBLANK(VLOOKUP(DZJ7,#REF!,4,FALSE)))=TRUE,VLOOKUP(DZJ7,#REF!,3,FALSE),VLOOKUP(DZJ7,#REF!,4,FALSE)),0)</f>
        <v/>
      </c>
      <c r="DZK1">
        <f>IFERROR(IF((ISBLANK(VLOOKUP(DZK7,#REF!,4,FALSE)))=TRUE,VLOOKUP(DZK7,#REF!,3,FALSE),VLOOKUP(DZK7,#REF!,4,FALSE)),0)</f>
        <v/>
      </c>
      <c r="DZL1">
        <f>IFERROR(IF((ISBLANK(VLOOKUP(DZL7,#REF!,4,FALSE)))=TRUE,VLOOKUP(DZL7,#REF!,3,FALSE),VLOOKUP(DZL7,#REF!,4,FALSE)),0)</f>
        <v/>
      </c>
      <c r="DZM1">
        <f>IFERROR(IF((ISBLANK(VLOOKUP(DZM7,#REF!,4,FALSE)))=TRUE,VLOOKUP(DZM7,#REF!,3,FALSE),VLOOKUP(DZM7,#REF!,4,FALSE)),0)</f>
        <v/>
      </c>
      <c r="DZN1">
        <f>IFERROR(IF((ISBLANK(VLOOKUP(DZN7,#REF!,4,FALSE)))=TRUE,VLOOKUP(DZN7,#REF!,3,FALSE),VLOOKUP(DZN7,#REF!,4,FALSE)),0)</f>
        <v/>
      </c>
      <c r="DZO1">
        <f>IFERROR(IF((ISBLANK(VLOOKUP(DZO7,#REF!,4,FALSE)))=TRUE,VLOOKUP(DZO7,#REF!,3,FALSE),VLOOKUP(DZO7,#REF!,4,FALSE)),0)</f>
        <v/>
      </c>
      <c r="DZP1">
        <f>IFERROR(IF((ISBLANK(VLOOKUP(DZP7,#REF!,4,FALSE)))=TRUE,VLOOKUP(DZP7,#REF!,3,FALSE),VLOOKUP(DZP7,#REF!,4,FALSE)),0)</f>
        <v/>
      </c>
      <c r="DZQ1">
        <f>IFERROR(IF((ISBLANK(VLOOKUP(DZQ7,#REF!,4,FALSE)))=TRUE,VLOOKUP(DZQ7,#REF!,3,FALSE),VLOOKUP(DZQ7,#REF!,4,FALSE)),0)</f>
        <v/>
      </c>
      <c r="DZR1">
        <f>IFERROR(IF((ISBLANK(VLOOKUP(DZR7,#REF!,4,FALSE)))=TRUE,VLOOKUP(DZR7,#REF!,3,FALSE),VLOOKUP(DZR7,#REF!,4,FALSE)),0)</f>
        <v/>
      </c>
      <c r="DZS1">
        <f>IFERROR(IF((ISBLANK(VLOOKUP(DZS7,#REF!,4,FALSE)))=TRUE,VLOOKUP(DZS7,#REF!,3,FALSE),VLOOKUP(DZS7,#REF!,4,FALSE)),0)</f>
        <v/>
      </c>
      <c r="DZT1">
        <f>IFERROR(IF((ISBLANK(VLOOKUP(DZT7,#REF!,4,FALSE)))=TRUE,VLOOKUP(DZT7,#REF!,3,FALSE),VLOOKUP(DZT7,#REF!,4,FALSE)),0)</f>
        <v/>
      </c>
      <c r="DZU1">
        <f>IFERROR(IF((ISBLANK(VLOOKUP(DZU7,#REF!,4,FALSE)))=TRUE,VLOOKUP(DZU7,#REF!,3,FALSE),VLOOKUP(DZU7,#REF!,4,FALSE)),0)</f>
        <v/>
      </c>
      <c r="DZV1">
        <f>IFERROR(IF((ISBLANK(VLOOKUP(DZV7,#REF!,4,FALSE)))=TRUE,VLOOKUP(DZV7,#REF!,3,FALSE),VLOOKUP(DZV7,#REF!,4,FALSE)),0)</f>
        <v/>
      </c>
      <c r="DZW1">
        <f>IFERROR(IF((ISBLANK(VLOOKUP(DZW7,#REF!,4,FALSE)))=TRUE,VLOOKUP(DZW7,#REF!,3,FALSE),VLOOKUP(DZW7,#REF!,4,FALSE)),0)</f>
        <v/>
      </c>
      <c r="DZX1">
        <f>IFERROR(IF((ISBLANK(VLOOKUP(DZX7,#REF!,4,FALSE)))=TRUE,VLOOKUP(DZX7,#REF!,3,FALSE),VLOOKUP(DZX7,#REF!,4,FALSE)),0)</f>
        <v/>
      </c>
      <c r="DZY1">
        <f>IFERROR(IF((ISBLANK(VLOOKUP(DZY7,#REF!,4,FALSE)))=TRUE,VLOOKUP(DZY7,#REF!,3,FALSE),VLOOKUP(DZY7,#REF!,4,FALSE)),0)</f>
        <v/>
      </c>
      <c r="DZZ1">
        <f>IFERROR(IF((ISBLANK(VLOOKUP(DZZ7,#REF!,4,FALSE)))=TRUE,VLOOKUP(DZZ7,#REF!,3,FALSE),VLOOKUP(DZZ7,#REF!,4,FALSE)),0)</f>
        <v/>
      </c>
      <c r="EAA1">
        <f>IFERROR(IF((ISBLANK(VLOOKUP(EAA7,#REF!,4,FALSE)))=TRUE,VLOOKUP(EAA7,#REF!,3,FALSE),VLOOKUP(EAA7,#REF!,4,FALSE)),0)</f>
        <v/>
      </c>
      <c r="EAB1">
        <f>IFERROR(IF((ISBLANK(VLOOKUP(EAB7,#REF!,4,FALSE)))=TRUE,VLOOKUP(EAB7,#REF!,3,FALSE),VLOOKUP(EAB7,#REF!,4,FALSE)),0)</f>
        <v/>
      </c>
      <c r="EAC1">
        <f>IFERROR(IF((ISBLANK(VLOOKUP(EAC7,#REF!,4,FALSE)))=TRUE,VLOOKUP(EAC7,#REF!,3,FALSE),VLOOKUP(EAC7,#REF!,4,FALSE)),0)</f>
        <v/>
      </c>
      <c r="EAD1">
        <f>IFERROR(IF((ISBLANK(VLOOKUP(EAD7,#REF!,4,FALSE)))=TRUE,VLOOKUP(EAD7,#REF!,3,FALSE),VLOOKUP(EAD7,#REF!,4,FALSE)),0)</f>
        <v/>
      </c>
      <c r="EAE1">
        <f>IFERROR(IF((ISBLANK(VLOOKUP(EAE7,#REF!,4,FALSE)))=TRUE,VLOOKUP(EAE7,#REF!,3,FALSE),VLOOKUP(EAE7,#REF!,4,FALSE)),0)</f>
        <v/>
      </c>
      <c r="EAF1">
        <f>IFERROR(IF((ISBLANK(VLOOKUP(EAF7,#REF!,4,FALSE)))=TRUE,VLOOKUP(EAF7,#REF!,3,FALSE),VLOOKUP(EAF7,#REF!,4,FALSE)),0)</f>
        <v/>
      </c>
      <c r="EAG1">
        <f>IFERROR(IF((ISBLANK(VLOOKUP(EAG7,#REF!,4,FALSE)))=TRUE,VLOOKUP(EAG7,#REF!,3,FALSE),VLOOKUP(EAG7,#REF!,4,FALSE)),0)</f>
        <v/>
      </c>
      <c r="EAH1">
        <f>IFERROR(IF((ISBLANK(VLOOKUP(EAH7,#REF!,4,FALSE)))=TRUE,VLOOKUP(EAH7,#REF!,3,FALSE),VLOOKUP(EAH7,#REF!,4,FALSE)),0)</f>
        <v/>
      </c>
      <c r="EAI1">
        <f>IFERROR(IF((ISBLANK(VLOOKUP(EAI7,#REF!,4,FALSE)))=TRUE,VLOOKUP(EAI7,#REF!,3,FALSE),VLOOKUP(EAI7,#REF!,4,FALSE)),0)</f>
        <v/>
      </c>
      <c r="EAJ1">
        <f>IFERROR(IF((ISBLANK(VLOOKUP(EAJ7,#REF!,4,FALSE)))=TRUE,VLOOKUP(EAJ7,#REF!,3,FALSE),VLOOKUP(EAJ7,#REF!,4,FALSE)),0)</f>
        <v/>
      </c>
      <c r="EAK1">
        <f>IFERROR(IF((ISBLANK(VLOOKUP(EAK7,#REF!,4,FALSE)))=TRUE,VLOOKUP(EAK7,#REF!,3,FALSE),VLOOKUP(EAK7,#REF!,4,FALSE)),0)</f>
        <v/>
      </c>
      <c r="EAL1">
        <f>IFERROR(IF((ISBLANK(VLOOKUP(EAL7,#REF!,4,FALSE)))=TRUE,VLOOKUP(EAL7,#REF!,3,FALSE),VLOOKUP(EAL7,#REF!,4,FALSE)),0)</f>
        <v/>
      </c>
      <c r="EAM1">
        <f>IFERROR(IF((ISBLANK(VLOOKUP(EAM7,#REF!,4,FALSE)))=TRUE,VLOOKUP(EAM7,#REF!,3,FALSE),VLOOKUP(EAM7,#REF!,4,FALSE)),0)</f>
        <v/>
      </c>
      <c r="EAN1">
        <f>IFERROR(IF((ISBLANK(VLOOKUP(EAN7,#REF!,4,FALSE)))=TRUE,VLOOKUP(EAN7,#REF!,3,FALSE),VLOOKUP(EAN7,#REF!,4,FALSE)),0)</f>
        <v/>
      </c>
      <c r="EAO1">
        <f>IFERROR(IF((ISBLANK(VLOOKUP(EAO7,#REF!,4,FALSE)))=TRUE,VLOOKUP(EAO7,#REF!,3,FALSE),VLOOKUP(EAO7,#REF!,4,FALSE)),0)</f>
        <v/>
      </c>
      <c r="EAP1">
        <f>IFERROR(IF((ISBLANK(VLOOKUP(EAP7,#REF!,4,FALSE)))=TRUE,VLOOKUP(EAP7,#REF!,3,FALSE),VLOOKUP(EAP7,#REF!,4,FALSE)),0)</f>
        <v/>
      </c>
      <c r="EAQ1">
        <f>IFERROR(IF((ISBLANK(VLOOKUP(EAQ7,#REF!,4,FALSE)))=TRUE,VLOOKUP(EAQ7,#REF!,3,FALSE),VLOOKUP(EAQ7,#REF!,4,FALSE)),0)</f>
        <v/>
      </c>
      <c r="EAR1">
        <f>IFERROR(IF((ISBLANK(VLOOKUP(EAR7,#REF!,4,FALSE)))=TRUE,VLOOKUP(EAR7,#REF!,3,FALSE),VLOOKUP(EAR7,#REF!,4,FALSE)),0)</f>
        <v/>
      </c>
      <c r="EAS1">
        <f>IFERROR(IF((ISBLANK(VLOOKUP(EAS7,#REF!,4,FALSE)))=TRUE,VLOOKUP(EAS7,#REF!,3,FALSE),VLOOKUP(EAS7,#REF!,4,FALSE)),0)</f>
        <v/>
      </c>
      <c r="EAT1">
        <f>IFERROR(IF((ISBLANK(VLOOKUP(EAT7,#REF!,4,FALSE)))=TRUE,VLOOKUP(EAT7,#REF!,3,FALSE),VLOOKUP(EAT7,#REF!,4,FALSE)),0)</f>
        <v/>
      </c>
      <c r="EAU1">
        <f>IFERROR(IF((ISBLANK(VLOOKUP(EAU7,#REF!,4,FALSE)))=TRUE,VLOOKUP(EAU7,#REF!,3,FALSE),VLOOKUP(EAU7,#REF!,4,FALSE)),0)</f>
        <v/>
      </c>
      <c r="EAV1">
        <f>IFERROR(IF((ISBLANK(VLOOKUP(EAV7,#REF!,4,FALSE)))=TRUE,VLOOKUP(EAV7,#REF!,3,FALSE),VLOOKUP(EAV7,#REF!,4,FALSE)),0)</f>
        <v/>
      </c>
      <c r="EAW1">
        <f>IFERROR(IF((ISBLANK(VLOOKUP(EAW7,#REF!,4,FALSE)))=TRUE,VLOOKUP(EAW7,#REF!,3,FALSE),VLOOKUP(EAW7,#REF!,4,FALSE)),0)</f>
        <v/>
      </c>
      <c r="EAX1">
        <f>IFERROR(IF((ISBLANK(VLOOKUP(EAX7,#REF!,4,FALSE)))=TRUE,VLOOKUP(EAX7,#REF!,3,FALSE),VLOOKUP(EAX7,#REF!,4,FALSE)),0)</f>
        <v/>
      </c>
      <c r="EAY1">
        <f>IFERROR(IF((ISBLANK(VLOOKUP(EAY7,#REF!,4,FALSE)))=TRUE,VLOOKUP(EAY7,#REF!,3,FALSE),VLOOKUP(EAY7,#REF!,4,FALSE)),0)</f>
        <v/>
      </c>
      <c r="EAZ1">
        <f>IFERROR(IF((ISBLANK(VLOOKUP(EAZ7,#REF!,4,FALSE)))=TRUE,VLOOKUP(EAZ7,#REF!,3,FALSE),VLOOKUP(EAZ7,#REF!,4,FALSE)),0)</f>
        <v/>
      </c>
      <c r="EBA1">
        <f>IFERROR(IF((ISBLANK(VLOOKUP(EBA7,#REF!,4,FALSE)))=TRUE,VLOOKUP(EBA7,#REF!,3,FALSE),VLOOKUP(EBA7,#REF!,4,FALSE)),0)</f>
        <v/>
      </c>
      <c r="EBB1">
        <f>IFERROR(IF((ISBLANK(VLOOKUP(EBB7,#REF!,4,FALSE)))=TRUE,VLOOKUP(EBB7,#REF!,3,FALSE),VLOOKUP(EBB7,#REF!,4,FALSE)),0)</f>
        <v/>
      </c>
      <c r="EBC1">
        <f>IFERROR(IF((ISBLANK(VLOOKUP(EBC7,#REF!,4,FALSE)))=TRUE,VLOOKUP(EBC7,#REF!,3,FALSE),VLOOKUP(EBC7,#REF!,4,FALSE)),0)</f>
        <v/>
      </c>
      <c r="EBD1">
        <f>IFERROR(IF((ISBLANK(VLOOKUP(EBD7,#REF!,4,FALSE)))=TRUE,VLOOKUP(EBD7,#REF!,3,FALSE),VLOOKUP(EBD7,#REF!,4,FALSE)),0)</f>
        <v/>
      </c>
      <c r="EBE1">
        <f>IFERROR(IF((ISBLANK(VLOOKUP(EBE7,#REF!,4,FALSE)))=TRUE,VLOOKUP(EBE7,#REF!,3,FALSE),VLOOKUP(EBE7,#REF!,4,FALSE)),0)</f>
        <v/>
      </c>
      <c r="EBF1">
        <f>IFERROR(IF((ISBLANK(VLOOKUP(EBF7,#REF!,4,FALSE)))=TRUE,VLOOKUP(EBF7,#REF!,3,FALSE),VLOOKUP(EBF7,#REF!,4,FALSE)),0)</f>
        <v/>
      </c>
      <c r="EBG1">
        <f>IFERROR(IF((ISBLANK(VLOOKUP(EBG7,#REF!,4,FALSE)))=TRUE,VLOOKUP(EBG7,#REF!,3,FALSE),VLOOKUP(EBG7,#REF!,4,FALSE)),0)</f>
        <v/>
      </c>
      <c r="EBH1">
        <f>IFERROR(IF((ISBLANK(VLOOKUP(EBH7,#REF!,4,FALSE)))=TRUE,VLOOKUP(EBH7,#REF!,3,FALSE),VLOOKUP(EBH7,#REF!,4,FALSE)),0)</f>
        <v/>
      </c>
      <c r="EBI1">
        <f>IFERROR(IF((ISBLANK(VLOOKUP(EBI7,#REF!,4,FALSE)))=TRUE,VLOOKUP(EBI7,#REF!,3,FALSE),VLOOKUP(EBI7,#REF!,4,FALSE)),0)</f>
        <v/>
      </c>
      <c r="EBJ1">
        <f>IFERROR(IF((ISBLANK(VLOOKUP(EBJ7,#REF!,4,FALSE)))=TRUE,VLOOKUP(EBJ7,#REF!,3,FALSE),VLOOKUP(EBJ7,#REF!,4,FALSE)),0)</f>
        <v/>
      </c>
      <c r="EBK1">
        <f>IFERROR(IF((ISBLANK(VLOOKUP(EBK7,#REF!,4,FALSE)))=TRUE,VLOOKUP(EBK7,#REF!,3,FALSE),VLOOKUP(EBK7,#REF!,4,FALSE)),0)</f>
        <v/>
      </c>
      <c r="EBL1">
        <f>IFERROR(IF((ISBLANK(VLOOKUP(EBL7,#REF!,4,FALSE)))=TRUE,VLOOKUP(EBL7,#REF!,3,FALSE),VLOOKUP(EBL7,#REF!,4,FALSE)),0)</f>
        <v/>
      </c>
      <c r="EBM1">
        <f>IFERROR(IF((ISBLANK(VLOOKUP(EBM7,#REF!,4,FALSE)))=TRUE,VLOOKUP(EBM7,#REF!,3,FALSE),VLOOKUP(EBM7,#REF!,4,FALSE)),0)</f>
        <v/>
      </c>
      <c r="EBN1">
        <f>IFERROR(IF((ISBLANK(VLOOKUP(EBN7,#REF!,4,FALSE)))=TRUE,VLOOKUP(EBN7,#REF!,3,FALSE),VLOOKUP(EBN7,#REF!,4,FALSE)),0)</f>
        <v/>
      </c>
      <c r="EBO1">
        <f>IFERROR(IF((ISBLANK(VLOOKUP(EBO7,#REF!,4,FALSE)))=TRUE,VLOOKUP(EBO7,#REF!,3,FALSE),VLOOKUP(EBO7,#REF!,4,FALSE)),0)</f>
        <v/>
      </c>
      <c r="EBP1">
        <f>IFERROR(IF((ISBLANK(VLOOKUP(EBP7,#REF!,4,FALSE)))=TRUE,VLOOKUP(EBP7,#REF!,3,FALSE),VLOOKUP(EBP7,#REF!,4,FALSE)),0)</f>
        <v/>
      </c>
      <c r="EBQ1">
        <f>IFERROR(IF((ISBLANK(VLOOKUP(EBQ7,#REF!,4,FALSE)))=TRUE,VLOOKUP(EBQ7,#REF!,3,FALSE),VLOOKUP(EBQ7,#REF!,4,FALSE)),0)</f>
        <v/>
      </c>
      <c r="EBR1">
        <f>IFERROR(IF((ISBLANK(VLOOKUP(EBR7,#REF!,4,FALSE)))=TRUE,VLOOKUP(EBR7,#REF!,3,FALSE),VLOOKUP(EBR7,#REF!,4,FALSE)),0)</f>
        <v/>
      </c>
      <c r="EBS1">
        <f>IFERROR(IF((ISBLANK(VLOOKUP(EBS7,#REF!,4,FALSE)))=TRUE,VLOOKUP(EBS7,#REF!,3,FALSE),VLOOKUP(EBS7,#REF!,4,FALSE)),0)</f>
        <v/>
      </c>
      <c r="EBT1">
        <f>IFERROR(IF((ISBLANK(VLOOKUP(EBT7,#REF!,4,FALSE)))=TRUE,VLOOKUP(EBT7,#REF!,3,FALSE),VLOOKUP(EBT7,#REF!,4,FALSE)),0)</f>
        <v/>
      </c>
      <c r="EBU1">
        <f>IFERROR(IF((ISBLANK(VLOOKUP(EBU7,#REF!,4,FALSE)))=TRUE,VLOOKUP(EBU7,#REF!,3,FALSE),VLOOKUP(EBU7,#REF!,4,FALSE)),0)</f>
        <v/>
      </c>
      <c r="EBV1">
        <f>IFERROR(IF((ISBLANK(VLOOKUP(EBV7,#REF!,4,FALSE)))=TRUE,VLOOKUP(EBV7,#REF!,3,FALSE),VLOOKUP(EBV7,#REF!,4,FALSE)),0)</f>
        <v/>
      </c>
      <c r="EBW1">
        <f>IFERROR(IF((ISBLANK(VLOOKUP(EBW7,#REF!,4,FALSE)))=TRUE,VLOOKUP(EBW7,#REF!,3,FALSE),VLOOKUP(EBW7,#REF!,4,FALSE)),0)</f>
        <v/>
      </c>
      <c r="EBX1">
        <f>IFERROR(IF((ISBLANK(VLOOKUP(EBX7,#REF!,4,FALSE)))=TRUE,VLOOKUP(EBX7,#REF!,3,FALSE),VLOOKUP(EBX7,#REF!,4,FALSE)),0)</f>
        <v/>
      </c>
      <c r="EBY1">
        <f>IFERROR(IF((ISBLANK(VLOOKUP(EBY7,#REF!,4,FALSE)))=TRUE,VLOOKUP(EBY7,#REF!,3,FALSE),VLOOKUP(EBY7,#REF!,4,FALSE)),0)</f>
        <v/>
      </c>
      <c r="EBZ1">
        <f>IFERROR(IF((ISBLANK(VLOOKUP(EBZ7,#REF!,4,FALSE)))=TRUE,VLOOKUP(EBZ7,#REF!,3,FALSE),VLOOKUP(EBZ7,#REF!,4,FALSE)),0)</f>
        <v/>
      </c>
      <c r="ECA1">
        <f>IFERROR(IF((ISBLANK(VLOOKUP(ECA7,#REF!,4,FALSE)))=TRUE,VLOOKUP(ECA7,#REF!,3,FALSE),VLOOKUP(ECA7,#REF!,4,FALSE)),0)</f>
        <v/>
      </c>
      <c r="ECB1">
        <f>IFERROR(IF((ISBLANK(VLOOKUP(ECB7,#REF!,4,FALSE)))=TRUE,VLOOKUP(ECB7,#REF!,3,FALSE),VLOOKUP(ECB7,#REF!,4,FALSE)),0)</f>
        <v/>
      </c>
      <c r="ECC1">
        <f>IFERROR(IF((ISBLANK(VLOOKUP(ECC7,#REF!,4,FALSE)))=TRUE,VLOOKUP(ECC7,#REF!,3,FALSE),VLOOKUP(ECC7,#REF!,4,FALSE)),0)</f>
        <v/>
      </c>
      <c r="ECD1">
        <f>IFERROR(IF((ISBLANK(VLOOKUP(ECD7,#REF!,4,FALSE)))=TRUE,VLOOKUP(ECD7,#REF!,3,FALSE),VLOOKUP(ECD7,#REF!,4,FALSE)),0)</f>
        <v/>
      </c>
      <c r="ECE1">
        <f>IFERROR(IF((ISBLANK(VLOOKUP(ECE7,#REF!,4,FALSE)))=TRUE,VLOOKUP(ECE7,#REF!,3,FALSE),VLOOKUP(ECE7,#REF!,4,FALSE)),0)</f>
        <v/>
      </c>
      <c r="ECF1">
        <f>IFERROR(IF((ISBLANK(VLOOKUP(ECF7,#REF!,4,FALSE)))=TRUE,VLOOKUP(ECF7,#REF!,3,FALSE),VLOOKUP(ECF7,#REF!,4,FALSE)),0)</f>
        <v/>
      </c>
      <c r="ECG1">
        <f>IFERROR(IF((ISBLANK(VLOOKUP(ECG7,#REF!,4,FALSE)))=TRUE,VLOOKUP(ECG7,#REF!,3,FALSE),VLOOKUP(ECG7,#REF!,4,FALSE)),0)</f>
        <v/>
      </c>
      <c r="ECH1">
        <f>IFERROR(IF((ISBLANK(VLOOKUP(ECH7,#REF!,4,FALSE)))=TRUE,VLOOKUP(ECH7,#REF!,3,FALSE),VLOOKUP(ECH7,#REF!,4,FALSE)),0)</f>
        <v/>
      </c>
      <c r="ECI1">
        <f>IFERROR(IF((ISBLANK(VLOOKUP(ECI7,#REF!,4,FALSE)))=TRUE,VLOOKUP(ECI7,#REF!,3,FALSE),VLOOKUP(ECI7,#REF!,4,FALSE)),0)</f>
        <v/>
      </c>
      <c r="ECJ1">
        <f>IFERROR(IF((ISBLANK(VLOOKUP(ECJ7,#REF!,4,FALSE)))=TRUE,VLOOKUP(ECJ7,#REF!,3,FALSE),VLOOKUP(ECJ7,#REF!,4,FALSE)),0)</f>
        <v/>
      </c>
      <c r="ECK1">
        <f>IFERROR(IF((ISBLANK(VLOOKUP(ECK7,#REF!,4,FALSE)))=TRUE,VLOOKUP(ECK7,#REF!,3,FALSE),VLOOKUP(ECK7,#REF!,4,FALSE)),0)</f>
        <v/>
      </c>
      <c r="ECL1">
        <f>IFERROR(IF((ISBLANK(VLOOKUP(ECL7,#REF!,4,FALSE)))=TRUE,VLOOKUP(ECL7,#REF!,3,FALSE),VLOOKUP(ECL7,#REF!,4,FALSE)),0)</f>
        <v/>
      </c>
      <c r="ECM1">
        <f>IFERROR(IF((ISBLANK(VLOOKUP(ECM7,#REF!,4,FALSE)))=TRUE,VLOOKUP(ECM7,#REF!,3,FALSE),VLOOKUP(ECM7,#REF!,4,FALSE)),0)</f>
        <v/>
      </c>
      <c r="ECN1">
        <f>IFERROR(IF((ISBLANK(VLOOKUP(ECN7,#REF!,4,FALSE)))=TRUE,VLOOKUP(ECN7,#REF!,3,FALSE),VLOOKUP(ECN7,#REF!,4,FALSE)),0)</f>
        <v/>
      </c>
      <c r="ECO1">
        <f>IFERROR(IF((ISBLANK(VLOOKUP(ECO7,#REF!,4,FALSE)))=TRUE,VLOOKUP(ECO7,#REF!,3,FALSE),VLOOKUP(ECO7,#REF!,4,FALSE)),0)</f>
        <v/>
      </c>
      <c r="ECP1">
        <f>IFERROR(IF((ISBLANK(VLOOKUP(ECP7,#REF!,4,FALSE)))=TRUE,VLOOKUP(ECP7,#REF!,3,FALSE),VLOOKUP(ECP7,#REF!,4,FALSE)),0)</f>
        <v/>
      </c>
      <c r="ECQ1">
        <f>IFERROR(IF((ISBLANK(VLOOKUP(ECQ7,#REF!,4,FALSE)))=TRUE,VLOOKUP(ECQ7,#REF!,3,FALSE),VLOOKUP(ECQ7,#REF!,4,FALSE)),0)</f>
        <v/>
      </c>
      <c r="ECR1">
        <f>IFERROR(IF((ISBLANK(VLOOKUP(ECR7,#REF!,4,FALSE)))=TRUE,VLOOKUP(ECR7,#REF!,3,FALSE),VLOOKUP(ECR7,#REF!,4,FALSE)),0)</f>
        <v/>
      </c>
      <c r="ECS1">
        <f>IFERROR(IF((ISBLANK(VLOOKUP(ECS7,#REF!,4,FALSE)))=TRUE,VLOOKUP(ECS7,#REF!,3,FALSE),VLOOKUP(ECS7,#REF!,4,FALSE)),0)</f>
        <v/>
      </c>
      <c r="ECT1">
        <f>IFERROR(IF((ISBLANK(VLOOKUP(ECT7,#REF!,4,FALSE)))=TRUE,VLOOKUP(ECT7,#REF!,3,FALSE),VLOOKUP(ECT7,#REF!,4,FALSE)),0)</f>
        <v/>
      </c>
      <c r="ECU1">
        <f>IFERROR(IF((ISBLANK(VLOOKUP(ECU7,#REF!,4,FALSE)))=TRUE,VLOOKUP(ECU7,#REF!,3,FALSE),VLOOKUP(ECU7,#REF!,4,FALSE)),0)</f>
        <v/>
      </c>
      <c r="ECV1">
        <f>IFERROR(IF((ISBLANK(VLOOKUP(ECV7,#REF!,4,FALSE)))=TRUE,VLOOKUP(ECV7,#REF!,3,FALSE),VLOOKUP(ECV7,#REF!,4,FALSE)),0)</f>
        <v/>
      </c>
      <c r="ECW1">
        <f>IFERROR(IF((ISBLANK(VLOOKUP(ECW7,#REF!,4,FALSE)))=TRUE,VLOOKUP(ECW7,#REF!,3,FALSE),VLOOKUP(ECW7,#REF!,4,FALSE)),0)</f>
        <v/>
      </c>
      <c r="ECX1">
        <f>IFERROR(IF((ISBLANK(VLOOKUP(ECX7,#REF!,4,FALSE)))=TRUE,VLOOKUP(ECX7,#REF!,3,FALSE),VLOOKUP(ECX7,#REF!,4,FALSE)),0)</f>
        <v/>
      </c>
      <c r="ECY1">
        <f>IFERROR(IF((ISBLANK(VLOOKUP(ECY7,#REF!,4,FALSE)))=TRUE,VLOOKUP(ECY7,#REF!,3,FALSE),VLOOKUP(ECY7,#REF!,4,FALSE)),0)</f>
        <v/>
      </c>
      <c r="ECZ1">
        <f>IFERROR(IF((ISBLANK(VLOOKUP(ECZ7,#REF!,4,FALSE)))=TRUE,VLOOKUP(ECZ7,#REF!,3,FALSE),VLOOKUP(ECZ7,#REF!,4,FALSE)),0)</f>
        <v/>
      </c>
      <c r="EDA1">
        <f>IFERROR(IF((ISBLANK(VLOOKUP(EDA7,#REF!,4,FALSE)))=TRUE,VLOOKUP(EDA7,#REF!,3,FALSE),VLOOKUP(EDA7,#REF!,4,FALSE)),0)</f>
        <v/>
      </c>
      <c r="EDB1">
        <f>IFERROR(IF((ISBLANK(VLOOKUP(EDB7,#REF!,4,FALSE)))=TRUE,VLOOKUP(EDB7,#REF!,3,FALSE),VLOOKUP(EDB7,#REF!,4,FALSE)),0)</f>
        <v/>
      </c>
      <c r="EDC1">
        <f>IFERROR(IF((ISBLANK(VLOOKUP(EDC7,#REF!,4,FALSE)))=TRUE,VLOOKUP(EDC7,#REF!,3,FALSE),VLOOKUP(EDC7,#REF!,4,FALSE)),0)</f>
        <v/>
      </c>
      <c r="EDD1">
        <f>IFERROR(IF((ISBLANK(VLOOKUP(EDD7,#REF!,4,FALSE)))=TRUE,VLOOKUP(EDD7,#REF!,3,FALSE),VLOOKUP(EDD7,#REF!,4,FALSE)),0)</f>
        <v/>
      </c>
      <c r="EDE1">
        <f>IFERROR(IF((ISBLANK(VLOOKUP(EDE7,#REF!,4,FALSE)))=TRUE,VLOOKUP(EDE7,#REF!,3,FALSE),VLOOKUP(EDE7,#REF!,4,FALSE)),0)</f>
        <v/>
      </c>
      <c r="EDF1">
        <f>IFERROR(IF((ISBLANK(VLOOKUP(EDF7,#REF!,4,FALSE)))=TRUE,VLOOKUP(EDF7,#REF!,3,FALSE),VLOOKUP(EDF7,#REF!,4,FALSE)),0)</f>
        <v/>
      </c>
      <c r="EDG1">
        <f>IFERROR(IF((ISBLANK(VLOOKUP(EDG7,#REF!,4,FALSE)))=TRUE,VLOOKUP(EDG7,#REF!,3,FALSE),VLOOKUP(EDG7,#REF!,4,FALSE)),0)</f>
        <v/>
      </c>
      <c r="EDH1">
        <f>IFERROR(IF((ISBLANK(VLOOKUP(EDH7,#REF!,4,FALSE)))=TRUE,VLOOKUP(EDH7,#REF!,3,FALSE),VLOOKUP(EDH7,#REF!,4,FALSE)),0)</f>
        <v/>
      </c>
      <c r="EDI1">
        <f>IFERROR(IF((ISBLANK(VLOOKUP(EDI7,#REF!,4,FALSE)))=TRUE,VLOOKUP(EDI7,#REF!,3,FALSE),VLOOKUP(EDI7,#REF!,4,FALSE)),0)</f>
        <v/>
      </c>
      <c r="EDJ1">
        <f>IFERROR(IF((ISBLANK(VLOOKUP(EDJ7,#REF!,4,FALSE)))=TRUE,VLOOKUP(EDJ7,#REF!,3,FALSE),VLOOKUP(EDJ7,#REF!,4,FALSE)),0)</f>
        <v/>
      </c>
      <c r="EDK1">
        <f>IFERROR(IF((ISBLANK(VLOOKUP(EDK7,#REF!,4,FALSE)))=TRUE,VLOOKUP(EDK7,#REF!,3,FALSE),VLOOKUP(EDK7,#REF!,4,FALSE)),0)</f>
        <v/>
      </c>
      <c r="EDL1">
        <f>IFERROR(IF((ISBLANK(VLOOKUP(EDL7,#REF!,4,FALSE)))=TRUE,VLOOKUP(EDL7,#REF!,3,FALSE),VLOOKUP(EDL7,#REF!,4,FALSE)),0)</f>
        <v/>
      </c>
      <c r="EDM1">
        <f>IFERROR(IF((ISBLANK(VLOOKUP(EDM7,#REF!,4,FALSE)))=TRUE,VLOOKUP(EDM7,#REF!,3,FALSE),VLOOKUP(EDM7,#REF!,4,FALSE)),0)</f>
        <v/>
      </c>
      <c r="EDN1">
        <f>IFERROR(IF((ISBLANK(VLOOKUP(EDN7,#REF!,4,FALSE)))=TRUE,VLOOKUP(EDN7,#REF!,3,FALSE),VLOOKUP(EDN7,#REF!,4,FALSE)),0)</f>
        <v/>
      </c>
      <c r="EDO1">
        <f>IFERROR(IF((ISBLANK(VLOOKUP(EDO7,#REF!,4,FALSE)))=TRUE,VLOOKUP(EDO7,#REF!,3,FALSE),VLOOKUP(EDO7,#REF!,4,FALSE)),0)</f>
        <v/>
      </c>
      <c r="EDP1">
        <f>IFERROR(IF((ISBLANK(VLOOKUP(EDP7,#REF!,4,FALSE)))=TRUE,VLOOKUP(EDP7,#REF!,3,FALSE),VLOOKUP(EDP7,#REF!,4,FALSE)),0)</f>
        <v/>
      </c>
      <c r="EDQ1">
        <f>IFERROR(IF((ISBLANK(VLOOKUP(EDQ7,#REF!,4,FALSE)))=TRUE,VLOOKUP(EDQ7,#REF!,3,FALSE),VLOOKUP(EDQ7,#REF!,4,FALSE)),0)</f>
        <v/>
      </c>
      <c r="EDR1">
        <f>IFERROR(IF((ISBLANK(VLOOKUP(EDR7,#REF!,4,FALSE)))=TRUE,VLOOKUP(EDR7,#REF!,3,FALSE),VLOOKUP(EDR7,#REF!,4,FALSE)),0)</f>
        <v/>
      </c>
      <c r="EDS1">
        <f>IFERROR(IF((ISBLANK(VLOOKUP(EDS7,#REF!,4,FALSE)))=TRUE,VLOOKUP(EDS7,#REF!,3,FALSE),VLOOKUP(EDS7,#REF!,4,FALSE)),0)</f>
        <v/>
      </c>
      <c r="EDT1">
        <f>IFERROR(IF((ISBLANK(VLOOKUP(EDT7,#REF!,4,FALSE)))=TRUE,VLOOKUP(EDT7,#REF!,3,FALSE),VLOOKUP(EDT7,#REF!,4,FALSE)),0)</f>
        <v/>
      </c>
      <c r="EDU1">
        <f>IFERROR(IF((ISBLANK(VLOOKUP(EDU7,#REF!,4,FALSE)))=TRUE,VLOOKUP(EDU7,#REF!,3,FALSE),VLOOKUP(EDU7,#REF!,4,FALSE)),0)</f>
        <v/>
      </c>
      <c r="EDV1">
        <f>IFERROR(IF((ISBLANK(VLOOKUP(EDV7,#REF!,4,FALSE)))=TRUE,VLOOKUP(EDV7,#REF!,3,FALSE),VLOOKUP(EDV7,#REF!,4,FALSE)),0)</f>
        <v/>
      </c>
      <c r="EDW1">
        <f>IFERROR(IF((ISBLANK(VLOOKUP(EDW7,#REF!,4,FALSE)))=TRUE,VLOOKUP(EDW7,#REF!,3,FALSE),VLOOKUP(EDW7,#REF!,4,FALSE)),0)</f>
        <v/>
      </c>
      <c r="EDX1">
        <f>IFERROR(IF((ISBLANK(VLOOKUP(EDX7,#REF!,4,FALSE)))=TRUE,VLOOKUP(EDX7,#REF!,3,FALSE),VLOOKUP(EDX7,#REF!,4,FALSE)),0)</f>
        <v/>
      </c>
      <c r="EDY1">
        <f>IFERROR(IF((ISBLANK(VLOOKUP(EDY7,#REF!,4,FALSE)))=TRUE,VLOOKUP(EDY7,#REF!,3,FALSE),VLOOKUP(EDY7,#REF!,4,FALSE)),0)</f>
        <v/>
      </c>
      <c r="EDZ1">
        <f>IFERROR(IF((ISBLANK(VLOOKUP(EDZ7,#REF!,4,FALSE)))=TRUE,VLOOKUP(EDZ7,#REF!,3,FALSE),VLOOKUP(EDZ7,#REF!,4,FALSE)),0)</f>
        <v/>
      </c>
      <c r="EEA1">
        <f>IFERROR(IF((ISBLANK(VLOOKUP(EEA7,#REF!,4,FALSE)))=TRUE,VLOOKUP(EEA7,#REF!,3,FALSE),VLOOKUP(EEA7,#REF!,4,FALSE)),0)</f>
        <v/>
      </c>
      <c r="EEB1">
        <f>IFERROR(IF((ISBLANK(VLOOKUP(EEB7,#REF!,4,FALSE)))=TRUE,VLOOKUP(EEB7,#REF!,3,FALSE),VLOOKUP(EEB7,#REF!,4,FALSE)),0)</f>
        <v/>
      </c>
      <c r="EEC1">
        <f>IFERROR(IF((ISBLANK(VLOOKUP(EEC7,#REF!,4,FALSE)))=TRUE,VLOOKUP(EEC7,#REF!,3,FALSE),VLOOKUP(EEC7,#REF!,4,FALSE)),0)</f>
        <v/>
      </c>
      <c r="EED1">
        <f>IFERROR(IF((ISBLANK(VLOOKUP(EED7,#REF!,4,FALSE)))=TRUE,VLOOKUP(EED7,#REF!,3,FALSE),VLOOKUP(EED7,#REF!,4,FALSE)),0)</f>
        <v/>
      </c>
      <c r="EEE1">
        <f>IFERROR(IF((ISBLANK(VLOOKUP(EEE7,#REF!,4,FALSE)))=TRUE,VLOOKUP(EEE7,#REF!,3,FALSE),VLOOKUP(EEE7,#REF!,4,FALSE)),0)</f>
        <v/>
      </c>
      <c r="EEF1">
        <f>IFERROR(IF((ISBLANK(VLOOKUP(EEF7,#REF!,4,FALSE)))=TRUE,VLOOKUP(EEF7,#REF!,3,FALSE),VLOOKUP(EEF7,#REF!,4,FALSE)),0)</f>
        <v/>
      </c>
      <c r="EEG1">
        <f>IFERROR(IF((ISBLANK(VLOOKUP(EEG7,#REF!,4,FALSE)))=TRUE,VLOOKUP(EEG7,#REF!,3,FALSE),VLOOKUP(EEG7,#REF!,4,FALSE)),0)</f>
        <v/>
      </c>
      <c r="EEH1">
        <f>IFERROR(IF((ISBLANK(VLOOKUP(EEH7,#REF!,4,FALSE)))=TRUE,VLOOKUP(EEH7,#REF!,3,FALSE),VLOOKUP(EEH7,#REF!,4,FALSE)),0)</f>
        <v/>
      </c>
      <c r="EEI1">
        <f>IFERROR(IF((ISBLANK(VLOOKUP(EEI7,#REF!,4,FALSE)))=TRUE,VLOOKUP(EEI7,#REF!,3,FALSE),VLOOKUP(EEI7,#REF!,4,FALSE)),0)</f>
        <v/>
      </c>
      <c r="EEJ1">
        <f>IFERROR(IF((ISBLANK(VLOOKUP(EEJ7,#REF!,4,FALSE)))=TRUE,VLOOKUP(EEJ7,#REF!,3,FALSE),VLOOKUP(EEJ7,#REF!,4,FALSE)),0)</f>
        <v/>
      </c>
      <c r="EEK1">
        <f>IFERROR(IF((ISBLANK(VLOOKUP(EEK7,#REF!,4,FALSE)))=TRUE,VLOOKUP(EEK7,#REF!,3,FALSE),VLOOKUP(EEK7,#REF!,4,FALSE)),0)</f>
        <v/>
      </c>
      <c r="EEL1">
        <f>IFERROR(IF((ISBLANK(VLOOKUP(EEL7,#REF!,4,FALSE)))=TRUE,VLOOKUP(EEL7,#REF!,3,FALSE),VLOOKUP(EEL7,#REF!,4,FALSE)),0)</f>
        <v/>
      </c>
      <c r="EEM1">
        <f>IFERROR(IF((ISBLANK(VLOOKUP(EEM7,#REF!,4,FALSE)))=TRUE,VLOOKUP(EEM7,#REF!,3,FALSE),VLOOKUP(EEM7,#REF!,4,FALSE)),0)</f>
        <v/>
      </c>
      <c r="EEN1">
        <f>IFERROR(IF((ISBLANK(VLOOKUP(EEN7,#REF!,4,FALSE)))=TRUE,VLOOKUP(EEN7,#REF!,3,FALSE),VLOOKUP(EEN7,#REF!,4,FALSE)),0)</f>
        <v/>
      </c>
      <c r="EEO1">
        <f>IFERROR(IF((ISBLANK(VLOOKUP(EEO7,#REF!,4,FALSE)))=TRUE,VLOOKUP(EEO7,#REF!,3,FALSE),VLOOKUP(EEO7,#REF!,4,FALSE)),0)</f>
        <v/>
      </c>
      <c r="EEP1">
        <f>IFERROR(IF((ISBLANK(VLOOKUP(EEP7,#REF!,4,FALSE)))=TRUE,VLOOKUP(EEP7,#REF!,3,FALSE),VLOOKUP(EEP7,#REF!,4,FALSE)),0)</f>
        <v/>
      </c>
      <c r="EEQ1">
        <f>IFERROR(IF((ISBLANK(VLOOKUP(EEQ7,#REF!,4,FALSE)))=TRUE,VLOOKUP(EEQ7,#REF!,3,FALSE),VLOOKUP(EEQ7,#REF!,4,FALSE)),0)</f>
        <v/>
      </c>
      <c r="EER1">
        <f>IFERROR(IF((ISBLANK(VLOOKUP(EER7,#REF!,4,FALSE)))=TRUE,VLOOKUP(EER7,#REF!,3,FALSE),VLOOKUP(EER7,#REF!,4,FALSE)),0)</f>
        <v/>
      </c>
      <c r="EES1">
        <f>IFERROR(IF((ISBLANK(VLOOKUP(EES7,#REF!,4,FALSE)))=TRUE,VLOOKUP(EES7,#REF!,3,FALSE),VLOOKUP(EES7,#REF!,4,FALSE)),0)</f>
        <v/>
      </c>
      <c r="EET1">
        <f>IFERROR(IF((ISBLANK(VLOOKUP(EET7,#REF!,4,FALSE)))=TRUE,VLOOKUP(EET7,#REF!,3,FALSE),VLOOKUP(EET7,#REF!,4,FALSE)),0)</f>
        <v/>
      </c>
      <c r="EEU1">
        <f>IFERROR(IF((ISBLANK(VLOOKUP(EEU7,#REF!,4,FALSE)))=TRUE,VLOOKUP(EEU7,#REF!,3,FALSE),VLOOKUP(EEU7,#REF!,4,FALSE)),0)</f>
        <v/>
      </c>
      <c r="EEV1">
        <f>IFERROR(IF((ISBLANK(VLOOKUP(EEV7,#REF!,4,FALSE)))=TRUE,VLOOKUP(EEV7,#REF!,3,FALSE),VLOOKUP(EEV7,#REF!,4,FALSE)),0)</f>
        <v/>
      </c>
      <c r="EEW1">
        <f>IFERROR(IF((ISBLANK(VLOOKUP(EEW7,#REF!,4,FALSE)))=TRUE,VLOOKUP(EEW7,#REF!,3,FALSE),VLOOKUP(EEW7,#REF!,4,FALSE)),0)</f>
        <v/>
      </c>
      <c r="EEX1">
        <f>IF(#REF!="Skip to main content","FILED","NOT FILED")</f>
        <v/>
      </c>
      <c r="EEY1">
        <f>RIGHT(#REF!,2)</f>
        <v/>
      </c>
      <c r="EEZ1">
        <f>IFERROR(VLOOKUP(RIGHT(#REF!,6),#REF!,2,FALSE),0)</f>
        <v/>
      </c>
      <c r="EFA1">
        <f>IFERROR(IF((ISBLANK(VLOOKUP(EFA7,#REF!,3,FALSE)))=TRUE,VLOOKUP(EFA7,#REF!,2,FALSE),VLOOKUP(EFA7,#REF!,3,FALSE)),0)</f>
        <v/>
      </c>
      <c r="EFB1">
        <f>IFERROR(IF((ISBLANK(VLOOKUP(EFB7,#REF!,3,FALSE)))=TRUE,VLOOKUP(EFB7,#REF!,2,FALSE),VLOOKUP(EFB7,#REF!,3,FALSE)),0)</f>
        <v/>
      </c>
      <c r="EFC1">
        <f>IFERROR(IF((ISBLANK(VLOOKUP(EFC7,#REF!,3,FALSE)))=TRUE,VLOOKUP(EFC7,#REF!,2,FALSE),VLOOKUP(EFC7,#REF!,3,FALSE)),0)</f>
        <v/>
      </c>
      <c r="EFD1">
        <f>IFERROR(IF((ISBLANK(VLOOKUP(EFD7,#REF!,3,FALSE)))=TRUE,VLOOKUP(EFD7,#REF!,2,FALSE),VLOOKUP(EFD7,#REF!,3,FALSE)),0)</f>
        <v/>
      </c>
      <c r="EFE1">
        <f>IFERROR(IF((ISBLANK(VLOOKUP(EFE7,#REF!,3,FALSE)))=TRUE,VLOOKUP(EFE7,#REF!,2,FALSE),VLOOKUP(EFE7,#REF!,3,FALSE)),0)</f>
        <v/>
      </c>
      <c r="EFF1">
        <f>IFERROR(IF((ISBLANK(VLOOKUP(EFF7,#REF!,3,FALSE)))=TRUE,VLOOKUP(EFF7,#REF!,2,FALSE),VLOOKUP(EFF7,#REF!,3,FALSE)),0)</f>
        <v/>
      </c>
      <c r="EFG1">
        <f>IFERROR(IF((ISBLANK(VLOOKUP(EFG7,#REF!,4,FALSE)))=TRUE,VLOOKUP(EFG7,#REF!,3,FALSE),VLOOKUP(EFG7,#REF!,4,FALSE)),0)</f>
        <v/>
      </c>
      <c r="EFH1">
        <f>IFERROR(IF((ISBLANK(VLOOKUP(EFH7,#REF!,4,FALSE)))=TRUE,VLOOKUP(EFH7,#REF!,3,FALSE),VLOOKUP(EFH7,#REF!,4,FALSE)),0)</f>
        <v/>
      </c>
      <c r="EFI1">
        <f>IFERROR(IF((ISBLANK(VLOOKUP(EFI7,#REF!,4,FALSE)))=TRUE,VLOOKUP(EFI7,#REF!,3,FALSE),VLOOKUP(EFI7,#REF!,4,FALSE)),0)</f>
        <v/>
      </c>
      <c r="EFJ1">
        <f>IFERROR(IF((ISBLANK(VLOOKUP(EFJ7,#REF!,4,FALSE)))=TRUE,VLOOKUP(EFJ7,#REF!,3,FALSE),VLOOKUP(EFJ7,#REF!,4,FALSE)),0)</f>
        <v/>
      </c>
      <c r="EFK1">
        <f>IFERROR(IF((ISBLANK(VLOOKUP(EFK7,#REF!,4,FALSE)))=TRUE,VLOOKUP(EFK7,#REF!,3,FALSE),VLOOKUP(EFK7,#REF!,4,FALSE)),0)</f>
        <v/>
      </c>
      <c r="EFL1">
        <f>IFERROR(IF((ISBLANK(VLOOKUP(EFL7,#REF!,4,FALSE)))=TRUE,VLOOKUP(EFL7,#REF!,3,FALSE),VLOOKUP(EFL7,#REF!,4,FALSE)),0)</f>
        <v/>
      </c>
      <c r="EFM1">
        <f>IFERROR(IF((ISBLANK(VLOOKUP(EFM7,#REF!,4,FALSE)))=TRUE,VLOOKUP(EFM7,#REF!,3,FALSE),VLOOKUP(EFM7,#REF!,4,FALSE)),0)</f>
        <v/>
      </c>
      <c r="EFN1">
        <f>IFERROR(IF((ISBLANK(VLOOKUP(EFN7,#REF!,4,FALSE)))=TRUE,VLOOKUP(EFN7,#REF!,3,FALSE),VLOOKUP(EFN7,#REF!,4,FALSE)),0)</f>
        <v/>
      </c>
      <c r="EFO1">
        <f>IFERROR(IF((ISBLANK(VLOOKUP(EFO7,#REF!,4,FALSE)))=TRUE,VLOOKUP(EFO7,#REF!,3,FALSE),VLOOKUP(EFO7,#REF!,4,FALSE)),0)</f>
        <v/>
      </c>
      <c r="EFP1">
        <f>IFERROR(IF((ISBLANK(VLOOKUP(EFP7,#REF!,4,FALSE)))=TRUE,VLOOKUP(EFP7,#REF!,3,FALSE),VLOOKUP(EFP7,#REF!,4,FALSE)),0)</f>
        <v/>
      </c>
      <c r="EFQ1">
        <f>IFERROR(IF((ISBLANK(VLOOKUP(EFQ7,#REF!,4,FALSE)))=TRUE,VLOOKUP(EFQ7,#REF!,3,FALSE),VLOOKUP(EFQ7,#REF!,4,FALSE)),0)</f>
        <v/>
      </c>
      <c r="EFR1">
        <f>IFERROR(IF((ISBLANK(VLOOKUP(EFR7,#REF!,4,FALSE)))=TRUE,VLOOKUP(EFR7,#REF!,3,FALSE),VLOOKUP(EFR7,#REF!,4,FALSE)),0)</f>
        <v/>
      </c>
      <c r="EFS1">
        <f>IFERROR(IF((ISBLANK(VLOOKUP(EFS7,#REF!,4,FALSE)))=TRUE,VLOOKUP(EFS7,#REF!,3,FALSE),VLOOKUP(EFS7,#REF!,4,FALSE)),0)</f>
        <v/>
      </c>
      <c r="EFT1">
        <f>IFERROR(IF((ISBLANK(VLOOKUP(EFT7,#REF!,4,FALSE)))=TRUE,VLOOKUP(EFT7,#REF!,3,FALSE),VLOOKUP(EFT7,#REF!,4,FALSE)),0)</f>
        <v/>
      </c>
      <c r="EFU1">
        <f>IFERROR(IF((ISBLANK(VLOOKUP(EFU7,#REF!,4,FALSE)))=TRUE,VLOOKUP(EFU7,#REF!,3,FALSE),VLOOKUP(EFU7,#REF!,4,FALSE)),0)</f>
        <v/>
      </c>
      <c r="EFV1">
        <f>IFERROR(IF((ISBLANK(VLOOKUP(EFV7,#REF!,4,FALSE)))=TRUE,VLOOKUP(EFV7,#REF!,3,FALSE),VLOOKUP(EFV7,#REF!,4,FALSE)),0)</f>
        <v/>
      </c>
      <c r="EFW1">
        <f>IFERROR(IF((ISBLANK(VLOOKUP(EFW7,#REF!,4,FALSE)))=TRUE,VLOOKUP(EFW7,#REF!,3,FALSE),VLOOKUP(EFW7,#REF!,4,FALSE)),0)</f>
        <v/>
      </c>
      <c r="EFX1">
        <f>IFERROR(IF((ISBLANK(VLOOKUP(EFX7,#REF!,4,FALSE)))=TRUE,VLOOKUP(EFX7,#REF!,3,FALSE),VLOOKUP(EFX7,#REF!,4,FALSE)),0)</f>
        <v/>
      </c>
      <c r="EFY1">
        <f>IFERROR(IF((ISBLANK(VLOOKUP(EFY7,#REF!,4,FALSE)))=TRUE,VLOOKUP(EFY7,#REF!,3,FALSE),VLOOKUP(EFY7,#REF!,4,FALSE)),0)</f>
        <v/>
      </c>
      <c r="EFZ1">
        <f>IFERROR(IF((ISBLANK(VLOOKUP(EFZ7,#REF!,4,FALSE)))=TRUE,VLOOKUP(EFZ7,#REF!,3,FALSE),VLOOKUP(EFZ7,#REF!,4,FALSE)),0)</f>
        <v/>
      </c>
      <c r="EGA1">
        <f>IFERROR(IF((ISBLANK(VLOOKUP(EGA7,#REF!,4,FALSE)))=TRUE,VLOOKUP(EGA7,#REF!,3,FALSE),VLOOKUP(EGA7,#REF!,4,FALSE)),0)</f>
        <v/>
      </c>
      <c r="EGB1">
        <f>IFERROR(IF((ISBLANK(VLOOKUP(EGB7,#REF!,4,FALSE)))=TRUE,VLOOKUP(EGB7,#REF!,3,FALSE),VLOOKUP(EGB7,#REF!,4,FALSE)),0)</f>
        <v/>
      </c>
      <c r="EGC1">
        <f>IFERROR(IF((ISBLANK(VLOOKUP(EGC7,#REF!,4,FALSE)))=TRUE,VLOOKUP(EGC7,#REF!,3,FALSE),VLOOKUP(EGC7,#REF!,4,FALSE)),0)</f>
        <v/>
      </c>
      <c r="EGD1">
        <f>IFERROR(IF((ISBLANK(VLOOKUP(EGD7,#REF!,4,FALSE)))=TRUE,VLOOKUP(EGD7,#REF!,3,FALSE),VLOOKUP(EGD7,#REF!,4,FALSE)),0)</f>
        <v/>
      </c>
      <c r="EGE1">
        <f>IFERROR(IF((ISBLANK(VLOOKUP(EGE7,#REF!,4,FALSE)))=TRUE,VLOOKUP(EGE7,#REF!,3,FALSE),VLOOKUP(EGE7,#REF!,4,FALSE)),0)</f>
        <v/>
      </c>
      <c r="EGF1">
        <f>IFERROR(IF((ISBLANK(VLOOKUP(EGF7,#REF!,4,FALSE)))=TRUE,VLOOKUP(EGF7,#REF!,3,FALSE),VLOOKUP(EGF7,#REF!,4,FALSE)),0)</f>
        <v/>
      </c>
      <c r="EGG1">
        <f>IFERROR(IF((ISBLANK(VLOOKUP(EGG7,#REF!,4,FALSE)))=TRUE,VLOOKUP(EGG7,#REF!,3,FALSE),VLOOKUP(EGG7,#REF!,4,FALSE)),0)</f>
        <v/>
      </c>
      <c r="EGH1">
        <f>IFERROR(IF((ISBLANK(VLOOKUP(EGH7,#REF!,4,FALSE)))=TRUE,VLOOKUP(EGH7,#REF!,3,FALSE),VLOOKUP(EGH7,#REF!,4,FALSE)),0)</f>
        <v/>
      </c>
      <c r="EGI1">
        <f>IFERROR(IF((ISBLANK(VLOOKUP(EGI7,#REF!,4,FALSE)))=TRUE,VLOOKUP(EGI7,#REF!,3,FALSE),VLOOKUP(EGI7,#REF!,4,FALSE)),0)</f>
        <v/>
      </c>
      <c r="EGJ1">
        <f>IFERROR(IF((ISBLANK(VLOOKUP(EGJ7,#REF!,4,FALSE)))=TRUE,VLOOKUP(EGJ7,#REF!,3,FALSE),VLOOKUP(EGJ7,#REF!,4,FALSE)),0)</f>
        <v/>
      </c>
      <c r="EGK1">
        <f>IFERROR(IF((ISBLANK(VLOOKUP(EGK7,#REF!,4,FALSE)))=TRUE,VLOOKUP(EGK7,#REF!,3,FALSE),VLOOKUP(EGK7,#REF!,4,FALSE)),0)</f>
        <v/>
      </c>
      <c r="EGL1">
        <f>IFERROR(IF((ISBLANK(VLOOKUP(EGL7,#REF!,4,FALSE)))=TRUE,VLOOKUP(EGL7,#REF!,3,FALSE),VLOOKUP(EGL7,#REF!,4,FALSE)),0)</f>
        <v/>
      </c>
      <c r="EGM1">
        <f>IFERROR(IF((ISBLANK(VLOOKUP(EGM7,#REF!,4,FALSE)))=TRUE,VLOOKUP(EGM7,#REF!,3,FALSE),VLOOKUP(EGM7,#REF!,4,FALSE)),0)</f>
        <v/>
      </c>
      <c r="EGN1">
        <f>IFERROR(IF((ISBLANK(VLOOKUP(EGN7,#REF!,4,FALSE)))=TRUE,VLOOKUP(EGN7,#REF!,3,FALSE),VLOOKUP(EGN7,#REF!,4,FALSE)),0)</f>
        <v/>
      </c>
      <c r="EGO1">
        <f>IFERROR(IF((ISBLANK(VLOOKUP(EGO7,#REF!,4,FALSE)))=TRUE,VLOOKUP(EGO7,#REF!,3,FALSE),VLOOKUP(EGO7,#REF!,4,FALSE)),0)</f>
        <v/>
      </c>
      <c r="EGP1">
        <f>IFERROR(IF((ISBLANK(VLOOKUP(EGP7,#REF!,4,FALSE)))=TRUE,VLOOKUP(EGP7,#REF!,3,FALSE),VLOOKUP(EGP7,#REF!,4,FALSE)),0)</f>
        <v/>
      </c>
      <c r="EGQ1">
        <f>IFERROR(IF((ISBLANK(VLOOKUP(EGQ7,#REF!,4,FALSE)))=TRUE,VLOOKUP(EGQ7,#REF!,3,FALSE),VLOOKUP(EGQ7,#REF!,4,FALSE)),0)</f>
        <v/>
      </c>
      <c r="EGR1">
        <f>IFERROR(IF((ISBLANK(VLOOKUP(EGR7,#REF!,4,FALSE)))=TRUE,VLOOKUP(EGR7,#REF!,3,FALSE),VLOOKUP(EGR7,#REF!,4,FALSE)),0)</f>
        <v/>
      </c>
      <c r="EGS1">
        <f>IFERROR(IF((ISBLANK(VLOOKUP(EGS7,#REF!,4,FALSE)))=TRUE,VLOOKUP(EGS7,#REF!,3,FALSE),VLOOKUP(EGS7,#REF!,4,FALSE)),0)</f>
        <v/>
      </c>
      <c r="EGT1">
        <f>IFERROR(IF((ISBLANK(VLOOKUP(EGT7,#REF!,4,FALSE)))=TRUE,VLOOKUP(EGT7,#REF!,3,FALSE),VLOOKUP(EGT7,#REF!,4,FALSE)),0)</f>
        <v/>
      </c>
      <c r="EGU1">
        <f>IFERROR(IF((ISBLANK(VLOOKUP(EGU7,#REF!,4,FALSE)))=TRUE,VLOOKUP(EGU7,#REF!,3,FALSE),VLOOKUP(EGU7,#REF!,4,FALSE)),0)</f>
        <v/>
      </c>
      <c r="EGV1">
        <f>IFERROR(IF((ISBLANK(VLOOKUP(EGV7,#REF!,4,FALSE)))=TRUE,VLOOKUP(EGV7,#REF!,3,FALSE),VLOOKUP(EGV7,#REF!,4,FALSE)),0)</f>
        <v/>
      </c>
      <c r="EGW1">
        <f>IFERROR(IF((ISBLANK(VLOOKUP(EGW7,#REF!,4,FALSE)))=TRUE,VLOOKUP(EGW7,#REF!,3,FALSE),VLOOKUP(EGW7,#REF!,4,FALSE)),0)</f>
        <v/>
      </c>
      <c r="EGX1">
        <f>IFERROR(IF((ISBLANK(VLOOKUP(EGX7,#REF!,4,FALSE)))=TRUE,VLOOKUP(EGX7,#REF!,3,FALSE),VLOOKUP(EGX7,#REF!,4,FALSE)),0)</f>
        <v/>
      </c>
      <c r="EGY1">
        <f>IFERROR(IF((ISBLANK(VLOOKUP(EGY7,#REF!,4,FALSE)))=TRUE,VLOOKUP(EGY7,#REF!,3,FALSE),VLOOKUP(EGY7,#REF!,4,FALSE)),0)</f>
        <v/>
      </c>
      <c r="EGZ1">
        <f>IFERROR(IF((ISBLANK(VLOOKUP(EGZ7,#REF!,4,FALSE)))=TRUE,VLOOKUP(EGZ7,#REF!,3,FALSE),VLOOKUP(EGZ7,#REF!,4,FALSE)),0)</f>
        <v/>
      </c>
      <c r="EHA1">
        <f>IFERROR(IF((ISBLANK(VLOOKUP(EHA7,#REF!,4,FALSE)))=TRUE,VLOOKUP(EHA7,#REF!,3,FALSE),VLOOKUP(EHA7,#REF!,4,FALSE)),0)</f>
        <v/>
      </c>
      <c r="EHB1">
        <f>IFERROR(IF((ISBLANK(VLOOKUP(EHB7,#REF!,4,FALSE)))=TRUE,VLOOKUP(EHB7,#REF!,3,FALSE),VLOOKUP(EHB7,#REF!,4,FALSE)),0)</f>
        <v/>
      </c>
      <c r="EHC1">
        <f>IFERROR(IF((ISBLANK(VLOOKUP(EHC7,#REF!,4,FALSE)))=TRUE,VLOOKUP(EHC7,#REF!,3,FALSE),VLOOKUP(EHC7,#REF!,4,FALSE)),0)</f>
        <v/>
      </c>
      <c r="EHD1">
        <f>IFERROR(IF((ISBLANK(VLOOKUP(EHD7,#REF!,4,FALSE)))=TRUE,VLOOKUP(EHD7,#REF!,3,FALSE),VLOOKUP(EHD7,#REF!,4,FALSE)),0)</f>
        <v/>
      </c>
      <c r="EHE1">
        <f>IFERROR(IF((ISBLANK(VLOOKUP(EHE7,#REF!,4,FALSE)))=TRUE,VLOOKUP(EHE7,#REF!,3,FALSE),VLOOKUP(EHE7,#REF!,4,FALSE)),0)</f>
        <v/>
      </c>
      <c r="EHF1">
        <f>IFERROR(IF((ISBLANK(VLOOKUP(EHF7,#REF!,4,FALSE)))=TRUE,VLOOKUP(EHF7,#REF!,3,FALSE),VLOOKUP(EHF7,#REF!,4,FALSE)),0)</f>
        <v/>
      </c>
      <c r="EHG1">
        <f>IFERROR(IF((ISBLANK(VLOOKUP(EHG7,#REF!,4,FALSE)))=TRUE,VLOOKUP(EHG7,#REF!,3,FALSE),VLOOKUP(EHG7,#REF!,4,FALSE)),0)</f>
        <v/>
      </c>
      <c r="EHH1">
        <f>IFERROR(IF((ISBLANK(VLOOKUP(EHH7,#REF!,4,FALSE)))=TRUE,VLOOKUP(EHH7,#REF!,3,FALSE),VLOOKUP(EHH7,#REF!,4,FALSE)),0)</f>
        <v/>
      </c>
      <c r="EHI1">
        <f>IFERROR(IF((ISBLANK(VLOOKUP(EHI7,#REF!,4,FALSE)))=TRUE,VLOOKUP(EHI7,#REF!,3,FALSE),VLOOKUP(EHI7,#REF!,4,FALSE)),0)</f>
        <v/>
      </c>
      <c r="EHJ1">
        <f>IFERROR(IF((ISBLANK(VLOOKUP(EHJ7,#REF!,4,FALSE)))=TRUE,VLOOKUP(EHJ7,#REF!,3,FALSE),VLOOKUP(EHJ7,#REF!,4,FALSE)),0)</f>
        <v/>
      </c>
      <c r="EHK1">
        <f>IFERROR(IF((ISBLANK(VLOOKUP(EHK7,#REF!,4,FALSE)))=TRUE,VLOOKUP(EHK7,#REF!,3,FALSE),VLOOKUP(EHK7,#REF!,4,FALSE)),0)</f>
        <v/>
      </c>
      <c r="EHL1">
        <f>IFERROR(IF((ISBLANK(VLOOKUP(EHL7,#REF!,4,FALSE)))=TRUE,VLOOKUP(EHL7,#REF!,3,FALSE),VLOOKUP(EHL7,#REF!,4,FALSE)),0)</f>
        <v/>
      </c>
      <c r="EHM1">
        <f>IFERROR(IF((ISBLANK(VLOOKUP(EHM7,#REF!,4,FALSE)))=TRUE,VLOOKUP(EHM7,#REF!,3,FALSE),VLOOKUP(EHM7,#REF!,4,FALSE)),0)</f>
        <v/>
      </c>
      <c r="EHN1">
        <f>IFERROR(IF((ISBLANK(VLOOKUP(EHN7,#REF!,4,FALSE)))=TRUE,VLOOKUP(EHN7,#REF!,3,FALSE),VLOOKUP(EHN7,#REF!,4,FALSE)),0)</f>
        <v/>
      </c>
      <c r="EHO1">
        <f>IFERROR(IF((ISBLANK(VLOOKUP(EHO7,#REF!,4,FALSE)))=TRUE,VLOOKUP(EHO7,#REF!,3,FALSE),VLOOKUP(EHO7,#REF!,4,FALSE)),0)</f>
        <v/>
      </c>
      <c r="EHP1">
        <f>IFERROR(IF((ISBLANK(VLOOKUP(EHP7,#REF!,4,FALSE)))=TRUE,VLOOKUP(EHP7,#REF!,3,FALSE),VLOOKUP(EHP7,#REF!,4,FALSE)),0)</f>
        <v/>
      </c>
      <c r="EHQ1">
        <f>IFERROR(IF((ISBLANK(VLOOKUP(EHQ7,#REF!,4,FALSE)))=TRUE,VLOOKUP(EHQ7,#REF!,3,FALSE),VLOOKUP(EHQ7,#REF!,4,FALSE)),0)</f>
        <v/>
      </c>
      <c r="EHR1">
        <f>IFERROR(IF((ISBLANK(VLOOKUP(EHR7,#REF!,4,FALSE)))=TRUE,VLOOKUP(EHR7,#REF!,3,FALSE),VLOOKUP(EHR7,#REF!,4,FALSE)),0)</f>
        <v/>
      </c>
      <c r="EHS1">
        <f>IFERROR(IF((ISBLANK(VLOOKUP(EHS7,#REF!,4,FALSE)))=TRUE,VLOOKUP(EHS7,#REF!,3,FALSE),VLOOKUP(EHS7,#REF!,4,FALSE)),0)</f>
        <v/>
      </c>
      <c r="EHT1">
        <f>IFERROR(IF((ISBLANK(VLOOKUP(EHT7,#REF!,4,FALSE)))=TRUE,VLOOKUP(EHT7,#REF!,3,FALSE),VLOOKUP(EHT7,#REF!,4,FALSE)),0)</f>
        <v/>
      </c>
      <c r="EHU1">
        <f>IFERROR(IF((ISBLANK(VLOOKUP(EHU7,#REF!,4,FALSE)))=TRUE,VLOOKUP(EHU7,#REF!,3,FALSE),VLOOKUP(EHU7,#REF!,4,FALSE)),0)</f>
        <v/>
      </c>
      <c r="EHV1">
        <f>IFERROR(IF((ISBLANK(VLOOKUP(EHV7,#REF!,4,FALSE)))=TRUE,VLOOKUP(EHV7,#REF!,3,FALSE),VLOOKUP(EHV7,#REF!,4,FALSE)),0)</f>
        <v/>
      </c>
      <c r="EHW1">
        <f>IFERROR(IF((ISBLANK(VLOOKUP(EHW7,#REF!,4,FALSE)))=TRUE,VLOOKUP(EHW7,#REF!,3,FALSE),VLOOKUP(EHW7,#REF!,4,FALSE)),0)</f>
        <v/>
      </c>
      <c r="EHX1">
        <f>IFERROR(IF((ISBLANK(VLOOKUP(EHX7,#REF!,4,FALSE)))=TRUE,VLOOKUP(EHX7,#REF!,3,FALSE),VLOOKUP(EHX7,#REF!,4,FALSE)),0)</f>
        <v/>
      </c>
      <c r="EHY1">
        <f>IFERROR(IF((ISBLANK(VLOOKUP(EHY7,#REF!,4,FALSE)))=TRUE,VLOOKUP(EHY7,#REF!,3,FALSE),VLOOKUP(EHY7,#REF!,4,FALSE)),0)</f>
        <v/>
      </c>
      <c r="EHZ1">
        <f>IFERROR(IF((ISBLANK(VLOOKUP(EHZ7,#REF!,4,FALSE)))=TRUE,VLOOKUP(EHZ7,#REF!,3,FALSE),VLOOKUP(EHZ7,#REF!,4,FALSE)),0)</f>
        <v/>
      </c>
      <c r="EIA1">
        <f>IFERROR(IF((ISBLANK(VLOOKUP(EIA7,#REF!,4,FALSE)))=TRUE,VLOOKUP(EIA7,#REF!,3,FALSE),VLOOKUP(EIA7,#REF!,4,FALSE)),0)</f>
        <v/>
      </c>
      <c r="EIB1">
        <f>IFERROR(IF((ISBLANK(VLOOKUP(EIB7,#REF!,4,FALSE)))=TRUE,VLOOKUP(EIB7,#REF!,3,FALSE),VLOOKUP(EIB7,#REF!,4,FALSE)),0)</f>
        <v/>
      </c>
      <c r="EIC1">
        <f>IFERROR(IF((ISBLANK(VLOOKUP(EIC7,#REF!,4,FALSE)))=TRUE,VLOOKUP(EIC7,#REF!,3,FALSE),VLOOKUP(EIC7,#REF!,4,FALSE)),0)</f>
        <v/>
      </c>
      <c r="EID1">
        <f>IFERROR(IF((ISBLANK(VLOOKUP(EID7,#REF!,4,FALSE)))=TRUE,VLOOKUP(EID7,#REF!,3,FALSE),VLOOKUP(EID7,#REF!,4,FALSE)),0)</f>
        <v/>
      </c>
      <c r="EIE1">
        <f>IFERROR(IF((ISBLANK(VLOOKUP(EIE7,#REF!,4,FALSE)))=TRUE,VLOOKUP(EIE7,#REF!,3,FALSE),VLOOKUP(EIE7,#REF!,4,FALSE)),0)</f>
        <v/>
      </c>
      <c r="EIF1">
        <f>IFERROR(IF((ISBLANK(VLOOKUP(EIF7,#REF!,4,FALSE)))=TRUE,VLOOKUP(EIF7,#REF!,3,FALSE),VLOOKUP(EIF7,#REF!,4,FALSE)),0)</f>
        <v/>
      </c>
      <c r="EIG1">
        <f>IFERROR(IF((ISBLANK(VLOOKUP(EIG7,#REF!,4,FALSE)))=TRUE,VLOOKUP(EIG7,#REF!,3,FALSE),VLOOKUP(EIG7,#REF!,4,FALSE)),0)</f>
        <v/>
      </c>
      <c r="EIH1">
        <f>IFERROR(IF((ISBLANK(VLOOKUP(EIH7,#REF!,4,FALSE)))=TRUE,VLOOKUP(EIH7,#REF!,3,FALSE),VLOOKUP(EIH7,#REF!,4,FALSE)),0)</f>
        <v/>
      </c>
      <c r="EII1">
        <f>IFERROR(IF((ISBLANK(VLOOKUP(EII7,#REF!,4,FALSE)))=TRUE,VLOOKUP(EII7,#REF!,3,FALSE),VLOOKUP(EII7,#REF!,4,FALSE)),0)</f>
        <v/>
      </c>
      <c r="EIJ1">
        <f>IFERROR(IF((ISBLANK(VLOOKUP(EIJ7,#REF!,4,FALSE)))=TRUE,VLOOKUP(EIJ7,#REF!,3,FALSE),VLOOKUP(EIJ7,#REF!,4,FALSE)),0)</f>
        <v/>
      </c>
      <c r="EIK1">
        <f>IFERROR(IF((ISBLANK(VLOOKUP(EIK7,#REF!,4,FALSE)))=TRUE,VLOOKUP(EIK7,#REF!,3,FALSE),VLOOKUP(EIK7,#REF!,4,FALSE)),0)</f>
        <v/>
      </c>
      <c r="EIL1">
        <f>IFERROR(IF((ISBLANK(VLOOKUP(EIL7,#REF!,4,FALSE)))=TRUE,VLOOKUP(EIL7,#REF!,3,FALSE),VLOOKUP(EIL7,#REF!,4,FALSE)),0)</f>
        <v/>
      </c>
      <c r="EIM1">
        <f>IFERROR(IF((ISBLANK(VLOOKUP(EIM7,#REF!,4,FALSE)))=TRUE,VLOOKUP(EIM7,#REF!,3,FALSE),VLOOKUP(EIM7,#REF!,4,FALSE)),0)</f>
        <v/>
      </c>
      <c r="EIN1">
        <f>IFERROR(IF((ISBLANK(VLOOKUP(EIN7,#REF!,4,FALSE)))=TRUE,VLOOKUP(EIN7,#REF!,3,FALSE),VLOOKUP(EIN7,#REF!,4,FALSE)),0)</f>
        <v/>
      </c>
      <c r="EIO1">
        <f>IFERROR(IF((ISBLANK(VLOOKUP(EIO7,#REF!,4,FALSE)))=TRUE,VLOOKUP(EIO7,#REF!,3,FALSE),VLOOKUP(EIO7,#REF!,4,FALSE)),0)</f>
        <v/>
      </c>
      <c r="EIP1">
        <f>IFERROR(IF((ISBLANK(VLOOKUP(EIP7,#REF!,4,FALSE)))=TRUE,VLOOKUP(EIP7,#REF!,3,FALSE),VLOOKUP(EIP7,#REF!,4,FALSE)),0)</f>
        <v/>
      </c>
      <c r="EIQ1">
        <f>IFERROR(IF((ISBLANK(VLOOKUP(EIQ7,#REF!,4,FALSE)))=TRUE,VLOOKUP(EIQ7,#REF!,3,FALSE),VLOOKUP(EIQ7,#REF!,4,FALSE)),0)</f>
        <v/>
      </c>
      <c r="EIR1">
        <f>IFERROR(IF((ISBLANK(VLOOKUP(EIR7,#REF!,4,FALSE)))=TRUE,VLOOKUP(EIR7,#REF!,3,FALSE),VLOOKUP(EIR7,#REF!,4,FALSE)),0)</f>
        <v/>
      </c>
      <c r="EIS1">
        <f>IFERROR(IF((ISBLANK(VLOOKUP(EIS7,#REF!,4,FALSE)))=TRUE,VLOOKUP(EIS7,#REF!,3,FALSE),VLOOKUP(EIS7,#REF!,4,FALSE)),0)</f>
        <v/>
      </c>
      <c r="EIT1">
        <f>IFERROR(IF((ISBLANK(VLOOKUP(EIT7,#REF!,4,FALSE)))=TRUE,VLOOKUP(EIT7,#REF!,3,FALSE),VLOOKUP(EIT7,#REF!,4,FALSE)),0)</f>
        <v/>
      </c>
      <c r="EIU1">
        <f>IFERROR(IF((ISBLANK(VLOOKUP(EIU7,#REF!,4,FALSE)))=TRUE,VLOOKUP(EIU7,#REF!,3,FALSE),VLOOKUP(EIU7,#REF!,4,FALSE)),0)</f>
        <v/>
      </c>
      <c r="EIV1">
        <f>IFERROR(IF((ISBLANK(VLOOKUP(EIV7,#REF!,4,FALSE)))=TRUE,VLOOKUP(EIV7,#REF!,3,FALSE),VLOOKUP(EIV7,#REF!,4,FALSE)),0)</f>
        <v/>
      </c>
      <c r="EIW1">
        <f>IFERROR(IF((ISBLANK(VLOOKUP(EIW7,#REF!,4,FALSE)))=TRUE,VLOOKUP(EIW7,#REF!,3,FALSE),VLOOKUP(EIW7,#REF!,4,FALSE)),0)</f>
        <v/>
      </c>
      <c r="EIX1">
        <f>IFERROR(IF((ISBLANK(VLOOKUP(EIX7,#REF!,4,FALSE)))=TRUE,VLOOKUP(EIX7,#REF!,3,FALSE),VLOOKUP(EIX7,#REF!,4,FALSE)),0)</f>
        <v/>
      </c>
      <c r="EIY1">
        <f>IFERROR(IF((ISBLANK(VLOOKUP(EIY7,#REF!,4,FALSE)))=TRUE,VLOOKUP(EIY7,#REF!,3,FALSE),VLOOKUP(EIY7,#REF!,4,FALSE)),0)</f>
        <v/>
      </c>
      <c r="EIZ1">
        <f>IFERROR(IF((ISBLANK(VLOOKUP(EIZ7,#REF!,4,FALSE)))=TRUE,VLOOKUP(EIZ7,#REF!,3,FALSE),VLOOKUP(EIZ7,#REF!,4,FALSE)),0)</f>
        <v/>
      </c>
      <c r="EJA1">
        <f>IFERROR(IF((ISBLANK(VLOOKUP(EJA7,#REF!,4,FALSE)))=TRUE,VLOOKUP(EJA7,#REF!,3,FALSE),VLOOKUP(EJA7,#REF!,4,FALSE)),0)</f>
        <v/>
      </c>
      <c r="EJB1">
        <f>IFERROR(IF((ISBLANK(VLOOKUP(EJB7,#REF!,4,FALSE)))=TRUE,VLOOKUP(EJB7,#REF!,3,FALSE),VLOOKUP(EJB7,#REF!,4,FALSE)),0)</f>
        <v/>
      </c>
      <c r="EJC1">
        <f>IFERROR(IF((ISBLANK(VLOOKUP(EJC7,#REF!,4,FALSE)))=TRUE,VLOOKUP(EJC7,#REF!,3,FALSE),VLOOKUP(EJC7,#REF!,4,FALSE)),0)</f>
        <v/>
      </c>
      <c r="EJD1">
        <f>IFERROR(IF((ISBLANK(VLOOKUP(EJD7,#REF!,4,FALSE)))=TRUE,VLOOKUP(EJD7,#REF!,3,FALSE),VLOOKUP(EJD7,#REF!,4,FALSE)),0)</f>
        <v/>
      </c>
      <c r="EJE1">
        <f>IFERROR(IF((ISBLANK(VLOOKUP(EJE7,#REF!,4,FALSE)))=TRUE,VLOOKUP(EJE7,#REF!,3,FALSE),VLOOKUP(EJE7,#REF!,4,FALSE)),0)</f>
        <v/>
      </c>
      <c r="EJF1">
        <f>IFERROR(IF((ISBLANK(VLOOKUP(EJF7,#REF!,4,FALSE)))=TRUE,VLOOKUP(EJF7,#REF!,3,FALSE),VLOOKUP(EJF7,#REF!,4,FALSE)),0)</f>
        <v/>
      </c>
      <c r="EJG1">
        <f>IFERROR(IF((ISBLANK(VLOOKUP(EJG7,#REF!,4,FALSE)))=TRUE,VLOOKUP(EJG7,#REF!,3,FALSE),VLOOKUP(EJG7,#REF!,4,FALSE)),0)</f>
        <v/>
      </c>
      <c r="EJH1">
        <f>IFERROR(IF((ISBLANK(VLOOKUP(EJH7,#REF!,4,FALSE)))=TRUE,VLOOKUP(EJH7,#REF!,3,FALSE),VLOOKUP(EJH7,#REF!,4,FALSE)),0)</f>
        <v/>
      </c>
      <c r="EJI1">
        <f>IFERROR(IF((ISBLANK(VLOOKUP(EJI7,#REF!,4,FALSE)))=TRUE,VLOOKUP(EJI7,#REF!,3,FALSE),VLOOKUP(EJI7,#REF!,4,FALSE)),0)</f>
        <v/>
      </c>
      <c r="EJJ1">
        <f>IFERROR(IF((ISBLANK(VLOOKUP(EJJ7,#REF!,4,FALSE)))=TRUE,VLOOKUP(EJJ7,#REF!,3,FALSE),VLOOKUP(EJJ7,#REF!,4,FALSE)),0)</f>
        <v/>
      </c>
      <c r="EJK1">
        <f>IFERROR(IF((ISBLANK(VLOOKUP(EJK7,#REF!,4,FALSE)))=TRUE,VLOOKUP(EJK7,#REF!,3,FALSE),VLOOKUP(EJK7,#REF!,4,FALSE)),0)</f>
        <v/>
      </c>
      <c r="EJL1">
        <f>IFERROR(IF((ISBLANK(VLOOKUP(EJL7,#REF!,4,FALSE)))=TRUE,VLOOKUP(EJL7,#REF!,3,FALSE),VLOOKUP(EJL7,#REF!,4,FALSE)),0)</f>
        <v/>
      </c>
      <c r="EJM1">
        <f>IFERROR(IF((ISBLANK(VLOOKUP(EJM7,#REF!,4,FALSE)))=TRUE,VLOOKUP(EJM7,#REF!,3,FALSE),VLOOKUP(EJM7,#REF!,4,FALSE)),0)</f>
        <v/>
      </c>
      <c r="EJN1">
        <f>IFERROR(IF((ISBLANK(VLOOKUP(EJN7,#REF!,4,FALSE)))=TRUE,VLOOKUP(EJN7,#REF!,3,FALSE),VLOOKUP(EJN7,#REF!,4,FALSE)),0)</f>
        <v/>
      </c>
      <c r="EJO1">
        <f>IFERROR(IF((ISBLANK(VLOOKUP(EJO7,#REF!,4,FALSE)))=TRUE,VLOOKUP(EJO7,#REF!,3,FALSE),VLOOKUP(EJO7,#REF!,4,FALSE)),0)</f>
        <v/>
      </c>
      <c r="EJP1">
        <f>IFERROR(IF((ISBLANK(VLOOKUP(EJP7,#REF!,4,FALSE)))=TRUE,VLOOKUP(EJP7,#REF!,3,FALSE),VLOOKUP(EJP7,#REF!,4,FALSE)),0)</f>
        <v/>
      </c>
      <c r="EJQ1">
        <f>IFERROR(IF((ISBLANK(VLOOKUP(EJQ7,#REF!,4,FALSE)))=TRUE,VLOOKUP(EJQ7,#REF!,3,FALSE),VLOOKUP(EJQ7,#REF!,4,FALSE)),0)</f>
        <v/>
      </c>
      <c r="EJR1">
        <f>IFERROR(IF((ISBLANK(VLOOKUP(EJR7,#REF!,4,FALSE)))=TRUE,VLOOKUP(EJR7,#REF!,3,FALSE),VLOOKUP(EJR7,#REF!,4,FALSE)),0)</f>
        <v/>
      </c>
      <c r="EJS1">
        <f>IFERROR(IF((ISBLANK(VLOOKUP(EJS7,#REF!,4,FALSE)))=TRUE,VLOOKUP(EJS7,#REF!,3,FALSE),VLOOKUP(EJS7,#REF!,4,FALSE)),0)</f>
        <v/>
      </c>
      <c r="EJT1">
        <f>IFERROR(IF((ISBLANK(VLOOKUP(EJT7,#REF!,4,FALSE)))=TRUE,VLOOKUP(EJT7,#REF!,3,FALSE),VLOOKUP(EJT7,#REF!,4,FALSE)),0)</f>
        <v/>
      </c>
      <c r="EJU1">
        <f>IFERROR(IF((ISBLANK(VLOOKUP(EJU7,#REF!,4,FALSE)))=TRUE,VLOOKUP(EJU7,#REF!,3,FALSE),VLOOKUP(EJU7,#REF!,4,FALSE)),0)</f>
        <v/>
      </c>
      <c r="EJV1">
        <f>IFERROR(IF((ISBLANK(VLOOKUP(EJV7,#REF!,4,FALSE)))=TRUE,VLOOKUP(EJV7,#REF!,3,FALSE),VLOOKUP(EJV7,#REF!,4,FALSE)),0)</f>
        <v/>
      </c>
      <c r="EJW1">
        <f>IFERROR(IF((ISBLANK(VLOOKUP(EJW7,#REF!,4,FALSE)))=TRUE,VLOOKUP(EJW7,#REF!,3,FALSE),VLOOKUP(EJW7,#REF!,4,FALSE)),0)</f>
        <v/>
      </c>
      <c r="EJX1">
        <f>IFERROR(IF((ISBLANK(VLOOKUP(EJX7,#REF!,4,FALSE)))=TRUE,VLOOKUP(EJX7,#REF!,3,FALSE),VLOOKUP(EJX7,#REF!,4,FALSE)),0)</f>
        <v/>
      </c>
      <c r="EJY1">
        <f>IFERROR(IF((ISBLANK(VLOOKUP(EJY7,#REF!,4,FALSE)))=TRUE,VLOOKUP(EJY7,#REF!,3,FALSE),VLOOKUP(EJY7,#REF!,4,FALSE)),0)</f>
        <v/>
      </c>
      <c r="EJZ1">
        <f>IFERROR(IF((ISBLANK(VLOOKUP(EJZ7,#REF!,4,FALSE)))=TRUE,VLOOKUP(EJZ7,#REF!,3,FALSE),VLOOKUP(EJZ7,#REF!,4,FALSE)),0)</f>
        <v/>
      </c>
      <c r="EKA1">
        <f>IFERROR(IF((ISBLANK(VLOOKUP(EKA7,#REF!,4,FALSE)))=TRUE,VLOOKUP(EKA7,#REF!,3,FALSE),VLOOKUP(EKA7,#REF!,4,FALSE)),0)</f>
        <v/>
      </c>
      <c r="EKB1">
        <f>IFERROR(IF((ISBLANK(VLOOKUP(EKB7,#REF!,4,FALSE)))=TRUE,VLOOKUP(EKB7,#REF!,3,FALSE),VLOOKUP(EKB7,#REF!,4,FALSE)),0)</f>
        <v/>
      </c>
      <c r="EKC1">
        <f>IFERROR(IF((ISBLANK(VLOOKUP(EKC7,#REF!,4,FALSE)))=TRUE,VLOOKUP(EKC7,#REF!,3,FALSE),VLOOKUP(EKC7,#REF!,4,FALSE)),0)</f>
        <v/>
      </c>
      <c r="EKD1">
        <f>IFERROR(IF((ISBLANK(VLOOKUP(EKD7,#REF!,4,FALSE)))=TRUE,VLOOKUP(EKD7,#REF!,3,FALSE),VLOOKUP(EKD7,#REF!,4,FALSE)),0)</f>
        <v/>
      </c>
      <c r="EKE1">
        <f>IFERROR(IF((ISBLANK(VLOOKUP(EKE7,#REF!,4,FALSE)))=TRUE,VLOOKUP(EKE7,#REF!,3,FALSE),VLOOKUP(EKE7,#REF!,4,FALSE)),0)</f>
        <v/>
      </c>
      <c r="EKF1">
        <f>IFERROR(IF((ISBLANK(VLOOKUP(EKF7,#REF!,4,FALSE)))=TRUE,VLOOKUP(EKF7,#REF!,3,FALSE),VLOOKUP(EKF7,#REF!,4,FALSE)),0)</f>
        <v/>
      </c>
      <c r="EKG1">
        <f>IFERROR(IF((ISBLANK(VLOOKUP(EKG7,#REF!,4,FALSE)))=TRUE,VLOOKUP(EKG7,#REF!,3,FALSE),VLOOKUP(EKG7,#REF!,4,FALSE)),0)</f>
        <v/>
      </c>
      <c r="EKH1">
        <f>IFERROR(IF((ISBLANK(VLOOKUP(EKH7,#REF!,4,FALSE)))=TRUE,VLOOKUP(EKH7,#REF!,3,FALSE),VLOOKUP(EKH7,#REF!,4,FALSE)),0)</f>
        <v/>
      </c>
      <c r="EKI1">
        <f>IFERROR(IF((ISBLANK(VLOOKUP(EKI7,#REF!,4,FALSE)))=TRUE,VLOOKUP(EKI7,#REF!,3,FALSE),VLOOKUP(EKI7,#REF!,4,FALSE)),0)</f>
        <v/>
      </c>
      <c r="EKJ1">
        <f>IFERROR(IF((ISBLANK(VLOOKUP(EKJ7,#REF!,4,FALSE)))=TRUE,VLOOKUP(EKJ7,#REF!,3,FALSE),VLOOKUP(EKJ7,#REF!,4,FALSE)),0)</f>
        <v/>
      </c>
      <c r="EKK1">
        <f>IFERROR(IF((ISBLANK(VLOOKUP(EKK7,#REF!,4,FALSE)))=TRUE,VLOOKUP(EKK7,#REF!,3,FALSE),VLOOKUP(EKK7,#REF!,4,FALSE)),0)</f>
        <v/>
      </c>
      <c r="EKL1">
        <f>IFERROR(IF((ISBLANK(VLOOKUP(EKL7,#REF!,4,FALSE)))=TRUE,VLOOKUP(EKL7,#REF!,3,FALSE),VLOOKUP(EKL7,#REF!,4,FALSE)),0)</f>
        <v/>
      </c>
      <c r="EKM1">
        <f>IFERROR(IF((ISBLANK(VLOOKUP(EKM7,#REF!,4,FALSE)))=TRUE,VLOOKUP(EKM7,#REF!,3,FALSE),VLOOKUP(EKM7,#REF!,4,FALSE)),0)</f>
        <v/>
      </c>
      <c r="EKN1">
        <f>IFERROR(IF((ISBLANK(VLOOKUP(EKN7,#REF!,4,FALSE)))=TRUE,VLOOKUP(EKN7,#REF!,3,FALSE),VLOOKUP(EKN7,#REF!,4,FALSE)),0)</f>
        <v/>
      </c>
      <c r="EKO1">
        <f>IFERROR(IF((ISBLANK(VLOOKUP(EKO7,#REF!,4,FALSE)))=TRUE,VLOOKUP(EKO7,#REF!,3,FALSE),VLOOKUP(EKO7,#REF!,4,FALSE)),0)</f>
        <v/>
      </c>
      <c r="EKP1">
        <f>IFERROR(IF((ISBLANK(VLOOKUP(EKP7,#REF!,4,FALSE)))=TRUE,VLOOKUP(EKP7,#REF!,3,FALSE),VLOOKUP(EKP7,#REF!,4,FALSE)),0)</f>
        <v/>
      </c>
      <c r="EKQ1">
        <f>IFERROR(IF((ISBLANK(VLOOKUP(EKQ7,#REF!,4,FALSE)))=TRUE,VLOOKUP(EKQ7,#REF!,3,FALSE),VLOOKUP(EKQ7,#REF!,4,FALSE)),0)</f>
        <v/>
      </c>
      <c r="EKR1">
        <f>IFERROR(IF((ISBLANK(VLOOKUP(EKR7,#REF!,4,FALSE)))=TRUE,VLOOKUP(EKR7,#REF!,3,FALSE),VLOOKUP(EKR7,#REF!,4,FALSE)),0)</f>
        <v/>
      </c>
      <c r="EKS1">
        <f>IFERROR(IF((ISBLANK(VLOOKUP(EKS7,#REF!,4,FALSE)))=TRUE,VLOOKUP(EKS7,#REF!,3,FALSE),VLOOKUP(EKS7,#REF!,4,FALSE)),0)</f>
        <v/>
      </c>
      <c r="EKT1">
        <f>IFERROR(IF((ISBLANK(VLOOKUP(EKT7,#REF!,4,FALSE)))=TRUE,VLOOKUP(EKT7,#REF!,3,FALSE),VLOOKUP(EKT7,#REF!,4,FALSE)),0)</f>
        <v/>
      </c>
      <c r="EKU1">
        <f>IFERROR(IF((ISBLANK(VLOOKUP(EKU7,#REF!,4,FALSE)))=TRUE,VLOOKUP(EKU7,#REF!,3,FALSE),VLOOKUP(EKU7,#REF!,4,FALSE)),0)</f>
        <v/>
      </c>
      <c r="EKV1">
        <f>IFERROR(IF((ISBLANK(VLOOKUP(EKV7,#REF!,4,FALSE)))=TRUE,VLOOKUP(EKV7,#REF!,3,FALSE),VLOOKUP(EKV7,#REF!,4,FALSE)),0)</f>
        <v/>
      </c>
      <c r="EKW1">
        <f>IFERROR(IF((ISBLANK(VLOOKUP(EKW7,#REF!,4,FALSE)))=TRUE,VLOOKUP(EKW7,#REF!,3,FALSE),VLOOKUP(EKW7,#REF!,4,FALSE)),0)</f>
        <v/>
      </c>
      <c r="EKX1">
        <f>IFERROR(IF((ISBLANK(VLOOKUP(EKX7,#REF!,4,FALSE)))=TRUE,VLOOKUP(EKX7,#REF!,3,FALSE),VLOOKUP(EKX7,#REF!,4,FALSE)),0)</f>
        <v/>
      </c>
      <c r="EKY1">
        <f>IFERROR(IF((ISBLANK(VLOOKUP(EKY7,#REF!,4,FALSE)))=TRUE,VLOOKUP(EKY7,#REF!,3,FALSE),VLOOKUP(EKY7,#REF!,4,FALSE)),0)</f>
        <v/>
      </c>
      <c r="EKZ1">
        <f>IFERROR(IF((ISBLANK(VLOOKUP(EKZ7,#REF!,4,FALSE)))=TRUE,VLOOKUP(EKZ7,#REF!,3,FALSE),VLOOKUP(EKZ7,#REF!,4,FALSE)),0)</f>
        <v/>
      </c>
      <c r="ELA1">
        <f>IFERROR(IF((ISBLANK(VLOOKUP(ELA7,#REF!,4,FALSE)))=TRUE,VLOOKUP(ELA7,#REF!,3,FALSE),VLOOKUP(ELA7,#REF!,4,FALSE)),0)</f>
        <v/>
      </c>
      <c r="ELB1">
        <f>IFERROR(IF((ISBLANK(VLOOKUP(ELB7,#REF!,4,FALSE)))=TRUE,VLOOKUP(ELB7,#REF!,3,FALSE),VLOOKUP(ELB7,#REF!,4,FALSE)),0)</f>
        <v/>
      </c>
      <c r="ELC1">
        <f>IFERROR(IF((ISBLANK(VLOOKUP(ELC7,#REF!,4,FALSE)))=TRUE,VLOOKUP(ELC7,#REF!,3,FALSE),VLOOKUP(ELC7,#REF!,4,FALSE)),0)</f>
        <v/>
      </c>
      <c r="ELD1">
        <f>IFERROR(IF((ISBLANK(VLOOKUP(ELD7,#REF!,4,FALSE)))=TRUE,VLOOKUP(ELD7,#REF!,3,FALSE),VLOOKUP(ELD7,#REF!,4,FALSE)),0)</f>
        <v/>
      </c>
      <c r="ELE1">
        <f>IFERROR(IF((ISBLANK(VLOOKUP(ELE7,#REF!,4,FALSE)))=TRUE,VLOOKUP(ELE7,#REF!,3,FALSE),VLOOKUP(ELE7,#REF!,4,FALSE)),0)</f>
        <v/>
      </c>
      <c r="ELF1">
        <f>IFERROR(IF((ISBLANK(VLOOKUP(ELF7,#REF!,4,FALSE)))=TRUE,VLOOKUP(ELF7,#REF!,3,FALSE),VLOOKUP(ELF7,#REF!,4,FALSE)),0)</f>
        <v/>
      </c>
      <c r="ELG1">
        <f>IFERROR(IF((ISBLANK(VLOOKUP(ELG7,#REF!,4,FALSE)))=TRUE,VLOOKUP(ELG7,#REF!,3,FALSE),VLOOKUP(ELG7,#REF!,4,FALSE)),0)</f>
        <v/>
      </c>
      <c r="ELH1">
        <f>IFERROR(IF((ISBLANK(VLOOKUP(ELH7,#REF!,4,FALSE)))=TRUE,VLOOKUP(ELH7,#REF!,3,FALSE),VLOOKUP(ELH7,#REF!,4,FALSE)),0)</f>
        <v/>
      </c>
      <c r="ELI1">
        <f>IFERROR(IF((ISBLANK(VLOOKUP(ELI7,#REF!,4,FALSE)))=TRUE,VLOOKUP(ELI7,#REF!,3,FALSE),VLOOKUP(ELI7,#REF!,4,FALSE)),0)</f>
        <v/>
      </c>
      <c r="ELJ1">
        <f>IFERROR(IF((ISBLANK(VLOOKUP(ELJ7,#REF!,4,FALSE)))=TRUE,VLOOKUP(ELJ7,#REF!,3,FALSE),VLOOKUP(ELJ7,#REF!,4,FALSE)),0)</f>
        <v/>
      </c>
      <c r="ELK1">
        <f>IFERROR(IF((ISBLANK(VLOOKUP(ELK7,#REF!,4,FALSE)))=TRUE,VLOOKUP(ELK7,#REF!,3,FALSE),VLOOKUP(ELK7,#REF!,4,FALSE)),0)</f>
        <v/>
      </c>
      <c r="ELL1">
        <f>IFERROR(IF((ISBLANK(VLOOKUP(ELL7,#REF!,4,FALSE)))=TRUE,VLOOKUP(ELL7,#REF!,3,FALSE),VLOOKUP(ELL7,#REF!,4,FALSE)),0)</f>
        <v/>
      </c>
      <c r="ELM1">
        <f>IFERROR(IF((ISBLANK(VLOOKUP(ELM7,#REF!,4,FALSE)))=TRUE,VLOOKUP(ELM7,#REF!,3,FALSE),VLOOKUP(ELM7,#REF!,4,FALSE)),0)</f>
        <v/>
      </c>
      <c r="ELN1">
        <f>IFERROR(IF((ISBLANK(VLOOKUP(ELN7,#REF!,4,FALSE)))=TRUE,VLOOKUP(ELN7,#REF!,3,FALSE),VLOOKUP(ELN7,#REF!,4,FALSE)),0)</f>
        <v/>
      </c>
      <c r="ELO1">
        <f>IFERROR(IF((ISBLANK(VLOOKUP(ELO7,#REF!,4,FALSE)))=TRUE,VLOOKUP(ELO7,#REF!,3,FALSE),VLOOKUP(ELO7,#REF!,4,FALSE)),0)</f>
        <v/>
      </c>
      <c r="ELP1">
        <f>IFERROR(IF((ISBLANK(VLOOKUP(ELP7,#REF!,4,FALSE)))=TRUE,VLOOKUP(ELP7,#REF!,3,FALSE),VLOOKUP(ELP7,#REF!,4,FALSE)),0)</f>
        <v/>
      </c>
      <c r="ELQ1">
        <f>IFERROR(IF((ISBLANK(VLOOKUP(ELQ7,#REF!,4,FALSE)))=TRUE,VLOOKUP(ELQ7,#REF!,3,FALSE),VLOOKUP(ELQ7,#REF!,4,FALSE)),0)</f>
        <v/>
      </c>
      <c r="ELR1">
        <f>IFERROR(IF((ISBLANK(VLOOKUP(ELR7,#REF!,4,FALSE)))=TRUE,VLOOKUP(ELR7,#REF!,3,FALSE),VLOOKUP(ELR7,#REF!,4,FALSE)),0)</f>
        <v/>
      </c>
      <c r="ELS1">
        <f>IFERROR(IF((ISBLANK(VLOOKUP(ELS7,#REF!,4,FALSE)))=TRUE,VLOOKUP(ELS7,#REF!,3,FALSE),VLOOKUP(ELS7,#REF!,4,FALSE)),0)</f>
        <v/>
      </c>
      <c r="ELT1">
        <f>IFERROR(IF((ISBLANK(VLOOKUP(ELT7,#REF!,4,FALSE)))=TRUE,VLOOKUP(ELT7,#REF!,3,FALSE),VLOOKUP(ELT7,#REF!,4,FALSE)),0)</f>
        <v/>
      </c>
      <c r="ELU1">
        <f>IFERROR(IF((ISBLANK(VLOOKUP(ELU7,#REF!,4,FALSE)))=TRUE,VLOOKUP(ELU7,#REF!,3,FALSE),VLOOKUP(ELU7,#REF!,4,FALSE)),0)</f>
        <v/>
      </c>
      <c r="ELV1">
        <f>IFERROR(IF((ISBLANK(VLOOKUP(ELV7,#REF!,4,FALSE)))=TRUE,VLOOKUP(ELV7,#REF!,3,FALSE),VLOOKUP(ELV7,#REF!,4,FALSE)),0)</f>
        <v/>
      </c>
      <c r="ELW1">
        <f>IFERROR(IF((ISBLANK(VLOOKUP(ELW7,#REF!,4,FALSE)))=TRUE,VLOOKUP(ELW7,#REF!,3,FALSE),VLOOKUP(ELW7,#REF!,4,FALSE)),0)</f>
        <v/>
      </c>
      <c r="ELX1">
        <f>IFERROR(IF((ISBLANK(VLOOKUP(ELX7,#REF!,4,FALSE)))=TRUE,VLOOKUP(ELX7,#REF!,3,FALSE),VLOOKUP(ELX7,#REF!,4,FALSE)),0)</f>
        <v/>
      </c>
      <c r="ELY1">
        <f>IFERROR(IF((ISBLANK(VLOOKUP(ELY7,#REF!,4,FALSE)))=TRUE,VLOOKUP(ELY7,#REF!,3,FALSE),VLOOKUP(ELY7,#REF!,4,FALSE)),0)</f>
        <v/>
      </c>
      <c r="ELZ1">
        <f>IFERROR(IF((ISBLANK(VLOOKUP(ELZ7,#REF!,4,FALSE)))=TRUE,VLOOKUP(ELZ7,#REF!,3,FALSE),VLOOKUP(ELZ7,#REF!,4,FALSE)),0)</f>
        <v/>
      </c>
      <c r="EMA1">
        <f>IFERROR(IF((ISBLANK(VLOOKUP(EMA7,#REF!,4,FALSE)))=TRUE,VLOOKUP(EMA7,#REF!,3,FALSE),VLOOKUP(EMA7,#REF!,4,FALSE)),0)</f>
        <v/>
      </c>
      <c r="EMB1">
        <f>IFERROR(IF((ISBLANK(VLOOKUP(EMB7,#REF!,4,FALSE)))=TRUE,VLOOKUP(EMB7,#REF!,3,FALSE),VLOOKUP(EMB7,#REF!,4,FALSE)),0)</f>
        <v/>
      </c>
      <c r="EMC1">
        <f>IFERROR(IF((ISBLANK(VLOOKUP(EMC7,#REF!,4,FALSE)))=TRUE,VLOOKUP(EMC7,#REF!,3,FALSE),VLOOKUP(EMC7,#REF!,4,FALSE)),0)</f>
        <v/>
      </c>
      <c r="EMD1">
        <f>IFERROR(IF((ISBLANK(VLOOKUP(EMD7,#REF!,4,FALSE)))=TRUE,VLOOKUP(EMD7,#REF!,3,FALSE),VLOOKUP(EMD7,#REF!,4,FALSE)),0)</f>
        <v/>
      </c>
      <c r="EME1">
        <f>IFERROR(IF((ISBLANK(VLOOKUP(EME7,#REF!,4,FALSE)))=TRUE,VLOOKUP(EME7,#REF!,3,FALSE),VLOOKUP(EME7,#REF!,4,FALSE)),0)</f>
        <v/>
      </c>
      <c r="EMF1">
        <f>IFERROR(IF((ISBLANK(VLOOKUP(EMF7,#REF!,4,FALSE)))=TRUE,VLOOKUP(EMF7,#REF!,3,FALSE),VLOOKUP(EMF7,#REF!,4,FALSE)),0)</f>
        <v/>
      </c>
      <c r="EMG1">
        <f>IFERROR(IF((ISBLANK(VLOOKUP(EMG7,#REF!,4,FALSE)))=TRUE,VLOOKUP(EMG7,#REF!,3,FALSE),VLOOKUP(EMG7,#REF!,4,FALSE)),0)</f>
        <v/>
      </c>
      <c r="EMH1">
        <f>IFERROR(IF((ISBLANK(VLOOKUP(EMH7,#REF!,4,FALSE)))=TRUE,VLOOKUP(EMH7,#REF!,3,FALSE),VLOOKUP(EMH7,#REF!,4,FALSE)),0)</f>
        <v/>
      </c>
      <c r="EMI1">
        <f>IFERROR(IF((ISBLANK(VLOOKUP(EMI7,#REF!,4,FALSE)))=TRUE,VLOOKUP(EMI7,#REF!,3,FALSE),VLOOKUP(EMI7,#REF!,4,FALSE)),0)</f>
        <v/>
      </c>
      <c r="EMJ1">
        <f>IFERROR(IF((ISBLANK(VLOOKUP(EMJ7,#REF!,4,FALSE)))=TRUE,VLOOKUP(EMJ7,#REF!,3,FALSE),VLOOKUP(EMJ7,#REF!,4,FALSE)),0)</f>
        <v/>
      </c>
      <c r="EMK1">
        <f>IFERROR(IF((ISBLANK(VLOOKUP(EMK7,#REF!,4,FALSE)))=TRUE,VLOOKUP(EMK7,#REF!,3,FALSE),VLOOKUP(EMK7,#REF!,4,FALSE)),0)</f>
        <v/>
      </c>
      <c r="EML1">
        <f>IFERROR(IF((ISBLANK(VLOOKUP(EML7,#REF!,4,FALSE)))=TRUE,VLOOKUP(EML7,#REF!,3,FALSE),VLOOKUP(EML7,#REF!,4,FALSE)),0)</f>
        <v/>
      </c>
      <c r="EMM1">
        <f>IFERROR(IF((ISBLANK(VLOOKUP(EMM7,#REF!,4,FALSE)))=TRUE,VLOOKUP(EMM7,#REF!,3,FALSE),VLOOKUP(EMM7,#REF!,4,FALSE)),0)</f>
        <v/>
      </c>
      <c r="EMN1">
        <f>IFERROR(IF((ISBLANK(VLOOKUP(EMN7,#REF!,4,FALSE)))=TRUE,VLOOKUP(EMN7,#REF!,3,FALSE),VLOOKUP(EMN7,#REF!,4,FALSE)),0)</f>
        <v/>
      </c>
      <c r="EMO1">
        <f>IFERROR(IF((ISBLANK(VLOOKUP(EMO7,#REF!,4,FALSE)))=TRUE,VLOOKUP(EMO7,#REF!,3,FALSE),VLOOKUP(EMO7,#REF!,4,FALSE)),0)</f>
        <v/>
      </c>
      <c r="EMP1">
        <f>IFERROR(IF((ISBLANK(VLOOKUP(EMP7,#REF!,4,FALSE)))=TRUE,VLOOKUP(EMP7,#REF!,3,FALSE),VLOOKUP(EMP7,#REF!,4,FALSE)),0)</f>
        <v/>
      </c>
      <c r="EMQ1">
        <f>IFERROR(IF((ISBLANK(VLOOKUP(EMQ7,#REF!,4,FALSE)))=TRUE,VLOOKUP(EMQ7,#REF!,3,FALSE),VLOOKUP(EMQ7,#REF!,4,FALSE)),0)</f>
        <v/>
      </c>
      <c r="EMR1">
        <f>IFERROR(IF((ISBLANK(VLOOKUP(EMR7,#REF!,4,FALSE)))=TRUE,VLOOKUP(EMR7,#REF!,3,FALSE),VLOOKUP(EMR7,#REF!,4,FALSE)),0)</f>
        <v/>
      </c>
      <c r="EMS1">
        <f>IFERROR(IF((ISBLANK(VLOOKUP(EMS7,#REF!,4,FALSE)))=TRUE,VLOOKUP(EMS7,#REF!,3,FALSE),VLOOKUP(EMS7,#REF!,4,FALSE)),0)</f>
        <v/>
      </c>
      <c r="EMT1">
        <f>IFERROR(IF((ISBLANK(VLOOKUP(EMT7,#REF!,4,FALSE)))=TRUE,VLOOKUP(EMT7,#REF!,3,FALSE),VLOOKUP(EMT7,#REF!,4,FALSE)),0)</f>
        <v/>
      </c>
      <c r="EMU1">
        <f>IFERROR(IF((ISBLANK(VLOOKUP(EMU7,#REF!,4,FALSE)))=TRUE,VLOOKUP(EMU7,#REF!,3,FALSE),VLOOKUP(EMU7,#REF!,4,FALSE)),0)</f>
        <v/>
      </c>
      <c r="EMV1">
        <f>IFERROR(IF((ISBLANK(VLOOKUP(EMV7,#REF!,4,FALSE)))=TRUE,VLOOKUP(EMV7,#REF!,3,FALSE),VLOOKUP(EMV7,#REF!,4,FALSE)),0)</f>
        <v/>
      </c>
      <c r="EMW1">
        <f>IFERROR(IF((ISBLANK(VLOOKUP(EMW7,#REF!,4,FALSE)))=TRUE,VLOOKUP(EMW7,#REF!,3,FALSE),VLOOKUP(EMW7,#REF!,4,FALSE)),0)</f>
        <v/>
      </c>
      <c r="EMX1">
        <f>IFERROR(IF((ISBLANK(VLOOKUP(EMX7,#REF!,4,FALSE)))=TRUE,VLOOKUP(EMX7,#REF!,3,FALSE),VLOOKUP(EMX7,#REF!,4,FALSE)),0)</f>
        <v/>
      </c>
      <c r="EMY1">
        <f>IFERROR(IF((ISBLANK(VLOOKUP(EMY7,#REF!,4,FALSE)))=TRUE,VLOOKUP(EMY7,#REF!,3,FALSE),VLOOKUP(EMY7,#REF!,4,FALSE)),0)</f>
        <v/>
      </c>
      <c r="EMZ1">
        <f>IFERROR(IF((ISBLANK(VLOOKUP(EMZ7,#REF!,4,FALSE)))=TRUE,VLOOKUP(EMZ7,#REF!,3,FALSE),VLOOKUP(EMZ7,#REF!,4,FALSE)),0)</f>
        <v/>
      </c>
      <c r="ENA1">
        <f>IFERROR(IF((ISBLANK(VLOOKUP(ENA7,#REF!,4,FALSE)))=TRUE,VLOOKUP(ENA7,#REF!,3,FALSE),VLOOKUP(ENA7,#REF!,4,FALSE)),0)</f>
        <v/>
      </c>
      <c r="ENB1">
        <f>IFERROR(IF((ISBLANK(VLOOKUP(ENB7,#REF!,4,FALSE)))=TRUE,VLOOKUP(ENB7,#REF!,3,FALSE),VLOOKUP(ENB7,#REF!,4,FALSE)),0)</f>
        <v/>
      </c>
      <c r="ENC1">
        <f>IFERROR(IF((ISBLANK(VLOOKUP(ENC7,#REF!,4,FALSE)))=TRUE,VLOOKUP(ENC7,#REF!,3,FALSE),VLOOKUP(ENC7,#REF!,4,FALSE)),0)</f>
        <v/>
      </c>
      <c r="END1">
        <f>IFERROR(IF((ISBLANK(VLOOKUP(END7,#REF!,4,FALSE)))=TRUE,VLOOKUP(END7,#REF!,3,FALSE),VLOOKUP(END7,#REF!,4,FALSE)),0)</f>
        <v/>
      </c>
      <c r="ENE1">
        <f>IFERROR(IF((ISBLANK(VLOOKUP(ENE7,#REF!,4,FALSE)))=TRUE,VLOOKUP(ENE7,#REF!,3,FALSE),VLOOKUP(ENE7,#REF!,4,FALSE)),0)</f>
        <v/>
      </c>
      <c r="ENF1">
        <f>IFERROR(IF((ISBLANK(VLOOKUP(ENF7,#REF!,4,FALSE)))=TRUE,VLOOKUP(ENF7,#REF!,3,FALSE),VLOOKUP(ENF7,#REF!,4,FALSE)),0)</f>
        <v/>
      </c>
      <c r="ENG1">
        <f>IFERROR(IF((ISBLANK(VLOOKUP(ENG7,#REF!,4,FALSE)))=TRUE,VLOOKUP(ENG7,#REF!,3,FALSE),VLOOKUP(ENG7,#REF!,4,FALSE)),0)</f>
        <v/>
      </c>
      <c r="ENH1">
        <f>IFERROR(IF((ISBLANK(VLOOKUP(ENH7,#REF!,4,FALSE)))=TRUE,VLOOKUP(ENH7,#REF!,3,FALSE),VLOOKUP(ENH7,#REF!,4,FALSE)),0)</f>
        <v/>
      </c>
      <c r="ENI1">
        <f>IFERROR(IF((ISBLANK(VLOOKUP(ENI7,#REF!,4,FALSE)))=TRUE,VLOOKUP(ENI7,#REF!,3,FALSE),VLOOKUP(ENI7,#REF!,4,FALSE)),0)</f>
        <v/>
      </c>
      <c r="ENJ1">
        <f>IFERROR(IF((ISBLANK(VLOOKUP(ENJ7,#REF!,4,FALSE)))=TRUE,VLOOKUP(ENJ7,#REF!,3,FALSE),VLOOKUP(ENJ7,#REF!,4,FALSE)),0)</f>
        <v/>
      </c>
      <c r="ENK1">
        <f>IFERROR(IF((ISBLANK(VLOOKUP(ENK7,#REF!,4,FALSE)))=TRUE,VLOOKUP(ENK7,#REF!,3,FALSE),VLOOKUP(ENK7,#REF!,4,FALSE)),0)</f>
        <v/>
      </c>
      <c r="ENL1">
        <f>IFERROR(IF((ISBLANK(VLOOKUP(ENL7,#REF!,4,FALSE)))=TRUE,VLOOKUP(ENL7,#REF!,3,FALSE),VLOOKUP(ENL7,#REF!,4,FALSE)),0)</f>
        <v/>
      </c>
      <c r="ENM1">
        <f>IFERROR(IF((ISBLANK(VLOOKUP(ENM7,#REF!,4,FALSE)))=TRUE,VLOOKUP(ENM7,#REF!,3,FALSE),VLOOKUP(ENM7,#REF!,4,FALSE)),0)</f>
        <v/>
      </c>
      <c r="ENN1">
        <f>IFERROR(IF((ISBLANK(VLOOKUP(ENN7,#REF!,4,FALSE)))=TRUE,VLOOKUP(ENN7,#REF!,3,FALSE),VLOOKUP(ENN7,#REF!,4,FALSE)),0)</f>
        <v/>
      </c>
      <c r="ENO1">
        <f>IFERROR(IF((ISBLANK(VLOOKUP(ENO7,#REF!,4,FALSE)))=TRUE,VLOOKUP(ENO7,#REF!,3,FALSE),VLOOKUP(ENO7,#REF!,4,FALSE)),0)</f>
        <v/>
      </c>
      <c r="ENP1">
        <f>IFERROR(IF((ISBLANK(VLOOKUP(ENP7,#REF!,4,FALSE)))=TRUE,VLOOKUP(ENP7,#REF!,3,FALSE),VLOOKUP(ENP7,#REF!,4,FALSE)),0)</f>
        <v/>
      </c>
      <c r="ENQ1">
        <f>IFERROR(IF((ISBLANK(VLOOKUP(ENQ7,#REF!,4,FALSE)))=TRUE,VLOOKUP(ENQ7,#REF!,3,FALSE),VLOOKUP(ENQ7,#REF!,4,FALSE)),0)</f>
        <v/>
      </c>
      <c r="ENR1">
        <f>IFERROR(IF((ISBLANK(VLOOKUP(ENR7,#REF!,4,FALSE)))=TRUE,VLOOKUP(ENR7,#REF!,3,FALSE),VLOOKUP(ENR7,#REF!,4,FALSE)),0)</f>
        <v/>
      </c>
      <c r="ENS1">
        <f>IFERROR(IF((ISBLANK(VLOOKUP(ENS7,#REF!,4,FALSE)))=TRUE,VLOOKUP(ENS7,#REF!,3,FALSE),VLOOKUP(ENS7,#REF!,4,FALSE)),0)</f>
        <v/>
      </c>
      <c r="ENT1">
        <f>IFERROR(IF((ISBLANK(VLOOKUP(ENT7,#REF!,4,FALSE)))=TRUE,VLOOKUP(ENT7,#REF!,3,FALSE),VLOOKUP(ENT7,#REF!,4,FALSE)),0)</f>
        <v/>
      </c>
      <c r="ENU1">
        <f>IFERROR(IF((ISBLANK(VLOOKUP(ENU7,#REF!,4,FALSE)))=TRUE,VLOOKUP(ENU7,#REF!,3,FALSE),VLOOKUP(ENU7,#REF!,4,FALSE)),0)</f>
        <v/>
      </c>
      <c r="ENV1">
        <f>IFERROR(IF((ISBLANK(VLOOKUP(ENV7,#REF!,4,FALSE)))=TRUE,VLOOKUP(ENV7,#REF!,3,FALSE),VLOOKUP(ENV7,#REF!,4,FALSE)),0)</f>
        <v/>
      </c>
      <c r="ENW1">
        <f>IFERROR(IF((ISBLANK(VLOOKUP(ENW7,#REF!,4,FALSE)))=TRUE,VLOOKUP(ENW7,#REF!,3,FALSE),VLOOKUP(ENW7,#REF!,4,FALSE)),0)</f>
        <v/>
      </c>
      <c r="ENX1">
        <f>IFERROR(IF((ISBLANK(VLOOKUP(ENX7,#REF!,4,FALSE)))=TRUE,VLOOKUP(ENX7,#REF!,3,FALSE),VLOOKUP(ENX7,#REF!,4,FALSE)),0)</f>
        <v/>
      </c>
      <c r="ENY1">
        <f>IFERROR(IF((ISBLANK(VLOOKUP(ENY7,#REF!,4,FALSE)))=TRUE,VLOOKUP(ENY7,#REF!,3,FALSE),VLOOKUP(ENY7,#REF!,4,FALSE)),0)</f>
        <v/>
      </c>
      <c r="ENZ1">
        <f>IFERROR(IF((ISBLANK(VLOOKUP(ENZ7,#REF!,4,FALSE)))=TRUE,VLOOKUP(ENZ7,#REF!,3,FALSE),VLOOKUP(ENZ7,#REF!,4,FALSE)),0)</f>
        <v/>
      </c>
      <c r="EOA1">
        <f>IFERROR(IF((ISBLANK(VLOOKUP(EOA7,#REF!,4,FALSE)))=TRUE,VLOOKUP(EOA7,#REF!,3,FALSE),VLOOKUP(EOA7,#REF!,4,FALSE)),0)</f>
        <v/>
      </c>
      <c r="EOB1">
        <f>IFERROR(IF((ISBLANK(VLOOKUP(EOB7,#REF!,4,FALSE)))=TRUE,VLOOKUP(EOB7,#REF!,3,FALSE),VLOOKUP(EOB7,#REF!,4,FALSE)),0)</f>
        <v/>
      </c>
      <c r="EOC1">
        <f>IFERROR(IF((ISBLANK(VLOOKUP(EOC7,#REF!,4,FALSE)))=TRUE,VLOOKUP(EOC7,#REF!,3,FALSE),VLOOKUP(EOC7,#REF!,4,FALSE)),0)</f>
        <v/>
      </c>
      <c r="EOD1">
        <f>IFERROR(IF((ISBLANK(VLOOKUP(EOD7,#REF!,4,FALSE)))=TRUE,VLOOKUP(EOD7,#REF!,3,FALSE),VLOOKUP(EOD7,#REF!,4,FALSE)),0)</f>
        <v/>
      </c>
      <c r="EOE1">
        <f>IFERROR(IF((ISBLANK(VLOOKUP(EOE7,#REF!,4,FALSE)))=TRUE,VLOOKUP(EOE7,#REF!,3,FALSE),VLOOKUP(EOE7,#REF!,4,FALSE)),0)</f>
        <v/>
      </c>
      <c r="EOF1">
        <f>IFERROR(IF((ISBLANK(VLOOKUP(EOF7,#REF!,4,FALSE)))=TRUE,VLOOKUP(EOF7,#REF!,3,FALSE),VLOOKUP(EOF7,#REF!,4,FALSE)),0)</f>
        <v/>
      </c>
      <c r="EOG1">
        <f>IFERROR(IF((ISBLANK(VLOOKUP(EOG7,#REF!,4,FALSE)))=TRUE,VLOOKUP(EOG7,#REF!,3,FALSE),VLOOKUP(EOG7,#REF!,4,FALSE)),0)</f>
        <v/>
      </c>
      <c r="EOH1">
        <f>IFERROR(IF((ISBLANK(VLOOKUP(EOH7,#REF!,4,FALSE)))=TRUE,VLOOKUP(EOH7,#REF!,3,FALSE),VLOOKUP(EOH7,#REF!,4,FALSE)),0)</f>
        <v/>
      </c>
      <c r="EOI1">
        <f>IFERROR(IF((ISBLANK(VLOOKUP(EOI7,#REF!,4,FALSE)))=TRUE,VLOOKUP(EOI7,#REF!,3,FALSE),VLOOKUP(EOI7,#REF!,4,FALSE)),0)</f>
        <v/>
      </c>
      <c r="EOJ1">
        <f>IFERROR(IF((ISBLANK(VLOOKUP(EOJ7,#REF!,4,FALSE)))=TRUE,VLOOKUP(EOJ7,#REF!,3,FALSE),VLOOKUP(EOJ7,#REF!,4,FALSE)),0)</f>
        <v/>
      </c>
      <c r="EOK1">
        <f>IFERROR(IF((ISBLANK(VLOOKUP(EOK7,#REF!,4,FALSE)))=TRUE,VLOOKUP(EOK7,#REF!,3,FALSE),VLOOKUP(EOK7,#REF!,4,FALSE)),0)</f>
        <v/>
      </c>
      <c r="EOL1">
        <f>IFERROR(IF((ISBLANK(VLOOKUP(EOL7,#REF!,4,FALSE)))=TRUE,VLOOKUP(EOL7,#REF!,3,FALSE),VLOOKUP(EOL7,#REF!,4,FALSE)),0)</f>
        <v/>
      </c>
      <c r="EOM1">
        <f>IFERROR(IF((ISBLANK(VLOOKUP(EOM7,#REF!,4,FALSE)))=TRUE,VLOOKUP(EOM7,#REF!,3,FALSE),VLOOKUP(EOM7,#REF!,4,FALSE)),0)</f>
        <v/>
      </c>
      <c r="EON1">
        <f>IFERROR(IF((ISBLANK(VLOOKUP(EON7,#REF!,4,FALSE)))=TRUE,VLOOKUP(EON7,#REF!,3,FALSE),VLOOKUP(EON7,#REF!,4,FALSE)),0)</f>
        <v/>
      </c>
      <c r="EOO1">
        <f>IFERROR(IF((ISBLANK(VLOOKUP(EOO7,#REF!,4,FALSE)))=TRUE,VLOOKUP(EOO7,#REF!,3,FALSE),VLOOKUP(EOO7,#REF!,4,FALSE)),0)</f>
        <v/>
      </c>
      <c r="EOP1">
        <f>IFERROR(IF((ISBLANK(VLOOKUP(EOP7,#REF!,4,FALSE)))=TRUE,VLOOKUP(EOP7,#REF!,3,FALSE),VLOOKUP(EOP7,#REF!,4,FALSE)),0)</f>
        <v/>
      </c>
      <c r="EOQ1">
        <f>IFERROR(IF((ISBLANK(VLOOKUP(EOQ7,#REF!,4,FALSE)))=TRUE,VLOOKUP(EOQ7,#REF!,3,FALSE),VLOOKUP(EOQ7,#REF!,4,FALSE)),0)</f>
        <v/>
      </c>
      <c r="EOR1">
        <f>IFERROR(IF((ISBLANK(VLOOKUP(EOR7,#REF!,4,FALSE)))=TRUE,VLOOKUP(EOR7,#REF!,3,FALSE),VLOOKUP(EOR7,#REF!,4,FALSE)),0)</f>
        <v/>
      </c>
      <c r="EOS1">
        <f>IFERROR(IF((ISBLANK(VLOOKUP(EOS7,#REF!,4,FALSE)))=TRUE,VLOOKUP(EOS7,#REF!,3,FALSE),VLOOKUP(EOS7,#REF!,4,FALSE)),0)</f>
        <v/>
      </c>
      <c r="EOT1">
        <f>IFERROR(IF((ISBLANK(VLOOKUP(EOT7,#REF!,4,FALSE)))=TRUE,VLOOKUP(EOT7,#REF!,3,FALSE),VLOOKUP(EOT7,#REF!,4,FALSE)),0)</f>
        <v/>
      </c>
      <c r="EOU1">
        <f>IFERROR(IF((ISBLANK(VLOOKUP(EOU7,#REF!,4,FALSE)))=TRUE,VLOOKUP(EOU7,#REF!,3,FALSE),VLOOKUP(EOU7,#REF!,4,FALSE)),0)</f>
        <v/>
      </c>
      <c r="EOV1">
        <f>IFERROR(IF((ISBLANK(VLOOKUP(EOV7,#REF!,4,FALSE)))=TRUE,VLOOKUP(EOV7,#REF!,3,FALSE),VLOOKUP(EOV7,#REF!,4,FALSE)),0)</f>
        <v/>
      </c>
      <c r="EOW1">
        <f>IFERROR(IF((ISBLANK(VLOOKUP(EOW7,#REF!,4,FALSE)))=TRUE,VLOOKUP(EOW7,#REF!,3,FALSE),VLOOKUP(EOW7,#REF!,4,FALSE)),0)</f>
        <v/>
      </c>
      <c r="EOX1">
        <f>IFERROR(IF((ISBLANK(VLOOKUP(EOX7,#REF!,4,FALSE)))=TRUE,VLOOKUP(EOX7,#REF!,3,FALSE),VLOOKUP(EOX7,#REF!,4,FALSE)),0)</f>
        <v/>
      </c>
      <c r="EOY1">
        <f>IFERROR(IF((ISBLANK(VLOOKUP(EOY7,#REF!,4,FALSE)))=TRUE,VLOOKUP(EOY7,#REF!,3,FALSE),VLOOKUP(EOY7,#REF!,4,FALSE)),0)</f>
        <v/>
      </c>
      <c r="EOZ1">
        <f>IFERROR(IF((ISBLANK(VLOOKUP(EOZ7,#REF!,4,FALSE)))=TRUE,VLOOKUP(EOZ7,#REF!,3,FALSE),VLOOKUP(EOZ7,#REF!,4,FALSE)),0)</f>
        <v/>
      </c>
      <c r="EPA1">
        <f>IFERROR(IF((ISBLANK(VLOOKUP(EPA7,#REF!,4,FALSE)))=TRUE,VLOOKUP(EPA7,#REF!,3,FALSE),VLOOKUP(EPA7,#REF!,4,FALSE)),0)</f>
        <v/>
      </c>
      <c r="EPB1">
        <f>IFERROR(IF((ISBLANK(VLOOKUP(EPB7,#REF!,4,FALSE)))=TRUE,VLOOKUP(EPB7,#REF!,3,FALSE),VLOOKUP(EPB7,#REF!,4,FALSE)),0)</f>
        <v/>
      </c>
      <c r="EPC1">
        <f>IFERROR(IF((ISBLANK(VLOOKUP(EPC7,#REF!,4,FALSE)))=TRUE,VLOOKUP(EPC7,#REF!,3,FALSE),VLOOKUP(EPC7,#REF!,4,FALSE)),0)</f>
        <v/>
      </c>
      <c r="EPD1">
        <f>IFERROR(IF((ISBLANK(VLOOKUP(EPD7,#REF!,4,FALSE)))=TRUE,VLOOKUP(EPD7,#REF!,3,FALSE),VLOOKUP(EPD7,#REF!,4,FALSE)),0)</f>
        <v/>
      </c>
      <c r="EPE1">
        <f>IFERROR(IF((ISBLANK(VLOOKUP(EPE7,#REF!,4,FALSE)))=TRUE,VLOOKUP(EPE7,#REF!,3,FALSE),VLOOKUP(EPE7,#REF!,4,FALSE)),0)</f>
        <v/>
      </c>
      <c r="EPF1">
        <f>IFERROR(IF((ISBLANK(VLOOKUP(EPF7,#REF!,4,FALSE)))=TRUE,VLOOKUP(EPF7,#REF!,3,FALSE),VLOOKUP(EPF7,#REF!,4,FALSE)),0)</f>
        <v/>
      </c>
      <c r="EPG1">
        <f>IFERROR(IF((ISBLANK(VLOOKUP(EPG7,#REF!,4,FALSE)))=TRUE,VLOOKUP(EPG7,#REF!,3,FALSE),VLOOKUP(EPG7,#REF!,4,FALSE)),0)</f>
        <v/>
      </c>
      <c r="EPH1">
        <f>IFERROR(IF((ISBLANK(VLOOKUP(EPH7,#REF!,4,FALSE)))=TRUE,VLOOKUP(EPH7,#REF!,3,FALSE),VLOOKUP(EPH7,#REF!,4,FALSE)),0)</f>
        <v/>
      </c>
      <c r="EPI1">
        <f>IFERROR(IF((ISBLANK(VLOOKUP(EPI7,#REF!,4,FALSE)))=TRUE,VLOOKUP(EPI7,#REF!,3,FALSE),VLOOKUP(EPI7,#REF!,4,FALSE)),0)</f>
        <v/>
      </c>
      <c r="EPJ1">
        <f>IFERROR(IF((ISBLANK(VLOOKUP(EPJ7,#REF!,4,FALSE)))=TRUE,VLOOKUP(EPJ7,#REF!,3,FALSE),VLOOKUP(EPJ7,#REF!,4,FALSE)),0)</f>
        <v/>
      </c>
      <c r="EPK1">
        <f>IFERROR(IF((ISBLANK(VLOOKUP(EPK7,#REF!,4,FALSE)))=TRUE,VLOOKUP(EPK7,#REF!,3,FALSE),VLOOKUP(EPK7,#REF!,4,FALSE)),0)</f>
        <v/>
      </c>
      <c r="EPL1">
        <f>IFERROR(IF((ISBLANK(VLOOKUP(EPL7,#REF!,4,FALSE)))=TRUE,VLOOKUP(EPL7,#REF!,3,FALSE),VLOOKUP(EPL7,#REF!,4,FALSE)),0)</f>
        <v/>
      </c>
      <c r="EPM1">
        <f>IFERROR(IF((ISBLANK(VLOOKUP(EPM7,#REF!,4,FALSE)))=TRUE,VLOOKUP(EPM7,#REF!,3,FALSE),VLOOKUP(EPM7,#REF!,4,FALSE)),0)</f>
        <v/>
      </c>
      <c r="EPN1">
        <f>IFERROR(IF((ISBLANK(VLOOKUP(EPN7,#REF!,4,FALSE)))=TRUE,VLOOKUP(EPN7,#REF!,3,FALSE),VLOOKUP(EPN7,#REF!,4,FALSE)),0)</f>
        <v/>
      </c>
      <c r="EPO1">
        <f>IFERROR(IF((ISBLANK(VLOOKUP(EPO7,#REF!,4,FALSE)))=TRUE,VLOOKUP(EPO7,#REF!,3,FALSE),VLOOKUP(EPO7,#REF!,4,FALSE)),0)</f>
        <v/>
      </c>
      <c r="EPP1">
        <f>IFERROR(IF((ISBLANK(VLOOKUP(EPP7,#REF!,4,FALSE)))=TRUE,VLOOKUP(EPP7,#REF!,3,FALSE),VLOOKUP(EPP7,#REF!,4,FALSE)),0)</f>
        <v/>
      </c>
      <c r="EPQ1">
        <f>IFERROR(IF((ISBLANK(VLOOKUP(EPQ7,#REF!,4,FALSE)))=TRUE,VLOOKUP(EPQ7,#REF!,3,FALSE),VLOOKUP(EPQ7,#REF!,4,FALSE)),0)</f>
        <v/>
      </c>
      <c r="EPR1">
        <f>IFERROR(IF((ISBLANK(VLOOKUP(EPR7,#REF!,4,FALSE)))=TRUE,VLOOKUP(EPR7,#REF!,3,FALSE),VLOOKUP(EPR7,#REF!,4,FALSE)),0)</f>
        <v/>
      </c>
      <c r="EPS1">
        <f>IFERROR(IF((ISBLANK(VLOOKUP(EPS7,#REF!,4,FALSE)))=TRUE,VLOOKUP(EPS7,#REF!,3,FALSE),VLOOKUP(EPS7,#REF!,4,FALSE)),0)</f>
        <v/>
      </c>
      <c r="EPT1">
        <f>IFERROR(IF((ISBLANK(VLOOKUP(EPT7,#REF!,4,FALSE)))=TRUE,VLOOKUP(EPT7,#REF!,3,FALSE),VLOOKUP(EPT7,#REF!,4,FALSE)),0)</f>
        <v/>
      </c>
      <c r="EPU1">
        <f>IFERROR(IF((ISBLANK(VLOOKUP(EPU7,#REF!,4,FALSE)))=TRUE,VLOOKUP(EPU7,#REF!,3,FALSE),VLOOKUP(EPU7,#REF!,4,FALSE)),0)</f>
        <v/>
      </c>
      <c r="EPV1">
        <f>IFERROR(IF((ISBLANK(VLOOKUP(EPV7,#REF!,4,FALSE)))=TRUE,VLOOKUP(EPV7,#REF!,3,FALSE),VLOOKUP(EPV7,#REF!,4,FALSE)),0)</f>
        <v/>
      </c>
      <c r="EPW1">
        <f>IFERROR(IF((ISBLANK(VLOOKUP(EPW7,#REF!,4,FALSE)))=TRUE,VLOOKUP(EPW7,#REF!,3,FALSE),VLOOKUP(EPW7,#REF!,4,FALSE)),0)</f>
        <v/>
      </c>
      <c r="EPX1">
        <f>IFERROR(IF((ISBLANK(VLOOKUP(EPX7,#REF!,4,FALSE)))=TRUE,VLOOKUP(EPX7,#REF!,3,FALSE),VLOOKUP(EPX7,#REF!,4,FALSE)),0)</f>
        <v/>
      </c>
      <c r="EPY1">
        <f>IFERROR(IF((ISBLANK(VLOOKUP(EPY7,#REF!,4,FALSE)))=TRUE,VLOOKUP(EPY7,#REF!,3,FALSE),VLOOKUP(EPY7,#REF!,4,FALSE)),0)</f>
        <v/>
      </c>
      <c r="EPZ1">
        <f>IFERROR(IF((ISBLANK(VLOOKUP(EPZ7,#REF!,4,FALSE)))=TRUE,VLOOKUP(EPZ7,#REF!,3,FALSE),VLOOKUP(EPZ7,#REF!,4,FALSE)),0)</f>
        <v/>
      </c>
      <c r="EQA1">
        <f>IFERROR(IF((ISBLANK(VLOOKUP(EQA7,#REF!,4,FALSE)))=TRUE,VLOOKUP(EQA7,#REF!,3,FALSE),VLOOKUP(EQA7,#REF!,4,FALSE)),0)</f>
        <v/>
      </c>
      <c r="EQB1">
        <f>IFERROR(IF((ISBLANK(VLOOKUP(EQB7,#REF!,4,FALSE)))=TRUE,VLOOKUP(EQB7,#REF!,3,FALSE),VLOOKUP(EQB7,#REF!,4,FALSE)),0)</f>
        <v/>
      </c>
      <c r="EQC1">
        <f>IFERROR(IF((ISBLANK(VLOOKUP(EQC7,#REF!,4,FALSE)))=TRUE,VLOOKUP(EQC7,#REF!,3,FALSE),VLOOKUP(EQC7,#REF!,4,FALSE)),0)</f>
        <v/>
      </c>
      <c r="EQD1">
        <f>IFERROR(IF((ISBLANK(VLOOKUP(EQD7,#REF!,4,FALSE)))=TRUE,VLOOKUP(EQD7,#REF!,3,FALSE),VLOOKUP(EQD7,#REF!,4,FALSE)),0)</f>
        <v/>
      </c>
      <c r="EQE1">
        <f>IFERROR(IF((ISBLANK(VLOOKUP(EQE7,#REF!,4,FALSE)))=TRUE,VLOOKUP(EQE7,#REF!,3,FALSE),VLOOKUP(EQE7,#REF!,4,FALSE)),0)</f>
        <v/>
      </c>
      <c r="EQF1">
        <f>IFERROR(IF((ISBLANK(VLOOKUP(EQF7,#REF!,4,FALSE)))=TRUE,VLOOKUP(EQF7,#REF!,3,FALSE),VLOOKUP(EQF7,#REF!,4,FALSE)),0)</f>
        <v/>
      </c>
      <c r="EQG1">
        <f>IFERROR(IF((ISBLANK(VLOOKUP(EQG7,#REF!,4,FALSE)))=TRUE,VLOOKUP(EQG7,#REF!,3,FALSE),VLOOKUP(EQG7,#REF!,4,FALSE)),0)</f>
        <v/>
      </c>
      <c r="EQH1">
        <f>IFERROR(IF((ISBLANK(VLOOKUP(EQH7,#REF!,4,FALSE)))=TRUE,VLOOKUP(EQH7,#REF!,3,FALSE),VLOOKUP(EQH7,#REF!,4,FALSE)),0)</f>
        <v/>
      </c>
      <c r="EQI1">
        <f>IFERROR(IF((ISBLANK(VLOOKUP(EQI7,#REF!,4,FALSE)))=TRUE,VLOOKUP(EQI7,#REF!,3,FALSE),VLOOKUP(EQI7,#REF!,4,FALSE)),0)</f>
        <v/>
      </c>
      <c r="EQJ1">
        <f>IFERROR(IF((ISBLANK(VLOOKUP(EQJ7,#REF!,4,FALSE)))=TRUE,VLOOKUP(EQJ7,#REF!,3,FALSE),VLOOKUP(EQJ7,#REF!,4,FALSE)),0)</f>
        <v/>
      </c>
      <c r="EQK1">
        <f>IFERROR(IF((ISBLANK(VLOOKUP(EQK7,#REF!,4,FALSE)))=TRUE,VLOOKUP(EQK7,#REF!,3,FALSE),VLOOKUP(EQK7,#REF!,4,FALSE)),0)</f>
        <v/>
      </c>
      <c r="EQL1">
        <f>IFERROR(IF((ISBLANK(VLOOKUP(EQL7,#REF!,4,FALSE)))=TRUE,VLOOKUP(EQL7,#REF!,3,FALSE),VLOOKUP(EQL7,#REF!,4,FALSE)),0)</f>
        <v/>
      </c>
      <c r="EQM1">
        <f>IFERROR(IF((ISBLANK(VLOOKUP(EQM7,#REF!,4,FALSE)))=TRUE,VLOOKUP(EQM7,#REF!,3,FALSE),VLOOKUP(EQM7,#REF!,4,FALSE)),0)</f>
        <v/>
      </c>
      <c r="EQN1">
        <f>IFERROR(IF((ISBLANK(VLOOKUP(EQN7,#REF!,4,FALSE)))=TRUE,VLOOKUP(EQN7,#REF!,3,FALSE),VLOOKUP(EQN7,#REF!,4,FALSE)),0)</f>
        <v/>
      </c>
      <c r="EQO1">
        <f>IFERROR(IF((ISBLANK(VLOOKUP(EQO7,#REF!,4,FALSE)))=TRUE,VLOOKUP(EQO7,#REF!,3,FALSE),VLOOKUP(EQO7,#REF!,4,FALSE)),0)</f>
        <v/>
      </c>
      <c r="EQP1">
        <f>IFERROR(IF((ISBLANK(VLOOKUP(EQP7,#REF!,4,FALSE)))=TRUE,VLOOKUP(EQP7,#REF!,3,FALSE),VLOOKUP(EQP7,#REF!,4,FALSE)),0)</f>
        <v/>
      </c>
      <c r="EQQ1">
        <f>IFERROR(IF((ISBLANK(VLOOKUP(EQQ7,#REF!,4,FALSE)))=TRUE,VLOOKUP(EQQ7,#REF!,3,FALSE),VLOOKUP(EQQ7,#REF!,4,FALSE)),0)</f>
        <v/>
      </c>
      <c r="EQR1">
        <f>IFERROR(IF((ISBLANK(VLOOKUP(EQR7,#REF!,4,FALSE)))=TRUE,VLOOKUP(EQR7,#REF!,3,FALSE),VLOOKUP(EQR7,#REF!,4,FALSE)),0)</f>
        <v/>
      </c>
      <c r="EQS1">
        <f>IFERROR(IF((ISBLANK(VLOOKUP(EQS7,#REF!,4,FALSE)))=TRUE,VLOOKUP(EQS7,#REF!,3,FALSE),VLOOKUP(EQS7,#REF!,4,FALSE)),0)</f>
        <v/>
      </c>
      <c r="EQT1">
        <f>IFERROR(IF((ISBLANK(VLOOKUP(EQT7,#REF!,4,FALSE)))=TRUE,VLOOKUP(EQT7,#REF!,3,FALSE),VLOOKUP(EQT7,#REF!,4,FALSE)),0)</f>
        <v/>
      </c>
      <c r="EQU1">
        <f>IFERROR(IF((ISBLANK(VLOOKUP(EQU7,#REF!,4,FALSE)))=TRUE,VLOOKUP(EQU7,#REF!,3,FALSE),VLOOKUP(EQU7,#REF!,4,FALSE)),0)</f>
        <v/>
      </c>
      <c r="EQV1">
        <f>IFERROR(IF((ISBLANK(VLOOKUP(EQV7,#REF!,4,FALSE)))=TRUE,VLOOKUP(EQV7,#REF!,3,FALSE),VLOOKUP(EQV7,#REF!,4,FALSE)),0)</f>
        <v/>
      </c>
      <c r="EQW1">
        <f>IFERROR(IF((ISBLANK(VLOOKUP(EQW7,#REF!,4,FALSE)))=TRUE,VLOOKUP(EQW7,#REF!,3,FALSE),VLOOKUP(EQW7,#REF!,4,FALSE)),0)</f>
        <v/>
      </c>
      <c r="EQX1">
        <f>IFERROR(IF((ISBLANK(VLOOKUP(EQX7,#REF!,4,FALSE)))=TRUE,VLOOKUP(EQX7,#REF!,3,FALSE),VLOOKUP(EQX7,#REF!,4,FALSE)),0)</f>
        <v/>
      </c>
      <c r="EQY1">
        <f>IFERROR(IF((ISBLANK(VLOOKUP(EQY7,#REF!,4,FALSE)))=TRUE,VLOOKUP(EQY7,#REF!,3,FALSE),VLOOKUP(EQY7,#REF!,4,FALSE)),0)</f>
        <v/>
      </c>
      <c r="EQZ1">
        <f>IFERROR(IF((ISBLANK(VLOOKUP(EQZ7,#REF!,4,FALSE)))=TRUE,VLOOKUP(EQZ7,#REF!,3,FALSE),VLOOKUP(EQZ7,#REF!,4,FALSE)),0)</f>
        <v/>
      </c>
      <c r="ERA1">
        <f>IFERROR(IF((ISBLANK(VLOOKUP(ERA7,#REF!,4,FALSE)))=TRUE,VLOOKUP(ERA7,#REF!,3,FALSE),VLOOKUP(ERA7,#REF!,4,FALSE)),0)</f>
        <v/>
      </c>
      <c r="ERB1">
        <f>IFERROR(IF((ISBLANK(VLOOKUP(ERB7,#REF!,4,FALSE)))=TRUE,VLOOKUP(ERB7,#REF!,3,FALSE),VLOOKUP(ERB7,#REF!,4,FALSE)),0)</f>
        <v/>
      </c>
      <c r="ERC1">
        <f>IFERROR(IF((ISBLANK(VLOOKUP(ERC7,#REF!,4,FALSE)))=TRUE,VLOOKUP(ERC7,#REF!,3,FALSE),VLOOKUP(ERC7,#REF!,4,FALSE)),0)</f>
        <v/>
      </c>
      <c r="ERD1">
        <f>IFERROR(IF((ISBLANK(VLOOKUP(ERD7,#REF!,4,FALSE)))=TRUE,VLOOKUP(ERD7,#REF!,3,FALSE),VLOOKUP(ERD7,#REF!,4,FALSE)),0)</f>
        <v/>
      </c>
      <c r="ERE1">
        <f>IFERROR(IF((ISBLANK(VLOOKUP(ERE7,#REF!,4,FALSE)))=TRUE,VLOOKUP(ERE7,#REF!,3,FALSE),VLOOKUP(ERE7,#REF!,4,FALSE)),0)</f>
        <v/>
      </c>
      <c r="ERF1">
        <f>IFERROR(IF((ISBLANK(VLOOKUP(ERF7,#REF!,4,FALSE)))=TRUE,VLOOKUP(ERF7,#REF!,3,FALSE),VLOOKUP(ERF7,#REF!,4,FALSE)),0)</f>
        <v/>
      </c>
      <c r="ERG1">
        <f>IFERROR(IF((ISBLANK(VLOOKUP(ERG7,#REF!,4,FALSE)))=TRUE,VLOOKUP(ERG7,#REF!,3,FALSE),VLOOKUP(ERG7,#REF!,4,FALSE)),0)</f>
        <v/>
      </c>
      <c r="ERH1">
        <f>IFERROR(IF((ISBLANK(VLOOKUP(ERH7,#REF!,4,FALSE)))=TRUE,VLOOKUP(ERH7,#REF!,3,FALSE),VLOOKUP(ERH7,#REF!,4,FALSE)),0)</f>
        <v/>
      </c>
      <c r="ERI1">
        <f>IFERROR(IF((ISBLANK(VLOOKUP(ERI7,#REF!,4,FALSE)))=TRUE,VLOOKUP(ERI7,#REF!,3,FALSE),VLOOKUP(ERI7,#REF!,4,FALSE)),0)</f>
        <v/>
      </c>
      <c r="ERJ1">
        <f>IFERROR(IF((ISBLANK(VLOOKUP(ERJ7,#REF!,4,FALSE)))=TRUE,VLOOKUP(ERJ7,#REF!,3,FALSE),VLOOKUP(ERJ7,#REF!,4,FALSE)),0)</f>
        <v/>
      </c>
      <c r="ERK1">
        <f>IFERROR(IF((ISBLANK(VLOOKUP(ERK7,#REF!,4,FALSE)))=TRUE,VLOOKUP(ERK7,#REF!,3,FALSE),VLOOKUP(ERK7,#REF!,4,FALSE)),0)</f>
        <v/>
      </c>
      <c r="ERL1">
        <f>IFERROR(IF((ISBLANK(VLOOKUP(ERL7,#REF!,4,FALSE)))=TRUE,VLOOKUP(ERL7,#REF!,3,FALSE),VLOOKUP(ERL7,#REF!,4,FALSE)),0)</f>
        <v/>
      </c>
      <c r="ERM1">
        <f>IFERROR(IF((ISBLANK(VLOOKUP(ERM7,#REF!,4,FALSE)))=TRUE,VLOOKUP(ERM7,#REF!,3,FALSE),VLOOKUP(ERM7,#REF!,4,FALSE)),0)</f>
        <v/>
      </c>
      <c r="ERN1">
        <f>IFERROR(IF((ISBLANK(VLOOKUP(ERN7,#REF!,4,FALSE)))=TRUE,VLOOKUP(ERN7,#REF!,3,FALSE),VLOOKUP(ERN7,#REF!,4,FALSE)),0)</f>
        <v/>
      </c>
      <c r="ERO1">
        <f>IFERROR(IF((ISBLANK(VLOOKUP(ERO7,#REF!,4,FALSE)))=TRUE,VLOOKUP(ERO7,#REF!,3,FALSE),VLOOKUP(ERO7,#REF!,4,FALSE)),0)</f>
        <v/>
      </c>
      <c r="ERP1">
        <f>IFERROR(IF((ISBLANK(VLOOKUP(ERP7,#REF!,4,FALSE)))=TRUE,VLOOKUP(ERP7,#REF!,3,FALSE),VLOOKUP(ERP7,#REF!,4,FALSE)),0)</f>
        <v/>
      </c>
      <c r="ERQ1">
        <f>IFERROR(IF((ISBLANK(VLOOKUP(ERQ7,#REF!,4,FALSE)))=TRUE,VLOOKUP(ERQ7,#REF!,3,FALSE),VLOOKUP(ERQ7,#REF!,4,FALSE)),0)</f>
        <v/>
      </c>
      <c r="ERR1">
        <f>IFERROR(IF((ISBLANK(VLOOKUP(ERR7,#REF!,4,FALSE)))=TRUE,VLOOKUP(ERR7,#REF!,3,FALSE),VLOOKUP(ERR7,#REF!,4,FALSE)),0)</f>
        <v/>
      </c>
      <c r="ERS1">
        <f>IFERROR(IF((ISBLANK(VLOOKUP(ERS7,#REF!,4,FALSE)))=TRUE,VLOOKUP(ERS7,#REF!,3,FALSE),VLOOKUP(ERS7,#REF!,4,FALSE)),0)</f>
        <v/>
      </c>
      <c r="ERT1">
        <f>IFERROR(IF((ISBLANK(VLOOKUP(ERT7,#REF!,4,FALSE)))=TRUE,VLOOKUP(ERT7,#REF!,3,FALSE),VLOOKUP(ERT7,#REF!,4,FALSE)),0)</f>
        <v/>
      </c>
      <c r="ERU1">
        <f>IFERROR(IF((ISBLANK(VLOOKUP(ERU7,#REF!,4,FALSE)))=TRUE,VLOOKUP(ERU7,#REF!,3,FALSE),VLOOKUP(ERU7,#REF!,4,FALSE)),0)</f>
        <v/>
      </c>
      <c r="ERV1">
        <f>IFERROR(IF((ISBLANK(VLOOKUP(ERV7,#REF!,4,FALSE)))=TRUE,VLOOKUP(ERV7,#REF!,3,FALSE),VLOOKUP(ERV7,#REF!,4,FALSE)),0)</f>
        <v/>
      </c>
      <c r="ERW1">
        <f>IFERROR(IF((ISBLANK(VLOOKUP(ERW7,#REF!,4,FALSE)))=TRUE,VLOOKUP(ERW7,#REF!,3,FALSE),VLOOKUP(ERW7,#REF!,4,FALSE)),0)</f>
        <v/>
      </c>
      <c r="ERX1">
        <f>IFERROR(IF((ISBLANK(VLOOKUP(ERX7,#REF!,4,FALSE)))=TRUE,VLOOKUP(ERX7,#REF!,3,FALSE),VLOOKUP(ERX7,#REF!,4,FALSE)),0)</f>
        <v/>
      </c>
      <c r="ERY1">
        <f>IFERROR(IF((ISBLANK(VLOOKUP(ERY7,#REF!,4,FALSE)))=TRUE,VLOOKUP(ERY7,#REF!,3,FALSE),VLOOKUP(ERY7,#REF!,4,FALSE)),0)</f>
        <v/>
      </c>
      <c r="ERZ1">
        <f>IFERROR(IF((ISBLANK(VLOOKUP(ERZ7,#REF!,4,FALSE)))=TRUE,VLOOKUP(ERZ7,#REF!,3,FALSE),VLOOKUP(ERZ7,#REF!,4,FALSE)),0)</f>
        <v/>
      </c>
      <c r="ESA1">
        <f>IFERROR(IF((ISBLANK(VLOOKUP(ESA7,#REF!,4,FALSE)))=TRUE,VLOOKUP(ESA7,#REF!,3,FALSE),VLOOKUP(ESA7,#REF!,4,FALSE)),0)</f>
        <v/>
      </c>
      <c r="ESB1">
        <f>IFERROR(IF((ISBLANK(VLOOKUP(ESB7,#REF!,4,FALSE)))=TRUE,VLOOKUP(ESB7,#REF!,3,FALSE),VLOOKUP(ESB7,#REF!,4,FALSE)),0)</f>
        <v/>
      </c>
      <c r="ESC1">
        <f>IFERROR(IF((ISBLANK(VLOOKUP(ESC7,#REF!,4,FALSE)))=TRUE,VLOOKUP(ESC7,#REF!,3,FALSE),VLOOKUP(ESC7,#REF!,4,FALSE)),0)</f>
        <v/>
      </c>
      <c r="ESD1">
        <f>IFERROR(IF((ISBLANK(VLOOKUP(ESD7,#REF!,4,FALSE)))=TRUE,VLOOKUP(ESD7,#REF!,3,FALSE),VLOOKUP(ESD7,#REF!,4,FALSE)),0)</f>
        <v/>
      </c>
      <c r="ESE1">
        <f>IFERROR(IF((ISBLANK(VLOOKUP(ESE7,#REF!,4,FALSE)))=TRUE,VLOOKUP(ESE7,#REF!,3,FALSE),VLOOKUP(ESE7,#REF!,4,FALSE)),0)</f>
        <v/>
      </c>
      <c r="ESF1">
        <f>IFERROR(IF((ISBLANK(VLOOKUP(ESF7,#REF!,4,FALSE)))=TRUE,VLOOKUP(ESF7,#REF!,3,FALSE),VLOOKUP(ESF7,#REF!,4,FALSE)),0)</f>
        <v/>
      </c>
      <c r="ESG1">
        <f>IFERROR(IF((ISBLANK(VLOOKUP(ESG7,#REF!,4,FALSE)))=TRUE,VLOOKUP(ESG7,#REF!,3,FALSE),VLOOKUP(ESG7,#REF!,4,FALSE)),0)</f>
        <v/>
      </c>
      <c r="ESH1">
        <f>IFERROR(IF((ISBLANK(VLOOKUP(ESH7,#REF!,4,FALSE)))=TRUE,VLOOKUP(ESH7,#REF!,3,FALSE),VLOOKUP(ESH7,#REF!,4,FALSE)),0)</f>
        <v/>
      </c>
      <c r="ESI1">
        <f>IFERROR(IF((ISBLANK(VLOOKUP(ESI7,#REF!,4,FALSE)))=TRUE,VLOOKUP(ESI7,#REF!,3,FALSE),VLOOKUP(ESI7,#REF!,4,FALSE)),0)</f>
        <v/>
      </c>
      <c r="ESJ1">
        <f>IFERROR(IF((ISBLANK(VLOOKUP(ESJ7,#REF!,4,FALSE)))=TRUE,VLOOKUP(ESJ7,#REF!,3,FALSE),VLOOKUP(ESJ7,#REF!,4,FALSE)),0)</f>
        <v/>
      </c>
      <c r="ESK1">
        <f>IFERROR(IF((ISBLANK(VLOOKUP(ESK7,#REF!,4,FALSE)))=TRUE,VLOOKUP(ESK7,#REF!,3,FALSE),VLOOKUP(ESK7,#REF!,4,FALSE)),0)</f>
        <v/>
      </c>
      <c r="ESL1">
        <f>IFERROR(IF((ISBLANK(VLOOKUP(ESL7,#REF!,4,FALSE)))=TRUE,VLOOKUP(ESL7,#REF!,3,FALSE),VLOOKUP(ESL7,#REF!,4,FALSE)),0)</f>
        <v/>
      </c>
      <c r="ESM1">
        <f>IFERROR(IF((ISBLANK(VLOOKUP(ESM7,#REF!,4,FALSE)))=TRUE,VLOOKUP(ESM7,#REF!,3,FALSE),VLOOKUP(ESM7,#REF!,4,FALSE)),0)</f>
        <v/>
      </c>
      <c r="ESN1">
        <f>IFERROR(IF((ISBLANK(VLOOKUP(ESN7,#REF!,4,FALSE)))=TRUE,VLOOKUP(ESN7,#REF!,3,FALSE),VLOOKUP(ESN7,#REF!,4,FALSE)),0)</f>
        <v/>
      </c>
      <c r="ESO1">
        <f>IFERROR(IF((ISBLANK(VLOOKUP(ESO7,#REF!,4,FALSE)))=TRUE,VLOOKUP(ESO7,#REF!,3,FALSE),VLOOKUP(ESO7,#REF!,4,FALSE)),0)</f>
        <v/>
      </c>
      <c r="ESP1">
        <f>IFERROR(IF((ISBLANK(VLOOKUP(ESP7,#REF!,4,FALSE)))=TRUE,VLOOKUP(ESP7,#REF!,3,FALSE),VLOOKUP(ESP7,#REF!,4,FALSE)),0)</f>
        <v/>
      </c>
      <c r="ESQ1">
        <f>IFERROR(IF((ISBLANK(VLOOKUP(ESQ7,#REF!,4,FALSE)))=TRUE,VLOOKUP(ESQ7,#REF!,3,FALSE),VLOOKUP(ESQ7,#REF!,4,FALSE)),0)</f>
        <v/>
      </c>
      <c r="ESR1">
        <f>IFERROR(IF((ISBLANK(VLOOKUP(ESR7,#REF!,4,FALSE)))=TRUE,VLOOKUP(ESR7,#REF!,3,FALSE),VLOOKUP(ESR7,#REF!,4,FALSE)),0)</f>
        <v/>
      </c>
      <c r="ESS1">
        <f>IFERROR(IF((ISBLANK(VLOOKUP(ESS7,#REF!,4,FALSE)))=TRUE,VLOOKUP(ESS7,#REF!,3,FALSE),VLOOKUP(ESS7,#REF!,4,FALSE)),0)</f>
        <v/>
      </c>
      <c r="EST1">
        <f>IFERROR(IF((ISBLANK(VLOOKUP(EST7,#REF!,4,FALSE)))=TRUE,VLOOKUP(EST7,#REF!,3,FALSE),VLOOKUP(EST7,#REF!,4,FALSE)),0)</f>
        <v/>
      </c>
      <c r="ESU1">
        <f>IFERROR(IF((ISBLANK(VLOOKUP(ESU7,#REF!,4,FALSE)))=TRUE,VLOOKUP(ESU7,#REF!,3,FALSE),VLOOKUP(ESU7,#REF!,4,FALSE)),0)</f>
        <v/>
      </c>
      <c r="ESV1">
        <f>IFERROR(IF((ISBLANK(VLOOKUP(ESV7,#REF!,4,FALSE)))=TRUE,VLOOKUP(ESV7,#REF!,3,FALSE),VLOOKUP(ESV7,#REF!,4,FALSE)),0)</f>
        <v/>
      </c>
      <c r="ESW1">
        <f>IFERROR(IF((ISBLANK(VLOOKUP(ESW7,#REF!,4,FALSE)))=TRUE,VLOOKUP(ESW7,#REF!,3,FALSE),VLOOKUP(ESW7,#REF!,4,FALSE)),0)</f>
        <v/>
      </c>
      <c r="ESX1">
        <f>IFERROR(IF((ISBLANK(VLOOKUP(ESX7,#REF!,4,FALSE)))=TRUE,VLOOKUP(ESX7,#REF!,3,FALSE),VLOOKUP(ESX7,#REF!,4,FALSE)),0)</f>
        <v/>
      </c>
      <c r="ESY1">
        <f>IFERROR(IF((ISBLANK(VLOOKUP(ESY7,#REF!,4,FALSE)))=TRUE,VLOOKUP(ESY7,#REF!,3,FALSE),VLOOKUP(ESY7,#REF!,4,FALSE)),0)</f>
        <v/>
      </c>
      <c r="ESZ1">
        <f>IFERROR(IF((ISBLANK(VLOOKUP(ESZ7,#REF!,4,FALSE)))=TRUE,VLOOKUP(ESZ7,#REF!,3,FALSE),VLOOKUP(ESZ7,#REF!,4,FALSE)),0)</f>
        <v/>
      </c>
      <c r="ETA1">
        <f>IFERROR(IF((ISBLANK(VLOOKUP(ETA7,#REF!,4,FALSE)))=TRUE,VLOOKUP(ETA7,#REF!,3,FALSE),VLOOKUP(ETA7,#REF!,4,FALSE)),0)</f>
        <v/>
      </c>
      <c r="ETB1">
        <f>IFERROR(IF((ISBLANK(VLOOKUP(ETB7,#REF!,4,FALSE)))=TRUE,VLOOKUP(ETB7,#REF!,3,FALSE),VLOOKUP(ETB7,#REF!,4,FALSE)),0)</f>
        <v/>
      </c>
      <c r="ETC1">
        <f>IFERROR(IF((ISBLANK(VLOOKUP(ETC7,#REF!,4,FALSE)))=TRUE,VLOOKUP(ETC7,#REF!,3,FALSE),VLOOKUP(ETC7,#REF!,4,FALSE)),0)</f>
        <v/>
      </c>
      <c r="ETD1">
        <f>IFERROR(IF((ISBLANK(VLOOKUP(ETD7,#REF!,4,FALSE)))=TRUE,VLOOKUP(ETD7,#REF!,3,FALSE),VLOOKUP(ETD7,#REF!,4,FALSE)),0)</f>
        <v/>
      </c>
      <c r="ETE1">
        <f>IFERROR(IF((ISBLANK(VLOOKUP(ETE7,#REF!,4,FALSE)))=TRUE,VLOOKUP(ETE7,#REF!,3,FALSE),VLOOKUP(ETE7,#REF!,4,FALSE)),0)</f>
        <v/>
      </c>
      <c r="ETF1">
        <f>IFERROR(IF((ISBLANK(VLOOKUP(ETF7,#REF!,4,FALSE)))=TRUE,VLOOKUP(ETF7,#REF!,3,FALSE),VLOOKUP(ETF7,#REF!,4,FALSE)),0)</f>
        <v/>
      </c>
      <c r="ETG1">
        <f>IFERROR(IF((ISBLANK(VLOOKUP(ETG7,#REF!,4,FALSE)))=TRUE,VLOOKUP(ETG7,#REF!,3,FALSE),VLOOKUP(ETG7,#REF!,4,FALSE)),0)</f>
        <v/>
      </c>
      <c r="ETH1">
        <f>IFERROR(IF((ISBLANK(VLOOKUP(ETH7,#REF!,4,FALSE)))=TRUE,VLOOKUP(ETH7,#REF!,3,FALSE),VLOOKUP(ETH7,#REF!,4,FALSE)),0)</f>
        <v/>
      </c>
      <c r="ETI1">
        <f>IFERROR(IF((ISBLANK(VLOOKUP(ETI7,#REF!,4,FALSE)))=TRUE,VLOOKUP(ETI7,#REF!,3,FALSE),VLOOKUP(ETI7,#REF!,4,FALSE)),0)</f>
        <v/>
      </c>
      <c r="ETJ1">
        <f>IFERROR(IF((ISBLANK(VLOOKUP(ETJ7,#REF!,4,FALSE)))=TRUE,VLOOKUP(ETJ7,#REF!,3,FALSE),VLOOKUP(ETJ7,#REF!,4,FALSE)),0)</f>
        <v/>
      </c>
      <c r="ETK1">
        <f>IFERROR(IF((ISBLANK(VLOOKUP(ETK7,#REF!,4,FALSE)))=TRUE,VLOOKUP(ETK7,#REF!,3,FALSE),VLOOKUP(ETK7,#REF!,4,FALSE)),0)</f>
        <v/>
      </c>
      <c r="ETL1">
        <f>IFERROR(IF((ISBLANK(VLOOKUP(ETL7,#REF!,4,FALSE)))=TRUE,VLOOKUP(ETL7,#REF!,3,FALSE),VLOOKUP(ETL7,#REF!,4,FALSE)),0)</f>
        <v/>
      </c>
      <c r="ETM1">
        <f>IFERROR(IF((ISBLANK(VLOOKUP(ETM7,#REF!,4,FALSE)))=TRUE,VLOOKUP(ETM7,#REF!,3,FALSE),VLOOKUP(ETM7,#REF!,4,FALSE)),0)</f>
        <v/>
      </c>
      <c r="ETN1">
        <f>IFERROR(IF((ISBLANK(VLOOKUP(ETN7,#REF!,4,FALSE)))=TRUE,VLOOKUP(ETN7,#REF!,3,FALSE),VLOOKUP(ETN7,#REF!,4,FALSE)),0)</f>
        <v/>
      </c>
      <c r="ETO1">
        <f>IFERROR(IF((ISBLANK(VLOOKUP(ETO7,#REF!,4,FALSE)))=TRUE,VLOOKUP(ETO7,#REF!,3,FALSE),VLOOKUP(ETO7,#REF!,4,FALSE)),0)</f>
        <v/>
      </c>
      <c r="ETP1">
        <f>IFERROR(IF((ISBLANK(VLOOKUP(ETP7,#REF!,4,FALSE)))=TRUE,VLOOKUP(ETP7,#REF!,3,FALSE),VLOOKUP(ETP7,#REF!,4,FALSE)),0)</f>
        <v/>
      </c>
      <c r="ETQ1">
        <f>IFERROR(IF((ISBLANK(VLOOKUP(ETQ7,#REF!,4,FALSE)))=TRUE,VLOOKUP(ETQ7,#REF!,3,FALSE),VLOOKUP(ETQ7,#REF!,4,FALSE)),0)</f>
        <v/>
      </c>
      <c r="ETR1">
        <f>IFERROR(IF((ISBLANK(VLOOKUP(ETR7,#REF!,4,FALSE)))=TRUE,VLOOKUP(ETR7,#REF!,3,FALSE),VLOOKUP(ETR7,#REF!,4,FALSE)),0)</f>
        <v/>
      </c>
      <c r="ETS1">
        <f>IFERROR(IF((ISBLANK(VLOOKUP(ETS7,#REF!,4,FALSE)))=TRUE,VLOOKUP(ETS7,#REF!,3,FALSE),VLOOKUP(ETS7,#REF!,4,FALSE)),0)</f>
        <v/>
      </c>
      <c r="ETT1">
        <f>IFERROR(IF((ISBLANK(VLOOKUP(ETT7,#REF!,4,FALSE)))=TRUE,VLOOKUP(ETT7,#REF!,3,FALSE),VLOOKUP(ETT7,#REF!,4,FALSE)),0)</f>
        <v/>
      </c>
      <c r="ETU1">
        <f>IFERROR(IF((ISBLANK(VLOOKUP(ETU7,#REF!,4,FALSE)))=TRUE,VLOOKUP(ETU7,#REF!,3,FALSE),VLOOKUP(ETU7,#REF!,4,FALSE)),0)</f>
        <v/>
      </c>
      <c r="ETV1">
        <f>IFERROR(IF((ISBLANK(VLOOKUP(ETV7,#REF!,4,FALSE)))=TRUE,VLOOKUP(ETV7,#REF!,3,FALSE),VLOOKUP(ETV7,#REF!,4,FALSE)),0)</f>
        <v/>
      </c>
      <c r="ETW1">
        <f>IFERROR(IF((ISBLANK(VLOOKUP(ETW7,#REF!,4,FALSE)))=TRUE,VLOOKUP(ETW7,#REF!,3,FALSE),VLOOKUP(ETW7,#REF!,4,FALSE)),0)</f>
        <v/>
      </c>
      <c r="ETX1">
        <f>IFERROR(IF((ISBLANK(VLOOKUP(ETX7,#REF!,4,FALSE)))=TRUE,VLOOKUP(ETX7,#REF!,3,FALSE),VLOOKUP(ETX7,#REF!,4,FALSE)),0)</f>
        <v/>
      </c>
      <c r="ETY1">
        <f>IFERROR(IF((ISBLANK(VLOOKUP(ETY7,#REF!,4,FALSE)))=TRUE,VLOOKUP(ETY7,#REF!,3,FALSE),VLOOKUP(ETY7,#REF!,4,FALSE)),0)</f>
        <v/>
      </c>
      <c r="ETZ1">
        <f>IFERROR(IF((ISBLANK(VLOOKUP(ETZ7,#REF!,4,FALSE)))=TRUE,VLOOKUP(ETZ7,#REF!,3,FALSE),VLOOKUP(ETZ7,#REF!,4,FALSE)),0)</f>
        <v/>
      </c>
      <c r="EUA1">
        <f>IFERROR(IF((ISBLANK(VLOOKUP(EUA7,#REF!,4,FALSE)))=TRUE,VLOOKUP(EUA7,#REF!,3,FALSE),VLOOKUP(EUA7,#REF!,4,FALSE)),0)</f>
        <v/>
      </c>
      <c r="EUB1">
        <f>IFERROR(IF((ISBLANK(VLOOKUP(EUB7,#REF!,4,FALSE)))=TRUE,VLOOKUP(EUB7,#REF!,3,FALSE),VLOOKUP(EUB7,#REF!,4,FALSE)),0)</f>
        <v/>
      </c>
      <c r="EUC1">
        <f>IFERROR(IF((ISBLANK(VLOOKUP(EUC7,#REF!,4,FALSE)))=TRUE,VLOOKUP(EUC7,#REF!,3,FALSE),VLOOKUP(EUC7,#REF!,4,FALSE)),0)</f>
        <v/>
      </c>
      <c r="EUD1">
        <f>IFERROR(IF((ISBLANK(VLOOKUP(EUD7,#REF!,4,FALSE)))=TRUE,VLOOKUP(EUD7,#REF!,3,FALSE),VLOOKUP(EUD7,#REF!,4,FALSE)),0)</f>
        <v/>
      </c>
      <c r="EUE1">
        <f>IFERROR(IF((ISBLANK(VLOOKUP(EUE7,#REF!,4,FALSE)))=TRUE,VLOOKUP(EUE7,#REF!,3,FALSE),VLOOKUP(EUE7,#REF!,4,FALSE)),0)</f>
        <v/>
      </c>
      <c r="EUF1">
        <f>IFERROR(IF((ISBLANK(VLOOKUP(EUF7,#REF!,4,FALSE)))=TRUE,VLOOKUP(EUF7,#REF!,3,FALSE),VLOOKUP(EUF7,#REF!,4,FALSE)),0)</f>
        <v/>
      </c>
      <c r="EUG1">
        <f>IFERROR(IF((ISBLANK(VLOOKUP(EUG7,#REF!,4,FALSE)))=TRUE,VLOOKUP(EUG7,#REF!,3,FALSE),VLOOKUP(EUG7,#REF!,4,FALSE)),0)</f>
        <v/>
      </c>
      <c r="EUH1">
        <f>IFERROR(IF((ISBLANK(VLOOKUP(EUH7,#REF!,4,FALSE)))=TRUE,VLOOKUP(EUH7,#REF!,3,FALSE),VLOOKUP(EUH7,#REF!,4,FALSE)),0)</f>
        <v/>
      </c>
      <c r="EUI1">
        <f>IFERROR(IF((ISBLANK(VLOOKUP(EUI7,#REF!,4,FALSE)))=TRUE,VLOOKUP(EUI7,#REF!,3,FALSE),VLOOKUP(EUI7,#REF!,4,FALSE)),0)</f>
        <v/>
      </c>
      <c r="EUJ1">
        <f>IFERROR(IF((ISBLANK(VLOOKUP(EUJ7,#REF!,4,FALSE)))=TRUE,VLOOKUP(EUJ7,#REF!,3,FALSE),VLOOKUP(EUJ7,#REF!,4,FALSE)),0)</f>
        <v/>
      </c>
      <c r="EUK1">
        <f>IFERROR(IF((ISBLANK(VLOOKUP(EUK7,#REF!,4,FALSE)))=TRUE,VLOOKUP(EUK7,#REF!,3,FALSE),VLOOKUP(EUK7,#REF!,4,FALSE)),0)</f>
        <v/>
      </c>
      <c r="EUL1">
        <f>IFERROR(IF((ISBLANK(VLOOKUP(EUL7,#REF!,4,FALSE)))=TRUE,VLOOKUP(EUL7,#REF!,3,FALSE),VLOOKUP(EUL7,#REF!,4,FALSE)),0)</f>
        <v/>
      </c>
      <c r="EUM1">
        <f>IFERROR(IF((ISBLANK(VLOOKUP(EUM7,#REF!,4,FALSE)))=TRUE,VLOOKUP(EUM7,#REF!,3,FALSE),VLOOKUP(EUM7,#REF!,4,FALSE)),0)</f>
        <v/>
      </c>
      <c r="EUN1">
        <f>IFERROR(IF((ISBLANK(VLOOKUP(EUN7,#REF!,4,FALSE)))=TRUE,VLOOKUP(EUN7,#REF!,3,FALSE),VLOOKUP(EUN7,#REF!,4,FALSE)),0)</f>
        <v/>
      </c>
      <c r="EUO1">
        <f>IFERROR(IF((ISBLANK(VLOOKUP(EUO7,#REF!,4,FALSE)))=TRUE,VLOOKUP(EUO7,#REF!,3,FALSE),VLOOKUP(EUO7,#REF!,4,FALSE)),0)</f>
        <v/>
      </c>
      <c r="EUP1">
        <f>IFERROR(IF((ISBLANK(VLOOKUP(EUP7,#REF!,4,FALSE)))=TRUE,VLOOKUP(EUP7,#REF!,3,FALSE),VLOOKUP(EUP7,#REF!,4,FALSE)),0)</f>
        <v/>
      </c>
      <c r="EUQ1">
        <f>IFERROR(IF((ISBLANK(VLOOKUP(EUQ7,#REF!,4,FALSE)))=TRUE,VLOOKUP(EUQ7,#REF!,3,FALSE),VLOOKUP(EUQ7,#REF!,4,FALSE)),0)</f>
        <v/>
      </c>
      <c r="EUR1">
        <f>IFERROR(IF((ISBLANK(VLOOKUP(EUR7,#REF!,4,FALSE)))=TRUE,VLOOKUP(EUR7,#REF!,3,FALSE),VLOOKUP(EUR7,#REF!,4,FALSE)),0)</f>
        <v/>
      </c>
      <c r="EUS1">
        <f>IFERROR(IF((ISBLANK(VLOOKUP(EUS7,#REF!,4,FALSE)))=TRUE,VLOOKUP(EUS7,#REF!,3,FALSE),VLOOKUP(EUS7,#REF!,4,FALSE)),0)</f>
        <v/>
      </c>
      <c r="EUT1">
        <f>IFERROR(IF((ISBLANK(VLOOKUP(EUT7,#REF!,4,FALSE)))=TRUE,VLOOKUP(EUT7,#REF!,3,FALSE),VLOOKUP(EUT7,#REF!,4,FALSE)),0)</f>
        <v/>
      </c>
      <c r="EUU1">
        <f>IFERROR(IF((ISBLANK(VLOOKUP(EUU7,#REF!,4,FALSE)))=TRUE,VLOOKUP(EUU7,#REF!,3,FALSE),VLOOKUP(EUU7,#REF!,4,FALSE)),0)</f>
        <v/>
      </c>
      <c r="EUV1">
        <f>IFERROR(IF((ISBLANK(VLOOKUP(EUV7,#REF!,4,FALSE)))=TRUE,VLOOKUP(EUV7,#REF!,3,FALSE),VLOOKUP(EUV7,#REF!,4,FALSE)),0)</f>
        <v/>
      </c>
      <c r="EUW1">
        <f>IFERROR(IF((ISBLANK(VLOOKUP(EUW7,#REF!,4,FALSE)))=TRUE,VLOOKUP(EUW7,#REF!,3,FALSE),VLOOKUP(EUW7,#REF!,4,FALSE)),0)</f>
        <v/>
      </c>
      <c r="EUX1">
        <f>IFERROR(IF((ISBLANK(VLOOKUP(EUX7,#REF!,4,FALSE)))=TRUE,VLOOKUP(EUX7,#REF!,3,FALSE),VLOOKUP(EUX7,#REF!,4,FALSE)),0)</f>
        <v/>
      </c>
      <c r="EUY1">
        <f>IFERROR(IF((ISBLANK(VLOOKUP(EUY7,#REF!,4,FALSE)))=TRUE,VLOOKUP(EUY7,#REF!,3,FALSE),VLOOKUP(EUY7,#REF!,4,FALSE)),0)</f>
        <v/>
      </c>
      <c r="EUZ1">
        <f>IFERROR(IF((ISBLANK(VLOOKUP(EUZ7,#REF!,4,FALSE)))=TRUE,VLOOKUP(EUZ7,#REF!,3,FALSE),VLOOKUP(EUZ7,#REF!,4,FALSE)),0)</f>
        <v/>
      </c>
      <c r="EVA1">
        <f>IFERROR(IF((ISBLANK(VLOOKUP(EVA7,#REF!,4,FALSE)))=TRUE,VLOOKUP(EVA7,#REF!,3,FALSE),VLOOKUP(EVA7,#REF!,4,FALSE)),0)</f>
        <v/>
      </c>
      <c r="EVB1">
        <f>IFERROR(IF((ISBLANK(VLOOKUP(EVB7,#REF!,4,FALSE)))=TRUE,VLOOKUP(EVB7,#REF!,3,FALSE),VLOOKUP(EVB7,#REF!,4,FALSE)),0)</f>
        <v/>
      </c>
      <c r="EVC1">
        <f>IFERROR(IF((ISBLANK(VLOOKUP(EVC7,#REF!,4,FALSE)))=TRUE,VLOOKUP(EVC7,#REF!,3,FALSE),VLOOKUP(EVC7,#REF!,4,FALSE)),0)</f>
        <v/>
      </c>
      <c r="EVD1">
        <f>IFERROR(IF((ISBLANK(VLOOKUP(EVD7,#REF!,4,FALSE)))=TRUE,VLOOKUP(EVD7,#REF!,3,FALSE),VLOOKUP(EVD7,#REF!,4,FALSE)),0)</f>
        <v/>
      </c>
      <c r="EVE1">
        <f>IFERROR(IF((ISBLANK(VLOOKUP(EVE7,#REF!,4,FALSE)))=TRUE,VLOOKUP(EVE7,#REF!,3,FALSE),VLOOKUP(EVE7,#REF!,4,FALSE)),0)</f>
        <v/>
      </c>
      <c r="EVF1">
        <f>IFERROR(IF((ISBLANK(VLOOKUP(EVF7,#REF!,4,FALSE)))=TRUE,VLOOKUP(EVF7,#REF!,3,FALSE),VLOOKUP(EVF7,#REF!,4,FALSE)),0)</f>
        <v/>
      </c>
      <c r="EVG1">
        <f>IFERROR(IF((ISBLANK(VLOOKUP(EVG7,#REF!,4,FALSE)))=TRUE,VLOOKUP(EVG7,#REF!,3,FALSE),VLOOKUP(EVG7,#REF!,4,FALSE)),0)</f>
        <v/>
      </c>
      <c r="EVH1">
        <f>IFERROR(IF((ISBLANK(VLOOKUP(EVH7,#REF!,4,FALSE)))=TRUE,VLOOKUP(EVH7,#REF!,3,FALSE),VLOOKUP(EVH7,#REF!,4,FALSE)),0)</f>
        <v/>
      </c>
      <c r="EVI1">
        <f>IFERROR(IF((ISBLANK(VLOOKUP(EVI7,#REF!,4,FALSE)))=TRUE,VLOOKUP(EVI7,#REF!,3,FALSE),VLOOKUP(EVI7,#REF!,4,FALSE)),0)</f>
        <v/>
      </c>
      <c r="EVJ1">
        <f>IFERROR(IF((ISBLANK(VLOOKUP(EVJ7,#REF!,4,FALSE)))=TRUE,VLOOKUP(EVJ7,#REF!,3,FALSE),VLOOKUP(EVJ7,#REF!,4,FALSE)),0)</f>
        <v/>
      </c>
      <c r="EVK1">
        <f>IFERROR(IF((ISBLANK(VLOOKUP(EVK7,#REF!,4,FALSE)))=TRUE,VLOOKUP(EVK7,#REF!,3,FALSE),VLOOKUP(EVK7,#REF!,4,FALSE)),0)</f>
        <v/>
      </c>
      <c r="EVL1">
        <f>IFERROR(IF((ISBLANK(VLOOKUP(EVL7,#REF!,4,FALSE)))=TRUE,VLOOKUP(EVL7,#REF!,3,FALSE),VLOOKUP(EVL7,#REF!,4,FALSE)),0)</f>
        <v/>
      </c>
      <c r="EVM1">
        <f>IFERROR(IF((ISBLANK(VLOOKUP(EVM7,#REF!,4,FALSE)))=TRUE,VLOOKUP(EVM7,#REF!,3,FALSE),VLOOKUP(EVM7,#REF!,4,FALSE)),0)</f>
        <v/>
      </c>
      <c r="EVN1">
        <f>IFERROR(IF((ISBLANK(VLOOKUP(EVN7,#REF!,4,FALSE)))=TRUE,VLOOKUP(EVN7,#REF!,3,FALSE),VLOOKUP(EVN7,#REF!,4,FALSE)),0)</f>
        <v/>
      </c>
      <c r="EVO1">
        <f>IFERROR(IF((ISBLANK(VLOOKUP(EVO7,#REF!,4,FALSE)))=TRUE,VLOOKUP(EVO7,#REF!,3,FALSE),VLOOKUP(EVO7,#REF!,4,FALSE)),0)</f>
        <v/>
      </c>
      <c r="EVP1">
        <f>IFERROR(IF((ISBLANK(VLOOKUP(EVP7,#REF!,4,FALSE)))=TRUE,VLOOKUP(EVP7,#REF!,3,FALSE),VLOOKUP(EVP7,#REF!,4,FALSE)),0)</f>
        <v/>
      </c>
      <c r="EVQ1">
        <f>IFERROR(IF((ISBLANK(VLOOKUP(EVQ7,#REF!,4,FALSE)))=TRUE,VLOOKUP(EVQ7,#REF!,3,FALSE),VLOOKUP(EVQ7,#REF!,4,FALSE)),0)</f>
        <v/>
      </c>
      <c r="EVR1">
        <f>IFERROR(IF((ISBLANK(VLOOKUP(EVR7,#REF!,4,FALSE)))=TRUE,VLOOKUP(EVR7,#REF!,3,FALSE),VLOOKUP(EVR7,#REF!,4,FALSE)),0)</f>
        <v/>
      </c>
      <c r="EVS1">
        <f>IFERROR(IF((ISBLANK(VLOOKUP(EVS7,#REF!,4,FALSE)))=TRUE,VLOOKUP(EVS7,#REF!,3,FALSE),VLOOKUP(EVS7,#REF!,4,FALSE)),0)</f>
        <v/>
      </c>
      <c r="EVT1">
        <f>IFERROR(IF((ISBLANK(VLOOKUP(EVT7,#REF!,4,FALSE)))=TRUE,VLOOKUP(EVT7,#REF!,3,FALSE),VLOOKUP(EVT7,#REF!,4,FALSE)),0)</f>
        <v/>
      </c>
      <c r="EVU1">
        <f>IFERROR(IF((ISBLANK(VLOOKUP(EVU7,#REF!,4,FALSE)))=TRUE,VLOOKUP(EVU7,#REF!,3,FALSE),VLOOKUP(EVU7,#REF!,4,FALSE)),0)</f>
        <v/>
      </c>
      <c r="EVV1">
        <f>IFERROR(IF((ISBLANK(VLOOKUP(EVV7,#REF!,4,FALSE)))=TRUE,VLOOKUP(EVV7,#REF!,3,FALSE),VLOOKUP(EVV7,#REF!,4,FALSE)),0)</f>
        <v/>
      </c>
      <c r="EVW1">
        <f>IFERROR(IF((ISBLANK(VLOOKUP(EVW7,#REF!,4,FALSE)))=TRUE,VLOOKUP(EVW7,#REF!,3,FALSE),VLOOKUP(EVW7,#REF!,4,FALSE)),0)</f>
        <v/>
      </c>
      <c r="EVX1">
        <f>IFERROR(IF((ISBLANK(VLOOKUP(EVX7,#REF!,4,FALSE)))=TRUE,VLOOKUP(EVX7,#REF!,3,FALSE),VLOOKUP(EVX7,#REF!,4,FALSE)),0)</f>
        <v/>
      </c>
      <c r="EVY1">
        <f>IFERROR(IF((ISBLANK(VLOOKUP(EVY7,#REF!,4,FALSE)))=TRUE,VLOOKUP(EVY7,#REF!,3,FALSE),VLOOKUP(EVY7,#REF!,4,FALSE)),0)</f>
        <v/>
      </c>
      <c r="EVZ1">
        <f>IFERROR(IF((ISBLANK(VLOOKUP(EVZ7,#REF!,4,FALSE)))=TRUE,VLOOKUP(EVZ7,#REF!,3,FALSE),VLOOKUP(EVZ7,#REF!,4,FALSE)),0)</f>
        <v/>
      </c>
      <c r="EWA1">
        <f>IFERROR(IF((ISBLANK(VLOOKUP(EWA7,#REF!,4,FALSE)))=TRUE,VLOOKUP(EWA7,#REF!,3,FALSE),VLOOKUP(EWA7,#REF!,4,FALSE)),0)</f>
        <v/>
      </c>
      <c r="EWB1">
        <f>IFERROR(IF((ISBLANK(VLOOKUP(EWB7,#REF!,4,FALSE)))=TRUE,VLOOKUP(EWB7,#REF!,3,FALSE),VLOOKUP(EWB7,#REF!,4,FALSE)),0)</f>
        <v/>
      </c>
      <c r="EWC1">
        <f>IFERROR(IF((ISBLANK(VLOOKUP(EWC7,#REF!,4,FALSE)))=TRUE,VLOOKUP(EWC7,#REF!,3,FALSE),VLOOKUP(EWC7,#REF!,4,FALSE)),0)</f>
        <v/>
      </c>
      <c r="EWD1">
        <f>IFERROR(IF((ISBLANK(VLOOKUP(EWD7,#REF!,4,FALSE)))=TRUE,VLOOKUP(EWD7,#REF!,3,FALSE),VLOOKUP(EWD7,#REF!,4,FALSE)),0)</f>
        <v/>
      </c>
      <c r="EWE1">
        <f>IFERROR(IF((ISBLANK(VLOOKUP(EWE7,#REF!,4,FALSE)))=TRUE,VLOOKUP(EWE7,#REF!,3,FALSE),VLOOKUP(EWE7,#REF!,4,FALSE)),0)</f>
        <v/>
      </c>
      <c r="EWF1">
        <f>IFERROR(IF((ISBLANK(VLOOKUP(EWF7,#REF!,4,FALSE)))=TRUE,VLOOKUP(EWF7,#REF!,3,FALSE),VLOOKUP(EWF7,#REF!,4,FALSE)),0)</f>
        <v/>
      </c>
      <c r="EWG1">
        <f>IFERROR(IF((ISBLANK(VLOOKUP(EWG7,#REF!,4,FALSE)))=TRUE,VLOOKUP(EWG7,#REF!,3,FALSE),VLOOKUP(EWG7,#REF!,4,FALSE)),0)</f>
        <v/>
      </c>
      <c r="EWH1">
        <f>IFERROR(IF((ISBLANK(VLOOKUP(EWH7,#REF!,4,FALSE)))=TRUE,VLOOKUP(EWH7,#REF!,3,FALSE),VLOOKUP(EWH7,#REF!,4,FALSE)),0)</f>
        <v/>
      </c>
      <c r="EWI1">
        <f>IFERROR(IF((ISBLANK(VLOOKUP(EWI7,#REF!,4,FALSE)))=TRUE,VLOOKUP(EWI7,#REF!,3,FALSE),VLOOKUP(EWI7,#REF!,4,FALSE)),0)</f>
        <v/>
      </c>
      <c r="EWJ1">
        <f>IFERROR(IF((ISBLANK(VLOOKUP(EWJ7,#REF!,4,FALSE)))=TRUE,VLOOKUP(EWJ7,#REF!,3,FALSE),VLOOKUP(EWJ7,#REF!,4,FALSE)),0)</f>
        <v/>
      </c>
      <c r="EWK1">
        <f>IFERROR(IF((ISBLANK(VLOOKUP(EWK7,#REF!,4,FALSE)))=TRUE,VLOOKUP(EWK7,#REF!,3,FALSE),VLOOKUP(EWK7,#REF!,4,FALSE)),0)</f>
        <v/>
      </c>
      <c r="EWL1">
        <f>IFERROR(IF((ISBLANK(VLOOKUP(EWL7,#REF!,4,FALSE)))=TRUE,VLOOKUP(EWL7,#REF!,3,FALSE),VLOOKUP(EWL7,#REF!,4,FALSE)),0)</f>
        <v/>
      </c>
      <c r="EWM1">
        <f>IFERROR(IF((ISBLANK(VLOOKUP(EWM7,#REF!,4,FALSE)))=TRUE,VLOOKUP(EWM7,#REF!,3,FALSE),VLOOKUP(EWM7,#REF!,4,FALSE)),0)</f>
        <v/>
      </c>
      <c r="EWN1">
        <f>IFERROR(IF((ISBLANK(VLOOKUP(EWN7,#REF!,4,FALSE)))=TRUE,VLOOKUP(EWN7,#REF!,3,FALSE),VLOOKUP(EWN7,#REF!,4,FALSE)),0)</f>
        <v/>
      </c>
      <c r="EWO1">
        <f>IFERROR(IF((ISBLANK(VLOOKUP(EWO7,#REF!,4,FALSE)))=TRUE,VLOOKUP(EWO7,#REF!,3,FALSE),VLOOKUP(EWO7,#REF!,4,FALSE)),0)</f>
        <v/>
      </c>
      <c r="EWP1">
        <f>IFERROR(IF((ISBLANK(VLOOKUP(EWP7,#REF!,4,FALSE)))=TRUE,VLOOKUP(EWP7,#REF!,3,FALSE),VLOOKUP(EWP7,#REF!,4,FALSE)),0)</f>
        <v/>
      </c>
      <c r="EWQ1">
        <f>IFERROR(IF((ISBLANK(VLOOKUP(EWQ7,#REF!,4,FALSE)))=TRUE,VLOOKUP(EWQ7,#REF!,3,FALSE),VLOOKUP(EWQ7,#REF!,4,FALSE)),0)</f>
        <v/>
      </c>
      <c r="EWR1">
        <f>IFERROR(IF((ISBLANK(VLOOKUP(EWR7,#REF!,4,FALSE)))=TRUE,VLOOKUP(EWR7,#REF!,3,FALSE),VLOOKUP(EWR7,#REF!,4,FALSE)),0)</f>
        <v/>
      </c>
      <c r="EWS1">
        <f>IFERROR(IF((ISBLANK(VLOOKUP(EWS7,#REF!,4,FALSE)))=TRUE,VLOOKUP(EWS7,#REF!,3,FALSE),VLOOKUP(EWS7,#REF!,4,FALSE)),0)</f>
        <v/>
      </c>
      <c r="EWT1">
        <f>IFERROR(IF((ISBLANK(VLOOKUP(EWT7,#REF!,4,FALSE)))=TRUE,VLOOKUP(EWT7,#REF!,3,FALSE),VLOOKUP(EWT7,#REF!,4,FALSE)),0)</f>
        <v/>
      </c>
      <c r="EWU1">
        <f>IFERROR(IF((ISBLANK(VLOOKUP(EWU7,#REF!,4,FALSE)))=TRUE,VLOOKUP(EWU7,#REF!,3,FALSE),VLOOKUP(EWU7,#REF!,4,FALSE)),0)</f>
        <v/>
      </c>
      <c r="EWV1">
        <f>IFERROR(IF((ISBLANK(VLOOKUP(EWV7,#REF!,4,FALSE)))=TRUE,VLOOKUP(EWV7,#REF!,3,FALSE),VLOOKUP(EWV7,#REF!,4,FALSE)),0)</f>
        <v/>
      </c>
      <c r="EWW1">
        <f>IFERROR(IF((ISBLANK(VLOOKUP(EWW7,#REF!,4,FALSE)))=TRUE,VLOOKUP(EWW7,#REF!,3,FALSE),VLOOKUP(EWW7,#REF!,4,FALSE)),0)</f>
        <v/>
      </c>
      <c r="EWX1">
        <f>IFERROR(IF((ISBLANK(VLOOKUP(EWX7,#REF!,4,FALSE)))=TRUE,VLOOKUP(EWX7,#REF!,3,FALSE),VLOOKUP(EWX7,#REF!,4,FALSE)),0)</f>
        <v/>
      </c>
      <c r="EWY1">
        <f>IFERROR(IF((ISBLANK(VLOOKUP(EWY7,#REF!,4,FALSE)))=TRUE,VLOOKUP(EWY7,#REF!,3,FALSE),VLOOKUP(EWY7,#REF!,4,FALSE)),0)</f>
        <v/>
      </c>
      <c r="EWZ1">
        <f>IFERROR(IF((ISBLANK(VLOOKUP(EWZ7,#REF!,4,FALSE)))=TRUE,VLOOKUP(EWZ7,#REF!,3,FALSE),VLOOKUP(EWZ7,#REF!,4,FALSE)),0)</f>
        <v/>
      </c>
      <c r="EXA1">
        <f>IFERROR(IF((ISBLANK(VLOOKUP(EXA7,#REF!,4,FALSE)))=TRUE,VLOOKUP(EXA7,#REF!,3,FALSE),VLOOKUP(EXA7,#REF!,4,FALSE)),0)</f>
        <v/>
      </c>
      <c r="EXB1">
        <f>IFERROR(IF((ISBLANK(VLOOKUP(EXB7,#REF!,4,FALSE)))=TRUE,VLOOKUP(EXB7,#REF!,3,FALSE),VLOOKUP(EXB7,#REF!,4,FALSE)),0)</f>
        <v/>
      </c>
      <c r="EXC1">
        <f>IFERROR(IF((ISBLANK(VLOOKUP(EXC7,#REF!,4,FALSE)))=TRUE,VLOOKUP(EXC7,#REF!,3,FALSE),VLOOKUP(EXC7,#REF!,4,FALSE)),0)</f>
        <v/>
      </c>
      <c r="EXD1">
        <f>IFERROR(IF((ISBLANK(VLOOKUP(EXD7,#REF!,4,FALSE)))=TRUE,VLOOKUP(EXD7,#REF!,3,FALSE),VLOOKUP(EXD7,#REF!,4,FALSE)),0)</f>
        <v/>
      </c>
      <c r="EXE1">
        <f>IFERROR(IF((ISBLANK(VLOOKUP(EXE7,#REF!,4,FALSE)))=TRUE,VLOOKUP(EXE7,#REF!,3,FALSE),VLOOKUP(EXE7,#REF!,4,FALSE)),0)</f>
        <v/>
      </c>
      <c r="EXF1">
        <f>IFERROR(IF((ISBLANK(VLOOKUP(EXF7,#REF!,4,FALSE)))=TRUE,VLOOKUP(EXF7,#REF!,3,FALSE),VLOOKUP(EXF7,#REF!,4,FALSE)),0)</f>
        <v/>
      </c>
      <c r="EXG1">
        <f>IFERROR(IF((ISBLANK(VLOOKUP(EXG7,#REF!,4,FALSE)))=TRUE,VLOOKUP(EXG7,#REF!,3,FALSE),VLOOKUP(EXG7,#REF!,4,FALSE)),0)</f>
        <v/>
      </c>
      <c r="EXH1">
        <f>IFERROR(IF((ISBLANK(VLOOKUP(EXH7,#REF!,4,FALSE)))=TRUE,VLOOKUP(EXH7,#REF!,3,FALSE),VLOOKUP(EXH7,#REF!,4,FALSE)),0)</f>
        <v/>
      </c>
      <c r="EXI1">
        <f>IFERROR(IF((ISBLANK(VLOOKUP(EXI7,#REF!,4,FALSE)))=TRUE,VLOOKUP(EXI7,#REF!,3,FALSE),VLOOKUP(EXI7,#REF!,4,FALSE)),0)</f>
        <v/>
      </c>
      <c r="EXJ1">
        <f>IFERROR(IF((ISBLANK(VLOOKUP(EXJ7,#REF!,4,FALSE)))=TRUE,VLOOKUP(EXJ7,#REF!,3,FALSE),VLOOKUP(EXJ7,#REF!,4,FALSE)),0)</f>
        <v/>
      </c>
      <c r="EXK1">
        <f>IFERROR(IF((ISBLANK(VLOOKUP(EXK7,#REF!,4,FALSE)))=TRUE,VLOOKUP(EXK7,#REF!,3,FALSE),VLOOKUP(EXK7,#REF!,4,FALSE)),0)</f>
        <v/>
      </c>
      <c r="EXL1">
        <f>IFERROR(IF((ISBLANK(VLOOKUP(EXL7,#REF!,4,FALSE)))=TRUE,VLOOKUP(EXL7,#REF!,3,FALSE),VLOOKUP(EXL7,#REF!,4,FALSE)),0)</f>
        <v/>
      </c>
      <c r="EXM1">
        <f>IFERROR(IF((ISBLANK(VLOOKUP(EXM7,#REF!,4,FALSE)))=TRUE,VLOOKUP(EXM7,#REF!,3,FALSE),VLOOKUP(EXM7,#REF!,4,FALSE)),0)</f>
        <v/>
      </c>
      <c r="EXN1">
        <f>IFERROR(IF((ISBLANK(VLOOKUP(EXN7,#REF!,4,FALSE)))=TRUE,VLOOKUP(EXN7,#REF!,3,FALSE),VLOOKUP(EXN7,#REF!,4,FALSE)),0)</f>
        <v/>
      </c>
      <c r="EXO1">
        <f>IFERROR(IF((ISBLANK(VLOOKUP(EXO7,#REF!,4,FALSE)))=TRUE,VLOOKUP(EXO7,#REF!,3,FALSE),VLOOKUP(EXO7,#REF!,4,FALSE)),0)</f>
        <v/>
      </c>
      <c r="EXP1">
        <f>IFERROR(IF((ISBLANK(VLOOKUP(EXP7,#REF!,4,FALSE)))=TRUE,VLOOKUP(EXP7,#REF!,3,FALSE),VLOOKUP(EXP7,#REF!,4,FALSE)),0)</f>
        <v/>
      </c>
      <c r="EXQ1">
        <f>IFERROR(IF((ISBLANK(VLOOKUP(EXQ7,#REF!,4,FALSE)))=TRUE,VLOOKUP(EXQ7,#REF!,3,FALSE),VLOOKUP(EXQ7,#REF!,4,FALSE)),0)</f>
        <v/>
      </c>
      <c r="EXR1">
        <f>IFERROR(IF((ISBLANK(VLOOKUP(EXR7,#REF!,4,FALSE)))=TRUE,VLOOKUP(EXR7,#REF!,3,FALSE),VLOOKUP(EXR7,#REF!,4,FALSE)),0)</f>
        <v/>
      </c>
      <c r="EXS1">
        <f>IFERROR(IF((ISBLANK(VLOOKUP(EXS7,#REF!,4,FALSE)))=TRUE,VLOOKUP(EXS7,#REF!,3,FALSE),VLOOKUP(EXS7,#REF!,4,FALSE)),0)</f>
        <v/>
      </c>
      <c r="EXT1">
        <f>IFERROR(IF((ISBLANK(VLOOKUP(EXT7,#REF!,4,FALSE)))=TRUE,VLOOKUP(EXT7,#REF!,3,FALSE),VLOOKUP(EXT7,#REF!,4,FALSE)),0)</f>
        <v/>
      </c>
      <c r="EXU1">
        <f>IFERROR(IF((ISBLANK(VLOOKUP(EXU7,#REF!,4,FALSE)))=TRUE,VLOOKUP(EXU7,#REF!,3,FALSE),VLOOKUP(EXU7,#REF!,4,FALSE)),0)</f>
        <v/>
      </c>
      <c r="EXV1">
        <f>IFERROR(IF((ISBLANK(VLOOKUP(EXV7,#REF!,4,FALSE)))=TRUE,VLOOKUP(EXV7,#REF!,3,FALSE),VLOOKUP(EXV7,#REF!,4,FALSE)),0)</f>
        <v/>
      </c>
      <c r="EXW1">
        <f>IFERROR(IF((ISBLANK(VLOOKUP(EXW7,#REF!,4,FALSE)))=TRUE,VLOOKUP(EXW7,#REF!,3,FALSE),VLOOKUP(EXW7,#REF!,4,FALSE)),0)</f>
        <v/>
      </c>
      <c r="EXX1">
        <f>IFERROR(IF((ISBLANK(VLOOKUP(EXX7,#REF!,4,FALSE)))=TRUE,VLOOKUP(EXX7,#REF!,3,FALSE),VLOOKUP(EXX7,#REF!,4,FALSE)),0)</f>
        <v/>
      </c>
      <c r="EXY1">
        <f>IFERROR(IF((ISBLANK(VLOOKUP(EXY7,#REF!,4,FALSE)))=TRUE,VLOOKUP(EXY7,#REF!,3,FALSE),VLOOKUP(EXY7,#REF!,4,FALSE)),0)</f>
        <v/>
      </c>
      <c r="EXZ1">
        <f>IFERROR(IF((ISBLANK(VLOOKUP(EXZ7,#REF!,4,FALSE)))=TRUE,VLOOKUP(EXZ7,#REF!,3,FALSE),VLOOKUP(EXZ7,#REF!,4,FALSE)),0)</f>
        <v/>
      </c>
      <c r="EYA1">
        <f>IFERROR(IF((ISBLANK(VLOOKUP(EYA7,#REF!,4,FALSE)))=TRUE,VLOOKUP(EYA7,#REF!,3,FALSE),VLOOKUP(EYA7,#REF!,4,FALSE)),0)</f>
        <v/>
      </c>
      <c r="EYB1">
        <f>IFERROR(IF((ISBLANK(VLOOKUP(EYB7,#REF!,4,FALSE)))=TRUE,VLOOKUP(EYB7,#REF!,3,FALSE),VLOOKUP(EYB7,#REF!,4,FALSE)),0)</f>
        <v/>
      </c>
      <c r="EYC1">
        <f>IFERROR(IF((ISBLANK(VLOOKUP(EYC7,#REF!,4,FALSE)))=TRUE,VLOOKUP(EYC7,#REF!,3,FALSE),VLOOKUP(EYC7,#REF!,4,FALSE)),0)</f>
        <v/>
      </c>
      <c r="EYD1">
        <f>IFERROR(IF((ISBLANK(VLOOKUP(EYD7,#REF!,4,FALSE)))=TRUE,VLOOKUP(EYD7,#REF!,3,FALSE),VLOOKUP(EYD7,#REF!,4,FALSE)),0)</f>
        <v/>
      </c>
      <c r="EYE1">
        <f>IFERROR(IF((ISBLANK(VLOOKUP(EYE7,#REF!,4,FALSE)))=TRUE,VLOOKUP(EYE7,#REF!,3,FALSE),VLOOKUP(EYE7,#REF!,4,FALSE)),0)</f>
        <v/>
      </c>
      <c r="EYF1">
        <f>IFERROR(IF((ISBLANK(VLOOKUP(EYF7,#REF!,4,FALSE)))=TRUE,VLOOKUP(EYF7,#REF!,3,FALSE),VLOOKUP(EYF7,#REF!,4,FALSE)),0)</f>
        <v/>
      </c>
      <c r="EYG1">
        <f>IFERROR(IF((ISBLANK(VLOOKUP(EYG7,#REF!,4,FALSE)))=TRUE,VLOOKUP(EYG7,#REF!,3,FALSE),VLOOKUP(EYG7,#REF!,4,FALSE)),0)</f>
        <v/>
      </c>
      <c r="EYH1">
        <f>IFERROR(IF((ISBLANK(VLOOKUP(EYH7,#REF!,4,FALSE)))=TRUE,VLOOKUP(EYH7,#REF!,3,FALSE),VLOOKUP(EYH7,#REF!,4,FALSE)),0)</f>
        <v/>
      </c>
      <c r="EYI1">
        <f>IFERROR(IF((ISBLANK(VLOOKUP(EYI7,#REF!,4,FALSE)))=TRUE,VLOOKUP(EYI7,#REF!,3,FALSE),VLOOKUP(EYI7,#REF!,4,FALSE)),0)</f>
        <v/>
      </c>
      <c r="EYJ1">
        <f>IFERROR(IF((ISBLANK(VLOOKUP(EYJ7,#REF!,4,FALSE)))=TRUE,VLOOKUP(EYJ7,#REF!,3,FALSE),VLOOKUP(EYJ7,#REF!,4,FALSE)),0)</f>
        <v/>
      </c>
      <c r="EYK1">
        <f>IFERROR(IF((ISBLANK(VLOOKUP(EYK7,#REF!,4,FALSE)))=TRUE,VLOOKUP(EYK7,#REF!,3,FALSE),VLOOKUP(EYK7,#REF!,4,FALSE)),0)</f>
        <v/>
      </c>
      <c r="EYL1">
        <f>IFERROR(IF((ISBLANK(VLOOKUP(EYL7,#REF!,4,FALSE)))=TRUE,VLOOKUP(EYL7,#REF!,3,FALSE),VLOOKUP(EYL7,#REF!,4,FALSE)),0)</f>
        <v/>
      </c>
      <c r="EYM1">
        <f>IFERROR(IF((ISBLANK(VLOOKUP(EYM7,#REF!,4,FALSE)))=TRUE,VLOOKUP(EYM7,#REF!,3,FALSE),VLOOKUP(EYM7,#REF!,4,FALSE)),0)</f>
        <v/>
      </c>
      <c r="EYN1">
        <f>IFERROR(IF((ISBLANK(VLOOKUP(EYN7,#REF!,4,FALSE)))=TRUE,VLOOKUP(EYN7,#REF!,3,FALSE),VLOOKUP(EYN7,#REF!,4,FALSE)),0)</f>
        <v/>
      </c>
      <c r="EYO1">
        <f>IFERROR(IF((ISBLANK(VLOOKUP(EYO7,#REF!,4,FALSE)))=TRUE,VLOOKUP(EYO7,#REF!,3,FALSE),VLOOKUP(EYO7,#REF!,4,FALSE)),0)</f>
        <v/>
      </c>
      <c r="EYP1">
        <f>IFERROR(IF((ISBLANK(VLOOKUP(EYP7,#REF!,4,FALSE)))=TRUE,VLOOKUP(EYP7,#REF!,3,FALSE),VLOOKUP(EYP7,#REF!,4,FALSE)),0)</f>
        <v/>
      </c>
      <c r="EYQ1">
        <f>IFERROR(IF((ISBLANK(VLOOKUP(EYQ7,#REF!,4,FALSE)))=TRUE,VLOOKUP(EYQ7,#REF!,3,FALSE),VLOOKUP(EYQ7,#REF!,4,FALSE)),0)</f>
        <v/>
      </c>
      <c r="EYR1">
        <f>IFERROR(IF((ISBLANK(VLOOKUP(EYR7,#REF!,4,FALSE)))=TRUE,VLOOKUP(EYR7,#REF!,3,FALSE),VLOOKUP(EYR7,#REF!,4,FALSE)),0)</f>
        <v/>
      </c>
      <c r="EYS1">
        <f>IFERROR(IF((ISBLANK(VLOOKUP(EYS7,#REF!,4,FALSE)))=TRUE,VLOOKUP(EYS7,#REF!,3,FALSE),VLOOKUP(EYS7,#REF!,4,FALSE)),0)</f>
        <v/>
      </c>
      <c r="EYT1">
        <f>IFERROR(IF((ISBLANK(VLOOKUP(EYT7,#REF!,4,FALSE)))=TRUE,VLOOKUP(EYT7,#REF!,3,FALSE),VLOOKUP(EYT7,#REF!,4,FALSE)),0)</f>
        <v/>
      </c>
      <c r="EYU1">
        <f>IFERROR(IF((ISBLANK(VLOOKUP(EYU7,#REF!,4,FALSE)))=TRUE,VLOOKUP(EYU7,#REF!,3,FALSE),VLOOKUP(EYU7,#REF!,4,FALSE)),0)</f>
        <v/>
      </c>
      <c r="EYV1">
        <f>IFERROR(IF((ISBLANK(VLOOKUP(EYV7,#REF!,4,FALSE)))=TRUE,VLOOKUP(EYV7,#REF!,3,FALSE),VLOOKUP(EYV7,#REF!,4,FALSE)),0)</f>
        <v/>
      </c>
      <c r="EYW1">
        <f>IFERROR(IF((ISBLANK(VLOOKUP(EYW7,#REF!,4,FALSE)))=TRUE,VLOOKUP(EYW7,#REF!,3,FALSE),VLOOKUP(EYW7,#REF!,4,FALSE)),0)</f>
        <v/>
      </c>
      <c r="EYX1">
        <f>IFERROR(IF((ISBLANK(VLOOKUP(EYX7,#REF!,4,FALSE)))=TRUE,VLOOKUP(EYX7,#REF!,3,FALSE),VLOOKUP(EYX7,#REF!,4,FALSE)),0)</f>
        <v/>
      </c>
      <c r="EYY1">
        <f>IFERROR(IF((ISBLANK(VLOOKUP(EYY7,#REF!,4,FALSE)))=TRUE,VLOOKUP(EYY7,#REF!,3,FALSE),VLOOKUP(EYY7,#REF!,4,FALSE)),0)</f>
        <v/>
      </c>
      <c r="EYZ1">
        <f>IFERROR(IF((ISBLANK(VLOOKUP(EYZ7,#REF!,4,FALSE)))=TRUE,VLOOKUP(EYZ7,#REF!,3,FALSE),VLOOKUP(EYZ7,#REF!,4,FALSE)),0)</f>
        <v/>
      </c>
      <c r="EZA1">
        <f>IFERROR(IF((ISBLANK(VLOOKUP(EZA7,#REF!,4,FALSE)))=TRUE,VLOOKUP(EZA7,#REF!,3,FALSE),VLOOKUP(EZA7,#REF!,4,FALSE)),0)</f>
        <v/>
      </c>
      <c r="EZB1">
        <f>IFERROR(IF((ISBLANK(VLOOKUP(EZB7,#REF!,4,FALSE)))=TRUE,VLOOKUP(EZB7,#REF!,3,FALSE),VLOOKUP(EZB7,#REF!,4,FALSE)),0)</f>
        <v/>
      </c>
      <c r="EZC1">
        <f>IFERROR(IF((ISBLANK(VLOOKUP(EZC7,#REF!,4,FALSE)))=TRUE,VLOOKUP(EZC7,#REF!,3,FALSE),VLOOKUP(EZC7,#REF!,4,FALSE)),0)</f>
        <v/>
      </c>
      <c r="EZD1">
        <f>IFERROR(IF((ISBLANK(VLOOKUP(EZD7,#REF!,4,FALSE)))=TRUE,VLOOKUP(EZD7,#REF!,3,FALSE),VLOOKUP(EZD7,#REF!,4,FALSE)),0)</f>
        <v/>
      </c>
      <c r="EZE1">
        <f>IFERROR(IF((ISBLANK(VLOOKUP(EZE7,#REF!,4,FALSE)))=TRUE,VLOOKUP(EZE7,#REF!,3,FALSE),VLOOKUP(EZE7,#REF!,4,FALSE)),0)</f>
        <v/>
      </c>
      <c r="EZF1">
        <f>IFERROR(IF((ISBLANK(VLOOKUP(EZF7,#REF!,4,FALSE)))=TRUE,VLOOKUP(EZF7,#REF!,3,FALSE),VLOOKUP(EZF7,#REF!,4,FALSE)),0)</f>
        <v/>
      </c>
      <c r="EZG1">
        <f>IFERROR(IF((ISBLANK(VLOOKUP(EZG7,#REF!,4,FALSE)))=TRUE,VLOOKUP(EZG7,#REF!,3,FALSE),VLOOKUP(EZG7,#REF!,4,FALSE)),0)</f>
        <v/>
      </c>
      <c r="EZH1">
        <f>IFERROR(IF((ISBLANK(VLOOKUP(EZH7,#REF!,4,FALSE)))=TRUE,VLOOKUP(EZH7,#REF!,3,FALSE),VLOOKUP(EZH7,#REF!,4,FALSE)),0)</f>
        <v/>
      </c>
      <c r="EZI1">
        <f>IFERROR(IF((ISBLANK(VLOOKUP(EZI7,#REF!,4,FALSE)))=TRUE,VLOOKUP(EZI7,#REF!,3,FALSE),VLOOKUP(EZI7,#REF!,4,FALSE)),0)</f>
        <v/>
      </c>
      <c r="EZJ1">
        <f>IFERROR(IF((ISBLANK(VLOOKUP(EZJ7,#REF!,4,FALSE)))=TRUE,VLOOKUP(EZJ7,#REF!,3,FALSE),VLOOKUP(EZJ7,#REF!,4,FALSE)),0)</f>
        <v/>
      </c>
      <c r="EZK1">
        <f>IFERROR(IF((ISBLANK(VLOOKUP(EZK7,#REF!,4,FALSE)))=TRUE,VLOOKUP(EZK7,#REF!,3,FALSE),VLOOKUP(EZK7,#REF!,4,FALSE)),0)</f>
        <v/>
      </c>
      <c r="EZL1">
        <f>IFERROR(IF((ISBLANK(VLOOKUP(EZL7,#REF!,4,FALSE)))=TRUE,VLOOKUP(EZL7,#REF!,3,FALSE),VLOOKUP(EZL7,#REF!,4,FALSE)),0)</f>
        <v/>
      </c>
      <c r="EZM1">
        <f>IFERROR(IF((ISBLANK(VLOOKUP(EZM7,#REF!,4,FALSE)))=TRUE,VLOOKUP(EZM7,#REF!,3,FALSE),VLOOKUP(EZM7,#REF!,4,FALSE)),0)</f>
        <v/>
      </c>
      <c r="EZN1">
        <f>IFERROR(IF((ISBLANK(VLOOKUP(EZN7,#REF!,4,FALSE)))=TRUE,VLOOKUP(EZN7,#REF!,3,FALSE),VLOOKUP(EZN7,#REF!,4,FALSE)),0)</f>
        <v/>
      </c>
      <c r="EZO1">
        <f>IFERROR(IF((ISBLANK(VLOOKUP(EZO7,#REF!,4,FALSE)))=TRUE,VLOOKUP(EZO7,#REF!,3,FALSE),VLOOKUP(EZO7,#REF!,4,FALSE)),0)</f>
        <v/>
      </c>
      <c r="EZP1">
        <f>IFERROR(IF((ISBLANK(VLOOKUP(EZP7,#REF!,4,FALSE)))=TRUE,VLOOKUP(EZP7,#REF!,3,FALSE),VLOOKUP(EZP7,#REF!,4,FALSE)),0)</f>
        <v/>
      </c>
      <c r="EZQ1">
        <f>IFERROR(IF((ISBLANK(VLOOKUP(EZQ7,#REF!,4,FALSE)))=TRUE,VLOOKUP(EZQ7,#REF!,3,FALSE),VLOOKUP(EZQ7,#REF!,4,FALSE)),0)</f>
        <v/>
      </c>
      <c r="EZR1">
        <f>IFERROR(IF((ISBLANK(VLOOKUP(EZR7,#REF!,4,FALSE)))=TRUE,VLOOKUP(EZR7,#REF!,3,FALSE),VLOOKUP(EZR7,#REF!,4,FALSE)),0)</f>
        <v/>
      </c>
      <c r="EZS1">
        <f>IFERROR(IF((ISBLANK(VLOOKUP(EZS7,#REF!,4,FALSE)))=TRUE,VLOOKUP(EZS7,#REF!,3,FALSE),VLOOKUP(EZS7,#REF!,4,FALSE)),0)</f>
        <v/>
      </c>
      <c r="EZT1">
        <f>IFERROR(IF((ISBLANK(VLOOKUP(EZT7,#REF!,4,FALSE)))=TRUE,VLOOKUP(EZT7,#REF!,3,FALSE),VLOOKUP(EZT7,#REF!,4,FALSE)),0)</f>
        <v/>
      </c>
      <c r="EZU1">
        <f>IFERROR(IF((ISBLANK(VLOOKUP(EZU7,#REF!,4,FALSE)))=TRUE,VLOOKUP(EZU7,#REF!,3,FALSE),VLOOKUP(EZU7,#REF!,4,FALSE)),0)</f>
        <v/>
      </c>
      <c r="EZV1">
        <f>IFERROR(IF((ISBLANK(VLOOKUP(EZV7,#REF!,4,FALSE)))=TRUE,VLOOKUP(EZV7,#REF!,3,FALSE),VLOOKUP(EZV7,#REF!,4,FALSE)),0)</f>
        <v/>
      </c>
      <c r="EZW1">
        <f>IFERROR(IF((ISBLANK(VLOOKUP(EZW7,#REF!,4,FALSE)))=TRUE,VLOOKUP(EZW7,#REF!,3,FALSE),VLOOKUP(EZW7,#REF!,4,FALSE)),0)</f>
        <v/>
      </c>
      <c r="EZX1">
        <f>IFERROR(IF((ISBLANK(VLOOKUP(EZX7,#REF!,4,FALSE)))=TRUE,VLOOKUP(EZX7,#REF!,3,FALSE),VLOOKUP(EZX7,#REF!,4,FALSE)),0)</f>
        <v/>
      </c>
      <c r="EZY1">
        <f>IFERROR(IF((ISBLANK(VLOOKUP(EZY7,#REF!,4,FALSE)))=TRUE,VLOOKUP(EZY7,#REF!,3,FALSE),VLOOKUP(EZY7,#REF!,4,FALSE)),0)</f>
        <v/>
      </c>
      <c r="EZZ1">
        <f>IFERROR(IF((ISBLANK(VLOOKUP(EZZ7,#REF!,4,FALSE)))=TRUE,VLOOKUP(EZZ7,#REF!,3,FALSE),VLOOKUP(EZZ7,#REF!,4,FALSE)),0)</f>
        <v/>
      </c>
      <c r="FAA1">
        <f>IFERROR(IF((ISBLANK(VLOOKUP(FAA7,#REF!,4,FALSE)))=TRUE,VLOOKUP(FAA7,#REF!,3,FALSE),VLOOKUP(FAA7,#REF!,4,FALSE)),0)</f>
        <v/>
      </c>
      <c r="FAB1">
        <f>IFERROR(IF((ISBLANK(VLOOKUP(FAB7,#REF!,4,FALSE)))=TRUE,VLOOKUP(FAB7,#REF!,3,FALSE),VLOOKUP(FAB7,#REF!,4,FALSE)),0)</f>
        <v/>
      </c>
      <c r="FAC1">
        <f>IFERROR(IF((ISBLANK(VLOOKUP(FAC7,#REF!,4,FALSE)))=TRUE,VLOOKUP(FAC7,#REF!,3,FALSE),VLOOKUP(FAC7,#REF!,4,FALSE)),0)</f>
        <v/>
      </c>
      <c r="FAD1">
        <f>IFERROR(IF((ISBLANK(VLOOKUP(FAD7,#REF!,4,FALSE)))=TRUE,VLOOKUP(FAD7,#REF!,3,FALSE),VLOOKUP(FAD7,#REF!,4,FALSE)),0)</f>
        <v/>
      </c>
      <c r="FAE1">
        <f>IFERROR(IF((ISBLANK(VLOOKUP(FAE7,#REF!,4,FALSE)))=TRUE,VLOOKUP(FAE7,#REF!,3,FALSE),VLOOKUP(FAE7,#REF!,4,FALSE)),0)</f>
        <v/>
      </c>
      <c r="FAF1">
        <f>IFERROR(IF((ISBLANK(VLOOKUP(FAF7,#REF!,4,FALSE)))=TRUE,VLOOKUP(FAF7,#REF!,3,FALSE),VLOOKUP(FAF7,#REF!,4,FALSE)),0)</f>
        <v/>
      </c>
      <c r="FAG1">
        <f>IFERROR(IF((ISBLANK(VLOOKUP(FAG7,#REF!,4,FALSE)))=TRUE,VLOOKUP(FAG7,#REF!,3,FALSE),VLOOKUP(FAG7,#REF!,4,FALSE)),0)</f>
        <v/>
      </c>
      <c r="FAH1">
        <f>IFERROR(IF((ISBLANK(VLOOKUP(FAH7,#REF!,4,FALSE)))=TRUE,VLOOKUP(FAH7,#REF!,3,FALSE),VLOOKUP(FAH7,#REF!,4,FALSE)),0)</f>
        <v/>
      </c>
      <c r="FAI1">
        <f>IFERROR(IF((ISBLANK(VLOOKUP(FAI7,#REF!,4,FALSE)))=TRUE,VLOOKUP(FAI7,#REF!,3,FALSE),VLOOKUP(FAI7,#REF!,4,FALSE)),0)</f>
        <v/>
      </c>
      <c r="FAJ1">
        <f>IFERROR(IF((ISBLANK(VLOOKUP(FAJ7,#REF!,4,FALSE)))=TRUE,VLOOKUP(FAJ7,#REF!,3,FALSE),VLOOKUP(FAJ7,#REF!,4,FALSE)),0)</f>
        <v/>
      </c>
      <c r="FAK1">
        <f>IFERROR(IF((ISBLANK(VLOOKUP(FAK7,#REF!,4,FALSE)))=TRUE,VLOOKUP(FAK7,#REF!,3,FALSE),VLOOKUP(FAK7,#REF!,4,FALSE)),0)</f>
        <v/>
      </c>
      <c r="FAL1">
        <f>IFERROR(IF((ISBLANK(VLOOKUP(FAL7,#REF!,4,FALSE)))=TRUE,VLOOKUP(FAL7,#REF!,3,FALSE),VLOOKUP(FAL7,#REF!,4,FALSE)),0)</f>
        <v/>
      </c>
      <c r="FAM1">
        <f>IFERROR(IF((ISBLANK(VLOOKUP(FAM7,#REF!,4,FALSE)))=TRUE,VLOOKUP(FAM7,#REF!,3,FALSE),VLOOKUP(FAM7,#REF!,4,FALSE)),0)</f>
        <v/>
      </c>
      <c r="FAN1">
        <f>IFERROR(IF((ISBLANK(VLOOKUP(FAN7,#REF!,4,FALSE)))=TRUE,VLOOKUP(FAN7,#REF!,3,FALSE),VLOOKUP(FAN7,#REF!,4,FALSE)),0)</f>
        <v/>
      </c>
      <c r="FAO1">
        <f>IFERROR(IF((ISBLANK(VLOOKUP(FAO7,#REF!,4,FALSE)))=TRUE,VLOOKUP(FAO7,#REF!,3,FALSE),VLOOKUP(FAO7,#REF!,4,FALSE)),0)</f>
        <v/>
      </c>
      <c r="FAP1">
        <f>IFERROR(IF((ISBLANK(VLOOKUP(FAP7,#REF!,4,FALSE)))=TRUE,VLOOKUP(FAP7,#REF!,3,FALSE),VLOOKUP(FAP7,#REF!,4,FALSE)),0)</f>
        <v/>
      </c>
      <c r="FAQ1">
        <f>IFERROR(IF((ISBLANK(VLOOKUP(FAQ7,#REF!,4,FALSE)))=TRUE,VLOOKUP(FAQ7,#REF!,3,FALSE),VLOOKUP(FAQ7,#REF!,4,FALSE)),0)</f>
        <v/>
      </c>
      <c r="FAR1">
        <f>IFERROR(IF((ISBLANK(VLOOKUP(FAR7,#REF!,4,FALSE)))=TRUE,VLOOKUP(FAR7,#REF!,3,FALSE),VLOOKUP(FAR7,#REF!,4,FALSE)),0)</f>
        <v/>
      </c>
      <c r="FAS1">
        <f>IFERROR(IF((ISBLANK(VLOOKUP(FAS7,#REF!,4,FALSE)))=TRUE,VLOOKUP(FAS7,#REF!,3,FALSE),VLOOKUP(FAS7,#REF!,4,FALSE)),0)</f>
        <v/>
      </c>
      <c r="FAT1">
        <f>IFERROR(IF((ISBLANK(VLOOKUP(FAT7,#REF!,4,FALSE)))=TRUE,VLOOKUP(FAT7,#REF!,3,FALSE),VLOOKUP(FAT7,#REF!,4,FALSE)),0)</f>
        <v/>
      </c>
      <c r="FAU1">
        <f>IFERROR(IF((ISBLANK(VLOOKUP(FAU7,#REF!,4,FALSE)))=TRUE,VLOOKUP(FAU7,#REF!,3,FALSE),VLOOKUP(FAU7,#REF!,4,FALSE)),0)</f>
        <v/>
      </c>
      <c r="FAV1">
        <f>IFERROR(IF((ISBLANK(VLOOKUP(FAV7,#REF!,4,FALSE)))=TRUE,VLOOKUP(FAV7,#REF!,3,FALSE),VLOOKUP(FAV7,#REF!,4,FALSE)),0)</f>
        <v/>
      </c>
      <c r="FAW1">
        <f>IFERROR(IF((ISBLANK(VLOOKUP(FAW7,#REF!,4,FALSE)))=TRUE,VLOOKUP(FAW7,#REF!,3,FALSE),VLOOKUP(FAW7,#REF!,4,FALSE)),0)</f>
        <v/>
      </c>
      <c r="FAX1">
        <f>IFERROR(IF((ISBLANK(VLOOKUP(FAX7,#REF!,4,FALSE)))=TRUE,VLOOKUP(FAX7,#REF!,3,FALSE),VLOOKUP(FAX7,#REF!,4,FALSE)),0)</f>
        <v/>
      </c>
      <c r="FAY1">
        <f>IFERROR(IF((ISBLANK(VLOOKUP(FAY7,#REF!,4,FALSE)))=TRUE,VLOOKUP(FAY7,#REF!,3,FALSE),VLOOKUP(FAY7,#REF!,4,FALSE)),0)</f>
        <v/>
      </c>
      <c r="FAZ1">
        <f>IFERROR(IF((ISBLANK(VLOOKUP(FAZ7,#REF!,4,FALSE)))=TRUE,VLOOKUP(FAZ7,#REF!,3,FALSE),VLOOKUP(FAZ7,#REF!,4,FALSE)),0)</f>
        <v/>
      </c>
      <c r="FBA1">
        <f>IFERROR(IF((ISBLANK(VLOOKUP(FBA7,#REF!,4,FALSE)))=TRUE,VLOOKUP(FBA7,#REF!,3,FALSE),VLOOKUP(FBA7,#REF!,4,FALSE)),0)</f>
        <v/>
      </c>
      <c r="FBB1">
        <f>IFERROR(IF((ISBLANK(VLOOKUP(FBB7,#REF!,4,FALSE)))=TRUE,VLOOKUP(FBB7,#REF!,3,FALSE),VLOOKUP(FBB7,#REF!,4,FALSE)),0)</f>
        <v/>
      </c>
      <c r="FBC1">
        <f>IFERROR(IF((ISBLANK(VLOOKUP(FBC7,#REF!,4,FALSE)))=TRUE,VLOOKUP(FBC7,#REF!,3,FALSE),VLOOKUP(FBC7,#REF!,4,FALSE)),0)</f>
        <v/>
      </c>
      <c r="FBD1">
        <f>IFERROR(IF((ISBLANK(VLOOKUP(FBD7,#REF!,4,FALSE)))=TRUE,VLOOKUP(FBD7,#REF!,3,FALSE),VLOOKUP(FBD7,#REF!,4,FALSE)),0)</f>
        <v/>
      </c>
      <c r="FBE1">
        <f>IFERROR(IF((ISBLANK(VLOOKUP(FBE7,#REF!,4,FALSE)))=TRUE,VLOOKUP(FBE7,#REF!,3,FALSE),VLOOKUP(FBE7,#REF!,4,FALSE)),0)</f>
        <v/>
      </c>
      <c r="FBF1">
        <f>IFERROR(IF((ISBLANK(VLOOKUP(FBF7,#REF!,4,FALSE)))=TRUE,VLOOKUP(FBF7,#REF!,3,FALSE),VLOOKUP(FBF7,#REF!,4,FALSE)),0)</f>
        <v/>
      </c>
      <c r="FBG1">
        <f>IFERROR(IF((ISBLANK(VLOOKUP(FBG7,#REF!,4,FALSE)))=TRUE,VLOOKUP(FBG7,#REF!,3,FALSE),VLOOKUP(FBG7,#REF!,4,FALSE)),0)</f>
        <v/>
      </c>
      <c r="FBH1">
        <f>IFERROR(IF((ISBLANK(VLOOKUP(FBH7,#REF!,4,FALSE)))=TRUE,VLOOKUP(FBH7,#REF!,3,FALSE),VLOOKUP(FBH7,#REF!,4,FALSE)),0)</f>
        <v/>
      </c>
      <c r="FBI1">
        <f>IFERROR(IF((ISBLANK(VLOOKUP(FBI7,#REF!,4,FALSE)))=TRUE,VLOOKUP(FBI7,#REF!,3,FALSE),VLOOKUP(FBI7,#REF!,4,FALSE)),0)</f>
        <v/>
      </c>
      <c r="FBJ1">
        <f>IFERROR(IF((ISBLANK(VLOOKUP(FBJ7,#REF!,4,FALSE)))=TRUE,VLOOKUP(FBJ7,#REF!,3,FALSE),VLOOKUP(FBJ7,#REF!,4,FALSE)),0)</f>
        <v/>
      </c>
      <c r="FBK1">
        <f>IFERROR(IF((ISBLANK(VLOOKUP(FBK7,#REF!,4,FALSE)))=TRUE,VLOOKUP(FBK7,#REF!,3,FALSE),VLOOKUP(FBK7,#REF!,4,FALSE)),0)</f>
        <v/>
      </c>
      <c r="FBL1">
        <f>IFERROR(IF((ISBLANK(VLOOKUP(FBL7,#REF!,4,FALSE)))=TRUE,VLOOKUP(FBL7,#REF!,3,FALSE),VLOOKUP(FBL7,#REF!,4,FALSE)),0)</f>
        <v/>
      </c>
      <c r="FBM1">
        <f>IFERROR(IF((ISBLANK(VLOOKUP(FBM7,#REF!,4,FALSE)))=TRUE,VLOOKUP(FBM7,#REF!,3,FALSE),VLOOKUP(FBM7,#REF!,4,FALSE)),0)</f>
        <v/>
      </c>
      <c r="FBN1">
        <f>IFERROR(IF((ISBLANK(VLOOKUP(FBN7,#REF!,4,FALSE)))=TRUE,VLOOKUP(FBN7,#REF!,3,FALSE),VLOOKUP(FBN7,#REF!,4,FALSE)),0)</f>
        <v/>
      </c>
      <c r="FBO1">
        <f>IFERROR(IF((ISBLANK(VLOOKUP(FBO7,#REF!,4,FALSE)))=TRUE,VLOOKUP(FBO7,#REF!,3,FALSE),VLOOKUP(FBO7,#REF!,4,FALSE)),0)</f>
        <v/>
      </c>
      <c r="FBP1">
        <f>IFERROR(IF((ISBLANK(VLOOKUP(FBP7,#REF!,4,FALSE)))=TRUE,VLOOKUP(FBP7,#REF!,3,FALSE),VLOOKUP(FBP7,#REF!,4,FALSE)),0)</f>
        <v/>
      </c>
      <c r="FBQ1">
        <f>IFERROR(IF((ISBLANK(VLOOKUP(FBQ7,#REF!,4,FALSE)))=TRUE,VLOOKUP(FBQ7,#REF!,3,FALSE),VLOOKUP(FBQ7,#REF!,4,FALSE)),0)</f>
        <v/>
      </c>
      <c r="FBR1">
        <f>IFERROR(IF((ISBLANK(VLOOKUP(FBR7,#REF!,4,FALSE)))=TRUE,VLOOKUP(FBR7,#REF!,3,FALSE),VLOOKUP(FBR7,#REF!,4,FALSE)),0)</f>
        <v/>
      </c>
      <c r="FBS1">
        <f>IFERROR(IF((ISBLANK(VLOOKUP(FBS7,#REF!,4,FALSE)))=TRUE,VLOOKUP(FBS7,#REF!,3,FALSE),VLOOKUP(FBS7,#REF!,4,FALSE)),0)</f>
        <v/>
      </c>
      <c r="FBT1">
        <f>IFERROR(IF((ISBLANK(VLOOKUP(FBT7,#REF!,4,FALSE)))=TRUE,VLOOKUP(FBT7,#REF!,3,FALSE),VLOOKUP(FBT7,#REF!,4,FALSE)),0)</f>
        <v/>
      </c>
      <c r="FBU1">
        <f>IFERROR(IF((ISBLANK(VLOOKUP(FBU7,#REF!,4,FALSE)))=TRUE,VLOOKUP(FBU7,#REF!,3,FALSE),VLOOKUP(FBU7,#REF!,4,FALSE)),0)</f>
        <v/>
      </c>
      <c r="FBV1">
        <f>IFERROR(IF((ISBLANK(VLOOKUP(FBV7,#REF!,4,FALSE)))=TRUE,VLOOKUP(FBV7,#REF!,3,FALSE),VLOOKUP(FBV7,#REF!,4,FALSE)),0)</f>
        <v/>
      </c>
      <c r="FBW1">
        <f>IFERROR(IF((ISBLANK(VLOOKUP(FBW7,#REF!,4,FALSE)))=TRUE,VLOOKUP(FBW7,#REF!,3,FALSE),VLOOKUP(FBW7,#REF!,4,FALSE)),0)</f>
        <v/>
      </c>
      <c r="FBX1">
        <f>IFERROR(IF((ISBLANK(VLOOKUP(FBX7,#REF!,4,FALSE)))=TRUE,VLOOKUP(FBX7,#REF!,3,FALSE),VLOOKUP(FBX7,#REF!,4,FALSE)),0)</f>
        <v/>
      </c>
      <c r="FBY1">
        <f>IFERROR(IF((ISBLANK(VLOOKUP(FBY7,#REF!,4,FALSE)))=TRUE,VLOOKUP(FBY7,#REF!,3,FALSE),VLOOKUP(FBY7,#REF!,4,FALSE)),0)</f>
        <v/>
      </c>
      <c r="FBZ1">
        <f>IFERROR(IF((ISBLANK(VLOOKUP(FBZ7,#REF!,4,FALSE)))=TRUE,VLOOKUP(FBZ7,#REF!,3,FALSE),VLOOKUP(FBZ7,#REF!,4,FALSE)),0)</f>
        <v/>
      </c>
      <c r="FCA1">
        <f>IFERROR(IF((ISBLANK(VLOOKUP(FCA7,#REF!,4,FALSE)))=TRUE,VLOOKUP(FCA7,#REF!,3,FALSE),VLOOKUP(FCA7,#REF!,4,FALSE)),0)</f>
        <v/>
      </c>
      <c r="FCB1">
        <f>IFERROR(IF((ISBLANK(VLOOKUP(FCB7,#REF!,4,FALSE)))=TRUE,VLOOKUP(FCB7,#REF!,3,FALSE),VLOOKUP(FCB7,#REF!,4,FALSE)),0)</f>
        <v/>
      </c>
      <c r="FCC1">
        <f>IFERROR(IF((ISBLANK(VLOOKUP(FCC7,#REF!,4,FALSE)))=TRUE,VLOOKUP(FCC7,#REF!,3,FALSE),VLOOKUP(FCC7,#REF!,4,FALSE)),0)</f>
        <v/>
      </c>
      <c r="FCD1">
        <f>IFERROR(IF((ISBLANK(VLOOKUP(FCD7,#REF!,4,FALSE)))=TRUE,VLOOKUP(FCD7,#REF!,3,FALSE),VLOOKUP(FCD7,#REF!,4,FALSE)),0)</f>
        <v/>
      </c>
      <c r="FCE1">
        <f>IFERROR(IF((ISBLANK(VLOOKUP(FCE7,#REF!,4,FALSE)))=TRUE,VLOOKUP(FCE7,#REF!,3,FALSE),VLOOKUP(FCE7,#REF!,4,FALSE)),0)</f>
        <v/>
      </c>
      <c r="FCF1">
        <f>IFERROR(IF((ISBLANK(VLOOKUP(FCF7,#REF!,4,FALSE)))=TRUE,VLOOKUP(FCF7,#REF!,3,FALSE),VLOOKUP(FCF7,#REF!,4,FALSE)),0)</f>
        <v/>
      </c>
      <c r="FCG1">
        <f>IFERROR(IF((ISBLANK(VLOOKUP(FCG7,#REF!,4,FALSE)))=TRUE,VLOOKUP(FCG7,#REF!,3,FALSE),VLOOKUP(FCG7,#REF!,4,FALSE)),0)</f>
        <v/>
      </c>
      <c r="FCH1">
        <f>IFERROR(IF((ISBLANK(VLOOKUP(FCH7,#REF!,4,FALSE)))=TRUE,VLOOKUP(FCH7,#REF!,3,FALSE),VLOOKUP(FCH7,#REF!,4,FALSE)),0)</f>
        <v/>
      </c>
      <c r="FCI1">
        <f>IFERROR(IF((ISBLANK(VLOOKUP(FCI7,#REF!,4,FALSE)))=TRUE,VLOOKUP(FCI7,#REF!,3,FALSE),VLOOKUP(FCI7,#REF!,4,FALSE)),0)</f>
        <v/>
      </c>
      <c r="FCJ1">
        <f>IFERROR(IF((ISBLANK(VLOOKUP(FCJ7,#REF!,4,FALSE)))=TRUE,VLOOKUP(FCJ7,#REF!,3,FALSE),VLOOKUP(FCJ7,#REF!,4,FALSE)),0)</f>
        <v/>
      </c>
      <c r="FCK1">
        <f>IFERROR(IF((ISBLANK(VLOOKUP(FCK7,#REF!,4,FALSE)))=TRUE,VLOOKUP(FCK7,#REF!,3,FALSE),VLOOKUP(FCK7,#REF!,4,FALSE)),0)</f>
        <v/>
      </c>
      <c r="FCL1">
        <f>IFERROR(IF((ISBLANK(VLOOKUP(FCL7,#REF!,4,FALSE)))=TRUE,VLOOKUP(FCL7,#REF!,3,FALSE),VLOOKUP(FCL7,#REF!,4,FALSE)),0)</f>
        <v/>
      </c>
      <c r="FCM1">
        <f>IFERROR(IF((ISBLANK(VLOOKUP(FCM7,#REF!,4,FALSE)))=TRUE,VLOOKUP(FCM7,#REF!,3,FALSE),VLOOKUP(FCM7,#REF!,4,FALSE)),0)</f>
        <v/>
      </c>
      <c r="FCN1">
        <f>IFERROR(IF((ISBLANK(VLOOKUP(FCN7,#REF!,4,FALSE)))=TRUE,VLOOKUP(FCN7,#REF!,3,FALSE),VLOOKUP(FCN7,#REF!,4,FALSE)),0)</f>
        <v/>
      </c>
      <c r="FCO1">
        <f>IFERROR(IF((ISBLANK(VLOOKUP(FCO7,#REF!,4,FALSE)))=TRUE,VLOOKUP(FCO7,#REF!,3,FALSE),VLOOKUP(FCO7,#REF!,4,FALSE)),0)</f>
        <v/>
      </c>
      <c r="FCP1">
        <f>IFERROR(IF((ISBLANK(VLOOKUP(FCP7,#REF!,4,FALSE)))=TRUE,VLOOKUP(FCP7,#REF!,3,FALSE),VLOOKUP(FCP7,#REF!,4,FALSE)),0)</f>
        <v/>
      </c>
      <c r="FCQ1">
        <f>IFERROR(IF((ISBLANK(VLOOKUP(FCQ7,#REF!,4,FALSE)))=TRUE,VLOOKUP(FCQ7,#REF!,3,FALSE),VLOOKUP(FCQ7,#REF!,4,FALSE)),0)</f>
        <v/>
      </c>
      <c r="FCR1">
        <f>IFERROR(IF((ISBLANK(VLOOKUP(FCR7,#REF!,4,FALSE)))=TRUE,VLOOKUP(FCR7,#REF!,3,FALSE),VLOOKUP(FCR7,#REF!,4,FALSE)),0)</f>
        <v/>
      </c>
      <c r="FCS1">
        <f>IFERROR(IF((ISBLANK(VLOOKUP(FCS7,#REF!,4,FALSE)))=TRUE,VLOOKUP(FCS7,#REF!,3,FALSE),VLOOKUP(FCS7,#REF!,4,FALSE)),0)</f>
        <v/>
      </c>
      <c r="FCT1">
        <f>IFERROR(IF((ISBLANK(VLOOKUP(FCT7,#REF!,4,FALSE)))=TRUE,VLOOKUP(FCT7,#REF!,3,FALSE),VLOOKUP(FCT7,#REF!,4,FALSE)),0)</f>
        <v/>
      </c>
      <c r="FCU1">
        <f>IFERROR(IF((ISBLANK(VLOOKUP(FCU7,#REF!,4,FALSE)))=TRUE,VLOOKUP(FCU7,#REF!,3,FALSE),VLOOKUP(FCU7,#REF!,4,FALSE)),0)</f>
        <v/>
      </c>
      <c r="FCV1">
        <f>IFERROR(IF((ISBLANK(VLOOKUP(FCV7,#REF!,4,FALSE)))=TRUE,VLOOKUP(FCV7,#REF!,3,FALSE),VLOOKUP(FCV7,#REF!,4,FALSE)),0)</f>
        <v/>
      </c>
      <c r="FCW1">
        <f>IFERROR(IF((ISBLANK(VLOOKUP(FCW7,#REF!,4,FALSE)))=TRUE,VLOOKUP(FCW7,#REF!,3,FALSE),VLOOKUP(FCW7,#REF!,4,FALSE)),0)</f>
        <v/>
      </c>
      <c r="FCX1">
        <f>IFERROR(IF((ISBLANK(VLOOKUP(FCX7,#REF!,4,FALSE)))=TRUE,VLOOKUP(FCX7,#REF!,3,FALSE),VLOOKUP(FCX7,#REF!,4,FALSE)),0)</f>
        <v/>
      </c>
      <c r="FCY1">
        <f>IFERROR(IF((ISBLANK(VLOOKUP(FCY7,#REF!,4,FALSE)))=TRUE,VLOOKUP(FCY7,#REF!,3,FALSE),VLOOKUP(FCY7,#REF!,4,FALSE)),0)</f>
        <v/>
      </c>
      <c r="FCZ1">
        <f>IFERROR(IF((ISBLANK(VLOOKUP(FCZ7,#REF!,4,FALSE)))=TRUE,VLOOKUP(FCZ7,#REF!,3,FALSE),VLOOKUP(FCZ7,#REF!,4,FALSE)),0)</f>
        <v/>
      </c>
      <c r="FDA1">
        <f>IFERROR(IF((ISBLANK(VLOOKUP(FDA7,#REF!,4,FALSE)))=TRUE,VLOOKUP(FDA7,#REF!,3,FALSE),VLOOKUP(FDA7,#REF!,4,FALSE)),0)</f>
        <v/>
      </c>
      <c r="FDB1">
        <f>IFERROR(IF((ISBLANK(VLOOKUP(FDB7,#REF!,4,FALSE)))=TRUE,VLOOKUP(FDB7,#REF!,3,FALSE),VLOOKUP(FDB7,#REF!,4,FALSE)),0)</f>
        <v/>
      </c>
      <c r="FDC1">
        <f>IFERROR(IF((ISBLANK(VLOOKUP(FDC7,#REF!,4,FALSE)))=TRUE,VLOOKUP(FDC7,#REF!,3,FALSE),VLOOKUP(FDC7,#REF!,4,FALSE)),0)</f>
        <v/>
      </c>
      <c r="FDD1">
        <f>IFERROR(IF((ISBLANK(VLOOKUP(FDD7,#REF!,4,FALSE)))=TRUE,VLOOKUP(FDD7,#REF!,3,FALSE),VLOOKUP(FDD7,#REF!,4,FALSE)),0)</f>
        <v/>
      </c>
      <c r="FDE1">
        <f>IFERROR(IF((ISBLANK(VLOOKUP(FDE7,#REF!,4,FALSE)))=TRUE,VLOOKUP(FDE7,#REF!,3,FALSE),VLOOKUP(FDE7,#REF!,4,FALSE)),0)</f>
        <v/>
      </c>
      <c r="FDF1">
        <f>IFERROR(IF((ISBLANK(VLOOKUP(FDF7,#REF!,4,FALSE)))=TRUE,VLOOKUP(FDF7,#REF!,3,FALSE),VLOOKUP(FDF7,#REF!,4,FALSE)),0)</f>
        <v/>
      </c>
      <c r="FDG1">
        <f>IFERROR(IF((ISBLANK(VLOOKUP(FDG7,#REF!,4,FALSE)))=TRUE,VLOOKUP(FDG7,#REF!,3,FALSE),VLOOKUP(FDG7,#REF!,4,FALSE)),0)</f>
        <v/>
      </c>
      <c r="FDH1">
        <f>IFERROR(IF((ISBLANK(VLOOKUP(FDH7,#REF!,4,FALSE)))=TRUE,VLOOKUP(FDH7,#REF!,3,FALSE),VLOOKUP(FDH7,#REF!,4,FALSE)),0)</f>
        <v/>
      </c>
      <c r="FDI1">
        <f>IFERROR(IF((ISBLANK(VLOOKUP(FDI7,#REF!,4,FALSE)))=TRUE,VLOOKUP(FDI7,#REF!,3,FALSE),VLOOKUP(FDI7,#REF!,4,FALSE)),0)</f>
        <v/>
      </c>
      <c r="FDJ1">
        <f>IFERROR(IF((ISBLANK(VLOOKUP(FDJ7,#REF!,4,FALSE)))=TRUE,VLOOKUP(FDJ7,#REF!,3,FALSE),VLOOKUP(FDJ7,#REF!,4,FALSE)),0)</f>
        <v/>
      </c>
      <c r="FDK1">
        <f>IFERROR(IF((ISBLANK(VLOOKUP(FDK7,#REF!,4,FALSE)))=TRUE,VLOOKUP(FDK7,#REF!,3,FALSE),VLOOKUP(FDK7,#REF!,4,FALSE)),0)</f>
        <v/>
      </c>
      <c r="FDL1">
        <f>IFERROR(IF((ISBLANK(VLOOKUP(FDL7,#REF!,4,FALSE)))=TRUE,VLOOKUP(FDL7,#REF!,3,FALSE),VLOOKUP(FDL7,#REF!,4,FALSE)),0)</f>
        <v/>
      </c>
      <c r="FDM1">
        <f>IFERROR(IF((ISBLANK(VLOOKUP(FDM7,#REF!,4,FALSE)))=TRUE,VLOOKUP(FDM7,#REF!,3,FALSE),VLOOKUP(FDM7,#REF!,4,FALSE)),0)</f>
        <v/>
      </c>
      <c r="FDN1">
        <f>IFERROR(IF((ISBLANK(VLOOKUP(FDN7,#REF!,4,FALSE)))=TRUE,VLOOKUP(FDN7,#REF!,3,FALSE),VLOOKUP(FDN7,#REF!,4,FALSE)),0)</f>
        <v/>
      </c>
      <c r="FDO1">
        <f>IFERROR(IF((ISBLANK(VLOOKUP(FDO7,#REF!,4,FALSE)))=TRUE,VLOOKUP(FDO7,#REF!,3,FALSE),VLOOKUP(FDO7,#REF!,4,FALSE)),0)</f>
        <v/>
      </c>
      <c r="FDP1">
        <f>IFERROR(IF((ISBLANK(VLOOKUP(FDP7,#REF!,4,FALSE)))=TRUE,VLOOKUP(FDP7,#REF!,3,FALSE),VLOOKUP(FDP7,#REF!,4,FALSE)),0)</f>
        <v/>
      </c>
      <c r="FDQ1">
        <f>IFERROR(IF((ISBLANK(VLOOKUP(FDQ7,#REF!,4,FALSE)))=TRUE,VLOOKUP(FDQ7,#REF!,3,FALSE),VLOOKUP(FDQ7,#REF!,4,FALSE)),0)</f>
        <v/>
      </c>
      <c r="FDR1">
        <f>IFERROR(IF((ISBLANK(VLOOKUP(FDR7,#REF!,4,FALSE)))=TRUE,VLOOKUP(FDR7,#REF!,3,FALSE),VLOOKUP(FDR7,#REF!,4,FALSE)),0)</f>
        <v/>
      </c>
      <c r="FDS1">
        <f>IFERROR(IF((ISBLANK(VLOOKUP(FDS7,#REF!,4,FALSE)))=TRUE,VLOOKUP(FDS7,#REF!,3,FALSE),VLOOKUP(FDS7,#REF!,4,FALSE)),0)</f>
        <v/>
      </c>
      <c r="FDT1">
        <f>IFERROR(IF((ISBLANK(VLOOKUP(FDT7,#REF!,4,FALSE)))=TRUE,VLOOKUP(FDT7,#REF!,3,FALSE),VLOOKUP(FDT7,#REF!,4,FALSE)),0)</f>
        <v/>
      </c>
      <c r="FDU1">
        <f>IFERROR(IF((ISBLANK(VLOOKUP(FDU7,#REF!,4,FALSE)))=TRUE,VLOOKUP(FDU7,#REF!,3,FALSE),VLOOKUP(FDU7,#REF!,4,FALSE)),0)</f>
        <v/>
      </c>
      <c r="FDV1">
        <f>IFERROR(IF((ISBLANK(VLOOKUP(FDV7,#REF!,4,FALSE)))=TRUE,VLOOKUP(FDV7,#REF!,3,FALSE),VLOOKUP(FDV7,#REF!,4,FALSE)),0)</f>
        <v/>
      </c>
      <c r="FDW1">
        <f>IFERROR(IF((ISBLANK(VLOOKUP(FDW7,#REF!,4,FALSE)))=TRUE,VLOOKUP(FDW7,#REF!,3,FALSE),VLOOKUP(FDW7,#REF!,4,FALSE)),0)</f>
        <v/>
      </c>
      <c r="FDX1">
        <f>IFERROR(IF((ISBLANK(VLOOKUP(FDX7,#REF!,4,FALSE)))=TRUE,VLOOKUP(FDX7,#REF!,3,FALSE),VLOOKUP(FDX7,#REF!,4,FALSE)),0)</f>
        <v/>
      </c>
      <c r="FDY1">
        <f>IFERROR(IF((ISBLANK(VLOOKUP(FDY7,#REF!,4,FALSE)))=TRUE,VLOOKUP(FDY7,#REF!,3,FALSE),VLOOKUP(FDY7,#REF!,4,FALSE)),0)</f>
        <v/>
      </c>
      <c r="FDZ1">
        <f>IFERROR(IF((ISBLANK(VLOOKUP(FDZ7,#REF!,4,FALSE)))=TRUE,VLOOKUP(FDZ7,#REF!,3,FALSE),VLOOKUP(FDZ7,#REF!,4,FALSE)),0)</f>
        <v/>
      </c>
      <c r="FEA1">
        <f>IFERROR(IF((ISBLANK(VLOOKUP(FEA7,#REF!,4,FALSE)))=TRUE,VLOOKUP(FEA7,#REF!,3,FALSE),VLOOKUP(FEA7,#REF!,4,FALSE)),0)</f>
        <v/>
      </c>
      <c r="FEB1">
        <f>IFERROR(IF((ISBLANK(VLOOKUP(FEB7,#REF!,4,FALSE)))=TRUE,VLOOKUP(FEB7,#REF!,3,FALSE),VLOOKUP(FEB7,#REF!,4,FALSE)),0)</f>
        <v/>
      </c>
      <c r="FEC1">
        <f>IFERROR(IF((ISBLANK(VLOOKUP(FEC7,#REF!,4,FALSE)))=TRUE,VLOOKUP(FEC7,#REF!,3,FALSE),VLOOKUP(FEC7,#REF!,4,FALSE)),0)</f>
        <v/>
      </c>
      <c r="FED1">
        <f>IFERROR(IF((ISBLANK(VLOOKUP(FED7,#REF!,4,FALSE)))=TRUE,VLOOKUP(FED7,#REF!,3,FALSE),VLOOKUP(FED7,#REF!,4,FALSE)),0)</f>
        <v/>
      </c>
      <c r="FEE1">
        <f>IFERROR(IF((ISBLANK(VLOOKUP(FEE7,#REF!,4,FALSE)))=TRUE,VLOOKUP(FEE7,#REF!,3,FALSE),VLOOKUP(FEE7,#REF!,4,FALSE)),0)</f>
        <v/>
      </c>
      <c r="FEF1">
        <f>IFERROR(IF((ISBLANK(VLOOKUP(FEF7,#REF!,4,FALSE)))=TRUE,VLOOKUP(FEF7,#REF!,3,FALSE),VLOOKUP(FEF7,#REF!,4,FALSE)),0)</f>
        <v/>
      </c>
      <c r="FEG1">
        <f>IFERROR(IF((ISBLANK(VLOOKUP(FEG7,#REF!,4,FALSE)))=TRUE,VLOOKUP(FEG7,#REF!,3,FALSE),VLOOKUP(FEG7,#REF!,4,FALSE)),0)</f>
        <v/>
      </c>
      <c r="FEH1">
        <f>IFERROR(IF((ISBLANK(VLOOKUP(FEH7,#REF!,4,FALSE)))=TRUE,VLOOKUP(FEH7,#REF!,3,FALSE),VLOOKUP(FEH7,#REF!,4,FALSE)),0)</f>
        <v/>
      </c>
      <c r="FEI1">
        <f>IFERROR(IF((ISBLANK(VLOOKUP(FEI7,#REF!,4,FALSE)))=TRUE,VLOOKUP(FEI7,#REF!,3,FALSE),VLOOKUP(FEI7,#REF!,4,FALSE)),0)</f>
        <v/>
      </c>
      <c r="FEJ1">
        <f>IFERROR(IF((ISBLANK(VLOOKUP(FEJ7,#REF!,4,FALSE)))=TRUE,VLOOKUP(FEJ7,#REF!,3,FALSE),VLOOKUP(FEJ7,#REF!,4,FALSE)),0)</f>
        <v/>
      </c>
      <c r="FEK1">
        <f>IFERROR(IF((ISBLANK(VLOOKUP(FEK7,#REF!,4,FALSE)))=TRUE,VLOOKUP(FEK7,#REF!,3,FALSE),VLOOKUP(FEK7,#REF!,4,FALSE)),0)</f>
        <v/>
      </c>
      <c r="FEL1">
        <f>IFERROR(IF((ISBLANK(VLOOKUP(FEL7,#REF!,4,FALSE)))=TRUE,VLOOKUP(FEL7,#REF!,3,FALSE),VLOOKUP(FEL7,#REF!,4,FALSE)),0)</f>
        <v/>
      </c>
      <c r="FEM1">
        <f>IFERROR(IF((ISBLANK(VLOOKUP(FEM7,#REF!,4,FALSE)))=TRUE,VLOOKUP(FEM7,#REF!,3,FALSE),VLOOKUP(FEM7,#REF!,4,FALSE)),0)</f>
        <v/>
      </c>
      <c r="FEN1">
        <f>IFERROR(IF((ISBLANK(VLOOKUP(FEN7,#REF!,4,FALSE)))=TRUE,VLOOKUP(FEN7,#REF!,3,FALSE),VLOOKUP(FEN7,#REF!,4,FALSE)),0)</f>
        <v/>
      </c>
      <c r="FEO1">
        <f>IFERROR(IF((ISBLANK(VLOOKUP(FEO7,#REF!,4,FALSE)))=TRUE,VLOOKUP(FEO7,#REF!,3,FALSE),VLOOKUP(FEO7,#REF!,4,FALSE)),0)</f>
        <v/>
      </c>
      <c r="FEP1">
        <f>IFERROR(IF((ISBLANK(VLOOKUP(FEP7,#REF!,4,FALSE)))=TRUE,VLOOKUP(FEP7,#REF!,3,FALSE),VLOOKUP(FEP7,#REF!,4,FALSE)),0)</f>
        <v/>
      </c>
      <c r="FEQ1">
        <f>IFERROR(IF((ISBLANK(VLOOKUP(FEQ7,#REF!,4,FALSE)))=TRUE,VLOOKUP(FEQ7,#REF!,3,FALSE),VLOOKUP(FEQ7,#REF!,4,FALSE)),0)</f>
        <v/>
      </c>
      <c r="FER1">
        <f>IFERROR(IF((ISBLANK(VLOOKUP(FER7,#REF!,4,FALSE)))=TRUE,VLOOKUP(FER7,#REF!,3,FALSE),VLOOKUP(FER7,#REF!,4,FALSE)),0)</f>
        <v/>
      </c>
      <c r="FES1">
        <f>IFERROR(IF((ISBLANK(VLOOKUP(FES7,#REF!,4,FALSE)))=TRUE,VLOOKUP(FES7,#REF!,3,FALSE),VLOOKUP(FES7,#REF!,4,FALSE)),0)</f>
        <v/>
      </c>
      <c r="FET1">
        <f>IFERROR(IF((ISBLANK(VLOOKUP(FET7,#REF!,4,FALSE)))=TRUE,VLOOKUP(FET7,#REF!,3,FALSE),VLOOKUP(FET7,#REF!,4,FALSE)),0)</f>
        <v/>
      </c>
      <c r="FEU1">
        <f>IFERROR(IF((ISBLANK(VLOOKUP(FEU7,#REF!,4,FALSE)))=TRUE,VLOOKUP(FEU7,#REF!,3,FALSE),VLOOKUP(FEU7,#REF!,4,FALSE)),0)</f>
        <v/>
      </c>
      <c r="FEV1">
        <f>IFERROR(IF((ISBLANK(VLOOKUP(FEV7,#REF!,4,FALSE)))=TRUE,VLOOKUP(FEV7,#REF!,3,FALSE),VLOOKUP(FEV7,#REF!,4,FALSE)),0)</f>
        <v/>
      </c>
      <c r="FEW1">
        <f>IFERROR(IF((ISBLANK(VLOOKUP(FEW7,#REF!,4,FALSE)))=TRUE,VLOOKUP(FEW7,#REF!,3,FALSE),VLOOKUP(FEW7,#REF!,4,FALSE)),0)</f>
        <v/>
      </c>
      <c r="FEX1">
        <f>IFERROR(IF((ISBLANK(VLOOKUP(FEX7,#REF!,4,FALSE)))=TRUE,VLOOKUP(FEX7,#REF!,3,FALSE),VLOOKUP(FEX7,#REF!,4,FALSE)),0)</f>
        <v/>
      </c>
      <c r="FEY1">
        <f>IFERROR(IF((ISBLANK(VLOOKUP(FEY7,#REF!,4,FALSE)))=TRUE,VLOOKUP(FEY7,#REF!,3,FALSE),VLOOKUP(FEY7,#REF!,4,FALSE)),0)</f>
        <v/>
      </c>
      <c r="FEZ1">
        <f>IF(#REF!="Skip to main content","FILED","NOT FILED")</f>
        <v/>
      </c>
      <c r="FFA1">
        <f>RIGHT(#REF!,2)</f>
        <v/>
      </c>
      <c r="FFB1">
        <f>IFERROR(VLOOKUP(RIGHT(#REF!,6),#REF!,2,FALSE),0)</f>
        <v/>
      </c>
      <c r="FFC1">
        <f>IFERROR(IF((ISBLANK(VLOOKUP(FFC7,#REF!,3,FALSE)))=TRUE,VLOOKUP(FFC7,#REF!,2,FALSE),VLOOKUP(FFC7,#REF!,3,FALSE)),0)</f>
        <v/>
      </c>
      <c r="FFD1">
        <f>IFERROR(IF((ISBLANK(VLOOKUP(FFD7,#REF!,3,FALSE)))=TRUE,VLOOKUP(FFD7,#REF!,2,FALSE),VLOOKUP(FFD7,#REF!,3,FALSE)),0)</f>
        <v/>
      </c>
      <c r="FFE1">
        <f>IFERROR(IF((ISBLANK(VLOOKUP(FFE7,#REF!,3,FALSE)))=TRUE,VLOOKUP(FFE7,#REF!,2,FALSE),VLOOKUP(FFE7,#REF!,3,FALSE)),0)</f>
        <v/>
      </c>
      <c r="FFF1">
        <f>IFERROR(IF((ISBLANK(VLOOKUP(FFF7,#REF!,3,FALSE)))=TRUE,VLOOKUP(FFF7,#REF!,2,FALSE),VLOOKUP(FFF7,#REF!,3,FALSE)),0)</f>
        <v/>
      </c>
      <c r="FFG1">
        <f>IFERROR(IF((ISBLANK(VLOOKUP(FFG7,#REF!,3,FALSE)))=TRUE,VLOOKUP(FFG7,#REF!,2,FALSE),VLOOKUP(FFG7,#REF!,3,FALSE)),0)</f>
        <v/>
      </c>
      <c r="FFH1">
        <f>IFERROR(IF((ISBLANK(VLOOKUP(FFH7,#REF!,3,FALSE)))=TRUE,VLOOKUP(FFH7,#REF!,2,FALSE),VLOOKUP(FFH7,#REF!,3,FALSE)),0)</f>
        <v/>
      </c>
      <c r="FFI1">
        <f>IFERROR(IF((ISBLANK(VLOOKUP(FFI7,#REF!,4,FALSE)))=TRUE,VLOOKUP(FFI7,#REF!,3,FALSE),VLOOKUP(FFI7,#REF!,4,FALSE)),0)</f>
        <v/>
      </c>
      <c r="FFJ1">
        <f>IFERROR(IF((ISBLANK(VLOOKUP(FFJ7,#REF!,4,FALSE)))=TRUE,VLOOKUP(FFJ7,#REF!,3,FALSE),VLOOKUP(FFJ7,#REF!,4,FALSE)),0)</f>
        <v/>
      </c>
      <c r="FFK1">
        <f>IFERROR(IF((ISBLANK(VLOOKUP(FFK7,#REF!,4,FALSE)))=TRUE,VLOOKUP(FFK7,#REF!,3,FALSE),VLOOKUP(FFK7,#REF!,4,FALSE)),0)</f>
        <v/>
      </c>
      <c r="FFL1">
        <f>IFERROR(IF((ISBLANK(VLOOKUP(FFL7,#REF!,4,FALSE)))=TRUE,VLOOKUP(FFL7,#REF!,3,FALSE),VLOOKUP(FFL7,#REF!,4,FALSE)),0)</f>
        <v/>
      </c>
      <c r="FFM1">
        <f>IFERROR(IF((ISBLANK(VLOOKUP(FFM7,#REF!,4,FALSE)))=TRUE,VLOOKUP(FFM7,#REF!,3,FALSE),VLOOKUP(FFM7,#REF!,4,FALSE)),0)</f>
        <v/>
      </c>
      <c r="FFN1">
        <f>IFERROR(IF((ISBLANK(VLOOKUP(FFN7,#REF!,4,FALSE)))=TRUE,VLOOKUP(FFN7,#REF!,3,FALSE),VLOOKUP(FFN7,#REF!,4,FALSE)),0)</f>
        <v/>
      </c>
      <c r="FFO1">
        <f>IFERROR(IF((ISBLANK(VLOOKUP(FFO7,#REF!,4,FALSE)))=TRUE,VLOOKUP(FFO7,#REF!,3,FALSE),VLOOKUP(FFO7,#REF!,4,FALSE)),0)</f>
        <v/>
      </c>
      <c r="FFP1">
        <f>IFERROR(IF((ISBLANK(VLOOKUP(FFP7,#REF!,4,FALSE)))=TRUE,VLOOKUP(FFP7,#REF!,3,FALSE),VLOOKUP(FFP7,#REF!,4,FALSE)),0)</f>
        <v/>
      </c>
      <c r="FFQ1">
        <f>IFERROR(IF((ISBLANK(VLOOKUP(FFQ7,#REF!,4,FALSE)))=TRUE,VLOOKUP(FFQ7,#REF!,3,FALSE),VLOOKUP(FFQ7,#REF!,4,FALSE)),0)</f>
        <v/>
      </c>
      <c r="FFR1">
        <f>IFERROR(IF((ISBLANK(VLOOKUP(FFR7,#REF!,4,FALSE)))=TRUE,VLOOKUP(FFR7,#REF!,3,FALSE),VLOOKUP(FFR7,#REF!,4,FALSE)),0)</f>
        <v/>
      </c>
      <c r="FFS1">
        <f>IFERROR(IF((ISBLANK(VLOOKUP(FFS7,#REF!,4,FALSE)))=TRUE,VLOOKUP(FFS7,#REF!,3,FALSE),VLOOKUP(FFS7,#REF!,4,FALSE)),0)</f>
        <v/>
      </c>
      <c r="FFT1">
        <f>IFERROR(IF((ISBLANK(VLOOKUP(FFT7,#REF!,4,FALSE)))=TRUE,VLOOKUP(FFT7,#REF!,3,FALSE),VLOOKUP(FFT7,#REF!,4,FALSE)),0)</f>
        <v/>
      </c>
      <c r="FFU1">
        <f>IFERROR(IF((ISBLANK(VLOOKUP(FFU7,#REF!,4,FALSE)))=TRUE,VLOOKUP(FFU7,#REF!,3,FALSE),VLOOKUP(FFU7,#REF!,4,FALSE)),0)</f>
        <v/>
      </c>
      <c r="FFV1">
        <f>IFERROR(IF((ISBLANK(VLOOKUP(FFV7,#REF!,4,FALSE)))=TRUE,VLOOKUP(FFV7,#REF!,3,FALSE),VLOOKUP(FFV7,#REF!,4,FALSE)),0)</f>
        <v/>
      </c>
      <c r="FFW1">
        <f>IFERROR(IF((ISBLANK(VLOOKUP(FFW7,#REF!,4,FALSE)))=TRUE,VLOOKUP(FFW7,#REF!,3,FALSE),VLOOKUP(FFW7,#REF!,4,FALSE)),0)</f>
        <v/>
      </c>
      <c r="FFX1">
        <f>IFERROR(IF((ISBLANK(VLOOKUP(FFX7,#REF!,4,FALSE)))=TRUE,VLOOKUP(FFX7,#REF!,3,FALSE),VLOOKUP(FFX7,#REF!,4,FALSE)),0)</f>
        <v/>
      </c>
      <c r="FFY1">
        <f>IFERROR(IF((ISBLANK(VLOOKUP(FFY7,#REF!,4,FALSE)))=TRUE,VLOOKUP(FFY7,#REF!,3,FALSE),VLOOKUP(FFY7,#REF!,4,FALSE)),0)</f>
        <v/>
      </c>
      <c r="FFZ1">
        <f>IFERROR(IF((ISBLANK(VLOOKUP(FFZ7,#REF!,4,FALSE)))=TRUE,VLOOKUP(FFZ7,#REF!,3,FALSE),VLOOKUP(FFZ7,#REF!,4,FALSE)),0)</f>
        <v/>
      </c>
      <c r="FGA1">
        <f>IFERROR(IF((ISBLANK(VLOOKUP(FGA7,#REF!,4,FALSE)))=TRUE,VLOOKUP(FGA7,#REF!,3,FALSE),VLOOKUP(FGA7,#REF!,4,FALSE)),0)</f>
        <v/>
      </c>
      <c r="FGB1">
        <f>IFERROR(IF((ISBLANK(VLOOKUP(FGB7,#REF!,4,FALSE)))=TRUE,VLOOKUP(FGB7,#REF!,3,FALSE),VLOOKUP(FGB7,#REF!,4,FALSE)),0)</f>
        <v/>
      </c>
      <c r="FGC1">
        <f>IFERROR(IF((ISBLANK(VLOOKUP(FGC7,#REF!,4,FALSE)))=TRUE,VLOOKUP(FGC7,#REF!,3,FALSE),VLOOKUP(FGC7,#REF!,4,FALSE)),0)</f>
        <v/>
      </c>
      <c r="FGD1">
        <f>IFERROR(IF((ISBLANK(VLOOKUP(FGD7,#REF!,4,FALSE)))=TRUE,VLOOKUP(FGD7,#REF!,3,FALSE),VLOOKUP(FGD7,#REF!,4,FALSE)),0)</f>
        <v/>
      </c>
      <c r="FGE1">
        <f>IFERROR(IF((ISBLANK(VLOOKUP(FGE7,#REF!,4,FALSE)))=TRUE,VLOOKUP(FGE7,#REF!,3,FALSE),VLOOKUP(FGE7,#REF!,4,FALSE)),0)</f>
        <v/>
      </c>
      <c r="FGF1">
        <f>IFERROR(IF((ISBLANK(VLOOKUP(FGF7,#REF!,4,FALSE)))=TRUE,VLOOKUP(FGF7,#REF!,3,FALSE),VLOOKUP(FGF7,#REF!,4,FALSE)),0)</f>
        <v/>
      </c>
      <c r="FGG1">
        <f>IFERROR(IF((ISBLANK(VLOOKUP(FGG7,#REF!,4,FALSE)))=TRUE,VLOOKUP(FGG7,#REF!,3,FALSE),VLOOKUP(FGG7,#REF!,4,FALSE)),0)</f>
        <v/>
      </c>
      <c r="FGH1">
        <f>IFERROR(IF((ISBLANK(VLOOKUP(FGH7,#REF!,4,FALSE)))=TRUE,VLOOKUP(FGH7,#REF!,3,FALSE),VLOOKUP(FGH7,#REF!,4,FALSE)),0)</f>
        <v/>
      </c>
      <c r="FGI1">
        <f>IFERROR(IF((ISBLANK(VLOOKUP(FGI7,#REF!,4,FALSE)))=TRUE,VLOOKUP(FGI7,#REF!,3,FALSE),VLOOKUP(FGI7,#REF!,4,FALSE)),0)</f>
        <v/>
      </c>
      <c r="FGJ1">
        <f>IFERROR(IF((ISBLANK(VLOOKUP(FGJ7,#REF!,4,FALSE)))=TRUE,VLOOKUP(FGJ7,#REF!,3,FALSE),VLOOKUP(FGJ7,#REF!,4,FALSE)),0)</f>
        <v/>
      </c>
      <c r="FGK1">
        <f>IFERROR(IF((ISBLANK(VLOOKUP(FGK7,#REF!,4,FALSE)))=TRUE,VLOOKUP(FGK7,#REF!,3,FALSE),VLOOKUP(FGK7,#REF!,4,FALSE)),0)</f>
        <v/>
      </c>
      <c r="FGL1">
        <f>IFERROR(IF((ISBLANK(VLOOKUP(FGL7,#REF!,4,FALSE)))=TRUE,VLOOKUP(FGL7,#REF!,3,FALSE),VLOOKUP(FGL7,#REF!,4,FALSE)),0)</f>
        <v/>
      </c>
      <c r="FGM1">
        <f>IFERROR(IF((ISBLANK(VLOOKUP(FGM7,#REF!,4,FALSE)))=TRUE,VLOOKUP(FGM7,#REF!,3,FALSE),VLOOKUP(FGM7,#REF!,4,FALSE)),0)</f>
        <v/>
      </c>
      <c r="FGN1">
        <f>IFERROR(IF((ISBLANK(VLOOKUP(FGN7,#REF!,4,FALSE)))=TRUE,VLOOKUP(FGN7,#REF!,3,FALSE),VLOOKUP(FGN7,#REF!,4,FALSE)),0)</f>
        <v/>
      </c>
      <c r="FGO1">
        <f>IFERROR(IF((ISBLANK(VLOOKUP(FGO7,#REF!,4,FALSE)))=TRUE,VLOOKUP(FGO7,#REF!,3,FALSE),VLOOKUP(FGO7,#REF!,4,FALSE)),0)</f>
        <v/>
      </c>
      <c r="FGP1">
        <f>IFERROR(IF((ISBLANK(VLOOKUP(FGP7,#REF!,4,FALSE)))=TRUE,VLOOKUP(FGP7,#REF!,3,FALSE),VLOOKUP(FGP7,#REF!,4,FALSE)),0)</f>
        <v/>
      </c>
      <c r="FGQ1">
        <f>IFERROR(IF((ISBLANK(VLOOKUP(FGQ7,#REF!,4,FALSE)))=TRUE,VLOOKUP(FGQ7,#REF!,3,FALSE),VLOOKUP(FGQ7,#REF!,4,FALSE)),0)</f>
        <v/>
      </c>
      <c r="FGR1">
        <f>IFERROR(IF((ISBLANK(VLOOKUP(FGR7,#REF!,4,FALSE)))=TRUE,VLOOKUP(FGR7,#REF!,3,FALSE),VLOOKUP(FGR7,#REF!,4,FALSE)),0)</f>
        <v/>
      </c>
      <c r="FGS1">
        <f>IFERROR(IF((ISBLANK(VLOOKUP(FGS7,#REF!,4,FALSE)))=TRUE,VLOOKUP(FGS7,#REF!,3,FALSE),VLOOKUP(FGS7,#REF!,4,FALSE)),0)</f>
        <v/>
      </c>
      <c r="FGT1">
        <f>IFERROR(IF((ISBLANK(VLOOKUP(FGT7,#REF!,4,FALSE)))=TRUE,VLOOKUP(FGT7,#REF!,3,FALSE),VLOOKUP(FGT7,#REF!,4,FALSE)),0)</f>
        <v/>
      </c>
      <c r="FGU1">
        <f>IFERROR(IF((ISBLANK(VLOOKUP(FGU7,#REF!,4,FALSE)))=TRUE,VLOOKUP(FGU7,#REF!,3,FALSE),VLOOKUP(FGU7,#REF!,4,FALSE)),0)</f>
        <v/>
      </c>
      <c r="FGV1">
        <f>IFERROR(IF((ISBLANK(VLOOKUP(FGV7,#REF!,4,FALSE)))=TRUE,VLOOKUP(FGV7,#REF!,3,FALSE),VLOOKUP(FGV7,#REF!,4,FALSE)),0)</f>
        <v/>
      </c>
      <c r="FGW1">
        <f>IFERROR(IF((ISBLANK(VLOOKUP(FGW7,#REF!,4,FALSE)))=TRUE,VLOOKUP(FGW7,#REF!,3,FALSE),VLOOKUP(FGW7,#REF!,4,FALSE)),0)</f>
        <v/>
      </c>
      <c r="FGX1">
        <f>IFERROR(IF((ISBLANK(VLOOKUP(FGX7,#REF!,4,FALSE)))=TRUE,VLOOKUP(FGX7,#REF!,3,FALSE),VLOOKUP(FGX7,#REF!,4,FALSE)),0)</f>
        <v/>
      </c>
      <c r="FGY1">
        <f>IFERROR(IF((ISBLANK(VLOOKUP(FGY7,#REF!,4,FALSE)))=TRUE,VLOOKUP(FGY7,#REF!,3,FALSE),VLOOKUP(FGY7,#REF!,4,FALSE)),0)</f>
        <v/>
      </c>
      <c r="FGZ1">
        <f>IFERROR(IF((ISBLANK(VLOOKUP(FGZ7,#REF!,4,FALSE)))=TRUE,VLOOKUP(FGZ7,#REF!,3,FALSE),VLOOKUP(FGZ7,#REF!,4,FALSE)),0)</f>
        <v/>
      </c>
      <c r="FHA1">
        <f>IFERROR(IF((ISBLANK(VLOOKUP(FHA7,#REF!,4,FALSE)))=TRUE,VLOOKUP(FHA7,#REF!,3,FALSE),VLOOKUP(FHA7,#REF!,4,FALSE)),0)</f>
        <v/>
      </c>
      <c r="FHB1">
        <f>IFERROR(IF((ISBLANK(VLOOKUP(FHB7,#REF!,4,FALSE)))=TRUE,VLOOKUP(FHB7,#REF!,3,FALSE),VLOOKUP(FHB7,#REF!,4,FALSE)),0)</f>
        <v/>
      </c>
      <c r="FHC1">
        <f>IFERROR(IF((ISBLANK(VLOOKUP(FHC7,#REF!,4,FALSE)))=TRUE,VLOOKUP(FHC7,#REF!,3,FALSE),VLOOKUP(FHC7,#REF!,4,FALSE)),0)</f>
        <v/>
      </c>
      <c r="FHD1">
        <f>IFERROR(IF((ISBLANK(VLOOKUP(FHD7,#REF!,4,FALSE)))=TRUE,VLOOKUP(FHD7,#REF!,3,FALSE),VLOOKUP(FHD7,#REF!,4,FALSE)),0)</f>
        <v/>
      </c>
      <c r="FHE1">
        <f>IFERROR(IF((ISBLANK(VLOOKUP(FHE7,#REF!,4,FALSE)))=TRUE,VLOOKUP(FHE7,#REF!,3,FALSE),VLOOKUP(FHE7,#REF!,4,FALSE)),0)</f>
        <v/>
      </c>
      <c r="FHF1">
        <f>IFERROR(IF((ISBLANK(VLOOKUP(FHF7,#REF!,4,FALSE)))=TRUE,VLOOKUP(FHF7,#REF!,3,FALSE),VLOOKUP(FHF7,#REF!,4,FALSE)),0)</f>
        <v/>
      </c>
      <c r="FHG1">
        <f>IFERROR(IF((ISBLANK(VLOOKUP(FHG7,#REF!,4,FALSE)))=TRUE,VLOOKUP(FHG7,#REF!,3,FALSE),VLOOKUP(FHG7,#REF!,4,FALSE)),0)</f>
        <v/>
      </c>
      <c r="FHH1">
        <f>IFERROR(IF((ISBLANK(VLOOKUP(FHH7,#REF!,4,FALSE)))=TRUE,VLOOKUP(FHH7,#REF!,3,FALSE),VLOOKUP(FHH7,#REF!,4,FALSE)),0)</f>
        <v/>
      </c>
      <c r="FHI1">
        <f>IFERROR(IF((ISBLANK(VLOOKUP(FHI7,#REF!,4,FALSE)))=TRUE,VLOOKUP(FHI7,#REF!,3,FALSE),VLOOKUP(FHI7,#REF!,4,FALSE)),0)</f>
        <v/>
      </c>
      <c r="FHJ1">
        <f>IFERROR(IF((ISBLANK(VLOOKUP(FHJ7,#REF!,4,FALSE)))=TRUE,VLOOKUP(FHJ7,#REF!,3,FALSE),VLOOKUP(FHJ7,#REF!,4,FALSE)),0)</f>
        <v/>
      </c>
      <c r="FHK1">
        <f>IFERROR(IF((ISBLANK(VLOOKUP(FHK7,#REF!,4,FALSE)))=TRUE,VLOOKUP(FHK7,#REF!,3,FALSE),VLOOKUP(FHK7,#REF!,4,FALSE)),0)</f>
        <v/>
      </c>
      <c r="FHL1">
        <f>IFERROR(IF((ISBLANK(VLOOKUP(FHL7,#REF!,4,FALSE)))=TRUE,VLOOKUP(FHL7,#REF!,3,FALSE),VLOOKUP(FHL7,#REF!,4,FALSE)),0)</f>
        <v/>
      </c>
      <c r="FHM1">
        <f>IFERROR(IF((ISBLANK(VLOOKUP(FHM7,#REF!,4,FALSE)))=TRUE,VLOOKUP(FHM7,#REF!,3,FALSE),VLOOKUP(FHM7,#REF!,4,FALSE)),0)</f>
        <v/>
      </c>
      <c r="FHN1">
        <f>IFERROR(IF((ISBLANK(VLOOKUP(FHN7,#REF!,4,FALSE)))=TRUE,VLOOKUP(FHN7,#REF!,3,FALSE),VLOOKUP(FHN7,#REF!,4,FALSE)),0)</f>
        <v/>
      </c>
      <c r="FHO1">
        <f>IFERROR(IF((ISBLANK(VLOOKUP(FHO7,#REF!,4,FALSE)))=TRUE,VLOOKUP(FHO7,#REF!,3,FALSE),VLOOKUP(FHO7,#REF!,4,FALSE)),0)</f>
        <v/>
      </c>
      <c r="FHP1">
        <f>IFERROR(IF((ISBLANK(VLOOKUP(FHP7,#REF!,4,FALSE)))=TRUE,VLOOKUP(FHP7,#REF!,3,FALSE),VLOOKUP(FHP7,#REF!,4,FALSE)),0)</f>
        <v/>
      </c>
      <c r="FHQ1">
        <f>IFERROR(IF((ISBLANK(VLOOKUP(FHQ7,#REF!,4,FALSE)))=TRUE,VLOOKUP(FHQ7,#REF!,3,FALSE),VLOOKUP(FHQ7,#REF!,4,FALSE)),0)</f>
        <v/>
      </c>
      <c r="FHR1">
        <f>IFERROR(IF((ISBLANK(VLOOKUP(FHR7,#REF!,4,FALSE)))=TRUE,VLOOKUP(FHR7,#REF!,3,FALSE),VLOOKUP(FHR7,#REF!,4,FALSE)),0)</f>
        <v/>
      </c>
      <c r="FHS1">
        <f>IFERROR(IF((ISBLANK(VLOOKUP(FHS7,#REF!,4,FALSE)))=TRUE,VLOOKUP(FHS7,#REF!,3,FALSE),VLOOKUP(FHS7,#REF!,4,FALSE)),0)</f>
        <v/>
      </c>
      <c r="FHT1">
        <f>IFERROR(IF((ISBLANK(VLOOKUP(FHT7,#REF!,4,FALSE)))=TRUE,VLOOKUP(FHT7,#REF!,3,FALSE),VLOOKUP(FHT7,#REF!,4,FALSE)),0)</f>
        <v/>
      </c>
      <c r="FHU1">
        <f>IFERROR(IF((ISBLANK(VLOOKUP(FHU7,#REF!,4,FALSE)))=TRUE,VLOOKUP(FHU7,#REF!,3,FALSE),VLOOKUP(FHU7,#REF!,4,FALSE)),0)</f>
        <v/>
      </c>
      <c r="FHV1">
        <f>IFERROR(IF((ISBLANK(VLOOKUP(FHV7,#REF!,4,FALSE)))=TRUE,VLOOKUP(FHV7,#REF!,3,FALSE),VLOOKUP(FHV7,#REF!,4,FALSE)),0)</f>
        <v/>
      </c>
      <c r="FHW1">
        <f>IFERROR(IF((ISBLANK(VLOOKUP(FHW7,#REF!,4,FALSE)))=TRUE,VLOOKUP(FHW7,#REF!,3,FALSE),VLOOKUP(FHW7,#REF!,4,FALSE)),0)</f>
        <v/>
      </c>
      <c r="FHX1">
        <f>IFERROR(IF((ISBLANK(VLOOKUP(FHX7,#REF!,4,FALSE)))=TRUE,VLOOKUP(FHX7,#REF!,3,FALSE),VLOOKUP(FHX7,#REF!,4,FALSE)),0)</f>
        <v/>
      </c>
      <c r="FHY1">
        <f>IFERROR(IF((ISBLANK(VLOOKUP(FHY7,#REF!,4,FALSE)))=TRUE,VLOOKUP(FHY7,#REF!,3,FALSE),VLOOKUP(FHY7,#REF!,4,FALSE)),0)</f>
        <v/>
      </c>
      <c r="FHZ1">
        <f>IFERROR(IF((ISBLANK(VLOOKUP(FHZ7,#REF!,4,FALSE)))=TRUE,VLOOKUP(FHZ7,#REF!,3,FALSE),VLOOKUP(FHZ7,#REF!,4,FALSE)),0)</f>
        <v/>
      </c>
      <c r="FIA1">
        <f>IFERROR(IF((ISBLANK(VLOOKUP(FIA7,#REF!,4,FALSE)))=TRUE,VLOOKUP(FIA7,#REF!,3,FALSE),VLOOKUP(FIA7,#REF!,4,FALSE)),0)</f>
        <v/>
      </c>
      <c r="FIB1">
        <f>IFERROR(IF((ISBLANK(VLOOKUP(FIB7,#REF!,4,FALSE)))=TRUE,VLOOKUP(FIB7,#REF!,3,FALSE),VLOOKUP(FIB7,#REF!,4,FALSE)),0)</f>
        <v/>
      </c>
      <c r="FIC1">
        <f>IFERROR(IF((ISBLANK(VLOOKUP(FIC7,#REF!,4,FALSE)))=TRUE,VLOOKUP(FIC7,#REF!,3,FALSE),VLOOKUP(FIC7,#REF!,4,FALSE)),0)</f>
        <v/>
      </c>
      <c r="FID1">
        <f>IFERROR(IF((ISBLANK(VLOOKUP(FID7,#REF!,4,FALSE)))=TRUE,VLOOKUP(FID7,#REF!,3,FALSE),VLOOKUP(FID7,#REF!,4,FALSE)),0)</f>
        <v/>
      </c>
      <c r="FIE1">
        <f>IFERROR(IF((ISBLANK(VLOOKUP(FIE7,#REF!,4,FALSE)))=TRUE,VLOOKUP(FIE7,#REF!,3,FALSE),VLOOKUP(FIE7,#REF!,4,FALSE)),0)</f>
        <v/>
      </c>
      <c r="FIF1">
        <f>IFERROR(IF((ISBLANK(VLOOKUP(FIF7,#REF!,4,FALSE)))=TRUE,VLOOKUP(FIF7,#REF!,3,FALSE),VLOOKUP(FIF7,#REF!,4,FALSE)),0)</f>
        <v/>
      </c>
      <c r="FIG1">
        <f>IFERROR(IF((ISBLANK(VLOOKUP(FIG7,#REF!,4,FALSE)))=TRUE,VLOOKUP(FIG7,#REF!,3,FALSE),VLOOKUP(FIG7,#REF!,4,FALSE)),0)</f>
        <v/>
      </c>
      <c r="FIH1">
        <f>IFERROR(IF((ISBLANK(VLOOKUP(FIH7,#REF!,4,FALSE)))=TRUE,VLOOKUP(FIH7,#REF!,3,FALSE),VLOOKUP(FIH7,#REF!,4,FALSE)),0)</f>
        <v/>
      </c>
      <c r="FII1">
        <f>IFERROR(IF((ISBLANK(VLOOKUP(FII7,#REF!,4,FALSE)))=TRUE,VLOOKUP(FII7,#REF!,3,FALSE),VLOOKUP(FII7,#REF!,4,FALSE)),0)</f>
        <v/>
      </c>
      <c r="FIJ1">
        <f>IFERROR(IF((ISBLANK(VLOOKUP(FIJ7,#REF!,4,FALSE)))=TRUE,VLOOKUP(FIJ7,#REF!,3,FALSE),VLOOKUP(FIJ7,#REF!,4,FALSE)),0)</f>
        <v/>
      </c>
      <c r="FIK1">
        <f>IFERROR(IF((ISBLANK(VLOOKUP(FIK7,#REF!,4,FALSE)))=TRUE,VLOOKUP(FIK7,#REF!,3,FALSE),VLOOKUP(FIK7,#REF!,4,FALSE)),0)</f>
        <v/>
      </c>
      <c r="FIL1">
        <f>IFERROR(IF((ISBLANK(VLOOKUP(FIL7,#REF!,4,FALSE)))=TRUE,VLOOKUP(FIL7,#REF!,3,FALSE),VLOOKUP(FIL7,#REF!,4,FALSE)),0)</f>
        <v/>
      </c>
      <c r="FIM1">
        <f>IFERROR(IF((ISBLANK(VLOOKUP(FIM7,#REF!,4,FALSE)))=TRUE,VLOOKUP(FIM7,#REF!,3,FALSE),VLOOKUP(FIM7,#REF!,4,FALSE)),0)</f>
        <v/>
      </c>
      <c r="FIN1">
        <f>IFERROR(IF((ISBLANK(VLOOKUP(FIN7,#REF!,4,FALSE)))=TRUE,VLOOKUP(FIN7,#REF!,3,FALSE),VLOOKUP(FIN7,#REF!,4,FALSE)),0)</f>
        <v/>
      </c>
      <c r="FIO1">
        <f>IFERROR(IF((ISBLANK(VLOOKUP(FIO7,#REF!,4,FALSE)))=TRUE,VLOOKUP(FIO7,#REF!,3,FALSE),VLOOKUP(FIO7,#REF!,4,FALSE)),0)</f>
        <v/>
      </c>
      <c r="FIP1">
        <f>IFERROR(IF((ISBLANK(VLOOKUP(FIP7,#REF!,4,FALSE)))=TRUE,VLOOKUP(FIP7,#REF!,3,FALSE),VLOOKUP(FIP7,#REF!,4,FALSE)),0)</f>
        <v/>
      </c>
      <c r="FIQ1">
        <f>IFERROR(IF((ISBLANK(VLOOKUP(FIQ7,#REF!,4,FALSE)))=TRUE,VLOOKUP(FIQ7,#REF!,3,FALSE),VLOOKUP(FIQ7,#REF!,4,FALSE)),0)</f>
        <v/>
      </c>
      <c r="FIR1">
        <f>IFERROR(IF((ISBLANK(VLOOKUP(FIR7,#REF!,4,FALSE)))=TRUE,VLOOKUP(FIR7,#REF!,3,FALSE),VLOOKUP(FIR7,#REF!,4,FALSE)),0)</f>
        <v/>
      </c>
      <c r="FIS1">
        <f>IFERROR(IF((ISBLANK(VLOOKUP(FIS7,#REF!,4,FALSE)))=TRUE,VLOOKUP(FIS7,#REF!,3,FALSE),VLOOKUP(FIS7,#REF!,4,FALSE)),0)</f>
        <v/>
      </c>
      <c r="FIT1">
        <f>IFERROR(IF((ISBLANK(VLOOKUP(FIT7,#REF!,4,FALSE)))=TRUE,VLOOKUP(FIT7,#REF!,3,FALSE),VLOOKUP(FIT7,#REF!,4,FALSE)),0)</f>
        <v/>
      </c>
      <c r="FIU1">
        <f>IFERROR(IF((ISBLANK(VLOOKUP(FIU7,#REF!,4,FALSE)))=TRUE,VLOOKUP(FIU7,#REF!,3,FALSE),VLOOKUP(FIU7,#REF!,4,FALSE)),0)</f>
        <v/>
      </c>
      <c r="FIV1">
        <f>IFERROR(IF((ISBLANK(VLOOKUP(FIV7,#REF!,4,FALSE)))=TRUE,VLOOKUP(FIV7,#REF!,3,FALSE),VLOOKUP(FIV7,#REF!,4,FALSE)),0)</f>
        <v/>
      </c>
      <c r="FIW1">
        <f>IFERROR(IF((ISBLANK(VLOOKUP(FIW7,#REF!,4,FALSE)))=TRUE,VLOOKUP(FIW7,#REF!,3,FALSE),VLOOKUP(FIW7,#REF!,4,FALSE)),0)</f>
        <v/>
      </c>
      <c r="FIX1">
        <f>IFERROR(IF((ISBLANK(VLOOKUP(FIX7,#REF!,4,FALSE)))=TRUE,VLOOKUP(FIX7,#REF!,3,FALSE),VLOOKUP(FIX7,#REF!,4,FALSE)),0)</f>
        <v/>
      </c>
      <c r="FIY1">
        <f>IFERROR(IF((ISBLANK(VLOOKUP(FIY7,#REF!,4,FALSE)))=TRUE,VLOOKUP(FIY7,#REF!,3,FALSE),VLOOKUP(FIY7,#REF!,4,FALSE)),0)</f>
        <v/>
      </c>
      <c r="FIZ1">
        <f>IFERROR(IF((ISBLANK(VLOOKUP(FIZ7,#REF!,4,FALSE)))=TRUE,VLOOKUP(FIZ7,#REF!,3,FALSE),VLOOKUP(FIZ7,#REF!,4,FALSE)),0)</f>
        <v/>
      </c>
      <c r="FJA1">
        <f>IFERROR(IF((ISBLANK(VLOOKUP(FJA7,#REF!,4,FALSE)))=TRUE,VLOOKUP(FJA7,#REF!,3,FALSE),VLOOKUP(FJA7,#REF!,4,FALSE)),0)</f>
        <v/>
      </c>
      <c r="FJB1">
        <f>IFERROR(IF((ISBLANK(VLOOKUP(FJB7,#REF!,4,FALSE)))=TRUE,VLOOKUP(FJB7,#REF!,3,FALSE),VLOOKUP(FJB7,#REF!,4,FALSE)),0)</f>
        <v/>
      </c>
      <c r="FJC1">
        <f>IFERROR(IF((ISBLANK(VLOOKUP(FJC7,#REF!,4,FALSE)))=TRUE,VLOOKUP(FJC7,#REF!,3,FALSE),VLOOKUP(FJC7,#REF!,4,FALSE)),0)</f>
        <v/>
      </c>
      <c r="FJD1">
        <f>IFERROR(IF((ISBLANK(VLOOKUP(FJD7,#REF!,4,FALSE)))=TRUE,VLOOKUP(FJD7,#REF!,3,FALSE),VLOOKUP(FJD7,#REF!,4,FALSE)),0)</f>
        <v/>
      </c>
      <c r="FJE1">
        <f>IFERROR(IF((ISBLANK(VLOOKUP(FJE7,#REF!,4,FALSE)))=TRUE,VLOOKUP(FJE7,#REF!,3,FALSE),VLOOKUP(FJE7,#REF!,4,FALSE)),0)</f>
        <v/>
      </c>
      <c r="FJF1">
        <f>IFERROR(IF((ISBLANK(VLOOKUP(FJF7,#REF!,4,FALSE)))=TRUE,VLOOKUP(FJF7,#REF!,3,FALSE),VLOOKUP(FJF7,#REF!,4,FALSE)),0)</f>
        <v/>
      </c>
      <c r="FJG1">
        <f>IFERROR(IF((ISBLANK(VLOOKUP(FJG7,#REF!,4,FALSE)))=TRUE,VLOOKUP(FJG7,#REF!,3,FALSE),VLOOKUP(FJG7,#REF!,4,FALSE)),0)</f>
        <v/>
      </c>
      <c r="FJH1">
        <f>IFERROR(IF((ISBLANK(VLOOKUP(FJH7,#REF!,4,FALSE)))=TRUE,VLOOKUP(FJH7,#REF!,3,FALSE),VLOOKUP(FJH7,#REF!,4,FALSE)),0)</f>
        <v/>
      </c>
      <c r="FJI1">
        <f>IFERROR(IF((ISBLANK(VLOOKUP(FJI7,#REF!,4,FALSE)))=TRUE,VLOOKUP(FJI7,#REF!,3,FALSE),VLOOKUP(FJI7,#REF!,4,FALSE)),0)</f>
        <v/>
      </c>
      <c r="FJJ1">
        <f>IFERROR(IF((ISBLANK(VLOOKUP(FJJ7,#REF!,4,FALSE)))=TRUE,VLOOKUP(FJJ7,#REF!,3,FALSE),VLOOKUP(FJJ7,#REF!,4,FALSE)),0)</f>
        <v/>
      </c>
      <c r="FJK1">
        <f>IFERROR(IF((ISBLANK(VLOOKUP(FJK7,#REF!,4,FALSE)))=TRUE,VLOOKUP(FJK7,#REF!,3,FALSE),VLOOKUP(FJK7,#REF!,4,FALSE)),0)</f>
        <v/>
      </c>
      <c r="FJL1">
        <f>IFERROR(IF((ISBLANK(VLOOKUP(FJL7,#REF!,4,FALSE)))=TRUE,VLOOKUP(FJL7,#REF!,3,FALSE),VLOOKUP(FJL7,#REF!,4,FALSE)),0)</f>
        <v/>
      </c>
      <c r="FJM1">
        <f>IFERROR(IF((ISBLANK(VLOOKUP(FJM7,#REF!,4,FALSE)))=TRUE,VLOOKUP(FJM7,#REF!,3,FALSE),VLOOKUP(FJM7,#REF!,4,FALSE)),0)</f>
        <v/>
      </c>
      <c r="FJN1">
        <f>IFERROR(IF((ISBLANK(VLOOKUP(FJN7,#REF!,4,FALSE)))=TRUE,VLOOKUP(FJN7,#REF!,3,FALSE),VLOOKUP(FJN7,#REF!,4,FALSE)),0)</f>
        <v/>
      </c>
      <c r="FJO1">
        <f>IFERROR(IF((ISBLANK(VLOOKUP(FJO7,#REF!,4,FALSE)))=TRUE,VLOOKUP(FJO7,#REF!,3,FALSE),VLOOKUP(FJO7,#REF!,4,FALSE)),0)</f>
        <v/>
      </c>
      <c r="FJP1">
        <f>IFERROR(IF((ISBLANK(VLOOKUP(FJP7,#REF!,4,FALSE)))=TRUE,VLOOKUP(FJP7,#REF!,3,FALSE),VLOOKUP(FJP7,#REF!,4,FALSE)),0)</f>
        <v/>
      </c>
      <c r="FJQ1">
        <f>IFERROR(IF((ISBLANK(VLOOKUP(FJQ7,#REF!,4,FALSE)))=TRUE,VLOOKUP(FJQ7,#REF!,3,FALSE),VLOOKUP(FJQ7,#REF!,4,FALSE)),0)</f>
        <v/>
      </c>
      <c r="FJR1">
        <f>IFERROR(IF((ISBLANK(VLOOKUP(FJR7,#REF!,4,FALSE)))=TRUE,VLOOKUP(FJR7,#REF!,3,FALSE),VLOOKUP(FJR7,#REF!,4,FALSE)),0)</f>
        <v/>
      </c>
      <c r="FJS1">
        <f>IFERROR(IF((ISBLANK(VLOOKUP(FJS7,#REF!,4,FALSE)))=TRUE,VLOOKUP(FJS7,#REF!,3,FALSE),VLOOKUP(FJS7,#REF!,4,FALSE)),0)</f>
        <v/>
      </c>
      <c r="FJT1">
        <f>IFERROR(IF((ISBLANK(VLOOKUP(FJT7,#REF!,4,FALSE)))=TRUE,VLOOKUP(FJT7,#REF!,3,FALSE),VLOOKUP(FJT7,#REF!,4,FALSE)),0)</f>
        <v/>
      </c>
      <c r="FJU1">
        <f>IFERROR(IF((ISBLANK(VLOOKUP(FJU7,#REF!,4,FALSE)))=TRUE,VLOOKUP(FJU7,#REF!,3,FALSE),VLOOKUP(FJU7,#REF!,4,FALSE)),0)</f>
        <v/>
      </c>
      <c r="FJV1">
        <f>IFERROR(IF((ISBLANK(VLOOKUP(FJV7,#REF!,4,FALSE)))=TRUE,VLOOKUP(FJV7,#REF!,3,FALSE),VLOOKUP(FJV7,#REF!,4,FALSE)),0)</f>
        <v/>
      </c>
      <c r="FJW1">
        <f>IFERROR(IF((ISBLANK(VLOOKUP(FJW7,#REF!,4,FALSE)))=TRUE,VLOOKUP(FJW7,#REF!,3,FALSE),VLOOKUP(FJW7,#REF!,4,FALSE)),0)</f>
        <v/>
      </c>
      <c r="FJX1">
        <f>IFERROR(IF((ISBLANK(VLOOKUP(FJX7,#REF!,4,FALSE)))=TRUE,VLOOKUP(FJX7,#REF!,3,FALSE),VLOOKUP(FJX7,#REF!,4,FALSE)),0)</f>
        <v/>
      </c>
      <c r="FJY1">
        <f>IFERROR(IF((ISBLANK(VLOOKUP(FJY7,#REF!,4,FALSE)))=TRUE,VLOOKUP(FJY7,#REF!,3,FALSE),VLOOKUP(FJY7,#REF!,4,FALSE)),0)</f>
        <v/>
      </c>
      <c r="FJZ1">
        <f>IFERROR(IF((ISBLANK(VLOOKUP(FJZ7,#REF!,4,FALSE)))=TRUE,VLOOKUP(FJZ7,#REF!,3,FALSE),VLOOKUP(FJZ7,#REF!,4,FALSE)),0)</f>
        <v/>
      </c>
      <c r="FKA1">
        <f>IFERROR(IF((ISBLANK(VLOOKUP(FKA7,#REF!,4,FALSE)))=TRUE,VLOOKUP(FKA7,#REF!,3,FALSE),VLOOKUP(FKA7,#REF!,4,FALSE)),0)</f>
        <v/>
      </c>
      <c r="FKB1">
        <f>IFERROR(IF((ISBLANK(VLOOKUP(FKB7,#REF!,4,FALSE)))=TRUE,VLOOKUP(FKB7,#REF!,3,FALSE),VLOOKUP(FKB7,#REF!,4,FALSE)),0)</f>
        <v/>
      </c>
      <c r="FKC1">
        <f>IFERROR(IF((ISBLANK(VLOOKUP(FKC7,#REF!,4,FALSE)))=TRUE,VLOOKUP(FKC7,#REF!,3,FALSE),VLOOKUP(FKC7,#REF!,4,FALSE)),0)</f>
        <v/>
      </c>
      <c r="FKD1">
        <f>IFERROR(IF((ISBLANK(VLOOKUP(FKD7,#REF!,4,FALSE)))=TRUE,VLOOKUP(FKD7,#REF!,3,FALSE),VLOOKUP(FKD7,#REF!,4,FALSE)),0)</f>
        <v/>
      </c>
      <c r="FKE1">
        <f>IFERROR(IF((ISBLANK(VLOOKUP(FKE7,#REF!,4,FALSE)))=TRUE,VLOOKUP(FKE7,#REF!,3,FALSE),VLOOKUP(FKE7,#REF!,4,FALSE)),0)</f>
        <v/>
      </c>
      <c r="FKF1">
        <f>IFERROR(IF((ISBLANK(VLOOKUP(FKF7,#REF!,4,FALSE)))=TRUE,VLOOKUP(FKF7,#REF!,3,FALSE),VLOOKUP(FKF7,#REF!,4,FALSE)),0)</f>
        <v/>
      </c>
      <c r="FKG1">
        <f>IFERROR(IF((ISBLANK(VLOOKUP(FKG7,#REF!,4,FALSE)))=TRUE,VLOOKUP(FKG7,#REF!,3,FALSE),VLOOKUP(FKG7,#REF!,4,FALSE)),0)</f>
        <v/>
      </c>
      <c r="FKH1">
        <f>IFERROR(IF((ISBLANK(VLOOKUP(FKH7,#REF!,4,FALSE)))=TRUE,VLOOKUP(FKH7,#REF!,3,FALSE),VLOOKUP(FKH7,#REF!,4,FALSE)),0)</f>
        <v/>
      </c>
      <c r="FKI1">
        <f>IFERROR(IF((ISBLANK(VLOOKUP(FKI7,#REF!,4,FALSE)))=TRUE,VLOOKUP(FKI7,#REF!,3,FALSE),VLOOKUP(FKI7,#REF!,4,FALSE)),0)</f>
        <v/>
      </c>
      <c r="FKJ1">
        <f>IFERROR(IF((ISBLANK(VLOOKUP(FKJ7,#REF!,4,FALSE)))=TRUE,VLOOKUP(FKJ7,#REF!,3,FALSE),VLOOKUP(FKJ7,#REF!,4,FALSE)),0)</f>
        <v/>
      </c>
      <c r="FKK1">
        <f>IFERROR(IF((ISBLANK(VLOOKUP(FKK7,#REF!,4,FALSE)))=TRUE,VLOOKUP(FKK7,#REF!,3,FALSE),VLOOKUP(FKK7,#REF!,4,FALSE)),0)</f>
        <v/>
      </c>
      <c r="FKL1">
        <f>IFERROR(IF((ISBLANK(VLOOKUP(FKL7,#REF!,4,FALSE)))=TRUE,VLOOKUP(FKL7,#REF!,3,FALSE),VLOOKUP(FKL7,#REF!,4,FALSE)),0)</f>
        <v/>
      </c>
      <c r="FKM1">
        <f>IFERROR(IF((ISBLANK(VLOOKUP(FKM7,#REF!,4,FALSE)))=TRUE,VLOOKUP(FKM7,#REF!,3,FALSE),VLOOKUP(FKM7,#REF!,4,FALSE)),0)</f>
        <v/>
      </c>
      <c r="FKN1">
        <f>IFERROR(IF((ISBLANK(VLOOKUP(FKN7,#REF!,4,FALSE)))=TRUE,VLOOKUP(FKN7,#REF!,3,FALSE),VLOOKUP(FKN7,#REF!,4,FALSE)),0)</f>
        <v/>
      </c>
      <c r="FKO1">
        <f>IFERROR(IF((ISBLANK(VLOOKUP(FKO7,#REF!,4,FALSE)))=TRUE,VLOOKUP(FKO7,#REF!,3,FALSE),VLOOKUP(FKO7,#REF!,4,FALSE)),0)</f>
        <v/>
      </c>
      <c r="FKP1">
        <f>IFERROR(IF((ISBLANK(VLOOKUP(FKP7,#REF!,4,FALSE)))=TRUE,VLOOKUP(FKP7,#REF!,3,FALSE),VLOOKUP(FKP7,#REF!,4,FALSE)),0)</f>
        <v/>
      </c>
      <c r="FKQ1">
        <f>IFERROR(IF((ISBLANK(VLOOKUP(FKQ7,#REF!,4,FALSE)))=TRUE,VLOOKUP(FKQ7,#REF!,3,FALSE),VLOOKUP(FKQ7,#REF!,4,FALSE)),0)</f>
        <v/>
      </c>
      <c r="FKR1">
        <f>IFERROR(IF((ISBLANK(VLOOKUP(FKR7,#REF!,4,FALSE)))=TRUE,VLOOKUP(FKR7,#REF!,3,FALSE),VLOOKUP(FKR7,#REF!,4,FALSE)),0)</f>
        <v/>
      </c>
      <c r="FKS1">
        <f>IFERROR(IF((ISBLANK(VLOOKUP(FKS7,#REF!,4,FALSE)))=TRUE,VLOOKUP(FKS7,#REF!,3,FALSE),VLOOKUP(FKS7,#REF!,4,FALSE)),0)</f>
        <v/>
      </c>
      <c r="FKT1">
        <f>IFERROR(IF((ISBLANK(VLOOKUP(FKT7,#REF!,4,FALSE)))=TRUE,VLOOKUP(FKT7,#REF!,3,FALSE),VLOOKUP(FKT7,#REF!,4,FALSE)),0)</f>
        <v/>
      </c>
      <c r="FKU1">
        <f>IFERROR(IF((ISBLANK(VLOOKUP(FKU7,#REF!,4,FALSE)))=TRUE,VLOOKUP(FKU7,#REF!,3,FALSE),VLOOKUP(FKU7,#REF!,4,FALSE)),0)</f>
        <v/>
      </c>
      <c r="FKV1">
        <f>IFERROR(IF((ISBLANK(VLOOKUP(FKV7,#REF!,4,FALSE)))=TRUE,VLOOKUP(FKV7,#REF!,3,FALSE),VLOOKUP(FKV7,#REF!,4,FALSE)),0)</f>
        <v/>
      </c>
      <c r="FKW1">
        <f>IFERROR(IF((ISBLANK(VLOOKUP(FKW7,#REF!,4,FALSE)))=TRUE,VLOOKUP(FKW7,#REF!,3,FALSE),VLOOKUP(FKW7,#REF!,4,FALSE)),0)</f>
        <v/>
      </c>
      <c r="FKX1">
        <f>IFERROR(IF((ISBLANK(VLOOKUP(FKX7,#REF!,4,FALSE)))=TRUE,VLOOKUP(FKX7,#REF!,3,FALSE),VLOOKUP(FKX7,#REF!,4,FALSE)),0)</f>
        <v/>
      </c>
      <c r="FKY1">
        <f>IFERROR(IF((ISBLANK(VLOOKUP(FKY7,#REF!,4,FALSE)))=TRUE,VLOOKUP(FKY7,#REF!,3,FALSE),VLOOKUP(FKY7,#REF!,4,FALSE)),0)</f>
        <v/>
      </c>
      <c r="FKZ1">
        <f>IFERROR(IF((ISBLANK(VLOOKUP(FKZ7,#REF!,4,FALSE)))=TRUE,VLOOKUP(FKZ7,#REF!,3,FALSE),VLOOKUP(FKZ7,#REF!,4,FALSE)),0)</f>
        <v/>
      </c>
      <c r="FLA1">
        <f>IFERROR(IF((ISBLANK(VLOOKUP(FLA7,#REF!,4,FALSE)))=TRUE,VLOOKUP(FLA7,#REF!,3,FALSE),VLOOKUP(FLA7,#REF!,4,FALSE)),0)</f>
        <v/>
      </c>
      <c r="FLB1">
        <f>IFERROR(IF((ISBLANK(VLOOKUP(FLB7,#REF!,4,FALSE)))=TRUE,VLOOKUP(FLB7,#REF!,3,FALSE),VLOOKUP(FLB7,#REF!,4,FALSE)),0)</f>
        <v/>
      </c>
      <c r="FLC1">
        <f>IFERROR(IF((ISBLANK(VLOOKUP(FLC7,#REF!,4,FALSE)))=TRUE,VLOOKUP(FLC7,#REF!,3,FALSE),VLOOKUP(FLC7,#REF!,4,FALSE)),0)</f>
        <v/>
      </c>
      <c r="FLD1">
        <f>IFERROR(IF((ISBLANK(VLOOKUP(FLD7,#REF!,4,FALSE)))=TRUE,VLOOKUP(FLD7,#REF!,3,FALSE),VLOOKUP(FLD7,#REF!,4,FALSE)),0)</f>
        <v/>
      </c>
      <c r="FLE1">
        <f>IFERROR(IF((ISBLANK(VLOOKUP(FLE7,#REF!,4,FALSE)))=TRUE,VLOOKUP(FLE7,#REF!,3,FALSE),VLOOKUP(FLE7,#REF!,4,FALSE)),0)</f>
        <v/>
      </c>
      <c r="FLF1">
        <f>IFERROR(IF((ISBLANK(VLOOKUP(FLF7,#REF!,4,FALSE)))=TRUE,VLOOKUP(FLF7,#REF!,3,FALSE),VLOOKUP(FLF7,#REF!,4,FALSE)),0)</f>
        <v/>
      </c>
      <c r="FLG1">
        <f>IFERROR(IF((ISBLANK(VLOOKUP(FLG7,#REF!,4,FALSE)))=TRUE,VLOOKUP(FLG7,#REF!,3,FALSE),VLOOKUP(FLG7,#REF!,4,FALSE)),0)</f>
        <v/>
      </c>
      <c r="FLH1">
        <f>IFERROR(IF((ISBLANK(VLOOKUP(FLH7,#REF!,4,FALSE)))=TRUE,VLOOKUP(FLH7,#REF!,3,FALSE),VLOOKUP(FLH7,#REF!,4,FALSE)),0)</f>
        <v/>
      </c>
      <c r="FLI1">
        <f>IFERROR(IF((ISBLANK(VLOOKUP(FLI7,#REF!,4,FALSE)))=TRUE,VLOOKUP(FLI7,#REF!,3,FALSE),VLOOKUP(FLI7,#REF!,4,FALSE)),0)</f>
        <v/>
      </c>
      <c r="FLJ1">
        <f>IFERROR(IF((ISBLANK(VLOOKUP(FLJ7,#REF!,4,FALSE)))=TRUE,VLOOKUP(FLJ7,#REF!,3,FALSE),VLOOKUP(FLJ7,#REF!,4,FALSE)),0)</f>
        <v/>
      </c>
      <c r="FLK1">
        <f>IFERROR(IF((ISBLANK(VLOOKUP(FLK7,#REF!,4,FALSE)))=TRUE,VLOOKUP(FLK7,#REF!,3,FALSE),VLOOKUP(FLK7,#REF!,4,FALSE)),0)</f>
        <v/>
      </c>
      <c r="FLL1">
        <f>IFERROR(IF((ISBLANK(VLOOKUP(FLL7,#REF!,4,FALSE)))=TRUE,VLOOKUP(FLL7,#REF!,3,FALSE),VLOOKUP(FLL7,#REF!,4,FALSE)),0)</f>
        <v/>
      </c>
      <c r="FLM1">
        <f>IFERROR(IF((ISBLANK(VLOOKUP(FLM7,#REF!,4,FALSE)))=TRUE,VLOOKUP(FLM7,#REF!,3,FALSE),VLOOKUP(FLM7,#REF!,4,FALSE)),0)</f>
        <v/>
      </c>
      <c r="FLN1">
        <f>IFERROR(IF((ISBLANK(VLOOKUP(FLN7,#REF!,4,FALSE)))=TRUE,VLOOKUP(FLN7,#REF!,3,FALSE),VLOOKUP(FLN7,#REF!,4,FALSE)),0)</f>
        <v/>
      </c>
      <c r="FLO1">
        <f>IFERROR(IF((ISBLANK(VLOOKUP(FLO7,#REF!,4,FALSE)))=TRUE,VLOOKUP(FLO7,#REF!,3,FALSE),VLOOKUP(FLO7,#REF!,4,FALSE)),0)</f>
        <v/>
      </c>
      <c r="FLP1">
        <f>IFERROR(IF((ISBLANK(VLOOKUP(FLP7,#REF!,4,FALSE)))=TRUE,VLOOKUP(FLP7,#REF!,3,FALSE),VLOOKUP(FLP7,#REF!,4,FALSE)),0)</f>
        <v/>
      </c>
      <c r="FLQ1">
        <f>IFERROR(IF((ISBLANK(VLOOKUP(FLQ7,#REF!,4,FALSE)))=TRUE,VLOOKUP(FLQ7,#REF!,3,FALSE),VLOOKUP(FLQ7,#REF!,4,FALSE)),0)</f>
        <v/>
      </c>
      <c r="FLR1">
        <f>IFERROR(IF((ISBLANK(VLOOKUP(FLR7,#REF!,4,FALSE)))=TRUE,VLOOKUP(FLR7,#REF!,3,FALSE),VLOOKUP(FLR7,#REF!,4,FALSE)),0)</f>
        <v/>
      </c>
      <c r="FLS1">
        <f>IFERROR(IF((ISBLANK(VLOOKUP(FLS7,#REF!,4,FALSE)))=TRUE,VLOOKUP(FLS7,#REF!,3,FALSE),VLOOKUP(FLS7,#REF!,4,FALSE)),0)</f>
        <v/>
      </c>
      <c r="FLT1">
        <f>IFERROR(IF((ISBLANK(VLOOKUP(FLT7,#REF!,4,FALSE)))=TRUE,VLOOKUP(FLT7,#REF!,3,FALSE),VLOOKUP(FLT7,#REF!,4,FALSE)),0)</f>
        <v/>
      </c>
      <c r="FLU1">
        <f>IFERROR(IF((ISBLANK(VLOOKUP(FLU7,#REF!,4,FALSE)))=TRUE,VLOOKUP(FLU7,#REF!,3,FALSE),VLOOKUP(FLU7,#REF!,4,FALSE)),0)</f>
        <v/>
      </c>
      <c r="FLV1">
        <f>IFERROR(IF((ISBLANK(VLOOKUP(FLV7,#REF!,4,FALSE)))=TRUE,VLOOKUP(FLV7,#REF!,3,FALSE),VLOOKUP(FLV7,#REF!,4,FALSE)),0)</f>
        <v/>
      </c>
      <c r="FLW1">
        <f>IFERROR(IF((ISBLANK(VLOOKUP(FLW7,#REF!,4,FALSE)))=TRUE,VLOOKUP(FLW7,#REF!,3,FALSE),VLOOKUP(FLW7,#REF!,4,FALSE)),0)</f>
        <v/>
      </c>
      <c r="FLX1">
        <f>IFERROR(IF((ISBLANK(VLOOKUP(FLX7,#REF!,4,FALSE)))=TRUE,VLOOKUP(FLX7,#REF!,3,FALSE),VLOOKUP(FLX7,#REF!,4,FALSE)),0)</f>
        <v/>
      </c>
      <c r="FLY1">
        <f>IFERROR(IF((ISBLANK(VLOOKUP(FLY7,#REF!,4,FALSE)))=TRUE,VLOOKUP(FLY7,#REF!,3,FALSE),VLOOKUP(FLY7,#REF!,4,FALSE)),0)</f>
        <v/>
      </c>
      <c r="FLZ1">
        <f>IFERROR(IF((ISBLANK(VLOOKUP(FLZ7,#REF!,4,FALSE)))=TRUE,VLOOKUP(FLZ7,#REF!,3,FALSE),VLOOKUP(FLZ7,#REF!,4,FALSE)),0)</f>
        <v/>
      </c>
      <c r="FMA1">
        <f>IFERROR(IF((ISBLANK(VLOOKUP(FMA7,#REF!,4,FALSE)))=TRUE,VLOOKUP(FMA7,#REF!,3,FALSE),VLOOKUP(FMA7,#REF!,4,FALSE)),0)</f>
        <v/>
      </c>
      <c r="FMB1">
        <f>IFERROR(IF((ISBLANK(VLOOKUP(FMB7,#REF!,4,FALSE)))=TRUE,VLOOKUP(FMB7,#REF!,3,FALSE),VLOOKUP(FMB7,#REF!,4,FALSE)),0)</f>
        <v/>
      </c>
      <c r="FMC1">
        <f>IFERROR(IF((ISBLANK(VLOOKUP(FMC7,#REF!,4,FALSE)))=TRUE,VLOOKUP(FMC7,#REF!,3,FALSE),VLOOKUP(FMC7,#REF!,4,FALSE)),0)</f>
        <v/>
      </c>
      <c r="FMD1">
        <f>IFERROR(IF((ISBLANK(VLOOKUP(FMD7,#REF!,4,FALSE)))=TRUE,VLOOKUP(FMD7,#REF!,3,FALSE),VLOOKUP(FMD7,#REF!,4,FALSE)),0)</f>
        <v/>
      </c>
      <c r="FME1">
        <f>IFERROR(IF((ISBLANK(VLOOKUP(FME7,#REF!,4,FALSE)))=TRUE,VLOOKUP(FME7,#REF!,3,FALSE),VLOOKUP(FME7,#REF!,4,FALSE)),0)</f>
        <v/>
      </c>
      <c r="FMF1">
        <f>IFERROR(IF((ISBLANK(VLOOKUP(FMF7,#REF!,4,FALSE)))=TRUE,VLOOKUP(FMF7,#REF!,3,FALSE),VLOOKUP(FMF7,#REF!,4,FALSE)),0)</f>
        <v/>
      </c>
      <c r="FMG1">
        <f>IFERROR(IF((ISBLANK(VLOOKUP(FMG7,#REF!,4,FALSE)))=TRUE,VLOOKUP(FMG7,#REF!,3,FALSE),VLOOKUP(FMG7,#REF!,4,FALSE)),0)</f>
        <v/>
      </c>
      <c r="FMH1">
        <f>IFERROR(IF((ISBLANK(VLOOKUP(FMH7,#REF!,4,FALSE)))=TRUE,VLOOKUP(FMH7,#REF!,3,FALSE),VLOOKUP(FMH7,#REF!,4,FALSE)),0)</f>
        <v/>
      </c>
      <c r="FMI1">
        <f>IFERROR(IF((ISBLANK(VLOOKUP(FMI7,#REF!,4,FALSE)))=TRUE,VLOOKUP(FMI7,#REF!,3,FALSE),VLOOKUP(FMI7,#REF!,4,FALSE)),0)</f>
        <v/>
      </c>
      <c r="FMJ1">
        <f>IFERROR(IF((ISBLANK(VLOOKUP(FMJ7,#REF!,4,FALSE)))=TRUE,VLOOKUP(FMJ7,#REF!,3,FALSE),VLOOKUP(FMJ7,#REF!,4,FALSE)),0)</f>
        <v/>
      </c>
      <c r="FMK1">
        <f>IFERROR(IF((ISBLANK(VLOOKUP(FMK7,#REF!,4,FALSE)))=TRUE,VLOOKUP(FMK7,#REF!,3,FALSE),VLOOKUP(FMK7,#REF!,4,FALSE)),0)</f>
        <v/>
      </c>
      <c r="FML1">
        <f>IFERROR(IF((ISBLANK(VLOOKUP(FML7,#REF!,4,FALSE)))=TRUE,VLOOKUP(FML7,#REF!,3,FALSE),VLOOKUP(FML7,#REF!,4,FALSE)),0)</f>
        <v/>
      </c>
      <c r="FMM1">
        <f>IFERROR(IF((ISBLANK(VLOOKUP(FMM7,#REF!,4,FALSE)))=TRUE,VLOOKUP(FMM7,#REF!,3,FALSE),VLOOKUP(FMM7,#REF!,4,FALSE)),0)</f>
        <v/>
      </c>
      <c r="FMN1">
        <f>IFERROR(IF((ISBLANK(VLOOKUP(FMN7,#REF!,4,FALSE)))=TRUE,VLOOKUP(FMN7,#REF!,3,FALSE),VLOOKUP(FMN7,#REF!,4,FALSE)),0)</f>
        <v/>
      </c>
      <c r="FMO1">
        <f>IFERROR(IF((ISBLANK(VLOOKUP(FMO7,#REF!,4,FALSE)))=TRUE,VLOOKUP(FMO7,#REF!,3,FALSE),VLOOKUP(FMO7,#REF!,4,FALSE)),0)</f>
        <v/>
      </c>
      <c r="FMP1">
        <f>IFERROR(IF((ISBLANK(VLOOKUP(FMP7,#REF!,4,FALSE)))=TRUE,VLOOKUP(FMP7,#REF!,3,FALSE),VLOOKUP(FMP7,#REF!,4,FALSE)),0)</f>
        <v/>
      </c>
      <c r="FMQ1">
        <f>IFERROR(IF((ISBLANK(VLOOKUP(FMQ7,#REF!,4,FALSE)))=TRUE,VLOOKUP(FMQ7,#REF!,3,FALSE),VLOOKUP(FMQ7,#REF!,4,FALSE)),0)</f>
        <v/>
      </c>
      <c r="FMR1">
        <f>IFERROR(IF((ISBLANK(VLOOKUP(FMR7,#REF!,4,FALSE)))=TRUE,VLOOKUP(FMR7,#REF!,3,FALSE),VLOOKUP(FMR7,#REF!,4,FALSE)),0)</f>
        <v/>
      </c>
      <c r="FMS1">
        <f>IFERROR(IF((ISBLANK(VLOOKUP(FMS7,#REF!,4,FALSE)))=TRUE,VLOOKUP(FMS7,#REF!,3,FALSE),VLOOKUP(FMS7,#REF!,4,FALSE)),0)</f>
        <v/>
      </c>
      <c r="FMT1">
        <f>IFERROR(IF((ISBLANK(VLOOKUP(FMT7,#REF!,4,FALSE)))=TRUE,VLOOKUP(FMT7,#REF!,3,FALSE),VLOOKUP(FMT7,#REF!,4,FALSE)),0)</f>
        <v/>
      </c>
      <c r="FMU1">
        <f>IFERROR(IF((ISBLANK(VLOOKUP(FMU7,#REF!,4,FALSE)))=TRUE,VLOOKUP(FMU7,#REF!,3,FALSE),VLOOKUP(FMU7,#REF!,4,FALSE)),0)</f>
        <v/>
      </c>
      <c r="FMV1">
        <f>IFERROR(IF((ISBLANK(VLOOKUP(FMV7,#REF!,4,FALSE)))=TRUE,VLOOKUP(FMV7,#REF!,3,FALSE),VLOOKUP(FMV7,#REF!,4,FALSE)),0)</f>
        <v/>
      </c>
      <c r="FMW1">
        <f>IFERROR(IF((ISBLANK(VLOOKUP(FMW7,#REF!,4,FALSE)))=TRUE,VLOOKUP(FMW7,#REF!,3,FALSE),VLOOKUP(FMW7,#REF!,4,FALSE)),0)</f>
        <v/>
      </c>
      <c r="FMX1">
        <f>IFERROR(IF((ISBLANK(VLOOKUP(FMX7,#REF!,4,FALSE)))=TRUE,VLOOKUP(FMX7,#REF!,3,FALSE),VLOOKUP(FMX7,#REF!,4,FALSE)),0)</f>
        <v/>
      </c>
      <c r="FMY1">
        <f>IFERROR(IF((ISBLANK(VLOOKUP(FMY7,#REF!,4,FALSE)))=TRUE,VLOOKUP(FMY7,#REF!,3,FALSE),VLOOKUP(FMY7,#REF!,4,FALSE)),0)</f>
        <v/>
      </c>
      <c r="FMZ1">
        <f>IFERROR(IF((ISBLANK(VLOOKUP(FMZ7,#REF!,4,FALSE)))=TRUE,VLOOKUP(FMZ7,#REF!,3,FALSE),VLOOKUP(FMZ7,#REF!,4,FALSE)),0)</f>
        <v/>
      </c>
      <c r="FNA1">
        <f>IFERROR(IF((ISBLANK(VLOOKUP(FNA7,#REF!,4,FALSE)))=TRUE,VLOOKUP(FNA7,#REF!,3,FALSE),VLOOKUP(FNA7,#REF!,4,FALSE)),0)</f>
        <v/>
      </c>
      <c r="FNB1">
        <f>IFERROR(IF((ISBLANK(VLOOKUP(FNB7,#REF!,4,FALSE)))=TRUE,VLOOKUP(FNB7,#REF!,3,FALSE),VLOOKUP(FNB7,#REF!,4,FALSE)),0)</f>
        <v/>
      </c>
      <c r="FNC1">
        <f>IFERROR(IF((ISBLANK(VLOOKUP(FNC7,#REF!,4,FALSE)))=TRUE,VLOOKUP(FNC7,#REF!,3,FALSE),VLOOKUP(FNC7,#REF!,4,FALSE)),0)</f>
        <v/>
      </c>
      <c r="FND1">
        <f>IFERROR(IF((ISBLANK(VLOOKUP(FND7,#REF!,4,FALSE)))=TRUE,VLOOKUP(FND7,#REF!,3,FALSE),VLOOKUP(FND7,#REF!,4,FALSE)),0)</f>
        <v/>
      </c>
      <c r="FNE1">
        <f>IFERROR(IF((ISBLANK(VLOOKUP(FNE7,#REF!,4,FALSE)))=TRUE,VLOOKUP(FNE7,#REF!,3,FALSE),VLOOKUP(FNE7,#REF!,4,FALSE)),0)</f>
        <v/>
      </c>
      <c r="FNF1">
        <f>IFERROR(IF((ISBLANK(VLOOKUP(FNF7,#REF!,4,FALSE)))=TRUE,VLOOKUP(FNF7,#REF!,3,FALSE),VLOOKUP(FNF7,#REF!,4,FALSE)),0)</f>
        <v/>
      </c>
      <c r="FNG1">
        <f>IFERROR(IF((ISBLANK(VLOOKUP(FNG7,#REF!,4,FALSE)))=TRUE,VLOOKUP(FNG7,#REF!,3,FALSE),VLOOKUP(FNG7,#REF!,4,FALSE)),0)</f>
        <v/>
      </c>
      <c r="FNH1">
        <f>IFERROR(IF((ISBLANK(VLOOKUP(FNH7,#REF!,4,FALSE)))=TRUE,VLOOKUP(FNH7,#REF!,3,FALSE),VLOOKUP(FNH7,#REF!,4,FALSE)),0)</f>
        <v/>
      </c>
      <c r="FNI1">
        <f>IFERROR(IF((ISBLANK(VLOOKUP(FNI7,#REF!,4,FALSE)))=TRUE,VLOOKUP(FNI7,#REF!,3,FALSE),VLOOKUP(FNI7,#REF!,4,FALSE)),0)</f>
        <v/>
      </c>
      <c r="FNJ1">
        <f>IFERROR(IF((ISBLANK(VLOOKUP(FNJ7,#REF!,4,FALSE)))=TRUE,VLOOKUP(FNJ7,#REF!,3,FALSE),VLOOKUP(FNJ7,#REF!,4,FALSE)),0)</f>
        <v/>
      </c>
      <c r="FNK1">
        <f>IFERROR(IF((ISBLANK(VLOOKUP(FNK7,#REF!,4,FALSE)))=TRUE,VLOOKUP(FNK7,#REF!,3,FALSE),VLOOKUP(FNK7,#REF!,4,FALSE)),0)</f>
        <v/>
      </c>
      <c r="FNL1">
        <f>IFERROR(IF((ISBLANK(VLOOKUP(FNL7,#REF!,4,FALSE)))=TRUE,VLOOKUP(FNL7,#REF!,3,FALSE),VLOOKUP(FNL7,#REF!,4,FALSE)),0)</f>
        <v/>
      </c>
      <c r="FNM1">
        <f>IFERROR(IF((ISBLANK(VLOOKUP(FNM7,#REF!,4,FALSE)))=TRUE,VLOOKUP(FNM7,#REF!,3,FALSE),VLOOKUP(FNM7,#REF!,4,FALSE)),0)</f>
        <v/>
      </c>
      <c r="FNN1">
        <f>IFERROR(IF((ISBLANK(VLOOKUP(FNN7,#REF!,4,FALSE)))=TRUE,VLOOKUP(FNN7,#REF!,3,FALSE),VLOOKUP(FNN7,#REF!,4,FALSE)),0)</f>
        <v/>
      </c>
      <c r="FNO1">
        <f>IFERROR(IF((ISBLANK(VLOOKUP(FNO7,#REF!,4,FALSE)))=TRUE,VLOOKUP(FNO7,#REF!,3,FALSE),VLOOKUP(FNO7,#REF!,4,FALSE)),0)</f>
        <v/>
      </c>
      <c r="FNP1">
        <f>IFERROR(IF((ISBLANK(VLOOKUP(FNP7,#REF!,4,FALSE)))=TRUE,VLOOKUP(FNP7,#REF!,3,FALSE),VLOOKUP(FNP7,#REF!,4,FALSE)),0)</f>
        <v/>
      </c>
      <c r="FNQ1">
        <f>IFERROR(IF((ISBLANK(VLOOKUP(FNQ7,#REF!,4,FALSE)))=TRUE,VLOOKUP(FNQ7,#REF!,3,FALSE),VLOOKUP(FNQ7,#REF!,4,FALSE)),0)</f>
        <v/>
      </c>
      <c r="FNR1">
        <f>IFERROR(IF((ISBLANK(VLOOKUP(FNR7,#REF!,4,FALSE)))=TRUE,VLOOKUP(FNR7,#REF!,3,FALSE),VLOOKUP(FNR7,#REF!,4,FALSE)),0)</f>
        <v/>
      </c>
      <c r="FNS1">
        <f>IFERROR(IF((ISBLANK(VLOOKUP(FNS7,#REF!,4,FALSE)))=TRUE,VLOOKUP(FNS7,#REF!,3,FALSE),VLOOKUP(FNS7,#REF!,4,FALSE)),0)</f>
        <v/>
      </c>
      <c r="FNT1">
        <f>IFERROR(IF((ISBLANK(VLOOKUP(FNT7,#REF!,4,FALSE)))=TRUE,VLOOKUP(FNT7,#REF!,3,FALSE),VLOOKUP(FNT7,#REF!,4,FALSE)),0)</f>
        <v/>
      </c>
      <c r="FNU1">
        <f>IFERROR(IF((ISBLANK(VLOOKUP(FNU7,#REF!,4,FALSE)))=TRUE,VLOOKUP(FNU7,#REF!,3,FALSE),VLOOKUP(FNU7,#REF!,4,FALSE)),0)</f>
        <v/>
      </c>
      <c r="FNV1">
        <f>IFERROR(IF((ISBLANK(VLOOKUP(FNV7,#REF!,4,FALSE)))=TRUE,VLOOKUP(FNV7,#REF!,3,FALSE),VLOOKUP(FNV7,#REF!,4,FALSE)),0)</f>
        <v/>
      </c>
      <c r="FNW1">
        <f>IFERROR(IF((ISBLANK(VLOOKUP(FNW7,#REF!,4,FALSE)))=TRUE,VLOOKUP(FNW7,#REF!,3,FALSE),VLOOKUP(FNW7,#REF!,4,FALSE)),0)</f>
        <v/>
      </c>
      <c r="FNX1">
        <f>IFERROR(IF((ISBLANK(VLOOKUP(FNX7,#REF!,4,FALSE)))=TRUE,VLOOKUP(FNX7,#REF!,3,FALSE),VLOOKUP(FNX7,#REF!,4,FALSE)),0)</f>
        <v/>
      </c>
      <c r="FNY1">
        <f>IFERROR(IF((ISBLANK(VLOOKUP(FNY7,#REF!,4,FALSE)))=TRUE,VLOOKUP(FNY7,#REF!,3,FALSE),VLOOKUP(FNY7,#REF!,4,FALSE)),0)</f>
        <v/>
      </c>
      <c r="FNZ1">
        <f>IFERROR(IF((ISBLANK(VLOOKUP(FNZ7,#REF!,4,FALSE)))=TRUE,VLOOKUP(FNZ7,#REF!,3,FALSE),VLOOKUP(FNZ7,#REF!,4,FALSE)),0)</f>
        <v/>
      </c>
      <c r="FOA1">
        <f>IFERROR(IF((ISBLANK(VLOOKUP(FOA7,#REF!,4,FALSE)))=TRUE,VLOOKUP(FOA7,#REF!,3,FALSE),VLOOKUP(FOA7,#REF!,4,FALSE)),0)</f>
        <v/>
      </c>
      <c r="FOB1">
        <f>IFERROR(IF((ISBLANK(VLOOKUP(FOB7,#REF!,4,FALSE)))=TRUE,VLOOKUP(FOB7,#REF!,3,FALSE),VLOOKUP(FOB7,#REF!,4,FALSE)),0)</f>
        <v/>
      </c>
      <c r="FOC1">
        <f>IFERROR(IF((ISBLANK(VLOOKUP(FOC7,#REF!,4,FALSE)))=TRUE,VLOOKUP(FOC7,#REF!,3,FALSE),VLOOKUP(FOC7,#REF!,4,FALSE)),0)</f>
        <v/>
      </c>
      <c r="FOD1">
        <f>IFERROR(IF((ISBLANK(VLOOKUP(FOD7,#REF!,4,FALSE)))=TRUE,VLOOKUP(FOD7,#REF!,3,FALSE),VLOOKUP(FOD7,#REF!,4,FALSE)),0)</f>
        <v/>
      </c>
      <c r="FOE1">
        <f>IFERROR(IF((ISBLANK(VLOOKUP(FOE7,#REF!,4,FALSE)))=TRUE,VLOOKUP(FOE7,#REF!,3,FALSE),VLOOKUP(FOE7,#REF!,4,FALSE)),0)</f>
        <v/>
      </c>
      <c r="FOF1">
        <f>IFERROR(IF((ISBLANK(VLOOKUP(FOF7,#REF!,4,FALSE)))=TRUE,VLOOKUP(FOF7,#REF!,3,FALSE),VLOOKUP(FOF7,#REF!,4,FALSE)),0)</f>
        <v/>
      </c>
      <c r="FOG1">
        <f>IFERROR(IF((ISBLANK(VLOOKUP(FOG7,#REF!,4,FALSE)))=TRUE,VLOOKUP(FOG7,#REF!,3,FALSE),VLOOKUP(FOG7,#REF!,4,FALSE)),0)</f>
        <v/>
      </c>
      <c r="FOH1">
        <f>IFERROR(IF((ISBLANK(VLOOKUP(FOH7,#REF!,4,FALSE)))=TRUE,VLOOKUP(FOH7,#REF!,3,FALSE),VLOOKUP(FOH7,#REF!,4,FALSE)),0)</f>
        <v/>
      </c>
      <c r="FOI1">
        <f>IFERROR(IF((ISBLANK(VLOOKUP(FOI7,#REF!,4,FALSE)))=TRUE,VLOOKUP(FOI7,#REF!,3,FALSE),VLOOKUP(FOI7,#REF!,4,FALSE)),0)</f>
        <v/>
      </c>
      <c r="FOJ1">
        <f>IFERROR(IF((ISBLANK(VLOOKUP(FOJ7,#REF!,4,FALSE)))=TRUE,VLOOKUP(FOJ7,#REF!,3,FALSE),VLOOKUP(FOJ7,#REF!,4,FALSE)),0)</f>
        <v/>
      </c>
      <c r="FOK1">
        <f>IFERROR(IF((ISBLANK(VLOOKUP(FOK7,#REF!,4,FALSE)))=TRUE,VLOOKUP(FOK7,#REF!,3,FALSE),VLOOKUP(FOK7,#REF!,4,FALSE)),0)</f>
        <v/>
      </c>
      <c r="FOL1">
        <f>IFERROR(IF((ISBLANK(VLOOKUP(FOL7,#REF!,4,FALSE)))=TRUE,VLOOKUP(FOL7,#REF!,3,FALSE),VLOOKUP(FOL7,#REF!,4,FALSE)),0)</f>
        <v/>
      </c>
      <c r="FOM1">
        <f>IFERROR(IF((ISBLANK(VLOOKUP(FOM7,#REF!,4,FALSE)))=TRUE,VLOOKUP(FOM7,#REF!,3,FALSE),VLOOKUP(FOM7,#REF!,4,FALSE)),0)</f>
        <v/>
      </c>
      <c r="FON1">
        <f>IFERROR(IF((ISBLANK(VLOOKUP(FON7,#REF!,4,FALSE)))=TRUE,VLOOKUP(FON7,#REF!,3,FALSE),VLOOKUP(FON7,#REF!,4,FALSE)),0)</f>
        <v/>
      </c>
      <c r="FOO1">
        <f>IFERROR(IF((ISBLANK(VLOOKUP(FOO7,#REF!,4,FALSE)))=TRUE,VLOOKUP(FOO7,#REF!,3,FALSE),VLOOKUP(FOO7,#REF!,4,FALSE)),0)</f>
        <v/>
      </c>
      <c r="FOP1">
        <f>IFERROR(IF((ISBLANK(VLOOKUP(FOP7,#REF!,4,FALSE)))=TRUE,VLOOKUP(FOP7,#REF!,3,FALSE),VLOOKUP(FOP7,#REF!,4,FALSE)),0)</f>
        <v/>
      </c>
      <c r="FOQ1">
        <f>IFERROR(IF((ISBLANK(VLOOKUP(FOQ7,#REF!,4,FALSE)))=TRUE,VLOOKUP(FOQ7,#REF!,3,FALSE),VLOOKUP(FOQ7,#REF!,4,FALSE)),0)</f>
        <v/>
      </c>
      <c r="FOR1">
        <f>IFERROR(IF((ISBLANK(VLOOKUP(FOR7,#REF!,4,FALSE)))=TRUE,VLOOKUP(FOR7,#REF!,3,FALSE),VLOOKUP(FOR7,#REF!,4,FALSE)),0)</f>
        <v/>
      </c>
      <c r="FOS1">
        <f>IFERROR(IF((ISBLANK(VLOOKUP(FOS7,#REF!,4,FALSE)))=TRUE,VLOOKUP(FOS7,#REF!,3,FALSE),VLOOKUP(FOS7,#REF!,4,FALSE)),0)</f>
        <v/>
      </c>
      <c r="FOT1">
        <f>IFERROR(IF((ISBLANK(VLOOKUP(FOT7,#REF!,4,FALSE)))=TRUE,VLOOKUP(FOT7,#REF!,3,FALSE),VLOOKUP(FOT7,#REF!,4,FALSE)),0)</f>
        <v/>
      </c>
      <c r="FOU1">
        <f>IFERROR(IF((ISBLANK(VLOOKUP(FOU7,#REF!,4,FALSE)))=TRUE,VLOOKUP(FOU7,#REF!,3,FALSE),VLOOKUP(FOU7,#REF!,4,FALSE)),0)</f>
        <v/>
      </c>
      <c r="FOV1">
        <f>IFERROR(IF((ISBLANK(VLOOKUP(FOV7,#REF!,4,FALSE)))=TRUE,VLOOKUP(FOV7,#REF!,3,FALSE),VLOOKUP(FOV7,#REF!,4,FALSE)),0)</f>
        <v/>
      </c>
      <c r="FOW1">
        <f>IFERROR(IF((ISBLANK(VLOOKUP(FOW7,#REF!,4,FALSE)))=TRUE,VLOOKUP(FOW7,#REF!,3,FALSE),VLOOKUP(FOW7,#REF!,4,FALSE)),0)</f>
        <v/>
      </c>
      <c r="FOX1">
        <f>IFERROR(IF((ISBLANK(VLOOKUP(FOX7,#REF!,4,FALSE)))=TRUE,VLOOKUP(FOX7,#REF!,3,FALSE),VLOOKUP(FOX7,#REF!,4,FALSE)),0)</f>
        <v/>
      </c>
      <c r="FOY1">
        <f>IFERROR(IF((ISBLANK(VLOOKUP(FOY7,#REF!,4,FALSE)))=TRUE,VLOOKUP(FOY7,#REF!,3,FALSE),VLOOKUP(FOY7,#REF!,4,FALSE)),0)</f>
        <v/>
      </c>
      <c r="FOZ1">
        <f>IFERROR(IF((ISBLANK(VLOOKUP(FOZ7,#REF!,4,FALSE)))=TRUE,VLOOKUP(FOZ7,#REF!,3,FALSE),VLOOKUP(FOZ7,#REF!,4,FALSE)),0)</f>
        <v/>
      </c>
      <c r="FPA1">
        <f>IFERROR(IF((ISBLANK(VLOOKUP(FPA7,#REF!,4,FALSE)))=TRUE,VLOOKUP(FPA7,#REF!,3,FALSE),VLOOKUP(FPA7,#REF!,4,FALSE)),0)</f>
        <v/>
      </c>
      <c r="FPB1">
        <f>IFERROR(IF((ISBLANK(VLOOKUP(FPB7,#REF!,4,FALSE)))=TRUE,VLOOKUP(FPB7,#REF!,3,FALSE),VLOOKUP(FPB7,#REF!,4,FALSE)),0)</f>
        <v/>
      </c>
      <c r="FPC1">
        <f>IFERROR(IF((ISBLANK(VLOOKUP(FPC7,#REF!,4,FALSE)))=TRUE,VLOOKUP(FPC7,#REF!,3,FALSE),VLOOKUP(FPC7,#REF!,4,FALSE)),0)</f>
        <v/>
      </c>
      <c r="FPD1">
        <f>IFERROR(IF((ISBLANK(VLOOKUP(FPD7,#REF!,4,FALSE)))=TRUE,VLOOKUP(FPD7,#REF!,3,FALSE),VLOOKUP(FPD7,#REF!,4,FALSE)),0)</f>
        <v/>
      </c>
      <c r="FPE1">
        <f>IFERROR(IF((ISBLANK(VLOOKUP(FPE7,#REF!,4,FALSE)))=TRUE,VLOOKUP(FPE7,#REF!,3,FALSE),VLOOKUP(FPE7,#REF!,4,FALSE)),0)</f>
        <v/>
      </c>
      <c r="FPF1">
        <f>IFERROR(IF((ISBLANK(VLOOKUP(FPF7,#REF!,4,FALSE)))=TRUE,VLOOKUP(FPF7,#REF!,3,FALSE),VLOOKUP(FPF7,#REF!,4,FALSE)),0)</f>
        <v/>
      </c>
      <c r="FPG1">
        <f>IFERROR(IF((ISBLANK(VLOOKUP(FPG7,#REF!,4,FALSE)))=TRUE,VLOOKUP(FPG7,#REF!,3,FALSE),VLOOKUP(FPG7,#REF!,4,FALSE)),0)</f>
        <v/>
      </c>
      <c r="FPH1">
        <f>IFERROR(IF((ISBLANK(VLOOKUP(FPH7,#REF!,4,FALSE)))=TRUE,VLOOKUP(FPH7,#REF!,3,FALSE),VLOOKUP(FPH7,#REF!,4,FALSE)),0)</f>
        <v/>
      </c>
      <c r="FPI1">
        <f>IFERROR(IF((ISBLANK(VLOOKUP(FPI7,#REF!,4,FALSE)))=TRUE,VLOOKUP(FPI7,#REF!,3,FALSE),VLOOKUP(FPI7,#REF!,4,FALSE)),0)</f>
        <v/>
      </c>
      <c r="FPJ1">
        <f>IFERROR(IF((ISBLANK(VLOOKUP(FPJ7,#REF!,4,FALSE)))=TRUE,VLOOKUP(FPJ7,#REF!,3,FALSE),VLOOKUP(FPJ7,#REF!,4,FALSE)),0)</f>
        <v/>
      </c>
      <c r="FPK1">
        <f>IFERROR(IF((ISBLANK(VLOOKUP(FPK7,#REF!,4,FALSE)))=TRUE,VLOOKUP(FPK7,#REF!,3,FALSE),VLOOKUP(FPK7,#REF!,4,FALSE)),0)</f>
        <v/>
      </c>
      <c r="FPL1">
        <f>IFERROR(IF((ISBLANK(VLOOKUP(FPL7,#REF!,4,FALSE)))=TRUE,VLOOKUP(FPL7,#REF!,3,FALSE),VLOOKUP(FPL7,#REF!,4,FALSE)),0)</f>
        <v/>
      </c>
      <c r="FPM1">
        <f>IFERROR(IF((ISBLANK(VLOOKUP(FPM7,#REF!,4,FALSE)))=TRUE,VLOOKUP(FPM7,#REF!,3,FALSE),VLOOKUP(FPM7,#REF!,4,FALSE)),0)</f>
        <v/>
      </c>
      <c r="FPN1">
        <f>IFERROR(IF((ISBLANK(VLOOKUP(FPN7,#REF!,4,FALSE)))=TRUE,VLOOKUP(FPN7,#REF!,3,FALSE),VLOOKUP(FPN7,#REF!,4,FALSE)),0)</f>
        <v/>
      </c>
      <c r="FPO1">
        <f>IFERROR(IF((ISBLANK(VLOOKUP(FPO7,#REF!,4,FALSE)))=TRUE,VLOOKUP(FPO7,#REF!,3,FALSE),VLOOKUP(FPO7,#REF!,4,FALSE)),0)</f>
        <v/>
      </c>
      <c r="FPP1">
        <f>IFERROR(IF((ISBLANK(VLOOKUP(FPP7,#REF!,4,FALSE)))=TRUE,VLOOKUP(FPP7,#REF!,3,FALSE),VLOOKUP(FPP7,#REF!,4,FALSE)),0)</f>
        <v/>
      </c>
      <c r="FPQ1">
        <f>IFERROR(IF((ISBLANK(VLOOKUP(FPQ7,#REF!,4,FALSE)))=TRUE,VLOOKUP(FPQ7,#REF!,3,FALSE),VLOOKUP(FPQ7,#REF!,4,FALSE)),0)</f>
        <v/>
      </c>
      <c r="FPR1">
        <f>IFERROR(IF((ISBLANK(VLOOKUP(FPR7,#REF!,4,FALSE)))=TRUE,VLOOKUP(FPR7,#REF!,3,FALSE),VLOOKUP(FPR7,#REF!,4,FALSE)),0)</f>
        <v/>
      </c>
      <c r="FPS1">
        <f>IFERROR(IF((ISBLANK(VLOOKUP(FPS7,#REF!,4,FALSE)))=TRUE,VLOOKUP(FPS7,#REF!,3,FALSE),VLOOKUP(FPS7,#REF!,4,FALSE)),0)</f>
        <v/>
      </c>
      <c r="FPT1">
        <f>IFERROR(IF((ISBLANK(VLOOKUP(FPT7,#REF!,4,FALSE)))=TRUE,VLOOKUP(FPT7,#REF!,3,FALSE),VLOOKUP(FPT7,#REF!,4,FALSE)),0)</f>
        <v/>
      </c>
      <c r="FPU1">
        <f>IFERROR(IF((ISBLANK(VLOOKUP(FPU7,#REF!,4,FALSE)))=TRUE,VLOOKUP(FPU7,#REF!,3,FALSE),VLOOKUP(FPU7,#REF!,4,FALSE)),0)</f>
        <v/>
      </c>
      <c r="FPV1">
        <f>IFERROR(IF((ISBLANK(VLOOKUP(FPV7,#REF!,4,FALSE)))=TRUE,VLOOKUP(FPV7,#REF!,3,FALSE),VLOOKUP(FPV7,#REF!,4,FALSE)),0)</f>
        <v/>
      </c>
      <c r="FPW1">
        <f>IFERROR(IF((ISBLANK(VLOOKUP(FPW7,#REF!,4,FALSE)))=TRUE,VLOOKUP(FPW7,#REF!,3,FALSE),VLOOKUP(FPW7,#REF!,4,FALSE)),0)</f>
        <v/>
      </c>
      <c r="FPX1">
        <f>IFERROR(IF((ISBLANK(VLOOKUP(FPX7,#REF!,4,FALSE)))=TRUE,VLOOKUP(FPX7,#REF!,3,FALSE),VLOOKUP(FPX7,#REF!,4,FALSE)),0)</f>
        <v/>
      </c>
      <c r="FPY1">
        <f>IFERROR(IF((ISBLANK(VLOOKUP(FPY7,#REF!,4,FALSE)))=TRUE,VLOOKUP(FPY7,#REF!,3,FALSE),VLOOKUP(FPY7,#REF!,4,FALSE)),0)</f>
        <v/>
      </c>
      <c r="FPZ1">
        <f>IFERROR(IF((ISBLANK(VLOOKUP(FPZ7,#REF!,4,FALSE)))=TRUE,VLOOKUP(FPZ7,#REF!,3,FALSE),VLOOKUP(FPZ7,#REF!,4,FALSE)),0)</f>
        <v/>
      </c>
      <c r="FQA1">
        <f>IFERROR(IF((ISBLANK(VLOOKUP(FQA7,#REF!,4,FALSE)))=TRUE,VLOOKUP(FQA7,#REF!,3,FALSE),VLOOKUP(FQA7,#REF!,4,FALSE)),0)</f>
        <v/>
      </c>
      <c r="FQB1">
        <f>IFERROR(IF((ISBLANK(VLOOKUP(FQB7,#REF!,4,FALSE)))=TRUE,VLOOKUP(FQB7,#REF!,3,FALSE),VLOOKUP(FQB7,#REF!,4,FALSE)),0)</f>
        <v/>
      </c>
      <c r="FQC1">
        <f>IFERROR(IF((ISBLANK(VLOOKUP(FQC7,#REF!,4,FALSE)))=TRUE,VLOOKUP(FQC7,#REF!,3,FALSE),VLOOKUP(FQC7,#REF!,4,FALSE)),0)</f>
        <v/>
      </c>
      <c r="FQD1">
        <f>IFERROR(IF((ISBLANK(VLOOKUP(FQD7,#REF!,4,FALSE)))=TRUE,VLOOKUP(FQD7,#REF!,3,FALSE),VLOOKUP(FQD7,#REF!,4,FALSE)),0)</f>
        <v/>
      </c>
      <c r="FQE1">
        <f>IFERROR(IF((ISBLANK(VLOOKUP(FQE7,#REF!,4,FALSE)))=TRUE,VLOOKUP(FQE7,#REF!,3,FALSE),VLOOKUP(FQE7,#REF!,4,FALSE)),0)</f>
        <v/>
      </c>
      <c r="FQF1">
        <f>IFERROR(IF((ISBLANK(VLOOKUP(FQF7,#REF!,4,FALSE)))=TRUE,VLOOKUP(FQF7,#REF!,3,FALSE),VLOOKUP(FQF7,#REF!,4,FALSE)),0)</f>
        <v/>
      </c>
      <c r="FQG1">
        <f>IFERROR(IF((ISBLANK(VLOOKUP(FQG7,#REF!,4,FALSE)))=TRUE,VLOOKUP(FQG7,#REF!,3,FALSE),VLOOKUP(FQG7,#REF!,4,FALSE)),0)</f>
        <v/>
      </c>
      <c r="FQH1">
        <f>IFERROR(IF((ISBLANK(VLOOKUP(FQH7,#REF!,4,FALSE)))=TRUE,VLOOKUP(FQH7,#REF!,3,FALSE),VLOOKUP(FQH7,#REF!,4,FALSE)),0)</f>
        <v/>
      </c>
      <c r="FQI1">
        <f>IFERROR(IF((ISBLANK(VLOOKUP(FQI7,#REF!,4,FALSE)))=TRUE,VLOOKUP(FQI7,#REF!,3,FALSE),VLOOKUP(FQI7,#REF!,4,FALSE)),0)</f>
        <v/>
      </c>
      <c r="FQJ1">
        <f>IFERROR(IF((ISBLANK(VLOOKUP(FQJ7,#REF!,4,FALSE)))=TRUE,VLOOKUP(FQJ7,#REF!,3,FALSE),VLOOKUP(FQJ7,#REF!,4,FALSE)),0)</f>
        <v/>
      </c>
      <c r="FQK1">
        <f>IFERROR(IF((ISBLANK(VLOOKUP(FQK7,#REF!,4,FALSE)))=TRUE,VLOOKUP(FQK7,#REF!,3,FALSE),VLOOKUP(FQK7,#REF!,4,FALSE)),0)</f>
        <v/>
      </c>
      <c r="FQL1">
        <f>IFERROR(IF((ISBLANK(VLOOKUP(FQL7,#REF!,4,FALSE)))=TRUE,VLOOKUP(FQL7,#REF!,3,FALSE),VLOOKUP(FQL7,#REF!,4,FALSE)),0)</f>
        <v/>
      </c>
      <c r="FQM1">
        <f>IFERROR(IF((ISBLANK(VLOOKUP(FQM7,#REF!,4,FALSE)))=TRUE,VLOOKUP(FQM7,#REF!,3,FALSE),VLOOKUP(FQM7,#REF!,4,FALSE)),0)</f>
        <v/>
      </c>
      <c r="FQN1">
        <f>IFERROR(IF((ISBLANK(VLOOKUP(FQN7,#REF!,4,FALSE)))=TRUE,VLOOKUP(FQN7,#REF!,3,FALSE),VLOOKUP(FQN7,#REF!,4,FALSE)),0)</f>
        <v/>
      </c>
      <c r="FQO1">
        <f>IFERROR(IF((ISBLANK(VLOOKUP(FQO7,#REF!,4,FALSE)))=TRUE,VLOOKUP(FQO7,#REF!,3,FALSE),VLOOKUP(FQO7,#REF!,4,FALSE)),0)</f>
        <v/>
      </c>
      <c r="FQP1">
        <f>IFERROR(IF((ISBLANK(VLOOKUP(FQP7,#REF!,4,FALSE)))=TRUE,VLOOKUP(FQP7,#REF!,3,FALSE),VLOOKUP(FQP7,#REF!,4,FALSE)),0)</f>
        <v/>
      </c>
      <c r="FQQ1">
        <f>IFERROR(IF((ISBLANK(VLOOKUP(FQQ7,#REF!,4,FALSE)))=TRUE,VLOOKUP(FQQ7,#REF!,3,FALSE),VLOOKUP(FQQ7,#REF!,4,FALSE)),0)</f>
        <v/>
      </c>
      <c r="FQR1">
        <f>IFERROR(IF((ISBLANK(VLOOKUP(FQR7,#REF!,4,FALSE)))=TRUE,VLOOKUP(FQR7,#REF!,3,FALSE),VLOOKUP(FQR7,#REF!,4,FALSE)),0)</f>
        <v/>
      </c>
      <c r="FQS1">
        <f>IFERROR(IF((ISBLANK(VLOOKUP(FQS7,#REF!,4,FALSE)))=TRUE,VLOOKUP(FQS7,#REF!,3,FALSE),VLOOKUP(FQS7,#REF!,4,FALSE)),0)</f>
        <v/>
      </c>
      <c r="FQT1">
        <f>IFERROR(IF((ISBLANK(VLOOKUP(FQT7,#REF!,4,FALSE)))=TRUE,VLOOKUP(FQT7,#REF!,3,FALSE),VLOOKUP(FQT7,#REF!,4,FALSE)),0)</f>
        <v/>
      </c>
      <c r="FQU1">
        <f>IFERROR(IF((ISBLANK(VLOOKUP(FQU7,#REF!,4,FALSE)))=TRUE,VLOOKUP(FQU7,#REF!,3,FALSE),VLOOKUP(FQU7,#REF!,4,FALSE)),0)</f>
        <v/>
      </c>
      <c r="FQV1">
        <f>IFERROR(IF((ISBLANK(VLOOKUP(FQV7,#REF!,4,FALSE)))=TRUE,VLOOKUP(FQV7,#REF!,3,FALSE),VLOOKUP(FQV7,#REF!,4,FALSE)),0)</f>
        <v/>
      </c>
      <c r="FQW1">
        <f>IFERROR(IF((ISBLANK(VLOOKUP(FQW7,#REF!,4,FALSE)))=TRUE,VLOOKUP(FQW7,#REF!,3,FALSE),VLOOKUP(FQW7,#REF!,4,FALSE)),0)</f>
        <v/>
      </c>
      <c r="FQX1">
        <f>IFERROR(IF((ISBLANK(VLOOKUP(FQX7,#REF!,4,FALSE)))=TRUE,VLOOKUP(FQX7,#REF!,3,FALSE),VLOOKUP(FQX7,#REF!,4,FALSE)),0)</f>
        <v/>
      </c>
      <c r="FQY1">
        <f>IFERROR(IF((ISBLANK(VLOOKUP(FQY7,#REF!,4,FALSE)))=TRUE,VLOOKUP(FQY7,#REF!,3,FALSE),VLOOKUP(FQY7,#REF!,4,FALSE)),0)</f>
        <v/>
      </c>
      <c r="FQZ1">
        <f>IFERROR(IF((ISBLANK(VLOOKUP(FQZ7,#REF!,4,FALSE)))=TRUE,VLOOKUP(FQZ7,#REF!,3,FALSE),VLOOKUP(FQZ7,#REF!,4,FALSE)),0)</f>
        <v/>
      </c>
      <c r="FRA1">
        <f>IFERROR(IF((ISBLANK(VLOOKUP(FRA7,#REF!,4,FALSE)))=TRUE,VLOOKUP(FRA7,#REF!,3,FALSE),VLOOKUP(FRA7,#REF!,4,FALSE)),0)</f>
        <v/>
      </c>
      <c r="FRB1">
        <f>IFERROR(IF((ISBLANK(VLOOKUP(FRB7,#REF!,4,FALSE)))=TRUE,VLOOKUP(FRB7,#REF!,3,FALSE),VLOOKUP(FRB7,#REF!,4,FALSE)),0)</f>
        <v/>
      </c>
      <c r="FRC1">
        <f>IFERROR(IF((ISBLANK(VLOOKUP(FRC7,#REF!,4,FALSE)))=TRUE,VLOOKUP(FRC7,#REF!,3,FALSE),VLOOKUP(FRC7,#REF!,4,FALSE)),0)</f>
        <v/>
      </c>
      <c r="FRD1">
        <f>IFERROR(IF((ISBLANK(VLOOKUP(FRD7,#REF!,4,FALSE)))=TRUE,VLOOKUP(FRD7,#REF!,3,FALSE),VLOOKUP(FRD7,#REF!,4,FALSE)),0)</f>
        <v/>
      </c>
      <c r="FRE1">
        <f>IFERROR(IF((ISBLANK(VLOOKUP(FRE7,#REF!,4,FALSE)))=TRUE,VLOOKUP(FRE7,#REF!,3,FALSE),VLOOKUP(FRE7,#REF!,4,FALSE)),0)</f>
        <v/>
      </c>
      <c r="FRF1">
        <f>IFERROR(IF((ISBLANK(VLOOKUP(FRF7,#REF!,4,FALSE)))=TRUE,VLOOKUP(FRF7,#REF!,3,FALSE),VLOOKUP(FRF7,#REF!,4,FALSE)),0)</f>
        <v/>
      </c>
      <c r="FRG1">
        <f>IFERROR(IF((ISBLANK(VLOOKUP(FRG7,#REF!,4,FALSE)))=TRUE,VLOOKUP(FRG7,#REF!,3,FALSE),VLOOKUP(FRG7,#REF!,4,FALSE)),0)</f>
        <v/>
      </c>
      <c r="FRH1">
        <f>IFERROR(IF((ISBLANK(VLOOKUP(FRH7,#REF!,4,FALSE)))=TRUE,VLOOKUP(FRH7,#REF!,3,FALSE),VLOOKUP(FRH7,#REF!,4,FALSE)),0)</f>
        <v/>
      </c>
      <c r="FRI1">
        <f>IFERROR(IF((ISBLANK(VLOOKUP(FRI7,#REF!,4,FALSE)))=TRUE,VLOOKUP(FRI7,#REF!,3,FALSE),VLOOKUP(FRI7,#REF!,4,FALSE)),0)</f>
        <v/>
      </c>
      <c r="FRJ1">
        <f>IFERROR(IF((ISBLANK(VLOOKUP(FRJ7,#REF!,4,FALSE)))=TRUE,VLOOKUP(FRJ7,#REF!,3,FALSE),VLOOKUP(FRJ7,#REF!,4,FALSE)),0)</f>
        <v/>
      </c>
      <c r="FRK1">
        <f>IFERROR(IF((ISBLANK(VLOOKUP(FRK7,#REF!,4,FALSE)))=TRUE,VLOOKUP(FRK7,#REF!,3,FALSE),VLOOKUP(FRK7,#REF!,4,FALSE)),0)</f>
        <v/>
      </c>
      <c r="FRL1">
        <f>IFERROR(IF((ISBLANK(VLOOKUP(FRL7,#REF!,4,FALSE)))=TRUE,VLOOKUP(FRL7,#REF!,3,FALSE),VLOOKUP(FRL7,#REF!,4,FALSE)),0)</f>
        <v/>
      </c>
      <c r="FRM1">
        <f>IFERROR(IF((ISBLANK(VLOOKUP(FRM7,#REF!,4,FALSE)))=TRUE,VLOOKUP(FRM7,#REF!,3,FALSE),VLOOKUP(FRM7,#REF!,4,FALSE)),0)</f>
        <v/>
      </c>
      <c r="FRN1">
        <f>IFERROR(IF((ISBLANK(VLOOKUP(FRN7,#REF!,4,FALSE)))=TRUE,VLOOKUP(FRN7,#REF!,3,FALSE),VLOOKUP(FRN7,#REF!,4,FALSE)),0)</f>
        <v/>
      </c>
      <c r="FRO1">
        <f>IFERROR(IF((ISBLANK(VLOOKUP(FRO7,#REF!,4,FALSE)))=TRUE,VLOOKUP(FRO7,#REF!,3,FALSE),VLOOKUP(FRO7,#REF!,4,FALSE)),0)</f>
        <v/>
      </c>
      <c r="FRP1">
        <f>IFERROR(IF((ISBLANK(VLOOKUP(FRP7,#REF!,4,FALSE)))=TRUE,VLOOKUP(FRP7,#REF!,3,FALSE),VLOOKUP(FRP7,#REF!,4,FALSE)),0)</f>
        <v/>
      </c>
      <c r="FRQ1">
        <f>IFERROR(IF((ISBLANK(VLOOKUP(FRQ7,#REF!,4,FALSE)))=TRUE,VLOOKUP(FRQ7,#REF!,3,FALSE),VLOOKUP(FRQ7,#REF!,4,FALSE)),0)</f>
        <v/>
      </c>
      <c r="FRR1">
        <f>IFERROR(IF((ISBLANK(VLOOKUP(FRR7,#REF!,4,FALSE)))=TRUE,VLOOKUP(FRR7,#REF!,3,FALSE),VLOOKUP(FRR7,#REF!,4,FALSE)),0)</f>
        <v/>
      </c>
      <c r="FRS1">
        <f>IFERROR(IF((ISBLANK(VLOOKUP(FRS7,#REF!,4,FALSE)))=TRUE,VLOOKUP(FRS7,#REF!,3,FALSE),VLOOKUP(FRS7,#REF!,4,FALSE)),0)</f>
        <v/>
      </c>
      <c r="FRT1">
        <f>IFERROR(IF((ISBLANK(VLOOKUP(FRT7,#REF!,4,FALSE)))=TRUE,VLOOKUP(FRT7,#REF!,3,FALSE),VLOOKUP(FRT7,#REF!,4,FALSE)),0)</f>
        <v/>
      </c>
      <c r="FRU1">
        <f>IFERROR(IF((ISBLANK(VLOOKUP(FRU7,#REF!,4,FALSE)))=TRUE,VLOOKUP(FRU7,#REF!,3,FALSE),VLOOKUP(FRU7,#REF!,4,FALSE)),0)</f>
        <v/>
      </c>
      <c r="FRV1">
        <f>IFERROR(IF((ISBLANK(VLOOKUP(FRV7,#REF!,4,FALSE)))=TRUE,VLOOKUP(FRV7,#REF!,3,FALSE),VLOOKUP(FRV7,#REF!,4,FALSE)),0)</f>
        <v/>
      </c>
      <c r="FRW1">
        <f>IFERROR(IF((ISBLANK(VLOOKUP(FRW7,#REF!,4,FALSE)))=TRUE,VLOOKUP(FRW7,#REF!,3,FALSE),VLOOKUP(FRW7,#REF!,4,FALSE)),0)</f>
        <v/>
      </c>
      <c r="FRX1">
        <f>IFERROR(IF((ISBLANK(VLOOKUP(FRX7,#REF!,4,FALSE)))=TRUE,VLOOKUP(FRX7,#REF!,3,FALSE),VLOOKUP(FRX7,#REF!,4,FALSE)),0)</f>
        <v/>
      </c>
      <c r="FRY1">
        <f>IFERROR(IF((ISBLANK(VLOOKUP(FRY7,#REF!,4,FALSE)))=TRUE,VLOOKUP(FRY7,#REF!,3,FALSE),VLOOKUP(FRY7,#REF!,4,FALSE)),0)</f>
        <v/>
      </c>
      <c r="FRZ1">
        <f>IFERROR(IF((ISBLANK(VLOOKUP(FRZ7,#REF!,4,FALSE)))=TRUE,VLOOKUP(FRZ7,#REF!,3,FALSE),VLOOKUP(FRZ7,#REF!,4,FALSE)),0)</f>
        <v/>
      </c>
      <c r="FSA1">
        <f>IFERROR(IF((ISBLANK(VLOOKUP(FSA7,#REF!,4,FALSE)))=TRUE,VLOOKUP(FSA7,#REF!,3,FALSE),VLOOKUP(FSA7,#REF!,4,FALSE)),0)</f>
        <v/>
      </c>
      <c r="FSB1">
        <f>IFERROR(IF((ISBLANK(VLOOKUP(FSB7,#REF!,4,FALSE)))=TRUE,VLOOKUP(FSB7,#REF!,3,FALSE),VLOOKUP(FSB7,#REF!,4,FALSE)),0)</f>
        <v/>
      </c>
      <c r="FSC1">
        <f>IFERROR(IF((ISBLANK(VLOOKUP(FSC7,#REF!,4,FALSE)))=TRUE,VLOOKUP(FSC7,#REF!,3,FALSE),VLOOKUP(FSC7,#REF!,4,FALSE)),0)</f>
        <v/>
      </c>
      <c r="FSD1">
        <f>IFERROR(IF((ISBLANK(VLOOKUP(FSD7,#REF!,4,FALSE)))=TRUE,VLOOKUP(FSD7,#REF!,3,FALSE),VLOOKUP(FSD7,#REF!,4,FALSE)),0)</f>
        <v/>
      </c>
      <c r="FSE1">
        <f>IFERROR(IF((ISBLANK(VLOOKUP(FSE7,#REF!,4,FALSE)))=TRUE,VLOOKUP(FSE7,#REF!,3,FALSE),VLOOKUP(FSE7,#REF!,4,FALSE)),0)</f>
        <v/>
      </c>
      <c r="FSF1">
        <f>IFERROR(IF((ISBLANK(VLOOKUP(FSF7,#REF!,4,FALSE)))=TRUE,VLOOKUP(FSF7,#REF!,3,FALSE),VLOOKUP(FSF7,#REF!,4,FALSE)),0)</f>
        <v/>
      </c>
      <c r="FSG1">
        <f>IFERROR(IF((ISBLANK(VLOOKUP(FSG7,#REF!,4,FALSE)))=TRUE,VLOOKUP(FSG7,#REF!,3,FALSE),VLOOKUP(FSG7,#REF!,4,FALSE)),0)</f>
        <v/>
      </c>
      <c r="FSH1">
        <f>IFERROR(IF((ISBLANK(VLOOKUP(FSH7,#REF!,4,FALSE)))=TRUE,VLOOKUP(FSH7,#REF!,3,FALSE),VLOOKUP(FSH7,#REF!,4,FALSE)),0)</f>
        <v/>
      </c>
      <c r="FSI1">
        <f>IFERROR(IF((ISBLANK(VLOOKUP(FSI7,#REF!,4,FALSE)))=TRUE,VLOOKUP(FSI7,#REF!,3,FALSE),VLOOKUP(FSI7,#REF!,4,FALSE)),0)</f>
        <v/>
      </c>
      <c r="FSJ1">
        <f>IFERROR(IF((ISBLANK(VLOOKUP(FSJ7,#REF!,4,FALSE)))=TRUE,VLOOKUP(FSJ7,#REF!,3,FALSE),VLOOKUP(FSJ7,#REF!,4,FALSE)),0)</f>
        <v/>
      </c>
      <c r="FSK1">
        <f>IFERROR(IF((ISBLANK(VLOOKUP(FSK7,#REF!,4,FALSE)))=TRUE,VLOOKUP(FSK7,#REF!,3,FALSE),VLOOKUP(FSK7,#REF!,4,FALSE)),0)</f>
        <v/>
      </c>
      <c r="FSL1">
        <f>IFERROR(IF((ISBLANK(VLOOKUP(FSL7,#REF!,4,FALSE)))=TRUE,VLOOKUP(FSL7,#REF!,3,FALSE),VLOOKUP(FSL7,#REF!,4,FALSE)),0)</f>
        <v/>
      </c>
      <c r="FSM1">
        <f>IFERROR(IF((ISBLANK(VLOOKUP(FSM7,#REF!,4,FALSE)))=TRUE,VLOOKUP(FSM7,#REF!,3,FALSE),VLOOKUP(FSM7,#REF!,4,FALSE)),0)</f>
        <v/>
      </c>
      <c r="FSN1">
        <f>IFERROR(IF((ISBLANK(VLOOKUP(FSN7,#REF!,4,FALSE)))=TRUE,VLOOKUP(FSN7,#REF!,3,FALSE),VLOOKUP(FSN7,#REF!,4,FALSE)),0)</f>
        <v/>
      </c>
      <c r="FSO1">
        <f>IFERROR(IF((ISBLANK(VLOOKUP(FSO7,#REF!,4,FALSE)))=TRUE,VLOOKUP(FSO7,#REF!,3,FALSE),VLOOKUP(FSO7,#REF!,4,FALSE)),0)</f>
        <v/>
      </c>
      <c r="FSP1">
        <f>IFERROR(IF((ISBLANK(VLOOKUP(FSP7,#REF!,4,FALSE)))=TRUE,VLOOKUP(FSP7,#REF!,3,FALSE),VLOOKUP(FSP7,#REF!,4,FALSE)),0)</f>
        <v/>
      </c>
      <c r="FSQ1">
        <f>IFERROR(IF((ISBLANK(VLOOKUP(FSQ7,#REF!,4,FALSE)))=TRUE,VLOOKUP(FSQ7,#REF!,3,FALSE),VLOOKUP(FSQ7,#REF!,4,FALSE)),0)</f>
        <v/>
      </c>
      <c r="FSR1">
        <f>IFERROR(IF((ISBLANK(VLOOKUP(FSR7,#REF!,4,FALSE)))=TRUE,VLOOKUP(FSR7,#REF!,3,FALSE),VLOOKUP(FSR7,#REF!,4,FALSE)),0)</f>
        <v/>
      </c>
      <c r="FSS1">
        <f>IFERROR(IF((ISBLANK(VLOOKUP(FSS7,#REF!,4,FALSE)))=TRUE,VLOOKUP(FSS7,#REF!,3,FALSE),VLOOKUP(FSS7,#REF!,4,FALSE)),0)</f>
        <v/>
      </c>
      <c r="FST1">
        <f>IFERROR(IF((ISBLANK(VLOOKUP(FST7,#REF!,4,FALSE)))=TRUE,VLOOKUP(FST7,#REF!,3,FALSE),VLOOKUP(FST7,#REF!,4,FALSE)),0)</f>
        <v/>
      </c>
      <c r="FSU1">
        <f>IFERROR(IF((ISBLANK(VLOOKUP(FSU7,#REF!,4,FALSE)))=TRUE,VLOOKUP(FSU7,#REF!,3,FALSE),VLOOKUP(FSU7,#REF!,4,FALSE)),0)</f>
        <v/>
      </c>
      <c r="FSV1">
        <f>IFERROR(IF((ISBLANK(VLOOKUP(FSV7,#REF!,4,FALSE)))=TRUE,VLOOKUP(FSV7,#REF!,3,FALSE),VLOOKUP(FSV7,#REF!,4,FALSE)),0)</f>
        <v/>
      </c>
      <c r="FSW1">
        <f>IFERROR(IF((ISBLANK(VLOOKUP(FSW7,#REF!,4,FALSE)))=TRUE,VLOOKUP(FSW7,#REF!,3,FALSE),VLOOKUP(FSW7,#REF!,4,FALSE)),0)</f>
        <v/>
      </c>
      <c r="FSX1">
        <f>IFERROR(IF((ISBLANK(VLOOKUP(FSX7,#REF!,4,FALSE)))=TRUE,VLOOKUP(FSX7,#REF!,3,FALSE),VLOOKUP(FSX7,#REF!,4,FALSE)),0)</f>
        <v/>
      </c>
      <c r="FSY1">
        <f>IFERROR(IF((ISBLANK(VLOOKUP(FSY7,#REF!,4,FALSE)))=TRUE,VLOOKUP(FSY7,#REF!,3,FALSE),VLOOKUP(FSY7,#REF!,4,FALSE)),0)</f>
        <v/>
      </c>
      <c r="FSZ1">
        <f>IFERROR(IF((ISBLANK(VLOOKUP(FSZ7,#REF!,4,FALSE)))=TRUE,VLOOKUP(FSZ7,#REF!,3,FALSE),VLOOKUP(FSZ7,#REF!,4,FALSE)),0)</f>
        <v/>
      </c>
      <c r="FTA1">
        <f>IFERROR(IF((ISBLANK(VLOOKUP(FTA7,#REF!,4,FALSE)))=TRUE,VLOOKUP(FTA7,#REF!,3,FALSE),VLOOKUP(FTA7,#REF!,4,FALSE)),0)</f>
        <v/>
      </c>
      <c r="FTB1">
        <f>IFERROR(IF((ISBLANK(VLOOKUP(FTB7,#REF!,4,FALSE)))=TRUE,VLOOKUP(FTB7,#REF!,3,FALSE),VLOOKUP(FTB7,#REF!,4,FALSE)),0)</f>
        <v/>
      </c>
      <c r="FTC1">
        <f>IFERROR(IF((ISBLANK(VLOOKUP(FTC7,#REF!,4,FALSE)))=TRUE,VLOOKUP(FTC7,#REF!,3,FALSE),VLOOKUP(FTC7,#REF!,4,FALSE)),0)</f>
        <v/>
      </c>
      <c r="FTD1">
        <f>IFERROR(IF((ISBLANK(VLOOKUP(FTD7,#REF!,4,FALSE)))=TRUE,VLOOKUP(FTD7,#REF!,3,FALSE),VLOOKUP(FTD7,#REF!,4,FALSE)),0)</f>
        <v/>
      </c>
      <c r="FTE1">
        <f>IFERROR(IF((ISBLANK(VLOOKUP(FTE7,#REF!,4,FALSE)))=TRUE,VLOOKUP(FTE7,#REF!,3,FALSE),VLOOKUP(FTE7,#REF!,4,FALSE)),0)</f>
        <v/>
      </c>
      <c r="FTF1">
        <f>IFERROR(IF((ISBLANK(VLOOKUP(FTF7,#REF!,4,FALSE)))=TRUE,VLOOKUP(FTF7,#REF!,3,FALSE),VLOOKUP(FTF7,#REF!,4,FALSE)),0)</f>
        <v/>
      </c>
      <c r="FTG1">
        <f>IFERROR(IF((ISBLANK(VLOOKUP(FTG7,#REF!,4,FALSE)))=TRUE,VLOOKUP(FTG7,#REF!,3,FALSE),VLOOKUP(FTG7,#REF!,4,FALSE)),0)</f>
        <v/>
      </c>
      <c r="FTH1">
        <f>IFERROR(IF((ISBLANK(VLOOKUP(FTH7,#REF!,4,FALSE)))=TRUE,VLOOKUP(FTH7,#REF!,3,FALSE),VLOOKUP(FTH7,#REF!,4,FALSE)),0)</f>
        <v/>
      </c>
      <c r="FTI1">
        <f>IFERROR(IF((ISBLANK(VLOOKUP(FTI7,#REF!,4,FALSE)))=TRUE,VLOOKUP(FTI7,#REF!,3,FALSE),VLOOKUP(FTI7,#REF!,4,FALSE)),0)</f>
        <v/>
      </c>
      <c r="FTJ1">
        <f>IFERROR(IF((ISBLANK(VLOOKUP(FTJ7,#REF!,4,FALSE)))=TRUE,VLOOKUP(FTJ7,#REF!,3,FALSE),VLOOKUP(FTJ7,#REF!,4,FALSE)),0)</f>
        <v/>
      </c>
      <c r="FTK1">
        <f>IFERROR(IF((ISBLANK(VLOOKUP(FTK7,#REF!,4,FALSE)))=TRUE,VLOOKUP(FTK7,#REF!,3,FALSE),VLOOKUP(FTK7,#REF!,4,FALSE)),0)</f>
        <v/>
      </c>
      <c r="FTL1">
        <f>IFERROR(IF((ISBLANK(VLOOKUP(FTL7,#REF!,4,FALSE)))=TRUE,VLOOKUP(FTL7,#REF!,3,FALSE),VLOOKUP(FTL7,#REF!,4,FALSE)),0)</f>
        <v/>
      </c>
      <c r="FTM1">
        <f>IFERROR(IF((ISBLANK(VLOOKUP(FTM7,#REF!,4,FALSE)))=TRUE,VLOOKUP(FTM7,#REF!,3,FALSE),VLOOKUP(FTM7,#REF!,4,FALSE)),0)</f>
        <v/>
      </c>
      <c r="FTN1">
        <f>IFERROR(IF((ISBLANK(VLOOKUP(FTN7,#REF!,4,FALSE)))=TRUE,VLOOKUP(FTN7,#REF!,3,FALSE),VLOOKUP(FTN7,#REF!,4,FALSE)),0)</f>
        <v/>
      </c>
      <c r="FTO1">
        <f>IFERROR(IF((ISBLANK(VLOOKUP(FTO7,#REF!,4,FALSE)))=TRUE,VLOOKUP(FTO7,#REF!,3,FALSE),VLOOKUP(FTO7,#REF!,4,FALSE)),0)</f>
        <v/>
      </c>
      <c r="FTP1">
        <f>IFERROR(IF((ISBLANK(VLOOKUP(FTP7,#REF!,4,FALSE)))=TRUE,VLOOKUP(FTP7,#REF!,3,FALSE),VLOOKUP(FTP7,#REF!,4,FALSE)),0)</f>
        <v/>
      </c>
      <c r="FTQ1">
        <f>IFERROR(IF((ISBLANK(VLOOKUP(FTQ7,#REF!,4,FALSE)))=TRUE,VLOOKUP(FTQ7,#REF!,3,FALSE),VLOOKUP(FTQ7,#REF!,4,FALSE)),0)</f>
        <v/>
      </c>
      <c r="FTR1">
        <f>IFERROR(IF((ISBLANK(VLOOKUP(FTR7,#REF!,4,FALSE)))=TRUE,VLOOKUP(FTR7,#REF!,3,FALSE),VLOOKUP(FTR7,#REF!,4,FALSE)),0)</f>
        <v/>
      </c>
      <c r="FTS1">
        <f>IFERROR(IF((ISBLANK(VLOOKUP(FTS7,#REF!,4,FALSE)))=TRUE,VLOOKUP(FTS7,#REF!,3,FALSE),VLOOKUP(FTS7,#REF!,4,FALSE)),0)</f>
        <v/>
      </c>
      <c r="FTT1">
        <f>IFERROR(IF((ISBLANK(VLOOKUP(FTT7,#REF!,4,FALSE)))=TRUE,VLOOKUP(FTT7,#REF!,3,FALSE),VLOOKUP(FTT7,#REF!,4,FALSE)),0)</f>
        <v/>
      </c>
      <c r="FTU1">
        <f>IFERROR(IF((ISBLANK(VLOOKUP(FTU7,#REF!,4,FALSE)))=TRUE,VLOOKUP(FTU7,#REF!,3,FALSE),VLOOKUP(FTU7,#REF!,4,FALSE)),0)</f>
        <v/>
      </c>
      <c r="FTV1">
        <f>IFERROR(IF((ISBLANK(VLOOKUP(FTV7,#REF!,4,FALSE)))=TRUE,VLOOKUP(FTV7,#REF!,3,FALSE),VLOOKUP(FTV7,#REF!,4,FALSE)),0)</f>
        <v/>
      </c>
      <c r="FTW1">
        <f>IFERROR(IF((ISBLANK(VLOOKUP(FTW7,#REF!,4,FALSE)))=TRUE,VLOOKUP(FTW7,#REF!,3,FALSE),VLOOKUP(FTW7,#REF!,4,FALSE)),0)</f>
        <v/>
      </c>
      <c r="FTX1">
        <f>IFERROR(IF((ISBLANK(VLOOKUP(FTX7,#REF!,4,FALSE)))=TRUE,VLOOKUP(FTX7,#REF!,3,FALSE),VLOOKUP(FTX7,#REF!,4,FALSE)),0)</f>
        <v/>
      </c>
      <c r="FTY1">
        <f>IFERROR(IF((ISBLANK(VLOOKUP(FTY7,#REF!,4,FALSE)))=TRUE,VLOOKUP(FTY7,#REF!,3,FALSE),VLOOKUP(FTY7,#REF!,4,FALSE)),0)</f>
        <v/>
      </c>
      <c r="FTZ1">
        <f>IFERROR(IF((ISBLANK(VLOOKUP(FTZ7,#REF!,4,FALSE)))=TRUE,VLOOKUP(FTZ7,#REF!,3,FALSE),VLOOKUP(FTZ7,#REF!,4,FALSE)),0)</f>
        <v/>
      </c>
      <c r="FUA1">
        <f>IFERROR(IF((ISBLANK(VLOOKUP(FUA7,#REF!,4,FALSE)))=TRUE,VLOOKUP(FUA7,#REF!,3,FALSE),VLOOKUP(FUA7,#REF!,4,FALSE)),0)</f>
        <v/>
      </c>
      <c r="FUB1">
        <f>IFERROR(IF((ISBLANK(VLOOKUP(FUB7,#REF!,4,FALSE)))=TRUE,VLOOKUP(FUB7,#REF!,3,FALSE),VLOOKUP(FUB7,#REF!,4,FALSE)),0)</f>
        <v/>
      </c>
      <c r="FUC1">
        <f>IFERROR(IF((ISBLANK(VLOOKUP(FUC7,#REF!,4,FALSE)))=TRUE,VLOOKUP(FUC7,#REF!,3,FALSE),VLOOKUP(FUC7,#REF!,4,FALSE)),0)</f>
        <v/>
      </c>
      <c r="FUD1">
        <f>IFERROR(IF((ISBLANK(VLOOKUP(FUD7,#REF!,4,FALSE)))=TRUE,VLOOKUP(FUD7,#REF!,3,FALSE),VLOOKUP(FUD7,#REF!,4,FALSE)),0)</f>
        <v/>
      </c>
      <c r="FUE1">
        <f>IFERROR(IF((ISBLANK(VLOOKUP(FUE7,#REF!,4,FALSE)))=TRUE,VLOOKUP(FUE7,#REF!,3,FALSE),VLOOKUP(FUE7,#REF!,4,FALSE)),0)</f>
        <v/>
      </c>
      <c r="FUF1">
        <f>IFERROR(IF((ISBLANK(VLOOKUP(FUF7,#REF!,4,FALSE)))=TRUE,VLOOKUP(FUF7,#REF!,3,FALSE),VLOOKUP(FUF7,#REF!,4,FALSE)),0)</f>
        <v/>
      </c>
      <c r="FUG1">
        <f>IFERROR(IF((ISBLANK(VLOOKUP(FUG7,#REF!,4,FALSE)))=TRUE,VLOOKUP(FUG7,#REF!,3,FALSE),VLOOKUP(FUG7,#REF!,4,FALSE)),0)</f>
        <v/>
      </c>
      <c r="FUH1">
        <f>IFERROR(IF((ISBLANK(VLOOKUP(FUH7,#REF!,4,FALSE)))=TRUE,VLOOKUP(FUH7,#REF!,3,FALSE),VLOOKUP(FUH7,#REF!,4,FALSE)),0)</f>
        <v/>
      </c>
      <c r="FUI1">
        <f>IFERROR(IF((ISBLANK(VLOOKUP(FUI7,#REF!,4,FALSE)))=TRUE,VLOOKUP(FUI7,#REF!,3,FALSE),VLOOKUP(FUI7,#REF!,4,FALSE)),0)</f>
        <v/>
      </c>
      <c r="FUJ1">
        <f>IFERROR(IF((ISBLANK(VLOOKUP(FUJ7,#REF!,4,FALSE)))=TRUE,VLOOKUP(FUJ7,#REF!,3,FALSE),VLOOKUP(FUJ7,#REF!,4,FALSE)),0)</f>
        <v/>
      </c>
      <c r="FUK1">
        <f>IFERROR(IF((ISBLANK(VLOOKUP(FUK7,#REF!,4,FALSE)))=TRUE,VLOOKUP(FUK7,#REF!,3,FALSE),VLOOKUP(FUK7,#REF!,4,FALSE)),0)</f>
        <v/>
      </c>
      <c r="FUL1">
        <f>IFERROR(IF((ISBLANK(VLOOKUP(FUL7,#REF!,4,FALSE)))=TRUE,VLOOKUP(FUL7,#REF!,3,FALSE),VLOOKUP(FUL7,#REF!,4,FALSE)),0)</f>
        <v/>
      </c>
      <c r="FUM1">
        <f>IFERROR(IF((ISBLANK(VLOOKUP(FUM7,#REF!,4,FALSE)))=TRUE,VLOOKUP(FUM7,#REF!,3,FALSE),VLOOKUP(FUM7,#REF!,4,FALSE)),0)</f>
        <v/>
      </c>
      <c r="FUN1">
        <f>IFERROR(IF((ISBLANK(VLOOKUP(FUN7,#REF!,4,FALSE)))=TRUE,VLOOKUP(FUN7,#REF!,3,FALSE),VLOOKUP(FUN7,#REF!,4,FALSE)),0)</f>
        <v/>
      </c>
      <c r="FUO1">
        <f>IFERROR(IF((ISBLANK(VLOOKUP(FUO7,#REF!,4,FALSE)))=TRUE,VLOOKUP(FUO7,#REF!,3,FALSE),VLOOKUP(FUO7,#REF!,4,FALSE)),0)</f>
        <v/>
      </c>
      <c r="FUP1">
        <f>IFERROR(IF((ISBLANK(VLOOKUP(FUP7,#REF!,4,FALSE)))=TRUE,VLOOKUP(FUP7,#REF!,3,FALSE),VLOOKUP(FUP7,#REF!,4,FALSE)),0)</f>
        <v/>
      </c>
      <c r="FUQ1">
        <f>IFERROR(IF((ISBLANK(VLOOKUP(FUQ7,#REF!,4,FALSE)))=TRUE,VLOOKUP(FUQ7,#REF!,3,FALSE),VLOOKUP(FUQ7,#REF!,4,FALSE)),0)</f>
        <v/>
      </c>
      <c r="FUR1">
        <f>IFERROR(IF((ISBLANK(VLOOKUP(FUR7,#REF!,4,FALSE)))=TRUE,VLOOKUP(FUR7,#REF!,3,FALSE),VLOOKUP(FUR7,#REF!,4,FALSE)),0)</f>
        <v/>
      </c>
      <c r="FUS1">
        <f>IFERROR(IF((ISBLANK(VLOOKUP(FUS7,#REF!,4,FALSE)))=TRUE,VLOOKUP(FUS7,#REF!,3,FALSE),VLOOKUP(FUS7,#REF!,4,FALSE)),0)</f>
        <v/>
      </c>
      <c r="FUT1">
        <f>IFERROR(IF((ISBLANK(VLOOKUP(FUT7,#REF!,4,FALSE)))=TRUE,VLOOKUP(FUT7,#REF!,3,FALSE),VLOOKUP(FUT7,#REF!,4,FALSE)),0)</f>
        <v/>
      </c>
      <c r="FUU1">
        <f>IFERROR(IF((ISBLANK(VLOOKUP(FUU7,#REF!,4,FALSE)))=TRUE,VLOOKUP(FUU7,#REF!,3,FALSE),VLOOKUP(FUU7,#REF!,4,FALSE)),0)</f>
        <v/>
      </c>
      <c r="FUV1">
        <f>IFERROR(IF((ISBLANK(VLOOKUP(FUV7,#REF!,4,FALSE)))=TRUE,VLOOKUP(FUV7,#REF!,3,FALSE),VLOOKUP(FUV7,#REF!,4,FALSE)),0)</f>
        <v/>
      </c>
      <c r="FUW1">
        <f>IFERROR(IF((ISBLANK(VLOOKUP(FUW7,#REF!,4,FALSE)))=TRUE,VLOOKUP(FUW7,#REF!,3,FALSE),VLOOKUP(FUW7,#REF!,4,FALSE)),0)</f>
        <v/>
      </c>
      <c r="FUX1">
        <f>IFERROR(IF((ISBLANK(VLOOKUP(FUX7,#REF!,4,FALSE)))=TRUE,VLOOKUP(FUX7,#REF!,3,FALSE),VLOOKUP(FUX7,#REF!,4,FALSE)),0)</f>
        <v/>
      </c>
      <c r="FUY1">
        <f>IFERROR(IF((ISBLANK(VLOOKUP(FUY7,#REF!,4,FALSE)))=TRUE,VLOOKUP(FUY7,#REF!,3,FALSE),VLOOKUP(FUY7,#REF!,4,FALSE)),0)</f>
        <v/>
      </c>
      <c r="FUZ1">
        <f>IFERROR(IF((ISBLANK(VLOOKUP(FUZ7,#REF!,4,FALSE)))=TRUE,VLOOKUP(FUZ7,#REF!,3,FALSE),VLOOKUP(FUZ7,#REF!,4,FALSE)),0)</f>
        <v/>
      </c>
      <c r="FVA1">
        <f>IFERROR(IF((ISBLANK(VLOOKUP(FVA7,#REF!,4,FALSE)))=TRUE,VLOOKUP(FVA7,#REF!,3,FALSE),VLOOKUP(FVA7,#REF!,4,FALSE)),0)</f>
        <v/>
      </c>
      <c r="FVB1">
        <f>IFERROR(IF((ISBLANK(VLOOKUP(FVB7,#REF!,4,FALSE)))=TRUE,VLOOKUP(FVB7,#REF!,3,FALSE),VLOOKUP(FVB7,#REF!,4,FALSE)),0)</f>
        <v/>
      </c>
      <c r="FVC1">
        <f>IFERROR(IF((ISBLANK(VLOOKUP(FVC7,#REF!,4,FALSE)))=TRUE,VLOOKUP(FVC7,#REF!,3,FALSE),VLOOKUP(FVC7,#REF!,4,FALSE)),0)</f>
        <v/>
      </c>
      <c r="FVD1">
        <f>IFERROR(IF((ISBLANK(VLOOKUP(FVD7,#REF!,4,FALSE)))=TRUE,VLOOKUP(FVD7,#REF!,3,FALSE),VLOOKUP(FVD7,#REF!,4,FALSE)),0)</f>
        <v/>
      </c>
      <c r="FVE1">
        <f>IFERROR(IF((ISBLANK(VLOOKUP(FVE7,#REF!,4,FALSE)))=TRUE,VLOOKUP(FVE7,#REF!,3,FALSE),VLOOKUP(FVE7,#REF!,4,FALSE)),0)</f>
        <v/>
      </c>
      <c r="FVF1">
        <f>IFERROR(IF((ISBLANK(VLOOKUP(FVF7,#REF!,4,FALSE)))=TRUE,VLOOKUP(FVF7,#REF!,3,FALSE),VLOOKUP(FVF7,#REF!,4,FALSE)),0)</f>
        <v/>
      </c>
      <c r="FVG1">
        <f>IFERROR(IF((ISBLANK(VLOOKUP(FVG7,#REF!,4,FALSE)))=TRUE,VLOOKUP(FVG7,#REF!,3,FALSE),VLOOKUP(FVG7,#REF!,4,FALSE)),0)</f>
        <v/>
      </c>
      <c r="FVH1">
        <f>IFERROR(IF((ISBLANK(VLOOKUP(FVH7,#REF!,4,FALSE)))=TRUE,VLOOKUP(FVH7,#REF!,3,FALSE),VLOOKUP(FVH7,#REF!,4,FALSE)),0)</f>
        <v/>
      </c>
      <c r="FVI1">
        <f>IFERROR(IF((ISBLANK(VLOOKUP(FVI7,#REF!,4,FALSE)))=TRUE,VLOOKUP(FVI7,#REF!,3,FALSE),VLOOKUP(FVI7,#REF!,4,FALSE)),0)</f>
        <v/>
      </c>
      <c r="FVJ1">
        <f>IFERROR(IF((ISBLANK(VLOOKUP(FVJ7,#REF!,4,FALSE)))=TRUE,VLOOKUP(FVJ7,#REF!,3,FALSE),VLOOKUP(FVJ7,#REF!,4,FALSE)),0)</f>
        <v/>
      </c>
      <c r="FVK1">
        <f>IFERROR(IF((ISBLANK(VLOOKUP(FVK7,#REF!,4,FALSE)))=TRUE,VLOOKUP(FVK7,#REF!,3,FALSE),VLOOKUP(FVK7,#REF!,4,FALSE)),0)</f>
        <v/>
      </c>
      <c r="FVL1">
        <f>IFERROR(IF((ISBLANK(VLOOKUP(FVL7,#REF!,4,FALSE)))=TRUE,VLOOKUP(FVL7,#REF!,3,FALSE),VLOOKUP(FVL7,#REF!,4,FALSE)),0)</f>
        <v/>
      </c>
      <c r="FVM1">
        <f>IFERROR(IF((ISBLANK(VLOOKUP(FVM7,#REF!,4,FALSE)))=TRUE,VLOOKUP(FVM7,#REF!,3,FALSE),VLOOKUP(FVM7,#REF!,4,FALSE)),0)</f>
        <v/>
      </c>
      <c r="FVN1">
        <f>IFERROR(IF((ISBLANK(VLOOKUP(FVN7,#REF!,4,FALSE)))=TRUE,VLOOKUP(FVN7,#REF!,3,FALSE),VLOOKUP(FVN7,#REF!,4,FALSE)),0)</f>
        <v/>
      </c>
      <c r="FVO1">
        <f>IFERROR(IF((ISBLANK(VLOOKUP(FVO7,#REF!,4,FALSE)))=TRUE,VLOOKUP(FVO7,#REF!,3,FALSE),VLOOKUP(FVO7,#REF!,4,FALSE)),0)</f>
        <v/>
      </c>
      <c r="FVP1">
        <f>IFERROR(IF((ISBLANK(VLOOKUP(FVP7,#REF!,4,FALSE)))=TRUE,VLOOKUP(FVP7,#REF!,3,FALSE),VLOOKUP(FVP7,#REF!,4,FALSE)),0)</f>
        <v/>
      </c>
      <c r="FVQ1">
        <f>IFERROR(IF((ISBLANK(VLOOKUP(FVQ7,#REF!,4,FALSE)))=TRUE,VLOOKUP(FVQ7,#REF!,3,FALSE),VLOOKUP(FVQ7,#REF!,4,FALSE)),0)</f>
        <v/>
      </c>
      <c r="FVR1">
        <f>IFERROR(IF((ISBLANK(VLOOKUP(FVR7,#REF!,4,FALSE)))=TRUE,VLOOKUP(FVR7,#REF!,3,FALSE),VLOOKUP(FVR7,#REF!,4,FALSE)),0)</f>
        <v/>
      </c>
      <c r="FVS1">
        <f>IFERROR(IF((ISBLANK(VLOOKUP(FVS7,#REF!,4,FALSE)))=TRUE,VLOOKUP(FVS7,#REF!,3,FALSE),VLOOKUP(FVS7,#REF!,4,FALSE)),0)</f>
        <v/>
      </c>
      <c r="FVT1">
        <f>IFERROR(IF((ISBLANK(VLOOKUP(FVT7,#REF!,4,FALSE)))=TRUE,VLOOKUP(FVT7,#REF!,3,FALSE),VLOOKUP(FVT7,#REF!,4,FALSE)),0)</f>
        <v/>
      </c>
      <c r="FVU1">
        <f>IFERROR(IF((ISBLANK(VLOOKUP(FVU7,#REF!,4,FALSE)))=TRUE,VLOOKUP(FVU7,#REF!,3,FALSE),VLOOKUP(FVU7,#REF!,4,FALSE)),0)</f>
        <v/>
      </c>
      <c r="FVV1">
        <f>IFERROR(IF((ISBLANK(VLOOKUP(FVV7,#REF!,4,FALSE)))=TRUE,VLOOKUP(FVV7,#REF!,3,FALSE),VLOOKUP(FVV7,#REF!,4,FALSE)),0)</f>
        <v/>
      </c>
      <c r="FVW1">
        <f>IFERROR(IF((ISBLANK(VLOOKUP(FVW7,#REF!,4,FALSE)))=TRUE,VLOOKUP(FVW7,#REF!,3,FALSE),VLOOKUP(FVW7,#REF!,4,FALSE)),0)</f>
        <v/>
      </c>
      <c r="FVX1">
        <f>IFERROR(IF((ISBLANK(VLOOKUP(FVX7,#REF!,4,FALSE)))=TRUE,VLOOKUP(FVX7,#REF!,3,FALSE),VLOOKUP(FVX7,#REF!,4,FALSE)),0)</f>
        <v/>
      </c>
      <c r="FVY1">
        <f>IFERROR(IF((ISBLANK(VLOOKUP(FVY7,#REF!,4,FALSE)))=TRUE,VLOOKUP(FVY7,#REF!,3,FALSE),VLOOKUP(FVY7,#REF!,4,FALSE)),0)</f>
        <v/>
      </c>
      <c r="FVZ1">
        <f>IFERROR(IF((ISBLANK(VLOOKUP(FVZ7,#REF!,4,FALSE)))=TRUE,VLOOKUP(FVZ7,#REF!,3,FALSE),VLOOKUP(FVZ7,#REF!,4,FALSE)),0)</f>
        <v/>
      </c>
      <c r="FWA1">
        <f>IFERROR(IF((ISBLANK(VLOOKUP(FWA7,#REF!,4,FALSE)))=TRUE,VLOOKUP(FWA7,#REF!,3,FALSE),VLOOKUP(FWA7,#REF!,4,FALSE)),0)</f>
        <v/>
      </c>
      <c r="FWB1">
        <f>IFERROR(IF((ISBLANK(VLOOKUP(FWB7,#REF!,4,FALSE)))=TRUE,VLOOKUP(FWB7,#REF!,3,FALSE),VLOOKUP(FWB7,#REF!,4,FALSE)),0)</f>
        <v/>
      </c>
      <c r="FWC1">
        <f>IFERROR(IF((ISBLANK(VLOOKUP(FWC7,#REF!,4,FALSE)))=TRUE,VLOOKUP(FWC7,#REF!,3,FALSE),VLOOKUP(FWC7,#REF!,4,FALSE)),0)</f>
        <v/>
      </c>
      <c r="FWD1">
        <f>IFERROR(IF((ISBLANK(VLOOKUP(FWD7,#REF!,4,FALSE)))=TRUE,VLOOKUP(FWD7,#REF!,3,FALSE),VLOOKUP(FWD7,#REF!,4,FALSE)),0)</f>
        <v/>
      </c>
      <c r="FWE1">
        <f>IFERROR(IF((ISBLANK(VLOOKUP(FWE7,#REF!,4,FALSE)))=TRUE,VLOOKUP(FWE7,#REF!,3,FALSE),VLOOKUP(FWE7,#REF!,4,FALSE)),0)</f>
        <v/>
      </c>
      <c r="FWF1">
        <f>IFERROR(IF((ISBLANK(VLOOKUP(FWF7,#REF!,4,FALSE)))=TRUE,VLOOKUP(FWF7,#REF!,3,FALSE),VLOOKUP(FWF7,#REF!,4,FALSE)),0)</f>
        <v/>
      </c>
      <c r="FWG1">
        <f>IFERROR(IF((ISBLANK(VLOOKUP(FWG7,#REF!,4,FALSE)))=TRUE,VLOOKUP(FWG7,#REF!,3,FALSE),VLOOKUP(FWG7,#REF!,4,FALSE)),0)</f>
        <v/>
      </c>
      <c r="FWH1">
        <f>IFERROR(IF((ISBLANK(VLOOKUP(FWH7,#REF!,4,FALSE)))=TRUE,VLOOKUP(FWH7,#REF!,3,FALSE),VLOOKUP(FWH7,#REF!,4,FALSE)),0)</f>
        <v/>
      </c>
      <c r="FWI1">
        <f>IFERROR(IF((ISBLANK(VLOOKUP(FWI7,#REF!,4,FALSE)))=TRUE,VLOOKUP(FWI7,#REF!,3,FALSE),VLOOKUP(FWI7,#REF!,4,FALSE)),0)</f>
        <v/>
      </c>
      <c r="FWJ1">
        <f>IFERROR(IF((ISBLANK(VLOOKUP(FWJ7,#REF!,4,FALSE)))=TRUE,VLOOKUP(FWJ7,#REF!,3,FALSE),VLOOKUP(FWJ7,#REF!,4,FALSE)),0)</f>
        <v/>
      </c>
      <c r="FWK1">
        <f>IFERROR(IF((ISBLANK(VLOOKUP(FWK7,#REF!,4,FALSE)))=TRUE,VLOOKUP(FWK7,#REF!,3,FALSE),VLOOKUP(FWK7,#REF!,4,FALSE)),0)</f>
        <v/>
      </c>
      <c r="FWL1">
        <f>IFERROR(IF((ISBLANK(VLOOKUP(FWL7,#REF!,4,FALSE)))=TRUE,VLOOKUP(FWL7,#REF!,3,FALSE),VLOOKUP(FWL7,#REF!,4,FALSE)),0)</f>
        <v/>
      </c>
      <c r="FWM1">
        <f>IFERROR(IF((ISBLANK(VLOOKUP(FWM7,#REF!,4,FALSE)))=TRUE,VLOOKUP(FWM7,#REF!,3,FALSE),VLOOKUP(FWM7,#REF!,4,FALSE)),0)</f>
        <v/>
      </c>
      <c r="FWN1">
        <f>IFERROR(IF((ISBLANK(VLOOKUP(FWN7,#REF!,4,FALSE)))=TRUE,VLOOKUP(FWN7,#REF!,3,FALSE),VLOOKUP(FWN7,#REF!,4,FALSE)),0)</f>
        <v/>
      </c>
      <c r="FWO1">
        <f>IFERROR(IF((ISBLANK(VLOOKUP(FWO7,#REF!,4,FALSE)))=TRUE,VLOOKUP(FWO7,#REF!,3,FALSE),VLOOKUP(FWO7,#REF!,4,FALSE)),0)</f>
        <v/>
      </c>
      <c r="FWP1">
        <f>IFERROR(IF((ISBLANK(VLOOKUP(FWP7,#REF!,4,FALSE)))=TRUE,VLOOKUP(FWP7,#REF!,3,FALSE),VLOOKUP(FWP7,#REF!,4,FALSE)),0)</f>
        <v/>
      </c>
      <c r="FWQ1">
        <f>IFERROR(IF((ISBLANK(VLOOKUP(FWQ7,#REF!,4,FALSE)))=TRUE,VLOOKUP(FWQ7,#REF!,3,FALSE),VLOOKUP(FWQ7,#REF!,4,FALSE)),0)</f>
        <v/>
      </c>
      <c r="FWR1">
        <f>IFERROR(IF((ISBLANK(VLOOKUP(FWR7,#REF!,4,FALSE)))=TRUE,VLOOKUP(FWR7,#REF!,3,FALSE),VLOOKUP(FWR7,#REF!,4,FALSE)),0)</f>
        <v/>
      </c>
      <c r="FWS1">
        <f>IFERROR(IF((ISBLANK(VLOOKUP(FWS7,#REF!,4,FALSE)))=TRUE,VLOOKUP(FWS7,#REF!,3,FALSE),VLOOKUP(FWS7,#REF!,4,FALSE)),0)</f>
        <v/>
      </c>
      <c r="FWT1">
        <f>IFERROR(IF((ISBLANK(VLOOKUP(FWT7,#REF!,4,FALSE)))=TRUE,VLOOKUP(FWT7,#REF!,3,FALSE),VLOOKUP(FWT7,#REF!,4,FALSE)),0)</f>
        <v/>
      </c>
      <c r="FWU1">
        <f>IFERROR(IF((ISBLANK(VLOOKUP(FWU7,#REF!,4,FALSE)))=TRUE,VLOOKUP(FWU7,#REF!,3,FALSE),VLOOKUP(FWU7,#REF!,4,FALSE)),0)</f>
        <v/>
      </c>
      <c r="FWV1">
        <f>IFERROR(IF((ISBLANK(VLOOKUP(FWV7,#REF!,4,FALSE)))=TRUE,VLOOKUP(FWV7,#REF!,3,FALSE),VLOOKUP(FWV7,#REF!,4,FALSE)),0)</f>
        <v/>
      </c>
      <c r="FWW1">
        <f>IFERROR(IF((ISBLANK(VLOOKUP(FWW7,#REF!,4,FALSE)))=TRUE,VLOOKUP(FWW7,#REF!,3,FALSE),VLOOKUP(FWW7,#REF!,4,FALSE)),0)</f>
        <v/>
      </c>
      <c r="FWX1">
        <f>IFERROR(IF((ISBLANK(VLOOKUP(FWX7,#REF!,4,FALSE)))=TRUE,VLOOKUP(FWX7,#REF!,3,FALSE),VLOOKUP(FWX7,#REF!,4,FALSE)),0)</f>
        <v/>
      </c>
      <c r="FWY1">
        <f>IFERROR(IF((ISBLANK(VLOOKUP(FWY7,#REF!,4,FALSE)))=TRUE,VLOOKUP(FWY7,#REF!,3,FALSE),VLOOKUP(FWY7,#REF!,4,FALSE)),0)</f>
        <v/>
      </c>
      <c r="FWZ1">
        <f>IFERROR(IF((ISBLANK(VLOOKUP(FWZ7,#REF!,4,FALSE)))=TRUE,VLOOKUP(FWZ7,#REF!,3,FALSE),VLOOKUP(FWZ7,#REF!,4,FALSE)),0)</f>
        <v/>
      </c>
      <c r="FXA1">
        <f>IFERROR(IF((ISBLANK(VLOOKUP(FXA7,#REF!,4,FALSE)))=TRUE,VLOOKUP(FXA7,#REF!,3,FALSE),VLOOKUP(FXA7,#REF!,4,FALSE)),0)</f>
        <v/>
      </c>
      <c r="FXB1">
        <f>IFERROR(IF((ISBLANK(VLOOKUP(FXB7,#REF!,4,FALSE)))=TRUE,VLOOKUP(FXB7,#REF!,3,FALSE),VLOOKUP(FXB7,#REF!,4,FALSE)),0)</f>
        <v/>
      </c>
      <c r="FXC1">
        <f>IFERROR(IF((ISBLANK(VLOOKUP(FXC7,#REF!,4,FALSE)))=TRUE,VLOOKUP(FXC7,#REF!,3,FALSE),VLOOKUP(FXC7,#REF!,4,FALSE)),0)</f>
        <v/>
      </c>
      <c r="FXD1">
        <f>IFERROR(IF((ISBLANK(VLOOKUP(FXD7,#REF!,4,FALSE)))=TRUE,VLOOKUP(FXD7,#REF!,3,FALSE),VLOOKUP(FXD7,#REF!,4,FALSE)),0)</f>
        <v/>
      </c>
      <c r="FXE1">
        <f>IFERROR(IF((ISBLANK(VLOOKUP(FXE7,#REF!,4,FALSE)))=TRUE,VLOOKUP(FXE7,#REF!,3,FALSE),VLOOKUP(FXE7,#REF!,4,FALSE)),0)</f>
        <v/>
      </c>
      <c r="FXF1">
        <f>IFERROR(IF((ISBLANK(VLOOKUP(FXF7,#REF!,4,FALSE)))=TRUE,VLOOKUP(FXF7,#REF!,3,FALSE),VLOOKUP(FXF7,#REF!,4,FALSE)),0)</f>
        <v/>
      </c>
      <c r="FXG1">
        <f>IFERROR(IF((ISBLANK(VLOOKUP(FXG7,#REF!,4,FALSE)))=TRUE,VLOOKUP(FXG7,#REF!,3,FALSE),VLOOKUP(FXG7,#REF!,4,FALSE)),0)</f>
        <v/>
      </c>
      <c r="FXH1">
        <f>IFERROR(IF((ISBLANK(VLOOKUP(FXH7,#REF!,4,FALSE)))=TRUE,VLOOKUP(FXH7,#REF!,3,FALSE),VLOOKUP(FXH7,#REF!,4,FALSE)),0)</f>
        <v/>
      </c>
      <c r="FXI1">
        <f>IFERROR(IF((ISBLANK(VLOOKUP(FXI7,#REF!,4,FALSE)))=TRUE,VLOOKUP(FXI7,#REF!,3,FALSE),VLOOKUP(FXI7,#REF!,4,FALSE)),0)</f>
        <v/>
      </c>
      <c r="FXJ1">
        <f>IFERROR(IF((ISBLANK(VLOOKUP(FXJ7,#REF!,4,FALSE)))=TRUE,VLOOKUP(FXJ7,#REF!,3,FALSE),VLOOKUP(FXJ7,#REF!,4,FALSE)),0)</f>
        <v/>
      </c>
      <c r="FXK1">
        <f>IFERROR(IF((ISBLANK(VLOOKUP(FXK7,#REF!,4,FALSE)))=TRUE,VLOOKUP(FXK7,#REF!,3,FALSE),VLOOKUP(FXK7,#REF!,4,FALSE)),0)</f>
        <v/>
      </c>
      <c r="FXL1">
        <f>IFERROR(IF((ISBLANK(VLOOKUP(FXL7,#REF!,4,FALSE)))=TRUE,VLOOKUP(FXL7,#REF!,3,FALSE),VLOOKUP(FXL7,#REF!,4,FALSE)),0)</f>
        <v/>
      </c>
      <c r="FXM1">
        <f>IFERROR(IF((ISBLANK(VLOOKUP(FXM7,#REF!,4,FALSE)))=TRUE,VLOOKUP(FXM7,#REF!,3,FALSE),VLOOKUP(FXM7,#REF!,4,FALSE)),0)</f>
        <v/>
      </c>
      <c r="FXN1">
        <f>IFERROR(IF((ISBLANK(VLOOKUP(FXN7,#REF!,4,FALSE)))=TRUE,VLOOKUP(FXN7,#REF!,3,FALSE),VLOOKUP(FXN7,#REF!,4,FALSE)),0)</f>
        <v/>
      </c>
      <c r="FXO1">
        <f>IFERROR(IF((ISBLANK(VLOOKUP(FXO7,#REF!,4,FALSE)))=TRUE,VLOOKUP(FXO7,#REF!,3,FALSE),VLOOKUP(FXO7,#REF!,4,FALSE)),0)</f>
        <v/>
      </c>
      <c r="FXP1">
        <f>IFERROR(IF((ISBLANK(VLOOKUP(FXP7,#REF!,4,FALSE)))=TRUE,VLOOKUP(FXP7,#REF!,3,FALSE),VLOOKUP(FXP7,#REF!,4,FALSE)),0)</f>
        <v/>
      </c>
      <c r="FXQ1">
        <f>IFERROR(IF((ISBLANK(VLOOKUP(FXQ7,#REF!,4,FALSE)))=TRUE,VLOOKUP(FXQ7,#REF!,3,FALSE),VLOOKUP(FXQ7,#REF!,4,FALSE)),0)</f>
        <v/>
      </c>
      <c r="FXR1">
        <f>IFERROR(IF((ISBLANK(VLOOKUP(FXR7,#REF!,4,FALSE)))=TRUE,VLOOKUP(FXR7,#REF!,3,FALSE),VLOOKUP(FXR7,#REF!,4,FALSE)),0)</f>
        <v/>
      </c>
      <c r="FXS1">
        <f>IFERROR(IF((ISBLANK(VLOOKUP(FXS7,#REF!,4,FALSE)))=TRUE,VLOOKUP(FXS7,#REF!,3,FALSE),VLOOKUP(FXS7,#REF!,4,FALSE)),0)</f>
        <v/>
      </c>
      <c r="FXT1">
        <f>IFERROR(IF((ISBLANK(VLOOKUP(FXT7,#REF!,4,FALSE)))=TRUE,VLOOKUP(FXT7,#REF!,3,FALSE),VLOOKUP(FXT7,#REF!,4,FALSE)),0)</f>
        <v/>
      </c>
      <c r="FXU1">
        <f>IFERROR(IF((ISBLANK(VLOOKUP(FXU7,#REF!,4,FALSE)))=TRUE,VLOOKUP(FXU7,#REF!,3,FALSE),VLOOKUP(FXU7,#REF!,4,FALSE)),0)</f>
        <v/>
      </c>
      <c r="FXV1">
        <f>IFERROR(IF((ISBLANK(VLOOKUP(FXV7,#REF!,4,FALSE)))=TRUE,VLOOKUP(FXV7,#REF!,3,FALSE),VLOOKUP(FXV7,#REF!,4,FALSE)),0)</f>
        <v/>
      </c>
      <c r="FXW1">
        <f>IFERROR(IF((ISBLANK(VLOOKUP(FXW7,#REF!,4,FALSE)))=TRUE,VLOOKUP(FXW7,#REF!,3,FALSE),VLOOKUP(FXW7,#REF!,4,FALSE)),0)</f>
        <v/>
      </c>
      <c r="FXX1">
        <f>IFERROR(IF((ISBLANK(VLOOKUP(FXX7,#REF!,4,FALSE)))=TRUE,VLOOKUP(FXX7,#REF!,3,FALSE),VLOOKUP(FXX7,#REF!,4,FALSE)),0)</f>
        <v/>
      </c>
      <c r="FXY1">
        <f>IFERROR(IF((ISBLANK(VLOOKUP(FXY7,#REF!,4,FALSE)))=TRUE,VLOOKUP(FXY7,#REF!,3,FALSE),VLOOKUP(FXY7,#REF!,4,FALSE)),0)</f>
        <v/>
      </c>
      <c r="FXZ1">
        <f>IFERROR(IF((ISBLANK(VLOOKUP(FXZ7,#REF!,4,FALSE)))=TRUE,VLOOKUP(FXZ7,#REF!,3,FALSE),VLOOKUP(FXZ7,#REF!,4,FALSE)),0)</f>
        <v/>
      </c>
      <c r="FYA1">
        <f>IFERROR(IF((ISBLANK(VLOOKUP(FYA7,#REF!,4,FALSE)))=TRUE,VLOOKUP(FYA7,#REF!,3,FALSE),VLOOKUP(FYA7,#REF!,4,FALSE)),0)</f>
        <v/>
      </c>
      <c r="FYB1">
        <f>IFERROR(IF((ISBLANK(VLOOKUP(FYB7,#REF!,4,FALSE)))=TRUE,VLOOKUP(FYB7,#REF!,3,FALSE),VLOOKUP(FYB7,#REF!,4,FALSE)),0)</f>
        <v/>
      </c>
      <c r="FYC1">
        <f>IFERROR(IF((ISBLANK(VLOOKUP(FYC7,#REF!,4,FALSE)))=TRUE,VLOOKUP(FYC7,#REF!,3,FALSE),VLOOKUP(FYC7,#REF!,4,FALSE)),0)</f>
        <v/>
      </c>
      <c r="FYD1">
        <f>IFERROR(IF((ISBLANK(VLOOKUP(FYD7,#REF!,4,FALSE)))=TRUE,VLOOKUP(FYD7,#REF!,3,FALSE),VLOOKUP(FYD7,#REF!,4,FALSE)),0)</f>
        <v/>
      </c>
      <c r="FYE1">
        <f>IFERROR(IF((ISBLANK(VLOOKUP(FYE7,#REF!,4,FALSE)))=TRUE,VLOOKUP(FYE7,#REF!,3,FALSE),VLOOKUP(FYE7,#REF!,4,FALSE)),0)</f>
        <v/>
      </c>
      <c r="FYF1">
        <f>IFERROR(IF((ISBLANK(VLOOKUP(FYF7,#REF!,4,FALSE)))=TRUE,VLOOKUP(FYF7,#REF!,3,FALSE),VLOOKUP(FYF7,#REF!,4,FALSE)),0)</f>
        <v/>
      </c>
      <c r="FYG1">
        <f>IFERROR(IF((ISBLANK(VLOOKUP(FYG7,#REF!,4,FALSE)))=TRUE,VLOOKUP(FYG7,#REF!,3,FALSE),VLOOKUP(FYG7,#REF!,4,FALSE)),0)</f>
        <v/>
      </c>
      <c r="FYH1">
        <f>IFERROR(IF((ISBLANK(VLOOKUP(FYH7,#REF!,4,FALSE)))=TRUE,VLOOKUP(FYH7,#REF!,3,FALSE),VLOOKUP(FYH7,#REF!,4,FALSE)),0)</f>
        <v/>
      </c>
      <c r="FYI1">
        <f>IFERROR(IF((ISBLANK(VLOOKUP(FYI7,#REF!,4,FALSE)))=TRUE,VLOOKUP(FYI7,#REF!,3,FALSE),VLOOKUP(FYI7,#REF!,4,FALSE)),0)</f>
        <v/>
      </c>
      <c r="FYJ1">
        <f>IFERROR(IF((ISBLANK(VLOOKUP(FYJ7,#REF!,4,FALSE)))=TRUE,VLOOKUP(FYJ7,#REF!,3,FALSE),VLOOKUP(FYJ7,#REF!,4,FALSE)),0)</f>
        <v/>
      </c>
      <c r="FYK1">
        <f>IFERROR(IF((ISBLANK(VLOOKUP(FYK7,#REF!,4,FALSE)))=TRUE,VLOOKUP(FYK7,#REF!,3,FALSE),VLOOKUP(FYK7,#REF!,4,FALSE)),0)</f>
        <v/>
      </c>
      <c r="FYL1">
        <f>IFERROR(IF((ISBLANK(VLOOKUP(FYL7,#REF!,4,FALSE)))=TRUE,VLOOKUP(FYL7,#REF!,3,FALSE),VLOOKUP(FYL7,#REF!,4,FALSE)),0)</f>
        <v/>
      </c>
      <c r="FYM1">
        <f>IFERROR(IF((ISBLANK(VLOOKUP(FYM7,#REF!,4,FALSE)))=TRUE,VLOOKUP(FYM7,#REF!,3,FALSE),VLOOKUP(FYM7,#REF!,4,FALSE)),0)</f>
        <v/>
      </c>
      <c r="FYN1">
        <f>IFERROR(IF((ISBLANK(VLOOKUP(FYN7,#REF!,4,FALSE)))=TRUE,VLOOKUP(FYN7,#REF!,3,FALSE),VLOOKUP(FYN7,#REF!,4,FALSE)),0)</f>
        <v/>
      </c>
      <c r="FYO1">
        <f>IFERROR(IF((ISBLANK(VLOOKUP(FYO7,#REF!,4,FALSE)))=TRUE,VLOOKUP(FYO7,#REF!,3,FALSE),VLOOKUP(FYO7,#REF!,4,FALSE)),0)</f>
        <v/>
      </c>
      <c r="FYP1">
        <f>IFERROR(IF((ISBLANK(VLOOKUP(FYP7,#REF!,4,FALSE)))=TRUE,VLOOKUP(FYP7,#REF!,3,FALSE),VLOOKUP(FYP7,#REF!,4,FALSE)),0)</f>
        <v/>
      </c>
      <c r="FYQ1">
        <f>IFERROR(IF((ISBLANK(VLOOKUP(FYQ7,#REF!,4,FALSE)))=TRUE,VLOOKUP(FYQ7,#REF!,3,FALSE),VLOOKUP(FYQ7,#REF!,4,FALSE)),0)</f>
        <v/>
      </c>
      <c r="FYR1">
        <f>IFERROR(IF((ISBLANK(VLOOKUP(FYR7,#REF!,4,FALSE)))=TRUE,VLOOKUP(FYR7,#REF!,3,FALSE),VLOOKUP(FYR7,#REF!,4,FALSE)),0)</f>
        <v/>
      </c>
      <c r="FYS1">
        <f>IFERROR(IF((ISBLANK(VLOOKUP(FYS7,#REF!,4,FALSE)))=TRUE,VLOOKUP(FYS7,#REF!,3,FALSE),VLOOKUP(FYS7,#REF!,4,FALSE)),0)</f>
        <v/>
      </c>
      <c r="FYT1">
        <f>IFERROR(IF((ISBLANK(VLOOKUP(FYT7,#REF!,4,FALSE)))=TRUE,VLOOKUP(FYT7,#REF!,3,FALSE),VLOOKUP(FYT7,#REF!,4,FALSE)),0)</f>
        <v/>
      </c>
      <c r="FYU1">
        <f>IFERROR(IF((ISBLANK(VLOOKUP(FYU7,#REF!,4,FALSE)))=TRUE,VLOOKUP(FYU7,#REF!,3,FALSE),VLOOKUP(FYU7,#REF!,4,FALSE)),0)</f>
        <v/>
      </c>
      <c r="FYV1">
        <f>IFERROR(IF((ISBLANK(VLOOKUP(FYV7,#REF!,4,FALSE)))=TRUE,VLOOKUP(FYV7,#REF!,3,FALSE),VLOOKUP(FYV7,#REF!,4,FALSE)),0)</f>
        <v/>
      </c>
      <c r="FYW1">
        <f>IFERROR(IF((ISBLANK(VLOOKUP(FYW7,#REF!,4,FALSE)))=TRUE,VLOOKUP(FYW7,#REF!,3,FALSE),VLOOKUP(FYW7,#REF!,4,FALSE)),0)</f>
        <v/>
      </c>
      <c r="FYX1">
        <f>IFERROR(IF((ISBLANK(VLOOKUP(FYX7,#REF!,4,FALSE)))=TRUE,VLOOKUP(FYX7,#REF!,3,FALSE),VLOOKUP(FYX7,#REF!,4,FALSE)),0)</f>
        <v/>
      </c>
      <c r="FYY1">
        <f>IFERROR(IF((ISBLANK(VLOOKUP(FYY7,#REF!,4,FALSE)))=TRUE,VLOOKUP(FYY7,#REF!,3,FALSE),VLOOKUP(FYY7,#REF!,4,FALSE)),0)</f>
        <v/>
      </c>
      <c r="FYZ1">
        <f>IFERROR(IF((ISBLANK(VLOOKUP(FYZ7,#REF!,4,FALSE)))=TRUE,VLOOKUP(FYZ7,#REF!,3,FALSE),VLOOKUP(FYZ7,#REF!,4,FALSE)),0)</f>
        <v/>
      </c>
      <c r="FZA1">
        <f>IFERROR(IF((ISBLANK(VLOOKUP(FZA7,#REF!,4,FALSE)))=TRUE,VLOOKUP(FZA7,#REF!,3,FALSE),VLOOKUP(FZA7,#REF!,4,FALSE)),0)</f>
        <v/>
      </c>
      <c r="FZB1">
        <f>IFERROR(IF((ISBLANK(VLOOKUP(FZB7,#REF!,4,FALSE)))=TRUE,VLOOKUP(FZB7,#REF!,3,FALSE),VLOOKUP(FZB7,#REF!,4,FALSE)),0)</f>
        <v/>
      </c>
      <c r="FZC1">
        <f>IFERROR(IF((ISBLANK(VLOOKUP(FZC7,#REF!,4,FALSE)))=TRUE,VLOOKUP(FZC7,#REF!,3,FALSE),VLOOKUP(FZC7,#REF!,4,FALSE)),0)</f>
        <v/>
      </c>
      <c r="FZD1">
        <f>IFERROR(IF((ISBLANK(VLOOKUP(FZD7,#REF!,4,FALSE)))=TRUE,VLOOKUP(FZD7,#REF!,3,FALSE),VLOOKUP(FZD7,#REF!,4,FALSE)),0)</f>
        <v/>
      </c>
      <c r="FZE1">
        <f>IFERROR(IF((ISBLANK(VLOOKUP(FZE7,#REF!,4,FALSE)))=TRUE,VLOOKUP(FZE7,#REF!,3,FALSE),VLOOKUP(FZE7,#REF!,4,FALSE)),0)</f>
        <v/>
      </c>
      <c r="FZF1">
        <f>IFERROR(IF((ISBLANK(VLOOKUP(FZF7,#REF!,4,FALSE)))=TRUE,VLOOKUP(FZF7,#REF!,3,FALSE),VLOOKUP(FZF7,#REF!,4,FALSE)),0)</f>
        <v/>
      </c>
      <c r="FZG1">
        <f>IFERROR(IF((ISBLANK(VLOOKUP(FZG7,#REF!,4,FALSE)))=TRUE,VLOOKUP(FZG7,#REF!,3,FALSE),VLOOKUP(FZG7,#REF!,4,FALSE)),0)</f>
        <v/>
      </c>
      <c r="FZH1">
        <f>IFERROR(IF((ISBLANK(VLOOKUP(FZH7,#REF!,4,FALSE)))=TRUE,VLOOKUP(FZH7,#REF!,3,FALSE),VLOOKUP(FZH7,#REF!,4,FALSE)),0)</f>
        <v/>
      </c>
      <c r="FZI1">
        <f>IFERROR(IF((ISBLANK(VLOOKUP(FZI7,#REF!,4,FALSE)))=TRUE,VLOOKUP(FZI7,#REF!,3,FALSE),VLOOKUP(FZI7,#REF!,4,FALSE)),0)</f>
        <v/>
      </c>
      <c r="FZJ1">
        <f>IFERROR(IF((ISBLANK(VLOOKUP(FZJ7,#REF!,4,FALSE)))=TRUE,VLOOKUP(FZJ7,#REF!,3,FALSE),VLOOKUP(FZJ7,#REF!,4,FALSE)),0)</f>
        <v/>
      </c>
      <c r="FZK1">
        <f>IFERROR(IF((ISBLANK(VLOOKUP(FZK7,#REF!,4,FALSE)))=TRUE,VLOOKUP(FZK7,#REF!,3,FALSE),VLOOKUP(FZK7,#REF!,4,FALSE)),0)</f>
        <v/>
      </c>
      <c r="FZL1">
        <f>IFERROR(IF((ISBLANK(VLOOKUP(FZL7,#REF!,4,FALSE)))=TRUE,VLOOKUP(FZL7,#REF!,3,FALSE),VLOOKUP(FZL7,#REF!,4,FALSE)),0)</f>
        <v/>
      </c>
      <c r="FZM1">
        <f>IFERROR(IF((ISBLANK(VLOOKUP(FZM7,#REF!,4,FALSE)))=TRUE,VLOOKUP(FZM7,#REF!,3,FALSE),VLOOKUP(FZM7,#REF!,4,FALSE)),0)</f>
        <v/>
      </c>
      <c r="FZN1">
        <f>IFERROR(IF((ISBLANK(VLOOKUP(FZN7,#REF!,4,FALSE)))=TRUE,VLOOKUP(FZN7,#REF!,3,FALSE),VLOOKUP(FZN7,#REF!,4,FALSE)),0)</f>
        <v/>
      </c>
      <c r="FZO1">
        <f>IFERROR(IF((ISBLANK(VLOOKUP(FZO7,#REF!,4,FALSE)))=TRUE,VLOOKUP(FZO7,#REF!,3,FALSE),VLOOKUP(FZO7,#REF!,4,FALSE)),0)</f>
        <v/>
      </c>
      <c r="FZP1">
        <f>IFERROR(IF((ISBLANK(VLOOKUP(FZP7,#REF!,4,FALSE)))=TRUE,VLOOKUP(FZP7,#REF!,3,FALSE),VLOOKUP(FZP7,#REF!,4,FALSE)),0)</f>
        <v/>
      </c>
      <c r="FZQ1">
        <f>IFERROR(IF((ISBLANK(VLOOKUP(FZQ7,#REF!,4,FALSE)))=TRUE,VLOOKUP(FZQ7,#REF!,3,FALSE),VLOOKUP(FZQ7,#REF!,4,FALSE)),0)</f>
        <v/>
      </c>
      <c r="FZR1">
        <f>IFERROR(IF((ISBLANK(VLOOKUP(FZR7,#REF!,4,FALSE)))=TRUE,VLOOKUP(FZR7,#REF!,3,FALSE),VLOOKUP(FZR7,#REF!,4,FALSE)),0)</f>
        <v/>
      </c>
      <c r="FZS1">
        <f>IFERROR(IF((ISBLANK(VLOOKUP(FZS7,#REF!,4,FALSE)))=TRUE,VLOOKUP(FZS7,#REF!,3,FALSE),VLOOKUP(FZS7,#REF!,4,FALSE)),0)</f>
        <v/>
      </c>
      <c r="FZT1">
        <f>IFERROR(IF((ISBLANK(VLOOKUP(FZT7,#REF!,4,FALSE)))=TRUE,VLOOKUP(FZT7,#REF!,3,FALSE),VLOOKUP(FZT7,#REF!,4,FALSE)),0)</f>
        <v/>
      </c>
      <c r="FZU1">
        <f>IFERROR(IF((ISBLANK(VLOOKUP(FZU7,#REF!,4,FALSE)))=TRUE,VLOOKUP(FZU7,#REF!,3,FALSE),VLOOKUP(FZU7,#REF!,4,FALSE)),0)</f>
        <v/>
      </c>
      <c r="FZV1">
        <f>IFERROR(IF((ISBLANK(VLOOKUP(FZV7,#REF!,4,FALSE)))=TRUE,VLOOKUP(FZV7,#REF!,3,FALSE),VLOOKUP(FZV7,#REF!,4,FALSE)),0)</f>
        <v/>
      </c>
      <c r="FZW1">
        <f>IFERROR(IF((ISBLANK(VLOOKUP(FZW7,#REF!,4,FALSE)))=TRUE,VLOOKUP(FZW7,#REF!,3,FALSE),VLOOKUP(FZW7,#REF!,4,FALSE)),0)</f>
        <v/>
      </c>
      <c r="FZX1">
        <f>IFERROR(IF((ISBLANK(VLOOKUP(FZX7,#REF!,4,FALSE)))=TRUE,VLOOKUP(FZX7,#REF!,3,FALSE),VLOOKUP(FZX7,#REF!,4,FALSE)),0)</f>
        <v/>
      </c>
      <c r="FZY1">
        <f>IFERROR(IF((ISBLANK(VLOOKUP(FZY7,#REF!,4,FALSE)))=TRUE,VLOOKUP(FZY7,#REF!,3,FALSE),VLOOKUP(FZY7,#REF!,4,FALSE)),0)</f>
        <v/>
      </c>
      <c r="FZZ1">
        <f>IFERROR(IF((ISBLANK(VLOOKUP(FZZ7,#REF!,4,FALSE)))=TRUE,VLOOKUP(FZZ7,#REF!,3,FALSE),VLOOKUP(FZZ7,#REF!,4,FALSE)),0)</f>
        <v/>
      </c>
      <c r="GAA1">
        <f>IFERROR(IF((ISBLANK(VLOOKUP(GAA7,#REF!,4,FALSE)))=TRUE,VLOOKUP(GAA7,#REF!,3,FALSE),VLOOKUP(GAA7,#REF!,4,FALSE)),0)</f>
        <v/>
      </c>
      <c r="GAB1">
        <f>IFERROR(IF((ISBLANK(VLOOKUP(GAB7,#REF!,4,FALSE)))=TRUE,VLOOKUP(GAB7,#REF!,3,FALSE),VLOOKUP(GAB7,#REF!,4,FALSE)),0)</f>
        <v/>
      </c>
      <c r="GAC1">
        <f>IFERROR(IF((ISBLANK(VLOOKUP(GAC7,#REF!,4,FALSE)))=TRUE,VLOOKUP(GAC7,#REF!,3,FALSE),VLOOKUP(GAC7,#REF!,4,FALSE)),0)</f>
        <v/>
      </c>
      <c r="GAD1">
        <f>IFERROR(IF((ISBLANK(VLOOKUP(GAD7,#REF!,4,FALSE)))=TRUE,VLOOKUP(GAD7,#REF!,3,FALSE),VLOOKUP(GAD7,#REF!,4,FALSE)),0)</f>
        <v/>
      </c>
      <c r="GAE1">
        <f>IFERROR(IF((ISBLANK(VLOOKUP(GAE7,#REF!,4,FALSE)))=TRUE,VLOOKUP(GAE7,#REF!,3,FALSE),VLOOKUP(GAE7,#REF!,4,FALSE)),0)</f>
        <v/>
      </c>
      <c r="GAF1">
        <f>IFERROR(IF((ISBLANK(VLOOKUP(GAF7,#REF!,4,FALSE)))=TRUE,VLOOKUP(GAF7,#REF!,3,FALSE),VLOOKUP(GAF7,#REF!,4,FALSE)),0)</f>
        <v/>
      </c>
      <c r="GAG1">
        <f>IFERROR(IF((ISBLANK(VLOOKUP(GAG7,#REF!,4,FALSE)))=TRUE,VLOOKUP(GAG7,#REF!,3,FALSE),VLOOKUP(GAG7,#REF!,4,FALSE)),0)</f>
        <v/>
      </c>
      <c r="GAH1">
        <f>IFERROR(IF((ISBLANK(VLOOKUP(GAH7,#REF!,4,FALSE)))=TRUE,VLOOKUP(GAH7,#REF!,3,FALSE),VLOOKUP(GAH7,#REF!,4,FALSE)),0)</f>
        <v/>
      </c>
      <c r="GAI1">
        <f>IFERROR(IF((ISBLANK(VLOOKUP(GAI7,#REF!,4,FALSE)))=TRUE,VLOOKUP(GAI7,#REF!,3,FALSE),VLOOKUP(GAI7,#REF!,4,FALSE)),0)</f>
        <v/>
      </c>
      <c r="GAJ1">
        <f>IFERROR(IF((ISBLANK(VLOOKUP(GAJ7,#REF!,4,FALSE)))=TRUE,VLOOKUP(GAJ7,#REF!,3,FALSE),VLOOKUP(GAJ7,#REF!,4,FALSE)),0)</f>
        <v/>
      </c>
      <c r="GAK1">
        <f>IFERROR(IF((ISBLANK(VLOOKUP(GAK7,#REF!,4,FALSE)))=TRUE,VLOOKUP(GAK7,#REF!,3,FALSE),VLOOKUP(GAK7,#REF!,4,FALSE)),0)</f>
        <v/>
      </c>
      <c r="GAL1">
        <f>IFERROR(IF((ISBLANK(VLOOKUP(GAL7,#REF!,4,FALSE)))=TRUE,VLOOKUP(GAL7,#REF!,3,FALSE),VLOOKUP(GAL7,#REF!,4,FALSE)),0)</f>
        <v/>
      </c>
      <c r="GAM1">
        <f>IFERROR(IF((ISBLANK(VLOOKUP(GAM7,#REF!,4,FALSE)))=TRUE,VLOOKUP(GAM7,#REF!,3,FALSE),VLOOKUP(GAM7,#REF!,4,FALSE)),0)</f>
        <v/>
      </c>
      <c r="GAN1">
        <f>IFERROR(IF((ISBLANK(VLOOKUP(GAN7,#REF!,4,FALSE)))=TRUE,VLOOKUP(GAN7,#REF!,3,FALSE),VLOOKUP(GAN7,#REF!,4,FALSE)),0)</f>
        <v/>
      </c>
      <c r="GAO1">
        <f>IFERROR(IF((ISBLANK(VLOOKUP(GAO7,#REF!,4,FALSE)))=TRUE,VLOOKUP(GAO7,#REF!,3,FALSE),VLOOKUP(GAO7,#REF!,4,FALSE)),0)</f>
        <v/>
      </c>
      <c r="GAP1">
        <f>IFERROR(IF((ISBLANK(VLOOKUP(GAP7,#REF!,4,FALSE)))=TRUE,VLOOKUP(GAP7,#REF!,3,FALSE),VLOOKUP(GAP7,#REF!,4,FALSE)),0)</f>
        <v/>
      </c>
      <c r="GAQ1">
        <f>IFERROR(IF((ISBLANK(VLOOKUP(GAQ7,#REF!,4,FALSE)))=TRUE,VLOOKUP(GAQ7,#REF!,3,FALSE),VLOOKUP(GAQ7,#REF!,4,FALSE)),0)</f>
        <v/>
      </c>
      <c r="GAR1">
        <f>IFERROR(IF((ISBLANK(VLOOKUP(GAR7,#REF!,4,FALSE)))=TRUE,VLOOKUP(GAR7,#REF!,3,FALSE),VLOOKUP(GAR7,#REF!,4,FALSE)),0)</f>
        <v/>
      </c>
      <c r="GAS1">
        <f>IFERROR(IF((ISBLANK(VLOOKUP(GAS7,#REF!,4,FALSE)))=TRUE,VLOOKUP(GAS7,#REF!,3,FALSE),VLOOKUP(GAS7,#REF!,4,FALSE)),0)</f>
        <v/>
      </c>
      <c r="GAT1">
        <f>IFERROR(IF((ISBLANK(VLOOKUP(GAT7,#REF!,4,FALSE)))=TRUE,VLOOKUP(GAT7,#REF!,3,FALSE),VLOOKUP(GAT7,#REF!,4,FALSE)),0)</f>
        <v/>
      </c>
      <c r="GAU1">
        <f>IFERROR(IF((ISBLANK(VLOOKUP(GAU7,#REF!,4,FALSE)))=TRUE,VLOOKUP(GAU7,#REF!,3,FALSE),VLOOKUP(GAU7,#REF!,4,FALSE)),0)</f>
        <v/>
      </c>
      <c r="GAV1">
        <f>IFERROR(IF((ISBLANK(VLOOKUP(GAV7,#REF!,4,FALSE)))=TRUE,VLOOKUP(GAV7,#REF!,3,FALSE),VLOOKUP(GAV7,#REF!,4,FALSE)),0)</f>
        <v/>
      </c>
      <c r="GAW1">
        <f>IFERROR(IF((ISBLANK(VLOOKUP(GAW7,#REF!,4,FALSE)))=TRUE,VLOOKUP(GAW7,#REF!,3,FALSE),VLOOKUP(GAW7,#REF!,4,FALSE)),0)</f>
        <v/>
      </c>
      <c r="GAX1">
        <f>IFERROR(IF((ISBLANK(VLOOKUP(GAX7,#REF!,4,FALSE)))=TRUE,VLOOKUP(GAX7,#REF!,3,FALSE),VLOOKUP(GAX7,#REF!,4,FALSE)),0)</f>
        <v/>
      </c>
      <c r="GAY1">
        <f>IFERROR(IF((ISBLANK(VLOOKUP(GAY7,#REF!,4,FALSE)))=TRUE,VLOOKUP(GAY7,#REF!,3,FALSE),VLOOKUP(GAY7,#REF!,4,FALSE)),0)</f>
        <v/>
      </c>
      <c r="GAZ1">
        <f>IFERROR(IF((ISBLANK(VLOOKUP(GAZ7,#REF!,4,FALSE)))=TRUE,VLOOKUP(GAZ7,#REF!,3,FALSE),VLOOKUP(GAZ7,#REF!,4,FALSE)),0)</f>
        <v/>
      </c>
      <c r="GBA1">
        <f>IFERROR(IF((ISBLANK(VLOOKUP(GBA7,#REF!,4,FALSE)))=TRUE,VLOOKUP(GBA7,#REF!,3,FALSE),VLOOKUP(GBA7,#REF!,4,FALSE)),0)</f>
        <v/>
      </c>
      <c r="GBB1">
        <f>IFERROR(IF((ISBLANK(VLOOKUP(GBB7,#REF!,4,FALSE)))=TRUE,VLOOKUP(GBB7,#REF!,3,FALSE),VLOOKUP(GBB7,#REF!,4,FALSE)),0)</f>
        <v/>
      </c>
      <c r="GBC1">
        <f>IFERROR(IF((ISBLANK(VLOOKUP(GBC7,#REF!,4,FALSE)))=TRUE,VLOOKUP(GBC7,#REF!,3,FALSE),VLOOKUP(GBC7,#REF!,4,FALSE)),0)</f>
        <v/>
      </c>
      <c r="GBD1">
        <f>IFERROR(IF((ISBLANK(VLOOKUP(GBD7,#REF!,4,FALSE)))=TRUE,VLOOKUP(GBD7,#REF!,3,FALSE),VLOOKUP(GBD7,#REF!,4,FALSE)),0)</f>
        <v/>
      </c>
      <c r="GBE1">
        <f>IFERROR(IF((ISBLANK(VLOOKUP(GBE7,#REF!,4,FALSE)))=TRUE,VLOOKUP(GBE7,#REF!,3,FALSE),VLOOKUP(GBE7,#REF!,4,FALSE)),0)</f>
        <v/>
      </c>
      <c r="GBF1">
        <f>IFERROR(IF((ISBLANK(VLOOKUP(GBF7,#REF!,4,FALSE)))=TRUE,VLOOKUP(GBF7,#REF!,3,FALSE),VLOOKUP(GBF7,#REF!,4,FALSE)),0)</f>
        <v/>
      </c>
      <c r="GBG1">
        <f>IFERROR(IF((ISBLANK(VLOOKUP(GBG7,#REF!,4,FALSE)))=TRUE,VLOOKUP(GBG7,#REF!,3,FALSE),VLOOKUP(GBG7,#REF!,4,FALSE)),0)</f>
        <v/>
      </c>
      <c r="GBH1">
        <f>IFERROR(IF((ISBLANK(VLOOKUP(GBH7,#REF!,4,FALSE)))=TRUE,VLOOKUP(GBH7,#REF!,3,FALSE),VLOOKUP(GBH7,#REF!,4,FALSE)),0)</f>
        <v/>
      </c>
      <c r="GBI1">
        <f>IFERROR(IF((ISBLANK(VLOOKUP(GBI7,#REF!,4,FALSE)))=TRUE,VLOOKUP(GBI7,#REF!,3,FALSE),VLOOKUP(GBI7,#REF!,4,FALSE)),0)</f>
        <v/>
      </c>
      <c r="GBJ1">
        <f>IFERROR(IF((ISBLANK(VLOOKUP(GBJ7,#REF!,4,FALSE)))=TRUE,VLOOKUP(GBJ7,#REF!,3,FALSE),VLOOKUP(GBJ7,#REF!,4,FALSE)),0)</f>
        <v/>
      </c>
      <c r="GBK1">
        <f>IFERROR(IF((ISBLANK(VLOOKUP(GBK7,#REF!,4,FALSE)))=TRUE,VLOOKUP(GBK7,#REF!,3,FALSE),VLOOKUP(GBK7,#REF!,4,FALSE)),0)</f>
        <v/>
      </c>
      <c r="GBL1">
        <f>IFERROR(IF((ISBLANK(VLOOKUP(GBL7,#REF!,4,FALSE)))=TRUE,VLOOKUP(GBL7,#REF!,3,FALSE),VLOOKUP(GBL7,#REF!,4,FALSE)),0)</f>
        <v/>
      </c>
      <c r="GBM1">
        <f>IFERROR(IF((ISBLANK(VLOOKUP(GBM7,#REF!,4,FALSE)))=TRUE,VLOOKUP(GBM7,#REF!,3,FALSE),VLOOKUP(GBM7,#REF!,4,FALSE)),0)</f>
        <v/>
      </c>
      <c r="GBN1">
        <f>IFERROR(IF((ISBLANK(VLOOKUP(GBN7,#REF!,4,FALSE)))=TRUE,VLOOKUP(GBN7,#REF!,3,FALSE),VLOOKUP(GBN7,#REF!,4,FALSE)),0)</f>
        <v/>
      </c>
      <c r="GBO1">
        <f>IFERROR(IF((ISBLANK(VLOOKUP(GBO7,#REF!,4,FALSE)))=TRUE,VLOOKUP(GBO7,#REF!,3,FALSE),VLOOKUP(GBO7,#REF!,4,FALSE)),0)</f>
        <v/>
      </c>
      <c r="GBP1">
        <f>IFERROR(IF((ISBLANK(VLOOKUP(GBP7,#REF!,4,FALSE)))=TRUE,VLOOKUP(GBP7,#REF!,3,FALSE),VLOOKUP(GBP7,#REF!,4,FALSE)),0)</f>
        <v/>
      </c>
      <c r="GBQ1">
        <f>IFERROR(IF((ISBLANK(VLOOKUP(GBQ7,#REF!,4,FALSE)))=TRUE,VLOOKUP(GBQ7,#REF!,3,FALSE),VLOOKUP(GBQ7,#REF!,4,FALSE)),0)</f>
        <v/>
      </c>
      <c r="GBR1">
        <f>IFERROR(IF((ISBLANK(VLOOKUP(GBR7,#REF!,4,FALSE)))=TRUE,VLOOKUP(GBR7,#REF!,3,FALSE),VLOOKUP(GBR7,#REF!,4,FALSE)),0)</f>
        <v/>
      </c>
      <c r="GBS1">
        <f>IFERROR(IF((ISBLANK(VLOOKUP(GBS7,#REF!,4,FALSE)))=TRUE,VLOOKUP(GBS7,#REF!,3,FALSE),VLOOKUP(GBS7,#REF!,4,FALSE)),0)</f>
        <v/>
      </c>
      <c r="GBT1">
        <f>IFERROR(IF((ISBLANK(VLOOKUP(GBT7,#REF!,4,FALSE)))=TRUE,VLOOKUP(GBT7,#REF!,3,FALSE),VLOOKUP(GBT7,#REF!,4,FALSE)),0)</f>
        <v/>
      </c>
      <c r="GBU1">
        <f>IFERROR(IF((ISBLANK(VLOOKUP(GBU7,#REF!,4,FALSE)))=TRUE,VLOOKUP(GBU7,#REF!,3,FALSE),VLOOKUP(GBU7,#REF!,4,FALSE)),0)</f>
        <v/>
      </c>
      <c r="GBV1">
        <f>IFERROR(IF((ISBLANK(VLOOKUP(GBV7,#REF!,4,FALSE)))=TRUE,VLOOKUP(GBV7,#REF!,3,FALSE),VLOOKUP(GBV7,#REF!,4,FALSE)),0)</f>
        <v/>
      </c>
      <c r="GBW1">
        <f>IFERROR(IF((ISBLANK(VLOOKUP(GBW7,#REF!,4,FALSE)))=TRUE,VLOOKUP(GBW7,#REF!,3,FALSE),VLOOKUP(GBW7,#REF!,4,FALSE)),0)</f>
        <v/>
      </c>
      <c r="GBX1">
        <f>IFERROR(IF((ISBLANK(VLOOKUP(GBX7,#REF!,4,FALSE)))=TRUE,VLOOKUP(GBX7,#REF!,3,FALSE),VLOOKUP(GBX7,#REF!,4,FALSE)),0)</f>
        <v/>
      </c>
      <c r="GBY1">
        <f>IFERROR(IF((ISBLANK(VLOOKUP(GBY7,#REF!,4,FALSE)))=TRUE,VLOOKUP(GBY7,#REF!,3,FALSE),VLOOKUP(GBY7,#REF!,4,FALSE)),0)</f>
        <v/>
      </c>
      <c r="GBZ1">
        <f>IFERROR(IF((ISBLANK(VLOOKUP(GBZ7,#REF!,4,FALSE)))=TRUE,VLOOKUP(GBZ7,#REF!,3,FALSE),VLOOKUP(GBZ7,#REF!,4,FALSE)),0)</f>
        <v/>
      </c>
      <c r="GCA1">
        <f>IFERROR(IF((ISBLANK(VLOOKUP(GCA7,#REF!,4,FALSE)))=TRUE,VLOOKUP(GCA7,#REF!,3,FALSE),VLOOKUP(GCA7,#REF!,4,FALSE)),0)</f>
        <v/>
      </c>
      <c r="GCB1">
        <f>IFERROR(IF((ISBLANK(VLOOKUP(GCB7,#REF!,4,FALSE)))=TRUE,VLOOKUP(GCB7,#REF!,3,FALSE),VLOOKUP(GCB7,#REF!,4,FALSE)),0)</f>
        <v/>
      </c>
      <c r="GCC1">
        <f>IFERROR(IF((ISBLANK(VLOOKUP(GCC7,#REF!,4,FALSE)))=TRUE,VLOOKUP(GCC7,#REF!,3,FALSE),VLOOKUP(GCC7,#REF!,4,FALSE)),0)</f>
        <v/>
      </c>
      <c r="GCD1">
        <f>IFERROR(IF((ISBLANK(VLOOKUP(GCD7,#REF!,4,FALSE)))=TRUE,VLOOKUP(GCD7,#REF!,3,FALSE),VLOOKUP(GCD7,#REF!,4,FALSE)),0)</f>
        <v/>
      </c>
      <c r="GCE1">
        <f>IFERROR(IF((ISBLANK(VLOOKUP(GCE7,#REF!,4,FALSE)))=TRUE,VLOOKUP(GCE7,#REF!,3,FALSE),VLOOKUP(GCE7,#REF!,4,FALSE)),0)</f>
        <v/>
      </c>
      <c r="GCF1">
        <f>IFERROR(IF((ISBLANK(VLOOKUP(GCF7,#REF!,4,FALSE)))=TRUE,VLOOKUP(GCF7,#REF!,3,FALSE),VLOOKUP(GCF7,#REF!,4,FALSE)),0)</f>
        <v/>
      </c>
      <c r="GCG1">
        <f>IFERROR(IF((ISBLANK(VLOOKUP(GCG7,#REF!,4,FALSE)))=TRUE,VLOOKUP(GCG7,#REF!,3,FALSE),VLOOKUP(GCG7,#REF!,4,FALSE)),0)</f>
        <v/>
      </c>
      <c r="GCH1">
        <f>IFERROR(IF((ISBLANK(VLOOKUP(GCH7,#REF!,4,FALSE)))=TRUE,VLOOKUP(GCH7,#REF!,3,FALSE),VLOOKUP(GCH7,#REF!,4,FALSE)),0)</f>
        <v/>
      </c>
      <c r="GCI1">
        <f>IFERROR(IF((ISBLANK(VLOOKUP(GCI7,#REF!,4,FALSE)))=TRUE,VLOOKUP(GCI7,#REF!,3,FALSE),VLOOKUP(GCI7,#REF!,4,FALSE)),0)</f>
        <v/>
      </c>
      <c r="GCJ1">
        <f>IFERROR(IF((ISBLANK(VLOOKUP(GCJ7,#REF!,4,FALSE)))=TRUE,VLOOKUP(GCJ7,#REF!,3,FALSE),VLOOKUP(GCJ7,#REF!,4,FALSE)),0)</f>
        <v/>
      </c>
      <c r="GCK1">
        <f>IFERROR(IF((ISBLANK(VLOOKUP(GCK7,#REF!,4,FALSE)))=TRUE,VLOOKUP(GCK7,#REF!,3,FALSE),VLOOKUP(GCK7,#REF!,4,FALSE)),0)</f>
        <v/>
      </c>
      <c r="GCL1">
        <f>IFERROR(IF((ISBLANK(VLOOKUP(GCL7,#REF!,4,FALSE)))=TRUE,VLOOKUP(GCL7,#REF!,3,FALSE),VLOOKUP(GCL7,#REF!,4,FALSE)),0)</f>
        <v/>
      </c>
      <c r="GCM1">
        <f>IFERROR(IF((ISBLANK(VLOOKUP(GCM7,#REF!,4,FALSE)))=TRUE,VLOOKUP(GCM7,#REF!,3,FALSE),VLOOKUP(GCM7,#REF!,4,FALSE)),0)</f>
        <v/>
      </c>
      <c r="GCN1">
        <f>IFERROR(IF((ISBLANK(VLOOKUP(GCN7,#REF!,4,FALSE)))=TRUE,VLOOKUP(GCN7,#REF!,3,FALSE),VLOOKUP(GCN7,#REF!,4,FALSE)),0)</f>
        <v/>
      </c>
      <c r="GCO1">
        <f>IFERROR(IF((ISBLANK(VLOOKUP(GCO7,#REF!,4,FALSE)))=TRUE,VLOOKUP(GCO7,#REF!,3,FALSE),VLOOKUP(GCO7,#REF!,4,FALSE)),0)</f>
        <v/>
      </c>
      <c r="GCP1">
        <f>IFERROR(IF((ISBLANK(VLOOKUP(GCP7,#REF!,4,FALSE)))=TRUE,VLOOKUP(GCP7,#REF!,3,FALSE),VLOOKUP(GCP7,#REF!,4,FALSE)),0)</f>
        <v/>
      </c>
      <c r="GCQ1">
        <f>IFERROR(IF((ISBLANK(VLOOKUP(GCQ7,#REF!,4,FALSE)))=TRUE,VLOOKUP(GCQ7,#REF!,3,FALSE),VLOOKUP(GCQ7,#REF!,4,FALSE)),0)</f>
        <v/>
      </c>
      <c r="GCR1">
        <f>IFERROR(IF((ISBLANK(VLOOKUP(GCR7,#REF!,4,FALSE)))=TRUE,VLOOKUP(GCR7,#REF!,3,FALSE),VLOOKUP(GCR7,#REF!,4,FALSE)),0)</f>
        <v/>
      </c>
      <c r="GCS1">
        <f>IFERROR(IF((ISBLANK(VLOOKUP(GCS7,#REF!,4,FALSE)))=TRUE,VLOOKUP(GCS7,#REF!,3,FALSE),VLOOKUP(GCS7,#REF!,4,FALSE)),0)</f>
        <v/>
      </c>
      <c r="GCT1">
        <f>IFERROR(IF((ISBLANK(VLOOKUP(GCT7,#REF!,4,FALSE)))=TRUE,VLOOKUP(GCT7,#REF!,3,FALSE),VLOOKUP(GCT7,#REF!,4,FALSE)),0)</f>
        <v/>
      </c>
      <c r="GCU1">
        <f>IFERROR(IF((ISBLANK(VLOOKUP(GCU7,#REF!,4,FALSE)))=TRUE,VLOOKUP(GCU7,#REF!,3,FALSE),VLOOKUP(GCU7,#REF!,4,FALSE)),0)</f>
        <v/>
      </c>
      <c r="GCV1">
        <f>IFERROR(IF((ISBLANK(VLOOKUP(GCV7,#REF!,4,FALSE)))=TRUE,VLOOKUP(GCV7,#REF!,3,FALSE),VLOOKUP(GCV7,#REF!,4,FALSE)),0)</f>
        <v/>
      </c>
      <c r="GCW1">
        <f>IFERROR(IF((ISBLANK(VLOOKUP(GCW7,#REF!,4,FALSE)))=TRUE,VLOOKUP(GCW7,#REF!,3,FALSE),VLOOKUP(GCW7,#REF!,4,FALSE)),0)</f>
        <v/>
      </c>
      <c r="GCX1">
        <f>IFERROR(IF((ISBLANK(VLOOKUP(GCX7,#REF!,4,FALSE)))=TRUE,VLOOKUP(GCX7,#REF!,3,FALSE),VLOOKUP(GCX7,#REF!,4,FALSE)),0)</f>
        <v/>
      </c>
      <c r="GCY1">
        <f>IFERROR(IF((ISBLANK(VLOOKUP(GCY7,#REF!,4,FALSE)))=TRUE,VLOOKUP(GCY7,#REF!,3,FALSE),VLOOKUP(GCY7,#REF!,4,FALSE)),0)</f>
        <v/>
      </c>
      <c r="GCZ1">
        <f>IFERROR(IF((ISBLANK(VLOOKUP(GCZ7,#REF!,4,FALSE)))=TRUE,VLOOKUP(GCZ7,#REF!,3,FALSE),VLOOKUP(GCZ7,#REF!,4,FALSE)),0)</f>
        <v/>
      </c>
      <c r="GDA1">
        <f>IFERROR(IF((ISBLANK(VLOOKUP(GDA7,#REF!,4,FALSE)))=TRUE,VLOOKUP(GDA7,#REF!,3,FALSE),VLOOKUP(GDA7,#REF!,4,FALSE)),0)</f>
        <v/>
      </c>
      <c r="GDB1">
        <f>IFERROR(IF((ISBLANK(VLOOKUP(GDB7,#REF!,4,FALSE)))=TRUE,VLOOKUP(GDB7,#REF!,3,FALSE),VLOOKUP(GDB7,#REF!,4,FALSE)),0)</f>
        <v/>
      </c>
      <c r="GDC1">
        <f>IFERROR(IF((ISBLANK(VLOOKUP(GDC7,#REF!,4,FALSE)))=TRUE,VLOOKUP(GDC7,#REF!,3,FALSE),VLOOKUP(GDC7,#REF!,4,FALSE)),0)</f>
        <v/>
      </c>
      <c r="GDD1">
        <f>IFERROR(IF((ISBLANK(VLOOKUP(GDD7,#REF!,4,FALSE)))=TRUE,VLOOKUP(GDD7,#REF!,3,FALSE),VLOOKUP(GDD7,#REF!,4,FALSE)),0)</f>
        <v/>
      </c>
      <c r="GDE1">
        <f>IFERROR(IF((ISBLANK(VLOOKUP(GDE7,#REF!,4,FALSE)))=TRUE,VLOOKUP(GDE7,#REF!,3,FALSE),VLOOKUP(GDE7,#REF!,4,FALSE)),0)</f>
        <v/>
      </c>
      <c r="GDF1">
        <f>IFERROR(IF((ISBLANK(VLOOKUP(GDF7,#REF!,4,FALSE)))=TRUE,VLOOKUP(GDF7,#REF!,3,FALSE),VLOOKUP(GDF7,#REF!,4,FALSE)),0)</f>
        <v/>
      </c>
      <c r="GDG1">
        <f>IFERROR(IF((ISBLANK(VLOOKUP(GDG7,#REF!,4,FALSE)))=TRUE,VLOOKUP(GDG7,#REF!,3,FALSE),VLOOKUP(GDG7,#REF!,4,FALSE)),0)</f>
        <v/>
      </c>
      <c r="GDH1">
        <f>IFERROR(IF((ISBLANK(VLOOKUP(GDH7,#REF!,4,FALSE)))=TRUE,VLOOKUP(GDH7,#REF!,3,FALSE),VLOOKUP(GDH7,#REF!,4,FALSE)),0)</f>
        <v/>
      </c>
      <c r="GDI1">
        <f>IFERROR(IF((ISBLANK(VLOOKUP(GDI7,#REF!,4,FALSE)))=TRUE,VLOOKUP(GDI7,#REF!,3,FALSE),VLOOKUP(GDI7,#REF!,4,FALSE)),0)</f>
        <v/>
      </c>
      <c r="GDJ1">
        <f>IFERROR(IF((ISBLANK(VLOOKUP(GDJ7,#REF!,4,FALSE)))=TRUE,VLOOKUP(GDJ7,#REF!,3,FALSE),VLOOKUP(GDJ7,#REF!,4,FALSE)),0)</f>
        <v/>
      </c>
      <c r="GDK1">
        <f>IFERROR(IF((ISBLANK(VLOOKUP(GDK7,#REF!,4,FALSE)))=TRUE,VLOOKUP(GDK7,#REF!,3,FALSE),VLOOKUP(GDK7,#REF!,4,FALSE)),0)</f>
        <v/>
      </c>
      <c r="GDL1">
        <f>IFERROR(IF((ISBLANK(VLOOKUP(GDL7,#REF!,4,FALSE)))=TRUE,VLOOKUP(GDL7,#REF!,3,FALSE),VLOOKUP(GDL7,#REF!,4,FALSE)),0)</f>
        <v/>
      </c>
      <c r="GDM1">
        <f>IFERROR(IF((ISBLANK(VLOOKUP(GDM7,#REF!,4,FALSE)))=TRUE,VLOOKUP(GDM7,#REF!,3,FALSE),VLOOKUP(GDM7,#REF!,4,FALSE)),0)</f>
        <v/>
      </c>
      <c r="GDN1">
        <f>IFERROR(IF((ISBLANK(VLOOKUP(GDN7,#REF!,4,FALSE)))=TRUE,VLOOKUP(GDN7,#REF!,3,FALSE),VLOOKUP(GDN7,#REF!,4,FALSE)),0)</f>
        <v/>
      </c>
      <c r="GDO1">
        <f>IFERROR(IF((ISBLANK(VLOOKUP(GDO7,#REF!,4,FALSE)))=TRUE,VLOOKUP(GDO7,#REF!,3,FALSE),VLOOKUP(GDO7,#REF!,4,FALSE)),0)</f>
        <v/>
      </c>
      <c r="GDP1">
        <f>IFERROR(IF((ISBLANK(VLOOKUP(GDP7,#REF!,4,FALSE)))=TRUE,VLOOKUP(GDP7,#REF!,3,FALSE),VLOOKUP(GDP7,#REF!,4,FALSE)),0)</f>
        <v/>
      </c>
      <c r="GDQ1">
        <f>IFERROR(IF((ISBLANK(VLOOKUP(GDQ7,#REF!,4,FALSE)))=TRUE,VLOOKUP(GDQ7,#REF!,3,FALSE),VLOOKUP(GDQ7,#REF!,4,FALSE)),0)</f>
        <v/>
      </c>
      <c r="GDR1">
        <f>IFERROR(IF((ISBLANK(VLOOKUP(GDR7,#REF!,4,FALSE)))=TRUE,VLOOKUP(GDR7,#REF!,3,FALSE),VLOOKUP(GDR7,#REF!,4,FALSE)),0)</f>
        <v/>
      </c>
      <c r="GDS1">
        <f>IFERROR(IF((ISBLANK(VLOOKUP(GDS7,#REF!,4,FALSE)))=TRUE,VLOOKUP(GDS7,#REF!,3,FALSE),VLOOKUP(GDS7,#REF!,4,FALSE)),0)</f>
        <v/>
      </c>
      <c r="GDT1">
        <f>IFERROR(IF((ISBLANK(VLOOKUP(GDT7,#REF!,4,FALSE)))=TRUE,VLOOKUP(GDT7,#REF!,3,FALSE),VLOOKUP(GDT7,#REF!,4,FALSE)),0)</f>
        <v/>
      </c>
      <c r="GDU1">
        <f>IFERROR(IF((ISBLANK(VLOOKUP(GDU7,#REF!,4,FALSE)))=TRUE,VLOOKUP(GDU7,#REF!,3,FALSE),VLOOKUP(GDU7,#REF!,4,FALSE)),0)</f>
        <v/>
      </c>
      <c r="GDV1">
        <f>IFERROR(IF((ISBLANK(VLOOKUP(GDV7,#REF!,4,FALSE)))=TRUE,VLOOKUP(GDV7,#REF!,3,FALSE),VLOOKUP(GDV7,#REF!,4,FALSE)),0)</f>
        <v/>
      </c>
      <c r="GDW1">
        <f>IFERROR(IF((ISBLANK(VLOOKUP(GDW7,#REF!,4,FALSE)))=TRUE,VLOOKUP(GDW7,#REF!,3,FALSE),VLOOKUP(GDW7,#REF!,4,FALSE)),0)</f>
        <v/>
      </c>
      <c r="GDX1">
        <f>IFERROR(IF((ISBLANK(VLOOKUP(GDX7,#REF!,4,FALSE)))=TRUE,VLOOKUP(GDX7,#REF!,3,FALSE),VLOOKUP(GDX7,#REF!,4,FALSE)),0)</f>
        <v/>
      </c>
      <c r="GDY1">
        <f>IFERROR(IF((ISBLANK(VLOOKUP(GDY7,#REF!,4,FALSE)))=TRUE,VLOOKUP(GDY7,#REF!,3,FALSE),VLOOKUP(GDY7,#REF!,4,FALSE)),0)</f>
        <v/>
      </c>
      <c r="GDZ1">
        <f>IFERROR(IF((ISBLANK(VLOOKUP(GDZ7,#REF!,4,FALSE)))=TRUE,VLOOKUP(GDZ7,#REF!,3,FALSE),VLOOKUP(GDZ7,#REF!,4,FALSE)),0)</f>
        <v/>
      </c>
      <c r="GEA1">
        <f>IFERROR(IF((ISBLANK(VLOOKUP(GEA7,#REF!,4,FALSE)))=TRUE,VLOOKUP(GEA7,#REF!,3,FALSE),VLOOKUP(GEA7,#REF!,4,FALSE)),0)</f>
        <v/>
      </c>
      <c r="GEB1">
        <f>IFERROR(IF((ISBLANK(VLOOKUP(GEB7,#REF!,4,FALSE)))=TRUE,VLOOKUP(GEB7,#REF!,3,FALSE),VLOOKUP(GEB7,#REF!,4,FALSE)),0)</f>
        <v/>
      </c>
      <c r="GEC1">
        <f>IFERROR(IF((ISBLANK(VLOOKUP(GEC7,#REF!,4,FALSE)))=TRUE,VLOOKUP(GEC7,#REF!,3,FALSE),VLOOKUP(GEC7,#REF!,4,FALSE)),0)</f>
        <v/>
      </c>
      <c r="GED1">
        <f>IFERROR(IF((ISBLANK(VLOOKUP(GED7,#REF!,4,FALSE)))=TRUE,VLOOKUP(GED7,#REF!,3,FALSE),VLOOKUP(GED7,#REF!,4,FALSE)),0)</f>
        <v/>
      </c>
      <c r="GEE1">
        <f>IFERROR(IF((ISBLANK(VLOOKUP(GEE7,#REF!,4,FALSE)))=TRUE,VLOOKUP(GEE7,#REF!,3,FALSE),VLOOKUP(GEE7,#REF!,4,FALSE)),0)</f>
        <v/>
      </c>
      <c r="GEF1">
        <f>IFERROR(IF((ISBLANK(VLOOKUP(GEF7,#REF!,4,FALSE)))=TRUE,VLOOKUP(GEF7,#REF!,3,FALSE),VLOOKUP(GEF7,#REF!,4,FALSE)),0)</f>
        <v/>
      </c>
      <c r="GEG1">
        <f>IFERROR(IF((ISBLANK(VLOOKUP(GEG7,#REF!,4,FALSE)))=TRUE,VLOOKUP(GEG7,#REF!,3,FALSE),VLOOKUP(GEG7,#REF!,4,FALSE)),0)</f>
        <v/>
      </c>
      <c r="GEH1">
        <f>IFERROR(IF((ISBLANK(VLOOKUP(GEH7,#REF!,4,FALSE)))=TRUE,VLOOKUP(GEH7,#REF!,3,FALSE),VLOOKUP(GEH7,#REF!,4,FALSE)),0)</f>
        <v/>
      </c>
      <c r="GEI1">
        <f>IFERROR(IF((ISBLANK(VLOOKUP(GEI7,#REF!,4,FALSE)))=TRUE,VLOOKUP(GEI7,#REF!,3,FALSE),VLOOKUP(GEI7,#REF!,4,FALSE)),0)</f>
        <v/>
      </c>
      <c r="GEJ1">
        <f>IFERROR(IF((ISBLANK(VLOOKUP(GEJ7,#REF!,4,FALSE)))=TRUE,VLOOKUP(GEJ7,#REF!,3,FALSE),VLOOKUP(GEJ7,#REF!,4,FALSE)),0)</f>
        <v/>
      </c>
      <c r="GEK1">
        <f>IFERROR(IF((ISBLANK(VLOOKUP(GEK7,#REF!,4,FALSE)))=TRUE,VLOOKUP(GEK7,#REF!,3,FALSE),VLOOKUP(GEK7,#REF!,4,FALSE)),0)</f>
        <v/>
      </c>
      <c r="GEL1">
        <f>IFERROR(IF((ISBLANK(VLOOKUP(GEL7,#REF!,4,FALSE)))=TRUE,VLOOKUP(GEL7,#REF!,3,FALSE),VLOOKUP(GEL7,#REF!,4,FALSE)),0)</f>
        <v/>
      </c>
      <c r="GEM1">
        <f>IFERROR(IF((ISBLANK(VLOOKUP(GEM7,#REF!,4,FALSE)))=TRUE,VLOOKUP(GEM7,#REF!,3,FALSE),VLOOKUP(GEM7,#REF!,4,FALSE)),0)</f>
        <v/>
      </c>
      <c r="GEN1">
        <f>IFERROR(IF((ISBLANK(VLOOKUP(GEN7,#REF!,4,FALSE)))=TRUE,VLOOKUP(GEN7,#REF!,3,FALSE),VLOOKUP(GEN7,#REF!,4,FALSE)),0)</f>
        <v/>
      </c>
      <c r="GEO1">
        <f>IFERROR(IF((ISBLANK(VLOOKUP(GEO7,#REF!,4,FALSE)))=TRUE,VLOOKUP(GEO7,#REF!,3,FALSE),VLOOKUP(GEO7,#REF!,4,FALSE)),0)</f>
        <v/>
      </c>
      <c r="GEP1">
        <f>IFERROR(IF((ISBLANK(VLOOKUP(GEP7,#REF!,4,FALSE)))=TRUE,VLOOKUP(GEP7,#REF!,3,FALSE),VLOOKUP(GEP7,#REF!,4,FALSE)),0)</f>
        <v/>
      </c>
      <c r="GEQ1">
        <f>IFERROR(IF((ISBLANK(VLOOKUP(GEQ7,#REF!,4,FALSE)))=TRUE,VLOOKUP(GEQ7,#REF!,3,FALSE),VLOOKUP(GEQ7,#REF!,4,FALSE)),0)</f>
        <v/>
      </c>
      <c r="GER1">
        <f>IFERROR(IF((ISBLANK(VLOOKUP(GER7,#REF!,4,FALSE)))=TRUE,VLOOKUP(GER7,#REF!,3,FALSE),VLOOKUP(GER7,#REF!,4,FALSE)),0)</f>
        <v/>
      </c>
      <c r="GES1">
        <f>IFERROR(IF((ISBLANK(VLOOKUP(GES7,#REF!,4,FALSE)))=TRUE,VLOOKUP(GES7,#REF!,3,FALSE),VLOOKUP(GES7,#REF!,4,FALSE)),0)</f>
        <v/>
      </c>
      <c r="GET1">
        <f>IFERROR(IF((ISBLANK(VLOOKUP(GET7,#REF!,4,FALSE)))=TRUE,VLOOKUP(GET7,#REF!,3,FALSE),VLOOKUP(GET7,#REF!,4,FALSE)),0)</f>
        <v/>
      </c>
      <c r="GEU1">
        <f>IFERROR(IF((ISBLANK(VLOOKUP(GEU7,#REF!,4,FALSE)))=TRUE,VLOOKUP(GEU7,#REF!,3,FALSE),VLOOKUP(GEU7,#REF!,4,FALSE)),0)</f>
        <v/>
      </c>
      <c r="GEV1">
        <f>IFERROR(IF((ISBLANK(VLOOKUP(GEV7,#REF!,4,FALSE)))=TRUE,VLOOKUP(GEV7,#REF!,3,FALSE),VLOOKUP(GEV7,#REF!,4,FALSE)),0)</f>
        <v/>
      </c>
      <c r="GEW1">
        <f>IFERROR(IF((ISBLANK(VLOOKUP(GEW7,#REF!,4,FALSE)))=TRUE,VLOOKUP(GEW7,#REF!,3,FALSE),VLOOKUP(GEW7,#REF!,4,FALSE)),0)</f>
        <v/>
      </c>
      <c r="GEX1">
        <f>IFERROR(IF((ISBLANK(VLOOKUP(GEX7,#REF!,4,FALSE)))=TRUE,VLOOKUP(GEX7,#REF!,3,FALSE),VLOOKUP(GEX7,#REF!,4,FALSE)),0)</f>
        <v/>
      </c>
      <c r="GEY1">
        <f>IFERROR(IF((ISBLANK(VLOOKUP(GEY7,#REF!,4,FALSE)))=TRUE,VLOOKUP(GEY7,#REF!,3,FALSE),VLOOKUP(GEY7,#REF!,4,FALSE)),0)</f>
        <v/>
      </c>
      <c r="GEZ1">
        <f>IFERROR(IF((ISBLANK(VLOOKUP(GEZ7,#REF!,4,FALSE)))=TRUE,VLOOKUP(GEZ7,#REF!,3,FALSE),VLOOKUP(GEZ7,#REF!,4,FALSE)),0)</f>
        <v/>
      </c>
      <c r="GFA1">
        <f>IFERROR(IF((ISBLANK(VLOOKUP(GFA7,#REF!,4,FALSE)))=TRUE,VLOOKUP(GFA7,#REF!,3,FALSE),VLOOKUP(GFA7,#REF!,4,FALSE)),0)</f>
        <v/>
      </c>
      <c r="GFB1">
        <f>IF(#REF!="Skip to main content","FILED","NOT FILED")</f>
        <v/>
      </c>
      <c r="GFC1">
        <f>RIGHT(#REF!,2)</f>
        <v/>
      </c>
      <c r="GFD1">
        <f>IFERROR(VLOOKUP(RIGHT(#REF!,6),#REF!,2,FALSE),0)</f>
        <v/>
      </c>
      <c r="GFE1">
        <f>IFERROR(IF((ISBLANK(VLOOKUP(GFE7,#REF!,3,FALSE)))=TRUE,VLOOKUP(GFE7,#REF!,2,FALSE),VLOOKUP(GFE7,#REF!,3,FALSE)),0)</f>
        <v/>
      </c>
      <c r="GFF1">
        <f>IFERROR(IF((ISBLANK(VLOOKUP(GFF7,#REF!,3,FALSE)))=TRUE,VLOOKUP(GFF7,#REF!,2,FALSE),VLOOKUP(GFF7,#REF!,3,FALSE)),0)</f>
        <v/>
      </c>
      <c r="GFG1">
        <f>IFERROR(IF((ISBLANK(VLOOKUP(GFG7,#REF!,3,FALSE)))=TRUE,VLOOKUP(GFG7,#REF!,2,FALSE),VLOOKUP(GFG7,#REF!,3,FALSE)),0)</f>
        <v/>
      </c>
      <c r="GFH1">
        <f>IFERROR(IF((ISBLANK(VLOOKUP(GFH7,#REF!,3,FALSE)))=TRUE,VLOOKUP(GFH7,#REF!,2,FALSE),VLOOKUP(GFH7,#REF!,3,FALSE)),0)</f>
        <v/>
      </c>
      <c r="GFI1">
        <f>IFERROR(IF((ISBLANK(VLOOKUP(GFI7,#REF!,3,FALSE)))=TRUE,VLOOKUP(GFI7,#REF!,2,FALSE),VLOOKUP(GFI7,#REF!,3,FALSE)),0)</f>
        <v/>
      </c>
      <c r="GFJ1">
        <f>IFERROR(IF((ISBLANK(VLOOKUP(GFJ7,#REF!,3,FALSE)))=TRUE,VLOOKUP(GFJ7,#REF!,2,FALSE),VLOOKUP(GFJ7,#REF!,3,FALSE)),0)</f>
        <v/>
      </c>
      <c r="GFK1">
        <f>IFERROR(IF((ISBLANK(VLOOKUP(GFK7,#REF!,4,FALSE)))=TRUE,VLOOKUP(GFK7,#REF!,3,FALSE),VLOOKUP(GFK7,#REF!,4,FALSE)),0)</f>
        <v/>
      </c>
      <c r="GFL1">
        <f>IFERROR(IF((ISBLANK(VLOOKUP(GFL7,#REF!,4,FALSE)))=TRUE,VLOOKUP(GFL7,#REF!,3,FALSE),VLOOKUP(GFL7,#REF!,4,FALSE)),0)</f>
        <v/>
      </c>
      <c r="GFM1">
        <f>IFERROR(IF((ISBLANK(VLOOKUP(GFM7,#REF!,4,FALSE)))=TRUE,VLOOKUP(GFM7,#REF!,3,FALSE),VLOOKUP(GFM7,#REF!,4,FALSE)),0)</f>
        <v/>
      </c>
      <c r="GFN1">
        <f>IFERROR(IF((ISBLANK(VLOOKUP(GFN7,#REF!,4,FALSE)))=TRUE,VLOOKUP(GFN7,#REF!,3,FALSE),VLOOKUP(GFN7,#REF!,4,FALSE)),0)</f>
        <v/>
      </c>
      <c r="GFO1">
        <f>IFERROR(IF((ISBLANK(VLOOKUP(GFO7,#REF!,4,FALSE)))=TRUE,VLOOKUP(GFO7,#REF!,3,FALSE),VLOOKUP(GFO7,#REF!,4,FALSE)),0)</f>
        <v/>
      </c>
      <c r="GFP1">
        <f>IFERROR(IF((ISBLANK(VLOOKUP(GFP7,#REF!,4,FALSE)))=TRUE,VLOOKUP(GFP7,#REF!,3,FALSE),VLOOKUP(GFP7,#REF!,4,FALSE)),0)</f>
        <v/>
      </c>
      <c r="GFQ1">
        <f>IFERROR(IF((ISBLANK(VLOOKUP(GFQ7,#REF!,4,FALSE)))=TRUE,VLOOKUP(GFQ7,#REF!,3,FALSE),VLOOKUP(GFQ7,#REF!,4,FALSE)),0)</f>
        <v/>
      </c>
      <c r="GFR1">
        <f>IFERROR(IF((ISBLANK(VLOOKUP(GFR7,#REF!,4,FALSE)))=TRUE,VLOOKUP(GFR7,#REF!,3,FALSE),VLOOKUP(GFR7,#REF!,4,FALSE)),0)</f>
        <v/>
      </c>
      <c r="GFS1">
        <f>IFERROR(IF((ISBLANK(VLOOKUP(GFS7,#REF!,4,FALSE)))=TRUE,VLOOKUP(GFS7,#REF!,3,FALSE),VLOOKUP(GFS7,#REF!,4,FALSE)),0)</f>
        <v/>
      </c>
      <c r="GFT1">
        <f>IFERROR(IF((ISBLANK(VLOOKUP(GFT7,#REF!,4,FALSE)))=TRUE,VLOOKUP(GFT7,#REF!,3,FALSE),VLOOKUP(GFT7,#REF!,4,FALSE)),0)</f>
        <v/>
      </c>
      <c r="GFU1">
        <f>IFERROR(IF((ISBLANK(VLOOKUP(GFU7,#REF!,4,FALSE)))=TRUE,VLOOKUP(GFU7,#REF!,3,FALSE),VLOOKUP(GFU7,#REF!,4,FALSE)),0)</f>
        <v/>
      </c>
      <c r="GFV1">
        <f>IFERROR(IF((ISBLANK(VLOOKUP(GFV7,#REF!,4,FALSE)))=TRUE,VLOOKUP(GFV7,#REF!,3,FALSE),VLOOKUP(GFV7,#REF!,4,FALSE)),0)</f>
        <v/>
      </c>
      <c r="GFW1">
        <f>IFERROR(IF((ISBLANK(VLOOKUP(GFW7,#REF!,4,FALSE)))=TRUE,VLOOKUP(GFW7,#REF!,3,FALSE),VLOOKUP(GFW7,#REF!,4,FALSE)),0)</f>
        <v/>
      </c>
      <c r="GFX1">
        <f>IFERROR(IF((ISBLANK(VLOOKUP(GFX7,#REF!,4,FALSE)))=TRUE,VLOOKUP(GFX7,#REF!,3,FALSE),VLOOKUP(GFX7,#REF!,4,FALSE)),0)</f>
        <v/>
      </c>
      <c r="GFY1">
        <f>IFERROR(IF((ISBLANK(VLOOKUP(GFY7,#REF!,4,FALSE)))=TRUE,VLOOKUP(GFY7,#REF!,3,FALSE),VLOOKUP(GFY7,#REF!,4,FALSE)),0)</f>
        <v/>
      </c>
      <c r="GFZ1">
        <f>IFERROR(IF((ISBLANK(VLOOKUP(GFZ7,#REF!,4,FALSE)))=TRUE,VLOOKUP(GFZ7,#REF!,3,FALSE),VLOOKUP(GFZ7,#REF!,4,FALSE)),0)</f>
        <v/>
      </c>
      <c r="GGA1">
        <f>IFERROR(IF((ISBLANK(VLOOKUP(GGA7,#REF!,4,FALSE)))=TRUE,VLOOKUP(GGA7,#REF!,3,FALSE),VLOOKUP(GGA7,#REF!,4,FALSE)),0)</f>
        <v/>
      </c>
      <c r="GGB1">
        <f>IFERROR(IF((ISBLANK(VLOOKUP(GGB7,#REF!,4,FALSE)))=TRUE,VLOOKUP(GGB7,#REF!,3,FALSE),VLOOKUP(GGB7,#REF!,4,FALSE)),0)</f>
        <v/>
      </c>
      <c r="GGC1">
        <f>IFERROR(IF((ISBLANK(VLOOKUP(GGC7,#REF!,4,FALSE)))=TRUE,VLOOKUP(GGC7,#REF!,3,FALSE),VLOOKUP(GGC7,#REF!,4,FALSE)),0)</f>
        <v/>
      </c>
      <c r="GGD1">
        <f>IFERROR(IF((ISBLANK(VLOOKUP(GGD7,#REF!,4,FALSE)))=TRUE,VLOOKUP(GGD7,#REF!,3,FALSE),VLOOKUP(GGD7,#REF!,4,FALSE)),0)</f>
        <v/>
      </c>
      <c r="GGE1">
        <f>IFERROR(IF((ISBLANK(VLOOKUP(GGE7,#REF!,4,FALSE)))=TRUE,VLOOKUP(GGE7,#REF!,3,FALSE),VLOOKUP(GGE7,#REF!,4,FALSE)),0)</f>
        <v/>
      </c>
      <c r="GGF1">
        <f>IFERROR(IF((ISBLANK(VLOOKUP(GGF7,#REF!,4,FALSE)))=TRUE,VLOOKUP(GGF7,#REF!,3,FALSE),VLOOKUP(GGF7,#REF!,4,FALSE)),0)</f>
        <v/>
      </c>
      <c r="GGG1">
        <f>IFERROR(IF((ISBLANK(VLOOKUP(GGG7,#REF!,4,FALSE)))=TRUE,VLOOKUP(GGG7,#REF!,3,FALSE),VLOOKUP(GGG7,#REF!,4,FALSE)),0)</f>
        <v/>
      </c>
      <c r="GGH1">
        <f>IFERROR(IF((ISBLANK(VLOOKUP(GGH7,#REF!,4,FALSE)))=TRUE,VLOOKUP(GGH7,#REF!,3,FALSE),VLOOKUP(GGH7,#REF!,4,FALSE)),0)</f>
        <v/>
      </c>
      <c r="GGI1">
        <f>IFERROR(IF((ISBLANK(VLOOKUP(GGI7,#REF!,4,FALSE)))=TRUE,VLOOKUP(GGI7,#REF!,3,FALSE),VLOOKUP(GGI7,#REF!,4,FALSE)),0)</f>
        <v/>
      </c>
      <c r="GGJ1">
        <f>IFERROR(IF((ISBLANK(VLOOKUP(GGJ7,#REF!,4,FALSE)))=TRUE,VLOOKUP(GGJ7,#REF!,3,FALSE),VLOOKUP(GGJ7,#REF!,4,FALSE)),0)</f>
        <v/>
      </c>
      <c r="GGK1">
        <f>IFERROR(IF((ISBLANK(VLOOKUP(GGK7,#REF!,4,FALSE)))=TRUE,VLOOKUP(GGK7,#REF!,3,FALSE),VLOOKUP(GGK7,#REF!,4,FALSE)),0)</f>
        <v/>
      </c>
      <c r="GGL1">
        <f>IFERROR(IF((ISBLANK(VLOOKUP(GGL7,#REF!,4,FALSE)))=TRUE,VLOOKUP(GGL7,#REF!,3,FALSE),VLOOKUP(GGL7,#REF!,4,FALSE)),0)</f>
        <v/>
      </c>
      <c r="GGM1">
        <f>IFERROR(IF((ISBLANK(VLOOKUP(GGM7,#REF!,4,FALSE)))=TRUE,VLOOKUP(GGM7,#REF!,3,FALSE),VLOOKUP(GGM7,#REF!,4,FALSE)),0)</f>
        <v/>
      </c>
      <c r="GGN1">
        <f>IFERROR(IF((ISBLANK(VLOOKUP(GGN7,#REF!,4,FALSE)))=TRUE,VLOOKUP(GGN7,#REF!,3,FALSE),VLOOKUP(GGN7,#REF!,4,FALSE)),0)</f>
        <v/>
      </c>
      <c r="GGO1">
        <f>IFERROR(IF((ISBLANK(VLOOKUP(GGO7,#REF!,4,FALSE)))=TRUE,VLOOKUP(GGO7,#REF!,3,FALSE),VLOOKUP(GGO7,#REF!,4,FALSE)),0)</f>
        <v/>
      </c>
      <c r="GGP1">
        <f>IFERROR(IF((ISBLANK(VLOOKUP(GGP7,#REF!,4,FALSE)))=TRUE,VLOOKUP(GGP7,#REF!,3,FALSE),VLOOKUP(GGP7,#REF!,4,FALSE)),0)</f>
        <v/>
      </c>
      <c r="GGQ1">
        <f>IFERROR(IF((ISBLANK(VLOOKUP(GGQ7,#REF!,4,FALSE)))=TRUE,VLOOKUP(GGQ7,#REF!,3,FALSE),VLOOKUP(GGQ7,#REF!,4,FALSE)),0)</f>
        <v/>
      </c>
      <c r="GGR1">
        <f>IFERROR(IF((ISBLANK(VLOOKUP(GGR7,#REF!,4,FALSE)))=TRUE,VLOOKUP(GGR7,#REF!,3,FALSE),VLOOKUP(GGR7,#REF!,4,FALSE)),0)</f>
        <v/>
      </c>
      <c r="GGS1">
        <f>IFERROR(IF((ISBLANK(VLOOKUP(GGS7,#REF!,4,FALSE)))=TRUE,VLOOKUP(GGS7,#REF!,3,FALSE),VLOOKUP(GGS7,#REF!,4,FALSE)),0)</f>
        <v/>
      </c>
      <c r="GGT1">
        <f>IFERROR(IF((ISBLANK(VLOOKUP(GGT7,#REF!,4,FALSE)))=TRUE,VLOOKUP(GGT7,#REF!,3,FALSE),VLOOKUP(GGT7,#REF!,4,FALSE)),0)</f>
        <v/>
      </c>
      <c r="GGU1">
        <f>IFERROR(IF((ISBLANK(VLOOKUP(GGU7,#REF!,4,FALSE)))=TRUE,VLOOKUP(GGU7,#REF!,3,FALSE),VLOOKUP(GGU7,#REF!,4,FALSE)),0)</f>
        <v/>
      </c>
      <c r="GGV1">
        <f>IFERROR(IF((ISBLANK(VLOOKUP(GGV7,#REF!,4,FALSE)))=TRUE,VLOOKUP(GGV7,#REF!,3,FALSE),VLOOKUP(GGV7,#REF!,4,FALSE)),0)</f>
        <v/>
      </c>
      <c r="GGW1">
        <f>IFERROR(IF((ISBLANK(VLOOKUP(GGW7,#REF!,4,FALSE)))=TRUE,VLOOKUP(GGW7,#REF!,3,FALSE),VLOOKUP(GGW7,#REF!,4,FALSE)),0)</f>
        <v/>
      </c>
      <c r="GGX1">
        <f>IFERROR(IF((ISBLANK(VLOOKUP(GGX7,#REF!,4,FALSE)))=TRUE,VLOOKUP(GGX7,#REF!,3,FALSE),VLOOKUP(GGX7,#REF!,4,FALSE)),0)</f>
        <v/>
      </c>
      <c r="GGY1">
        <f>IFERROR(IF((ISBLANK(VLOOKUP(GGY7,#REF!,4,FALSE)))=TRUE,VLOOKUP(GGY7,#REF!,3,FALSE),VLOOKUP(GGY7,#REF!,4,FALSE)),0)</f>
        <v/>
      </c>
      <c r="GGZ1">
        <f>IFERROR(IF((ISBLANK(VLOOKUP(GGZ7,#REF!,4,FALSE)))=TRUE,VLOOKUP(GGZ7,#REF!,3,FALSE),VLOOKUP(GGZ7,#REF!,4,FALSE)),0)</f>
        <v/>
      </c>
      <c r="GHA1">
        <f>IFERROR(IF((ISBLANK(VLOOKUP(GHA7,#REF!,4,FALSE)))=TRUE,VLOOKUP(GHA7,#REF!,3,FALSE),VLOOKUP(GHA7,#REF!,4,FALSE)),0)</f>
        <v/>
      </c>
      <c r="GHB1">
        <f>IFERROR(IF((ISBLANK(VLOOKUP(GHB7,#REF!,4,FALSE)))=TRUE,VLOOKUP(GHB7,#REF!,3,FALSE),VLOOKUP(GHB7,#REF!,4,FALSE)),0)</f>
        <v/>
      </c>
      <c r="GHC1">
        <f>IFERROR(IF((ISBLANK(VLOOKUP(GHC7,#REF!,4,FALSE)))=TRUE,VLOOKUP(GHC7,#REF!,3,FALSE),VLOOKUP(GHC7,#REF!,4,FALSE)),0)</f>
        <v/>
      </c>
      <c r="GHD1">
        <f>IFERROR(IF((ISBLANK(VLOOKUP(GHD7,#REF!,4,FALSE)))=TRUE,VLOOKUP(GHD7,#REF!,3,FALSE),VLOOKUP(GHD7,#REF!,4,FALSE)),0)</f>
        <v/>
      </c>
      <c r="GHE1">
        <f>IFERROR(IF((ISBLANK(VLOOKUP(GHE7,#REF!,4,FALSE)))=TRUE,VLOOKUP(GHE7,#REF!,3,FALSE),VLOOKUP(GHE7,#REF!,4,FALSE)),0)</f>
        <v/>
      </c>
      <c r="GHF1">
        <f>IFERROR(IF((ISBLANK(VLOOKUP(GHF7,#REF!,4,FALSE)))=TRUE,VLOOKUP(GHF7,#REF!,3,FALSE),VLOOKUP(GHF7,#REF!,4,FALSE)),0)</f>
        <v/>
      </c>
      <c r="GHG1">
        <f>IFERROR(IF((ISBLANK(VLOOKUP(GHG7,#REF!,4,FALSE)))=TRUE,VLOOKUP(GHG7,#REF!,3,FALSE),VLOOKUP(GHG7,#REF!,4,FALSE)),0)</f>
        <v/>
      </c>
      <c r="GHH1">
        <f>IFERROR(IF((ISBLANK(VLOOKUP(GHH7,#REF!,4,FALSE)))=TRUE,VLOOKUP(GHH7,#REF!,3,FALSE),VLOOKUP(GHH7,#REF!,4,FALSE)),0)</f>
        <v/>
      </c>
      <c r="GHI1">
        <f>IFERROR(IF((ISBLANK(VLOOKUP(GHI7,#REF!,4,FALSE)))=TRUE,VLOOKUP(GHI7,#REF!,3,FALSE),VLOOKUP(GHI7,#REF!,4,FALSE)),0)</f>
        <v/>
      </c>
      <c r="GHJ1">
        <f>IFERROR(IF((ISBLANK(VLOOKUP(GHJ7,#REF!,4,FALSE)))=TRUE,VLOOKUP(GHJ7,#REF!,3,FALSE),VLOOKUP(GHJ7,#REF!,4,FALSE)),0)</f>
        <v/>
      </c>
      <c r="GHK1">
        <f>IFERROR(IF((ISBLANK(VLOOKUP(GHK7,#REF!,4,FALSE)))=TRUE,VLOOKUP(GHK7,#REF!,3,FALSE),VLOOKUP(GHK7,#REF!,4,FALSE)),0)</f>
        <v/>
      </c>
      <c r="GHL1">
        <f>IFERROR(IF((ISBLANK(VLOOKUP(GHL7,#REF!,4,FALSE)))=TRUE,VLOOKUP(GHL7,#REF!,3,FALSE),VLOOKUP(GHL7,#REF!,4,FALSE)),0)</f>
        <v/>
      </c>
      <c r="GHM1">
        <f>IFERROR(IF((ISBLANK(VLOOKUP(GHM7,#REF!,4,FALSE)))=TRUE,VLOOKUP(GHM7,#REF!,3,FALSE),VLOOKUP(GHM7,#REF!,4,FALSE)),0)</f>
        <v/>
      </c>
      <c r="GHN1">
        <f>IFERROR(IF((ISBLANK(VLOOKUP(GHN7,#REF!,4,FALSE)))=TRUE,VLOOKUP(GHN7,#REF!,3,FALSE),VLOOKUP(GHN7,#REF!,4,FALSE)),0)</f>
        <v/>
      </c>
      <c r="GHO1">
        <f>IFERROR(IF((ISBLANK(VLOOKUP(GHO7,#REF!,4,FALSE)))=TRUE,VLOOKUP(GHO7,#REF!,3,FALSE),VLOOKUP(GHO7,#REF!,4,FALSE)),0)</f>
        <v/>
      </c>
      <c r="GHP1">
        <f>IFERROR(IF((ISBLANK(VLOOKUP(GHP7,#REF!,4,FALSE)))=TRUE,VLOOKUP(GHP7,#REF!,3,FALSE),VLOOKUP(GHP7,#REF!,4,FALSE)),0)</f>
        <v/>
      </c>
      <c r="GHQ1">
        <f>IFERROR(IF((ISBLANK(VLOOKUP(GHQ7,#REF!,4,FALSE)))=TRUE,VLOOKUP(GHQ7,#REF!,3,FALSE),VLOOKUP(GHQ7,#REF!,4,FALSE)),0)</f>
        <v/>
      </c>
      <c r="GHR1">
        <f>IFERROR(IF((ISBLANK(VLOOKUP(GHR7,#REF!,4,FALSE)))=TRUE,VLOOKUP(GHR7,#REF!,3,FALSE),VLOOKUP(GHR7,#REF!,4,FALSE)),0)</f>
        <v/>
      </c>
      <c r="GHS1">
        <f>IFERROR(IF((ISBLANK(VLOOKUP(GHS7,#REF!,4,FALSE)))=TRUE,VLOOKUP(GHS7,#REF!,3,FALSE),VLOOKUP(GHS7,#REF!,4,FALSE)),0)</f>
        <v/>
      </c>
      <c r="GHT1">
        <f>IFERROR(IF((ISBLANK(VLOOKUP(GHT7,#REF!,4,FALSE)))=TRUE,VLOOKUP(GHT7,#REF!,3,FALSE),VLOOKUP(GHT7,#REF!,4,FALSE)),0)</f>
        <v/>
      </c>
      <c r="GHU1">
        <f>IFERROR(IF((ISBLANK(VLOOKUP(GHU7,#REF!,4,FALSE)))=TRUE,VLOOKUP(GHU7,#REF!,3,FALSE),VLOOKUP(GHU7,#REF!,4,FALSE)),0)</f>
        <v/>
      </c>
      <c r="GHV1">
        <f>IFERROR(IF((ISBLANK(VLOOKUP(GHV7,#REF!,4,FALSE)))=TRUE,VLOOKUP(GHV7,#REF!,3,FALSE),VLOOKUP(GHV7,#REF!,4,FALSE)),0)</f>
        <v/>
      </c>
      <c r="GHW1">
        <f>IFERROR(IF((ISBLANK(VLOOKUP(GHW7,#REF!,4,FALSE)))=TRUE,VLOOKUP(GHW7,#REF!,3,FALSE),VLOOKUP(GHW7,#REF!,4,FALSE)),0)</f>
        <v/>
      </c>
      <c r="GHX1">
        <f>IFERROR(IF((ISBLANK(VLOOKUP(GHX7,#REF!,4,FALSE)))=TRUE,VLOOKUP(GHX7,#REF!,3,FALSE),VLOOKUP(GHX7,#REF!,4,FALSE)),0)</f>
        <v/>
      </c>
      <c r="GHY1">
        <f>IFERROR(IF((ISBLANK(VLOOKUP(GHY7,#REF!,4,FALSE)))=TRUE,VLOOKUP(GHY7,#REF!,3,FALSE),VLOOKUP(GHY7,#REF!,4,FALSE)),0)</f>
        <v/>
      </c>
      <c r="GHZ1">
        <f>IFERROR(IF((ISBLANK(VLOOKUP(GHZ7,#REF!,4,FALSE)))=TRUE,VLOOKUP(GHZ7,#REF!,3,FALSE),VLOOKUP(GHZ7,#REF!,4,FALSE)),0)</f>
        <v/>
      </c>
      <c r="GIA1">
        <f>IFERROR(IF((ISBLANK(VLOOKUP(GIA7,#REF!,4,FALSE)))=TRUE,VLOOKUP(GIA7,#REF!,3,FALSE),VLOOKUP(GIA7,#REF!,4,FALSE)),0)</f>
        <v/>
      </c>
      <c r="GIB1">
        <f>IFERROR(IF((ISBLANK(VLOOKUP(GIB7,#REF!,4,FALSE)))=TRUE,VLOOKUP(GIB7,#REF!,3,FALSE),VLOOKUP(GIB7,#REF!,4,FALSE)),0)</f>
        <v/>
      </c>
      <c r="GIC1">
        <f>IFERROR(IF((ISBLANK(VLOOKUP(GIC7,#REF!,4,FALSE)))=TRUE,VLOOKUP(GIC7,#REF!,3,FALSE),VLOOKUP(GIC7,#REF!,4,FALSE)),0)</f>
        <v/>
      </c>
      <c r="GID1">
        <f>IFERROR(IF((ISBLANK(VLOOKUP(GID7,#REF!,4,FALSE)))=TRUE,VLOOKUP(GID7,#REF!,3,FALSE),VLOOKUP(GID7,#REF!,4,FALSE)),0)</f>
        <v/>
      </c>
      <c r="GIE1">
        <f>IFERROR(IF((ISBLANK(VLOOKUP(GIE7,#REF!,4,FALSE)))=TRUE,VLOOKUP(GIE7,#REF!,3,FALSE),VLOOKUP(GIE7,#REF!,4,FALSE)),0)</f>
        <v/>
      </c>
      <c r="GIF1">
        <f>IFERROR(IF((ISBLANK(VLOOKUP(GIF7,#REF!,4,FALSE)))=TRUE,VLOOKUP(GIF7,#REF!,3,FALSE),VLOOKUP(GIF7,#REF!,4,FALSE)),0)</f>
        <v/>
      </c>
      <c r="GIG1">
        <f>IFERROR(IF((ISBLANK(VLOOKUP(GIG7,#REF!,4,FALSE)))=TRUE,VLOOKUP(GIG7,#REF!,3,FALSE),VLOOKUP(GIG7,#REF!,4,FALSE)),0)</f>
        <v/>
      </c>
      <c r="GIH1">
        <f>IFERROR(IF((ISBLANK(VLOOKUP(GIH7,#REF!,4,FALSE)))=TRUE,VLOOKUP(GIH7,#REF!,3,FALSE),VLOOKUP(GIH7,#REF!,4,FALSE)),0)</f>
        <v/>
      </c>
      <c r="GII1">
        <f>IFERROR(IF((ISBLANK(VLOOKUP(GII7,#REF!,4,FALSE)))=TRUE,VLOOKUP(GII7,#REF!,3,FALSE),VLOOKUP(GII7,#REF!,4,FALSE)),0)</f>
        <v/>
      </c>
      <c r="GIJ1">
        <f>IFERROR(IF((ISBLANK(VLOOKUP(GIJ7,#REF!,4,FALSE)))=TRUE,VLOOKUP(GIJ7,#REF!,3,FALSE),VLOOKUP(GIJ7,#REF!,4,FALSE)),0)</f>
        <v/>
      </c>
      <c r="GIK1">
        <f>IFERROR(IF((ISBLANK(VLOOKUP(GIK7,#REF!,4,FALSE)))=TRUE,VLOOKUP(GIK7,#REF!,3,FALSE),VLOOKUP(GIK7,#REF!,4,FALSE)),0)</f>
        <v/>
      </c>
      <c r="GIL1">
        <f>IFERROR(IF((ISBLANK(VLOOKUP(GIL7,#REF!,4,FALSE)))=TRUE,VLOOKUP(GIL7,#REF!,3,FALSE),VLOOKUP(GIL7,#REF!,4,FALSE)),0)</f>
        <v/>
      </c>
      <c r="GIM1">
        <f>IFERROR(IF((ISBLANK(VLOOKUP(GIM7,#REF!,4,FALSE)))=TRUE,VLOOKUP(GIM7,#REF!,3,FALSE),VLOOKUP(GIM7,#REF!,4,FALSE)),0)</f>
        <v/>
      </c>
      <c r="GIN1">
        <f>IFERROR(IF((ISBLANK(VLOOKUP(GIN7,#REF!,4,FALSE)))=TRUE,VLOOKUP(GIN7,#REF!,3,FALSE),VLOOKUP(GIN7,#REF!,4,FALSE)),0)</f>
        <v/>
      </c>
      <c r="GIO1">
        <f>IFERROR(IF((ISBLANK(VLOOKUP(GIO7,#REF!,4,FALSE)))=TRUE,VLOOKUP(GIO7,#REF!,3,FALSE),VLOOKUP(GIO7,#REF!,4,FALSE)),0)</f>
        <v/>
      </c>
      <c r="GIP1">
        <f>IFERROR(IF((ISBLANK(VLOOKUP(GIP7,#REF!,4,FALSE)))=TRUE,VLOOKUP(GIP7,#REF!,3,FALSE),VLOOKUP(GIP7,#REF!,4,FALSE)),0)</f>
        <v/>
      </c>
      <c r="GIQ1">
        <f>IFERROR(IF((ISBLANK(VLOOKUP(GIQ7,#REF!,4,FALSE)))=TRUE,VLOOKUP(GIQ7,#REF!,3,FALSE),VLOOKUP(GIQ7,#REF!,4,FALSE)),0)</f>
        <v/>
      </c>
      <c r="GIR1">
        <f>IFERROR(IF((ISBLANK(VLOOKUP(GIR7,#REF!,4,FALSE)))=TRUE,VLOOKUP(GIR7,#REF!,3,FALSE),VLOOKUP(GIR7,#REF!,4,FALSE)),0)</f>
        <v/>
      </c>
      <c r="GIS1">
        <f>IFERROR(IF((ISBLANK(VLOOKUP(GIS7,#REF!,4,FALSE)))=TRUE,VLOOKUP(GIS7,#REF!,3,FALSE),VLOOKUP(GIS7,#REF!,4,FALSE)),0)</f>
        <v/>
      </c>
      <c r="GIT1">
        <f>IFERROR(IF((ISBLANK(VLOOKUP(GIT7,#REF!,4,FALSE)))=TRUE,VLOOKUP(GIT7,#REF!,3,FALSE),VLOOKUP(GIT7,#REF!,4,FALSE)),0)</f>
        <v/>
      </c>
      <c r="GIU1">
        <f>IFERROR(IF((ISBLANK(VLOOKUP(GIU7,#REF!,4,FALSE)))=TRUE,VLOOKUP(GIU7,#REF!,3,FALSE),VLOOKUP(GIU7,#REF!,4,FALSE)),0)</f>
        <v/>
      </c>
      <c r="GIV1">
        <f>IFERROR(IF((ISBLANK(VLOOKUP(GIV7,#REF!,4,FALSE)))=TRUE,VLOOKUP(GIV7,#REF!,3,FALSE),VLOOKUP(GIV7,#REF!,4,FALSE)),0)</f>
        <v/>
      </c>
      <c r="GIW1">
        <f>IFERROR(IF((ISBLANK(VLOOKUP(GIW7,#REF!,4,FALSE)))=TRUE,VLOOKUP(GIW7,#REF!,3,FALSE),VLOOKUP(GIW7,#REF!,4,FALSE)),0)</f>
        <v/>
      </c>
      <c r="GIX1">
        <f>IFERROR(IF((ISBLANK(VLOOKUP(GIX7,#REF!,4,FALSE)))=TRUE,VLOOKUP(GIX7,#REF!,3,FALSE),VLOOKUP(GIX7,#REF!,4,FALSE)),0)</f>
        <v/>
      </c>
      <c r="GIY1">
        <f>IFERROR(IF((ISBLANK(VLOOKUP(GIY7,#REF!,4,FALSE)))=TRUE,VLOOKUP(GIY7,#REF!,3,FALSE),VLOOKUP(GIY7,#REF!,4,FALSE)),0)</f>
        <v/>
      </c>
      <c r="GIZ1">
        <f>IFERROR(IF((ISBLANK(VLOOKUP(GIZ7,#REF!,4,FALSE)))=TRUE,VLOOKUP(GIZ7,#REF!,3,FALSE),VLOOKUP(GIZ7,#REF!,4,FALSE)),0)</f>
        <v/>
      </c>
      <c r="GJA1">
        <f>IFERROR(IF((ISBLANK(VLOOKUP(GJA7,#REF!,4,FALSE)))=TRUE,VLOOKUP(GJA7,#REF!,3,FALSE),VLOOKUP(GJA7,#REF!,4,FALSE)),0)</f>
        <v/>
      </c>
      <c r="GJB1">
        <f>IFERROR(IF((ISBLANK(VLOOKUP(GJB7,#REF!,4,FALSE)))=TRUE,VLOOKUP(GJB7,#REF!,3,FALSE),VLOOKUP(GJB7,#REF!,4,FALSE)),0)</f>
        <v/>
      </c>
      <c r="GJC1">
        <f>IFERROR(IF((ISBLANK(VLOOKUP(GJC7,#REF!,4,FALSE)))=TRUE,VLOOKUP(GJC7,#REF!,3,FALSE),VLOOKUP(GJC7,#REF!,4,FALSE)),0)</f>
        <v/>
      </c>
      <c r="GJD1">
        <f>IFERROR(IF((ISBLANK(VLOOKUP(GJD7,#REF!,4,FALSE)))=TRUE,VLOOKUP(GJD7,#REF!,3,FALSE),VLOOKUP(GJD7,#REF!,4,FALSE)),0)</f>
        <v/>
      </c>
      <c r="GJE1">
        <f>IFERROR(IF((ISBLANK(VLOOKUP(GJE7,#REF!,4,FALSE)))=TRUE,VLOOKUP(GJE7,#REF!,3,FALSE),VLOOKUP(GJE7,#REF!,4,FALSE)),0)</f>
        <v/>
      </c>
      <c r="GJF1">
        <f>IFERROR(IF((ISBLANK(VLOOKUP(GJF7,#REF!,4,FALSE)))=TRUE,VLOOKUP(GJF7,#REF!,3,FALSE),VLOOKUP(GJF7,#REF!,4,FALSE)),0)</f>
        <v/>
      </c>
      <c r="GJG1">
        <f>IFERROR(IF((ISBLANK(VLOOKUP(GJG7,#REF!,4,FALSE)))=TRUE,VLOOKUP(GJG7,#REF!,3,FALSE),VLOOKUP(GJG7,#REF!,4,FALSE)),0)</f>
        <v/>
      </c>
      <c r="GJH1">
        <f>IFERROR(IF((ISBLANK(VLOOKUP(GJH7,#REF!,4,FALSE)))=TRUE,VLOOKUP(GJH7,#REF!,3,FALSE),VLOOKUP(GJH7,#REF!,4,FALSE)),0)</f>
        <v/>
      </c>
      <c r="GJI1">
        <f>IFERROR(IF((ISBLANK(VLOOKUP(GJI7,#REF!,4,FALSE)))=TRUE,VLOOKUP(GJI7,#REF!,3,FALSE),VLOOKUP(GJI7,#REF!,4,FALSE)),0)</f>
        <v/>
      </c>
      <c r="GJJ1">
        <f>IFERROR(IF((ISBLANK(VLOOKUP(GJJ7,#REF!,4,FALSE)))=TRUE,VLOOKUP(GJJ7,#REF!,3,FALSE),VLOOKUP(GJJ7,#REF!,4,FALSE)),0)</f>
        <v/>
      </c>
      <c r="GJK1">
        <f>IFERROR(IF((ISBLANK(VLOOKUP(GJK7,#REF!,4,FALSE)))=TRUE,VLOOKUP(GJK7,#REF!,3,FALSE),VLOOKUP(GJK7,#REF!,4,FALSE)),0)</f>
        <v/>
      </c>
      <c r="GJL1">
        <f>IFERROR(IF((ISBLANK(VLOOKUP(GJL7,#REF!,4,FALSE)))=TRUE,VLOOKUP(GJL7,#REF!,3,FALSE),VLOOKUP(GJL7,#REF!,4,FALSE)),0)</f>
        <v/>
      </c>
      <c r="GJM1">
        <f>IFERROR(IF((ISBLANK(VLOOKUP(GJM7,#REF!,4,FALSE)))=TRUE,VLOOKUP(GJM7,#REF!,3,FALSE),VLOOKUP(GJM7,#REF!,4,FALSE)),0)</f>
        <v/>
      </c>
      <c r="GJN1">
        <f>IFERROR(IF((ISBLANK(VLOOKUP(GJN7,#REF!,4,FALSE)))=TRUE,VLOOKUP(GJN7,#REF!,3,FALSE),VLOOKUP(GJN7,#REF!,4,FALSE)),0)</f>
        <v/>
      </c>
      <c r="GJO1">
        <f>IFERROR(IF((ISBLANK(VLOOKUP(GJO7,#REF!,4,FALSE)))=TRUE,VLOOKUP(GJO7,#REF!,3,FALSE),VLOOKUP(GJO7,#REF!,4,FALSE)),0)</f>
        <v/>
      </c>
      <c r="GJP1">
        <f>IFERROR(IF((ISBLANK(VLOOKUP(GJP7,#REF!,4,FALSE)))=TRUE,VLOOKUP(GJP7,#REF!,3,FALSE),VLOOKUP(GJP7,#REF!,4,FALSE)),0)</f>
        <v/>
      </c>
      <c r="GJQ1">
        <f>IFERROR(IF((ISBLANK(VLOOKUP(GJQ7,#REF!,4,FALSE)))=TRUE,VLOOKUP(GJQ7,#REF!,3,FALSE),VLOOKUP(GJQ7,#REF!,4,FALSE)),0)</f>
        <v/>
      </c>
      <c r="GJR1">
        <f>IFERROR(IF((ISBLANK(VLOOKUP(GJR7,#REF!,4,FALSE)))=TRUE,VLOOKUP(GJR7,#REF!,3,FALSE),VLOOKUP(GJR7,#REF!,4,FALSE)),0)</f>
        <v/>
      </c>
      <c r="GJS1">
        <f>IFERROR(IF((ISBLANK(VLOOKUP(GJS7,#REF!,4,FALSE)))=TRUE,VLOOKUP(GJS7,#REF!,3,FALSE),VLOOKUP(GJS7,#REF!,4,FALSE)),0)</f>
        <v/>
      </c>
      <c r="GJT1">
        <f>IFERROR(IF((ISBLANK(VLOOKUP(GJT7,#REF!,4,FALSE)))=TRUE,VLOOKUP(GJT7,#REF!,3,FALSE),VLOOKUP(GJT7,#REF!,4,FALSE)),0)</f>
        <v/>
      </c>
      <c r="GJU1">
        <f>IFERROR(IF((ISBLANK(VLOOKUP(GJU7,#REF!,4,FALSE)))=TRUE,VLOOKUP(GJU7,#REF!,3,FALSE),VLOOKUP(GJU7,#REF!,4,FALSE)),0)</f>
        <v/>
      </c>
      <c r="GJV1">
        <f>IFERROR(IF((ISBLANK(VLOOKUP(GJV7,#REF!,4,FALSE)))=TRUE,VLOOKUP(GJV7,#REF!,3,FALSE),VLOOKUP(GJV7,#REF!,4,FALSE)),0)</f>
        <v/>
      </c>
      <c r="GJW1">
        <f>IFERROR(IF((ISBLANK(VLOOKUP(GJW7,#REF!,4,FALSE)))=TRUE,VLOOKUP(GJW7,#REF!,3,FALSE),VLOOKUP(GJW7,#REF!,4,FALSE)),0)</f>
        <v/>
      </c>
      <c r="GJX1">
        <f>IFERROR(IF((ISBLANK(VLOOKUP(GJX7,#REF!,4,FALSE)))=TRUE,VLOOKUP(GJX7,#REF!,3,FALSE),VLOOKUP(GJX7,#REF!,4,FALSE)),0)</f>
        <v/>
      </c>
      <c r="GJY1">
        <f>IFERROR(IF((ISBLANK(VLOOKUP(GJY7,#REF!,4,FALSE)))=TRUE,VLOOKUP(GJY7,#REF!,3,FALSE),VLOOKUP(GJY7,#REF!,4,FALSE)),0)</f>
        <v/>
      </c>
      <c r="GJZ1">
        <f>IFERROR(IF((ISBLANK(VLOOKUP(GJZ7,#REF!,4,FALSE)))=TRUE,VLOOKUP(GJZ7,#REF!,3,FALSE),VLOOKUP(GJZ7,#REF!,4,FALSE)),0)</f>
        <v/>
      </c>
      <c r="GKA1">
        <f>IFERROR(IF((ISBLANK(VLOOKUP(GKA7,#REF!,4,FALSE)))=TRUE,VLOOKUP(GKA7,#REF!,3,FALSE),VLOOKUP(GKA7,#REF!,4,FALSE)),0)</f>
        <v/>
      </c>
      <c r="GKB1">
        <f>IFERROR(IF((ISBLANK(VLOOKUP(GKB7,#REF!,4,FALSE)))=TRUE,VLOOKUP(GKB7,#REF!,3,FALSE),VLOOKUP(GKB7,#REF!,4,FALSE)),0)</f>
        <v/>
      </c>
      <c r="GKC1">
        <f>IFERROR(IF((ISBLANK(VLOOKUP(GKC7,#REF!,4,FALSE)))=TRUE,VLOOKUP(GKC7,#REF!,3,FALSE),VLOOKUP(GKC7,#REF!,4,FALSE)),0)</f>
        <v/>
      </c>
      <c r="GKD1">
        <f>IFERROR(IF((ISBLANK(VLOOKUP(GKD7,#REF!,4,FALSE)))=TRUE,VLOOKUP(GKD7,#REF!,3,FALSE),VLOOKUP(GKD7,#REF!,4,FALSE)),0)</f>
        <v/>
      </c>
      <c r="GKE1">
        <f>IFERROR(IF((ISBLANK(VLOOKUP(GKE7,#REF!,4,FALSE)))=TRUE,VLOOKUP(GKE7,#REF!,3,FALSE),VLOOKUP(GKE7,#REF!,4,FALSE)),0)</f>
        <v/>
      </c>
      <c r="GKF1">
        <f>IFERROR(IF((ISBLANK(VLOOKUP(GKF7,#REF!,4,FALSE)))=TRUE,VLOOKUP(GKF7,#REF!,3,FALSE),VLOOKUP(GKF7,#REF!,4,FALSE)),0)</f>
        <v/>
      </c>
      <c r="GKG1">
        <f>IFERROR(IF((ISBLANK(VLOOKUP(GKG7,#REF!,4,FALSE)))=TRUE,VLOOKUP(GKG7,#REF!,3,FALSE),VLOOKUP(GKG7,#REF!,4,FALSE)),0)</f>
        <v/>
      </c>
      <c r="GKH1">
        <f>IFERROR(IF((ISBLANK(VLOOKUP(GKH7,#REF!,4,FALSE)))=TRUE,VLOOKUP(GKH7,#REF!,3,FALSE),VLOOKUP(GKH7,#REF!,4,FALSE)),0)</f>
        <v/>
      </c>
      <c r="GKI1">
        <f>IFERROR(IF((ISBLANK(VLOOKUP(GKI7,#REF!,4,FALSE)))=TRUE,VLOOKUP(GKI7,#REF!,3,FALSE),VLOOKUP(GKI7,#REF!,4,FALSE)),0)</f>
        <v/>
      </c>
      <c r="GKJ1">
        <f>IFERROR(IF((ISBLANK(VLOOKUP(GKJ7,#REF!,4,FALSE)))=TRUE,VLOOKUP(GKJ7,#REF!,3,FALSE),VLOOKUP(GKJ7,#REF!,4,FALSE)),0)</f>
        <v/>
      </c>
      <c r="GKK1">
        <f>IFERROR(IF((ISBLANK(VLOOKUP(GKK7,#REF!,4,FALSE)))=TRUE,VLOOKUP(GKK7,#REF!,3,FALSE),VLOOKUP(GKK7,#REF!,4,FALSE)),0)</f>
        <v/>
      </c>
      <c r="GKL1">
        <f>IFERROR(IF((ISBLANK(VLOOKUP(GKL7,#REF!,4,FALSE)))=TRUE,VLOOKUP(GKL7,#REF!,3,FALSE),VLOOKUP(GKL7,#REF!,4,FALSE)),0)</f>
        <v/>
      </c>
      <c r="GKM1">
        <f>IFERROR(IF((ISBLANK(VLOOKUP(GKM7,#REF!,4,FALSE)))=TRUE,VLOOKUP(GKM7,#REF!,3,FALSE),VLOOKUP(GKM7,#REF!,4,FALSE)),0)</f>
        <v/>
      </c>
      <c r="GKN1">
        <f>IFERROR(IF((ISBLANK(VLOOKUP(GKN7,#REF!,4,FALSE)))=TRUE,VLOOKUP(GKN7,#REF!,3,FALSE),VLOOKUP(GKN7,#REF!,4,FALSE)),0)</f>
        <v/>
      </c>
      <c r="GKO1">
        <f>IFERROR(IF((ISBLANK(VLOOKUP(GKO7,#REF!,4,FALSE)))=TRUE,VLOOKUP(GKO7,#REF!,3,FALSE),VLOOKUP(GKO7,#REF!,4,FALSE)),0)</f>
        <v/>
      </c>
      <c r="GKP1">
        <f>IFERROR(IF((ISBLANK(VLOOKUP(GKP7,#REF!,4,FALSE)))=TRUE,VLOOKUP(GKP7,#REF!,3,FALSE),VLOOKUP(GKP7,#REF!,4,FALSE)),0)</f>
        <v/>
      </c>
      <c r="GKQ1">
        <f>IFERROR(IF((ISBLANK(VLOOKUP(GKQ7,#REF!,4,FALSE)))=TRUE,VLOOKUP(GKQ7,#REF!,3,FALSE),VLOOKUP(GKQ7,#REF!,4,FALSE)),0)</f>
        <v/>
      </c>
      <c r="GKR1">
        <f>IFERROR(IF((ISBLANK(VLOOKUP(GKR7,#REF!,4,FALSE)))=TRUE,VLOOKUP(GKR7,#REF!,3,FALSE),VLOOKUP(GKR7,#REF!,4,FALSE)),0)</f>
        <v/>
      </c>
      <c r="GKS1">
        <f>IFERROR(IF((ISBLANK(VLOOKUP(GKS7,#REF!,4,FALSE)))=TRUE,VLOOKUP(GKS7,#REF!,3,FALSE),VLOOKUP(GKS7,#REF!,4,FALSE)),0)</f>
        <v/>
      </c>
      <c r="GKT1">
        <f>IFERROR(IF((ISBLANK(VLOOKUP(GKT7,#REF!,4,FALSE)))=TRUE,VLOOKUP(GKT7,#REF!,3,FALSE),VLOOKUP(GKT7,#REF!,4,FALSE)),0)</f>
        <v/>
      </c>
      <c r="GKU1">
        <f>IFERROR(IF((ISBLANK(VLOOKUP(GKU7,#REF!,4,FALSE)))=TRUE,VLOOKUP(GKU7,#REF!,3,FALSE),VLOOKUP(GKU7,#REF!,4,FALSE)),0)</f>
        <v/>
      </c>
      <c r="GKV1">
        <f>IFERROR(IF((ISBLANK(VLOOKUP(GKV7,#REF!,4,FALSE)))=TRUE,VLOOKUP(GKV7,#REF!,3,FALSE),VLOOKUP(GKV7,#REF!,4,FALSE)),0)</f>
        <v/>
      </c>
      <c r="GKW1">
        <f>IFERROR(IF((ISBLANK(VLOOKUP(GKW7,#REF!,4,FALSE)))=TRUE,VLOOKUP(GKW7,#REF!,3,FALSE),VLOOKUP(GKW7,#REF!,4,FALSE)),0)</f>
        <v/>
      </c>
      <c r="GKX1">
        <f>IFERROR(IF((ISBLANK(VLOOKUP(GKX7,#REF!,4,FALSE)))=TRUE,VLOOKUP(GKX7,#REF!,3,FALSE),VLOOKUP(GKX7,#REF!,4,FALSE)),0)</f>
        <v/>
      </c>
      <c r="GKY1">
        <f>IFERROR(IF((ISBLANK(VLOOKUP(GKY7,#REF!,4,FALSE)))=TRUE,VLOOKUP(GKY7,#REF!,3,FALSE),VLOOKUP(GKY7,#REF!,4,FALSE)),0)</f>
        <v/>
      </c>
      <c r="GKZ1">
        <f>IFERROR(IF((ISBLANK(VLOOKUP(GKZ7,#REF!,4,FALSE)))=TRUE,VLOOKUP(GKZ7,#REF!,3,FALSE),VLOOKUP(GKZ7,#REF!,4,FALSE)),0)</f>
        <v/>
      </c>
      <c r="GLA1">
        <f>IFERROR(IF((ISBLANK(VLOOKUP(GLA7,#REF!,4,FALSE)))=TRUE,VLOOKUP(GLA7,#REF!,3,FALSE),VLOOKUP(GLA7,#REF!,4,FALSE)),0)</f>
        <v/>
      </c>
      <c r="GLB1">
        <f>IFERROR(IF((ISBLANK(VLOOKUP(GLB7,#REF!,4,FALSE)))=TRUE,VLOOKUP(GLB7,#REF!,3,FALSE),VLOOKUP(GLB7,#REF!,4,FALSE)),0)</f>
        <v/>
      </c>
      <c r="GLC1">
        <f>IFERROR(IF((ISBLANK(VLOOKUP(GLC7,#REF!,4,FALSE)))=TRUE,VLOOKUP(GLC7,#REF!,3,FALSE),VLOOKUP(GLC7,#REF!,4,FALSE)),0)</f>
        <v/>
      </c>
      <c r="GLD1">
        <f>IFERROR(IF((ISBLANK(VLOOKUP(GLD7,#REF!,4,FALSE)))=TRUE,VLOOKUP(GLD7,#REF!,3,FALSE),VLOOKUP(GLD7,#REF!,4,FALSE)),0)</f>
        <v/>
      </c>
      <c r="GLE1">
        <f>IFERROR(IF((ISBLANK(VLOOKUP(GLE7,#REF!,4,FALSE)))=TRUE,VLOOKUP(GLE7,#REF!,3,FALSE),VLOOKUP(GLE7,#REF!,4,FALSE)),0)</f>
        <v/>
      </c>
      <c r="GLF1">
        <f>IFERROR(IF((ISBLANK(VLOOKUP(GLF7,#REF!,4,FALSE)))=TRUE,VLOOKUP(GLF7,#REF!,3,FALSE),VLOOKUP(GLF7,#REF!,4,FALSE)),0)</f>
        <v/>
      </c>
      <c r="GLG1">
        <f>IFERROR(IF((ISBLANK(VLOOKUP(GLG7,#REF!,4,FALSE)))=TRUE,VLOOKUP(GLG7,#REF!,3,FALSE),VLOOKUP(GLG7,#REF!,4,FALSE)),0)</f>
        <v/>
      </c>
      <c r="GLH1">
        <f>IFERROR(IF((ISBLANK(VLOOKUP(GLH7,#REF!,4,FALSE)))=TRUE,VLOOKUP(GLH7,#REF!,3,FALSE),VLOOKUP(GLH7,#REF!,4,FALSE)),0)</f>
        <v/>
      </c>
      <c r="GLI1">
        <f>IFERROR(IF((ISBLANK(VLOOKUP(GLI7,#REF!,4,FALSE)))=TRUE,VLOOKUP(GLI7,#REF!,3,FALSE),VLOOKUP(GLI7,#REF!,4,FALSE)),0)</f>
        <v/>
      </c>
      <c r="GLJ1">
        <f>IFERROR(IF((ISBLANK(VLOOKUP(GLJ7,#REF!,4,FALSE)))=TRUE,VLOOKUP(GLJ7,#REF!,3,FALSE),VLOOKUP(GLJ7,#REF!,4,FALSE)),0)</f>
        <v/>
      </c>
      <c r="GLK1">
        <f>IFERROR(IF((ISBLANK(VLOOKUP(GLK7,#REF!,4,FALSE)))=TRUE,VLOOKUP(GLK7,#REF!,3,FALSE),VLOOKUP(GLK7,#REF!,4,FALSE)),0)</f>
        <v/>
      </c>
      <c r="GLL1">
        <f>IFERROR(IF((ISBLANK(VLOOKUP(GLL7,#REF!,4,FALSE)))=TRUE,VLOOKUP(GLL7,#REF!,3,FALSE),VLOOKUP(GLL7,#REF!,4,FALSE)),0)</f>
        <v/>
      </c>
      <c r="GLM1">
        <f>IFERROR(IF((ISBLANK(VLOOKUP(GLM7,#REF!,4,FALSE)))=TRUE,VLOOKUP(GLM7,#REF!,3,FALSE),VLOOKUP(GLM7,#REF!,4,FALSE)),0)</f>
        <v/>
      </c>
      <c r="GLN1">
        <f>IFERROR(IF((ISBLANK(VLOOKUP(GLN7,#REF!,4,FALSE)))=TRUE,VLOOKUP(GLN7,#REF!,3,FALSE),VLOOKUP(GLN7,#REF!,4,FALSE)),0)</f>
        <v/>
      </c>
      <c r="GLO1">
        <f>IFERROR(IF((ISBLANK(VLOOKUP(GLO7,#REF!,4,FALSE)))=TRUE,VLOOKUP(GLO7,#REF!,3,FALSE),VLOOKUP(GLO7,#REF!,4,FALSE)),0)</f>
        <v/>
      </c>
      <c r="GLP1">
        <f>IFERROR(IF((ISBLANK(VLOOKUP(GLP7,#REF!,4,FALSE)))=TRUE,VLOOKUP(GLP7,#REF!,3,FALSE),VLOOKUP(GLP7,#REF!,4,FALSE)),0)</f>
        <v/>
      </c>
      <c r="GLQ1">
        <f>IFERROR(IF((ISBLANK(VLOOKUP(GLQ7,#REF!,4,FALSE)))=TRUE,VLOOKUP(GLQ7,#REF!,3,FALSE),VLOOKUP(GLQ7,#REF!,4,FALSE)),0)</f>
        <v/>
      </c>
      <c r="GLR1">
        <f>IFERROR(IF((ISBLANK(VLOOKUP(GLR7,#REF!,4,FALSE)))=TRUE,VLOOKUP(GLR7,#REF!,3,FALSE),VLOOKUP(GLR7,#REF!,4,FALSE)),0)</f>
        <v/>
      </c>
      <c r="GLS1">
        <f>IFERROR(IF((ISBLANK(VLOOKUP(GLS7,#REF!,4,FALSE)))=TRUE,VLOOKUP(GLS7,#REF!,3,FALSE),VLOOKUP(GLS7,#REF!,4,FALSE)),0)</f>
        <v/>
      </c>
      <c r="GLT1">
        <f>IFERROR(IF((ISBLANK(VLOOKUP(GLT7,#REF!,4,FALSE)))=TRUE,VLOOKUP(GLT7,#REF!,3,FALSE),VLOOKUP(GLT7,#REF!,4,FALSE)),0)</f>
        <v/>
      </c>
      <c r="GLU1">
        <f>IFERROR(IF((ISBLANK(VLOOKUP(GLU7,#REF!,4,FALSE)))=TRUE,VLOOKUP(GLU7,#REF!,3,FALSE),VLOOKUP(GLU7,#REF!,4,FALSE)),0)</f>
        <v/>
      </c>
      <c r="GLV1">
        <f>IFERROR(IF((ISBLANK(VLOOKUP(GLV7,#REF!,4,FALSE)))=TRUE,VLOOKUP(GLV7,#REF!,3,FALSE),VLOOKUP(GLV7,#REF!,4,FALSE)),0)</f>
        <v/>
      </c>
      <c r="GLW1">
        <f>IFERROR(IF((ISBLANK(VLOOKUP(GLW7,#REF!,4,FALSE)))=TRUE,VLOOKUP(GLW7,#REF!,3,FALSE),VLOOKUP(GLW7,#REF!,4,FALSE)),0)</f>
        <v/>
      </c>
      <c r="GLX1">
        <f>IFERROR(IF((ISBLANK(VLOOKUP(GLX7,#REF!,4,FALSE)))=TRUE,VLOOKUP(GLX7,#REF!,3,FALSE),VLOOKUP(GLX7,#REF!,4,FALSE)),0)</f>
        <v/>
      </c>
      <c r="GLY1">
        <f>IFERROR(IF((ISBLANK(VLOOKUP(GLY7,#REF!,4,FALSE)))=TRUE,VLOOKUP(GLY7,#REF!,3,FALSE),VLOOKUP(GLY7,#REF!,4,FALSE)),0)</f>
        <v/>
      </c>
      <c r="GLZ1">
        <f>IFERROR(IF((ISBLANK(VLOOKUP(GLZ7,#REF!,4,FALSE)))=TRUE,VLOOKUP(GLZ7,#REF!,3,FALSE),VLOOKUP(GLZ7,#REF!,4,FALSE)),0)</f>
        <v/>
      </c>
      <c r="GMA1">
        <f>IFERROR(IF((ISBLANK(VLOOKUP(GMA7,#REF!,4,FALSE)))=TRUE,VLOOKUP(GMA7,#REF!,3,FALSE),VLOOKUP(GMA7,#REF!,4,FALSE)),0)</f>
        <v/>
      </c>
      <c r="GMB1">
        <f>IFERROR(IF((ISBLANK(VLOOKUP(GMB7,#REF!,4,FALSE)))=TRUE,VLOOKUP(GMB7,#REF!,3,FALSE),VLOOKUP(GMB7,#REF!,4,FALSE)),0)</f>
        <v/>
      </c>
      <c r="GMC1">
        <f>IFERROR(IF((ISBLANK(VLOOKUP(GMC7,#REF!,4,FALSE)))=TRUE,VLOOKUP(GMC7,#REF!,3,FALSE),VLOOKUP(GMC7,#REF!,4,FALSE)),0)</f>
        <v/>
      </c>
      <c r="GMD1">
        <f>IFERROR(IF((ISBLANK(VLOOKUP(GMD7,#REF!,4,FALSE)))=TRUE,VLOOKUP(GMD7,#REF!,3,FALSE),VLOOKUP(GMD7,#REF!,4,FALSE)),0)</f>
        <v/>
      </c>
      <c r="GME1">
        <f>IFERROR(IF((ISBLANK(VLOOKUP(GME7,#REF!,4,FALSE)))=TRUE,VLOOKUP(GME7,#REF!,3,FALSE),VLOOKUP(GME7,#REF!,4,FALSE)),0)</f>
        <v/>
      </c>
      <c r="GMF1">
        <f>IFERROR(IF((ISBLANK(VLOOKUP(GMF7,#REF!,4,FALSE)))=TRUE,VLOOKUP(GMF7,#REF!,3,FALSE),VLOOKUP(GMF7,#REF!,4,FALSE)),0)</f>
        <v/>
      </c>
      <c r="GMG1">
        <f>IFERROR(IF((ISBLANK(VLOOKUP(GMG7,#REF!,4,FALSE)))=TRUE,VLOOKUP(GMG7,#REF!,3,FALSE),VLOOKUP(GMG7,#REF!,4,FALSE)),0)</f>
        <v/>
      </c>
      <c r="GMH1">
        <f>IFERROR(IF((ISBLANK(VLOOKUP(GMH7,#REF!,4,FALSE)))=TRUE,VLOOKUP(GMH7,#REF!,3,FALSE),VLOOKUP(GMH7,#REF!,4,FALSE)),0)</f>
        <v/>
      </c>
      <c r="GMI1">
        <f>IFERROR(IF((ISBLANK(VLOOKUP(GMI7,#REF!,4,FALSE)))=TRUE,VLOOKUP(GMI7,#REF!,3,FALSE),VLOOKUP(GMI7,#REF!,4,FALSE)),0)</f>
        <v/>
      </c>
      <c r="GMJ1">
        <f>IFERROR(IF((ISBLANK(VLOOKUP(GMJ7,#REF!,4,FALSE)))=TRUE,VLOOKUP(GMJ7,#REF!,3,FALSE),VLOOKUP(GMJ7,#REF!,4,FALSE)),0)</f>
        <v/>
      </c>
      <c r="GMK1">
        <f>IFERROR(IF((ISBLANK(VLOOKUP(GMK7,#REF!,4,FALSE)))=TRUE,VLOOKUP(GMK7,#REF!,3,FALSE),VLOOKUP(GMK7,#REF!,4,FALSE)),0)</f>
        <v/>
      </c>
      <c r="GML1">
        <f>IFERROR(IF((ISBLANK(VLOOKUP(GML7,#REF!,4,FALSE)))=TRUE,VLOOKUP(GML7,#REF!,3,FALSE),VLOOKUP(GML7,#REF!,4,FALSE)),0)</f>
        <v/>
      </c>
      <c r="GMM1">
        <f>IFERROR(IF((ISBLANK(VLOOKUP(GMM7,#REF!,4,FALSE)))=TRUE,VLOOKUP(GMM7,#REF!,3,FALSE),VLOOKUP(GMM7,#REF!,4,FALSE)),0)</f>
        <v/>
      </c>
      <c r="GMN1">
        <f>IFERROR(IF((ISBLANK(VLOOKUP(GMN7,#REF!,4,FALSE)))=TRUE,VLOOKUP(GMN7,#REF!,3,FALSE),VLOOKUP(GMN7,#REF!,4,FALSE)),0)</f>
        <v/>
      </c>
      <c r="GMO1">
        <f>IFERROR(IF((ISBLANK(VLOOKUP(GMO7,#REF!,4,FALSE)))=TRUE,VLOOKUP(GMO7,#REF!,3,FALSE),VLOOKUP(GMO7,#REF!,4,FALSE)),0)</f>
        <v/>
      </c>
      <c r="GMP1">
        <f>IFERROR(IF((ISBLANK(VLOOKUP(GMP7,#REF!,4,FALSE)))=TRUE,VLOOKUP(GMP7,#REF!,3,FALSE),VLOOKUP(GMP7,#REF!,4,FALSE)),0)</f>
        <v/>
      </c>
      <c r="GMQ1">
        <f>IFERROR(IF((ISBLANK(VLOOKUP(GMQ7,#REF!,4,FALSE)))=TRUE,VLOOKUP(GMQ7,#REF!,3,FALSE),VLOOKUP(GMQ7,#REF!,4,FALSE)),0)</f>
        <v/>
      </c>
      <c r="GMR1">
        <f>IFERROR(IF((ISBLANK(VLOOKUP(GMR7,#REF!,4,FALSE)))=TRUE,VLOOKUP(GMR7,#REF!,3,FALSE),VLOOKUP(GMR7,#REF!,4,FALSE)),0)</f>
        <v/>
      </c>
      <c r="GMS1">
        <f>IFERROR(IF((ISBLANK(VLOOKUP(GMS7,#REF!,4,FALSE)))=TRUE,VLOOKUP(GMS7,#REF!,3,FALSE),VLOOKUP(GMS7,#REF!,4,FALSE)),0)</f>
        <v/>
      </c>
      <c r="GMT1">
        <f>IFERROR(IF((ISBLANK(VLOOKUP(GMT7,#REF!,4,FALSE)))=TRUE,VLOOKUP(GMT7,#REF!,3,FALSE),VLOOKUP(GMT7,#REF!,4,FALSE)),0)</f>
        <v/>
      </c>
      <c r="GMU1">
        <f>IFERROR(IF((ISBLANK(VLOOKUP(GMU7,#REF!,4,FALSE)))=TRUE,VLOOKUP(GMU7,#REF!,3,FALSE),VLOOKUP(GMU7,#REF!,4,FALSE)),0)</f>
        <v/>
      </c>
      <c r="GMV1">
        <f>IFERROR(IF((ISBLANK(VLOOKUP(GMV7,#REF!,4,FALSE)))=TRUE,VLOOKUP(GMV7,#REF!,3,FALSE),VLOOKUP(GMV7,#REF!,4,FALSE)),0)</f>
        <v/>
      </c>
      <c r="GMW1">
        <f>IFERROR(IF((ISBLANK(VLOOKUP(GMW7,#REF!,4,FALSE)))=TRUE,VLOOKUP(GMW7,#REF!,3,FALSE),VLOOKUP(GMW7,#REF!,4,FALSE)),0)</f>
        <v/>
      </c>
      <c r="GMX1">
        <f>IFERROR(IF((ISBLANK(VLOOKUP(GMX7,#REF!,4,FALSE)))=TRUE,VLOOKUP(GMX7,#REF!,3,FALSE),VLOOKUP(GMX7,#REF!,4,FALSE)),0)</f>
        <v/>
      </c>
      <c r="GMY1">
        <f>IFERROR(IF((ISBLANK(VLOOKUP(GMY7,#REF!,4,FALSE)))=TRUE,VLOOKUP(GMY7,#REF!,3,FALSE),VLOOKUP(GMY7,#REF!,4,FALSE)),0)</f>
        <v/>
      </c>
      <c r="GMZ1">
        <f>IFERROR(IF((ISBLANK(VLOOKUP(GMZ7,#REF!,4,FALSE)))=TRUE,VLOOKUP(GMZ7,#REF!,3,FALSE),VLOOKUP(GMZ7,#REF!,4,FALSE)),0)</f>
        <v/>
      </c>
      <c r="GNA1">
        <f>IFERROR(IF((ISBLANK(VLOOKUP(GNA7,#REF!,4,FALSE)))=TRUE,VLOOKUP(GNA7,#REF!,3,FALSE),VLOOKUP(GNA7,#REF!,4,FALSE)),0)</f>
        <v/>
      </c>
      <c r="GNB1">
        <f>IFERROR(IF((ISBLANK(VLOOKUP(GNB7,#REF!,4,FALSE)))=TRUE,VLOOKUP(GNB7,#REF!,3,FALSE),VLOOKUP(GNB7,#REF!,4,FALSE)),0)</f>
        <v/>
      </c>
      <c r="GNC1">
        <f>IFERROR(IF((ISBLANK(VLOOKUP(GNC7,#REF!,4,FALSE)))=TRUE,VLOOKUP(GNC7,#REF!,3,FALSE),VLOOKUP(GNC7,#REF!,4,FALSE)),0)</f>
        <v/>
      </c>
      <c r="GND1">
        <f>IFERROR(IF((ISBLANK(VLOOKUP(GND7,#REF!,4,FALSE)))=TRUE,VLOOKUP(GND7,#REF!,3,FALSE),VLOOKUP(GND7,#REF!,4,FALSE)),0)</f>
        <v/>
      </c>
      <c r="GNE1">
        <f>IFERROR(IF((ISBLANK(VLOOKUP(GNE7,#REF!,4,FALSE)))=TRUE,VLOOKUP(GNE7,#REF!,3,FALSE),VLOOKUP(GNE7,#REF!,4,FALSE)),0)</f>
        <v/>
      </c>
      <c r="GNF1">
        <f>IFERROR(IF((ISBLANK(VLOOKUP(GNF7,#REF!,4,FALSE)))=TRUE,VLOOKUP(GNF7,#REF!,3,FALSE),VLOOKUP(GNF7,#REF!,4,FALSE)),0)</f>
        <v/>
      </c>
      <c r="GNG1">
        <f>IFERROR(IF((ISBLANK(VLOOKUP(GNG7,#REF!,4,FALSE)))=TRUE,VLOOKUP(GNG7,#REF!,3,FALSE),VLOOKUP(GNG7,#REF!,4,FALSE)),0)</f>
        <v/>
      </c>
      <c r="GNH1">
        <f>IFERROR(IF((ISBLANK(VLOOKUP(GNH7,#REF!,4,FALSE)))=TRUE,VLOOKUP(GNH7,#REF!,3,FALSE),VLOOKUP(GNH7,#REF!,4,FALSE)),0)</f>
        <v/>
      </c>
      <c r="GNI1">
        <f>IFERROR(IF((ISBLANK(VLOOKUP(GNI7,#REF!,4,FALSE)))=TRUE,VLOOKUP(GNI7,#REF!,3,FALSE),VLOOKUP(GNI7,#REF!,4,FALSE)),0)</f>
        <v/>
      </c>
      <c r="GNJ1">
        <f>IFERROR(IF((ISBLANK(VLOOKUP(GNJ7,#REF!,4,FALSE)))=TRUE,VLOOKUP(GNJ7,#REF!,3,FALSE),VLOOKUP(GNJ7,#REF!,4,FALSE)),0)</f>
        <v/>
      </c>
      <c r="GNK1">
        <f>IFERROR(IF((ISBLANK(VLOOKUP(GNK7,#REF!,4,FALSE)))=TRUE,VLOOKUP(GNK7,#REF!,3,FALSE),VLOOKUP(GNK7,#REF!,4,FALSE)),0)</f>
        <v/>
      </c>
      <c r="GNL1">
        <f>IFERROR(IF((ISBLANK(VLOOKUP(GNL7,#REF!,4,FALSE)))=TRUE,VLOOKUP(GNL7,#REF!,3,FALSE),VLOOKUP(GNL7,#REF!,4,FALSE)),0)</f>
        <v/>
      </c>
      <c r="GNM1">
        <f>IFERROR(IF((ISBLANK(VLOOKUP(GNM7,#REF!,4,FALSE)))=TRUE,VLOOKUP(GNM7,#REF!,3,FALSE),VLOOKUP(GNM7,#REF!,4,FALSE)),0)</f>
        <v/>
      </c>
      <c r="GNN1">
        <f>IFERROR(IF((ISBLANK(VLOOKUP(GNN7,#REF!,4,FALSE)))=TRUE,VLOOKUP(GNN7,#REF!,3,FALSE),VLOOKUP(GNN7,#REF!,4,FALSE)),0)</f>
        <v/>
      </c>
      <c r="GNO1">
        <f>IFERROR(IF((ISBLANK(VLOOKUP(GNO7,#REF!,4,FALSE)))=TRUE,VLOOKUP(GNO7,#REF!,3,FALSE),VLOOKUP(GNO7,#REF!,4,FALSE)),0)</f>
        <v/>
      </c>
      <c r="GNP1">
        <f>IFERROR(IF((ISBLANK(VLOOKUP(GNP7,#REF!,4,FALSE)))=TRUE,VLOOKUP(GNP7,#REF!,3,FALSE),VLOOKUP(GNP7,#REF!,4,FALSE)),0)</f>
        <v/>
      </c>
      <c r="GNQ1">
        <f>IFERROR(IF((ISBLANK(VLOOKUP(GNQ7,#REF!,4,FALSE)))=TRUE,VLOOKUP(GNQ7,#REF!,3,FALSE),VLOOKUP(GNQ7,#REF!,4,FALSE)),0)</f>
        <v/>
      </c>
      <c r="GNR1">
        <f>IFERROR(IF((ISBLANK(VLOOKUP(GNR7,#REF!,4,FALSE)))=TRUE,VLOOKUP(GNR7,#REF!,3,FALSE),VLOOKUP(GNR7,#REF!,4,FALSE)),0)</f>
        <v/>
      </c>
      <c r="GNS1">
        <f>IFERROR(IF((ISBLANK(VLOOKUP(GNS7,#REF!,4,FALSE)))=TRUE,VLOOKUP(GNS7,#REF!,3,FALSE),VLOOKUP(GNS7,#REF!,4,FALSE)),0)</f>
        <v/>
      </c>
      <c r="GNT1">
        <f>IFERROR(IF((ISBLANK(VLOOKUP(GNT7,#REF!,4,FALSE)))=TRUE,VLOOKUP(GNT7,#REF!,3,FALSE),VLOOKUP(GNT7,#REF!,4,FALSE)),0)</f>
        <v/>
      </c>
      <c r="GNU1">
        <f>IFERROR(IF((ISBLANK(VLOOKUP(GNU7,#REF!,4,FALSE)))=TRUE,VLOOKUP(GNU7,#REF!,3,FALSE),VLOOKUP(GNU7,#REF!,4,FALSE)),0)</f>
        <v/>
      </c>
      <c r="GNV1">
        <f>IFERROR(IF((ISBLANK(VLOOKUP(GNV7,#REF!,4,FALSE)))=TRUE,VLOOKUP(GNV7,#REF!,3,FALSE),VLOOKUP(GNV7,#REF!,4,FALSE)),0)</f>
        <v/>
      </c>
      <c r="GNW1">
        <f>IFERROR(IF((ISBLANK(VLOOKUP(GNW7,#REF!,4,FALSE)))=TRUE,VLOOKUP(GNW7,#REF!,3,FALSE),VLOOKUP(GNW7,#REF!,4,FALSE)),0)</f>
        <v/>
      </c>
      <c r="GNX1">
        <f>IFERROR(IF((ISBLANK(VLOOKUP(GNX7,#REF!,4,FALSE)))=TRUE,VLOOKUP(GNX7,#REF!,3,FALSE),VLOOKUP(GNX7,#REF!,4,FALSE)),0)</f>
        <v/>
      </c>
      <c r="GNY1">
        <f>IFERROR(IF((ISBLANK(VLOOKUP(GNY7,#REF!,4,FALSE)))=TRUE,VLOOKUP(GNY7,#REF!,3,FALSE),VLOOKUP(GNY7,#REF!,4,FALSE)),0)</f>
        <v/>
      </c>
      <c r="GNZ1">
        <f>IFERROR(IF((ISBLANK(VLOOKUP(GNZ7,#REF!,4,FALSE)))=TRUE,VLOOKUP(GNZ7,#REF!,3,FALSE),VLOOKUP(GNZ7,#REF!,4,FALSE)),0)</f>
        <v/>
      </c>
      <c r="GOA1">
        <f>IFERROR(IF((ISBLANK(VLOOKUP(GOA7,#REF!,4,FALSE)))=TRUE,VLOOKUP(GOA7,#REF!,3,FALSE),VLOOKUP(GOA7,#REF!,4,FALSE)),0)</f>
        <v/>
      </c>
      <c r="GOB1">
        <f>IFERROR(IF((ISBLANK(VLOOKUP(GOB7,#REF!,4,FALSE)))=TRUE,VLOOKUP(GOB7,#REF!,3,FALSE),VLOOKUP(GOB7,#REF!,4,FALSE)),0)</f>
        <v/>
      </c>
      <c r="GOC1">
        <f>IFERROR(IF((ISBLANK(VLOOKUP(GOC7,#REF!,4,FALSE)))=TRUE,VLOOKUP(GOC7,#REF!,3,FALSE),VLOOKUP(GOC7,#REF!,4,FALSE)),0)</f>
        <v/>
      </c>
      <c r="GOD1">
        <f>IFERROR(IF((ISBLANK(VLOOKUP(GOD7,#REF!,4,FALSE)))=TRUE,VLOOKUP(GOD7,#REF!,3,FALSE),VLOOKUP(GOD7,#REF!,4,FALSE)),0)</f>
        <v/>
      </c>
      <c r="GOE1">
        <f>IFERROR(IF((ISBLANK(VLOOKUP(GOE7,#REF!,4,FALSE)))=TRUE,VLOOKUP(GOE7,#REF!,3,FALSE),VLOOKUP(GOE7,#REF!,4,FALSE)),0)</f>
        <v/>
      </c>
      <c r="GOF1">
        <f>IFERROR(IF((ISBLANK(VLOOKUP(GOF7,#REF!,4,FALSE)))=TRUE,VLOOKUP(GOF7,#REF!,3,FALSE),VLOOKUP(GOF7,#REF!,4,FALSE)),0)</f>
        <v/>
      </c>
      <c r="GOG1">
        <f>IFERROR(IF((ISBLANK(VLOOKUP(GOG7,#REF!,4,FALSE)))=TRUE,VLOOKUP(GOG7,#REF!,3,FALSE),VLOOKUP(GOG7,#REF!,4,FALSE)),0)</f>
        <v/>
      </c>
      <c r="GOH1">
        <f>IFERROR(IF((ISBLANK(VLOOKUP(GOH7,#REF!,4,FALSE)))=TRUE,VLOOKUP(GOH7,#REF!,3,FALSE),VLOOKUP(GOH7,#REF!,4,FALSE)),0)</f>
        <v/>
      </c>
      <c r="GOI1">
        <f>IFERROR(IF((ISBLANK(VLOOKUP(GOI7,#REF!,4,FALSE)))=TRUE,VLOOKUP(GOI7,#REF!,3,FALSE),VLOOKUP(GOI7,#REF!,4,FALSE)),0)</f>
        <v/>
      </c>
      <c r="GOJ1">
        <f>IFERROR(IF((ISBLANK(VLOOKUP(GOJ7,#REF!,4,FALSE)))=TRUE,VLOOKUP(GOJ7,#REF!,3,FALSE),VLOOKUP(GOJ7,#REF!,4,FALSE)),0)</f>
        <v/>
      </c>
      <c r="GOK1">
        <f>IFERROR(IF((ISBLANK(VLOOKUP(GOK7,#REF!,4,FALSE)))=TRUE,VLOOKUP(GOK7,#REF!,3,FALSE),VLOOKUP(GOK7,#REF!,4,FALSE)),0)</f>
        <v/>
      </c>
      <c r="GOL1">
        <f>IFERROR(IF((ISBLANK(VLOOKUP(GOL7,#REF!,4,FALSE)))=TRUE,VLOOKUP(GOL7,#REF!,3,FALSE),VLOOKUP(GOL7,#REF!,4,FALSE)),0)</f>
        <v/>
      </c>
      <c r="GOM1">
        <f>IFERROR(IF((ISBLANK(VLOOKUP(GOM7,#REF!,4,FALSE)))=TRUE,VLOOKUP(GOM7,#REF!,3,FALSE),VLOOKUP(GOM7,#REF!,4,FALSE)),0)</f>
        <v/>
      </c>
      <c r="GON1">
        <f>IFERROR(IF((ISBLANK(VLOOKUP(GON7,#REF!,4,FALSE)))=TRUE,VLOOKUP(GON7,#REF!,3,FALSE),VLOOKUP(GON7,#REF!,4,FALSE)),0)</f>
        <v/>
      </c>
      <c r="GOO1">
        <f>IFERROR(IF((ISBLANK(VLOOKUP(GOO7,#REF!,4,FALSE)))=TRUE,VLOOKUP(GOO7,#REF!,3,FALSE),VLOOKUP(GOO7,#REF!,4,FALSE)),0)</f>
        <v/>
      </c>
      <c r="GOP1">
        <f>IFERROR(IF((ISBLANK(VLOOKUP(GOP7,#REF!,4,FALSE)))=TRUE,VLOOKUP(GOP7,#REF!,3,FALSE),VLOOKUP(GOP7,#REF!,4,FALSE)),0)</f>
        <v/>
      </c>
      <c r="GOQ1">
        <f>IFERROR(IF((ISBLANK(VLOOKUP(GOQ7,#REF!,4,FALSE)))=TRUE,VLOOKUP(GOQ7,#REF!,3,FALSE),VLOOKUP(GOQ7,#REF!,4,FALSE)),0)</f>
        <v/>
      </c>
      <c r="GOR1">
        <f>IFERROR(IF((ISBLANK(VLOOKUP(GOR7,#REF!,4,FALSE)))=TRUE,VLOOKUP(GOR7,#REF!,3,FALSE),VLOOKUP(GOR7,#REF!,4,FALSE)),0)</f>
        <v/>
      </c>
      <c r="GOS1">
        <f>IFERROR(IF((ISBLANK(VLOOKUP(GOS7,#REF!,4,FALSE)))=TRUE,VLOOKUP(GOS7,#REF!,3,FALSE),VLOOKUP(GOS7,#REF!,4,FALSE)),0)</f>
        <v/>
      </c>
      <c r="GOT1">
        <f>IFERROR(IF((ISBLANK(VLOOKUP(GOT7,#REF!,4,FALSE)))=TRUE,VLOOKUP(GOT7,#REF!,3,FALSE),VLOOKUP(GOT7,#REF!,4,FALSE)),0)</f>
        <v/>
      </c>
      <c r="GOU1">
        <f>IFERROR(IF((ISBLANK(VLOOKUP(GOU7,#REF!,4,FALSE)))=TRUE,VLOOKUP(GOU7,#REF!,3,FALSE),VLOOKUP(GOU7,#REF!,4,FALSE)),0)</f>
        <v/>
      </c>
      <c r="GOV1">
        <f>IFERROR(IF((ISBLANK(VLOOKUP(GOV7,#REF!,4,FALSE)))=TRUE,VLOOKUP(GOV7,#REF!,3,FALSE),VLOOKUP(GOV7,#REF!,4,FALSE)),0)</f>
        <v/>
      </c>
      <c r="GOW1">
        <f>IFERROR(IF((ISBLANK(VLOOKUP(GOW7,#REF!,4,FALSE)))=TRUE,VLOOKUP(GOW7,#REF!,3,FALSE),VLOOKUP(GOW7,#REF!,4,FALSE)),0)</f>
        <v/>
      </c>
      <c r="GOX1">
        <f>IFERROR(IF((ISBLANK(VLOOKUP(GOX7,#REF!,4,FALSE)))=TRUE,VLOOKUP(GOX7,#REF!,3,FALSE),VLOOKUP(GOX7,#REF!,4,FALSE)),0)</f>
        <v/>
      </c>
      <c r="GOY1">
        <f>IFERROR(IF((ISBLANK(VLOOKUP(GOY7,#REF!,4,FALSE)))=TRUE,VLOOKUP(GOY7,#REF!,3,FALSE),VLOOKUP(GOY7,#REF!,4,FALSE)),0)</f>
        <v/>
      </c>
      <c r="GOZ1">
        <f>IFERROR(IF((ISBLANK(VLOOKUP(GOZ7,#REF!,4,FALSE)))=TRUE,VLOOKUP(GOZ7,#REF!,3,FALSE),VLOOKUP(GOZ7,#REF!,4,FALSE)),0)</f>
        <v/>
      </c>
      <c r="GPA1">
        <f>IFERROR(IF((ISBLANK(VLOOKUP(GPA7,#REF!,4,FALSE)))=TRUE,VLOOKUP(GPA7,#REF!,3,FALSE),VLOOKUP(GPA7,#REF!,4,FALSE)),0)</f>
        <v/>
      </c>
      <c r="GPB1">
        <f>IFERROR(IF((ISBLANK(VLOOKUP(GPB7,#REF!,4,FALSE)))=TRUE,VLOOKUP(GPB7,#REF!,3,FALSE),VLOOKUP(GPB7,#REF!,4,FALSE)),0)</f>
        <v/>
      </c>
      <c r="GPC1">
        <f>IFERROR(IF((ISBLANK(VLOOKUP(GPC7,#REF!,4,FALSE)))=TRUE,VLOOKUP(GPC7,#REF!,3,FALSE),VLOOKUP(GPC7,#REF!,4,FALSE)),0)</f>
        <v/>
      </c>
      <c r="GPD1">
        <f>IFERROR(IF((ISBLANK(VLOOKUP(GPD7,#REF!,4,FALSE)))=TRUE,VLOOKUP(GPD7,#REF!,3,FALSE),VLOOKUP(GPD7,#REF!,4,FALSE)),0)</f>
        <v/>
      </c>
      <c r="GPE1">
        <f>IFERROR(IF((ISBLANK(VLOOKUP(GPE7,#REF!,4,FALSE)))=TRUE,VLOOKUP(GPE7,#REF!,3,FALSE),VLOOKUP(GPE7,#REF!,4,FALSE)),0)</f>
        <v/>
      </c>
      <c r="GPF1">
        <f>IFERROR(IF((ISBLANK(VLOOKUP(GPF7,#REF!,4,FALSE)))=TRUE,VLOOKUP(GPF7,#REF!,3,FALSE),VLOOKUP(GPF7,#REF!,4,FALSE)),0)</f>
        <v/>
      </c>
      <c r="GPG1">
        <f>IFERROR(IF((ISBLANK(VLOOKUP(GPG7,#REF!,4,FALSE)))=TRUE,VLOOKUP(GPG7,#REF!,3,FALSE),VLOOKUP(GPG7,#REF!,4,FALSE)),0)</f>
        <v/>
      </c>
      <c r="GPH1">
        <f>IFERROR(IF((ISBLANK(VLOOKUP(GPH7,#REF!,4,FALSE)))=TRUE,VLOOKUP(GPH7,#REF!,3,FALSE),VLOOKUP(GPH7,#REF!,4,FALSE)),0)</f>
        <v/>
      </c>
      <c r="GPI1">
        <f>IFERROR(IF((ISBLANK(VLOOKUP(GPI7,#REF!,4,FALSE)))=TRUE,VLOOKUP(GPI7,#REF!,3,FALSE),VLOOKUP(GPI7,#REF!,4,FALSE)),0)</f>
        <v/>
      </c>
      <c r="GPJ1">
        <f>IFERROR(IF((ISBLANK(VLOOKUP(GPJ7,#REF!,4,FALSE)))=TRUE,VLOOKUP(GPJ7,#REF!,3,FALSE),VLOOKUP(GPJ7,#REF!,4,FALSE)),0)</f>
        <v/>
      </c>
      <c r="GPK1">
        <f>IFERROR(IF((ISBLANK(VLOOKUP(GPK7,#REF!,4,FALSE)))=TRUE,VLOOKUP(GPK7,#REF!,3,FALSE),VLOOKUP(GPK7,#REF!,4,FALSE)),0)</f>
        <v/>
      </c>
      <c r="GPL1">
        <f>IFERROR(IF((ISBLANK(VLOOKUP(GPL7,#REF!,4,FALSE)))=TRUE,VLOOKUP(GPL7,#REF!,3,FALSE),VLOOKUP(GPL7,#REF!,4,FALSE)),0)</f>
        <v/>
      </c>
      <c r="GPM1">
        <f>IFERROR(IF((ISBLANK(VLOOKUP(GPM7,#REF!,4,FALSE)))=TRUE,VLOOKUP(GPM7,#REF!,3,FALSE),VLOOKUP(GPM7,#REF!,4,FALSE)),0)</f>
        <v/>
      </c>
      <c r="GPN1">
        <f>IFERROR(IF((ISBLANK(VLOOKUP(GPN7,#REF!,4,FALSE)))=TRUE,VLOOKUP(GPN7,#REF!,3,FALSE),VLOOKUP(GPN7,#REF!,4,FALSE)),0)</f>
        <v/>
      </c>
      <c r="GPO1">
        <f>IFERROR(IF((ISBLANK(VLOOKUP(GPO7,#REF!,4,FALSE)))=TRUE,VLOOKUP(GPO7,#REF!,3,FALSE),VLOOKUP(GPO7,#REF!,4,FALSE)),0)</f>
        <v/>
      </c>
      <c r="GPP1">
        <f>IFERROR(IF((ISBLANK(VLOOKUP(GPP7,#REF!,4,FALSE)))=TRUE,VLOOKUP(GPP7,#REF!,3,FALSE),VLOOKUP(GPP7,#REF!,4,FALSE)),0)</f>
        <v/>
      </c>
      <c r="GPQ1">
        <f>IFERROR(IF((ISBLANK(VLOOKUP(GPQ7,#REF!,4,FALSE)))=TRUE,VLOOKUP(GPQ7,#REF!,3,FALSE),VLOOKUP(GPQ7,#REF!,4,FALSE)),0)</f>
        <v/>
      </c>
      <c r="GPR1">
        <f>IFERROR(IF((ISBLANK(VLOOKUP(GPR7,#REF!,4,FALSE)))=TRUE,VLOOKUP(GPR7,#REF!,3,FALSE),VLOOKUP(GPR7,#REF!,4,FALSE)),0)</f>
        <v/>
      </c>
      <c r="GPS1">
        <f>IFERROR(IF((ISBLANK(VLOOKUP(GPS7,#REF!,4,FALSE)))=TRUE,VLOOKUP(GPS7,#REF!,3,FALSE),VLOOKUP(GPS7,#REF!,4,FALSE)),0)</f>
        <v/>
      </c>
      <c r="GPT1">
        <f>IFERROR(IF((ISBLANK(VLOOKUP(GPT7,#REF!,4,FALSE)))=TRUE,VLOOKUP(GPT7,#REF!,3,FALSE),VLOOKUP(GPT7,#REF!,4,FALSE)),0)</f>
        <v/>
      </c>
      <c r="GPU1">
        <f>IFERROR(IF((ISBLANK(VLOOKUP(GPU7,#REF!,4,FALSE)))=TRUE,VLOOKUP(GPU7,#REF!,3,FALSE),VLOOKUP(GPU7,#REF!,4,FALSE)),0)</f>
        <v/>
      </c>
      <c r="GPV1">
        <f>IFERROR(IF((ISBLANK(VLOOKUP(GPV7,#REF!,4,FALSE)))=TRUE,VLOOKUP(GPV7,#REF!,3,FALSE),VLOOKUP(GPV7,#REF!,4,FALSE)),0)</f>
        <v/>
      </c>
      <c r="GPW1">
        <f>IFERROR(IF((ISBLANK(VLOOKUP(GPW7,#REF!,4,FALSE)))=TRUE,VLOOKUP(GPW7,#REF!,3,FALSE),VLOOKUP(GPW7,#REF!,4,FALSE)),0)</f>
        <v/>
      </c>
      <c r="GPX1">
        <f>IFERROR(IF((ISBLANK(VLOOKUP(GPX7,#REF!,4,FALSE)))=TRUE,VLOOKUP(GPX7,#REF!,3,FALSE),VLOOKUP(GPX7,#REF!,4,FALSE)),0)</f>
        <v/>
      </c>
      <c r="GPY1">
        <f>IFERROR(IF((ISBLANK(VLOOKUP(GPY7,#REF!,4,FALSE)))=TRUE,VLOOKUP(GPY7,#REF!,3,FALSE),VLOOKUP(GPY7,#REF!,4,FALSE)),0)</f>
        <v/>
      </c>
      <c r="GPZ1">
        <f>IFERROR(IF((ISBLANK(VLOOKUP(GPZ7,#REF!,4,FALSE)))=TRUE,VLOOKUP(GPZ7,#REF!,3,FALSE),VLOOKUP(GPZ7,#REF!,4,FALSE)),0)</f>
        <v/>
      </c>
      <c r="GQA1">
        <f>IFERROR(IF((ISBLANK(VLOOKUP(GQA7,#REF!,4,FALSE)))=TRUE,VLOOKUP(GQA7,#REF!,3,FALSE),VLOOKUP(GQA7,#REF!,4,FALSE)),0)</f>
        <v/>
      </c>
      <c r="GQB1">
        <f>IFERROR(IF((ISBLANK(VLOOKUP(GQB7,#REF!,4,FALSE)))=TRUE,VLOOKUP(GQB7,#REF!,3,FALSE),VLOOKUP(GQB7,#REF!,4,FALSE)),0)</f>
        <v/>
      </c>
      <c r="GQC1">
        <f>IFERROR(IF((ISBLANK(VLOOKUP(GQC7,#REF!,4,FALSE)))=TRUE,VLOOKUP(GQC7,#REF!,3,FALSE),VLOOKUP(GQC7,#REF!,4,FALSE)),0)</f>
        <v/>
      </c>
      <c r="GQD1">
        <f>IFERROR(IF((ISBLANK(VLOOKUP(GQD7,#REF!,4,FALSE)))=TRUE,VLOOKUP(GQD7,#REF!,3,FALSE),VLOOKUP(GQD7,#REF!,4,FALSE)),0)</f>
        <v/>
      </c>
      <c r="GQE1">
        <f>IFERROR(IF((ISBLANK(VLOOKUP(GQE7,#REF!,4,FALSE)))=TRUE,VLOOKUP(GQE7,#REF!,3,FALSE),VLOOKUP(GQE7,#REF!,4,FALSE)),0)</f>
        <v/>
      </c>
      <c r="GQF1">
        <f>IFERROR(IF((ISBLANK(VLOOKUP(GQF7,#REF!,4,FALSE)))=TRUE,VLOOKUP(GQF7,#REF!,3,FALSE),VLOOKUP(GQF7,#REF!,4,FALSE)),0)</f>
        <v/>
      </c>
      <c r="GQG1">
        <f>IFERROR(IF((ISBLANK(VLOOKUP(GQG7,#REF!,4,FALSE)))=TRUE,VLOOKUP(GQG7,#REF!,3,FALSE),VLOOKUP(GQG7,#REF!,4,FALSE)),0)</f>
        <v/>
      </c>
      <c r="GQH1">
        <f>IFERROR(IF((ISBLANK(VLOOKUP(GQH7,#REF!,4,FALSE)))=TRUE,VLOOKUP(GQH7,#REF!,3,FALSE),VLOOKUP(GQH7,#REF!,4,FALSE)),0)</f>
        <v/>
      </c>
      <c r="GQI1">
        <f>IFERROR(IF((ISBLANK(VLOOKUP(GQI7,#REF!,4,FALSE)))=TRUE,VLOOKUP(GQI7,#REF!,3,FALSE),VLOOKUP(GQI7,#REF!,4,FALSE)),0)</f>
        <v/>
      </c>
      <c r="GQJ1">
        <f>IFERROR(IF((ISBLANK(VLOOKUP(GQJ7,#REF!,4,FALSE)))=TRUE,VLOOKUP(GQJ7,#REF!,3,FALSE),VLOOKUP(GQJ7,#REF!,4,FALSE)),0)</f>
        <v/>
      </c>
      <c r="GQK1">
        <f>IFERROR(IF((ISBLANK(VLOOKUP(GQK7,#REF!,4,FALSE)))=TRUE,VLOOKUP(GQK7,#REF!,3,FALSE),VLOOKUP(GQK7,#REF!,4,FALSE)),0)</f>
        <v/>
      </c>
      <c r="GQL1">
        <f>IFERROR(IF((ISBLANK(VLOOKUP(GQL7,#REF!,4,FALSE)))=TRUE,VLOOKUP(GQL7,#REF!,3,FALSE),VLOOKUP(GQL7,#REF!,4,FALSE)),0)</f>
        <v/>
      </c>
      <c r="GQM1">
        <f>IFERROR(IF((ISBLANK(VLOOKUP(GQM7,#REF!,4,FALSE)))=TRUE,VLOOKUP(GQM7,#REF!,3,FALSE),VLOOKUP(GQM7,#REF!,4,FALSE)),0)</f>
        <v/>
      </c>
      <c r="GQN1">
        <f>IFERROR(IF((ISBLANK(VLOOKUP(GQN7,#REF!,4,FALSE)))=TRUE,VLOOKUP(GQN7,#REF!,3,FALSE),VLOOKUP(GQN7,#REF!,4,FALSE)),0)</f>
        <v/>
      </c>
      <c r="GQO1">
        <f>IFERROR(IF((ISBLANK(VLOOKUP(GQO7,#REF!,4,FALSE)))=TRUE,VLOOKUP(GQO7,#REF!,3,FALSE),VLOOKUP(GQO7,#REF!,4,FALSE)),0)</f>
        <v/>
      </c>
      <c r="GQP1">
        <f>IFERROR(IF((ISBLANK(VLOOKUP(GQP7,#REF!,4,FALSE)))=TRUE,VLOOKUP(GQP7,#REF!,3,FALSE),VLOOKUP(GQP7,#REF!,4,FALSE)),0)</f>
        <v/>
      </c>
      <c r="GQQ1">
        <f>IFERROR(IF((ISBLANK(VLOOKUP(GQQ7,#REF!,4,FALSE)))=TRUE,VLOOKUP(GQQ7,#REF!,3,FALSE),VLOOKUP(GQQ7,#REF!,4,FALSE)),0)</f>
        <v/>
      </c>
      <c r="GQR1">
        <f>IFERROR(IF((ISBLANK(VLOOKUP(GQR7,#REF!,4,FALSE)))=TRUE,VLOOKUP(GQR7,#REF!,3,FALSE),VLOOKUP(GQR7,#REF!,4,FALSE)),0)</f>
        <v/>
      </c>
      <c r="GQS1">
        <f>IFERROR(IF((ISBLANK(VLOOKUP(GQS7,#REF!,4,FALSE)))=TRUE,VLOOKUP(GQS7,#REF!,3,FALSE),VLOOKUP(GQS7,#REF!,4,FALSE)),0)</f>
        <v/>
      </c>
      <c r="GQT1">
        <f>IFERROR(IF((ISBLANK(VLOOKUP(GQT7,#REF!,4,FALSE)))=TRUE,VLOOKUP(GQT7,#REF!,3,FALSE),VLOOKUP(GQT7,#REF!,4,FALSE)),0)</f>
        <v/>
      </c>
      <c r="GQU1">
        <f>IFERROR(IF((ISBLANK(VLOOKUP(GQU7,#REF!,4,FALSE)))=TRUE,VLOOKUP(GQU7,#REF!,3,FALSE),VLOOKUP(GQU7,#REF!,4,FALSE)),0)</f>
        <v/>
      </c>
      <c r="GQV1">
        <f>IFERROR(IF((ISBLANK(VLOOKUP(GQV7,#REF!,4,FALSE)))=TRUE,VLOOKUP(GQV7,#REF!,3,FALSE),VLOOKUP(GQV7,#REF!,4,FALSE)),0)</f>
        <v/>
      </c>
      <c r="GQW1">
        <f>IFERROR(IF((ISBLANK(VLOOKUP(GQW7,#REF!,4,FALSE)))=TRUE,VLOOKUP(GQW7,#REF!,3,FALSE),VLOOKUP(GQW7,#REF!,4,FALSE)),0)</f>
        <v/>
      </c>
      <c r="GQX1">
        <f>IFERROR(IF((ISBLANK(VLOOKUP(GQX7,#REF!,4,FALSE)))=TRUE,VLOOKUP(GQX7,#REF!,3,FALSE),VLOOKUP(GQX7,#REF!,4,FALSE)),0)</f>
        <v/>
      </c>
      <c r="GQY1">
        <f>IFERROR(IF((ISBLANK(VLOOKUP(GQY7,#REF!,4,FALSE)))=TRUE,VLOOKUP(GQY7,#REF!,3,FALSE),VLOOKUP(GQY7,#REF!,4,FALSE)),0)</f>
        <v/>
      </c>
      <c r="GQZ1">
        <f>IFERROR(IF((ISBLANK(VLOOKUP(GQZ7,#REF!,4,FALSE)))=TRUE,VLOOKUP(GQZ7,#REF!,3,FALSE),VLOOKUP(GQZ7,#REF!,4,FALSE)),0)</f>
        <v/>
      </c>
      <c r="GRA1">
        <f>IFERROR(IF((ISBLANK(VLOOKUP(GRA7,#REF!,4,FALSE)))=TRUE,VLOOKUP(GRA7,#REF!,3,FALSE),VLOOKUP(GRA7,#REF!,4,FALSE)),0)</f>
        <v/>
      </c>
      <c r="GRB1">
        <f>IFERROR(IF((ISBLANK(VLOOKUP(GRB7,#REF!,4,FALSE)))=TRUE,VLOOKUP(GRB7,#REF!,3,FALSE),VLOOKUP(GRB7,#REF!,4,FALSE)),0)</f>
        <v/>
      </c>
      <c r="GRC1">
        <f>IFERROR(IF((ISBLANK(VLOOKUP(GRC7,#REF!,4,FALSE)))=TRUE,VLOOKUP(GRC7,#REF!,3,FALSE),VLOOKUP(GRC7,#REF!,4,FALSE)),0)</f>
        <v/>
      </c>
      <c r="GRD1">
        <f>IFERROR(IF((ISBLANK(VLOOKUP(GRD7,#REF!,4,FALSE)))=TRUE,VLOOKUP(GRD7,#REF!,3,FALSE),VLOOKUP(GRD7,#REF!,4,FALSE)),0)</f>
        <v/>
      </c>
      <c r="GRE1">
        <f>IFERROR(IF((ISBLANK(VLOOKUP(GRE7,#REF!,4,FALSE)))=TRUE,VLOOKUP(GRE7,#REF!,3,FALSE),VLOOKUP(GRE7,#REF!,4,FALSE)),0)</f>
        <v/>
      </c>
      <c r="GRF1">
        <f>IFERROR(IF((ISBLANK(VLOOKUP(GRF7,#REF!,4,FALSE)))=TRUE,VLOOKUP(GRF7,#REF!,3,FALSE),VLOOKUP(GRF7,#REF!,4,FALSE)),0)</f>
        <v/>
      </c>
      <c r="GRG1">
        <f>IFERROR(IF((ISBLANK(VLOOKUP(GRG7,#REF!,4,FALSE)))=TRUE,VLOOKUP(GRG7,#REF!,3,FALSE),VLOOKUP(GRG7,#REF!,4,FALSE)),0)</f>
        <v/>
      </c>
      <c r="GRH1">
        <f>IFERROR(IF((ISBLANK(VLOOKUP(GRH7,#REF!,4,FALSE)))=TRUE,VLOOKUP(GRH7,#REF!,3,FALSE),VLOOKUP(GRH7,#REF!,4,FALSE)),0)</f>
        <v/>
      </c>
      <c r="GRI1">
        <f>IFERROR(IF((ISBLANK(VLOOKUP(GRI7,#REF!,4,FALSE)))=TRUE,VLOOKUP(GRI7,#REF!,3,FALSE),VLOOKUP(GRI7,#REF!,4,FALSE)),0)</f>
        <v/>
      </c>
      <c r="GRJ1">
        <f>IFERROR(IF((ISBLANK(VLOOKUP(GRJ7,#REF!,4,FALSE)))=TRUE,VLOOKUP(GRJ7,#REF!,3,FALSE),VLOOKUP(GRJ7,#REF!,4,FALSE)),0)</f>
        <v/>
      </c>
      <c r="GRK1">
        <f>IFERROR(IF((ISBLANK(VLOOKUP(GRK7,#REF!,4,FALSE)))=TRUE,VLOOKUP(GRK7,#REF!,3,FALSE),VLOOKUP(GRK7,#REF!,4,FALSE)),0)</f>
        <v/>
      </c>
      <c r="GRL1">
        <f>IFERROR(IF((ISBLANK(VLOOKUP(GRL7,#REF!,4,FALSE)))=TRUE,VLOOKUP(GRL7,#REF!,3,FALSE),VLOOKUP(GRL7,#REF!,4,FALSE)),0)</f>
        <v/>
      </c>
      <c r="GRM1">
        <f>IFERROR(IF((ISBLANK(VLOOKUP(GRM7,#REF!,4,FALSE)))=TRUE,VLOOKUP(GRM7,#REF!,3,FALSE),VLOOKUP(GRM7,#REF!,4,FALSE)),0)</f>
        <v/>
      </c>
      <c r="GRN1">
        <f>IFERROR(IF((ISBLANK(VLOOKUP(GRN7,#REF!,4,FALSE)))=TRUE,VLOOKUP(GRN7,#REF!,3,FALSE),VLOOKUP(GRN7,#REF!,4,FALSE)),0)</f>
        <v/>
      </c>
      <c r="GRO1">
        <f>IFERROR(IF((ISBLANK(VLOOKUP(GRO7,#REF!,4,FALSE)))=TRUE,VLOOKUP(GRO7,#REF!,3,FALSE),VLOOKUP(GRO7,#REF!,4,FALSE)),0)</f>
        <v/>
      </c>
      <c r="GRP1">
        <f>IFERROR(IF((ISBLANK(VLOOKUP(GRP7,#REF!,4,FALSE)))=TRUE,VLOOKUP(GRP7,#REF!,3,FALSE),VLOOKUP(GRP7,#REF!,4,FALSE)),0)</f>
        <v/>
      </c>
      <c r="GRQ1">
        <f>IFERROR(IF((ISBLANK(VLOOKUP(GRQ7,#REF!,4,FALSE)))=TRUE,VLOOKUP(GRQ7,#REF!,3,FALSE),VLOOKUP(GRQ7,#REF!,4,FALSE)),0)</f>
        <v/>
      </c>
      <c r="GRR1">
        <f>IFERROR(IF((ISBLANK(VLOOKUP(GRR7,#REF!,4,FALSE)))=TRUE,VLOOKUP(GRR7,#REF!,3,FALSE),VLOOKUP(GRR7,#REF!,4,FALSE)),0)</f>
        <v/>
      </c>
      <c r="GRS1">
        <f>IFERROR(IF((ISBLANK(VLOOKUP(GRS7,#REF!,4,FALSE)))=TRUE,VLOOKUP(GRS7,#REF!,3,FALSE),VLOOKUP(GRS7,#REF!,4,FALSE)),0)</f>
        <v/>
      </c>
      <c r="GRT1">
        <f>IFERROR(IF((ISBLANK(VLOOKUP(GRT7,#REF!,4,FALSE)))=TRUE,VLOOKUP(GRT7,#REF!,3,FALSE),VLOOKUP(GRT7,#REF!,4,FALSE)),0)</f>
        <v/>
      </c>
      <c r="GRU1">
        <f>IFERROR(IF((ISBLANK(VLOOKUP(GRU7,#REF!,4,FALSE)))=TRUE,VLOOKUP(GRU7,#REF!,3,FALSE),VLOOKUP(GRU7,#REF!,4,FALSE)),0)</f>
        <v/>
      </c>
      <c r="GRV1">
        <f>IFERROR(IF((ISBLANK(VLOOKUP(GRV7,#REF!,4,FALSE)))=TRUE,VLOOKUP(GRV7,#REF!,3,FALSE),VLOOKUP(GRV7,#REF!,4,FALSE)),0)</f>
        <v/>
      </c>
      <c r="GRW1">
        <f>IFERROR(IF((ISBLANK(VLOOKUP(GRW7,#REF!,4,FALSE)))=TRUE,VLOOKUP(GRW7,#REF!,3,FALSE),VLOOKUP(GRW7,#REF!,4,FALSE)),0)</f>
        <v/>
      </c>
      <c r="GRX1">
        <f>IFERROR(IF((ISBLANK(VLOOKUP(GRX7,#REF!,4,FALSE)))=TRUE,VLOOKUP(GRX7,#REF!,3,FALSE),VLOOKUP(GRX7,#REF!,4,FALSE)),0)</f>
        <v/>
      </c>
      <c r="GRY1">
        <f>IFERROR(IF((ISBLANK(VLOOKUP(GRY7,#REF!,4,FALSE)))=TRUE,VLOOKUP(GRY7,#REF!,3,FALSE),VLOOKUP(GRY7,#REF!,4,FALSE)),0)</f>
        <v/>
      </c>
      <c r="GRZ1">
        <f>IFERROR(IF((ISBLANK(VLOOKUP(GRZ7,#REF!,4,FALSE)))=TRUE,VLOOKUP(GRZ7,#REF!,3,FALSE),VLOOKUP(GRZ7,#REF!,4,FALSE)),0)</f>
        <v/>
      </c>
      <c r="GSA1">
        <f>IFERROR(IF((ISBLANK(VLOOKUP(GSA7,#REF!,4,FALSE)))=TRUE,VLOOKUP(GSA7,#REF!,3,FALSE),VLOOKUP(GSA7,#REF!,4,FALSE)),0)</f>
        <v/>
      </c>
      <c r="GSB1">
        <f>IFERROR(IF((ISBLANK(VLOOKUP(GSB7,#REF!,4,FALSE)))=TRUE,VLOOKUP(GSB7,#REF!,3,FALSE),VLOOKUP(GSB7,#REF!,4,FALSE)),0)</f>
        <v/>
      </c>
      <c r="GSC1">
        <f>IFERROR(IF((ISBLANK(VLOOKUP(GSC7,#REF!,4,FALSE)))=TRUE,VLOOKUP(GSC7,#REF!,3,FALSE),VLOOKUP(GSC7,#REF!,4,FALSE)),0)</f>
        <v/>
      </c>
      <c r="GSD1">
        <f>IFERROR(IF((ISBLANK(VLOOKUP(GSD7,#REF!,4,FALSE)))=TRUE,VLOOKUP(GSD7,#REF!,3,FALSE),VLOOKUP(GSD7,#REF!,4,FALSE)),0)</f>
        <v/>
      </c>
      <c r="GSE1">
        <f>IFERROR(IF((ISBLANK(VLOOKUP(GSE7,#REF!,4,FALSE)))=TRUE,VLOOKUP(GSE7,#REF!,3,FALSE),VLOOKUP(GSE7,#REF!,4,FALSE)),0)</f>
        <v/>
      </c>
      <c r="GSF1">
        <f>IFERROR(IF((ISBLANK(VLOOKUP(GSF7,#REF!,4,FALSE)))=TRUE,VLOOKUP(GSF7,#REF!,3,FALSE),VLOOKUP(GSF7,#REF!,4,FALSE)),0)</f>
        <v/>
      </c>
      <c r="GSG1">
        <f>IFERROR(IF((ISBLANK(VLOOKUP(GSG7,#REF!,4,FALSE)))=TRUE,VLOOKUP(GSG7,#REF!,3,FALSE),VLOOKUP(GSG7,#REF!,4,FALSE)),0)</f>
        <v/>
      </c>
      <c r="GSH1">
        <f>IFERROR(IF((ISBLANK(VLOOKUP(GSH7,#REF!,4,FALSE)))=TRUE,VLOOKUP(GSH7,#REF!,3,FALSE),VLOOKUP(GSH7,#REF!,4,FALSE)),0)</f>
        <v/>
      </c>
      <c r="GSI1">
        <f>IFERROR(IF((ISBLANK(VLOOKUP(GSI7,#REF!,4,FALSE)))=TRUE,VLOOKUP(GSI7,#REF!,3,FALSE),VLOOKUP(GSI7,#REF!,4,FALSE)),0)</f>
        <v/>
      </c>
      <c r="GSJ1">
        <f>IFERROR(IF((ISBLANK(VLOOKUP(GSJ7,#REF!,4,FALSE)))=TRUE,VLOOKUP(GSJ7,#REF!,3,FALSE),VLOOKUP(GSJ7,#REF!,4,FALSE)),0)</f>
        <v/>
      </c>
      <c r="GSK1">
        <f>IFERROR(IF((ISBLANK(VLOOKUP(GSK7,#REF!,4,FALSE)))=TRUE,VLOOKUP(GSK7,#REF!,3,FALSE),VLOOKUP(GSK7,#REF!,4,FALSE)),0)</f>
        <v/>
      </c>
      <c r="GSL1">
        <f>IFERROR(IF((ISBLANK(VLOOKUP(GSL7,#REF!,4,FALSE)))=TRUE,VLOOKUP(GSL7,#REF!,3,FALSE),VLOOKUP(GSL7,#REF!,4,FALSE)),0)</f>
        <v/>
      </c>
      <c r="GSM1">
        <f>IFERROR(IF((ISBLANK(VLOOKUP(GSM7,#REF!,4,FALSE)))=TRUE,VLOOKUP(GSM7,#REF!,3,FALSE),VLOOKUP(GSM7,#REF!,4,FALSE)),0)</f>
        <v/>
      </c>
      <c r="GSN1">
        <f>IFERROR(IF((ISBLANK(VLOOKUP(GSN7,#REF!,4,FALSE)))=TRUE,VLOOKUP(GSN7,#REF!,3,FALSE),VLOOKUP(GSN7,#REF!,4,FALSE)),0)</f>
        <v/>
      </c>
      <c r="GSO1">
        <f>IFERROR(IF((ISBLANK(VLOOKUP(GSO7,#REF!,4,FALSE)))=TRUE,VLOOKUP(GSO7,#REF!,3,FALSE),VLOOKUP(GSO7,#REF!,4,FALSE)),0)</f>
        <v/>
      </c>
      <c r="GSP1">
        <f>IFERROR(IF((ISBLANK(VLOOKUP(GSP7,#REF!,4,FALSE)))=TRUE,VLOOKUP(GSP7,#REF!,3,FALSE),VLOOKUP(GSP7,#REF!,4,FALSE)),0)</f>
        <v/>
      </c>
      <c r="GSQ1">
        <f>IFERROR(IF((ISBLANK(VLOOKUP(GSQ7,#REF!,4,FALSE)))=TRUE,VLOOKUP(GSQ7,#REF!,3,FALSE),VLOOKUP(GSQ7,#REF!,4,FALSE)),0)</f>
        <v/>
      </c>
      <c r="GSR1">
        <f>IFERROR(IF((ISBLANK(VLOOKUP(GSR7,#REF!,4,FALSE)))=TRUE,VLOOKUP(GSR7,#REF!,3,FALSE),VLOOKUP(GSR7,#REF!,4,FALSE)),0)</f>
        <v/>
      </c>
      <c r="GSS1">
        <f>IFERROR(IF((ISBLANK(VLOOKUP(GSS7,#REF!,4,FALSE)))=TRUE,VLOOKUP(GSS7,#REF!,3,FALSE),VLOOKUP(GSS7,#REF!,4,FALSE)),0)</f>
        <v/>
      </c>
      <c r="GST1">
        <f>IFERROR(IF((ISBLANK(VLOOKUP(GST7,#REF!,4,FALSE)))=TRUE,VLOOKUP(GST7,#REF!,3,FALSE),VLOOKUP(GST7,#REF!,4,FALSE)),0)</f>
        <v/>
      </c>
      <c r="GSU1">
        <f>IFERROR(IF((ISBLANK(VLOOKUP(GSU7,#REF!,4,FALSE)))=TRUE,VLOOKUP(GSU7,#REF!,3,FALSE),VLOOKUP(GSU7,#REF!,4,FALSE)),0)</f>
        <v/>
      </c>
      <c r="GSV1">
        <f>IFERROR(IF((ISBLANK(VLOOKUP(GSV7,#REF!,4,FALSE)))=TRUE,VLOOKUP(GSV7,#REF!,3,FALSE),VLOOKUP(GSV7,#REF!,4,FALSE)),0)</f>
        <v/>
      </c>
      <c r="GSW1">
        <f>IFERROR(IF((ISBLANK(VLOOKUP(GSW7,#REF!,4,FALSE)))=TRUE,VLOOKUP(GSW7,#REF!,3,FALSE),VLOOKUP(GSW7,#REF!,4,FALSE)),0)</f>
        <v/>
      </c>
      <c r="GSX1">
        <f>IFERROR(IF((ISBLANK(VLOOKUP(GSX7,#REF!,4,FALSE)))=TRUE,VLOOKUP(GSX7,#REF!,3,FALSE),VLOOKUP(GSX7,#REF!,4,FALSE)),0)</f>
        <v/>
      </c>
      <c r="GSY1">
        <f>IFERROR(IF((ISBLANK(VLOOKUP(GSY7,#REF!,4,FALSE)))=TRUE,VLOOKUP(GSY7,#REF!,3,FALSE),VLOOKUP(GSY7,#REF!,4,FALSE)),0)</f>
        <v/>
      </c>
      <c r="GSZ1">
        <f>IFERROR(IF((ISBLANK(VLOOKUP(GSZ7,#REF!,4,FALSE)))=TRUE,VLOOKUP(GSZ7,#REF!,3,FALSE),VLOOKUP(GSZ7,#REF!,4,FALSE)),0)</f>
        <v/>
      </c>
      <c r="GTA1">
        <f>IFERROR(IF((ISBLANK(VLOOKUP(GTA7,#REF!,4,FALSE)))=TRUE,VLOOKUP(GTA7,#REF!,3,FALSE),VLOOKUP(GTA7,#REF!,4,FALSE)),0)</f>
        <v/>
      </c>
      <c r="GTB1">
        <f>IFERROR(IF((ISBLANK(VLOOKUP(GTB7,#REF!,4,FALSE)))=TRUE,VLOOKUP(GTB7,#REF!,3,FALSE),VLOOKUP(GTB7,#REF!,4,FALSE)),0)</f>
        <v/>
      </c>
      <c r="GTC1">
        <f>IFERROR(IF((ISBLANK(VLOOKUP(GTC7,#REF!,4,FALSE)))=TRUE,VLOOKUP(GTC7,#REF!,3,FALSE),VLOOKUP(GTC7,#REF!,4,FALSE)),0)</f>
        <v/>
      </c>
      <c r="GTD1">
        <f>IFERROR(IF((ISBLANK(VLOOKUP(GTD7,#REF!,4,FALSE)))=TRUE,VLOOKUP(GTD7,#REF!,3,FALSE),VLOOKUP(GTD7,#REF!,4,FALSE)),0)</f>
        <v/>
      </c>
      <c r="GTE1">
        <f>IFERROR(IF((ISBLANK(VLOOKUP(GTE7,#REF!,4,FALSE)))=TRUE,VLOOKUP(GTE7,#REF!,3,FALSE),VLOOKUP(GTE7,#REF!,4,FALSE)),0)</f>
        <v/>
      </c>
      <c r="GTF1">
        <f>IFERROR(IF((ISBLANK(VLOOKUP(GTF7,#REF!,4,FALSE)))=TRUE,VLOOKUP(GTF7,#REF!,3,FALSE),VLOOKUP(GTF7,#REF!,4,FALSE)),0)</f>
        <v/>
      </c>
      <c r="GTG1">
        <f>IFERROR(IF((ISBLANK(VLOOKUP(GTG7,#REF!,4,FALSE)))=TRUE,VLOOKUP(GTG7,#REF!,3,FALSE),VLOOKUP(GTG7,#REF!,4,FALSE)),0)</f>
        <v/>
      </c>
      <c r="GTH1">
        <f>IFERROR(IF((ISBLANK(VLOOKUP(GTH7,#REF!,4,FALSE)))=TRUE,VLOOKUP(GTH7,#REF!,3,FALSE),VLOOKUP(GTH7,#REF!,4,FALSE)),0)</f>
        <v/>
      </c>
      <c r="GTI1">
        <f>IFERROR(IF((ISBLANK(VLOOKUP(GTI7,#REF!,4,FALSE)))=TRUE,VLOOKUP(GTI7,#REF!,3,FALSE),VLOOKUP(GTI7,#REF!,4,FALSE)),0)</f>
        <v/>
      </c>
      <c r="GTJ1">
        <f>IFERROR(IF((ISBLANK(VLOOKUP(GTJ7,#REF!,4,FALSE)))=TRUE,VLOOKUP(GTJ7,#REF!,3,FALSE),VLOOKUP(GTJ7,#REF!,4,FALSE)),0)</f>
        <v/>
      </c>
      <c r="GTK1">
        <f>IFERROR(IF((ISBLANK(VLOOKUP(GTK7,#REF!,4,FALSE)))=TRUE,VLOOKUP(GTK7,#REF!,3,FALSE),VLOOKUP(GTK7,#REF!,4,FALSE)),0)</f>
        <v/>
      </c>
      <c r="GTL1">
        <f>IFERROR(IF((ISBLANK(VLOOKUP(GTL7,#REF!,4,FALSE)))=TRUE,VLOOKUP(GTL7,#REF!,3,FALSE),VLOOKUP(GTL7,#REF!,4,FALSE)),0)</f>
        <v/>
      </c>
      <c r="GTM1">
        <f>IFERROR(IF((ISBLANK(VLOOKUP(GTM7,#REF!,4,FALSE)))=TRUE,VLOOKUP(GTM7,#REF!,3,FALSE),VLOOKUP(GTM7,#REF!,4,FALSE)),0)</f>
        <v/>
      </c>
      <c r="GTN1">
        <f>IFERROR(IF((ISBLANK(VLOOKUP(GTN7,#REF!,4,FALSE)))=TRUE,VLOOKUP(GTN7,#REF!,3,FALSE),VLOOKUP(GTN7,#REF!,4,FALSE)),0)</f>
        <v/>
      </c>
      <c r="GTO1">
        <f>IFERROR(IF((ISBLANK(VLOOKUP(GTO7,#REF!,4,FALSE)))=TRUE,VLOOKUP(GTO7,#REF!,3,FALSE),VLOOKUP(GTO7,#REF!,4,FALSE)),0)</f>
        <v/>
      </c>
      <c r="GTP1">
        <f>IFERROR(IF((ISBLANK(VLOOKUP(GTP7,#REF!,4,FALSE)))=TRUE,VLOOKUP(GTP7,#REF!,3,FALSE),VLOOKUP(GTP7,#REF!,4,FALSE)),0)</f>
        <v/>
      </c>
      <c r="GTQ1">
        <f>IFERROR(IF((ISBLANK(VLOOKUP(GTQ7,#REF!,4,FALSE)))=TRUE,VLOOKUP(GTQ7,#REF!,3,FALSE),VLOOKUP(GTQ7,#REF!,4,FALSE)),0)</f>
        <v/>
      </c>
      <c r="GTR1">
        <f>IFERROR(IF((ISBLANK(VLOOKUP(GTR7,#REF!,4,FALSE)))=TRUE,VLOOKUP(GTR7,#REF!,3,FALSE),VLOOKUP(GTR7,#REF!,4,FALSE)),0)</f>
        <v/>
      </c>
      <c r="GTS1">
        <f>IFERROR(IF((ISBLANK(VLOOKUP(GTS7,#REF!,4,FALSE)))=TRUE,VLOOKUP(GTS7,#REF!,3,FALSE),VLOOKUP(GTS7,#REF!,4,FALSE)),0)</f>
        <v/>
      </c>
      <c r="GTT1">
        <f>IFERROR(IF((ISBLANK(VLOOKUP(GTT7,#REF!,4,FALSE)))=TRUE,VLOOKUP(GTT7,#REF!,3,FALSE),VLOOKUP(GTT7,#REF!,4,FALSE)),0)</f>
        <v/>
      </c>
      <c r="GTU1">
        <f>IFERROR(IF((ISBLANK(VLOOKUP(GTU7,#REF!,4,FALSE)))=TRUE,VLOOKUP(GTU7,#REF!,3,FALSE),VLOOKUP(GTU7,#REF!,4,FALSE)),0)</f>
        <v/>
      </c>
      <c r="GTV1">
        <f>IFERROR(IF((ISBLANK(VLOOKUP(GTV7,#REF!,4,FALSE)))=TRUE,VLOOKUP(GTV7,#REF!,3,FALSE),VLOOKUP(GTV7,#REF!,4,FALSE)),0)</f>
        <v/>
      </c>
      <c r="GTW1">
        <f>IFERROR(IF((ISBLANK(VLOOKUP(GTW7,#REF!,4,FALSE)))=TRUE,VLOOKUP(GTW7,#REF!,3,FALSE),VLOOKUP(GTW7,#REF!,4,FALSE)),0)</f>
        <v/>
      </c>
      <c r="GTX1">
        <f>IFERROR(IF((ISBLANK(VLOOKUP(GTX7,#REF!,4,FALSE)))=TRUE,VLOOKUP(GTX7,#REF!,3,FALSE),VLOOKUP(GTX7,#REF!,4,FALSE)),0)</f>
        <v/>
      </c>
      <c r="GTY1">
        <f>IFERROR(IF((ISBLANK(VLOOKUP(GTY7,#REF!,4,FALSE)))=TRUE,VLOOKUP(GTY7,#REF!,3,FALSE),VLOOKUP(GTY7,#REF!,4,FALSE)),0)</f>
        <v/>
      </c>
      <c r="GTZ1">
        <f>IFERROR(IF((ISBLANK(VLOOKUP(GTZ7,#REF!,4,FALSE)))=TRUE,VLOOKUP(GTZ7,#REF!,3,FALSE),VLOOKUP(GTZ7,#REF!,4,FALSE)),0)</f>
        <v/>
      </c>
      <c r="GUA1">
        <f>IFERROR(IF((ISBLANK(VLOOKUP(GUA7,#REF!,4,FALSE)))=TRUE,VLOOKUP(GUA7,#REF!,3,FALSE),VLOOKUP(GUA7,#REF!,4,FALSE)),0)</f>
        <v/>
      </c>
      <c r="GUB1">
        <f>IFERROR(IF((ISBLANK(VLOOKUP(GUB7,#REF!,4,FALSE)))=TRUE,VLOOKUP(GUB7,#REF!,3,FALSE),VLOOKUP(GUB7,#REF!,4,FALSE)),0)</f>
        <v/>
      </c>
      <c r="GUC1">
        <f>IFERROR(IF((ISBLANK(VLOOKUP(GUC7,#REF!,4,FALSE)))=TRUE,VLOOKUP(GUC7,#REF!,3,FALSE),VLOOKUP(GUC7,#REF!,4,FALSE)),0)</f>
        <v/>
      </c>
      <c r="GUD1">
        <f>IFERROR(IF((ISBLANK(VLOOKUP(GUD7,#REF!,4,FALSE)))=TRUE,VLOOKUP(GUD7,#REF!,3,FALSE),VLOOKUP(GUD7,#REF!,4,FALSE)),0)</f>
        <v/>
      </c>
      <c r="GUE1">
        <f>IFERROR(IF((ISBLANK(VLOOKUP(GUE7,#REF!,4,FALSE)))=TRUE,VLOOKUP(GUE7,#REF!,3,FALSE),VLOOKUP(GUE7,#REF!,4,FALSE)),0)</f>
        <v/>
      </c>
      <c r="GUF1">
        <f>IFERROR(IF((ISBLANK(VLOOKUP(GUF7,#REF!,4,FALSE)))=TRUE,VLOOKUP(GUF7,#REF!,3,FALSE),VLOOKUP(GUF7,#REF!,4,FALSE)),0)</f>
        <v/>
      </c>
      <c r="GUG1">
        <f>IFERROR(IF((ISBLANK(VLOOKUP(GUG7,#REF!,4,FALSE)))=TRUE,VLOOKUP(GUG7,#REF!,3,FALSE),VLOOKUP(GUG7,#REF!,4,FALSE)),0)</f>
        <v/>
      </c>
      <c r="GUH1">
        <f>IFERROR(IF((ISBLANK(VLOOKUP(GUH7,#REF!,4,FALSE)))=TRUE,VLOOKUP(GUH7,#REF!,3,FALSE),VLOOKUP(GUH7,#REF!,4,FALSE)),0)</f>
        <v/>
      </c>
      <c r="GUI1">
        <f>IFERROR(IF((ISBLANK(VLOOKUP(GUI7,#REF!,4,FALSE)))=TRUE,VLOOKUP(GUI7,#REF!,3,FALSE),VLOOKUP(GUI7,#REF!,4,FALSE)),0)</f>
        <v/>
      </c>
      <c r="GUJ1">
        <f>IFERROR(IF((ISBLANK(VLOOKUP(GUJ7,#REF!,4,FALSE)))=TRUE,VLOOKUP(GUJ7,#REF!,3,FALSE),VLOOKUP(GUJ7,#REF!,4,FALSE)),0)</f>
        <v/>
      </c>
      <c r="GUK1">
        <f>IFERROR(IF((ISBLANK(VLOOKUP(GUK7,#REF!,4,FALSE)))=TRUE,VLOOKUP(GUK7,#REF!,3,FALSE),VLOOKUP(GUK7,#REF!,4,FALSE)),0)</f>
        <v/>
      </c>
      <c r="GUL1">
        <f>IFERROR(IF((ISBLANK(VLOOKUP(GUL7,#REF!,4,FALSE)))=TRUE,VLOOKUP(GUL7,#REF!,3,FALSE),VLOOKUP(GUL7,#REF!,4,FALSE)),0)</f>
        <v/>
      </c>
      <c r="GUM1">
        <f>IFERROR(IF((ISBLANK(VLOOKUP(GUM7,#REF!,4,FALSE)))=TRUE,VLOOKUP(GUM7,#REF!,3,FALSE),VLOOKUP(GUM7,#REF!,4,FALSE)),0)</f>
        <v/>
      </c>
      <c r="GUN1">
        <f>IFERROR(IF((ISBLANK(VLOOKUP(GUN7,#REF!,4,FALSE)))=TRUE,VLOOKUP(GUN7,#REF!,3,FALSE),VLOOKUP(GUN7,#REF!,4,FALSE)),0)</f>
        <v/>
      </c>
      <c r="GUO1">
        <f>IFERROR(IF((ISBLANK(VLOOKUP(GUO7,#REF!,4,FALSE)))=TRUE,VLOOKUP(GUO7,#REF!,3,FALSE),VLOOKUP(GUO7,#REF!,4,FALSE)),0)</f>
        <v/>
      </c>
      <c r="GUP1">
        <f>IFERROR(IF((ISBLANK(VLOOKUP(GUP7,#REF!,4,FALSE)))=TRUE,VLOOKUP(GUP7,#REF!,3,FALSE),VLOOKUP(GUP7,#REF!,4,FALSE)),0)</f>
        <v/>
      </c>
      <c r="GUQ1">
        <f>IFERROR(IF((ISBLANK(VLOOKUP(GUQ7,#REF!,4,FALSE)))=TRUE,VLOOKUP(GUQ7,#REF!,3,FALSE),VLOOKUP(GUQ7,#REF!,4,FALSE)),0)</f>
        <v/>
      </c>
      <c r="GUR1">
        <f>IFERROR(IF((ISBLANK(VLOOKUP(GUR7,#REF!,4,FALSE)))=TRUE,VLOOKUP(GUR7,#REF!,3,FALSE),VLOOKUP(GUR7,#REF!,4,FALSE)),0)</f>
        <v/>
      </c>
      <c r="GUS1">
        <f>IFERROR(IF((ISBLANK(VLOOKUP(GUS7,#REF!,4,FALSE)))=TRUE,VLOOKUP(GUS7,#REF!,3,FALSE),VLOOKUP(GUS7,#REF!,4,FALSE)),0)</f>
        <v/>
      </c>
      <c r="GUT1">
        <f>IFERROR(IF((ISBLANK(VLOOKUP(GUT7,#REF!,4,FALSE)))=TRUE,VLOOKUP(GUT7,#REF!,3,FALSE),VLOOKUP(GUT7,#REF!,4,FALSE)),0)</f>
        <v/>
      </c>
      <c r="GUU1">
        <f>IFERROR(IF((ISBLANK(VLOOKUP(GUU7,#REF!,4,FALSE)))=TRUE,VLOOKUP(GUU7,#REF!,3,FALSE),VLOOKUP(GUU7,#REF!,4,FALSE)),0)</f>
        <v/>
      </c>
      <c r="GUV1">
        <f>IFERROR(IF((ISBLANK(VLOOKUP(GUV7,#REF!,4,FALSE)))=TRUE,VLOOKUP(GUV7,#REF!,3,FALSE),VLOOKUP(GUV7,#REF!,4,FALSE)),0)</f>
        <v/>
      </c>
      <c r="GUW1">
        <f>IFERROR(IF((ISBLANK(VLOOKUP(GUW7,#REF!,4,FALSE)))=TRUE,VLOOKUP(GUW7,#REF!,3,FALSE),VLOOKUP(GUW7,#REF!,4,FALSE)),0)</f>
        <v/>
      </c>
      <c r="GUX1">
        <f>IFERROR(IF((ISBLANK(VLOOKUP(GUX7,#REF!,4,FALSE)))=TRUE,VLOOKUP(GUX7,#REF!,3,FALSE),VLOOKUP(GUX7,#REF!,4,FALSE)),0)</f>
        <v/>
      </c>
      <c r="GUY1">
        <f>IFERROR(IF((ISBLANK(VLOOKUP(GUY7,#REF!,4,FALSE)))=TRUE,VLOOKUP(GUY7,#REF!,3,FALSE),VLOOKUP(GUY7,#REF!,4,FALSE)),0)</f>
        <v/>
      </c>
      <c r="GUZ1">
        <f>IFERROR(IF((ISBLANK(VLOOKUP(GUZ7,#REF!,4,FALSE)))=TRUE,VLOOKUP(GUZ7,#REF!,3,FALSE),VLOOKUP(GUZ7,#REF!,4,FALSE)),0)</f>
        <v/>
      </c>
      <c r="GVA1">
        <f>IFERROR(IF((ISBLANK(VLOOKUP(GVA7,#REF!,4,FALSE)))=TRUE,VLOOKUP(GVA7,#REF!,3,FALSE),VLOOKUP(GVA7,#REF!,4,FALSE)),0)</f>
        <v/>
      </c>
      <c r="GVB1">
        <f>IFERROR(IF((ISBLANK(VLOOKUP(GVB7,#REF!,4,FALSE)))=TRUE,VLOOKUP(GVB7,#REF!,3,FALSE),VLOOKUP(GVB7,#REF!,4,FALSE)),0)</f>
        <v/>
      </c>
      <c r="GVC1">
        <f>IFERROR(IF((ISBLANK(VLOOKUP(GVC7,#REF!,4,FALSE)))=TRUE,VLOOKUP(GVC7,#REF!,3,FALSE),VLOOKUP(GVC7,#REF!,4,FALSE)),0)</f>
        <v/>
      </c>
      <c r="GVD1">
        <f>IFERROR(IF((ISBLANK(VLOOKUP(GVD7,#REF!,4,FALSE)))=TRUE,VLOOKUP(GVD7,#REF!,3,FALSE),VLOOKUP(GVD7,#REF!,4,FALSE)),0)</f>
        <v/>
      </c>
      <c r="GVE1">
        <f>IFERROR(IF((ISBLANK(VLOOKUP(GVE7,#REF!,4,FALSE)))=TRUE,VLOOKUP(GVE7,#REF!,3,FALSE),VLOOKUP(GVE7,#REF!,4,FALSE)),0)</f>
        <v/>
      </c>
      <c r="GVF1">
        <f>IFERROR(IF((ISBLANK(VLOOKUP(GVF7,#REF!,4,FALSE)))=TRUE,VLOOKUP(GVF7,#REF!,3,FALSE),VLOOKUP(GVF7,#REF!,4,FALSE)),0)</f>
        <v/>
      </c>
      <c r="GVG1">
        <f>IFERROR(IF((ISBLANK(VLOOKUP(GVG7,#REF!,4,FALSE)))=TRUE,VLOOKUP(GVG7,#REF!,3,FALSE),VLOOKUP(GVG7,#REF!,4,FALSE)),0)</f>
        <v/>
      </c>
      <c r="GVH1">
        <f>IFERROR(IF((ISBLANK(VLOOKUP(GVH7,#REF!,4,FALSE)))=TRUE,VLOOKUP(GVH7,#REF!,3,FALSE),VLOOKUP(GVH7,#REF!,4,FALSE)),0)</f>
        <v/>
      </c>
      <c r="GVI1">
        <f>IFERROR(IF((ISBLANK(VLOOKUP(GVI7,#REF!,4,FALSE)))=TRUE,VLOOKUP(GVI7,#REF!,3,FALSE),VLOOKUP(GVI7,#REF!,4,FALSE)),0)</f>
        <v/>
      </c>
      <c r="GVJ1">
        <f>IFERROR(IF((ISBLANK(VLOOKUP(GVJ7,#REF!,4,FALSE)))=TRUE,VLOOKUP(GVJ7,#REF!,3,FALSE),VLOOKUP(GVJ7,#REF!,4,FALSE)),0)</f>
        <v/>
      </c>
      <c r="GVK1">
        <f>IFERROR(IF((ISBLANK(VLOOKUP(GVK7,#REF!,4,FALSE)))=TRUE,VLOOKUP(GVK7,#REF!,3,FALSE),VLOOKUP(GVK7,#REF!,4,FALSE)),0)</f>
        <v/>
      </c>
      <c r="GVL1">
        <f>IFERROR(IF((ISBLANK(VLOOKUP(GVL7,#REF!,4,FALSE)))=TRUE,VLOOKUP(GVL7,#REF!,3,FALSE),VLOOKUP(GVL7,#REF!,4,FALSE)),0)</f>
        <v/>
      </c>
      <c r="GVM1">
        <f>IFERROR(IF((ISBLANK(VLOOKUP(GVM7,#REF!,4,FALSE)))=TRUE,VLOOKUP(GVM7,#REF!,3,FALSE),VLOOKUP(GVM7,#REF!,4,FALSE)),0)</f>
        <v/>
      </c>
      <c r="GVN1">
        <f>IFERROR(IF((ISBLANK(VLOOKUP(GVN7,#REF!,4,FALSE)))=TRUE,VLOOKUP(GVN7,#REF!,3,FALSE),VLOOKUP(GVN7,#REF!,4,FALSE)),0)</f>
        <v/>
      </c>
      <c r="GVO1">
        <f>IFERROR(IF((ISBLANK(VLOOKUP(GVO7,#REF!,4,FALSE)))=TRUE,VLOOKUP(GVO7,#REF!,3,FALSE),VLOOKUP(GVO7,#REF!,4,FALSE)),0)</f>
        <v/>
      </c>
      <c r="GVP1">
        <f>IFERROR(IF((ISBLANK(VLOOKUP(GVP7,#REF!,4,FALSE)))=TRUE,VLOOKUP(GVP7,#REF!,3,FALSE),VLOOKUP(GVP7,#REF!,4,FALSE)),0)</f>
        <v/>
      </c>
      <c r="GVQ1">
        <f>IFERROR(IF((ISBLANK(VLOOKUP(GVQ7,#REF!,4,FALSE)))=TRUE,VLOOKUP(GVQ7,#REF!,3,FALSE),VLOOKUP(GVQ7,#REF!,4,FALSE)),0)</f>
        <v/>
      </c>
      <c r="GVR1">
        <f>IFERROR(IF((ISBLANK(VLOOKUP(GVR7,#REF!,4,FALSE)))=TRUE,VLOOKUP(GVR7,#REF!,3,FALSE),VLOOKUP(GVR7,#REF!,4,FALSE)),0)</f>
        <v/>
      </c>
      <c r="GVS1">
        <f>IFERROR(IF((ISBLANK(VLOOKUP(GVS7,#REF!,4,FALSE)))=TRUE,VLOOKUP(GVS7,#REF!,3,FALSE),VLOOKUP(GVS7,#REF!,4,FALSE)),0)</f>
        <v/>
      </c>
      <c r="GVT1">
        <f>IFERROR(IF((ISBLANK(VLOOKUP(GVT7,#REF!,4,FALSE)))=TRUE,VLOOKUP(GVT7,#REF!,3,FALSE),VLOOKUP(GVT7,#REF!,4,FALSE)),0)</f>
        <v/>
      </c>
      <c r="GVU1">
        <f>IFERROR(IF((ISBLANK(VLOOKUP(GVU7,#REF!,4,FALSE)))=TRUE,VLOOKUP(GVU7,#REF!,3,FALSE),VLOOKUP(GVU7,#REF!,4,FALSE)),0)</f>
        <v/>
      </c>
      <c r="GVV1">
        <f>IFERROR(IF((ISBLANK(VLOOKUP(GVV7,#REF!,4,FALSE)))=TRUE,VLOOKUP(GVV7,#REF!,3,FALSE),VLOOKUP(GVV7,#REF!,4,FALSE)),0)</f>
        <v/>
      </c>
      <c r="GVW1">
        <f>IFERROR(IF((ISBLANK(VLOOKUP(GVW7,#REF!,4,FALSE)))=TRUE,VLOOKUP(GVW7,#REF!,3,FALSE),VLOOKUP(GVW7,#REF!,4,FALSE)),0)</f>
        <v/>
      </c>
      <c r="GVX1">
        <f>IFERROR(IF((ISBLANK(VLOOKUP(GVX7,#REF!,4,FALSE)))=TRUE,VLOOKUP(GVX7,#REF!,3,FALSE),VLOOKUP(GVX7,#REF!,4,FALSE)),0)</f>
        <v/>
      </c>
      <c r="GVY1">
        <f>IFERROR(IF((ISBLANK(VLOOKUP(GVY7,#REF!,4,FALSE)))=TRUE,VLOOKUP(GVY7,#REF!,3,FALSE),VLOOKUP(GVY7,#REF!,4,FALSE)),0)</f>
        <v/>
      </c>
      <c r="GVZ1">
        <f>IFERROR(IF((ISBLANK(VLOOKUP(GVZ7,#REF!,4,FALSE)))=TRUE,VLOOKUP(GVZ7,#REF!,3,FALSE),VLOOKUP(GVZ7,#REF!,4,FALSE)),0)</f>
        <v/>
      </c>
      <c r="GWA1">
        <f>IFERROR(IF((ISBLANK(VLOOKUP(GWA7,#REF!,4,FALSE)))=TRUE,VLOOKUP(GWA7,#REF!,3,FALSE),VLOOKUP(GWA7,#REF!,4,FALSE)),0)</f>
        <v/>
      </c>
      <c r="GWB1">
        <f>IFERROR(IF((ISBLANK(VLOOKUP(GWB7,#REF!,4,FALSE)))=TRUE,VLOOKUP(GWB7,#REF!,3,FALSE),VLOOKUP(GWB7,#REF!,4,FALSE)),0)</f>
        <v/>
      </c>
      <c r="GWC1">
        <f>IFERROR(IF((ISBLANK(VLOOKUP(GWC7,#REF!,4,FALSE)))=TRUE,VLOOKUP(GWC7,#REF!,3,FALSE),VLOOKUP(GWC7,#REF!,4,FALSE)),0)</f>
        <v/>
      </c>
      <c r="GWD1">
        <f>IFERROR(IF((ISBLANK(VLOOKUP(GWD7,#REF!,4,FALSE)))=TRUE,VLOOKUP(GWD7,#REF!,3,FALSE),VLOOKUP(GWD7,#REF!,4,FALSE)),0)</f>
        <v/>
      </c>
      <c r="GWE1">
        <f>IFERROR(IF((ISBLANK(VLOOKUP(GWE7,#REF!,4,FALSE)))=TRUE,VLOOKUP(GWE7,#REF!,3,FALSE),VLOOKUP(GWE7,#REF!,4,FALSE)),0)</f>
        <v/>
      </c>
      <c r="GWF1">
        <f>IFERROR(IF((ISBLANK(VLOOKUP(GWF7,#REF!,4,FALSE)))=TRUE,VLOOKUP(GWF7,#REF!,3,FALSE),VLOOKUP(GWF7,#REF!,4,FALSE)),0)</f>
        <v/>
      </c>
      <c r="GWG1">
        <f>IFERROR(IF((ISBLANK(VLOOKUP(GWG7,#REF!,4,FALSE)))=TRUE,VLOOKUP(GWG7,#REF!,3,FALSE),VLOOKUP(GWG7,#REF!,4,FALSE)),0)</f>
        <v/>
      </c>
      <c r="GWH1">
        <f>IFERROR(IF((ISBLANK(VLOOKUP(GWH7,#REF!,4,FALSE)))=TRUE,VLOOKUP(GWH7,#REF!,3,FALSE),VLOOKUP(GWH7,#REF!,4,FALSE)),0)</f>
        <v/>
      </c>
      <c r="GWI1">
        <f>IFERROR(IF((ISBLANK(VLOOKUP(GWI7,#REF!,4,FALSE)))=TRUE,VLOOKUP(GWI7,#REF!,3,FALSE),VLOOKUP(GWI7,#REF!,4,FALSE)),0)</f>
        <v/>
      </c>
      <c r="GWJ1">
        <f>IFERROR(IF((ISBLANK(VLOOKUP(GWJ7,#REF!,4,FALSE)))=TRUE,VLOOKUP(GWJ7,#REF!,3,FALSE),VLOOKUP(GWJ7,#REF!,4,FALSE)),0)</f>
        <v/>
      </c>
      <c r="GWK1">
        <f>IFERROR(IF((ISBLANK(VLOOKUP(GWK7,#REF!,4,FALSE)))=TRUE,VLOOKUP(GWK7,#REF!,3,FALSE),VLOOKUP(GWK7,#REF!,4,FALSE)),0)</f>
        <v/>
      </c>
      <c r="GWL1">
        <f>IFERROR(IF((ISBLANK(VLOOKUP(GWL7,#REF!,4,FALSE)))=TRUE,VLOOKUP(GWL7,#REF!,3,FALSE),VLOOKUP(GWL7,#REF!,4,FALSE)),0)</f>
        <v/>
      </c>
      <c r="GWM1">
        <f>IFERROR(IF((ISBLANK(VLOOKUP(GWM7,#REF!,4,FALSE)))=TRUE,VLOOKUP(GWM7,#REF!,3,FALSE),VLOOKUP(GWM7,#REF!,4,FALSE)),0)</f>
        <v/>
      </c>
      <c r="GWN1">
        <f>IFERROR(IF((ISBLANK(VLOOKUP(GWN7,#REF!,4,FALSE)))=TRUE,VLOOKUP(GWN7,#REF!,3,FALSE),VLOOKUP(GWN7,#REF!,4,FALSE)),0)</f>
        <v/>
      </c>
      <c r="GWO1">
        <f>IFERROR(IF((ISBLANK(VLOOKUP(GWO7,#REF!,4,FALSE)))=TRUE,VLOOKUP(GWO7,#REF!,3,FALSE),VLOOKUP(GWO7,#REF!,4,FALSE)),0)</f>
        <v/>
      </c>
      <c r="GWP1">
        <f>IFERROR(IF((ISBLANK(VLOOKUP(GWP7,#REF!,4,FALSE)))=TRUE,VLOOKUP(GWP7,#REF!,3,FALSE),VLOOKUP(GWP7,#REF!,4,FALSE)),0)</f>
        <v/>
      </c>
      <c r="GWQ1">
        <f>IFERROR(IF((ISBLANK(VLOOKUP(GWQ7,#REF!,4,FALSE)))=TRUE,VLOOKUP(GWQ7,#REF!,3,FALSE),VLOOKUP(GWQ7,#REF!,4,FALSE)),0)</f>
        <v/>
      </c>
      <c r="GWR1">
        <f>IFERROR(IF((ISBLANK(VLOOKUP(GWR7,#REF!,4,FALSE)))=TRUE,VLOOKUP(GWR7,#REF!,3,FALSE),VLOOKUP(GWR7,#REF!,4,FALSE)),0)</f>
        <v/>
      </c>
      <c r="GWS1">
        <f>IFERROR(IF((ISBLANK(VLOOKUP(GWS7,#REF!,4,FALSE)))=TRUE,VLOOKUP(GWS7,#REF!,3,FALSE),VLOOKUP(GWS7,#REF!,4,FALSE)),0)</f>
        <v/>
      </c>
      <c r="GWT1">
        <f>IFERROR(IF((ISBLANK(VLOOKUP(GWT7,#REF!,4,FALSE)))=TRUE,VLOOKUP(GWT7,#REF!,3,FALSE),VLOOKUP(GWT7,#REF!,4,FALSE)),0)</f>
        <v/>
      </c>
      <c r="GWU1">
        <f>IFERROR(IF((ISBLANK(VLOOKUP(GWU7,#REF!,4,FALSE)))=TRUE,VLOOKUP(GWU7,#REF!,3,FALSE),VLOOKUP(GWU7,#REF!,4,FALSE)),0)</f>
        <v/>
      </c>
      <c r="GWV1">
        <f>IFERROR(IF((ISBLANK(VLOOKUP(GWV7,#REF!,4,FALSE)))=TRUE,VLOOKUP(GWV7,#REF!,3,FALSE),VLOOKUP(GWV7,#REF!,4,FALSE)),0)</f>
        <v/>
      </c>
      <c r="GWW1">
        <f>IFERROR(IF((ISBLANK(VLOOKUP(GWW7,#REF!,4,FALSE)))=TRUE,VLOOKUP(GWW7,#REF!,3,FALSE),VLOOKUP(GWW7,#REF!,4,FALSE)),0)</f>
        <v/>
      </c>
      <c r="GWX1">
        <f>IFERROR(IF((ISBLANK(VLOOKUP(GWX7,#REF!,4,FALSE)))=TRUE,VLOOKUP(GWX7,#REF!,3,FALSE),VLOOKUP(GWX7,#REF!,4,FALSE)),0)</f>
        <v/>
      </c>
      <c r="GWY1">
        <f>IFERROR(IF((ISBLANK(VLOOKUP(GWY7,#REF!,4,FALSE)))=TRUE,VLOOKUP(GWY7,#REF!,3,FALSE),VLOOKUP(GWY7,#REF!,4,FALSE)),0)</f>
        <v/>
      </c>
      <c r="GWZ1">
        <f>IFERROR(IF((ISBLANK(VLOOKUP(GWZ7,#REF!,4,FALSE)))=TRUE,VLOOKUP(GWZ7,#REF!,3,FALSE),VLOOKUP(GWZ7,#REF!,4,FALSE)),0)</f>
        <v/>
      </c>
      <c r="GXA1">
        <f>IFERROR(IF((ISBLANK(VLOOKUP(GXA7,#REF!,4,FALSE)))=TRUE,VLOOKUP(GXA7,#REF!,3,FALSE),VLOOKUP(GXA7,#REF!,4,FALSE)),0)</f>
        <v/>
      </c>
      <c r="GXB1">
        <f>IFERROR(IF((ISBLANK(VLOOKUP(GXB7,#REF!,4,FALSE)))=TRUE,VLOOKUP(GXB7,#REF!,3,FALSE),VLOOKUP(GXB7,#REF!,4,FALSE)),0)</f>
        <v/>
      </c>
      <c r="GXC1">
        <f>IFERROR(IF((ISBLANK(VLOOKUP(GXC7,#REF!,4,FALSE)))=TRUE,VLOOKUP(GXC7,#REF!,3,FALSE),VLOOKUP(GXC7,#REF!,4,FALSE)),0)</f>
        <v/>
      </c>
      <c r="GXD1">
        <f>IFERROR(IF((ISBLANK(VLOOKUP(GXD7,#REF!,4,FALSE)))=TRUE,VLOOKUP(GXD7,#REF!,3,FALSE),VLOOKUP(GXD7,#REF!,4,FALSE)),0)</f>
        <v/>
      </c>
      <c r="GXE1">
        <f>IFERROR(IF((ISBLANK(VLOOKUP(GXE7,#REF!,4,FALSE)))=TRUE,VLOOKUP(GXE7,#REF!,3,FALSE),VLOOKUP(GXE7,#REF!,4,FALSE)),0)</f>
        <v/>
      </c>
      <c r="GXF1">
        <f>IFERROR(IF((ISBLANK(VLOOKUP(GXF7,#REF!,4,FALSE)))=TRUE,VLOOKUP(GXF7,#REF!,3,FALSE),VLOOKUP(GXF7,#REF!,4,FALSE)),0)</f>
        <v/>
      </c>
      <c r="GXG1">
        <f>IFERROR(IF((ISBLANK(VLOOKUP(GXG7,#REF!,4,FALSE)))=TRUE,VLOOKUP(GXG7,#REF!,3,FALSE),VLOOKUP(GXG7,#REF!,4,FALSE)),0)</f>
        <v/>
      </c>
      <c r="GXH1">
        <f>IFERROR(IF((ISBLANK(VLOOKUP(GXH7,#REF!,4,FALSE)))=TRUE,VLOOKUP(GXH7,#REF!,3,FALSE),VLOOKUP(GXH7,#REF!,4,FALSE)),0)</f>
        <v/>
      </c>
      <c r="GXI1">
        <f>IFERROR(IF((ISBLANK(VLOOKUP(GXI7,#REF!,4,FALSE)))=TRUE,VLOOKUP(GXI7,#REF!,3,FALSE),VLOOKUP(GXI7,#REF!,4,FALSE)),0)</f>
        <v/>
      </c>
      <c r="GXJ1">
        <f>IFERROR(IF((ISBLANK(VLOOKUP(GXJ7,#REF!,4,FALSE)))=TRUE,VLOOKUP(GXJ7,#REF!,3,FALSE),VLOOKUP(GXJ7,#REF!,4,FALSE)),0)</f>
        <v/>
      </c>
      <c r="GXK1">
        <f>IFERROR(IF((ISBLANK(VLOOKUP(GXK7,#REF!,4,FALSE)))=TRUE,VLOOKUP(GXK7,#REF!,3,FALSE),VLOOKUP(GXK7,#REF!,4,FALSE)),0)</f>
        <v/>
      </c>
      <c r="GXL1">
        <f>IFERROR(IF((ISBLANK(VLOOKUP(GXL7,#REF!,4,FALSE)))=TRUE,VLOOKUP(GXL7,#REF!,3,FALSE),VLOOKUP(GXL7,#REF!,4,FALSE)),0)</f>
        <v/>
      </c>
      <c r="GXM1">
        <f>IFERROR(IF((ISBLANK(VLOOKUP(GXM7,#REF!,4,FALSE)))=TRUE,VLOOKUP(GXM7,#REF!,3,FALSE),VLOOKUP(GXM7,#REF!,4,FALSE)),0)</f>
        <v/>
      </c>
      <c r="GXN1">
        <f>IFERROR(IF((ISBLANK(VLOOKUP(GXN7,#REF!,4,FALSE)))=TRUE,VLOOKUP(GXN7,#REF!,3,FALSE),VLOOKUP(GXN7,#REF!,4,FALSE)),0)</f>
        <v/>
      </c>
      <c r="GXO1">
        <f>IFERROR(IF((ISBLANK(VLOOKUP(GXO7,#REF!,4,FALSE)))=TRUE,VLOOKUP(GXO7,#REF!,3,FALSE),VLOOKUP(GXO7,#REF!,4,FALSE)),0)</f>
        <v/>
      </c>
      <c r="GXP1">
        <f>IFERROR(IF((ISBLANK(VLOOKUP(GXP7,#REF!,4,FALSE)))=TRUE,VLOOKUP(GXP7,#REF!,3,FALSE),VLOOKUP(GXP7,#REF!,4,FALSE)),0)</f>
        <v/>
      </c>
      <c r="GXQ1">
        <f>IFERROR(IF((ISBLANK(VLOOKUP(GXQ7,#REF!,4,FALSE)))=TRUE,VLOOKUP(GXQ7,#REF!,3,FALSE),VLOOKUP(GXQ7,#REF!,4,FALSE)),0)</f>
        <v/>
      </c>
      <c r="GXR1">
        <f>IFERROR(IF((ISBLANK(VLOOKUP(GXR7,#REF!,4,FALSE)))=TRUE,VLOOKUP(GXR7,#REF!,3,FALSE),VLOOKUP(GXR7,#REF!,4,FALSE)),0)</f>
        <v/>
      </c>
      <c r="GXS1">
        <f>IFERROR(IF((ISBLANK(VLOOKUP(GXS7,#REF!,4,FALSE)))=TRUE,VLOOKUP(GXS7,#REF!,3,FALSE),VLOOKUP(GXS7,#REF!,4,FALSE)),0)</f>
        <v/>
      </c>
      <c r="GXT1">
        <f>IFERROR(IF((ISBLANK(VLOOKUP(GXT7,#REF!,4,FALSE)))=TRUE,VLOOKUP(GXT7,#REF!,3,FALSE),VLOOKUP(GXT7,#REF!,4,FALSE)),0)</f>
        <v/>
      </c>
      <c r="GXU1">
        <f>IFERROR(IF((ISBLANK(VLOOKUP(GXU7,#REF!,4,FALSE)))=TRUE,VLOOKUP(GXU7,#REF!,3,FALSE),VLOOKUP(GXU7,#REF!,4,FALSE)),0)</f>
        <v/>
      </c>
      <c r="GXV1">
        <f>IFERROR(IF((ISBLANK(VLOOKUP(GXV7,#REF!,4,FALSE)))=TRUE,VLOOKUP(GXV7,#REF!,3,FALSE),VLOOKUP(GXV7,#REF!,4,FALSE)),0)</f>
        <v/>
      </c>
      <c r="GXW1">
        <f>IFERROR(IF((ISBLANK(VLOOKUP(GXW7,#REF!,4,FALSE)))=TRUE,VLOOKUP(GXW7,#REF!,3,FALSE),VLOOKUP(GXW7,#REF!,4,FALSE)),0)</f>
        <v/>
      </c>
      <c r="GXX1">
        <f>IFERROR(IF((ISBLANK(VLOOKUP(GXX7,#REF!,4,FALSE)))=TRUE,VLOOKUP(GXX7,#REF!,3,FALSE),VLOOKUP(GXX7,#REF!,4,FALSE)),0)</f>
        <v/>
      </c>
      <c r="GXY1">
        <f>IFERROR(IF((ISBLANK(VLOOKUP(GXY7,#REF!,4,FALSE)))=TRUE,VLOOKUP(GXY7,#REF!,3,FALSE),VLOOKUP(GXY7,#REF!,4,FALSE)),0)</f>
        <v/>
      </c>
      <c r="GXZ1">
        <f>IFERROR(IF((ISBLANK(VLOOKUP(GXZ7,#REF!,4,FALSE)))=TRUE,VLOOKUP(GXZ7,#REF!,3,FALSE),VLOOKUP(GXZ7,#REF!,4,FALSE)),0)</f>
        <v/>
      </c>
      <c r="GYA1">
        <f>IFERROR(IF((ISBLANK(VLOOKUP(GYA7,#REF!,4,FALSE)))=TRUE,VLOOKUP(GYA7,#REF!,3,FALSE),VLOOKUP(GYA7,#REF!,4,FALSE)),0)</f>
        <v/>
      </c>
      <c r="GYB1">
        <f>IFERROR(IF((ISBLANK(VLOOKUP(GYB7,#REF!,4,FALSE)))=TRUE,VLOOKUP(GYB7,#REF!,3,FALSE),VLOOKUP(GYB7,#REF!,4,FALSE)),0)</f>
        <v/>
      </c>
      <c r="GYC1">
        <f>IFERROR(IF((ISBLANK(VLOOKUP(GYC7,#REF!,4,FALSE)))=TRUE,VLOOKUP(GYC7,#REF!,3,FALSE),VLOOKUP(GYC7,#REF!,4,FALSE)),0)</f>
        <v/>
      </c>
      <c r="GYD1">
        <f>IFERROR(IF((ISBLANK(VLOOKUP(GYD7,#REF!,4,FALSE)))=TRUE,VLOOKUP(GYD7,#REF!,3,FALSE),VLOOKUP(GYD7,#REF!,4,FALSE)),0)</f>
        <v/>
      </c>
      <c r="GYE1">
        <f>IFERROR(IF((ISBLANK(VLOOKUP(GYE7,#REF!,4,FALSE)))=TRUE,VLOOKUP(GYE7,#REF!,3,FALSE),VLOOKUP(GYE7,#REF!,4,FALSE)),0)</f>
        <v/>
      </c>
      <c r="GYF1">
        <f>IFERROR(IF((ISBLANK(VLOOKUP(GYF7,#REF!,4,FALSE)))=TRUE,VLOOKUP(GYF7,#REF!,3,FALSE),VLOOKUP(GYF7,#REF!,4,FALSE)),0)</f>
        <v/>
      </c>
      <c r="GYG1">
        <f>IFERROR(IF((ISBLANK(VLOOKUP(GYG7,#REF!,4,FALSE)))=TRUE,VLOOKUP(GYG7,#REF!,3,FALSE),VLOOKUP(GYG7,#REF!,4,FALSE)),0)</f>
        <v/>
      </c>
      <c r="GYH1">
        <f>IFERROR(IF((ISBLANK(VLOOKUP(GYH7,#REF!,4,FALSE)))=TRUE,VLOOKUP(GYH7,#REF!,3,FALSE),VLOOKUP(GYH7,#REF!,4,FALSE)),0)</f>
        <v/>
      </c>
      <c r="GYI1">
        <f>IFERROR(IF((ISBLANK(VLOOKUP(GYI7,#REF!,4,FALSE)))=TRUE,VLOOKUP(GYI7,#REF!,3,FALSE),VLOOKUP(GYI7,#REF!,4,FALSE)),0)</f>
        <v/>
      </c>
      <c r="GYJ1">
        <f>IFERROR(IF((ISBLANK(VLOOKUP(GYJ7,#REF!,4,FALSE)))=TRUE,VLOOKUP(GYJ7,#REF!,3,FALSE),VLOOKUP(GYJ7,#REF!,4,FALSE)),0)</f>
        <v/>
      </c>
      <c r="GYK1">
        <f>IFERROR(IF((ISBLANK(VLOOKUP(GYK7,#REF!,4,FALSE)))=TRUE,VLOOKUP(GYK7,#REF!,3,FALSE),VLOOKUP(GYK7,#REF!,4,FALSE)),0)</f>
        <v/>
      </c>
      <c r="GYL1">
        <f>IFERROR(IF((ISBLANK(VLOOKUP(GYL7,#REF!,4,FALSE)))=TRUE,VLOOKUP(GYL7,#REF!,3,FALSE),VLOOKUP(GYL7,#REF!,4,FALSE)),0)</f>
        <v/>
      </c>
      <c r="GYM1">
        <f>IFERROR(IF((ISBLANK(VLOOKUP(GYM7,#REF!,4,FALSE)))=TRUE,VLOOKUP(GYM7,#REF!,3,FALSE),VLOOKUP(GYM7,#REF!,4,FALSE)),0)</f>
        <v/>
      </c>
      <c r="GYN1">
        <f>IFERROR(IF((ISBLANK(VLOOKUP(GYN7,#REF!,4,FALSE)))=TRUE,VLOOKUP(GYN7,#REF!,3,FALSE),VLOOKUP(GYN7,#REF!,4,FALSE)),0)</f>
        <v/>
      </c>
      <c r="GYO1">
        <f>IFERROR(IF((ISBLANK(VLOOKUP(GYO7,#REF!,4,FALSE)))=TRUE,VLOOKUP(GYO7,#REF!,3,FALSE),VLOOKUP(GYO7,#REF!,4,FALSE)),0)</f>
        <v/>
      </c>
      <c r="GYP1">
        <f>IFERROR(IF((ISBLANK(VLOOKUP(GYP7,#REF!,4,FALSE)))=TRUE,VLOOKUP(GYP7,#REF!,3,FALSE),VLOOKUP(GYP7,#REF!,4,FALSE)),0)</f>
        <v/>
      </c>
      <c r="GYQ1">
        <f>IFERROR(IF((ISBLANK(VLOOKUP(GYQ7,#REF!,4,FALSE)))=TRUE,VLOOKUP(GYQ7,#REF!,3,FALSE),VLOOKUP(GYQ7,#REF!,4,FALSE)),0)</f>
        <v/>
      </c>
      <c r="GYR1">
        <f>IFERROR(IF((ISBLANK(VLOOKUP(GYR7,#REF!,4,FALSE)))=TRUE,VLOOKUP(GYR7,#REF!,3,FALSE),VLOOKUP(GYR7,#REF!,4,FALSE)),0)</f>
        <v/>
      </c>
      <c r="GYS1">
        <f>IFERROR(IF((ISBLANK(VLOOKUP(GYS7,#REF!,4,FALSE)))=TRUE,VLOOKUP(GYS7,#REF!,3,FALSE),VLOOKUP(GYS7,#REF!,4,FALSE)),0)</f>
        <v/>
      </c>
      <c r="GYT1">
        <f>IFERROR(IF((ISBLANK(VLOOKUP(GYT7,#REF!,4,FALSE)))=TRUE,VLOOKUP(GYT7,#REF!,3,FALSE),VLOOKUP(GYT7,#REF!,4,FALSE)),0)</f>
        <v/>
      </c>
      <c r="GYU1">
        <f>IFERROR(IF((ISBLANK(VLOOKUP(GYU7,#REF!,4,FALSE)))=TRUE,VLOOKUP(GYU7,#REF!,3,FALSE),VLOOKUP(GYU7,#REF!,4,FALSE)),0)</f>
        <v/>
      </c>
      <c r="GYV1">
        <f>IFERROR(IF((ISBLANK(VLOOKUP(GYV7,#REF!,4,FALSE)))=TRUE,VLOOKUP(GYV7,#REF!,3,FALSE),VLOOKUP(GYV7,#REF!,4,FALSE)),0)</f>
        <v/>
      </c>
      <c r="GYW1">
        <f>IFERROR(IF((ISBLANK(VLOOKUP(GYW7,#REF!,4,FALSE)))=TRUE,VLOOKUP(GYW7,#REF!,3,FALSE),VLOOKUP(GYW7,#REF!,4,FALSE)),0)</f>
        <v/>
      </c>
      <c r="GYX1">
        <f>IFERROR(IF((ISBLANK(VLOOKUP(GYX7,#REF!,4,FALSE)))=TRUE,VLOOKUP(GYX7,#REF!,3,FALSE),VLOOKUP(GYX7,#REF!,4,FALSE)),0)</f>
        <v/>
      </c>
      <c r="GYY1">
        <f>IFERROR(IF((ISBLANK(VLOOKUP(GYY7,#REF!,4,FALSE)))=TRUE,VLOOKUP(GYY7,#REF!,3,FALSE),VLOOKUP(GYY7,#REF!,4,FALSE)),0)</f>
        <v/>
      </c>
      <c r="GYZ1">
        <f>IFERROR(IF((ISBLANK(VLOOKUP(GYZ7,#REF!,4,FALSE)))=TRUE,VLOOKUP(GYZ7,#REF!,3,FALSE),VLOOKUP(GYZ7,#REF!,4,FALSE)),0)</f>
        <v/>
      </c>
      <c r="GZA1">
        <f>IFERROR(IF((ISBLANK(VLOOKUP(GZA7,#REF!,4,FALSE)))=TRUE,VLOOKUP(GZA7,#REF!,3,FALSE),VLOOKUP(GZA7,#REF!,4,FALSE)),0)</f>
        <v/>
      </c>
      <c r="GZB1">
        <f>IFERROR(IF((ISBLANK(VLOOKUP(GZB7,#REF!,4,FALSE)))=TRUE,VLOOKUP(GZB7,#REF!,3,FALSE),VLOOKUP(GZB7,#REF!,4,FALSE)),0)</f>
        <v/>
      </c>
      <c r="GZC1">
        <f>IFERROR(IF((ISBLANK(VLOOKUP(GZC7,#REF!,4,FALSE)))=TRUE,VLOOKUP(GZC7,#REF!,3,FALSE),VLOOKUP(GZC7,#REF!,4,FALSE)),0)</f>
        <v/>
      </c>
      <c r="GZD1">
        <f>IFERROR(IF((ISBLANK(VLOOKUP(GZD7,#REF!,4,FALSE)))=TRUE,VLOOKUP(GZD7,#REF!,3,FALSE),VLOOKUP(GZD7,#REF!,4,FALSE)),0)</f>
        <v/>
      </c>
      <c r="GZE1">
        <f>IFERROR(IF((ISBLANK(VLOOKUP(GZE7,#REF!,4,FALSE)))=TRUE,VLOOKUP(GZE7,#REF!,3,FALSE),VLOOKUP(GZE7,#REF!,4,FALSE)),0)</f>
        <v/>
      </c>
      <c r="GZF1">
        <f>IFERROR(IF((ISBLANK(VLOOKUP(GZF7,#REF!,4,FALSE)))=TRUE,VLOOKUP(GZF7,#REF!,3,FALSE),VLOOKUP(GZF7,#REF!,4,FALSE)),0)</f>
        <v/>
      </c>
      <c r="GZG1">
        <f>IFERROR(IF((ISBLANK(VLOOKUP(GZG7,#REF!,4,FALSE)))=TRUE,VLOOKUP(GZG7,#REF!,3,FALSE),VLOOKUP(GZG7,#REF!,4,FALSE)),0)</f>
        <v/>
      </c>
      <c r="GZH1">
        <f>IFERROR(IF((ISBLANK(VLOOKUP(GZH7,#REF!,4,FALSE)))=TRUE,VLOOKUP(GZH7,#REF!,3,FALSE),VLOOKUP(GZH7,#REF!,4,FALSE)),0)</f>
        <v/>
      </c>
      <c r="GZI1">
        <f>IFERROR(IF((ISBLANK(VLOOKUP(GZI7,#REF!,4,FALSE)))=TRUE,VLOOKUP(GZI7,#REF!,3,FALSE),VLOOKUP(GZI7,#REF!,4,FALSE)),0)</f>
        <v/>
      </c>
      <c r="GZJ1">
        <f>IFERROR(IF((ISBLANK(VLOOKUP(GZJ7,#REF!,4,FALSE)))=TRUE,VLOOKUP(GZJ7,#REF!,3,FALSE),VLOOKUP(GZJ7,#REF!,4,FALSE)),0)</f>
        <v/>
      </c>
      <c r="GZK1">
        <f>IFERROR(IF((ISBLANK(VLOOKUP(GZK7,#REF!,4,FALSE)))=TRUE,VLOOKUP(GZK7,#REF!,3,FALSE),VLOOKUP(GZK7,#REF!,4,FALSE)),0)</f>
        <v/>
      </c>
      <c r="GZL1">
        <f>IFERROR(IF((ISBLANK(VLOOKUP(GZL7,#REF!,4,FALSE)))=TRUE,VLOOKUP(GZL7,#REF!,3,FALSE),VLOOKUP(GZL7,#REF!,4,FALSE)),0)</f>
        <v/>
      </c>
      <c r="GZM1">
        <f>IFERROR(IF((ISBLANK(VLOOKUP(GZM7,#REF!,4,FALSE)))=TRUE,VLOOKUP(GZM7,#REF!,3,FALSE),VLOOKUP(GZM7,#REF!,4,FALSE)),0)</f>
        <v/>
      </c>
      <c r="GZN1">
        <f>IFERROR(IF((ISBLANK(VLOOKUP(GZN7,#REF!,4,FALSE)))=TRUE,VLOOKUP(GZN7,#REF!,3,FALSE),VLOOKUP(GZN7,#REF!,4,FALSE)),0)</f>
        <v/>
      </c>
      <c r="GZO1">
        <f>IFERROR(IF((ISBLANK(VLOOKUP(GZO7,#REF!,4,FALSE)))=TRUE,VLOOKUP(GZO7,#REF!,3,FALSE),VLOOKUP(GZO7,#REF!,4,FALSE)),0)</f>
        <v/>
      </c>
      <c r="GZP1">
        <f>IFERROR(IF((ISBLANK(VLOOKUP(GZP7,#REF!,4,FALSE)))=TRUE,VLOOKUP(GZP7,#REF!,3,FALSE),VLOOKUP(GZP7,#REF!,4,FALSE)),0)</f>
        <v/>
      </c>
      <c r="GZQ1">
        <f>IFERROR(IF((ISBLANK(VLOOKUP(GZQ7,#REF!,4,FALSE)))=TRUE,VLOOKUP(GZQ7,#REF!,3,FALSE),VLOOKUP(GZQ7,#REF!,4,FALSE)),0)</f>
        <v/>
      </c>
      <c r="GZR1">
        <f>IFERROR(IF((ISBLANK(VLOOKUP(GZR7,#REF!,4,FALSE)))=TRUE,VLOOKUP(GZR7,#REF!,3,FALSE),VLOOKUP(GZR7,#REF!,4,FALSE)),0)</f>
        <v/>
      </c>
      <c r="GZS1">
        <f>IFERROR(IF((ISBLANK(VLOOKUP(GZS7,#REF!,4,FALSE)))=TRUE,VLOOKUP(GZS7,#REF!,3,FALSE),VLOOKUP(GZS7,#REF!,4,FALSE)),0)</f>
        <v/>
      </c>
      <c r="GZT1">
        <f>IFERROR(IF((ISBLANK(VLOOKUP(GZT7,#REF!,4,FALSE)))=TRUE,VLOOKUP(GZT7,#REF!,3,FALSE),VLOOKUP(GZT7,#REF!,4,FALSE)),0)</f>
        <v/>
      </c>
      <c r="GZU1">
        <f>IFERROR(IF((ISBLANK(VLOOKUP(GZU7,#REF!,4,FALSE)))=TRUE,VLOOKUP(GZU7,#REF!,3,FALSE),VLOOKUP(GZU7,#REF!,4,FALSE)),0)</f>
        <v/>
      </c>
      <c r="GZV1">
        <f>IFERROR(IF((ISBLANK(VLOOKUP(GZV7,#REF!,4,FALSE)))=TRUE,VLOOKUP(GZV7,#REF!,3,FALSE),VLOOKUP(GZV7,#REF!,4,FALSE)),0)</f>
        <v/>
      </c>
      <c r="GZW1">
        <f>IFERROR(IF((ISBLANK(VLOOKUP(GZW7,#REF!,4,FALSE)))=TRUE,VLOOKUP(GZW7,#REF!,3,FALSE),VLOOKUP(GZW7,#REF!,4,FALSE)),0)</f>
        <v/>
      </c>
      <c r="GZX1">
        <f>IFERROR(IF((ISBLANK(VLOOKUP(GZX7,#REF!,4,FALSE)))=TRUE,VLOOKUP(GZX7,#REF!,3,FALSE),VLOOKUP(GZX7,#REF!,4,FALSE)),0)</f>
        <v/>
      </c>
      <c r="GZY1">
        <f>IFERROR(IF((ISBLANK(VLOOKUP(GZY7,#REF!,4,FALSE)))=TRUE,VLOOKUP(GZY7,#REF!,3,FALSE),VLOOKUP(GZY7,#REF!,4,FALSE)),0)</f>
        <v/>
      </c>
      <c r="GZZ1">
        <f>IFERROR(IF((ISBLANK(VLOOKUP(GZZ7,#REF!,4,FALSE)))=TRUE,VLOOKUP(GZZ7,#REF!,3,FALSE),VLOOKUP(GZZ7,#REF!,4,FALSE)),0)</f>
        <v/>
      </c>
      <c r="HAA1">
        <f>IFERROR(IF((ISBLANK(VLOOKUP(HAA7,#REF!,4,FALSE)))=TRUE,VLOOKUP(HAA7,#REF!,3,FALSE),VLOOKUP(HAA7,#REF!,4,FALSE)),0)</f>
        <v/>
      </c>
      <c r="HAB1">
        <f>IFERROR(IF((ISBLANK(VLOOKUP(HAB7,#REF!,4,FALSE)))=TRUE,VLOOKUP(HAB7,#REF!,3,FALSE),VLOOKUP(HAB7,#REF!,4,FALSE)),0)</f>
        <v/>
      </c>
      <c r="HAC1">
        <f>IFERROR(IF((ISBLANK(VLOOKUP(HAC7,#REF!,4,FALSE)))=TRUE,VLOOKUP(HAC7,#REF!,3,FALSE),VLOOKUP(HAC7,#REF!,4,FALSE)),0)</f>
        <v/>
      </c>
      <c r="HAD1">
        <f>IFERROR(IF((ISBLANK(VLOOKUP(HAD7,#REF!,4,FALSE)))=TRUE,VLOOKUP(HAD7,#REF!,3,FALSE),VLOOKUP(HAD7,#REF!,4,FALSE)),0)</f>
        <v/>
      </c>
      <c r="HAE1">
        <f>IFERROR(IF((ISBLANK(VLOOKUP(HAE7,#REF!,4,FALSE)))=TRUE,VLOOKUP(HAE7,#REF!,3,FALSE),VLOOKUP(HAE7,#REF!,4,FALSE)),0)</f>
        <v/>
      </c>
      <c r="HAF1">
        <f>IFERROR(IF((ISBLANK(VLOOKUP(HAF7,#REF!,4,FALSE)))=TRUE,VLOOKUP(HAF7,#REF!,3,FALSE),VLOOKUP(HAF7,#REF!,4,FALSE)),0)</f>
        <v/>
      </c>
      <c r="HAG1">
        <f>IFERROR(IF((ISBLANK(VLOOKUP(HAG7,#REF!,4,FALSE)))=TRUE,VLOOKUP(HAG7,#REF!,3,FALSE),VLOOKUP(HAG7,#REF!,4,FALSE)),0)</f>
        <v/>
      </c>
      <c r="HAH1">
        <f>IFERROR(IF((ISBLANK(VLOOKUP(HAH7,#REF!,4,FALSE)))=TRUE,VLOOKUP(HAH7,#REF!,3,FALSE),VLOOKUP(HAH7,#REF!,4,FALSE)),0)</f>
        <v/>
      </c>
      <c r="HAI1">
        <f>IFERROR(IF((ISBLANK(VLOOKUP(HAI7,#REF!,4,FALSE)))=TRUE,VLOOKUP(HAI7,#REF!,3,FALSE),VLOOKUP(HAI7,#REF!,4,FALSE)),0)</f>
        <v/>
      </c>
      <c r="HAJ1">
        <f>IFERROR(IF((ISBLANK(VLOOKUP(HAJ7,#REF!,4,FALSE)))=TRUE,VLOOKUP(HAJ7,#REF!,3,FALSE),VLOOKUP(HAJ7,#REF!,4,FALSE)),0)</f>
        <v/>
      </c>
      <c r="HAK1">
        <f>IFERROR(IF((ISBLANK(VLOOKUP(HAK7,#REF!,4,FALSE)))=TRUE,VLOOKUP(HAK7,#REF!,3,FALSE),VLOOKUP(HAK7,#REF!,4,FALSE)),0)</f>
        <v/>
      </c>
      <c r="HAL1">
        <f>IFERROR(IF((ISBLANK(VLOOKUP(HAL7,#REF!,4,FALSE)))=TRUE,VLOOKUP(HAL7,#REF!,3,FALSE),VLOOKUP(HAL7,#REF!,4,FALSE)),0)</f>
        <v/>
      </c>
      <c r="HAM1">
        <f>IFERROR(IF((ISBLANK(VLOOKUP(HAM7,#REF!,4,FALSE)))=TRUE,VLOOKUP(HAM7,#REF!,3,FALSE),VLOOKUP(HAM7,#REF!,4,FALSE)),0)</f>
        <v/>
      </c>
      <c r="HAN1">
        <f>IFERROR(IF((ISBLANK(VLOOKUP(HAN7,#REF!,4,FALSE)))=TRUE,VLOOKUP(HAN7,#REF!,3,FALSE),VLOOKUP(HAN7,#REF!,4,FALSE)),0)</f>
        <v/>
      </c>
      <c r="HAO1">
        <f>IFERROR(IF((ISBLANK(VLOOKUP(HAO7,#REF!,4,FALSE)))=TRUE,VLOOKUP(HAO7,#REF!,3,FALSE),VLOOKUP(HAO7,#REF!,4,FALSE)),0)</f>
        <v/>
      </c>
      <c r="HAP1">
        <f>IFERROR(IF((ISBLANK(VLOOKUP(HAP7,#REF!,4,FALSE)))=TRUE,VLOOKUP(HAP7,#REF!,3,FALSE),VLOOKUP(HAP7,#REF!,4,FALSE)),0)</f>
        <v/>
      </c>
      <c r="HAQ1">
        <f>IFERROR(IF((ISBLANK(VLOOKUP(HAQ7,#REF!,4,FALSE)))=TRUE,VLOOKUP(HAQ7,#REF!,3,FALSE),VLOOKUP(HAQ7,#REF!,4,FALSE)),0)</f>
        <v/>
      </c>
      <c r="HAR1">
        <f>IFERROR(IF((ISBLANK(VLOOKUP(HAR7,#REF!,4,FALSE)))=TRUE,VLOOKUP(HAR7,#REF!,3,FALSE),VLOOKUP(HAR7,#REF!,4,FALSE)),0)</f>
        <v/>
      </c>
      <c r="HAS1">
        <f>IFERROR(IF((ISBLANK(VLOOKUP(HAS7,#REF!,4,FALSE)))=TRUE,VLOOKUP(HAS7,#REF!,3,FALSE),VLOOKUP(HAS7,#REF!,4,FALSE)),0)</f>
        <v/>
      </c>
      <c r="HAT1">
        <f>IFERROR(IF((ISBLANK(VLOOKUP(HAT7,#REF!,4,FALSE)))=TRUE,VLOOKUP(HAT7,#REF!,3,FALSE),VLOOKUP(HAT7,#REF!,4,FALSE)),0)</f>
        <v/>
      </c>
      <c r="HAU1">
        <f>IFERROR(IF((ISBLANK(VLOOKUP(HAU7,#REF!,4,FALSE)))=TRUE,VLOOKUP(HAU7,#REF!,3,FALSE),VLOOKUP(HAU7,#REF!,4,FALSE)),0)</f>
        <v/>
      </c>
      <c r="HAV1">
        <f>IFERROR(IF((ISBLANK(VLOOKUP(HAV7,#REF!,4,FALSE)))=TRUE,VLOOKUP(HAV7,#REF!,3,FALSE),VLOOKUP(HAV7,#REF!,4,FALSE)),0)</f>
        <v/>
      </c>
      <c r="HAW1">
        <f>IFERROR(IF((ISBLANK(VLOOKUP(HAW7,#REF!,4,FALSE)))=TRUE,VLOOKUP(HAW7,#REF!,3,FALSE),VLOOKUP(HAW7,#REF!,4,FALSE)),0)</f>
        <v/>
      </c>
      <c r="HAX1">
        <f>IFERROR(IF((ISBLANK(VLOOKUP(HAX7,#REF!,4,FALSE)))=TRUE,VLOOKUP(HAX7,#REF!,3,FALSE),VLOOKUP(HAX7,#REF!,4,FALSE)),0)</f>
        <v/>
      </c>
      <c r="HAY1">
        <f>IFERROR(IF((ISBLANK(VLOOKUP(HAY7,#REF!,4,FALSE)))=TRUE,VLOOKUP(HAY7,#REF!,3,FALSE),VLOOKUP(HAY7,#REF!,4,FALSE)),0)</f>
        <v/>
      </c>
      <c r="HAZ1">
        <f>IFERROR(IF((ISBLANK(VLOOKUP(HAZ7,#REF!,4,FALSE)))=TRUE,VLOOKUP(HAZ7,#REF!,3,FALSE),VLOOKUP(HAZ7,#REF!,4,FALSE)),0)</f>
        <v/>
      </c>
      <c r="HBA1">
        <f>IFERROR(IF((ISBLANK(VLOOKUP(HBA7,#REF!,4,FALSE)))=TRUE,VLOOKUP(HBA7,#REF!,3,FALSE),VLOOKUP(HBA7,#REF!,4,FALSE)),0)</f>
        <v/>
      </c>
      <c r="HBB1">
        <f>IFERROR(IF((ISBLANK(VLOOKUP(HBB7,#REF!,4,FALSE)))=TRUE,VLOOKUP(HBB7,#REF!,3,FALSE),VLOOKUP(HBB7,#REF!,4,FALSE)),0)</f>
        <v/>
      </c>
      <c r="HBC1">
        <f>IFERROR(IF((ISBLANK(VLOOKUP(HBC7,#REF!,4,FALSE)))=TRUE,VLOOKUP(HBC7,#REF!,3,FALSE),VLOOKUP(HBC7,#REF!,4,FALSE)),0)</f>
        <v/>
      </c>
      <c r="HBD1">
        <f>IFERROR(IF((ISBLANK(VLOOKUP(HBD7,#REF!,4,FALSE)))=TRUE,VLOOKUP(HBD7,#REF!,3,FALSE),VLOOKUP(HBD7,#REF!,4,FALSE)),0)</f>
        <v/>
      </c>
      <c r="HBE1">
        <f>IFERROR(IF((ISBLANK(VLOOKUP(HBE7,#REF!,4,FALSE)))=TRUE,VLOOKUP(HBE7,#REF!,3,FALSE),VLOOKUP(HBE7,#REF!,4,FALSE)),0)</f>
        <v/>
      </c>
      <c r="HBF1">
        <f>IFERROR(IF((ISBLANK(VLOOKUP(HBF7,#REF!,4,FALSE)))=TRUE,VLOOKUP(HBF7,#REF!,3,FALSE),VLOOKUP(HBF7,#REF!,4,FALSE)),0)</f>
        <v/>
      </c>
      <c r="HBG1">
        <f>IFERROR(IF((ISBLANK(VLOOKUP(HBG7,#REF!,4,FALSE)))=TRUE,VLOOKUP(HBG7,#REF!,3,FALSE),VLOOKUP(HBG7,#REF!,4,FALSE)),0)</f>
        <v/>
      </c>
      <c r="HBH1">
        <f>IFERROR(IF((ISBLANK(VLOOKUP(HBH7,#REF!,4,FALSE)))=TRUE,VLOOKUP(HBH7,#REF!,3,FALSE),VLOOKUP(HBH7,#REF!,4,FALSE)),0)</f>
        <v/>
      </c>
      <c r="HBI1">
        <f>IFERROR(IF((ISBLANK(VLOOKUP(HBI7,#REF!,4,FALSE)))=TRUE,VLOOKUP(HBI7,#REF!,3,FALSE),VLOOKUP(HBI7,#REF!,4,FALSE)),0)</f>
        <v/>
      </c>
      <c r="HBJ1">
        <f>IFERROR(IF((ISBLANK(VLOOKUP(HBJ7,#REF!,4,FALSE)))=TRUE,VLOOKUP(HBJ7,#REF!,3,FALSE),VLOOKUP(HBJ7,#REF!,4,FALSE)),0)</f>
        <v/>
      </c>
      <c r="HBK1">
        <f>IFERROR(IF((ISBLANK(VLOOKUP(HBK7,#REF!,4,FALSE)))=TRUE,VLOOKUP(HBK7,#REF!,3,FALSE),VLOOKUP(HBK7,#REF!,4,FALSE)),0)</f>
        <v/>
      </c>
      <c r="HBL1">
        <f>IFERROR(IF((ISBLANK(VLOOKUP(HBL7,#REF!,4,FALSE)))=TRUE,VLOOKUP(HBL7,#REF!,3,FALSE),VLOOKUP(HBL7,#REF!,4,FALSE)),0)</f>
        <v/>
      </c>
      <c r="HBM1">
        <f>IFERROR(IF((ISBLANK(VLOOKUP(HBM7,#REF!,4,FALSE)))=TRUE,VLOOKUP(HBM7,#REF!,3,FALSE),VLOOKUP(HBM7,#REF!,4,FALSE)),0)</f>
        <v/>
      </c>
      <c r="HBN1">
        <f>IFERROR(IF((ISBLANK(VLOOKUP(HBN7,#REF!,4,FALSE)))=TRUE,VLOOKUP(HBN7,#REF!,3,FALSE),VLOOKUP(HBN7,#REF!,4,FALSE)),0)</f>
        <v/>
      </c>
      <c r="HBO1">
        <f>IFERROR(IF((ISBLANK(VLOOKUP(HBO7,#REF!,4,FALSE)))=TRUE,VLOOKUP(HBO7,#REF!,3,FALSE),VLOOKUP(HBO7,#REF!,4,FALSE)),0)</f>
        <v/>
      </c>
      <c r="HBP1">
        <f>IFERROR(IF((ISBLANK(VLOOKUP(HBP7,#REF!,4,FALSE)))=TRUE,VLOOKUP(HBP7,#REF!,3,FALSE),VLOOKUP(HBP7,#REF!,4,FALSE)),0)</f>
        <v/>
      </c>
      <c r="HBQ1">
        <f>IFERROR(IF((ISBLANK(VLOOKUP(HBQ7,#REF!,4,FALSE)))=TRUE,VLOOKUP(HBQ7,#REF!,3,FALSE),VLOOKUP(HBQ7,#REF!,4,FALSE)),0)</f>
        <v/>
      </c>
      <c r="HBR1">
        <f>IFERROR(IF((ISBLANK(VLOOKUP(HBR7,#REF!,4,FALSE)))=TRUE,VLOOKUP(HBR7,#REF!,3,FALSE),VLOOKUP(HBR7,#REF!,4,FALSE)),0)</f>
        <v/>
      </c>
      <c r="HBS1">
        <f>IFERROR(IF((ISBLANK(VLOOKUP(HBS7,#REF!,4,FALSE)))=TRUE,VLOOKUP(HBS7,#REF!,3,FALSE),VLOOKUP(HBS7,#REF!,4,FALSE)),0)</f>
        <v/>
      </c>
      <c r="HBT1">
        <f>IFERROR(IF((ISBLANK(VLOOKUP(HBT7,#REF!,4,FALSE)))=TRUE,VLOOKUP(HBT7,#REF!,3,FALSE),VLOOKUP(HBT7,#REF!,4,FALSE)),0)</f>
        <v/>
      </c>
      <c r="HBU1">
        <f>IFERROR(IF((ISBLANK(VLOOKUP(HBU7,#REF!,4,FALSE)))=TRUE,VLOOKUP(HBU7,#REF!,3,FALSE),VLOOKUP(HBU7,#REF!,4,FALSE)),0)</f>
        <v/>
      </c>
      <c r="HBV1">
        <f>IFERROR(IF((ISBLANK(VLOOKUP(HBV7,#REF!,4,FALSE)))=TRUE,VLOOKUP(HBV7,#REF!,3,FALSE),VLOOKUP(HBV7,#REF!,4,FALSE)),0)</f>
        <v/>
      </c>
      <c r="HBW1">
        <f>IFERROR(IF((ISBLANK(VLOOKUP(HBW7,#REF!,4,FALSE)))=TRUE,VLOOKUP(HBW7,#REF!,3,FALSE),VLOOKUP(HBW7,#REF!,4,FALSE)),0)</f>
        <v/>
      </c>
      <c r="HBX1">
        <f>IFERROR(IF((ISBLANK(VLOOKUP(HBX7,#REF!,4,FALSE)))=TRUE,VLOOKUP(HBX7,#REF!,3,FALSE),VLOOKUP(HBX7,#REF!,4,FALSE)),0)</f>
        <v/>
      </c>
      <c r="HBY1">
        <f>IFERROR(IF((ISBLANK(VLOOKUP(HBY7,#REF!,4,FALSE)))=TRUE,VLOOKUP(HBY7,#REF!,3,FALSE),VLOOKUP(HBY7,#REF!,4,FALSE)),0)</f>
        <v/>
      </c>
      <c r="HBZ1">
        <f>IFERROR(IF((ISBLANK(VLOOKUP(HBZ7,#REF!,4,FALSE)))=TRUE,VLOOKUP(HBZ7,#REF!,3,FALSE),VLOOKUP(HBZ7,#REF!,4,FALSE)),0)</f>
        <v/>
      </c>
      <c r="HCA1">
        <f>IFERROR(IF((ISBLANK(VLOOKUP(HCA7,#REF!,4,FALSE)))=TRUE,VLOOKUP(HCA7,#REF!,3,FALSE),VLOOKUP(HCA7,#REF!,4,FALSE)),0)</f>
        <v/>
      </c>
      <c r="HCB1">
        <f>IFERROR(IF((ISBLANK(VLOOKUP(HCB7,#REF!,4,FALSE)))=TRUE,VLOOKUP(HCB7,#REF!,3,FALSE),VLOOKUP(HCB7,#REF!,4,FALSE)),0)</f>
        <v/>
      </c>
      <c r="HCC1">
        <f>IFERROR(IF((ISBLANK(VLOOKUP(HCC7,#REF!,4,FALSE)))=TRUE,VLOOKUP(HCC7,#REF!,3,FALSE),VLOOKUP(HCC7,#REF!,4,FALSE)),0)</f>
        <v/>
      </c>
      <c r="HCD1">
        <f>IFERROR(IF((ISBLANK(VLOOKUP(HCD7,#REF!,4,FALSE)))=TRUE,VLOOKUP(HCD7,#REF!,3,FALSE),VLOOKUP(HCD7,#REF!,4,FALSE)),0)</f>
        <v/>
      </c>
      <c r="HCE1">
        <f>IFERROR(IF((ISBLANK(VLOOKUP(HCE7,#REF!,4,FALSE)))=TRUE,VLOOKUP(HCE7,#REF!,3,FALSE),VLOOKUP(HCE7,#REF!,4,FALSE)),0)</f>
        <v/>
      </c>
      <c r="HCF1">
        <f>IFERROR(IF((ISBLANK(VLOOKUP(HCF7,#REF!,4,FALSE)))=TRUE,VLOOKUP(HCF7,#REF!,3,FALSE),VLOOKUP(HCF7,#REF!,4,FALSE)),0)</f>
        <v/>
      </c>
      <c r="HCG1">
        <f>IFERROR(IF((ISBLANK(VLOOKUP(HCG7,#REF!,4,FALSE)))=TRUE,VLOOKUP(HCG7,#REF!,3,FALSE),VLOOKUP(HCG7,#REF!,4,FALSE)),0)</f>
        <v/>
      </c>
      <c r="HCH1">
        <f>IFERROR(IF((ISBLANK(VLOOKUP(HCH7,#REF!,4,FALSE)))=TRUE,VLOOKUP(HCH7,#REF!,3,FALSE),VLOOKUP(HCH7,#REF!,4,FALSE)),0)</f>
        <v/>
      </c>
      <c r="HCI1">
        <f>IFERROR(IF((ISBLANK(VLOOKUP(HCI7,#REF!,4,FALSE)))=TRUE,VLOOKUP(HCI7,#REF!,3,FALSE),VLOOKUP(HCI7,#REF!,4,FALSE)),0)</f>
        <v/>
      </c>
      <c r="HCJ1">
        <f>IFERROR(IF((ISBLANK(VLOOKUP(HCJ7,#REF!,4,FALSE)))=TRUE,VLOOKUP(HCJ7,#REF!,3,FALSE),VLOOKUP(HCJ7,#REF!,4,FALSE)),0)</f>
        <v/>
      </c>
      <c r="HCK1">
        <f>IFERROR(IF((ISBLANK(VLOOKUP(HCK7,#REF!,4,FALSE)))=TRUE,VLOOKUP(HCK7,#REF!,3,FALSE),VLOOKUP(HCK7,#REF!,4,FALSE)),0)</f>
        <v/>
      </c>
      <c r="HCL1">
        <f>IFERROR(IF((ISBLANK(VLOOKUP(HCL7,#REF!,4,FALSE)))=TRUE,VLOOKUP(HCL7,#REF!,3,FALSE),VLOOKUP(HCL7,#REF!,4,FALSE)),0)</f>
        <v/>
      </c>
      <c r="HCM1">
        <f>IFERROR(IF((ISBLANK(VLOOKUP(HCM7,#REF!,4,FALSE)))=TRUE,VLOOKUP(HCM7,#REF!,3,FALSE),VLOOKUP(HCM7,#REF!,4,FALSE)),0)</f>
        <v/>
      </c>
      <c r="HCN1">
        <f>IFERROR(IF((ISBLANK(VLOOKUP(HCN7,#REF!,4,FALSE)))=TRUE,VLOOKUP(HCN7,#REF!,3,FALSE),VLOOKUP(HCN7,#REF!,4,FALSE)),0)</f>
        <v/>
      </c>
      <c r="HCO1">
        <f>IFERROR(IF((ISBLANK(VLOOKUP(HCO7,#REF!,4,FALSE)))=TRUE,VLOOKUP(HCO7,#REF!,3,FALSE),VLOOKUP(HCO7,#REF!,4,FALSE)),0)</f>
        <v/>
      </c>
      <c r="HCP1">
        <f>IFERROR(IF((ISBLANK(VLOOKUP(HCP7,#REF!,4,FALSE)))=TRUE,VLOOKUP(HCP7,#REF!,3,FALSE),VLOOKUP(HCP7,#REF!,4,FALSE)),0)</f>
        <v/>
      </c>
      <c r="HCQ1">
        <f>IFERROR(IF((ISBLANK(VLOOKUP(HCQ7,#REF!,4,FALSE)))=TRUE,VLOOKUP(HCQ7,#REF!,3,FALSE),VLOOKUP(HCQ7,#REF!,4,FALSE)),0)</f>
        <v/>
      </c>
      <c r="HCR1">
        <f>IFERROR(IF((ISBLANK(VLOOKUP(HCR7,#REF!,4,FALSE)))=TRUE,VLOOKUP(HCR7,#REF!,3,FALSE),VLOOKUP(HCR7,#REF!,4,FALSE)),0)</f>
        <v/>
      </c>
      <c r="HCS1">
        <f>IFERROR(IF((ISBLANK(VLOOKUP(HCS7,#REF!,4,FALSE)))=TRUE,VLOOKUP(HCS7,#REF!,3,FALSE),VLOOKUP(HCS7,#REF!,4,FALSE)),0)</f>
        <v/>
      </c>
      <c r="HCT1">
        <f>IFERROR(IF((ISBLANK(VLOOKUP(HCT7,#REF!,4,FALSE)))=TRUE,VLOOKUP(HCT7,#REF!,3,FALSE),VLOOKUP(HCT7,#REF!,4,FALSE)),0)</f>
        <v/>
      </c>
      <c r="HCU1">
        <f>IFERROR(IF((ISBLANK(VLOOKUP(HCU7,#REF!,4,FALSE)))=TRUE,VLOOKUP(HCU7,#REF!,3,FALSE),VLOOKUP(HCU7,#REF!,4,FALSE)),0)</f>
        <v/>
      </c>
      <c r="HCV1">
        <f>IFERROR(IF((ISBLANK(VLOOKUP(HCV7,#REF!,4,FALSE)))=TRUE,VLOOKUP(HCV7,#REF!,3,FALSE),VLOOKUP(HCV7,#REF!,4,FALSE)),0)</f>
        <v/>
      </c>
      <c r="HCW1">
        <f>IFERROR(IF((ISBLANK(VLOOKUP(HCW7,#REF!,4,FALSE)))=TRUE,VLOOKUP(HCW7,#REF!,3,FALSE),VLOOKUP(HCW7,#REF!,4,FALSE)),0)</f>
        <v/>
      </c>
      <c r="HCX1">
        <f>IFERROR(IF((ISBLANK(VLOOKUP(HCX7,#REF!,4,FALSE)))=TRUE,VLOOKUP(HCX7,#REF!,3,FALSE),VLOOKUP(HCX7,#REF!,4,FALSE)),0)</f>
        <v/>
      </c>
      <c r="HCY1">
        <f>IFERROR(IF((ISBLANK(VLOOKUP(HCY7,#REF!,4,FALSE)))=TRUE,VLOOKUP(HCY7,#REF!,3,FALSE),VLOOKUP(HCY7,#REF!,4,FALSE)),0)</f>
        <v/>
      </c>
      <c r="HCZ1">
        <f>IFERROR(IF((ISBLANK(VLOOKUP(HCZ7,#REF!,4,FALSE)))=TRUE,VLOOKUP(HCZ7,#REF!,3,FALSE),VLOOKUP(HCZ7,#REF!,4,FALSE)),0)</f>
        <v/>
      </c>
      <c r="HDA1">
        <f>IFERROR(IF((ISBLANK(VLOOKUP(HDA7,#REF!,4,FALSE)))=TRUE,VLOOKUP(HDA7,#REF!,3,FALSE),VLOOKUP(HDA7,#REF!,4,FALSE)),0)</f>
        <v/>
      </c>
      <c r="HDB1">
        <f>IFERROR(IF((ISBLANK(VLOOKUP(HDB7,#REF!,4,FALSE)))=TRUE,VLOOKUP(HDB7,#REF!,3,FALSE),VLOOKUP(HDB7,#REF!,4,FALSE)),0)</f>
        <v/>
      </c>
      <c r="HDC1">
        <f>IFERROR(IF((ISBLANK(VLOOKUP(HDC7,#REF!,4,FALSE)))=TRUE,VLOOKUP(HDC7,#REF!,3,FALSE),VLOOKUP(HDC7,#REF!,4,FALSE)),0)</f>
        <v/>
      </c>
      <c r="HDD1">
        <f>IFERROR(IF((ISBLANK(VLOOKUP(HDD7,#REF!,4,FALSE)))=TRUE,VLOOKUP(HDD7,#REF!,3,FALSE),VLOOKUP(HDD7,#REF!,4,FALSE)),0)</f>
        <v/>
      </c>
      <c r="HDE1">
        <f>IFERROR(IF((ISBLANK(VLOOKUP(HDE7,#REF!,4,FALSE)))=TRUE,VLOOKUP(HDE7,#REF!,3,FALSE),VLOOKUP(HDE7,#REF!,4,FALSE)),0)</f>
        <v/>
      </c>
      <c r="HDF1">
        <f>IFERROR(IF((ISBLANK(VLOOKUP(HDF7,#REF!,4,FALSE)))=TRUE,VLOOKUP(HDF7,#REF!,3,FALSE),VLOOKUP(HDF7,#REF!,4,FALSE)),0)</f>
        <v/>
      </c>
      <c r="HDG1">
        <f>IFERROR(IF((ISBLANK(VLOOKUP(HDG7,#REF!,4,FALSE)))=TRUE,VLOOKUP(HDG7,#REF!,3,FALSE),VLOOKUP(HDG7,#REF!,4,FALSE)),0)</f>
        <v/>
      </c>
      <c r="HDH1">
        <f>IFERROR(IF((ISBLANK(VLOOKUP(HDH7,#REF!,4,FALSE)))=TRUE,VLOOKUP(HDH7,#REF!,3,FALSE),VLOOKUP(HDH7,#REF!,4,FALSE)),0)</f>
        <v/>
      </c>
      <c r="HDI1">
        <f>IFERROR(IF((ISBLANK(VLOOKUP(HDI7,#REF!,4,FALSE)))=TRUE,VLOOKUP(HDI7,#REF!,3,FALSE),VLOOKUP(HDI7,#REF!,4,FALSE)),0)</f>
        <v/>
      </c>
      <c r="HDJ1">
        <f>IFERROR(IF((ISBLANK(VLOOKUP(HDJ7,#REF!,4,FALSE)))=TRUE,VLOOKUP(HDJ7,#REF!,3,FALSE),VLOOKUP(HDJ7,#REF!,4,FALSE)),0)</f>
        <v/>
      </c>
      <c r="HDK1">
        <f>IFERROR(IF((ISBLANK(VLOOKUP(HDK7,#REF!,4,FALSE)))=TRUE,VLOOKUP(HDK7,#REF!,3,FALSE),VLOOKUP(HDK7,#REF!,4,FALSE)),0)</f>
        <v/>
      </c>
      <c r="HDL1">
        <f>IFERROR(IF((ISBLANK(VLOOKUP(HDL7,#REF!,4,FALSE)))=TRUE,VLOOKUP(HDL7,#REF!,3,FALSE),VLOOKUP(HDL7,#REF!,4,FALSE)),0)</f>
        <v/>
      </c>
      <c r="HDM1">
        <f>IFERROR(IF((ISBLANK(VLOOKUP(HDM7,#REF!,4,FALSE)))=TRUE,VLOOKUP(HDM7,#REF!,3,FALSE),VLOOKUP(HDM7,#REF!,4,FALSE)),0)</f>
        <v/>
      </c>
      <c r="HDN1">
        <f>IFERROR(IF((ISBLANK(VLOOKUP(HDN7,#REF!,4,FALSE)))=TRUE,VLOOKUP(HDN7,#REF!,3,FALSE),VLOOKUP(HDN7,#REF!,4,FALSE)),0)</f>
        <v/>
      </c>
      <c r="HDO1">
        <f>IFERROR(IF((ISBLANK(VLOOKUP(HDO7,#REF!,4,FALSE)))=TRUE,VLOOKUP(HDO7,#REF!,3,FALSE),VLOOKUP(HDO7,#REF!,4,FALSE)),0)</f>
        <v/>
      </c>
      <c r="HDP1">
        <f>IFERROR(IF((ISBLANK(VLOOKUP(HDP7,#REF!,4,FALSE)))=TRUE,VLOOKUP(HDP7,#REF!,3,FALSE),VLOOKUP(HDP7,#REF!,4,FALSE)),0)</f>
        <v/>
      </c>
      <c r="HDQ1">
        <f>IFERROR(IF((ISBLANK(VLOOKUP(HDQ7,#REF!,4,FALSE)))=TRUE,VLOOKUP(HDQ7,#REF!,3,FALSE),VLOOKUP(HDQ7,#REF!,4,FALSE)),0)</f>
        <v/>
      </c>
      <c r="HDR1">
        <f>IFERROR(IF((ISBLANK(VLOOKUP(HDR7,#REF!,4,FALSE)))=TRUE,VLOOKUP(HDR7,#REF!,3,FALSE),VLOOKUP(HDR7,#REF!,4,FALSE)),0)</f>
        <v/>
      </c>
      <c r="HDS1">
        <f>IFERROR(IF((ISBLANK(VLOOKUP(HDS7,#REF!,4,FALSE)))=TRUE,VLOOKUP(HDS7,#REF!,3,FALSE),VLOOKUP(HDS7,#REF!,4,FALSE)),0)</f>
        <v/>
      </c>
      <c r="HDT1">
        <f>IFERROR(IF((ISBLANK(VLOOKUP(HDT7,#REF!,4,FALSE)))=TRUE,VLOOKUP(HDT7,#REF!,3,FALSE),VLOOKUP(HDT7,#REF!,4,FALSE)),0)</f>
        <v/>
      </c>
      <c r="HDU1">
        <f>IFERROR(IF((ISBLANK(VLOOKUP(HDU7,#REF!,4,FALSE)))=TRUE,VLOOKUP(HDU7,#REF!,3,FALSE),VLOOKUP(HDU7,#REF!,4,FALSE)),0)</f>
        <v/>
      </c>
      <c r="HDV1">
        <f>IFERROR(IF((ISBLANK(VLOOKUP(HDV7,#REF!,4,FALSE)))=TRUE,VLOOKUP(HDV7,#REF!,3,FALSE),VLOOKUP(HDV7,#REF!,4,FALSE)),0)</f>
        <v/>
      </c>
      <c r="HDW1">
        <f>IFERROR(IF((ISBLANK(VLOOKUP(HDW7,#REF!,4,FALSE)))=TRUE,VLOOKUP(HDW7,#REF!,3,FALSE),VLOOKUP(HDW7,#REF!,4,FALSE)),0)</f>
        <v/>
      </c>
      <c r="HDX1">
        <f>IFERROR(IF((ISBLANK(VLOOKUP(HDX7,#REF!,4,FALSE)))=TRUE,VLOOKUP(HDX7,#REF!,3,FALSE),VLOOKUP(HDX7,#REF!,4,FALSE)),0)</f>
        <v/>
      </c>
      <c r="HDY1">
        <f>IFERROR(IF((ISBLANK(VLOOKUP(HDY7,#REF!,4,FALSE)))=TRUE,VLOOKUP(HDY7,#REF!,3,FALSE),VLOOKUP(HDY7,#REF!,4,FALSE)),0)</f>
        <v/>
      </c>
      <c r="HDZ1">
        <f>IFERROR(IF((ISBLANK(VLOOKUP(HDZ7,#REF!,4,FALSE)))=TRUE,VLOOKUP(HDZ7,#REF!,3,FALSE),VLOOKUP(HDZ7,#REF!,4,FALSE)),0)</f>
        <v/>
      </c>
      <c r="HEA1">
        <f>IFERROR(IF((ISBLANK(VLOOKUP(HEA7,#REF!,4,FALSE)))=TRUE,VLOOKUP(HEA7,#REF!,3,FALSE),VLOOKUP(HEA7,#REF!,4,FALSE)),0)</f>
        <v/>
      </c>
      <c r="HEB1">
        <f>IFERROR(IF((ISBLANK(VLOOKUP(HEB7,#REF!,4,FALSE)))=TRUE,VLOOKUP(HEB7,#REF!,3,FALSE),VLOOKUP(HEB7,#REF!,4,FALSE)),0)</f>
        <v/>
      </c>
      <c r="HEC1">
        <f>IFERROR(IF((ISBLANK(VLOOKUP(HEC7,#REF!,4,FALSE)))=TRUE,VLOOKUP(HEC7,#REF!,3,FALSE),VLOOKUP(HEC7,#REF!,4,FALSE)),0)</f>
        <v/>
      </c>
      <c r="HED1">
        <f>IFERROR(IF((ISBLANK(VLOOKUP(HED7,#REF!,4,FALSE)))=TRUE,VLOOKUP(HED7,#REF!,3,FALSE),VLOOKUP(HED7,#REF!,4,FALSE)),0)</f>
        <v/>
      </c>
      <c r="HEE1">
        <f>IFERROR(IF((ISBLANK(VLOOKUP(HEE7,#REF!,4,FALSE)))=TRUE,VLOOKUP(HEE7,#REF!,3,FALSE),VLOOKUP(HEE7,#REF!,4,FALSE)),0)</f>
        <v/>
      </c>
      <c r="HEF1">
        <f>IFERROR(IF((ISBLANK(VLOOKUP(HEF7,#REF!,4,FALSE)))=TRUE,VLOOKUP(HEF7,#REF!,3,FALSE),VLOOKUP(HEF7,#REF!,4,FALSE)),0)</f>
        <v/>
      </c>
      <c r="HEG1">
        <f>IFERROR(IF((ISBLANK(VLOOKUP(HEG7,#REF!,4,FALSE)))=TRUE,VLOOKUP(HEG7,#REF!,3,FALSE),VLOOKUP(HEG7,#REF!,4,FALSE)),0)</f>
        <v/>
      </c>
      <c r="HEH1">
        <f>IFERROR(IF((ISBLANK(VLOOKUP(HEH7,#REF!,4,FALSE)))=TRUE,VLOOKUP(HEH7,#REF!,3,FALSE),VLOOKUP(HEH7,#REF!,4,FALSE)),0)</f>
        <v/>
      </c>
      <c r="HEI1">
        <f>IFERROR(IF((ISBLANK(VLOOKUP(HEI7,#REF!,4,FALSE)))=TRUE,VLOOKUP(HEI7,#REF!,3,FALSE),VLOOKUP(HEI7,#REF!,4,FALSE)),0)</f>
        <v/>
      </c>
      <c r="HEJ1">
        <f>IFERROR(IF((ISBLANK(VLOOKUP(HEJ7,#REF!,4,FALSE)))=TRUE,VLOOKUP(HEJ7,#REF!,3,FALSE),VLOOKUP(HEJ7,#REF!,4,FALSE)),0)</f>
        <v/>
      </c>
      <c r="HEK1">
        <f>IFERROR(IF((ISBLANK(VLOOKUP(HEK7,#REF!,4,FALSE)))=TRUE,VLOOKUP(HEK7,#REF!,3,FALSE),VLOOKUP(HEK7,#REF!,4,FALSE)),0)</f>
        <v/>
      </c>
      <c r="HEL1">
        <f>IFERROR(IF((ISBLANK(VLOOKUP(HEL7,#REF!,4,FALSE)))=TRUE,VLOOKUP(HEL7,#REF!,3,FALSE),VLOOKUP(HEL7,#REF!,4,FALSE)),0)</f>
        <v/>
      </c>
      <c r="HEM1">
        <f>IFERROR(IF((ISBLANK(VLOOKUP(HEM7,#REF!,4,FALSE)))=TRUE,VLOOKUP(HEM7,#REF!,3,FALSE),VLOOKUP(HEM7,#REF!,4,FALSE)),0)</f>
        <v/>
      </c>
      <c r="HEN1">
        <f>IFERROR(IF((ISBLANK(VLOOKUP(HEN7,#REF!,4,FALSE)))=TRUE,VLOOKUP(HEN7,#REF!,3,FALSE),VLOOKUP(HEN7,#REF!,4,FALSE)),0)</f>
        <v/>
      </c>
      <c r="HEO1">
        <f>IFERROR(IF((ISBLANK(VLOOKUP(HEO7,#REF!,4,FALSE)))=TRUE,VLOOKUP(HEO7,#REF!,3,FALSE),VLOOKUP(HEO7,#REF!,4,FALSE)),0)</f>
        <v/>
      </c>
      <c r="HEP1">
        <f>IFERROR(IF((ISBLANK(VLOOKUP(HEP7,#REF!,4,FALSE)))=TRUE,VLOOKUP(HEP7,#REF!,3,FALSE),VLOOKUP(HEP7,#REF!,4,FALSE)),0)</f>
        <v/>
      </c>
      <c r="HEQ1">
        <f>IFERROR(IF((ISBLANK(VLOOKUP(HEQ7,#REF!,4,FALSE)))=TRUE,VLOOKUP(HEQ7,#REF!,3,FALSE),VLOOKUP(HEQ7,#REF!,4,FALSE)),0)</f>
        <v/>
      </c>
      <c r="HER1">
        <f>IFERROR(IF((ISBLANK(VLOOKUP(HER7,#REF!,4,FALSE)))=TRUE,VLOOKUP(HER7,#REF!,3,FALSE),VLOOKUP(HER7,#REF!,4,FALSE)),0)</f>
        <v/>
      </c>
      <c r="HES1">
        <f>IFERROR(IF((ISBLANK(VLOOKUP(HES7,#REF!,4,FALSE)))=TRUE,VLOOKUP(HES7,#REF!,3,FALSE),VLOOKUP(HES7,#REF!,4,FALSE)),0)</f>
        <v/>
      </c>
      <c r="HET1">
        <f>IFERROR(IF((ISBLANK(VLOOKUP(HET7,#REF!,4,FALSE)))=TRUE,VLOOKUP(HET7,#REF!,3,FALSE),VLOOKUP(HET7,#REF!,4,FALSE)),0)</f>
        <v/>
      </c>
      <c r="HEU1">
        <f>IFERROR(IF((ISBLANK(VLOOKUP(HEU7,#REF!,4,FALSE)))=TRUE,VLOOKUP(HEU7,#REF!,3,FALSE),VLOOKUP(HEU7,#REF!,4,FALSE)),0)</f>
        <v/>
      </c>
      <c r="HEV1">
        <f>IFERROR(IF((ISBLANK(VLOOKUP(HEV7,#REF!,4,FALSE)))=TRUE,VLOOKUP(HEV7,#REF!,3,FALSE),VLOOKUP(HEV7,#REF!,4,FALSE)),0)</f>
        <v/>
      </c>
      <c r="HEW1">
        <f>IFERROR(IF((ISBLANK(VLOOKUP(HEW7,#REF!,4,FALSE)))=TRUE,VLOOKUP(HEW7,#REF!,3,FALSE),VLOOKUP(HEW7,#REF!,4,FALSE)),0)</f>
        <v/>
      </c>
      <c r="HEX1">
        <f>IFERROR(IF((ISBLANK(VLOOKUP(HEX7,#REF!,4,FALSE)))=TRUE,VLOOKUP(HEX7,#REF!,3,FALSE),VLOOKUP(HEX7,#REF!,4,FALSE)),0)</f>
        <v/>
      </c>
      <c r="HEY1">
        <f>IFERROR(IF((ISBLANK(VLOOKUP(HEY7,#REF!,4,FALSE)))=TRUE,VLOOKUP(HEY7,#REF!,3,FALSE),VLOOKUP(HEY7,#REF!,4,FALSE)),0)</f>
        <v/>
      </c>
      <c r="HEZ1">
        <f>IFERROR(IF((ISBLANK(VLOOKUP(HEZ7,#REF!,4,FALSE)))=TRUE,VLOOKUP(HEZ7,#REF!,3,FALSE),VLOOKUP(HEZ7,#REF!,4,FALSE)),0)</f>
        <v/>
      </c>
      <c r="HFA1">
        <f>IFERROR(IF((ISBLANK(VLOOKUP(HFA7,#REF!,4,FALSE)))=TRUE,VLOOKUP(HFA7,#REF!,3,FALSE),VLOOKUP(HFA7,#REF!,4,FALSE)),0)</f>
        <v/>
      </c>
      <c r="HFB1">
        <f>IFERROR(IF((ISBLANK(VLOOKUP(HFB7,#REF!,4,FALSE)))=TRUE,VLOOKUP(HFB7,#REF!,3,FALSE),VLOOKUP(HFB7,#REF!,4,FALSE)),0)</f>
        <v/>
      </c>
      <c r="HFC1">
        <f>IFERROR(IF((ISBLANK(VLOOKUP(HFC7,#REF!,4,FALSE)))=TRUE,VLOOKUP(HFC7,#REF!,3,FALSE),VLOOKUP(HFC7,#REF!,4,FALSE)),0)</f>
        <v/>
      </c>
      <c r="HFD1">
        <f>IF(#REF!="Skip to main content","FILED","NOT FILED")</f>
        <v/>
      </c>
      <c r="HFE1">
        <f>RIGHT(#REF!,2)</f>
        <v/>
      </c>
      <c r="HFF1">
        <f>IFERROR(VLOOKUP(RIGHT(#REF!,6),#REF!,2,FALSE),0)</f>
        <v/>
      </c>
      <c r="HFG1">
        <f>IFERROR(IF((ISBLANK(VLOOKUP(HFG7,#REF!,3,FALSE)))=TRUE,VLOOKUP(HFG7,#REF!,2,FALSE),VLOOKUP(HFG7,#REF!,3,FALSE)),0)</f>
        <v/>
      </c>
      <c r="HFH1">
        <f>IFERROR(IF((ISBLANK(VLOOKUP(HFH7,#REF!,3,FALSE)))=TRUE,VLOOKUP(HFH7,#REF!,2,FALSE),VLOOKUP(HFH7,#REF!,3,FALSE)),0)</f>
        <v/>
      </c>
      <c r="HFI1">
        <f>IFERROR(IF((ISBLANK(VLOOKUP(HFI7,#REF!,3,FALSE)))=TRUE,VLOOKUP(HFI7,#REF!,2,FALSE),VLOOKUP(HFI7,#REF!,3,FALSE)),0)</f>
        <v/>
      </c>
      <c r="HFJ1">
        <f>IFERROR(IF((ISBLANK(VLOOKUP(HFJ7,#REF!,3,FALSE)))=TRUE,VLOOKUP(HFJ7,#REF!,2,FALSE),VLOOKUP(HFJ7,#REF!,3,FALSE)),0)</f>
        <v/>
      </c>
      <c r="HFK1">
        <f>IFERROR(IF((ISBLANK(VLOOKUP(HFK7,#REF!,3,FALSE)))=TRUE,VLOOKUP(HFK7,#REF!,2,FALSE),VLOOKUP(HFK7,#REF!,3,FALSE)),0)</f>
        <v/>
      </c>
      <c r="HFL1">
        <f>IFERROR(IF((ISBLANK(VLOOKUP(HFL7,#REF!,3,FALSE)))=TRUE,VLOOKUP(HFL7,#REF!,2,FALSE),VLOOKUP(HFL7,#REF!,3,FALSE)),0)</f>
        <v/>
      </c>
      <c r="HFM1">
        <f>IFERROR(IF((ISBLANK(VLOOKUP(HFM7,#REF!,4,FALSE)))=TRUE,VLOOKUP(HFM7,#REF!,3,FALSE),VLOOKUP(HFM7,#REF!,4,FALSE)),0)</f>
        <v/>
      </c>
      <c r="HFN1">
        <f>IFERROR(IF((ISBLANK(VLOOKUP(HFN7,#REF!,4,FALSE)))=TRUE,VLOOKUP(HFN7,#REF!,3,FALSE),VLOOKUP(HFN7,#REF!,4,FALSE)),0)</f>
        <v/>
      </c>
      <c r="HFO1">
        <f>IFERROR(IF((ISBLANK(VLOOKUP(HFO7,#REF!,4,FALSE)))=TRUE,VLOOKUP(HFO7,#REF!,3,FALSE),VLOOKUP(HFO7,#REF!,4,FALSE)),0)</f>
        <v/>
      </c>
      <c r="HFP1">
        <f>IFERROR(IF((ISBLANK(VLOOKUP(HFP7,#REF!,4,FALSE)))=TRUE,VLOOKUP(HFP7,#REF!,3,FALSE),VLOOKUP(HFP7,#REF!,4,FALSE)),0)</f>
        <v/>
      </c>
      <c r="HFQ1">
        <f>IFERROR(IF((ISBLANK(VLOOKUP(HFQ7,#REF!,4,FALSE)))=TRUE,VLOOKUP(HFQ7,#REF!,3,FALSE),VLOOKUP(HFQ7,#REF!,4,FALSE)),0)</f>
        <v/>
      </c>
      <c r="HFR1">
        <f>IFERROR(IF((ISBLANK(VLOOKUP(HFR7,#REF!,4,FALSE)))=TRUE,VLOOKUP(HFR7,#REF!,3,FALSE),VLOOKUP(HFR7,#REF!,4,FALSE)),0)</f>
        <v/>
      </c>
      <c r="HFS1">
        <f>IFERROR(IF((ISBLANK(VLOOKUP(HFS7,#REF!,4,FALSE)))=TRUE,VLOOKUP(HFS7,#REF!,3,FALSE),VLOOKUP(HFS7,#REF!,4,FALSE)),0)</f>
        <v/>
      </c>
      <c r="HFT1">
        <f>IFERROR(IF((ISBLANK(VLOOKUP(HFT7,#REF!,4,FALSE)))=TRUE,VLOOKUP(HFT7,#REF!,3,FALSE),VLOOKUP(HFT7,#REF!,4,FALSE)),0)</f>
        <v/>
      </c>
      <c r="HFU1">
        <f>IFERROR(IF((ISBLANK(VLOOKUP(HFU7,#REF!,4,FALSE)))=TRUE,VLOOKUP(HFU7,#REF!,3,FALSE),VLOOKUP(HFU7,#REF!,4,FALSE)),0)</f>
        <v/>
      </c>
      <c r="HFV1">
        <f>IFERROR(IF((ISBLANK(VLOOKUP(HFV7,#REF!,4,FALSE)))=TRUE,VLOOKUP(HFV7,#REF!,3,FALSE),VLOOKUP(HFV7,#REF!,4,FALSE)),0)</f>
        <v/>
      </c>
      <c r="HFW1">
        <f>IFERROR(IF((ISBLANK(VLOOKUP(HFW7,#REF!,4,FALSE)))=TRUE,VLOOKUP(HFW7,#REF!,3,FALSE),VLOOKUP(HFW7,#REF!,4,FALSE)),0)</f>
        <v/>
      </c>
      <c r="HFX1">
        <f>IFERROR(IF((ISBLANK(VLOOKUP(HFX7,#REF!,4,FALSE)))=TRUE,VLOOKUP(HFX7,#REF!,3,FALSE),VLOOKUP(HFX7,#REF!,4,FALSE)),0)</f>
        <v/>
      </c>
      <c r="HFY1">
        <f>IFERROR(IF((ISBLANK(VLOOKUP(HFY7,#REF!,4,FALSE)))=TRUE,VLOOKUP(HFY7,#REF!,3,FALSE),VLOOKUP(HFY7,#REF!,4,FALSE)),0)</f>
        <v/>
      </c>
      <c r="HFZ1">
        <f>IFERROR(IF((ISBLANK(VLOOKUP(HFZ7,#REF!,4,FALSE)))=TRUE,VLOOKUP(HFZ7,#REF!,3,FALSE),VLOOKUP(HFZ7,#REF!,4,FALSE)),0)</f>
        <v/>
      </c>
      <c r="HGA1">
        <f>IFERROR(IF((ISBLANK(VLOOKUP(HGA7,#REF!,4,FALSE)))=TRUE,VLOOKUP(HGA7,#REF!,3,FALSE),VLOOKUP(HGA7,#REF!,4,FALSE)),0)</f>
        <v/>
      </c>
      <c r="HGB1">
        <f>IFERROR(IF((ISBLANK(VLOOKUP(HGB7,#REF!,4,FALSE)))=TRUE,VLOOKUP(HGB7,#REF!,3,FALSE),VLOOKUP(HGB7,#REF!,4,FALSE)),0)</f>
        <v/>
      </c>
      <c r="HGC1">
        <f>IFERROR(IF((ISBLANK(VLOOKUP(HGC7,#REF!,4,FALSE)))=TRUE,VLOOKUP(HGC7,#REF!,3,FALSE),VLOOKUP(HGC7,#REF!,4,FALSE)),0)</f>
        <v/>
      </c>
      <c r="HGD1">
        <f>IFERROR(IF((ISBLANK(VLOOKUP(HGD7,#REF!,4,FALSE)))=TRUE,VLOOKUP(HGD7,#REF!,3,FALSE),VLOOKUP(HGD7,#REF!,4,FALSE)),0)</f>
        <v/>
      </c>
      <c r="HGE1">
        <f>IFERROR(IF((ISBLANK(VLOOKUP(HGE7,#REF!,4,FALSE)))=TRUE,VLOOKUP(HGE7,#REF!,3,FALSE),VLOOKUP(HGE7,#REF!,4,FALSE)),0)</f>
        <v/>
      </c>
      <c r="HGF1">
        <f>IFERROR(IF((ISBLANK(VLOOKUP(HGF7,#REF!,4,FALSE)))=TRUE,VLOOKUP(HGF7,#REF!,3,FALSE),VLOOKUP(HGF7,#REF!,4,FALSE)),0)</f>
        <v/>
      </c>
      <c r="HGG1">
        <f>IFERROR(IF((ISBLANK(VLOOKUP(HGG7,#REF!,4,FALSE)))=TRUE,VLOOKUP(HGG7,#REF!,3,FALSE),VLOOKUP(HGG7,#REF!,4,FALSE)),0)</f>
        <v/>
      </c>
      <c r="HGH1">
        <f>IFERROR(IF((ISBLANK(VLOOKUP(HGH7,#REF!,4,FALSE)))=TRUE,VLOOKUP(HGH7,#REF!,3,FALSE),VLOOKUP(HGH7,#REF!,4,FALSE)),0)</f>
        <v/>
      </c>
      <c r="HGI1">
        <f>IFERROR(IF((ISBLANK(VLOOKUP(HGI7,#REF!,4,FALSE)))=TRUE,VLOOKUP(HGI7,#REF!,3,FALSE),VLOOKUP(HGI7,#REF!,4,FALSE)),0)</f>
        <v/>
      </c>
      <c r="HGJ1">
        <f>IFERROR(IF((ISBLANK(VLOOKUP(HGJ7,#REF!,4,FALSE)))=TRUE,VLOOKUP(HGJ7,#REF!,3,FALSE),VLOOKUP(HGJ7,#REF!,4,FALSE)),0)</f>
        <v/>
      </c>
      <c r="HGK1">
        <f>IFERROR(IF((ISBLANK(VLOOKUP(HGK7,#REF!,4,FALSE)))=TRUE,VLOOKUP(HGK7,#REF!,3,FALSE),VLOOKUP(HGK7,#REF!,4,FALSE)),0)</f>
        <v/>
      </c>
      <c r="HGL1">
        <f>IFERROR(IF((ISBLANK(VLOOKUP(HGL7,#REF!,4,FALSE)))=TRUE,VLOOKUP(HGL7,#REF!,3,FALSE),VLOOKUP(HGL7,#REF!,4,FALSE)),0)</f>
        <v/>
      </c>
      <c r="HGM1">
        <f>IFERROR(IF((ISBLANK(VLOOKUP(HGM7,#REF!,4,FALSE)))=TRUE,VLOOKUP(HGM7,#REF!,3,FALSE),VLOOKUP(HGM7,#REF!,4,FALSE)),0)</f>
        <v/>
      </c>
      <c r="HGN1">
        <f>IFERROR(IF((ISBLANK(VLOOKUP(HGN7,#REF!,4,FALSE)))=TRUE,VLOOKUP(HGN7,#REF!,3,FALSE),VLOOKUP(HGN7,#REF!,4,FALSE)),0)</f>
        <v/>
      </c>
      <c r="HGO1">
        <f>IFERROR(IF((ISBLANK(VLOOKUP(HGO7,#REF!,4,FALSE)))=TRUE,VLOOKUP(HGO7,#REF!,3,FALSE),VLOOKUP(HGO7,#REF!,4,FALSE)),0)</f>
        <v/>
      </c>
      <c r="HGP1">
        <f>IFERROR(IF((ISBLANK(VLOOKUP(HGP7,#REF!,4,FALSE)))=TRUE,VLOOKUP(HGP7,#REF!,3,FALSE),VLOOKUP(HGP7,#REF!,4,FALSE)),0)</f>
        <v/>
      </c>
      <c r="HGQ1">
        <f>IFERROR(IF((ISBLANK(VLOOKUP(HGQ7,#REF!,4,FALSE)))=TRUE,VLOOKUP(HGQ7,#REF!,3,FALSE),VLOOKUP(HGQ7,#REF!,4,FALSE)),0)</f>
        <v/>
      </c>
      <c r="HGR1">
        <f>IFERROR(IF((ISBLANK(VLOOKUP(HGR7,#REF!,4,FALSE)))=TRUE,VLOOKUP(HGR7,#REF!,3,FALSE),VLOOKUP(HGR7,#REF!,4,FALSE)),0)</f>
        <v/>
      </c>
      <c r="HGS1">
        <f>IFERROR(IF((ISBLANK(VLOOKUP(HGS7,#REF!,4,FALSE)))=TRUE,VLOOKUP(HGS7,#REF!,3,FALSE),VLOOKUP(HGS7,#REF!,4,FALSE)),0)</f>
        <v/>
      </c>
      <c r="HGT1">
        <f>IFERROR(IF((ISBLANK(VLOOKUP(HGT7,#REF!,4,FALSE)))=TRUE,VLOOKUP(HGT7,#REF!,3,FALSE),VLOOKUP(HGT7,#REF!,4,FALSE)),0)</f>
        <v/>
      </c>
      <c r="HGU1">
        <f>IFERROR(IF((ISBLANK(VLOOKUP(HGU7,#REF!,4,FALSE)))=TRUE,VLOOKUP(HGU7,#REF!,3,FALSE),VLOOKUP(HGU7,#REF!,4,FALSE)),0)</f>
        <v/>
      </c>
      <c r="HGV1">
        <f>IFERROR(IF((ISBLANK(VLOOKUP(HGV7,#REF!,4,FALSE)))=TRUE,VLOOKUP(HGV7,#REF!,3,FALSE),VLOOKUP(HGV7,#REF!,4,FALSE)),0)</f>
        <v/>
      </c>
      <c r="HGW1">
        <f>IFERROR(IF((ISBLANK(VLOOKUP(HGW7,#REF!,4,FALSE)))=TRUE,VLOOKUP(HGW7,#REF!,3,FALSE),VLOOKUP(HGW7,#REF!,4,FALSE)),0)</f>
        <v/>
      </c>
      <c r="HGX1">
        <f>IFERROR(IF((ISBLANK(VLOOKUP(HGX7,#REF!,4,FALSE)))=TRUE,VLOOKUP(HGX7,#REF!,3,FALSE),VLOOKUP(HGX7,#REF!,4,FALSE)),0)</f>
        <v/>
      </c>
      <c r="HGY1">
        <f>IFERROR(IF((ISBLANK(VLOOKUP(HGY7,#REF!,4,FALSE)))=TRUE,VLOOKUP(HGY7,#REF!,3,FALSE),VLOOKUP(HGY7,#REF!,4,FALSE)),0)</f>
        <v/>
      </c>
      <c r="HGZ1">
        <f>IFERROR(IF((ISBLANK(VLOOKUP(HGZ7,#REF!,4,FALSE)))=TRUE,VLOOKUP(HGZ7,#REF!,3,FALSE),VLOOKUP(HGZ7,#REF!,4,FALSE)),0)</f>
        <v/>
      </c>
      <c r="HHA1">
        <f>IFERROR(IF((ISBLANK(VLOOKUP(HHA7,#REF!,4,FALSE)))=TRUE,VLOOKUP(HHA7,#REF!,3,FALSE),VLOOKUP(HHA7,#REF!,4,FALSE)),0)</f>
        <v/>
      </c>
      <c r="HHB1">
        <f>IFERROR(IF((ISBLANK(VLOOKUP(HHB7,#REF!,4,FALSE)))=TRUE,VLOOKUP(HHB7,#REF!,3,FALSE),VLOOKUP(HHB7,#REF!,4,FALSE)),0)</f>
        <v/>
      </c>
      <c r="HHC1">
        <f>IFERROR(IF((ISBLANK(VLOOKUP(HHC7,#REF!,4,FALSE)))=TRUE,VLOOKUP(HHC7,#REF!,3,FALSE),VLOOKUP(HHC7,#REF!,4,FALSE)),0)</f>
        <v/>
      </c>
      <c r="HHD1">
        <f>IFERROR(IF((ISBLANK(VLOOKUP(HHD7,#REF!,4,FALSE)))=TRUE,VLOOKUP(HHD7,#REF!,3,FALSE),VLOOKUP(HHD7,#REF!,4,FALSE)),0)</f>
        <v/>
      </c>
      <c r="HHE1">
        <f>IFERROR(IF((ISBLANK(VLOOKUP(HHE7,#REF!,4,FALSE)))=TRUE,VLOOKUP(HHE7,#REF!,3,FALSE),VLOOKUP(HHE7,#REF!,4,FALSE)),0)</f>
        <v/>
      </c>
      <c r="HHF1">
        <f>IFERROR(IF((ISBLANK(VLOOKUP(HHF7,#REF!,4,FALSE)))=TRUE,VLOOKUP(HHF7,#REF!,3,FALSE),VLOOKUP(HHF7,#REF!,4,FALSE)),0)</f>
        <v/>
      </c>
      <c r="HHG1">
        <f>IFERROR(IF((ISBLANK(VLOOKUP(HHG7,#REF!,4,FALSE)))=TRUE,VLOOKUP(HHG7,#REF!,3,FALSE),VLOOKUP(HHG7,#REF!,4,FALSE)),0)</f>
        <v/>
      </c>
      <c r="HHH1">
        <f>IFERROR(IF((ISBLANK(VLOOKUP(HHH7,#REF!,4,FALSE)))=TRUE,VLOOKUP(HHH7,#REF!,3,FALSE),VLOOKUP(HHH7,#REF!,4,FALSE)),0)</f>
        <v/>
      </c>
      <c r="HHI1">
        <f>IFERROR(IF((ISBLANK(VLOOKUP(HHI7,#REF!,4,FALSE)))=TRUE,VLOOKUP(HHI7,#REF!,3,FALSE),VLOOKUP(HHI7,#REF!,4,FALSE)),0)</f>
        <v/>
      </c>
      <c r="HHJ1">
        <f>IFERROR(IF((ISBLANK(VLOOKUP(HHJ7,#REF!,4,FALSE)))=TRUE,VLOOKUP(HHJ7,#REF!,3,FALSE),VLOOKUP(HHJ7,#REF!,4,FALSE)),0)</f>
        <v/>
      </c>
      <c r="HHK1">
        <f>IFERROR(IF((ISBLANK(VLOOKUP(HHK7,#REF!,4,FALSE)))=TRUE,VLOOKUP(HHK7,#REF!,3,FALSE),VLOOKUP(HHK7,#REF!,4,FALSE)),0)</f>
        <v/>
      </c>
      <c r="HHL1">
        <f>IFERROR(IF((ISBLANK(VLOOKUP(HHL7,#REF!,4,FALSE)))=TRUE,VLOOKUP(HHL7,#REF!,3,FALSE),VLOOKUP(HHL7,#REF!,4,FALSE)),0)</f>
        <v/>
      </c>
      <c r="HHM1">
        <f>IFERROR(IF((ISBLANK(VLOOKUP(HHM7,#REF!,4,FALSE)))=TRUE,VLOOKUP(HHM7,#REF!,3,FALSE),VLOOKUP(HHM7,#REF!,4,FALSE)),0)</f>
        <v/>
      </c>
      <c r="HHN1">
        <f>IFERROR(IF((ISBLANK(VLOOKUP(HHN7,#REF!,4,FALSE)))=TRUE,VLOOKUP(HHN7,#REF!,3,FALSE),VLOOKUP(HHN7,#REF!,4,FALSE)),0)</f>
        <v/>
      </c>
      <c r="HHO1">
        <f>IFERROR(IF((ISBLANK(VLOOKUP(HHO7,#REF!,4,FALSE)))=TRUE,VLOOKUP(HHO7,#REF!,3,FALSE),VLOOKUP(HHO7,#REF!,4,FALSE)),0)</f>
        <v/>
      </c>
      <c r="HHP1">
        <f>IFERROR(IF((ISBLANK(VLOOKUP(HHP7,#REF!,4,FALSE)))=TRUE,VLOOKUP(HHP7,#REF!,3,FALSE),VLOOKUP(HHP7,#REF!,4,FALSE)),0)</f>
        <v/>
      </c>
      <c r="HHQ1">
        <f>IFERROR(IF((ISBLANK(VLOOKUP(HHQ7,#REF!,4,FALSE)))=TRUE,VLOOKUP(HHQ7,#REF!,3,FALSE),VLOOKUP(HHQ7,#REF!,4,FALSE)),0)</f>
        <v/>
      </c>
      <c r="HHR1">
        <f>IFERROR(IF((ISBLANK(VLOOKUP(HHR7,#REF!,4,FALSE)))=TRUE,VLOOKUP(HHR7,#REF!,3,FALSE),VLOOKUP(HHR7,#REF!,4,FALSE)),0)</f>
        <v/>
      </c>
      <c r="HHS1">
        <f>IFERROR(IF((ISBLANK(VLOOKUP(HHS7,#REF!,4,FALSE)))=TRUE,VLOOKUP(HHS7,#REF!,3,FALSE),VLOOKUP(HHS7,#REF!,4,FALSE)),0)</f>
        <v/>
      </c>
      <c r="HHT1">
        <f>IFERROR(IF((ISBLANK(VLOOKUP(HHT7,#REF!,4,FALSE)))=TRUE,VLOOKUP(HHT7,#REF!,3,FALSE),VLOOKUP(HHT7,#REF!,4,FALSE)),0)</f>
        <v/>
      </c>
      <c r="HHU1">
        <f>IFERROR(IF((ISBLANK(VLOOKUP(HHU7,#REF!,4,FALSE)))=TRUE,VLOOKUP(HHU7,#REF!,3,FALSE),VLOOKUP(HHU7,#REF!,4,FALSE)),0)</f>
        <v/>
      </c>
      <c r="HHV1">
        <f>IFERROR(IF((ISBLANK(VLOOKUP(HHV7,#REF!,4,FALSE)))=TRUE,VLOOKUP(HHV7,#REF!,3,FALSE),VLOOKUP(HHV7,#REF!,4,FALSE)),0)</f>
        <v/>
      </c>
      <c r="HHW1">
        <f>IFERROR(IF((ISBLANK(VLOOKUP(HHW7,#REF!,4,FALSE)))=TRUE,VLOOKUP(HHW7,#REF!,3,FALSE),VLOOKUP(HHW7,#REF!,4,FALSE)),0)</f>
        <v/>
      </c>
      <c r="HHX1">
        <f>IFERROR(IF((ISBLANK(VLOOKUP(HHX7,#REF!,4,FALSE)))=TRUE,VLOOKUP(HHX7,#REF!,3,FALSE),VLOOKUP(HHX7,#REF!,4,FALSE)),0)</f>
        <v/>
      </c>
      <c r="HHY1">
        <f>IFERROR(IF((ISBLANK(VLOOKUP(HHY7,#REF!,4,FALSE)))=TRUE,VLOOKUP(HHY7,#REF!,3,FALSE),VLOOKUP(HHY7,#REF!,4,FALSE)),0)</f>
        <v/>
      </c>
      <c r="HHZ1">
        <f>IFERROR(IF((ISBLANK(VLOOKUP(HHZ7,#REF!,4,FALSE)))=TRUE,VLOOKUP(HHZ7,#REF!,3,FALSE),VLOOKUP(HHZ7,#REF!,4,FALSE)),0)</f>
        <v/>
      </c>
      <c r="HIA1">
        <f>IFERROR(IF((ISBLANK(VLOOKUP(HIA7,#REF!,4,FALSE)))=TRUE,VLOOKUP(HIA7,#REF!,3,FALSE),VLOOKUP(HIA7,#REF!,4,FALSE)),0)</f>
        <v/>
      </c>
      <c r="HIB1">
        <f>IFERROR(IF((ISBLANK(VLOOKUP(HIB7,#REF!,4,FALSE)))=TRUE,VLOOKUP(HIB7,#REF!,3,FALSE),VLOOKUP(HIB7,#REF!,4,FALSE)),0)</f>
        <v/>
      </c>
      <c r="HIC1">
        <f>IFERROR(IF((ISBLANK(VLOOKUP(HIC7,#REF!,4,FALSE)))=TRUE,VLOOKUP(HIC7,#REF!,3,FALSE),VLOOKUP(HIC7,#REF!,4,FALSE)),0)</f>
        <v/>
      </c>
      <c r="HID1">
        <f>IFERROR(IF((ISBLANK(VLOOKUP(HID7,#REF!,4,FALSE)))=TRUE,VLOOKUP(HID7,#REF!,3,FALSE),VLOOKUP(HID7,#REF!,4,FALSE)),0)</f>
        <v/>
      </c>
      <c r="HIE1">
        <f>IFERROR(IF((ISBLANK(VLOOKUP(HIE7,#REF!,4,FALSE)))=TRUE,VLOOKUP(HIE7,#REF!,3,FALSE),VLOOKUP(HIE7,#REF!,4,FALSE)),0)</f>
        <v/>
      </c>
      <c r="HIF1">
        <f>IFERROR(IF((ISBLANK(VLOOKUP(HIF7,#REF!,4,FALSE)))=TRUE,VLOOKUP(HIF7,#REF!,3,FALSE),VLOOKUP(HIF7,#REF!,4,FALSE)),0)</f>
        <v/>
      </c>
      <c r="HIG1">
        <f>IFERROR(IF((ISBLANK(VLOOKUP(HIG7,#REF!,4,FALSE)))=TRUE,VLOOKUP(HIG7,#REF!,3,FALSE),VLOOKUP(HIG7,#REF!,4,FALSE)),0)</f>
        <v/>
      </c>
      <c r="HIH1">
        <f>IFERROR(IF((ISBLANK(VLOOKUP(HIH7,#REF!,4,FALSE)))=TRUE,VLOOKUP(HIH7,#REF!,3,FALSE),VLOOKUP(HIH7,#REF!,4,FALSE)),0)</f>
        <v/>
      </c>
      <c r="HII1">
        <f>IFERROR(IF((ISBLANK(VLOOKUP(HII7,#REF!,4,FALSE)))=TRUE,VLOOKUP(HII7,#REF!,3,FALSE),VLOOKUP(HII7,#REF!,4,FALSE)),0)</f>
        <v/>
      </c>
      <c r="HIJ1">
        <f>IFERROR(IF((ISBLANK(VLOOKUP(HIJ7,#REF!,4,FALSE)))=TRUE,VLOOKUP(HIJ7,#REF!,3,FALSE),VLOOKUP(HIJ7,#REF!,4,FALSE)),0)</f>
        <v/>
      </c>
      <c r="HIK1">
        <f>IFERROR(IF((ISBLANK(VLOOKUP(HIK7,#REF!,4,FALSE)))=TRUE,VLOOKUP(HIK7,#REF!,3,FALSE),VLOOKUP(HIK7,#REF!,4,FALSE)),0)</f>
        <v/>
      </c>
      <c r="HIL1">
        <f>IFERROR(IF((ISBLANK(VLOOKUP(HIL7,#REF!,4,FALSE)))=TRUE,VLOOKUP(HIL7,#REF!,3,FALSE),VLOOKUP(HIL7,#REF!,4,FALSE)),0)</f>
        <v/>
      </c>
      <c r="HIM1">
        <f>IFERROR(IF((ISBLANK(VLOOKUP(HIM7,#REF!,4,FALSE)))=TRUE,VLOOKUP(HIM7,#REF!,3,FALSE),VLOOKUP(HIM7,#REF!,4,FALSE)),0)</f>
        <v/>
      </c>
      <c r="HIN1">
        <f>IFERROR(IF((ISBLANK(VLOOKUP(HIN7,#REF!,4,FALSE)))=TRUE,VLOOKUP(HIN7,#REF!,3,FALSE),VLOOKUP(HIN7,#REF!,4,FALSE)),0)</f>
        <v/>
      </c>
      <c r="HIO1">
        <f>IFERROR(IF((ISBLANK(VLOOKUP(HIO7,#REF!,4,FALSE)))=TRUE,VLOOKUP(HIO7,#REF!,3,FALSE),VLOOKUP(HIO7,#REF!,4,FALSE)),0)</f>
        <v/>
      </c>
      <c r="HIP1">
        <f>IFERROR(IF((ISBLANK(VLOOKUP(HIP7,#REF!,4,FALSE)))=TRUE,VLOOKUP(HIP7,#REF!,3,FALSE),VLOOKUP(HIP7,#REF!,4,FALSE)),0)</f>
        <v/>
      </c>
      <c r="HIQ1">
        <f>IFERROR(IF((ISBLANK(VLOOKUP(HIQ7,#REF!,4,FALSE)))=TRUE,VLOOKUP(HIQ7,#REF!,3,FALSE),VLOOKUP(HIQ7,#REF!,4,FALSE)),0)</f>
        <v/>
      </c>
      <c r="HIR1">
        <f>IFERROR(IF((ISBLANK(VLOOKUP(HIR7,#REF!,4,FALSE)))=TRUE,VLOOKUP(HIR7,#REF!,3,FALSE),VLOOKUP(HIR7,#REF!,4,FALSE)),0)</f>
        <v/>
      </c>
      <c r="HIS1">
        <f>IFERROR(IF((ISBLANK(VLOOKUP(HIS7,#REF!,4,FALSE)))=TRUE,VLOOKUP(HIS7,#REF!,3,FALSE),VLOOKUP(HIS7,#REF!,4,FALSE)),0)</f>
        <v/>
      </c>
      <c r="HIT1">
        <f>IFERROR(IF((ISBLANK(VLOOKUP(HIT7,#REF!,4,FALSE)))=TRUE,VLOOKUP(HIT7,#REF!,3,FALSE),VLOOKUP(HIT7,#REF!,4,FALSE)),0)</f>
        <v/>
      </c>
      <c r="HIU1">
        <f>IFERROR(IF((ISBLANK(VLOOKUP(HIU7,#REF!,4,FALSE)))=TRUE,VLOOKUP(HIU7,#REF!,3,FALSE),VLOOKUP(HIU7,#REF!,4,FALSE)),0)</f>
        <v/>
      </c>
      <c r="HIV1">
        <f>IFERROR(IF((ISBLANK(VLOOKUP(HIV7,#REF!,4,FALSE)))=TRUE,VLOOKUP(HIV7,#REF!,3,FALSE),VLOOKUP(HIV7,#REF!,4,FALSE)),0)</f>
        <v/>
      </c>
      <c r="HIW1">
        <f>IFERROR(IF((ISBLANK(VLOOKUP(HIW7,#REF!,4,FALSE)))=TRUE,VLOOKUP(HIW7,#REF!,3,FALSE),VLOOKUP(HIW7,#REF!,4,FALSE)),0)</f>
        <v/>
      </c>
      <c r="HIX1">
        <f>IFERROR(IF((ISBLANK(VLOOKUP(HIX7,#REF!,4,FALSE)))=TRUE,VLOOKUP(HIX7,#REF!,3,FALSE),VLOOKUP(HIX7,#REF!,4,FALSE)),0)</f>
        <v/>
      </c>
      <c r="HIY1">
        <f>IFERROR(IF((ISBLANK(VLOOKUP(HIY7,#REF!,4,FALSE)))=TRUE,VLOOKUP(HIY7,#REF!,3,FALSE),VLOOKUP(HIY7,#REF!,4,FALSE)),0)</f>
        <v/>
      </c>
      <c r="HIZ1">
        <f>IFERROR(IF((ISBLANK(VLOOKUP(HIZ7,#REF!,4,FALSE)))=TRUE,VLOOKUP(HIZ7,#REF!,3,FALSE),VLOOKUP(HIZ7,#REF!,4,FALSE)),0)</f>
        <v/>
      </c>
      <c r="HJA1">
        <f>IFERROR(IF((ISBLANK(VLOOKUP(HJA7,#REF!,4,FALSE)))=TRUE,VLOOKUP(HJA7,#REF!,3,FALSE),VLOOKUP(HJA7,#REF!,4,FALSE)),0)</f>
        <v/>
      </c>
      <c r="HJB1">
        <f>IFERROR(IF((ISBLANK(VLOOKUP(HJB7,#REF!,4,FALSE)))=TRUE,VLOOKUP(HJB7,#REF!,3,FALSE),VLOOKUP(HJB7,#REF!,4,FALSE)),0)</f>
        <v/>
      </c>
      <c r="HJC1">
        <f>IFERROR(IF((ISBLANK(VLOOKUP(HJC7,#REF!,4,FALSE)))=TRUE,VLOOKUP(HJC7,#REF!,3,FALSE),VLOOKUP(HJC7,#REF!,4,FALSE)),0)</f>
        <v/>
      </c>
      <c r="HJD1">
        <f>IFERROR(IF((ISBLANK(VLOOKUP(HJD7,#REF!,4,FALSE)))=TRUE,VLOOKUP(HJD7,#REF!,3,FALSE),VLOOKUP(HJD7,#REF!,4,FALSE)),0)</f>
        <v/>
      </c>
      <c r="HJE1">
        <f>IFERROR(IF((ISBLANK(VLOOKUP(HJE7,#REF!,4,FALSE)))=TRUE,VLOOKUP(HJE7,#REF!,3,FALSE),VLOOKUP(HJE7,#REF!,4,FALSE)),0)</f>
        <v/>
      </c>
      <c r="HJF1">
        <f>IFERROR(IF((ISBLANK(VLOOKUP(HJF7,#REF!,4,FALSE)))=TRUE,VLOOKUP(HJF7,#REF!,3,FALSE),VLOOKUP(HJF7,#REF!,4,FALSE)),0)</f>
        <v/>
      </c>
      <c r="HJG1">
        <f>IFERROR(IF((ISBLANK(VLOOKUP(HJG7,#REF!,4,FALSE)))=TRUE,VLOOKUP(HJG7,#REF!,3,FALSE),VLOOKUP(HJG7,#REF!,4,FALSE)),0)</f>
        <v/>
      </c>
      <c r="HJH1">
        <f>IFERROR(IF((ISBLANK(VLOOKUP(HJH7,#REF!,4,FALSE)))=TRUE,VLOOKUP(HJH7,#REF!,3,FALSE),VLOOKUP(HJH7,#REF!,4,FALSE)),0)</f>
        <v/>
      </c>
      <c r="HJI1">
        <f>IFERROR(IF((ISBLANK(VLOOKUP(HJI7,#REF!,4,FALSE)))=TRUE,VLOOKUP(HJI7,#REF!,3,FALSE),VLOOKUP(HJI7,#REF!,4,FALSE)),0)</f>
        <v/>
      </c>
      <c r="HJJ1">
        <f>IFERROR(IF((ISBLANK(VLOOKUP(HJJ7,#REF!,4,FALSE)))=TRUE,VLOOKUP(HJJ7,#REF!,3,FALSE),VLOOKUP(HJJ7,#REF!,4,FALSE)),0)</f>
        <v/>
      </c>
      <c r="HJK1">
        <f>IFERROR(IF((ISBLANK(VLOOKUP(HJK7,#REF!,4,FALSE)))=TRUE,VLOOKUP(HJK7,#REF!,3,FALSE),VLOOKUP(HJK7,#REF!,4,FALSE)),0)</f>
        <v/>
      </c>
      <c r="HJL1">
        <f>IFERROR(IF((ISBLANK(VLOOKUP(HJL7,#REF!,4,FALSE)))=TRUE,VLOOKUP(HJL7,#REF!,3,FALSE),VLOOKUP(HJL7,#REF!,4,FALSE)),0)</f>
        <v/>
      </c>
      <c r="HJM1">
        <f>IFERROR(IF((ISBLANK(VLOOKUP(HJM7,#REF!,4,FALSE)))=TRUE,VLOOKUP(HJM7,#REF!,3,FALSE),VLOOKUP(HJM7,#REF!,4,FALSE)),0)</f>
        <v/>
      </c>
      <c r="HJN1">
        <f>IFERROR(IF((ISBLANK(VLOOKUP(HJN7,#REF!,4,FALSE)))=TRUE,VLOOKUP(HJN7,#REF!,3,FALSE),VLOOKUP(HJN7,#REF!,4,FALSE)),0)</f>
        <v/>
      </c>
      <c r="HJO1">
        <f>IFERROR(IF((ISBLANK(VLOOKUP(HJO7,#REF!,4,FALSE)))=TRUE,VLOOKUP(HJO7,#REF!,3,FALSE),VLOOKUP(HJO7,#REF!,4,FALSE)),0)</f>
        <v/>
      </c>
      <c r="HJP1">
        <f>IFERROR(IF((ISBLANK(VLOOKUP(HJP7,#REF!,4,FALSE)))=TRUE,VLOOKUP(HJP7,#REF!,3,FALSE),VLOOKUP(HJP7,#REF!,4,FALSE)),0)</f>
        <v/>
      </c>
      <c r="HJQ1">
        <f>IFERROR(IF((ISBLANK(VLOOKUP(HJQ7,#REF!,4,FALSE)))=TRUE,VLOOKUP(HJQ7,#REF!,3,FALSE),VLOOKUP(HJQ7,#REF!,4,FALSE)),0)</f>
        <v/>
      </c>
      <c r="HJR1">
        <f>IFERROR(IF((ISBLANK(VLOOKUP(HJR7,#REF!,4,FALSE)))=TRUE,VLOOKUP(HJR7,#REF!,3,FALSE),VLOOKUP(HJR7,#REF!,4,FALSE)),0)</f>
        <v/>
      </c>
      <c r="HJS1">
        <f>IFERROR(IF((ISBLANK(VLOOKUP(HJS7,#REF!,4,FALSE)))=TRUE,VLOOKUP(HJS7,#REF!,3,FALSE),VLOOKUP(HJS7,#REF!,4,FALSE)),0)</f>
        <v/>
      </c>
      <c r="HJT1">
        <f>IFERROR(IF((ISBLANK(VLOOKUP(HJT7,#REF!,4,FALSE)))=TRUE,VLOOKUP(HJT7,#REF!,3,FALSE),VLOOKUP(HJT7,#REF!,4,FALSE)),0)</f>
        <v/>
      </c>
      <c r="HJU1">
        <f>IFERROR(IF((ISBLANK(VLOOKUP(HJU7,#REF!,4,FALSE)))=TRUE,VLOOKUP(HJU7,#REF!,3,FALSE),VLOOKUP(HJU7,#REF!,4,FALSE)),0)</f>
        <v/>
      </c>
      <c r="HJV1">
        <f>IFERROR(IF((ISBLANK(VLOOKUP(HJV7,#REF!,4,FALSE)))=TRUE,VLOOKUP(HJV7,#REF!,3,FALSE),VLOOKUP(HJV7,#REF!,4,FALSE)),0)</f>
        <v/>
      </c>
      <c r="HJW1">
        <f>IFERROR(IF((ISBLANK(VLOOKUP(HJW7,#REF!,4,FALSE)))=TRUE,VLOOKUP(HJW7,#REF!,3,FALSE),VLOOKUP(HJW7,#REF!,4,FALSE)),0)</f>
        <v/>
      </c>
      <c r="HJX1">
        <f>IFERROR(IF((ISBLANK(VLOOKUP(HJX7,#REF!,4,FALSE)))=TRUE,VLOOKUP(HJX7,#REF!,3,FALSE),VLOOKUP(HJX7,#REF!,4,FALSE)),0)</f>
        <v/>
      </c>
      <c r="HJY1">
        <f>IFERROR(IF((ISBLANK(VLOOKUP(HJY7,#REF!,4,FALSE)))=TRUE,VLOOKUP(HJY7,#REF!,3,FALSE),VLOOKUP(HJY7,#REF!,4,FALSE)),0)</f>
        <v/>
      </c>
      <c r="HJZ1">
        <f>IFERROR(IF((ISBLANK(VLOOKUP(HJZ7,#REF!,4,FALSE)))=TRUE,VLOOKUP(HJZ7,#REF!,3,FALSE),VLOOKUP(HJZ7,#REF!,4,FALSE)),0)</f>
        <v/>
      </c>
      <c r="HKA1">
        <f>IFERROR(IF((ISBLANK(VLOOKUP(HKA7,#REF!,4,FALSE)))=TRUE,VLOOKUP(HKA7,#REF!,3,FALSE),VLOOKUP(HKA7,#REF!,4,FALSE)),0)</f>
        <v/>
      </c>
      <c r="HKB1">
        <f>IFERROR(IF((ISBLANK(VLOOKUP(HKB7,#REF!,4,FALSE)))=TRUE,VLOOKUP(HKB7,#REF!,3,FALSE),VLOOKUP(HKB7,#REF!,4,FALSE)),0)</f>
        <v/>
      </c>
      <c r="HKC1">
        <f>IFERROR(IF((ISBLANK(VLOOKUP(HKC7,#REF!,4,FALSE)))=TRUE,VLOOKUP(HKC7,#REF!,3,FALSE),VLOOKUP(HKC7,#REF!,4,FALSE)),0)</f>
        <v/>
      </c>
      <c r="HKD1">
        <f>IFERROR(IF((ISBLANK(VLOOKUP(HKD7,#REF!,4,FALSE)))=TRUE,VLOOKUP(HKD7,#REF!,3,FALSE),VLOOKUP(HKD7,#REF!,4,FALSE)),0)</f>
        <v/>
      </c>
      <c r="HKE1">
        <f>IFERROR(IF((ISBLANK(VLOOKUP(HKE7,#REF!,4,FALSE)))=TRUE,VLOOKUP(HKE7,#REF!,3,FALSE),VLOOKUP(HKE7,#REF!,4,FALSE)),0)</f>
        <v/>
      </c>
      <c r="HKF1">
        <f>IFERROR(IF((ISBLANK(VLOOKUP(HKF7,#REF!,4,FALSE)))=TRUE,VLOOKUP(HKF7,#REF!,3,FALSE),VLOOKUP(HKF7,#REF!,4,FALSE)),0)</f>
        <v/>
      </c>
      <c r="HKG1">
        <f>IFERROR(IF((ISBLANK(VLOOKUP(HKG7,#REF!,4,FALSE)))=TRUE,VLOOKUP(HKG7,#REF!,3,FALSE),VLOOKUP(HKG7,#REF!,4,FALSE)),0)</f>
        <v/>
      </c>
      <c r="HKH1">
        <f>IFERROR(IF((ISBLANK(VLOOKUP(HKH7,#REF!,4,FALSE)))=TRUE,VLOOKUP(HKH7,#REF!,3,FALSE),VLOOKUP(HKH7,#REF!,4,FALSE)),0)</f>
        <v/>
      </c>
      <c r="HKI1">
        <f>IFERROR(IF((ISBLANK(VLOOKUP(HKI7,#REF!,4,FALSE)))=TRUE,VLOOKUP(HKI7,#REF!,3,FALSE),VLOOKUP(HKI7,#REF!,4,FALSE)),0)</f>
        <v/>
      </c>
      <c r="HKJ1">
        <f>IFERROR(IF((ISBLANK(VLOOKUP(HKJ7,#REF!,4,FALSE)))=TRUE,VLOOKUP(HKJ7,#REF!,3,FALSE),VLOOKUP(HKJ7,#REF!,4,FALSE)),0)</f>
        <v/>
      </c>
      <c r="HKK1">
        <f>IFERROR(IF((ISBLANK(VLOOKUP(HKK7,#REF!,4,FALSE)))=TRUE,VLOOKUP(HKK7,#REF!,3,FALSE),VLOOKUP(HKK7,#REF!,4,FALSE)),0)</f>
        <v/>
      </c>
      <c r="HKL1">
        <f>IFERROR(IF((ISBLANK(VLOOKUP(HKL7,#REF!,4,FALSE)))=TRUE,VLOOKUP(HKL7,#REF!,3,FALSE),VLOOKUP(HKL7,#REF!,4,FALSE)),0)</f>
        <v/>
      </c>
      <c r="HKM1">
        <f>IFERROR(IF((ISBLANK(VLOOKUP(HKM7,#REF!,4,FALSE)))=TRUE,VLOOKUP(HKM7,#REF!,3,FALSE),VLOOKUP(HKM7,#REF!,4,FALSE)),0)</f>
        <v/>
      </c>
      <c r="HKN1">
        <f>IFERROR(IF((ISBLANK(VLOOKUP(HKN7,#REF!,4,FALSE)))=TRUE,VLOOKUP(HKN7,#REF!,3,FALSE),VLOOKUP(HKN7,#REF!,4,FALSE)),0)</f>
        <v/>
      </c>
      <c r="HKO1">
        <f>IFERROR(IF((ISBLANK(VLOOKUP(HKO7,#REF!,4,FALSE)))=TRUE,VLOOKUP(HKO7,#REF!,3,FALSE),VLOOKUP(HKO7,#REF!,4,FALSE)),0)</f>
        <v/>
      </c>
      <c r="HKP1">
        <f>IFERROR(IF((ISBLANK(VLOOKUP(HKP7,#REF!,4,FALSE)))=TRUE,VLOOKUP(HKP7,#REF!,3,FALSE),VLOOKUP(HKP7,#REF!,4,FALSE)),0)</f>
        <v/>
      </c>
      <c r="HKQ1">
        <f>IFERROR(IF((ISBLANK(VLOOKUP(HKQ7,#REF!,4,FALSE)))=TRUE,VLOOKUP(HKQ7,#REF!,3,FALSE),VLOOKUP(HKQ7,#REF!,4,FALSE)),0)</f>
        <v/>
      </c>
      <c r="HKR1">
        <f>IFERROR(IF((ISBLANK(VLOOKUP(HKR7,#REF!,4,FALSE)))=TRUE,VLOOKUP(HKR7,#REF!,3,FALSE),VLOOKUP(HKR7,#REF!,4,FALSE)),0)</f>
        <v/>
      </c>
      <c r="HKS1">
        <f>IFERROR(IF((ISBLANK(VLOOKUP(HKS7,#REF!,4,FALSE)))=TRUE,VLOOKUP(HKS7,#REF!,3,FALSE),VLOOKUP(HKS7,#REF!,4,FALSE)),0)</f>
        <v/>
      </c>
      <c r="HKT1">
        <f>IFERROR(IF((ISBLANK(VLOOKUP(HKT7,#REF!,4,FALSE)))=TRUE,VLOOKUP(HKT7,#REF!,3,FALSE),VLOOKUP(HKT7,#REF!,4,FALSE)),0)</f>
        <v/>
      </c>
      <c r="HKU1">
        <f>IFERROR(IF((ISBLANK(VLOOKUP(HKU7,#REF!,4,FALSE)))=TRUE,VLOOKUP(HKU7,#REF!,3,FALSE),VLOOKUP(HKU7,#REF!,4,FALSE)),0)</f>
        <v/>
      </c>
      <c r="HKV1">
        <f>IFERROR(IF((ISBLANK(VLOOKUP(HKV7,#REF!,4,FALSE)))=TRUE,VLOOKUP(HKV7,#REF!,3,FALSE),VLOOKUP(HKV7,#REF!,4,FALSE)),0)</f>
        <v/>
      </c>
      <c r="HKW1">
        <f>IFERROR(IF((ISBLANK(VLOOKUP(HKW7,#REF!,4,FALSE)))=TRUE,VLOOKUP(HKW7,#REF!,3,FALSE),VLOOKUP(HKW7,#REF!,4,FALSE)),0)</f>
        <v/>
      </c>
      <c r="HKX1">
        <f>IFERROR(IF((ISBLANK(VLOOKUP(HKX7,#REF!,4,FALSE)))=TRUE,VLOOKUP(HKX7,#REF!,3,FALSE),VLOOKUP(HKX7,#REF!,4,FALSE)),0)</f>
        <v/>
      </c>
      <c r="HKY1">
        <f>IFERROR(IF((ISBLANK(VLOOKUP(HKY7,#REF!,4,FALSE)))=TRUE,VLOOKUP(HKY7,#REF!,3,FALSE),VLOOKUP(HKY7,#REF!,4,FALSE)),0)</f>
        <v/>
      </c>
      <c r="HKZ1">
        <f>IFERROR(IF((ISBLANK(VLOOKUP(HKZ7,#REF!,4,FALSE)))=TRUE,VLOOKUP(HKZ7,#REF!,3,FALSE),VLOOKUP(HKZ7,#REF!,4,FALSE)),0)</f>
        <v/>
      </c>
      <c r="HLA1">
        <f>IFERROR(IF((ISBLANK(VLOOKUP(HLA7,#REF!,4,FALSE)))=TRUE,VLOOKUP(HLA7,#REF!,3,FALSE),VLOOKUP(HLA7,#REF!,4,FALSE)),0)</f>
        <v/>
      </c>
      <c r="HLB1">
        <f>IFERROR(IF((ISBLANK(VLOOKUP(HLB7,#REF!,4,FALSE)))=TRUE,VLOOKUP(HLB7,#REF!,3,FALSE),VLOOKUP(HLB7,#REF!,4,FALSE)),0)</f>
        <v/>
      </c>
      <c r="HLC1">
        <f>IFERROR(IF((ISBLANK(VLOOKUP(HLC7,#REF!,4,FALSE)))=TRUE,VLOOKUP(HLC7,#REF!,3,FALSE),VLOOKUP(HLC7,#REF!,4,FALSE)),0)</f>
        <v/>
      </c>
      <c r="HLD1">
        <f>IFERROR(IF((ISBLANK(VLOOKUP(HLD7,#REF!,4,FALSE)))=TRUE,VLOOKUP(HLD7,#REF!,3,FALSE),VLOOKUP(HLD7,#REF!,4,FALSE)),0)</f>
        <v/>
      </c>
      <c r="HLE1">
        <f>IFERROR(IF((ISBLANK(VLOOKUP(HLE7,#REF!,4,FALSE)))=TRUE,VLOOKUP(HLE7,#REF!,3,FALSE),VLOOKUP(HLE7,#REF!,4,FALSE)),0)</f>
        <v/>
      </c>
      <c r="HLF1">
        <f>IFERROR(IF((ISBLANK(VLOOKUP(HLF7,#REF!,4,FALSE)))=TRUE,VLOOKUP(HLF7,#REF!,3,FALSE),VLOOKUP(HLF7,#REF!,4,FALSE)),0)</f>
        <v/>
      </c>
      <c r="HLG1">
        <f>IFERROR(IF((ISBLANK(VLOOKUP(HLG7,#REF!,4,FALSE)))=TRUE,VLOOKUP(HLG7,#REF!,3,FALSE),VLOOKUP(HLG7,#REF!,4,FALSE)),0)</f>
        <v/>
      </c>
      <c r="HLH1">
        <f>IFERROR(IF((ISBLANK(VLOOKUP(HLH7,#REF!,4,FALSE)))=TRUE,VLOOKUP(HLH7,#REF!,3,FALSE),VLOOKUP(HLH7,#REF!,4,FALSE)),0)</f>
        <v/>
      </c>
      <c r="HLI1">
        <f>IFERROR(IF((ISBLANK(VLOOKUP(HLI7,#REF!,4,FALSE)))=TRUE,VLOOKUP(HLI7,#REF!,3,FALSE),VLOOKUP(HLI7,#REF!,4,FALSE)),0)</f>
        <v/>
      </c>
      <c r="HLJ1">
        <f>IFERROR(IF((ISBLANK(VLOOKUP(HLJ7,#REF!,4,FALSE)))=TRUE,VLOOKUP(HLJ7,#REF!,3,FALSE),VLOOKUP(HLJ7,#REF!,4,FALSE)),0)</f>
        <v/>
      </c>
      <c r="HLK1">
        <f>IFERROR(IF((ISBLANK(VLOOKUP(HLK7,#REF!,4,FALSE)))=TRUE,VLOOKUP(HLK7,#REF!,3,FALSE),VLOOKUP(HLK7,#REF!,4,FALSE)),0)</f>
        <v/>
      </c>
      <c r="HLL1">
        <f>IFERROR(IF((ISBLANK(VLOOKUP(HLL7,#REF!,4,FALSE)))=TRUE,VLOOKUP(HLL7,#REF!,3,FALSE),VLOOKUP(HLL7,#REF!,4,FALSE)),0)</f>
        <v/>
      </c>
      <c r="HLM1">
        <f>IFERROR(IF((ISBLANK(VLOOKUP(HLM7,#REF!,4,FALSE)))=TRUE,VLOOKUP(HLM7,#REF!,3,FALSE),VLOOKUP(HLM7,#REF!,4,FALSE)),0)</f>
        <v/>
      </c>
      <c r="HLN1">
        <f>IFERROR(IF((ISBLANK(VLOOKUP(HLN7,#REF!,4,FALSE)))=TRUE,VLOOKUP(HLN7,#REF!,3,FALSE),VLOOKUP(HLN7,#REF!,4,FALSE)),0)</f>
        <v/>
      </c>
      <c r="HLO1">
        <f>IFERROR(IF((ISBLANK(VLOOKUP(HLO7,#REF!,4,FALSE)))=TRUE,VLOOKUP(HLO7,#REF!,3,FALSE),VLOOKUP(HLO7,#REF!,4,FALSE)),0)</f>
        <v/>
      </c>
      <c r="HLP1">
        <f>IFERROR(IF((ISBLANK(VLOOKUP(HLP7,#REF!,4,FALSE)))=TRUE,VLOOKUP(HLP7,#REF!,3,FALSE),VLOOKUP(HLP7,#REF!,4,FALSE)),0)</f>
        <v/>
      </c>
      <c r="HLQ1">
        <f>IFERROR(IF((ISBLANK(VLOOKUP(HLQ7,#REF!,4,FALSE)))=TRUE,VLOOKUP(HLQ7,#REF!,3,FALSE),VLOOKUP(HLQ7,#REF!,4,FALSE)),0)</f>
        <v/>
      </c>
      <c r="HLR1">
        <f>IFERROR(IF((ISBLANK(VLOOKUP(HLR7,#REF!,4,FALSE)))=TRUE,VLOOKUP(HLR7,#REF!,3,FALSE),VLOOKUP(HLR7,#REF!,4,FALSE)),0)</f>
        <v/>
      </c>
      <c r="HLS1">
        <f>IFERROR(IF((ISBLANK(VLOOKUP(HLS7,#REF!,4,FALSE)))=TRUE,VLOOKUP(HLS7,#REF!,3,FALSE),VLOOKUP(HLS7,#REF!,4,FALSE)),0)</f>
        <v/>
      </c>
      <c r="HLT1">
        <f>IFERROR(IF((ISBLANK(VLOOKUP(HLT7,#REF!,4,FALSE)))=TRUE,VLOOKUP(HLT7,#REF!,3,FALSE),VLOOKUP(HLT7,#REF!,4,FALSE)),0)</f>
        <v/>
      </c>
      <c r="HLU1">
        <f>IFERROR(IF((ISBLANK(VLOOKUP(HLU7,#REF!,4,FALSE)))=TRUE,VLOOKUP(HLU7,#REF!,3,FALSE),VLOOKUP(HLU7,#REF!,4,FALSE)),0)</f>
        <v/>
      </c>
      <c r="HLV1">
        <f>IFERROR(IF((ISBLANK(VLOOKUP(HLV7,#REF!,4,FALSE)))=TRUE,VLOOKUP(HLV7,#REF!,3,FALSE),VLOOKUP(HLV7,#REF!,4,FALSE)),0)</f>
        <v/>
      </c>
      <c r="HLW1">
        <f>IFERROR(IF((ISBLANK(VLOOKUP(HLW7,#REF!,4,FALSE)))=TRUE,VLOOKUP(HLW7,#REF!,3,FALSE),VLOOKUP(HLW7,#REF!,4,FALSE)),0)</f>
        <v/>
      </c>
      <c r="HLX1">
        <f>IFERROR(IF((ISBLANK(VLOOKUP(HLX7,#REF!,4,FALSE)))=TRUE,VLOOKUP(HLX7,#REF!,3,FALSE),VLOOKUP(HLX7,#REF!,4,FALSE)),0)</f>
        <v/>
      </c>
      <c r="HLY1">
        <f>IFERROR(IF((ISBLANK(VLOOKUP(HLY7,#REF!,4,FALSE)))=TRUE,VLOOKUP(HLY7,#REF!,3,FALSE),VLOOKUP(HLY7,#REF!,4,FALSE)),0)</f>
        <v/>
      </c>
      <c r="HLZ1">
        <f>IFERROR(IF((ISBLANK(VLOOKUP(HLZ7,#REF!,4,FALSE)))=TRUE,VLOOKUP(HLZ7,#REF!,3,FALSE),VLOOKUP(HLZ7,#REF!,4,FALSE)),0)</f>
        <v/>
      </c>
      <c r="HMA1">
        <f>IFERROR(IF((ISBLANK(VLOOKUP(HMA7,#REF!,4,FALSE)))=TRUE,VLOOKUP(HMA7,#REF!,3,FALSE),VLOOKUP(HMA7,#REF!,4,FALSE)),0)</f>
        <v/>
      </c>
      <c r="HMB1">
        <f>IFERROR(IF((ISBLANK(VLOOKUP(HMB7,#REF!,4,FALSE)))=TRUE,VLOOKUP(HMB7,#REF!,3,FALSE),VLOOKUP(HMB7,#REF!,4,FALSE)),0)</f>
        <v/>
      </c>
      <c r="HMC1">
        <f>IFERROR(IF((ISBLANK(VLOOKUP(HMC7,#REF!,4,FALSE)))=TRUE,VLOOKUP(HMC7,#REF!,3,FALSE),VLOOKUP(HMC7,#REF!,4,FALSE)),0)</f>
        <v/>
      </c>
      <c r="HMD1">
        <f>IFERROR(IF((ISBLANK(VLOOKUP(HMD7,#REF!,4,FALSE)))=TRUE,VLOOKUP(HMD7,#REF!,3,FALSE),VLOOKUP(HMD7,#REF!,4,FALSE)),0)</f>
        <v/>
      </c>
      <c r="HME1">
        <f>IFERROR(IF((ISBLANK(VLOOKUP(HME7,#REF!,4,FALSE)))=TRUE,VLOOKUP(HME7,#REF!,3,FALSE),VLOOKUP(HME7,#REF!,4,FALSE)),0)</f>
        <v/>
      </c>
      <c r="HMF1">
        <f>IFERROR(IF((ISBLANK(VLOOKUP(HMF7,#REF!,4,FALSE)))=TRUE,VLOOKUP(HMF7,#REF!,3,FALSE),VLOOKUP(HMF7,#REF!,4,FALSE)),0)</f>
        <v/>
      </c>
      <c r="HMG1">
        <f>IFERROR(IF((ISBLANK(VLOOKUP(HMG7,#REF!,4,FALSE)))=TRUE,VLOOKUP(HMG7,#REF!,3,FALSE),VLOOKUP(HMG7,#REF!,4,FALSE)),0)</f>
        <v/>
      </c>
      <c r="HMH1">
        <f>IFERROR(IF((ISBLANK(VLOOKUP(HMH7,#REF!,4,FALSE)))=TRUE,VLOOKUP(HMH7,#REF!,3,FALSE),VLOOKUP(HMH7,#REF!,4,FALSE)),0)</f>
        <v/>
      </c>
      <c r="HMI1">
        <f>IFERROR(IF((ISBLANK(VLOOKUP(HMI7,#REF!,4,FALSE)))=TRUE,VLOOKUP(HMI7,#REF!,3,FALSE),VLOOKUP(HMI7,#REF!,4,FALSE)),0)</f>
        <v/>
      </c>
      <c r="HMJ1">
        <f>IFERROR(IF((ISBLANK(VLOOKUP(HMJ7,#REF!,4,FALSE)))=TRUE,VLOOKUP(HMJ7,#REF!,3,FALSE),VLOOKUP(HMJ7,#REF!,4,FALSE)),0)</f>
        <v/>
      </c>
      <c r="HMK1">
        <f>IFERROR(IF((ISBLANK(VLOOKUP(HMK7,#REF!,4,FALSE)))=TRUE,VLOOKUP(HMK7,#REF!,3,FALSE),VLOOKUP(HMK7,#REF!,4,FALSE)),0)</f>
        <v/>
      </c>
      <c r="HML1">
        <f>IFERROR(IF((ISBLANK(VLOOKUP(HML7,#REF!,4,FALSE)))=TRUE,VLOOKUP(HML7,#REF!,3,FALSE),VLOOKUP(HML7,#REF!,4,FALSE)),0)</f>
        <v/>
      </c>
      <c r="HMM1">
        <f>IFERROR(IF((ISBLANK(VLOOKUP(HMM7,#REF!,4,FALSE)))=TRUE,VLOOKUP(HMM7,#REF!,3,FALSE),VLOOKUP(HMM7,#REF!,4,FALSE)),0)</f>
        <v/>
      </c>
      <c r="HMN1">
        <f>IFERROR(IF((ISBLANK(VLOOKUP(HMN7,#REF!,4,FALSE)))=TRUE,VLOOKUP(HMN7,#REF!,3,FALSE),VLOOKUP(HMN7,#REF!,4,FALSE)),0)</f>
        <v/>
      </c>
      <c r="HMO1">
        <f>IFERROR(IF((ISBLANK(VLOOKUP(HMO7,#REF!,4,FALSE)))=TRUE,VLOOKUP(HMO7,#REF!,3,FALSE),VLOOKUP(HMO7,#REF!,4,FALSE)),0)</f>
        <v/>
      </c>
      <c r="HMP1">
        <f>IFERROR(IF((ISBLANK(VLOOKUP(HMP7,#REF!,4,FALSE)))=TRUE,VLOOKUP(HMP7,#REF!,3,FALSE),VLOOKUP(HMP7,#REF!,4,FALSE)),0)</f>
        <v/>
      </c>
      <c r="HMQ1">
        <f>IFERROR(IF((ISBLANK(VLOOKUP(HMQ7,#REF!,4,FALSE)))=TRUE,VLOOKUP(HMQ7,#REF!,3,FALSE),VLOOKUP(HMQ7,#REF!,4,FALSE)),0)</f>
        <v/>
      </c>
      <c r="HMR1">
        <f>IFERROR(IF((ISBLANK(VLOOKUP(HMR7,#REF!,4,FALSE)))=TRUE,VLOOKUP(HMR7,#REF!,3,FALSE),VLOOKUP(HMR7,#REF!,4,FALSE)),0)</f>
        <v/>
      </c>
      <c r="HMS1">
        <f>IFERROR(IF((ISBLANK(VLOOKUP(HMS7,#REF!,4,FALSE)))=TRUE,VLOOKUP(HMS7,#REF!,3,FALSE),VLOOKUP(HMS7,#REF!,4,FALSE)),0)</f>
        <v/>
      </c>
      <c r="HMT1">
        <f>IFERROR(IF((ISBLANK(VLOOKUP(HMT7,#REF!,4,FALSE)))=TRUE,VLOOKUP(HMT7,#REF!,3,FALSE),VLOOKUP(HMT7,#REF!,4,FALSE)),0)</f>
        <v/>
      </c>
      <c r="HMU1">
        <f>IFERROR(IF((ISBLANK(VLOOKUP(HMU7,#REF!,4,FALSE)))=TRUE,VLOOKUP(HMU7,#REF!,3,FALSE),VLOOKUP(HMU7,#REF!,4,FALSE)),0)</f>
        <v/>
      </c>
      <c r="HMV1">
        <f>IFERROR(IF((ISBLANK(VLOOKUP(HMV7,#REF!,4,FALSE)))=TRUE,VLOOKUP(HMV7,#REF!,3,FALSE),VLOOKUP(HMV7,#REF!,4,FALSE)),0)</f>
        <v/>
      </c>
      <c r="HMW1">
        <f>IFERROR(IF((ISBLANK(VLOOKUP(HMW7,#REF!,4,FALSE)))=TRUE,VLOOKUP(HMW7,#REF!,3,FALSE),VLOOKUP(HMW7,#REF!,4,FALSE)),0)</f>
        <v/>
      </c>
      <c r="HMX1">
        <f>IFERROR(IF((ISBLANK(VLOOKUP(HMX7,#REF!,4,FALSE)))=TRUE,VLOOKUP(HMX7,#REF!,3,FALSE),VLOOKUP(HMX7,#REF!,4,FALSE)),0)</f>
        <v/>
      </c>
      <c r="HMY1">
        <f>IFERROR(IF((ISBLANK(VLOOKUP(HMY7,#REF!,4,FALSE)))=TRUE,VLOOKUP(HMY7,#REF!,3,FALSE),VLOOKUP(HMY7,#REF!,4,FALSE)),0)</f>
        <v/>
      </c>
      <c r="HMZ1">
        <f>IFERROR(IF((ISBLANK(VLOOKUP(HMZ7,#REF!,4,FALSE)))=TRUE,VLOOKUP(HMZ7,#REF!,3,FALSE),VLOOKUP(HMZ7,#REF!,4,FALSE)),0)</f>
        <v/>
      </c>
      <c r="HNA1">
        <f>IFERROR(IF((ISBLANK(VLOOKUP(HNA7,#REF!,4,FALSE)))=TRUE,VLOOKUP(HNA7,#REF!,3,FALSE),VLOOKUP(HNA7,#REF!,4,FALSE)),0)</f>
        <v/>
      </c>
      <c r="HNB1">
        <f>IFERROR(IF((ISBLANK(VLOOKUP(HNB7,#REF!,4,FALSE)))=TRUE,VLOOKUP(HNB7,#REF!,3,FALSE),VLOOKUP(HNB7,#REF!,4,FALSE)),0)</f>
        <v/>
      </c>
      <c r="HNC1">
        <f>IFERROR(IF((ISBLANK(VLOOKUP(HNC7,#REF!,4,FALSE)))=TRUE,VLOOKUP(HNC7,#REF!,3,FALSE),VLOOKUP(HNC7,#REF!,4,FALSE)),0)</f>
        <v/>
      </c>
      <c r="HND1">
        <f>IFERROR(IF((ISBLANK(VLOOKUP(HND7,#REF!,4,FALSE)))=TRUE,VLOOKUP(HND7,#REF!,3,FALSE),VLOOKUP(HND7,#REF!,4,FALSE)),0)</f>
        <v/>
      </c>
      <c r="HNE1">
        <f>IFERROR(IF((ISBLANK(VLOOKUP(HNE7,#REF!,4,FALSE)))=TRUE,VLOOKUP(HNE7,#REF!,3,FALSE),VLOOKUP(HNE7,#REF!,4,FALSE)),0)</f>
        <v/>
      </c>
      <c r="HNF1">
        <f>IFERROR(IF((ISBLANK(VLOOKUP(HNF7,#REF!,4,FALSE)))=TRUE,VLOOKUP(HNF7,#REF!,3,FALSE),VLOOKUP(HNF7,#REF!,4,FALSE)),0)</f>
        <v/>
      </c>
      <c r="HNG1">
        <f>IFERROR(IF((ISBLANK(VLOOKUP(HNG7,#REF!,4,FALSE)))=TRUE,VLOOKUP(HNG7,#REF!,3,FALSE),VLOOKUP(HNG7,#REF!,4,FALSE)),0)</f>
        <v/>
      </c>
      <c r="HNH1">
        <f>IFERROR(IF((ISBLANK(VLOOKUP(HNH7,#REF!,4,FALSE)))=TRUE,VLOOKUP(HNH7,#REF!,3,FALSE),VLOOKUP(HNH7,#REF!,4,FALSE)),0)</f>
        <v/>
      </c>
      <c r="HNI1">
        <f>IFERROR(IF((ISBLANK(VLOOKUP(HNI7,#REF!,4,FALSE)))=TRUE,VLOOKUP(HNI7,#REF!,3,FALSE),VLOOKUP(HNI7,#REF!,4,FALSE)),0)</f>
        <v/>
      </c>
      <c r="HNJ1">
        <f>IFERROR(IF((ISBLANK(VLOOKUP(HNJ7,#REF!,4,FALSE)))=TRUE,VLOOKUP(HNJ7,#REF!,3,FALSE),VLOOKUP(HNJ7,#REF!,4,FALSE)),0)</f>
        <v/>
      </c>
      <c r="HNK1">
        <f>IFERROR(IF((ISBLANK(VLOOKUP(HNK7,#REF!,4,FALSE)))=TRUE,VLOOKUP(HNK7,#REF!,3,FALSE),VLOOKUP(HNK7,#REF!,4,FALSE)),0)</f>
        <v/>
      </c>
      <c r="HNL1">
        <f>IFERROR(IF((ISBLANK(VLOOKUP(HNL7,#REF!,4,FALSE)))=TRUE,VLOOKUP(HNL7,#REF!,3,FALSE),VLOOKUP(HNL7,#REF!,4,FALSE)),0)</f>
        <v/>
      </c>
      <c r="HNM1">
        <f>IFERROR(IF((ISBLANK(VLOOKUP(HNM7,#REF!,4,FALSE)))=TRUE,VLOOKUP(HNM7,#REF!,3,FALSE),VLOOKUP(HNM7,#REF!,4,FALSE)),0)</f>
        <v/>
      </c>
      <c r="HNN1">
        <f>IFERROR(IF((ISBLANK(VLOOKUP(HNN7,#REF!,4,FALSE)))=TRUE,VLOOKUP(HNN7,#REF!,3,FALSE),VLOOKUP(HNN7,#REF!,4,FALSE)),0)</f>
        <v/>
      </c>
      <c r="HNO1">
        <f>IFERROR(IF((ISBLANK(VLOOKUP(HNO7,#REF!,4,FALSE)))=TRUE,VLOOKUP(HNO7,#REF!,3,FALSE),VLOOKUP(HNO7,#REF!,4,FALSE)),0)</f>
        <v/>
      </c>
      <c r="HNP1">
        <f>IFERROR(IF((ISBLANK(VLOOKUP(HNP7,#REF!,4,FALSE)))=TRUE,VLOOKUP(HNP7,#REF!,3,FALSE),VLOOKUP(HNP7,#REF!,4,FALSE)),0)</f>
        <v/>
      </c>
      <c r="HNQ1">
        <f>IFERROR(IF((ISBLANK(VLOOKUP(HNQ7,#REF!,4,FALSE)))=TRUE,VLOOKUP(HNQ7,#REF!,3,FALSE),VLOOKUP(HNQ7,#REF!,4,FALSE)),0)</f>
        <v/>
      </c>
      <c r="HNR1">
        <f>IFERROR(IF((ISBLANK(VLOOKUP(HNR7,#REF!,4,FALSE)))=TRUE,VLOOKUP(HNR7,#REF!,3,FALSE),VLOOKUP(HNR7,#REF!,4,FALSE)),0)</f>
        <v/>
      </c>
      <c r="HNS1">
        <f>IFERROR(IF((ISBLANK(VLOOKUP(HNS7,#REF!,4,FALSE)))=TRUE,VLOOKUP(HNS7,#REF!,3,FALSE),VLOOKUP(HNS7,#REF!,4,FALSE)),0)</f>
        <v/>
      </c>
      <c r="HNT1">
        <f>IFERROR(IF((ISBLANK(VLOOKUP(HNT7,#REF!,4,FALSE)))=TRUE,VLOOKUP(HNT7,#REF!,3,FALSE),VLOOKUP(HNT7,#REF!,4,FALSE)),0)</f>
        <v/>
      </c>
      <c r="HNU1">
        <f>IFERROR(IF((ISBLANK(VLOOKUP(HNU7,#REF!,4,FALSE)))=TRUE,VLOOKUP(HNU7,#REF!,3,FALSE),VLOOKUP(HNU7,#REF!,4,FALSE)),0)</f>
        <v/>
      </c>
      <c r="HNV1">
        <f>IFERROR(IF((ISBLANK(VLOOKUP(HNV7,#REF!,4,FALSE)))=TRUE,VLOOKUP(HNV7,#REF!,3,FALSE),VLOOKUP(HNV7,#REF!,4,FALSE)),0)</f>
        <v/>
      </c>
      <c r="HNW1">
        <f>IFERROR(IF((ISBLANK(VLOOKUP(HNW7,#REF!,4,FALSE)))=TRUE,VLOOKUP(HNW7,#REF!,3,FALSE),VLOOKUP(HNW7,#REF!,4,FALSE)),0)</f>
        <v/>
      </c>
      <c r="HNX1">
        <f>IFERROR(IF((ISBLANK(VLOOKUP(HNX7,#REF!,4,FALSE)))=TRUE,VLOOKUP(HNX7,#REF!,3,FALSE),VLOOKUP(HNX7,#REF!,4,FALSE)),0)</f>
        <v/>
      </c>
      <c r="HNY1">
        <f>IFERROR(IF((ISBLANK(VLOOKUP(HNY7,#REF!,4,FALSE)))=TRUE,VLOOKUP(HNY7,#REF!,3,FALSE),VLOOKUP(HNY7,#REF!,4,FALSE)),0)</f>
        <v/>
      </c>
      <c r="HNZ1">
        <f>IFERROR(IF((ISBLANK(VLOOKUP(HNZ7,#REF!,4,FALSE)))=TRUE,VLOOKUP(HNZ7,#REF!,3,FALSE),VLOOKUP(HNZ7,#REF!,4,FALSE)),0)</f>
        <v/>
      </c>
      <c r="HOA1">
        <f>IFERROR(IF((ISBLANK(VLOOKUP(HOA7,#REF!,4,FALSE)))=TRUE,VLOOKUP(HOA7,#REF!,3,FALSE),VLOOKUP(HOA7,#REF!,4,FALSE)),0)</f>
        <v/>
      </c>
      <c r="HOB1">
        <f>IFERROR(IF((ISBLANK(VLOOKUP(HOB7,#REF!,4,FALSE)))=TRUE,VLOOKUP(HOB7,#REF!,3,FALSE),VLOOKUP(HOB7,#REF!,4,FALSE)),0)</f>
        <v/>
      </c>
      <c r="HOC1">
        <f>IFERROR(IF((ISBLANK(VLOOKUP(HOC7,#REF!,4,FALSE)))=TRUE,VLOOKUP(HOC7,#REF!,3,FALSE),VLOOKUP(HOC7,#REF!,4,FALSE)),0)</f>
        <v/>
      </c>
      <c r="HOD1">
        <f>IFERROR(IF((ISBLANK(VLOOKUP(HOD7,#REF!,4,FALSE)))=TRUE,VLOOKUP(HOD7,#REF!,3,FALSE),VLOOKUP(HOD7,#REF!,4,FALSE)),0)</f>
        <v/>
      </c>
      <c r="HOE1">
        <f>IFERROR(IF((ISBLANK(VLOOKUP(HOE7,#REF!,4,FALSE)))=TRUE,VLOOKUP(HOE7,#REF!,3,FALSE),VLOOKUP(HOE7,#REF!,4,FALSE)),0)</f>
        <v/>
      </c>
      <c r="HOF1">
        <f>IFERROR(IF((ISBLANK(VLOOKUP(HOF7,#REF!,4,FALSE)))=TRUE,VLOOKUP(HOF7,#REF!,3,FALSE),VLOOKUP(HOF7,#REF!,4,FALSE)),0)</f>
        <v/>
      </c>
      <c r="HOG1">
        <f>IFERROR(IF((ISBLANK(VLOOKUP(HOG7,#REF!,4,FALSE)))=TRUE,VLOOKUP(HOG7,#REF!,3,FALSE),VLOOKUP(HOG7,#REF!,4,FALSE)),0)</f>
        <v/>
      </c>
      <c r="HOH1">
        <f>IFERROR(IF((ISBLANK(VLOOKUP(HOH7,#REF!,4,FALSE)))=TRUE,VLOOKUP(HOH7,#REF!,3,FALSE),VLOOKUP(HOH7,#REF!,4,FALSE)),0)</f>
        <v/>
      </c>
      <c r="HOI1">
        <f>IFERROR(IF((ISBLANK(VLOOKUP(HOI7,#REF!,4,FALSE)))=TRUE,VLOOKUP(HOI7,#REF!,3,FALSE),VLOOKUP(HOI7,#REF!,4,FALSE)),0)</f>
        <v/>
      </c>
      <c r="HOJ1">
        <f>IFERROR(IF((ISBLANK(VLOOKUP(HOJ7,#REF!,4,FALSE)))=TRUE,VLOOKUP(HOJ7,#REF!,3,FALSE),VLOOKUP(HOJ7,#REF!,4,FALSE)),0)</f>
        <v/>
      </c>
      <c r="HOK1">
        <f>IFERROR(IF((ISBLANK(VLOOKUP(HOK7,#REF!,4,FALSE)))=TRUE,VLOOKUP(HOK7,#REF!,3,FALSE),VLOOKUP(HOK7,#REF!,4,FALSE)),0)</f>
        <v/>
      </c>
      <c r="HOL1">
        <f>IFERROR(IF((ISBLANK(VLOOKUP(HOL7,#REF!,4,FALSE)))=TRUE,VLOOKUP(HOL7,#REF!,3,FALSE),VLOOKUP(HOL7,#REF!,4,FALSE)),0)</f>
        <v/>
      </c>
      <c r="HOM1">
        <f>IFERROR(IF((ISBLANK(VLOOKUP(HOM7,#REF!,4,FALSE)))=TRUE,VLOOKUP(HOM7,#REF!,3,FALSE),VLOOKUP(HOM7,#REF!,4,FALSE)),0)</f>
        <v/>
      </c>
      <c r="HON1">
        <f>IFERROR(IF((ISBLANK(VLOOKUP(HON7,#REF!,4,FALSE)))=TRUE,VLOOKUP(HON7,#REF!,3,FALSE),VLOOKUP(HON7,#REF!,4,FALSE)),0)</f>
        <v/>
      </c>
      <c r="HOO1">
        <f>IFERROR(IF((ISBLANK(VLOOKUP(HOO7,#REF!,4,FALSE)))=TRUE,VLOOKUP(HOO7,#REF!,3,FALSE),VLOOKUP(HOO7,#REF!,4,FALSE)),0)</f>
        <v/>
      </c>
      <c r="HOP1">
        <f>IFERROR(IF((ISBLANK(VLOOKUP(HOP7,#REF!,4,FALSE)))=TRUE,VLOOKUP(HOP7,#REF!,3,FALSE),VLOOKUP(HOP7,#REF!,4,FALSE)),0)</f>
        <v/>
      </c>
      <c r="HOQ1">
        <f>IFERROR(IF((ISBLANK(VLOOKUP(HOQ7,#REF!,4,FALSE)))=TRUE,VLOOKUP(HOQ7,#REF!,3,FALSE),VLOOKUP(HOQ7,#REF!,4,FALSE)),0)</f>
        <v/>
      </c>
      <c r="HOR1">
        <f>IFERROR(IF((ISBLANK(VLOOKUP(HOR7,#REF!,4,FALSE)))=TRUE,VLOOKUP(HOR7,#REF!,3,FALSE),VLOOKUP(HOR7,#REF!,4,FALSE)),0)</f>
        <v/>
      </c>
      <c r="HOS1">
        <f>IFERROR(IF((ISBLANK(VLOOKUP(HOS7,#REF!,4,FALSE)))=TRUE,VLOOKUP(HOS7,#REF!,3,FALSE),VLOOKUP(HOS7,#REF!,4,FALSE)),0)</f>
        <v/>
      </c>
      <c r="HOT1">
        <f>IFERROR(IF((ISBLANK(VLOOKUP(HOT7,#REF!,4,FALSE)))=TRUE,VLOOKUP(HOT7,#REF!,3,FALSE),VLOOKUP(HOT7,#REF!,4,FALSE)),0)</f>
        <v/>
      </c>
      <c r="HOU1">
        <f>IFERROR(IF((ISBLANK(VLOOKUP(HOU7,#REF!,4,FALSE)))=TRUE,VLOOKUP(HOU7,#REF!,3,FALSE),VLOOKUP(HOU7,#REF!,4,FALSE)),0)</f>
        <v/>
      </c>
      <c r="HOV1">
        <f>IFERROR(IF((ISBLANK(VLOOKUP(HOV7,#REF!,4,FALSE)))=TRUE,VLOOKUP(HOV7,#REF!,3,FALSE),VLOOKUP(HOV7,#REF!,4,FALSE)),0)</f>
        <v/>
      </c>
      <c r="HOW1">
        <f>IFERROR(IF((ISBLANK(VLOOKUP(HOW7,#REF!,4,FALSE)))=TRUE,VLOOKUP(HOW7,#REF!,3,FALSE),VLOOKUP(HOW7,#REF!,4,FALSE)),0)</f>
        <v/>
      </c>
      <c r="HOX1">
        <f>IFERROR(IF((ISBLANK(VLOOKUP(HOX7,#REF!,4,FALSE)))=TRUE,VLOOKUP(HOX7,#REF!,3,FALSE),VLOOKUP(HOX7,#REF!,4,FALSE)),0)</f>
        <v/>
      </c>
      <c r="HOY1">
        <f>IFERROR(IF((ISBLANK(VLOOKUP(HOY7,#REF!,4,FALSE)))=TRUE,VLOOKUP(HOY7,#REF!,3,FALSE),VLOOKUP(HOY7,#REF!,4,FALSE)),0)</f>
        <v/>
      </c>
      <c r="HOZ1">
        <f>IFERROR(IF((ISBLANK(VLOOKUP(HOZ7,#REF!,4,FALSE)))=TRUE,VLOOKUP(HOZ7,#REF!,3,FALSE),VLOOKUP(HOZ7,#REF!,4,FALSE)),0)</f>
        <v/>
      </c>
      <c r="HPA1">
        <f>IFERROR(IF((ISBLANK(VLOOKUP(HPA7,#REF!,4,FALSE)))=TRUE,VLOOKUP(HPA7,#REF!,3,FALSE),VLOOKUP(HPA7,#REF!,4,FALSE)),0)</f>
        <v/>
      </c>
      <c r="HPB1">
        <f>IFERROR(IF((ISBLANK(VLOOKUP(HPB7,#REF!,4,FALSE)))=TRUE,VLOOKUP(HPB7,#REF!,3,FALSE),VLOOKUP(HPB7,#REF!,4,FALSE)),0)</f>
        <v/>
      </c>
      <c r="HPC1">
        <f>IFERROR(IF((ISBLANK(VLOOKUP(HPC7,#REF!,4,FALSE)))=TRUE,VLOOKUP(HPC7,#REF!,3,FALSE),VLOOKUP(HPC7,#REF!,4,FALSE)),0)</f>
        <v/>
      </c>
      <c r="HPD1">
        <f>IFERROR(IF((ISBLANK(VLOOKUP(HPD7,#REF!,4,FALSE)))=TRUE,VLOOKUP(HPD7,#REF!,3,FALSE),VLOOKUP(HPD7,#REF!,4,FALSE)),0)</f>
        <v/>
      </c>
      <c r="HPE1">
        <f>IFERROR(IF((ISBLANK(VLOOKUP(HPE7,#REF!,4,FALSE)))=TRUE,VLOOKUP(HPE7,#REF!,3,FALSE),VLOOKUP(HPE7,#REF!,4,FALSE)),0)</f>
        <v/>
      </c>
      <c r="HPF1">
        <f>IFERROR(IF((ISBLANK(VLOOKUP(HPF7,#REF!,4,FALSE)))=TRUE,VLOOKUP(HPF7,#REF!,3,FALSE),VLOOKUP(HPF7,#REF!,4,FALSE)),0)</f>
        <v/>
      </c>
      <c r="HPG1">
        <f>IFERROR(IF((ISBLANK(VLOOKUP(HPG7,#REF!,4,FALSE)))=TRUE,VLOOKUP(HPG7,#REF!,3,FALSE),VLOOKUP(HPG7,#REF!,4,FALSE)),0)</f>
        <v/>
      </c>
      <c r="HPH1">
        <f>IFERROR(IF((ISBLANK(VLOOKUP(HPH7,#REF!,4,FALSE)))=TRUE,VLOOKUP(HPH7,#REF!,3,FALSE),VLOOKUP(HPH7,#REF!,4,FALSE)),0)</f>
        <v/>
      </c>
      <c r="HPI1">
        <f>IFERROR(IF((ISBLANK(VLOOKUP(HPI7,#REF!,4,FALSE)))=TRUE,VLOOKUP(HPI7,#REF!,3,FALSE),VLOOKUP(HPI7,#REF!,4,FALSE)),0)</f>
        <v/>
      </c>
      <c r="HPJ1">
        <f>IFERROR(IF((ISBLANK(VLOOKUP(HPJ7,#REF!,4,FALSE)))=TRUE,VLOOKUP(HPJ7,#REF!,3,FALSE),VLOOKUP(HPJ7,#REF!,4,FALSE)),0)</f>
        <v/>
      </c>
      <c r="HPK1">
        <f>IFERROR(IF((ISBLANK(VLOOKUP(HPK7,#REF!,4,FALSE)))=TRUE,VLOOKUP(HPK7,#REF!,3,FALSE),VLOOKUP(HPK7,#REF!,4,FALSE)),0)</f>
        <v/>
      </c>
      <c r="HPL1">
        <f>IFERROR(IF((ISBLANK(VLOOKUP(HPL7,#REF!,4,FALSE)))=TRUE,VLOOKUP(HPL7,#REF!,3,FALSE),VLOOKUP(HPL7,#REF!,4,FALSE)),0)</f>
        <v/>
      </c>
      <c r="HPM1">
        <f>IFERROR(IF((ISBLANK(VLOOKUP(HPM7,#REF!,4,FALSE)))=TRUE,VLOOKUP(HPM7,#REF!,3,FALSE),VLOOKUP(HPM7,#REF!,4,FALSE)),0)</f>
        <v/>
      </c>
      <c r="HPN1">
        <f>IFERROR(IF((ISBLANK(VLOOKUP(HPN7,#REF!,4,FALSE)))=TRUE,VLOOKUP(HPN7,#REF!,3,FALSE),VLOOKUP(HPN7,#REF!,4,FALSE)),0)</f>
        <v/>
      </c>
      <c r="HPO1">
        <f>IFERROR(IF((ISBLANK(VLOOKUP(HPO7,#REF!,4,FALSE)))=TRUE,VLOOKUP(HPO7,#REF!,3,FALSE),VLOOKUP(HPO7,#REF!,4,FALSE)),0)</f>
        <v/>
      </c>
      <c r="HPP1">
        <f>IFERROR(IF((ISBLANK(VLOOKUP(HPP7,#REF!,4,FALSE)))=TRUE,VLOOKUP(HPP7,#REF!,3,FALSE),VLOOKUP(HPP7,#REF!,4,FALSE)),0)</f>
        <v/>
      </c>
      <c r="HPQ1">
        <f>IFERROR(IF((ISBLANK(VLOOKUP(HPQ7,#REF!,4,FALSE)))=TRUE,VLOOKUP(HPQ7,#REF!,3,FALSE),VLOOKUP(HPQ7,#REF!,4,FALSE)),0)</f>
        <v/>
      </c>
      <c r="HPR1">
        <f>IFERROR(IF((ISBLANK(VLOOKUP(HPR7,#REF!,4,FALSE)))=TRUE,VLOOKUP(HPR7,#REF!,3,FALSE),VLOOKUP(HPR7,#REF!,4,FALSE)),0)</f>
        <v/>
      </c>
      <c r="HPS1">
        <f>IFERROR(IF((ISBLANK(VLOOKUP(HPS7,#REF!,4,FALSE)))=TRUE,VLOOKUP(HPS7,#REF!,3,FALSE),VLOOKUP(HPS7,#REF!,4,FALSE)),0)</f>
        <v/>
      </c>
      <c r="HPT1">
        <f>IFERROR(IF((ISBLANK(VLOOKUP(HPT7,#REF!,4,FALSE)))=TRUE,VLOOKUP(HPT7,#REF!,3,FALSE),VLOOKUP(HPT7,#REF!,4,FALSE)),0)</f>
        <v/>
      </c>
      <c r="HPU1">
        <f>IFERROR(IF((ISBLANK(VLOOKUP(HPU7,#REF!,4,FALSE)))=TRUE,VLOOKUP(HPU7,#REF!,3,FALSE),VLOOKUP(HPU7,#REF!,4,FALSE)),0)</f>
        <v/>
      </c>
      <c r="HPV1">
        <f>IFERROR(IF((ISBLANK(VLOOKUP(HPV7,#REF!,4,FALSE)))=TRUE,VLOOKUP(HPV7,#REF!,3,FALSE),VLOOKUP(HPV7,#REF!,4,FALSE)),0)</f>
        <v/>
      </c>
      <c r="HPW1">
        <f>IFERROR(IF((ISBLANK(VLOOKUP(HPW7,#REF!,4,FALSE)))=TRUE,VLOOKUP(HPW7,#REF!,3,FALSE),VLOOKUP(HPW7,#REF!,4,FALSE)),0)</f>
        <v/>
      </c>
      <c r="HPX1">
        <f>IFERROR(IF((ISBLANK(VLOOKUP(HPX7,#REF!,4,FALSE)))=TRUE,VLOOKUP(HPX7,#REF!,3,FALSE),VLOOKUP(HPX7,#REF!,4,FALSE)),0)</f>
        <v/>
      </c>
      <c r="HPY1">
        <f>IFERROR(IF((ISBLANK(VLOOKUP(HPY7,#REF!,4,FALSE)))=TRUE,VLOOKUP(HPY7,#REF!,3,FALSE),VLOOKUP(HPY7,#REF!,4,FALSE)),0)</f>
        <v/>
      </c>
      <c r="HPZ1">
        <f>IFERROR(IF((ISBLANK(VLOOKUP(HPZ7,#REF!,4,FALSE)))=TRUE,VLOOKUP(HPZ7,#REF!,3,FALSE),VLOOKUP(HPZ7,#REF!,4,FALSE)),0)</f>
        <v/>
      </c>
      <c r="HQA1">
        <f>IFERROR(IF((ISBLANK(VLOOKUP(HQA7,#REF!,4,FALSE)))=TRUE,VLOOKUP(HQA7,#REF!,3,FALSE),VLOOKUP(HQA7,#REF!,4,FALSE)),0)</f>
        <v/>
      </c>
      <c r="HQB1">
        <f>IFERROR(IF((ISBLANK(VLOOKUP(HQB7,#REF!,4,FALSE)))=TRUE,VLOOKUP(HQB7,#REF!,3,FALSE),VLOOKUP(HQB7,#REF!,4,FALSE)),0)</f>
        <v/>
      </c>
      <c r="HQC1">
        <f>IFERROR(IF((ISBLANK(VLOOKUP(HQC7,#REF!,4,FALSE)))=TRUE,VLOOKUP(HQC7,#REF!,3,FALSE),VLOOKUP(HQC7,#REF!,4,FALSE)),0)</f>
        <v/>
      </c>
      <c r="HQD1">
        <f>IFERROR(IF((ISBLANK(VLOOKUP(HQD7,#REF!,4,FALSE)))=TRUE,VLOOKUP(HQD7,#REF!,3,FALSE),VLOOKUP(HQD7,#REF!,4,FALSE)),0)</f>
        <v/>
      </c>
      <c r="HQE1">
        <f>IFERROR(IF((ISBLANK(VLOOKUP(HQE7,#REF!,4,FALSE)))=TRUE,VLOOKUP(HQE7,#REF!,3,FALSE),VLOOKUP(HQE7,#REF!,4,FALSE)),0)</f>
        <v/>
      </c>
      <c r="HQF1">
        <f>IFERROR(IF((ISBLANK(VLOOKUP(HQF7,#REF!,4,FALSE)))=TRUE,VLOOKUP(HQF7,#REF!,3,FALSE),VLOOKUP(HQF7,#REF!,4,FALSE)),0)</f>
        <v/>
      </c>
      <c r="HQG1">
        <f>IFERROR(IF((ISBLANK(VLOOKUP(HQG7,#REF!,4,FALSE)))=TRUE,VLOOKUP(HQG7,#REF!,3,FALSE),VLOOKUP(HQG7,#REF!,4,FALSE)),0)</f>
        <v/>
      </c>
      <c r="HQH1">
        <f>IFERROR(IF((ISBLANK(VLOOKUP(HQH7,#REF!,4,FALSE)))=TRUE,VLOOKUP(HQH7,#REF!,3,FALSE),VLOOKUP(HQH7,#REF!,4,FALSE)),0)</f>
        <v/>
      </c>
      <c r="HQI1">
        <f>IFERROR(IF((ISBLANK(VLOOKUP(HQI7,#REF!,4,FALSE)))=TRUE,VLOOKUP(HQI7,#REF!,3,FALSE),VLOOKUP(HQI7,#REF!,4,FALSE)),0)</f>
        <v/>
      </c>
      <c r="HQJ1">
        <f>IFERROR(IF((ISBLANK(VLOOKUP(HQJ7,#REF!,4,FALSE)))=TRUE,VLOOKUP(HQJ7,#REF!,3,FALSE),VLOOKUP(HQJ7,#REF!,4,FALSE)),0)</f>
        <v/>
      </c>
      <c r="HQK1">
        <f>IFERROR(IF((ISBLANK(VLOOKUP(HQK7,#REF!,4,FALSE)))=TRUE,VLOOKUP(HQK7,#REF!,3,FALSE),VLOOKUP(HQK7,#REF!,4,FALSE)),0)</f>
        <v/>
      </c>
      <c r="HQL1">
        <f>IFERROR(IF((ISBLANK(VLOOKUP(HQL7,#REF!,4,FALSE)))=TRUE,VLOOKUP(HQL7,#REF!,3,FALSE),VLOOKUP(HQL7,#REF!,4,FALSE)),0)</f>
        <v/>
      </c>
      <c r="HQM1">
        <f>IFERROR(IF((ISBLANK(VLOOKUP(HQM7,#REF!,4,FALSE)))=TRUE,VLOOKUP(HQM7,#REF!,3,FALSE),VLOOKUP(HQM7,#REF!,4,FALSE)),0)</f>
        <v/>
      </c>
      <c r="HQN1">
        <f>IFERROR(IF((ISBLANK(VLOOKUP(HQN7,#REF!,4,FALSE)))=TRUE,VLOOKUP(HQN7,#REF!,3,FALSE),VLOOKUP(HQN7,#REF!,4,FALSE)),0)</f>
        <v/>
      </c>
      <c r="HQO1">
        <f>IFERROR(IF((ISBLANK(VLOOKUP(HQO7,#REF!,4,FALSE)))=TRUE,VLOOKUP(HQO7,#REF!,3,FALSE),VLOOKUP(HQO7,#REF!,4,FALSE)),0)</f>
        <v/>
      </c>
      <c r="HQP1">
        <f>IFERROR(IF((ISBLANK(VLOOKUP(HQP7,#REF!,4,FALSE)))=TRUE,VLOOKUP(HQP7,#REF!,3,FALSE),VLOOKUP(HQP7,#REF!,4,FALSE)),0)</f>
        <v/>
      </c>
      <c r="HQQ1">
        <f>IFERROR(IF((ISBLANK(VLOOKUP(HQQ7,#REF!,4,FALSE)))=TRUE,VLOOKUP(HQQ7,#REF!,3,FALSE),VLOOKUP(HQQ7,#REF!,4,FALSE)),0)</f>
        <v/>
      </c>
      <c r="HQR1">
        <f>IFERROR(IF((ISBLANK(VLOOKUP(HQR7,#REF!,4,FALSE)))=TRUE,VLOOKUP(HQR7,#REF!,3,FALSE),VLOOKUP(HQR7,#REF!,4,FALSE)),0)</f>
        <v/>
      </c>
      <c r="HQS1">
        <f>IFERROR(IF((ISBLANK(VLOOKUP(HQS7,#REF!,4,FALSE)))=TRUE,VLOOKUP(HQS7,#REF!,3,FALSE),VLOOKUP(HQS7,#REF!,4,FALSE)),0)</f>
        <v/>
      </c>
      <c r="HQT1">
        <f>IFERROR(IF((ISBLANK(VLOOKUP(HQT7,#REF!,4,FALSE)))=TRUE,VLOOKUP(HQT7,#REF!,3,FALSE),VLOOKUP(HQT7,#REF!,4,FALSE)),0)</f>
        <v/>
      </c>
      <c r="HQU1">
        <f>IFERROR(IF((ISBLANK(VLOOKUP(HQU7,#REF!,4,FALSE)))=TRUE,VLOOKUP(HQU7,#REF!,3,FALSE),VLOOKUP(HQU7,#REF!,4,FALSE)),0)</f>
        <v/>
      </c>
      <c r="HQV1">
        <f>IFERROR(IF((ISBLANK(VLOOKUP(HQV7,#REF!,4,FALSE)))=TRUE,VLOOKUP(HQV7,#REF!,3,FALSE),VLOOKUP(HQV7,#REF!,4,FALSE)),0)</f>
        <v/>
      </c>
      <c r="HQW1">
        <f>IFERROR(IF((ISBLANK(VLOOKUP(HQW7,#REF!,4,FALSE)))=TRUE,VLOOKUP(HQW7,#REF!,3,FALSE),VLOOKUP(HQW7,#REF!,4,FALSE)),0)</f>
        <v/>
      </c>
      <c r="HQX1">
        <f>IFERROR(IF((ISBLANK(VLOOKUP(HQX7,#REF!,4,FALSE)))=TRUE,VLOOKUP(HQX7,#REF!,3,FALSE),VLOOKUP(HQX7,#REF!,4,FALSE)),0)</f>
        <v/>
      </c>
      <c r="HQY1">
        <f>IFERROR(IF((ISBLANK(VLOOKUP(HQY7,#REF!,4,FALSE)))=TRUE,VLOOKUP(HQY7,#REF!,3,FALSE),VLOOKUP(HQY7,#REF!,4,FALSE)),0)</f>
        <v/>
      </c>
      <c r="HQZ1">
        <f>IFERROR(IF((ISBLANK(VLOOKUP(HQZ7,#REF!,4,FALSE)))=TRUE,VLOOKUP(HQZ7,#REF!,3,FALSE),VLOOKUP(HQZ7,#REF!,4,FALSE)),0)</f>
        <v/>
      </c>
      <c r="HRA1">
        <f>IFERROR(IF((ISBLANK(VLOOKUP(HRA7,#REF!,4,FALSE)))=TRUE,VLOOKUP(HRA7,#REF!,3,FALSE),VLOOKUP(HRA7,#REF!,4,FALSE)),0)</f>
        <v/>
      </c>
      <c r="HRB1">
        <f>IFERROR(IF((ISBLANK(VLOOKUP(HRB7,#REF!,4,FALSE)))=TRUE,VLOOKUP(HRB7,#REF!,3,FALSE),VLOOKUP(HRB7,#REF!,4,FALSE)),0)</f>
        <v/>
      </c>
      <c r="HRC1">
        <f>IFERROR(IF((ISBLANK(VLOOKUP(HRC7,#REF!,4,FALSE)))=TRUE,VLOOKUP(HRC7,#REF!,3,FALSE),VLOOKUP(HRC7,#REF!,4,FALSE)),0)</f>
        <v/>
      </c>
      <c r="HRD1">
        <f>IFERROR(IF((ISBLANK(VLOOKUP(HRD7,#REF!,4,FALSE)))=TRUE,VLOOKUP(HRD7,#REF!,3,FALSE),VLOOKUP(HRD7,#REF!,4,FALSE)),0)</f>
        <v/>
      </c>
      <c r="HRE1">
        <f>IFERROR(IF((ISBLANK(VLOOKUP(HRE7,#REF!,4,FALSE)))=TRUE,VLOOKUP(HRE7,#REF!,3,FALSE),VLOOKUP(HRE7,#REF!,4,FALSE)),0)</f>
        <v/>
      </c>
      <c r="HRF1">
        <f>IFERROR(IF((ISBLANK(VLOOKUP(HRF7,#REF!,4,FALSE)))=TRUE,VLOOKUP(HRF7,#REF!,3,FALSE),VLOOKUP(HRF7,#REF!,4,FALSE)),0)</f>
        <v/>
      </c>
      <c r="HRG1">
        <f>IFERROR(IF((ISBLANK(VLOOKUP(HRG7,#REF!,4,FALSE)))=TRUE,VLOOKUP(HRG7,#REF!,3,FALSE),VLOOKUP(HRG7,#REF!,4,FALSE)),0)</f>
        <v/>
      </c>
      <c r="HRH1">
        <f>IFERROR(IF((ISBLANK(VLOOKUP(HRH7,#REF!,4,FALSE)))=TRUE,VLOOKUP(HRH7,#REF!,3,FALSE),VLOOKUP(HRH7,#REF!,4,FALSE)),0)</f>
        <v/>
      </c>
      <c r="HRI1">
        <f>IFERROR(IF((ISBLANK(VLOOKUP(HRI7,#REF!,4,FALSE)))=TRUE,VLOOKUP(HRI7,#REF!,3,FALSE),VLOOKUP(HRI7,#REF!,4,FALSE)),0)</f>
        <v/>
      </c>
      <c r="HRJ1">
        <f>IFERROR(IF((ISBLANK(VLOOKUP(HRJ7,#REF!,4,FALSE)))=TRUE,VLOOKUP(HRJ7,#REF!,3,FALSE),VLOOKUP(HRJ7,#REF!,4,FALSE)),0)</f>
        <v/>
      </c>
      <c r="HRK1">
        <f>IFERROR(IF((ISBLANK(VLOOKUP(HRK7,#REF!,4,FALSE)))=TRUE,VLOOKUP(HRK7,#REF!,3,FALSE),VLOOKUP(HRK7,#REF!,4,FALSE)),0)</f>
        <v/>
      </c>
      <c r="HRL1">
        <f>IFERROR(IF((ISBLANK(VLOOKUP(HRL7,#REF!,4,FALSE)))=TRUE,VLOOKUP(HRL7,#REF!,3,FALSE),VLOOKUP(HRL7,#REF!,4,FALSE)),0)</f>
        <v/>
      </c>
      <c r="HRM1">
        <f>IFERROR(IF((ISBLANK(VLOOKUP(HRM7,#REF!,4,FALSE)))=TRUE,VLOOKUP(HRM7,#REF!,3,FALSE),VLOOKUP(HRM7,#REF!,4,FALSE)),0)</f>
        <v/>
      </c>
      <c r="HRN1">
        <f>IFERROR(IF((ISBLANK(VLOOKUP(HRN7,#REF!,4,FALSE)))=TRUE,VLOOKUP(HRN7,#REF!,3,FALSE),VLOOKUP(HRN7,#REF!,4,FALSE)),0)</f>
        <v/>
      </c>
      <c r="HRO1">
        <f>IFERROR(IF((ISBLANK(VLOOKUP(HRO7,#REF!,4,FALSE)))=TRUE,VLOOKUP(HRO7,#REF!,3,FALSE),VLOOKUP(HRO7,#REF!,4,FALSE)),0)</f>
        <v/>
      </c>
      <c r="HRP1">
        <f>IFERROR(IF((ISBLANK(VLOOKUP(HRP7,#REF!,4,FALSE)))=TRUE,VLOOKUP(HRP7,#REF!,3,FALSE),VLOOKUP(HRP7,#REF!,4,FALSE)),0)</f>
        <v/>
      </c>
      <c r="HRQ1">
        <f>IFERROR(IF((ISBLANK(VLOOKUP(HRQ7,#REF!,4,FALSE)))=TRUE,VLOOKUP(HRQ7,#REF!,3,FALSE),VLOOKUP(HRQ7,#REF!,4,FALSE)),0)</f>
        <v/>
      </c>
      <c r="HRR1">
        <f>IFERROR(IF((ISBLANK(VLOOKUP(HRR7,#REF!,4,FALSE)))=TRUE,VLOOKUP(HRR7,#REF!,3,FALSE),VLOOKUP(HRR7,#REF!,4,FALSE)),0)</f>
        <v/>
      </c>
      <c r="HRS1">
        <f>IFERROR(IF((ISBLANK(VLOOKUP(HRS7,#REF!,4,FALSE)))=TRUE,VLOOKUP(HRS7,#REF!,3,FALSE),VLOOKUP(HRS7,#REF!,4,FALSE)),0)</f>
        <v/>
      </c>
      <c r="HRT1">
        <f>IFERROR(IF((ISBLANK(VLOOKUP(HRT7,#REF!,4,FALSE)))=TRUE,VLOOKUP(HRT7,#REF!,3,FALSE),VLOOKUP(HRT7,#REF!,4,FALSE)),0)</f>
        <v/>
      </c>
      <c r="HRU1">
        <f>IFERROR(IF((ISBLANK(VLOOKUP(HRU7,#REF!,4,FALSE)))=TRUE,VLOOKUP(HRU7,#REF!,3,FALSE),VLOOKUP(HRU7,#REF!,4,FALSE)),0)</f>
        <v/>
      </c>
      <c r="HRV1">
        <f>IFERROR(IF((ISBLANK(VLOOKUP(HRV7,#REF!,4,FALSE)))=TRUE,VLOOKUP(HRV7,#REF!,3,FALSE),VLOOKUP(HRV7,#REF!,4,FALSE)),0)</f>
        <v/>
      </c>
      <c r="HRW1">
        <f>IFERROR(IF((ISBLANK(VLOOKUP(HRW7,#REF!,4,FALSE)))=TRUE,VLOOKUP(HRW7,#REF!,3,FALSE),VLOOKUP(HRW7,#REF!,4,FALSE)),0)</f>
        <v/>
      </c>
      <c r="HRX1">
        <f>IFERROR(IF((ISBLANK(VLOOKUP(HRX7,#REF!,4,FALSE)))=TRUE,VLOOKUP(HRX7,#REF!,3,FALSE),VLOOKUP(HRX7,#REF!,4,FALSE)),0)</f>
        <v/>
      </c>
      <c r="HRY1">
        <f>IFERROR(IF((ISBLANK(VLOOKUP(HRY7,#REF!,4,FALSE)))=TRUE,VLOOKUP(HRY7,#REF!,3,FALSE),VLOOKUP(HRY7,#REF!,4,FALSE)),0)</f>
        <v/>
      </c>
      <c r="HRZ1">
        <f>IFERROR(IF((ISBLANK(VLOOKUP(HRZ7,#REF!,4,FALSE)))=TRUE,VLOOKUP(HRZ7,#REF!,3,FALSE),VLOOKUP(HRZ7,#REF!,4,FALSE)),0)</f>
        <v/>
      </c>
      <c r="HSA1">
        <f>IFERROR(IF((ISBLANK(VLOOKUP(HSA7,#REF!,4,FALSE)))=TRUE,VLOOKUP(HSA7,#REF!,3,FALSE),VLOOKUP(HSA7,#REF!,4,FALSE)),0)</f>
        <v/>
      </c>
      <c r="HSB1">
        <f>IFERROR(IF((ISBLANK(VLOOKUP(HSB7,#REF!,4,FALSE)))=TRUE,VLOOKUP(HSB7,#REF!,3,FALSE),VLOOKUP(HSB7,#REF!,4,FALSE)),0)</f>
        <v/>
      </c>
      <c r="HSC1">
        <f>IFERROR(IF((ISBLANK(VLOOKUP(HSC7,#REF!,4,FALSE)))=TRUE,VLOOKUP(HSC7,#REF!,3,FALSE),VLOOKUP(HSC7,#REF!,4,FALSE)),0)</f>
        <v/>
      </c>
      <c r="HSD1">
        <f>IFERROR(IF((ISBLANK(VLOOKUP(HSD7,#REF!,4,FALSE)))=TRUE,VLOOKUP(HSD7,#REF!,3,FALSE),VLOOKUP(HSD7,#REF!,4,FALSE)),0)</f>
        <v/>
      </c>
      <c r="HSE1">
        <f>IFERROR(IF((ISBLANK(VLOOKUP(HSE7,#REF!,4,FALSE)))=TRUE,VLOOKUP(HSE7,#REF!,3,FALSE),VLOOKUP(HSE7,#REF!,4,FALSE)),0)</f>
        <v/>
      </c>
      <c r="HSF1">
        <f>IFERROR(IF((ISBLANK(VLOOKUP(HSF7,#REF!,4,FALSE)))=TRUE,VLOOKUP(HSF7,#REF!,3,FALSE),VLOOKUP(HSF7,#REF!,4,FALSE)),0)</f>
        <v/>
      </c>
      <c r="HSG1">
        <f>IFERROR(IF((ISBLANK(VLOOKUP(HSG7,#REF!,4,FALSE)))=TRUE,VLOOKUP(HSG7,#REF!,3,FALSE),VLOOKUP(HSG7,#REF!,4,FALSE)),0)</f>
        <v/>
      </c>
      <c r="HSH1">
        <f>IFERROR(IF((ISBLANK(VLOOKUP(HSH7,#REF!,4,FALSE)))=TRUE,VLOOKUP(HSH7,#REF!,3,FALSE),VLOOKUP(HSH7,#REF!,4,FALSE)),0)</f>
        <v/>
      </c>
      <c r="HSI1">
        <f>IFERROR(IF((ISBLANK(VLOOKUP(HSI7,#REF!,4,FALSE)))=TRUE,VLOOKUP(HSI7,#REF!,3,FALSE),VLOOKUP(HSI7,#REF!,4,FALSE)),0)</f>
        <v/>
      </c>
      <c r="HSJ1">
        <f>IFERROR(IF((ISBLANK(VLOOKUP(HSJ7,#REF!,4,FALSE)))=TRUE,VLOOKUP(HSJ7,#REF!,3,FALSE),VLOOKUP(HSJ7,#REF!,4,FALSE)),0)</f>
        <v/>
      </c>
      <c r="HSK1">
        <f>IFERROR(IF((ISBLANK(VLOOKUP(HSK7,#REF!,4,FALSE)))=TRUE,VLOOKUP(HSK7,#REF!,3,FALSE),VLOOKUP(HSK7,#REF!,4,FALSE)),0)</f>
        <v/>
      </c>
      <c r="HSL1">
        <f>IFERROR(IF((ISBLANK(VLOOKUP(HSL7,#REF!,4,FALSE)))=TRUE,VLOOKUP(HSL7,#REF!,3,FALSE),VLOOKUP(HSL7,#REF!,4,FALSE)),0)</f>
        <v/>
      </c>
      <c r="HSM1">
        <f>IFERROR(IF((ISBLANK(VLOOKUP(HSM7,#REF!,4,FALSE)))=TRUE,VLOOKUP(HSM7,#REF!,3,FALSE),VLOOKUP(HSM7,#REF!,4,FALSE)),0)</f>
        <v/>
      </c>
      <c r="HSN1">
        <f>IFERROR(IF((ISBLANK(VLOOKUP(HSN7,#REF!,4,FALSE)))=TRUE,VLOOKUP(HSN7,#REF!,3,FALSE),VLOOKUP(HSN7,#REF!,4,FALSE)),0)</f>
        <v/>
      </c>
      <c r="HSO1">
        <f>IFERROR(IF((ISBLANK(VLOOKUP(HSO7,#REF!,4,FALSE)))=TRUE,VLOOKUP(HSO7,#REF!,3,FALSE),VLOOKUP(HSO7,#REF!,4,FALSE)),0)</f>
        <v/>
      </c>
      <c r="HSP1">
        <f>IFERROR(IF((ISBLANK(VLOOKUP(HSP7,#REF!,4,FALSE)))=TRUE,VLOOKUP(HSP7,#REF!,3,FALSE),VLOOKUP(HSP7,#REF!,4,FALSE)),0)</f>
        <v/>
      </c>
      <c r="HSQ1">
        <f>IFERROR(IF((ISBLANK(VLOOKUP(HSQ7,#REF!,4,FALSE)))=TRUE,VLOOKUP(HSQ7,#REF!,3,FALSE),VLOOKUP(HSQ7,#REF!,4,FALSE)),0)</f>
        <v/>
      </c>
      <c r="HSR1">
        <f>IFERROR(IF((ISBLANK(VLOOKUP(HSR7,#REF!,4,FALSE)))=TRUE,VLOOKUP(HSR7,#REF!,3,FALSE),VLOOKUP(HSR7,#REF!,4,FALSE)),0)</f>
        <v/>
      </c>
      <c r="HSS1">
        <f>IFERROR(IF((ISBLANK(VLOOKUP(HSS7,#REF!,4,FALSE)))=TRUE,VLOOKUP(HSS7,#REF!,3,FALSE),VLOOKUP(HSS7,#REF!,4,FALSE)),0)</f>
        <v/>
      </c>
      <c r="HST1">
        <f>IFERROR(IF((ISBLANK(VLOOKUP(HST7,#REF!,4,FALSE)))=TRUE,VLOOKUP(HST7,#REF!,3,FALSE),VLOOKUP(HST7,#REF!,4,FALSE)),0)</f>
        <v/>
      </c>
      <c r="HSU1">
        <f>IFERROR(IF((ISBLANK(VLOOKUP(HSU7,#REF!,4,FALSE)))=TRUE,VLOOKUP(HSU7,#REF!,3,FALSE),VLOOKUP(HSU7,#REF!,4,FALSE)),0)</f>
        <v/>
      </c>
      <c r="HSV1">
        <f>IFERROR(IF((ISBLANK(VLOOKUP(HSV7,#REF!,4,FALSE)))=TRUE,VLOOKUP(HSV7,#REF!,3,FALSE),VLOOKUP(HSV7,#REF!,4,FALSE)),0)</f>
        <v/>
      </c>
      <c r="HSW1">
        <f>IFERROR(IF((ISBLANK(VLOOKUP(HSW7,#REF!,4,FALSE)))=TRUE,VLOOKUP(HSW7,#REF!,3,FALSE),VLOOKUP(HSW7,#REF!,4,FALSE)),0)</f>
        <v/>
      </c>
      <c r="HSX1">
        <f>IFERROR(IF((ISBLANK(VLOOKUP(HSX7,#REF!,4,FALSE)))=TRUE,VLOOKUP(HSX7,#REF!,3,FALSE),VLOOKUP(HSX7,#REF!,4,FALSE)),0)</f>
        <v/>
      </c>
      <c r="HSY1">
        <f>IFERROR(IF((ISBLANK(VLOOKUP(HSY7,#REF!,4,FALSE)))=TRUE,VLOOKUP(HSY7,#REF!,3,FALSE),VLOOKUP(HSY7,#REF!,4,FALSE)),0)</f>
        <v/>
      </c>
      <c r="HSZ1">
        <f>IFERROR(IF((ISBLANK(VLOOKUP(HSZ7,#REF!,4,FALSE)))=TRUE,VLOOKUP(HSZ7,#REF!,3,FALSE),VLOOKUP(HSZ7,#REF!,4,FALSE)),0)</f>
        <v/>
      </c>
      <c r="HTA1">
        <f>IFERROR(IF((ISBLANK(VLOOKUP(HTA7,#REF!,4,FALSE)))=TRUE,VLOOKUP(HTA7,#REF!,3,FALSE),VLOOKUP(HTA7,#REF!,4,FALSE)),0)</f>
        <v/>
      </c>
      <c r="HTB1">
        <f>IFERROR(IF((ISBLANK(VLOOKUP(HTB7,#REF!,4,FALSE)))=TRUE,VLOOKUP(HTB7,#REF!,3,FALSE),VLOOKUP(HTB7,#REF!,4,FALSE)),0)</f>
        <v/>
      </c>
      <c r="HTC1">
        <f>IFERROR(IF((ISBLANK(VLOOKUP(HTC7,#REF!,4,FALSE)))=TRUE,VLOOKUP(HTC7,#REF!,3,FALSE),VLOOKUP(HTC7,#REF!,4,FALSE)),0)</f>
        <v/>
      </c>
      <c r="HTD1">
        <f>IFERROR(IF((ISBLANK(VLOOKUP(HTD7,#REF!,4,FALSE)))=TRUE,VLOOKUP(HTD7,#REF!,3,FALSE),VLOOKUP(HTD7,#REF!,4,FALSE)),0)</f>
        <v/>
      </c>
      <c r="HTE1">
        <f>IFERROR(IF((ISBLANK(VLOOKUP(HTE7,#REF!,4,FALSE)))=TRUE,VLOOKUP(HTE7,#REF!,3,FALSE),VLOOKUP(HTE7,#REF!,4,FALSE)),0)</f>
        <v/>
      </c>
      <c r="HTF1">
        <f>IFERROR(IF((ISBLANK(VLOOKUP(HTF7,#REF!,4,FALSE)))=TRUE,VLOOKUP(HTF7,#REF!,3,FALSE),VLOOKUP(HTF7,#REF!,4,FALSE)),0)</f>
        <v/>
      </c>
      <c r="HTG1">
        <f>IFERROR(IF((ISBLANK(VLOOKUP(HTG7,#REF!,4,FALSE)))=TRUE,VLOOKUP(HTG7,#REF!,3,FALSE),VLOOKUP(HTG7,#REF!,4,FALSE)),0)</f>
        <v/>
      </c>
      <c r="HTH1">
        <f>IFERROR(IF((ISBLANK(VLOOKUP(HTH7,#REF!,4,FALSE)))=TRUE,VLOOKUP(HTH7,#REF!,3,FALSE),VLOOKUP(HTH7,#REF!,4,FALSE)),0)</f>
        <v/>
      </c>
      <c r="HTI1">
        <f>IFERROR(IF((ISBLANK(VLOOKUP(HTI7,#REF!,4,FALSE)))=TRUE,VLOOKUP(HTI7,#REF!,3,FALSE),VLOOKUP(HTI7,#REF!,4,FALSE)),0)</f>
        <v/>
      </c>
      <c r="HTJ1">
        <f>IFERROR(IF((ISBLANK(VLOOKUP(HTJ7,#REF!,4,FALSE)))=TRUE,VLOOKUP(HTJ7,#REF!,3,FALSE),VLOOKUP(HTJ7,#REF!,4,FALSE)),0)</f>
        <v/>
      </c>
      <c r="HTK1">
        <f>IFERROR(IF((ISBLANK(VLOOKUP(HTK7,#REF!,4,FALSE)))=TRUE,VLOOKUP(HTK7,#REF!,3,FALSE),VLOOKUP(HTK7,#REF!,4,FALSE)),0)</f>
        <v/>
      </c>
      <c r="HTL1">
        <f>IFERROR(IF((ISBLANK(VLOOKUP(HTL7,#REF!,4,FALSE)))=TRUE,VLOOKUP(HTL7,#REF!,3,FALSE),VLOOKUP(HTL7,#REF!,4,FALSE)),0)</f>
        <v/>
      </c>
      <c r="HTM1">
        <f>IFERROR(IF((ISBLANK(VLOOKUP(HTM7,#REF!,4,FALSE)))=TRUE,VLOOKUP(HTM7,#REF!,3,FALSE),VLOOKUP(HTM7,#REF!,4,FALSE)),0)</f>
        <v/>
      </c>
      <c r="HTN1">
        <f>IFERROR(IF((ISBLANK(VLOOKUP(HTN7,#REF!,4,FALSE)))=TRUE,VLOOKUP(HTN7,#REF!,3,FALSE),VLOOKUP(HTN7,#REF!,4,FALSE)),0)</f>
        <v/>
      </c>
      <c r="HTO1">
        <f>IFERROR(IF((ISBLANK(VLOOKUP(HTO7,#REF!,4,FALSE)))=TRUE,VLOOKUP(HTO7,#REF!,3,FALSE),VLOOKUP(HTO7,#REF!,4,FALSE)),0)</f>
        <v/>
      </c>
      <c r="HTP1">
        <f>IFERROR(IF((ISBLANK(VLOOKUP(HTP7,#REF!,4,FALSE)))=TRUE,VLOOKUP(HTP7,#REF!,3,FALSE),VLOOKUP(HTP7,#REF!,4,FALSE)),0)</f>
        <v/>
      </c>
      <c r="HTQ1">
        <f>IFERROR(IF((ISBLANK(VLOOKUP(HTQ7,#REF!,4,FALSE)))=TRUE,VLOOKUP(HTQ7,#REF!,3,FALSE),VLOOKUP(HTQ7,#REF!,4,FALSE)),0)</f>
        <v/>
      </c>
      <c r="HTR1">
        <f>IFERROR(IF((ISBLANK(VLOOKUP(HTR7,#REF!,4,FALSE)))=TRUE,VLOOKUP(HTR7,#REF!,3,FALSE),VLOOKUP(HTR7,#REF!,4,FALSE)),0)</f>
        <v/>
      </c>
      <c r="HTS1">
        <f>IFERROR(IF((ISBLANK(VLOOKUP(HTS7,#REF!,4,FALSE)))=TRUE,VLOOKUP(HTS7,#REF!,3,FALSE),VLOOKUP(HTS7,#REF!,4,FALSE)),0)</f>
        <v/>
      </c>
      <c r="HTT1">
        <f>IFERROR(IF((ISBLANK(VLOOKUP(HTT7,#REF!,4,FALSE)))=TRUE,VLOOKUP(HTT7,#REF!,3,FALSE),VLOOKUP(HTT7,#REF!,4,FALSE)),0)</f>
        <v/>
      </c>
      <c r="HTU1">
        <f>IFERROR(IF((ISBLANK(VLOOKUP(HTU7,#REF!,4,FALSE)))=TRUE,VLOOKUP(HTU7,#REF!,3,FALSE),VLOOKUP(HTU7,#REF!,4,FALSE)),0)</f>
        <v/>
      </c>
      <c r="HTV1">
        <f>IFERROR(IF((ISBLANK(VLOOKUP(HTV7,#REF!,4,FALSE)))=TRUE,VLOOKUP(HTV7,#REF!,3,FALSE),VLOOKUP(HTV7,#REF!,4,FALSE)),0)</f>
        <v/>
      </c>
      <c r="HTW1">
        <f>IFERROR(IF((ISBLANK(VLOOKUP(HTW7,#REF!,4,FALSE)))=TRUE,VLOOKUP(HTW7,#REF!,3,FALSE),VLOOKUP(HTW7,#REF!,4,FALSE)),0)</f>
        <v/>
      </c>
      <c r="HTX1">
        <f>IFERROR(IF((ISBLANK(VLOOKUP(HTX7,#REF!,4,FALSE)))=TRUE,VLOOKUP(HTX7,#REF!,3,FALSE),VLOOKUP(HTX7,#REF!,4,FALSE)),0)</f>
        <v/>
      </c>
      <c r="HTY1">
        <f>IFERROR(IF((ISBLANK(VLOOKUP(HTY7,#REF!,4,FALSE)))=TRUE,VLOOKUP(HTY7,#REF!,3,FALSE),VLOOKUP(HTY7,#REF!,4,FALSE)),0)</f>
        <v/>
      </c>
      <c r="HTZ1">
        <f>IFERROR(IF((ISBLANK(VLOOKUP(HTZ7,#REF!,4,FALSE)))=TRUE,VLOOKUP(HTZ7,#REF!,3,FALSE),VLOOKUP(HTZ7,#REF!,4,FALSE)),0)</f>
        <v/>
      </c>
      <c r="HUA1">
        <f>IFERROR(IF((ISBLANK(VLOOKUP(HUA7,#REF!,4,FALSE)))=TRUE,VLOOKUP(HUA7,#REF!,3,FALSE),VLOOKUP(HUA7,#REF!,4,FALSE)),0)</f>
        <v/>
      </c>
      <c r="HUB1">
        <f>IFERROR(IF((ISBLANK(VLOOKUP(HUB7,#REF!,4,FALSE)))=TRUE,VLOOKUP(HUB7,#REF!,3,FALSE),VLOOKUP(HUB7,#REF!,4,FALSE)),0)</f>
        <v/>
      </c>
      <c r="HUC1">
        <f>IFERROR(IF((ISBLANK(VLOOKUP(HUC7,#REF!,4,FALSE)))=TRUE,VLOOKUP(HUC7,#REF!,3,FALSE),VLOOKUP(HUC7,#REF!,4,FALSE)),0)</f>
        <v/>
      </c>
      <c r="HUD1">
        <f>IFERROR(IF((ISBLANK(VLOOKUP(HUD7,#REF!,4,FALSE)))=TRUE,VLOOKUP(HUD7,#REF!,3,FALSE),VLOOKUP(HUD7,#REF!,4,FALSE)),0)</f>
        <v/>
      </c>
      <c r="HUE1">
        <f>IFERROR(IF((ISBLANK(VLOOKUP(HUE7,#REF!,4,FALSE)))=TRUE,VLOOKUP(HUE7,#REF!,3,FALSE),VLOOKUP(HUE7,#REF!,4,FALSE)),0)</f>
        <v/>
      </c>
      <c r="HUF1">
        <f>IFERROR(IF((ISBLANK(VLOOKUP(HUF7,#REF!,4,FALSE)))=TRUE,VLOOKUP(HUF7,#REF!,3,FALSE),VLOOKUP(HUF7,#REF!,4,FALSE)),0)</f>
        <v/>
      </c>
      <c r="HUG1">
        <f>IFERROR(IF((ISBLANK(VLOOKUP(HUG7,#REF!,4,FALSE)))=TRUE,VLOOKUP(HUG7,#REF!,3,FALSE),VLOOKUP(HUG7,#REF!,4,FALSE)),0)</f>
        <v/>
      </c>
      <c r="HUH1">
        <f>IFERROR(IF((ISBLANK(VLOOKUP(HUH7,#REF!,4,FALSE)))=TRUE,VLOOKUP(HUH7,#REF!,3,FALSE),VLOOKUP(HUH7,#REF!,4,FALSE)),0)</f>
        <v/>
      </c>
      <c r="HUI1">
        <f>IFERROR(IF((ISBLANK(VLOOKUP(HUI7,#REF!,4,FALSE)))=TRUE,VLOOKUP(HUI7,#REF!,3,FALSE),VLOOKUP(HUI7,#REF!,4,FALSE)),0)</f>
        <v/>
      </c>
      <c r="HUJ1">
        <f>IFERROR(IF((ISBLANK(VLOOKUP(HUJ7,#REF!,4,FALSE)))=TRUE,VLOOKUP(HUJ7,#REF!,3,FALSE),VLOOKUP(HUJ7,#REF!,4,FALSE)),0)</f>
        <v/>
      </c>
      <c r="HUK1">
        <f>IFERROR(IF((ISBLANK(VLOOKUP(HUK7,#REF!,4,FALSE)))=TRUE,VLOOKUP(HUK7,#REF!,3,FALSE),VLOOKUP(HUK7,#REF!,4,FALSE)),0)</f>
        <v/>
      </c>
      <c r="HUL1">
        <f>IFERROR(IF((ISBLANK(VLOOKUP(HUL7,#REF!,4,FALSE)))=TRUE,VLOOKUP(HUL7,#REF!,3,FALSE),VLOOKUP(HUL7,#REF!,4,FALSE)),0)</f>
        <v/>
      </c>
      <c r="HUM1">
        <f>IFERROR(IF((ISBLANK(VLOOKUP(HUM7,#REF!,4,FALSE)))=TRUE,VLOOKUP(HUM7,#REF!,3,FALSE),VLOOKUP(HUM7,#REF!,4,FALSE)),0)</f>
        <v/>
      </c>
      <c r="HUN1">
        <f>IFERROR(IF((ISBLANK(VLOOKUP(HUN7,#REF!,4,FALSE)))=TRUE,VLOOKUP(HUN7,#REF!,3,FALSE),VLOOKUP(HUN7,#REF!,4,FALSE)),0)</f>
        <v/>
      </c>
      <c r="HUO1">
        <f>IFERROR(IF((ISBLANK(VLOOKUP(HUO7,#REF!,4,FALSE)))=TRUE,VLOOKUP(HUO7,#REF!,3,FALSE),VLOOKUP(HUO7,#REF!,4,FALSE)),0)</f>
        <v/>
      </c>
      <c r="HUP1">
        <f>IFERROR(IF((ISBLANK(VLOOKUP(HUP7,#REF!,4,FALSE)))=TRUE,VLOOKUP(HUP7,#REF!,3,FALSE),VLOOKUP(HUP7,#REF!,4,FALSE)),0)</f>
        <v/>
      </c>
      <c r="HUQ1">
        <f>IFERROR(IF((ISBLANK(VLOOKUP(HUQ7,#REF!,4,FALSE)))=TRUE,VLOOKUP(HUQ7,#REF!,3,FALSE),VLOOKUP(HUQ7,#REF!,4,FALSE)),0)</f>
        <v/>
      </c>
      <c r="HUR1">
        <f>IFERROR(IF((ISBLANK(VLOOKUP(HUR7,#REF!,4,FALSE)))=TRUE,VLOOKUP(HUR7,#REF!,3,FALSE),VLOOKUP(HUR7,#REF!,4,FALSE)),0)</f>
        <v/>
      </c>
      <c r="HUS1">
        <f>IFERROR(IF((ISBLANK(VLOOKUP(HUS7,#REF!,4,FALSE)))=TRUE,VLOOKUP(HUS7,#REF!,3,FALSE),VLOOKUP(HUS7,#REF!,4,FALSE)),0)</f>
        <v/>
      </c>
      <c r="HUT1">
        <f>IFERROR(IF((ISBLANK(VLOOKUP(HUT7,#REF!,4,FALSE)))=TRUE,VLOOKUP(HUT7,#REF!,3,FALSE),VLOOKUP(HUT7,#REF!,4,FALSE)),0)</f>
        <v/>
      </c>
      <c r="HUU1">
        <f>IFERROR(IF((ISBLANK(VLOOKUP(HUU7,#REF!,4,FALSE)))=TRUE,VLOOKUP(HUU7,#REF!,3,FALSE),VLOOKUP(HUU7,#REF!,4,FALSE)),0)</f>
        <v/>
      </c>
      <c r="HUV1">
        <f>IFERROR(IF((ISBLANK(VLOOKUP(HUV7,#REF!,4,FALSE)))=TRUE,VLOOKUP(HUV7,#REF!,3,FALSE),VLOOKUP(HUV7,#REF!,4,FALSE)),0)</f>
        <v/>
      </c>
      <c r="HUW1">
        <f>IFERROR(IF((ISBLANK(VLOOKUP(HUW7,#REF!,4,FALSE)))=TRUE,VLOOKUP(HUW7,#REF!,3,FALSE),VLOOKUP(HUW7,#REF!,4,FALSE)),0)</f>
        <v/>
      </c>
      <c r="HUX1">
        <f>IFERROR(IF((ISBLANK(VLOOKUP(HUX7,#REF!,4,FALSE)))=TRUE,VLOOKUP(HUX7,#REF!,3,FALSE),VLOOKUP(HUX7,#REF!,4,FALSE)),0)</f>
        <v/>
      </c>
      <c r="HUY1">
        <f>IFERROR(IF((ISBLANK(VLOOKUP(HUY7,#REF!,4,FALSE)))=TRUE,VLOOKUP(HUY7,#REF!,3,FALSE),VLOOKUP(HUY7,#REF!,4,FALSE)),0)</f>
        <v/>
      </c>
      <c r="HUZ1">
        <f>IFERROR(IF((ISBLANK(VLOOKUP(HUZ7,#REF!,4,FALSE)))=TRUE,VLOOKUP(HUZ7,#REF!,3,FALSE),VLOOKUP(HUZ7,#REF!,4,FALSE)),0)</f>
        <v/>
      </c>
      <c r="HVA1">
        <f>IFERROR(IF((ISBLANK(VLOOKUP(HVA7,#REF!,4,FALSE)))=TRUE,VLOOKUP(HVA7,#REF!,3,FALSE),VLOOKUP(HVA7,#REF!,4,FALSE)),0)</f>
        <v/>
      </c>
      <c r="HVB1">
        <f>IFERROR(IF((ISBLANK(VLOOKUP(HVB7,#REF!,4,FALSE)))=TRUE,VLOOKUP(HVB7,#REF!,3,FALSE),VLOOKUP(HVB7,#REF!,4,FALSE)),0)</f>
        <v/>
      </c>
      <c r="HVC1">
        <f>IFERROR(IF((ISBLANK(VLOOKUP(HVC7,#REF!,4,FALSE)))=TRUE,VLOOKUP(HVC7,#REF!,3,FALSE),VLOOKUP(HVC7,#REF!,4,FALSE)),0)</f>
        <v/>
      </c>
      <c r="HVD1">
        <f>IFERROR(IF((ISBLANK(VLOOKUP(HVD7,#REF!,4,FALSE)))=TRUE,VLOOKUP(HVD7,#REF!,3,FALSE),VLOOKUP(HVD7,#REF!,4,FALSE)),0)</f>
        <v/>
      </c>
      <c r="HVE1">
        <f>IFERROR(IF((ISBLANK(VLOOKUP(HVE7,#REF!,4,FALSE)))=TRUE,VLOOKUP(HVE7,#REF!,3,FALSE),VLOOKUP(HVE7,#REF!,4,FALSE)),0)</f>
        <v/>
      </c>
      <c r="HVF1">
        <f>IFERROR(IF((ISBLANK(VLOOKUP(HVF7,#REF!,4,FALSE)))=TRUE,VLOOKUP(HVF7,#REF!,3,FALSE),VLOOKUP(HVF7,#REF!,4,FALSE)),0)</f>
        <v/>
      </c>
      <c r="HVG1">
        <f>IFERROR(IF((ISBLANK(VLOOKUP(HVG7,#REF!,4,FALSE)))=TRUE,VLOOKUP(HVG7,#REF!,3,FALSE),VLOOKUP(HVG7,#REF!,4,FALSE)),0)</f>
        <v/>
      </c>
      <c r="HVH1">
        <f>IFERROR(IF((ISBLANK(VLOOKUP(HVH7,#REF!,4,FALSE)))=TRUE,VLOOKUP(HVH7,#REF!,3,FALSE),VLOOKUP(HVH7,#REF!,4,FALSE)),0)</f>
        <v/>
      </c>
      <c r="HVI1">
        <f>IFERROR(IF((ISBLANK(VLOOKUP(HVI7,#REF!,4,FALSE)))=TRUE,VLOOKUP(HVI7,#REF!,3,FALSE),VLOOKUP(HVI7,#REF!,4,FALSE)),0)</f>
        <v/>
      </c>
      <c r="HVJ1">
        <f>IFERROR(IF((ISBLANK(VLOOKUP(HVJ7,#REF!,4,FALSE)))=TRUE,VLOOKUP(HVJ7,#REF!,3,FALSE),VLOOKUP(HVJ7,#REF!,4,FALSE)),0)</f>
        <v/>
      </c>
      <c r="HVK1">
        <f>IFERROR(IF((ISBLANK(VLOOKUP(HVK7,#REF!,4,FALSE)))=TRUE,VLOOKUP(HVK7,#REF!,3,FALSE),VLOOKUP(HVK7,#REF!,4,FALSE)),0)</f>
        <v/>
      </c>
      <c r="HVL1">
        <f>IFERROR(IF((ISBLANK(VLOOKUP(HVL7,#REF!,4,FALSE)))=TRUE,VLOOKUP(HVL7,#REF!,3,FALSE),VLOOKUP(HVL7,#REF!,4,FALSE)),0)</f>
        <v/>
      </c>
      <c r="HVM1">
        <f>IFERROR(IF((ISBLANK(VLOOKUP(HVM7,#REF!,4,FALSE)))=TRUE,VLOOKUP(HVM7,#REF!,3,FALSE),VLOOKUP(HVM7,#REF!,4,FALSE)),0)</f>
        <v/>
      </c>
      <c r="HVN1">
        <f>IFERROR(IF((ISBLANK(VLOOKUP(HVN7,#REF!,4,FALSE)))=TRUE,VLOOKUP(HVN7,#REF!,3,FALSE),VLOOKUP(HVN7,#REF!,4,FALSE)),0)</f>
        <v/>
      </c>
      <c r="HVO1">
        <f>IFERROR(IF((ISBLANK(VLOOKUP(HVO7,#REF!,4,FALSE)))=TRUE,VLOOKUP(HVO7,#REF!,3,FALSE),VLOOKUP(HVO7,#REF!,4,FALSE)),0)</f>
        <v/>
      </c>
      <c r="HVP1">
        <f>IFERROR(IF((ISBLANK(VLOOKUP(HVP7,#REF!,4,FALSE)))=TRUE,VLOOKUP(HVP7,#REF!,3,FALSE),VLOOKUP(HVP7,#REF!,4,FALSE)),0)</f>
        <v/>
      </c>
      <c r="HVQ1">
        <f>IFERROR(IF((ISBLANK(VLOOKUP(HVQ7,#REF!,4,FALSE)))=TRUE,VLOOKUP(HVQ7,#REF!,3,FALSE),VLOOKUP(HVQ7,#REF!,4,FALSE)),0)</f>
        <v/>
      </c>
      <c r="HVR1">
        <f>IFERROR(IF((ISBLANK(VLOOKUP(HVR7,#REF!,4,FALSE)))=TRUE,VLOOKUP(HVR7,#REF!,3,FALSE),VLOOKUP(HVR7,#REF!,4,FALSE)),0)</f>
        <v/>
      </c>
      <c r="HVS1">
        <f>IFERROR(IF((ISBLANK(VLOOKUP(HVS7,#REF!,4,FALSE)))=TRUE,VLOOKUP(HVS7,#REF!,3,FALSE),VLOOKUP(HVS7,#REF!,4,FALSE)),0)</f>
        <v/>
      </c>
      <c r="HVT1">
        <f>IFERROR(IF((ISBLANK(VLOOKUP(HVT7,#REF!,4,FALSE)))=TRUE,VLOOKUP(HVT7,#REF!,3,FALSE),VLOOKUP(HVT7,#REF!,4,FALSE)),0)</f>
        <v/>
      </c>
      <c r="HVU1">
        <f>IFERROR(IF((ISBLANK(VLOOKUP(HVU7,#REF!,4,FALSE)))=TRUE,VLOOKUP(HVU7,#REF!,3,FALSE),VLOOKUP(HVU7,#REF!,4,FALSE)),0)</f>
        <v/>
      </c>
      <c r="HVV1">
        <f>IFERROR(IF((ISBLANK(VLOOKUP(HVV7,#REF!,4,FALSE)))=TRUE,VLOOKUP(HVV7,#REF!,3,FALSE),VLOOKUP(HVV7,#REF!,4,FALSE)),0)</f>
        <v/>
      </c>
      <c r="HVW1">
        <f>IFERROR(IF((ISBLANK(VLOOKUP(HVW7,#REF!,4,FALSE)))=TRUE,VLOOKUP(HVW7,#REF!,3,FALSE),VLOOKUP(HVW7,#REF!,4,FALSE)),0)</f>
        <v/>
      </c>
      <c r="HVX1">
        <f>IFERROR(IF((ISBLANK(VLOOKUP(HVX7,#REF!,4,FALSE)))=TRUE,VLOOKUP(HVX7,#REF!,3,FALSE),VLOOKUP(HVX7,#REF!,4,FALSE)),0)</f>
        <v/>
      </c>
      <c r="HVY1">
        <f>IFERROR(IF((ISBLANK(VLOOKUP(HVY7,#REF!,4,FALSE)))=TRUE,VLOOKUP(HVY7,#REF!,3,FALSE),VLOOKUP(HVY7,#REF!,4,FALSE)),0)</f>
        <v/>
      </c>
      <c r="HVZ1">
        <f>IFERROR(IF((ISBLANK(VLOOKUP(HVZ7,#REF!,4,FALSE)))=TRUE,VLOOKUP(HVZ7,#REF!,3,FALSE),VLOOKUP(HVZ7,#REF!,4,FALSE)),0)</f>
        <v/>
      </c>
      <c r="HWA1">
        <f>IFERROR(IF((ISBLANK(VLOOKUP(HWA7,#REF!,4,FALSE)))=TRUE,VLOOKUP(HWA7,#REF!,3,FALSE),VLOOKUP(HWA7,#REF!,4,FALSE)),0)</f>
        <v/>
      </c>
      <c r="HWB1">
        <f>IFERROR(IF((ISBLANK(VLOOKUP(HWB7,#REF!,4,FALSE)))=TRUE,VLOOKUP(HWB7,#REF!,3,FALSE),VLOOKUP(HWB7,#REF!,4,FALSE)),0)</f>
        <v/>
      </c>
      <c r="HWC1">
        <f>IFERROR(IF((ISBLANK(VLOOKUP(HWC7,#REF!,4,FALSE)))=TRUE,VLOOKUP(HWC7,#REF!,3,FALSE),VLOOKUP(HWC7,#REF!,4,FALSE)),0)</f>
        <v/>
      </c>
      <c r="HWD1">
        <f>IFERROR(IF((ISBLANK(VLOOKUP(HWD7,#REF!,4,FALSE)))=TRUE,VLOOKUP(HWD7,#REF!,3,FALSE),VLOOKUP(HWD7,#REF!,4,FALSE)),0)</f>
        <v/>
      </c>
      <c r="HWE1">
        <f>IFERROR(IF((ISBLANK(VLOOKUP(HWE7,#REF!,4,FALSE)))=TRUE,VLOOKUP(HWE7,#REF!,3,FALSE),VLOOKUP(HWE7,#REF!,4,FALSE)),0)</f>
        <v/>
      </c>
      <c r="HWF1">
        <f>IFERROR(IF((ISBLANK(VLOOKUP(HWF7,#REF!,4,FALSE)))=TRUE,VLOOKUP(HWF7,#REF!,3,FALSE),VLOOKUP(HWF7,#REF!,4,FALSE)),0)</f>
        <v/>
      </c>
      <c r="HWG1">
        <f>IFERROR(IF((ISBLANK(VLOOKUP(HWG7,#REF!,4,FALSE)))=TRUE,VLOOKUP(HWG7,#REF!,3,FALSE),VLOOKUP(HWG7,#REF!,4,FALSE)),0)</f>
        <v/>
      </c>
      <c r="HWH1">
        <f>IFERROR(IF((ISBLANK(VLOOKUP(HWH7,#REF!,4,FALSE)))=TRUE,VLOOKUP(HWH7,#REF!,3,FALSE),VLOOKUP(HWH7,#REF!,4,FALSE)),0)</f>
        <v/>
      </c>
      <c r="HWI1">
        <f>IFERROR(IF((ISBLANK(VLOOKUP(HWI7,#REF!,4,FALSE)))=TRUE,VLOOKUP(HWI7,#REF!,3,FALSE),VLOOKUP(HWI7,#REF!,4,FALSE)),0)</f>
        <v/>
      </c>
      <c r="HWJ1">
        <f>IFERROR(IF((ISBLANK(VLOOKUP(HWJ7,#REF!,4,FALSE)))=TRUE,VLOOKUP(HWJ7,#REF!,3,FALSE),VLOOKUP(HWJ7,#REF!,4,FALSE)),0)</f>
        <v/>
      </c>
      <c r="HWK1">
        <f>IFERROR(IF((ISBLANK(VLOOKUP(HWK7,#REF!,4,FALSE)))=TRUE,VLOOKUP(HWK7,#REF!,3,FALSE),VLOOKUP(HWK7,#REF!,4,FALSE)),0)</f>
        <v/>
      </c>
      <c r="HWL1">
        <f>IFERROR(IF((ISBLANK(VLOOKUP(HWL7,#REF!,4,FALSE)))=TRUE,VLOOKUP(HWL7,#REF!,3,FALSE),VLOOKUP(HWL7,#REF!,4,FALSE)),0)</f>
        <v/>
      </c>
      <c r="HWM1">
        <f>IFERROR(IF((ISBLANK(VLOOKUP(HWM7,#REF!,4,FALSE)))=TRUE,VLOOKUP(HWM7,#REF!,3,FALSE),VLOOKUP(HWM7,#REF!,4,FALSE)),0)</f>
        <v/>
      </c>
      <c r="HWN1">
        <f>IFERROR(IF((ISBLANK(VLOOKUP(HWN7,#REF!,4,FALSE)))=TRUE,VLOOKUP(HWN7,#REF!,3,FALSE),VLOOKUP(HWN7,#REF!,4,FALSE)),0)</f>
        <v/>
      </c>
      <c r="HWO1">
        <f>IFERROR(IF((ISBLANK(VLOOKUP(HWO7,#REF!,4,FALSE)))=TRUE,VLOOKUP(HWO7,#REF!,3,FALSE),VLOOKUP(HWO7,#REF!,4,FALSE)),0)</f>
        <v/>
      </c>
      <c r="HWP1">
        <f>IFERROR(IF((ISBLANK(VLOOKUP(HWP7,#REF!,4,FALSE)))=TRUE,VLOOKUP(HWP7,#REF!,3,FALSE),VLOOKUP(HWP7,#REF!,4,FALSE)),0)</f>
        <v/>
      </c>
      <c r="HWQ1">
        <f>IFERROR(IF((ISBLANK(VLOOKUP(HWQ7,#REF!,4,FALSE)))=TRUE,VLOOKUP(HWQ7,#REF!,3,FALSE),VLOOKUP(HWQ7,#REF!,4,FALSE)),0)</f>
        <v/>
      </c>
      <c r="HWR1">
        <f>IFERROR(IF((ISBLANK(VLOOKUP(HWR7,#REF!,4,FALSE)))=TRUE,VLOOKUP(HWR7,#REF!,3,FALSE),VLOOKUP(HWR7,#REF!,4,FALSE)),0)</f>
        <v/>
      </c>
      <c r="HWS1">
        <f>IFERROR(IF((ISBLANK(VLOOKUP(HWS7,#REF!,4,FALSE)))=TRUE,VLOOKUP(HWS7,#REF!,3,FALSE),VLOOKUP(HWS7,#REF!,4,FALSE)),0)</f>
        <v/>
      </c>
      <c r="HWT1">
        <f>IFERROR(IF((ISBLANK(VLOOKUP(HWT7,#REF!,4,FALSE)))=TRUE,VLOOKUP(HWT7,#REF!,3,FALSE),VLOOKUP(HWT7,#REF!,4,FALSE)),0)</f>
        <v/>
      </c>
      <c r="HWU1">
        <f>IFERROR(IF((ISBLANK(VLOOKUP(HWU7,#REF!,4,FALSE)))=TRUE,VLOOKUP(HWU7,#REF!,3,FALSE),VLOOKUP(HWU7,#REF!,4,FALSE)),0)</f>
        <v/>
      </c>
      <c r="HWV1">
        <f>IFERROR(IF((ISBLANK(VLOOKUP(HWV7,#REF!,4,FALSE)))=TRUE,VLOOKUP(HWV7,#REF!,3,FALSE),VLOOKUP(HWV7,#REF!,4,FALSE)),0)</f>
        <v/>
      </c>
      <c r="HWW1">
        <f>IFERROR(IF((ISBLANK(VLOOKUP(HWW7,#REF!,4,FALSE)))=TRUE,VLOOKUP(HWW7,#REF!,3,FALSE),VLOOKUP(HWW7,#REF!,4,FALSE)),0)</f>
        <v/>
      </c>
      <c r="HWX1">
        <f>IFERROR(IF((ISBLANK(VLOOKUP(HWX7,#REF!,4,FALSE)))=TRUE,VLOOKUP(HWX7,#REF!,3,FALSE),VLOOKUP(HWX7,#REF!,4,FALSE)),0)</f>
        <v/>
      </c>
      <c r="HWY1">
        <f>IFERROR(IF((ISBLANK(VLOOKUP(HWY7,#REF!,4,FALSE)))=TRUE,VLOOKUP(HWY7,#REF!,3,FALSE),VLOOKUP(HWY7,#REF!,4,FALSE)),0)</f>
        <v/>
      </c>
      <c r="HWZ1">
        <f>IFERROR(IF((ISBLANK(VLOOKUP(HWZ7,#REF!,4,FALSE)))=TRUE,VLOOKUP(HWZ7,#REF!,3,FALSE),VLOOKUP(HWZ7,#REF!,4,FALSE)),0)</f>
        <v/>
      </c>
      <c r="HXA1">
        <f>IFERROR(IF((ISBLANK(VLOOKUP(HXA7,#REF!,4,FALSE)))=TRUE,VLOOKUP(HXA7,#REF!,3,FALSE),VLOOKUP(HXA7,#REF!,4,FALSE)),0)</f>
        <v/>
      </c>
      <c r="HXB1">
        <f>IFERROR(IF((ISBLANK(VLOOKUP(HXB7,#REF!,4,FALSE)))=TRUE,VLOOKUP(HXB7,#REF!,3,FALSE),VLOOKUP(HXB7,#REF!,4,FALSE)),0)</f>
        <v/>
      </c>
      <c r="HXC1">
        <f>IFERROR(IF((ISBLANK(VLOOKUP(HXC7,#REF!,4,FALSE)))=TRUE,VLOOKUP(HXC7,#REF!,3,FALSE),VLOOKUP(HXC7,#REF!,4,FALSE)),0)</f>
        <v/>
      </c>
      <c r="HXD1">
        <f>IFERROR(IF((ISBLANK(VLOOKUP(HXD7,#REF!,4,FALSE)))=TRUE,VLOOKUP(HXD7,#REF!,3,FALSE),VLOOKUP(HXD7,#REF!,4,FALSE)),0)</f>
        <v/>
      </c>
      <c r="HXE1">
        <f>IFERROR(IF((ISBLANK(VLOOKUP(HXE7,#REF!,4,FALSE)))=TRUE,VLOOKUP(HXE7,#REF!,3,FALSE),VLOOKUP(HXE7,#REF!,4,FALSE)),0)</f>
        <v/>
      </c>
      <c r="HXF1">
        <f>IFERROR(IF((ISBLANK(VLOOKUP(HXF7,#REF!,4,FALSE)))=TRUE,VLOOKUP(HXF7,#REF!,3,FALSE),VLOOKUP(HXF7,#REF!,4,FALSE)),0)</f>
        <v/>
      </c>
      <c r="HXG1">
        <f>IFERROR(IF((ISBLANK(VLOOKUP(HXG7,#REF!,4,FALSE)))=TRUE,VLOOKUP(HXG7,#REF!,3,FALSE),VLOOKUP(HXG7,#REF!,4,FALSE)),0)</f>
        <v/>
      </c>
      <c r="HXH1">
        <f>IFERROR(IF((ISBLANK(VLOOKUP(HXH7,#REF!,4,FALSE)))=TRUE,VLOOKUP(HXH7,#REF!,3,FALSE),VLOOKUP(HXH7,#REF!,4,FALSE)),0)</f>
        <v/>
      </c>
      <c r="HXI1">
        <f>IFERROR(IF((ISBLANK(VLOOKUP(HXI7,#REF!,4,FALSE)))=TRUE,VLOOKUP(HXI7,#REF!,3,FALSE),VLOOKUP(HXI7,#REF!,4,FALSE)),0)</f>
        <v/>
      </c>
      <c r="HXJ1">
        <f>IFERROR(IF((ISBLANK(VLOOKUP(HXJ7,#REF!,4,FALSE)))=TRUE,VLOOKUP(HXJ7,#REF!,3,FALSE),VLOOKUP(HXJ7,#REF!,4,FALSE)),0)</f>
        <v/>
      </c>
      <c r="HXK1">
        <f>IFERROR(IF((ISBLANK(VLOOKUP(HXK7,#REF!,4,FALSE)))=TRUE,VLOOKUP(HXK7,#REF!,3,FALSE),VLOOKUP(HXK7,#REF!,4,FALSE)),0)</f>
        <v/>
      </c>
      <c r="HXL1">
        <f>IFERROR(IF((ISBLANK(VLOOKUP(HXL7,#REF!,4,FALSE)))=TRUE,VLOOKUP(HXL7,#REF!,3,FALSE),VLOOKUP(HXL7,#REF!,4,FALSE)),0)</f>
        <v/>
      </c>
      <c r="HXM1">
        <f>IFERROR(IF((ISBLANK(VLOOKUP(HXM7,#REF!,4,FALSE)))=TRUE,VLOOKUP(HXM7,#REF!,3,FALSE),VLOOKUP(HXM7,#REF!,4,FALSE)),0)</f>
        <v/>
      </c>
      <c r="HXN1">
        <f>IFERROR(IF((ISBLANK(VLOOKUP(HXN7,#REF!,4,FALSE)))=TRUE,VLOOKUP(HXN7,#REF!,3,FALSE),VLOOKUP(HXN7,#REF!,4,FALSE)),0)</f>
        <v/>
      </c>
      <c r="HXO1">
        <f>IFERROR(IF((ISBLANK(VLOOKUP(HXO7,#REF!,4,FALSE)))=TRUE,VLOOKUP(HXO7,#REF!,3,FALSE),VLOOKUP(HXO7,#REF!,4,FALSE)),0)</f>
        <v/>
      </c>
      <c r="HXP1">
        <f>IFERROR(IF((ISBLANK(VLOOKUP(HXP7,#REF!,4,FALSE)))=TRUE,VLOOKUP(HXP7,#REF!,3,FALSE),VLOOKUP(HXP7,#REF!,4,FALSE)),0)</f>
        <v/>
      </c>
      <c r="HXQ1">
        <f>IFERROR(IF((ISBLANK(VLOOKUP(HXQ7,#REF!,4,FALSE)))=TRUE,VLOOKUP(HXQ7,#REF!,3,FALSE),VLOOKUP(HXQ7,#REF!,4,FALSE)),0)</f>
        <v/>
      </c>
      <c r="HXR1">
        <f>IFERROR(IF((ISBLANK(VLOOKUP(HXR7,#REF!,4,FALSE)))=TRUE,VLOOKUP(HXR7,#REF!,3,FALSE),VLOOKUP(HXR7,#REF!,4,FALSE)),0)</f>
        <v/>
      </c>
      <c r="HXS1">
        <f>IFERROR(IF((ISBLANK(VLOOKUP(HXS7,#REF!,4,FALSE)))=TRUE,VLOOKUP(HXS7,#REF!,3,FALSE),VLOOKUP(HXS7,#REF!,4,FALSE)),0)</f>
        <v/>
      </c>
      <c r="HXT1">
        <f>IFERROR(IF((ISBLANK(VLOOKUP(HXT7,#REF!,4,FALSE)))=TRUE,VLOOKUP(HXT7,#REF!,3,FALSE),VLOOKUP(HXT7,#REF!,4,FALSE)),0)</f>
        <v/>
      </c>
      <c r="HXU1">
        <f>IFERROR(IF((ISBLANK(VLOOKUP(HXU7,#REF!,4,FALSE)))=TRUE,VLOOKUP(HXU7,#REF!,3,FALSE),VLOOKUP(HXU7,#REF!,4,FALSE)),0)</f>
        <v/>
      </c>
      <c r="HXV1">
        <f>IFERROR(IF((ISBLANK(VLOOKUP(HXV7,#REF!,4,FALSE)))=TRUE,VLOOKUP(HXV7,#REF!,3,FALSE),VLOOKUP(HXV7,#REF!,4,FALSE)),0)</f>
        <v/>
      </c>
      <c r="HXW1">
        <f>IFERROR(IF((ISBLANK(VLOOKUP(HXW7,#REF!,4,FALSE)))=TRUE,VLOOKUP(HXW7,#REF!,3,FALSE),VLOOKUP(HXW7,#REF!,4,FALSE)),0)</f>
        <v/>
      </c>
      <c r="HXX1">
        <f>IFERROR(IF((ISBLANK(VLOOKUP(HXX7,#REF!,4,FALSE)))=TRUE,VLOOKUP(HXX7,#REF!,3,FALSE),VLOOKUP(HXX7,#REF!,4,FALSE)),0)</f>
        <v/>
      </c>
      <c r="HXY1">
        <f>IFERROR(IF((ISBLANK(VLOOKUP(HXY7,#REF!,4,FALSE)))=TRUE,VLOOKUP(HXY7,#REF!,3,FALSE),VLOOKUP(HXY7,#REF!,4,FALSE)),0)</f>
        <v/>
      </c>
      <c r="HXZ1">
        <f>IFERROR(IF((ISBLANK(VLOOKUP(HXZ7,#REF!,4,FALSE)))=TRUE,VLOOKUP(HXZ7,#REF!,3,FALSE),VLOOKUP(HXZ7,#REF!,4,FALSE)),0)</f>
        <v/>
      </c>
      <c r="HYA1">
        <f>IFERROR(IF((ISBLANK(VLOOKUP(HYA7,#REF!,4,FALSE)))=TRUE,VLOOKUP(HYA7,#REF!,3,FALSE),VLOOKUP(HYA7,#REF!,4,FALSE)),0)</f>
        <v/>
      </c>
      <c r="HYB1">
        <f>IFERROR(IF((ISBLANK(VLOOKUP(HYB7,#REF!,4,FALSE)))=TRUE,VLOOKUP(HYB7,#REF!,3,FALSE),VLOOKUP(HYB7,#REF!,4,FALSE)),0)</f>
        <v/>
      </c>
      <c r="HYC1">
        <f>IFERROR(IF((ISBLANK(VLOOKUP(HYC7,#REF!,4,FALSE)))=TRUE,VLOOKUP(HYC7,#REF!,3,FALSE),VLOOKUP(HYC7,#REF!,4,FALSE)),0)</f>
        <v/>
      </c>
      <c r="HYD1">
        <f>IFERROR(IF((ISBLANK(VLOOKUP(HYD7,#REF!,4,FALSE)))=TRUE,VLOOKUP(HYD7,#REF!,3,FALSE),VLOOKUP(HYD7,#REF!,4,FALSE)),0)</f>
        <v/>
      </c>
      <c r="HYE1">
        <f>IFERROR(IF((ISBLANK(VLOOKUP(HYE7,#REF!,4,FALSE)))=TRUE,VLOOKUP(HYE7,#REF!,3,FALSE),VLOOKUP(HYE7,#REF!,4,FALSE)),0)</f>
        <v/>
      </c>
      <c r="HYF1">
        <f>IFERROR(IF((ISBLANK(VLOOKUP(HYF7,#REF!,4,FALSE)))=TRUE,VLOOKUP(HYF7,#REF!,3,FALSE),VLOOKUP(HYF7,#REF!,4,FALSE)),0)</f>
        <v/>
      </c>
      <c r="HYG1">
        <f>IFERROR(IF((ISBLANK(VLOOKUP(HYG7,#REF!,4,FALSE)))=TRUE,VLOOKUP(HYG7,#REF!,3,FALSE),VLOOKUP(HYG7,#REF!,4,FALSE)),0)</f>
        <v/>
      </c>
      <c r="HYH1">
        <f>IFERROR(IF((ISBLANK(VLOOKUP(HYH7,#REF!,4,FALSE)))=TRUE,VLOOKUP(HYH7,#REF!,3,FALSE),VLOOKUP(HYH7,#REF!,4,FALSE)),0)</f>
        <v/>
      </c>
      <c r="HYI1">
        <f>IFERROR(IF((ISBLANK(VLOOKUP(HYI7,#REF!,4,FALSE)))=TRUE,VLOOKUP(HYI7,#REF!,3,FALSE),VLOOKUP(HYI7,#REF!,4,FALSE)),0)</f>
        <v/>
      </c>
      <c r="HYJ1">
        <f>IFERROR(IF((ISBLANK(VLOOKUP(HYJ7,#REF!,4,FALSE)))=TRUE,VLOOKUP(HYJ7,#REF!,3,FALSE),VLOOKUP(HYJ7,#REF!,4,FALSE)),0)</f>
        <v/>
      </c>
      <c r="HYK1">
        <f>IFERROR(IF((ISBLANK(VLOOKUP(HYK7,#REF!,4,FALSE)))=TRUE,VLOOKUP(HYK7,#REF!,3,FALSE),VLOOKUP(HYK7,#REF!,4,FALSE)),0)</f>
        <v/>
      </c>
      <c r="HYL1">
        <f>IFERROR(IF((ISBLANK(VLOOKUP(HYL7,#REF!,4,FALSE)))=TRUE,VLOOKUP(HYL7,#REF!,3,FALSE),VLOOKUP(HYL7,#REF!,4,FALSE)),0)</f>
        <v/>
      </c>
      <c r="HYM1">
        <f>IFERROR(IF((ISBLANK(VLOOKUP(HYM7,#REF!,4,FALSE)))=TRUE,VLOOKUP(HYM7,#REF!,3,FALSE),VLOOKUP(HYM7,#REF!,4,FALSE)),0)</f>
        <v/>
      </c>
      <c r="HYN1">
        <f>IFERROR(IF((ISBLANK(VLOOKUP(HYN7,#REF!,4,FALSE)))=TRUE,VLOOKUP(HYN7,#REF!,3,FALSE),VLOOKUP(HYN7,#REF!,4,FALSE)),0)</f>
        <v/>
      </c>
      <c r="HYO1">
        <f>IFERROR(IF((ISBLANK(VLOOKUP(HYO7,#REF!,4,FALSE)))=TRUE,VLOOKUP(HYO7,#REF!,3,FALSE),VLOOKUP(HYO7,#REF!,4,FALSE)),0)</f>
        <v/>
      </c>
      <c r="HYP1">
        <f>IFERROR(IF((ISBLANK(VLOOKUP(HYP7,#REF!,4,FALSE)))=TRUE,VLOOKUP(HYP7,#REF!,3,FALSE),VLOOKUP(HYP7,#REF!,4,FALSE)),0)</f>
        <v/>
      </c>
      <c r="HYQ1">
        <f>IFERROR(IF((ISBLANK(VLOOKUP(HYQ7,#REF!,4,FALSE)))=TRUE,VLOOKUP(HYQ7,#REF!,3,FALSE),VLOOKUP(HYQ7,#REF!,4,FALSE)),0)</f>
        <v/>
      </c>
      <c r="HYR1">
        <f>IFERROR(IF((ISBLANK(VLOOKUP(HYR7,#REF!,4,FALSE)))=TRUE,VLOOKUP(HYR7,#REF!,3,FALSE),VLOOKUP(HYR7,#REF!,4,FALSE)),0)</f>
        <v/>
      </c>
      <c r="HYS1">
        <f>IFERROR(IF((ISBLANK(VLOOKUP(HYS7,#REF!,4,FALSE)))=TRUE,VLOOKUP(HYS7,#REF!,3,FALSE),VLOOKUP(HYS7,#REF!,4,FALSE)),0)</f>
        <v/>
      </c>
      <c r="HYT1">
        <f>IFERROR(IF((ISBLANK(VLOOKUP(HYT7,#REF!,4,FALSE)))=TRUE,VLOOKUP(HYT7,#REF!,3,FALSE),VLOOKUP(HYT7,#REF!,4,FALSE)),0)</f>
        <v/>
      </c>
      <c r="HYU1">
        <f>IFERROR(IF((ISBLANK(VLOOKUP(HYU7,#REF!,4,FALSE)))=TRUE,VLOOKUP(HYU7,#REF!,3,FALSE),VLOOKUP(HYU7,#REF!,4,FALSE)),0)</f>
        <v/>
      </c>
      <c r="HYV1">
        <f>IFERROR(IF((ISBLANK(VLOOKUP(HYV7,#REF!,4,FALSE)))=TRUE,VLOOKUP(HYV7,#REF!,3,FALSE),VLOOKUP(HYV7,#REF!,4,FALSE)),0)</f>
        <v/>
      </c>
      <c r="HYW1">
        <f>IFERROR(IF((ISBLANK(VLOOKUP(HYW7,#REF!,4,FALSE)))=TRUE,VLOOKUP(HYW7,#REF!,3,FALSE),VLOOKUP(HYW7,#REF!,4,FALSE)),0)</f>
        <v/>
      </c>
      <c r="HYX1">
        <f>IFERROR(IF((ISBLANK(VLOOKUP(HYX7,#REF!,4,FALSE)))=TRUE,VLOOKUP(HYX7,#REF!,3,FALSE),VLOOKUP(HYX7,#REF!,4,FALSE)),0)</f>
        <v/>
      </c>
      <c r="HYY1">
        <f>IFERROR(IF((ISBLANK(VLOOKUP(HYY7,#REF!,4,FALSE)))=TRUE,VLOOKUP(HYY7,#REF!,3,FALSE),VLOOKUP(HYY7,#REF!,4,FALSE)),0)</f>
        <v/>
      </c>
      <c r="HYZ1">
        <f>IFERROR(IF((ISBLANK(VLOOKUP(HYZ7,#REF!,4,FALSE)))=TRUE,VLOOKUP(HYZ7,#REF!,3,FALSE),VLOOKUP(HYZ7,#REF!,4,FALSE)),0)</f>
        <v/>
      </c>
      <c r="HZA1">
        <f>IFERROR(IF((ISBLANK(VLOOKUP(HZA7,#REF!,4,FALSE)))=TRUE,VLOOKUP(HZA7,#REF!,3,FALSE),VLOOKUP(HZA7,#REF!,4,FALSE)),0)</f>
        <v/>
      </c>
      <c r="HZB1">
        <f>IFERROR(IF((ISBLANK(VLOOKUP(HZB7,#REF!,4,FALSE)))=TRUE,VLOOKUP(HZB7,#REF!,3,FALSE),VLOOKUP(HZB7,#REF!,4,FALSE)),0)</f>
        <v/>
      </c>
      <c r="HZC1">
        <f>IFERROR(IF((ISBLANK(VLOOKUP(HZC7,#REF!,4,FALSE)))=TRUE,VLOOKUP(HZC7,#REF!,3,FALSE),VLOOKUP(HZC7,#REF!,4,FALSE)),0)</f>
        <v/>
      </c>
      <c r="HZD1">
        <f>IFERROR(IF((ISBLANK(VLOOKUP(HZD7,#REF!,4,FALSE)))=TRUE,VLOOKUP(HZD7,#REF!,3,FALSE),VLOOKUP(HZD7,#REF!,4,FALSE)),0)</f>
        <v/>
      </c>
      <c r="HZE1">
        <f>IFERROR(IF((ISBLANK(VLOOKUP(HZE7,#REF!,4,FALSE)))=TRUE,VLOOKUP(HZE7,#REF!,3,FALSE),VLOOKUP(HZE7,#REF!,4,FALSE)),0)</f>
        <v/>
      </c>
      <c r="HZF1">
        <f>IFERROR(IF((ISBLANK(VLOOKUP(HZF7,#REF!,4,FALSE)))=TRUE,VLOOKUP(HZF7,#REF!,3,FALSE),VLOOKUP(HZF7,#REF!,4,FALSE)),0)</f>
        <v/>
      </c>
      <c r="HZG1">
        <f>IFERROR(IF((ISBLANK(VLOOKUP(HZG7,#REF!,4,FALSE)))=TRUE,VLOOKUP(HZG7,#REF!,3,FALSE),VLOOKUP(HZG7,#REF!,4,FALSE)),0)</f>
        <v/>
      </c>
      <c r="HZH1">
        <f>IFERROR(IF((ISBLANK(VLOOKUP(HZH7,#REF!,4,FALSE)))=TRUE,VLOOKUP(HZH7,#REF!,3,FALSE),VLOOKUP(HZH7,#REF!,4,FALSE)),0)</f>
        <v/>
      </c>
      <c r="HZI1">
        <f>IFERROR(IF((ISBLANK(VLOOKUP(HZI7,#REF!,4,FALSE)))=TRUE,VLOOKUP(HZI7,#REF!,3,FALSE),VLOOKUP(HZI7,#REF!,4,FALSE)),0)</f>
        <v/>
      </c>
      <c r="HZJ1">
        <f>IFERROR(IF((ISBLANK(VLOOKUP(HZJ7,#REF!,4,FALSE)))=TRUE,VLOOKUP(HZJ7,#REF!,3,FALSE),VLOOKUP(HZJ7,#REF!,4,FALSE)),0)</f>
        <v/>
      </c>
      <c r="HZK1">
        <f>IFERROR(IF((ISBLANK(VLOOKUP(HZK7,#REF!,4,FALSE)))=TRUE,VLOOKUP(HZK7,#REF!,3,FALSE),VLOOKUP(HZK7,#REF!,4,FALSE)),0)</f>
        <v/>
      </c>
      <c r="HZL1">
        <f>IFERROR(IF((ISBLANK(VLOOKUP(HZL7,#REF!,4,FALSE)))=TRUE,VLOOKUP(HZL7,#REF!,3,FALSE),VLOOKUP(HZL7,#REF!,4,FALSE)),0)</f>
        <v/>
      </c>
      <c r="HZM1">
        <f>IFERROR(IF((ISBLANK(VLOOKUP(HZM7,#REF!,4,FALSE)))=TRUE,VLOOKUP(HZM7,#REF!,3,FALSE),VLOOKUP(HZM7,#REF!,4,FALSE)),0)</f>
        <v/>
      </c>
      <c r="HZN1">
        <f>IFERROR(IF((ISBLANK(VLOOKUP(HZN7,#REF!,4,FALSE)))=TRUE,VLOOKUP(HZN7,#REF!,3,FALSE),VLOOKUP(HZN7,#REF!,4,FALSE)),0)</f>
        <v/>
      </c>
      <c r="HZO1">
        <f>IFERROR(IF((ISBLANK(VLOOKUP(HZO7,#REF!,4,FALSE)))=TRUE,VLOOKUP(HZO7,#REF!,3,FALSE),VLOOKUP(HZO7,#REF!,4,FALSE)),0)</f>
        <v/>
      </c>
      <c r="HZP1">
        <f>IFERROR(IF((ISBLANK(VLOOKUP(HZP7,#REF!,4,FALSE)))=TRUE,VLOOKUP(HZP7,#REF!,3,FALSE),VLOOKUP(HZP7,#REF!,4,FALSE)),0)</f>
        <v/>
      </c>
      <c r="HZQ1">
        <f>IFERROR(IF((ISBLANK(VLOOKUP(HZQ7,#REF!,4,FALSE)))=TRUE,VLOOKUP(HZQ7,#REF!,3,FALSE),VLOOKUP(HZQ7,#REF!,4,FALSE)),0)</f>
        <v/>
      </c>
      <c r="HZR1">
        <f>IFERROR(IF((ISBLANK(VLOOKUP(HZR7,#REF!,4,FALSE)))=TRUE,VLOOKUP(HZR7,#REF!,3,FALSE),VLOOKUP(HZR7,#REF!,4,FALSE)),0)</f>
        <v/>
      </c>
      <c r="HZS1">
        <f>IFERROR(IF((ISBLANK(VLOOKUP(HZS7,#REF!,4,FALSE)))=TRUE,VLOOKUP(HZS7,#REF!,3,FALSE),VLOOKUP(HZS7,#REF!,4,FALSE)),0)</f>
        <v/>
      </c>
      <c r="HZT1">
        <f>IFERROR(IF((ISBLANK(VLOOKUP(HZT7,#REF!,4,FALSE)))=TRUE,VLOOKUP(HZT7,#REF!,3,FALSE),VLOOKUP(HZT7,#REF!,4,FALSE)),0)</f>
        <v/>
      </c>
      <c r="HZU1">
        <f>IFERROR(IF((ISBLANK(VLOOKUP(HZU7,#REF!,4,FALSE)))=TRUE,VLOOKUP(HZU7,#REF!,3,FALSE),VLOOKUP(HZU7,#REF!,4,FALSE)),0)</f>
        <v/>
      </c>
      <c r="HZV1">
        <f>IFERROR(IF((ISBLANK(VLOOKUP(HZV7,#REF!,4,FALSE)))=TRUE,VLOOKUP(HZV7,#REF!,3,FALSE),VLOOKUP(HZV7,#REF!,4,FALSE)),0)</f>
        <v/>
      </c>
      <c r="HZW1">
        <f>IFERROR(IF((ISBLANK(VLOOKUP(HZW7,#REF!,4,FALSE)))=TRUE,VLOOKUP(HZW7,#REF!,3,FALSE),VLOOKUP(HZW7,#REF!,4,FALSE)),0)</f>
        <v/>
      </c>
      <c r="HZX1">
        <f>IFERROR(IF((ISBLANK(VLOOKUP(HZX7,#REF!,4,FALSE)))=TRUE,VLOOKUP(HZX7,#REF!,3,FALSE),VLOOKUP(HZX7,#REF!,4,FALSE)),0)</f>
        <v/>
      </c>
      <c r="HZY1">
        <f>IFERROR(IF((ISBLANK(VLOOKUP(HZY7,#REF!,4,FALSE)))=TRUE,VLOOKUP(HZY7,#REF!,3,FALSE),VLOOKUP(HZY7,#REF!,4,FALSE)),0)</f>
        <v/>
      </c>
      <c r="HZZ1">
        <f>IFERROR(IF((ISBLANK(VLOOKUP(HZZ7,#REF!,4,FALSE)))=TRUE,VLOOKUP(HZZ7,#REF!,3,FALSE),VLOOKUP(HZZ7,#REF!,4,FALSE)),0)</f>
        <v/>
      </c>
      <c r="IAA1">
        <f>IFERROR(IF((ISBLANK(VLOOKUP(IAA7,#REF!,4,FALSE)))=TRUE,VLOOKUP(IAA7,#REF!,3,FALSE),VLOOKUP(IAA7,#REF!,4,FALSE)),0)</f>
        <v/>
      </c>
      <c r="IAB1">
        <f>IFERROR(IF((ISBLANK(VLOOKUP(IAB7,#REF!,4,FALSE)))=TRUE,VLOOKUP(IAB7,#REF!,3,FALSE),VLOOKUP(IAB7,#REF!,4,FALSE)),0)</f>
        <v/>
      </c>
      <c r="IAC1">
        <f>IFERROR(IF((ISBLANK(VLOOKUP(IAC7,#REF!,4,FALSE)))=TRUE,VLOOKUP(IAC7,#REF!,3,FALSE),VLOOKUP(IAC7,#REF!,4,FALSE)),0)</f>
        <v/>
      </c>
      <c r="IAD1">
        <f>IFERROR(IF((ISBLANK(VLOOKUP(IAD7,#REF!,4,FALSE)))=TRUE,VLOOKUP(IAD7,#REF!,3,FALSE),VLOOKUP(IAD7,#REF!,4,FALSE)),0)</f>
        <v/>
      </c>
      <c r="IAE1">
        <f>IFERROR(IF((ISBLANK(VLOOKUP(IAE7,#REF!,4,FALSE)))=TRUE,VLOOKUP(IAE7,#REF!,3,FALSE),VLOOKUP(IAE7,#REF!,4,FALSE)),0)</f>
        <v/>
      </c>
      <c r="IAF1">
        <f>IFERROR(IF((ISBLANK(VLOOKUP(IAF7,#REF!,4,FALSE)))=TRUE,VLOOKUP(IAF7,#REF!,3,FALSE),VLOOKUP(IAF7,#REF!,4,FALSE)),0)</f>
        <v/>
      </c>
      <c r="IAG1">
        <f>IFERROR(IF((ISBLANK(VLOOKUP(IAG7,#REF!,4,FALSE)))=TRUE,VLOOKUP(IAG7,#REF!,3,FALSE),VLOOKUP(IAG7,#REF!,4,FALSE)),0)</f>
        <v/>
      </c>
      <c r="IAH1">
        <f>IFERROR(IF((ISBLANK(VLOOKUP(IAH7,#REF!,4,FALSE)))=TRUE,VLOOKUP(IAH7,#REF!,3,FALSE),VLOOKUP(IAH7,#REF!,4,FALSE)),0)</f>
        <v/>
      </c>
      <c r="IAI1">
        <f>IFERROR(IF((ISBLANK(VLOOKUP(IAI7,#REF!,4,FALSE)))=TRUE,VLOOKUP(IAI7,#REF!,3,FALSE),VLOOKUP(IAI7,#REF!,4,FALSE)),0)</f>
        <v/>
      </c>
      <c r="IAJ1">
        <f>IFERROR(IF((ISBLANK(VLOOKUP(IAJ7,#REF!,4,FALSE)))=TRUE,VLOOKUP(IAJ7,#REF!,3,FALSE),VLOOKUP(IAJ7,#REF!,4,FALSE)),0)</f>
        <v/>
      </c>
      <c r="IAK1">
        <f>IFERROR(IF((ISBLANK(VLOOKUP(IAK7,#REF!,4,FALSE)))=TRUE,VLOOKUP(IAK7,#REF!,3,FALSE),VLOOKUP(IAK7,#REF!,4,FALSE)),0)</f>
        <v/>
      </c>
      <c r="IAL1">
        <f>IFERROR(IF((ISBLANK(VLOOKUP(IAL7,#REF!,4,FALSE)))=TRUE,VLOOKUP(IAL7,#REF!,3,FALSE),VLOOKUP(IAL7,#REF!,4,FALSE)),0)</f>
        <v/>
      </c>
      <c r="IAM1">
        <f>IFERROR(IF((ISBLANK(VLOOKUP(IAM7,#REF!,4,FALSE)))=TRUE,VLOOKUP(IAM7,#REF!,3,FALSE),VLOOKUP(IAM7,#REF!,4,FALSE)),0)</f>
        <v/>
      </c>
      <c r="IAN1">
        <f>IFERROR(IF((ISBLANK(VLOOKUP(IAN7,#REF!,4,FALSE)))=TRUE,VLOOKUP(IAN7,#REF!,3,FALSE),VLOOKUP(IAN7,#REF!,4,FALSE)),0)</f>
        <v/>
      </c>
      <c r="IAO1">
        <f>IFERROR(IF((ISBLANK(VLOOKUP(IAO7,#REF!,4,FALSE)))=TRUE,VLOOKUP(IAO7,#REF!,3,FALSE),VLOOKUP(IAO7,#REF!,4,FALSE)),0)</f>
        <v/>
      </c>
      <c r="IAP1">
        <f>IFERROR(IF((ISBLANK(VLOOKUP(IAP7,#REF!,4,FALSE)))=TRUE,VLOOKUP(IAP7,#REF!,3,FALSE),VLOOKUP(IAP7,#REF!,4,FALSE)),0)</f>
        <v/>
      </c>
      <c r="IAQ1">
        <f>IFERROR(IF((ISBLANK(VLOOKUP(IAQ7,#REF!,4,FALSE)))=TRUE,VLOOKUP(IAQ7,#REF!,3,FALSE),VLOOKUP(IAQ7,#REF!,4,FALSE)),0)</f>
        <v/>
      </c>
      <c r="IAR1">
        <f>IFERROR(IF((ISBLANK(VLOOKUP(IAR7,#REF!,4,FALSE)))=TRUE,VLOOKUP(IAR7,#REF!,3,FALSE),VLOOKUP(IAR7,#REF!,4,FALSE)),0)</f>
        <v/>
      </c>
      <c r="IAS1">
        <f>IFERROR(IF((ISBLANK(VLOOKUP(IAS7,#REF!,4,FALSE)))=TRUE,VLOOKUP(IAS7,#REF!,3,FALSE),VLOOKUP(IAS7,#REF!,4,FALSE)),0)</f>
        <v/>
      </c>
      <c r="IAT1">
        <f>IFERROR(IF((ISBLANK(VLOOKUP(IAT7,#REF!,4,FALSE)))=TRUE,VLOOKUP(IAT7,#REF!,3,FALSE),VLOOKUP(IAT7,#REF!,4,FALSE)),0)</f>
        <v/>
      </c>
      <c r="IAU1">
        <f>IFERROR(IF((ISBLANK(VLOOKUP(IAU7,#REF!,4,FALSE)))=TRUE,VLOOKUP(IAU7,#REF!,3,FALSE),VLOOKUP(IAU7,#REF!,4,FALSE)),0)</f>
        <v/>
      </c>
      <c r="IAV1">
        <f>IFERROR(IF((ISBLANK(VLOOKUP(IAV7,#REF!,4,FALSE)))=TRUE,VLOOKUP(IAV7,#REF!,3,FALSE),VLOOKUP(IAV7,#REF!,4,FALSE)),0)</f>
        <v/>
      </c>
      <c r="IAW1">
        <f>IFERROR(IF((ISBLANK(VLOOKUP(IAW7,#REF!,4,FALSE)))=TRUE,VLOOKUP(IAW7,#REF!,3,FALSE),VLOOKUP(IAW7,#REF!,4,FALSE)),0)</f>
        <v/>
      </c>
      <c r="IAX1">
        <f>IFERROR(IF((ISBLANK(VLOOKUP(IAX7,#REF!,4,FALSE)))=TRUE,VLOOKUP(IAX7,#REF!,3,FALSE),VLOOKUP(IAX7,#REF!,4,FALSE)),0)</f>
        <v/>
      </c>
      <c r="IAY1">
        <f>IFERROR(IF((ISBLANK(VLOOKUP(IAY7,#REF!,4,FALSE)))=TRUE,VLOOKUP(IAY7,#REF!,3,FALSE),VLOOKUP(IAY7,#REF!,4,FALSE)),0)</f>
        <v/>
      </c>
      <c r="IAZ1">
        <f>IFERROR(IF((ISBLANK(VLOOKUP(IAZ7,#REF!,4,FALSE)))=TRUE,VLOOKUP(IAZ7,#REF!,3,FALSE),VLOOKUP(IAZ7,#REF!,4,FALSE)),0)</f>
        <v/>
      </c>
      <c r="IBA1">
        <f>IFERROR(IF((ISBLANK(VLOOKUP(IBA7,#REF!,4,FALSE)))=TRUE,VLOOKUP(IBA7,#REF!,3,FALSE),VLOOKUP(IBA7,#REF!,4,FALSE)),0)</f>
        <v/>
      </c>
      <c r="IBB1">
        <f>IFERROR(IF((ISBLANK(VLOOKUP(IBB7,#REF!,4,FALSE)))=TRUE,VLOOKUP(IBB7,#REF!,3,FALSE),VLOOKUP(IBB7,#REF!,4,FALSE)),0)</f>
        <v/>
      </c>
      <c r="IBC1">
        <f>IFERROR(IF((ISBLANK(VLOOKUP(IBC7,#REF!,4,FALSE)))=TRUE,VLOOKUP(IBC7,#REF!,3,FALSE),VLOOKUP(IBC7,#REF!,4,FALSE)),0)</f>
        <v/>
      </c>
      <c r="IBD1">
        <f>IFERROR(IF((ISBLANK(VLOOKUP(IBD7,#REF!,4,FALSE)))=TRUE,VLOOKUP(IBD7,#REF!,3,FALSE),VLOOKUP(IBD7,#REF!,4,FALSE)),0)</f>
        <v/>
      </c>
      <c r="IBE1">
        <f>IFERROR(IF((ISBLANK(VLOOKUP(IBE7,#REF!,4,FALSE)))=TRUE,VLOOKUP(IBE7,#REF!,3,FALSE),VLOOKUP(IBE7,#REF!,4,FALSE)),0)</f>
        <v/>
      </c>
      <c r="IBF1">
        <f>IFERROR(IF((ISBLANK(VLOOKUP(IBF7,#REF!,4,FALSE)))=TRUE,VLOOKUP(IBF7,#REF!,3,FALSE),VLOOKUP(IBF7,#REF!,4,FALSE)),0)</f>
        <v/>
      </c>
      <c r="IBG1">
        <f>IFERROR(IF((ISBLANK(VLOOKUP(IBG7,#REF!,4,FALSE)))=TRUE,VLOOKUP(IBG7,#REF!,3,FALSE),VLOOKUP(IBG7,#REF!,4,FALSE)),0)</f>
        <v/>
      </c>
      <c r="IBH1">
        <f>IFERROR(IF((ISBLANK(VLOOKUP(IBH7,#REF!,4,FALSE)))=TRUE,VLOOKUP(IBH7,#REF!,3,FALSE),VLOOKUP(IBH7,#REF!,4,FALSE)),0)</f>
        <v/>
      </c>
      <c r="IBI1">
        <f>IFERROR(IF((ISBLANK(VLOOKUP(IBI7,#REF!,4,FALSE)))=TRUE,VLOOKUP(IBI7,#REF!,3,FALSE),VLOOKUP(IBI7,#REF!,4,FALSE)),0)</f>
        <v/>
      </c>
      <c r="IBJ1">
        <f>IFERROR(IF((ISBLANK(VLOOKUP(IBJ7,#REF!,4,FALSE)))=TRUE,VLOOKUP(IBJ7,#REF!,3,FALSE),VLOOKUP(IBJ7,#REF!,4,FALSE)),0)</f>
        <v/>
      </c>
      <c r="IBK1">
        <f>IFERROR(IF((ISBLANK(VLOOKUP(IBK7,#REF!,4,FALSE)))=TRUE,VLOOKUP(IBK7,#REF!,3,FALSE),VLOOKUP(IBK7,#REF!,4,FALSE)),0)</f>
        <v/>
      </c>
      <c r="IBL1">
        <f>IFERROR(IF((ISBLANK(VLOOKUP(IBL7,#REF!,4,FALSE)))=TRUE,VLOOKUP(IBL7,#REF!,3,FALSE),VLOOKUP(IBL7,#REF!,4,FALSE)),0)</f>
        <v/>
      </c>
      <c r="IBM1">
        <f>IFERROR(IF((ISBLANK(VLOOKUP(IBM7,#REF!,4,FALSE)))=TRUE,VLOOKUP(IBM7,#REF!,3,FALSE),VLOOKUP(IBM7,#REF!,4,FALSE)),0)</f>
        <v/>
      </c>
      <c r="IBN1">
        <f>IFERROR(IF((ISBLANK(VLOOKUP(IBN7,#REF!,4,FALSE)))=TRUE,VLOOKUP(IBN7,#REF!,3,FALSE),VLOOKUP(IBN7,#REF!,4,FALSE)),0)</f>
        <v/>
      </c>
      <c r="IBO1">
        <f>IFERROR(IF((ISBLANK(VLOOKUP(IBO7,#REF!,4,FALSE)))=TRUE,VLOOKUP(IBO7,#REF!,3,FALSE),VLOOKUP(IBO7,#REF!,4,FALSE)),0)</f>
        <v/>
      </c>
      <c r="IBP1">
        <f>IFERROR(IF((ISBLANK(VLOOKUP(IBP7,#REF!,4,FALSE)))=TRUE,VLOOKUP(IBP7,#REF!,3,FALSE),VLOOKUP(IBP7,#REF!,4,FALSE)),0)</f>
        <v/>
      </c>
      <c r="IBQ1">
        <f>IFERROR(IF((ISBLANK(VLOOKUP(IBQ7,#REF!,4,FALSE)))=TRUE,VLOOKUP(IBQ7,#REF!,3,FALSE),VLOOKUP(IBQ7,#REF!,4,FALSE)),0)</f>
        <v/>
      </c>
      <c r="IBR1">
        <f>IFERROR(IF((ISBLANK(VLOOKUP(IBR7,#REF!,4,FALSE)))=TRUE,VLOOKUP(IBR7,#REF!,3,FALSE),VLOOKUP(IBR7,#REF!,4,FALSE)),0)</f>
        <v/>
      </c>
      <c r="IBS1">
        <f>IFERROR(IF((ISBLANK(VLOOKUP(IBS7,#REF!,4,FALSE)))=TRUE,VLOOKUP(IBS7,#REF!,3,FALSE),VLOOKUP(IBS7,#REF!,4,FALSE)),0)</f>
        <v/>
      </c>
      <c r="IBT1">
        <f>IFERROR(IF((ISBLANK(VLOOKUP(IBT7,#REF!,4,FALSE)))=TRUE,VLOOKUP(IBT7,#REF!,3,FALSE),VLOOKUP(IBT7,#REF!,4,FALSE)),0)</f>
        <v/>
      </c>
      <c r="IBU1">
        <f>IFERROR(IF((ISBLANK(VLOOKUP(IBU7,#REF!,4,FALSE)))=TRUE,VLOOKUP(IBU7,#REF!,3,FALSE),VLOOKUP(IBU7,#REF!,4,FALSE)),0)</f>
        <v/>
      </c>
      <c r="IBV1">
        <f>IFERROR(IF((ISBLANK(VLOOKUP(IBV7,#REF!,4,FALSE)))=TRUE,VLOOKUP(IBV7,#REF!,3,FALSE),VLOOKUP(IBV7,#REF!,4,FALSE)),0)</f>
        <v/>
      </c>
      <c r="IBW1">
        <f>IFERROR(IF((ISBLANK(VLOOKUP(IBW7,#REF!,4,FALSE)))=TRUE,VLOOKUP(IBW7,#REF!,3,FALSE),VLOOKUP(IBW7,#REF!,4,FALSE)),0)</f>
        <v/>
      </c>
      <c r="IBX1">
        <f>IFERROR(IF((ISBLANK(VLOOKUP(IBX7,#REF!,4,FALSE)))=TRUE,VLOOKUP(IBX7,#REF!,3,FALSE),VLOOKUP(IBX7,#REF!,4,FALSE)),0)</f>
        <v/>
      </c>
      <c r="IBY1">
        <f>IFERROR(IF((ISBLANK(VLOOKUP(IBY7,#REF!,4,FALSE)))=TRUE,VLOOKUP(IBY7,#REF!,3,FALSE),VLOOKUP(IBY7,#REF!,4,FALSE)),0)</f>
        <v/>
      </c>
      <c r="IBZ1">
        <f>IFERROR(IF((ISBLANK(VLOOKUP(IBZ7,#REF!,4,FALSE)))=TRUE,VLOOKUP(IBZ7,#REF!,3,FALSE),VLOOKUP(IBZ7,#REF!,4,FALSE)),0)</f>
        <v/>
      </c>
      <c r="ICA1">
        <f>IFERROR(IF((ISBLANK(VLOOKUP(ICA7,#REF!,4,FALSE)))=TRUE,VLOOKUP(ICA7,#REF!,3,FALSE),VLOOKUP(ICA7,#REF!,4,FALSE)),0)</f>
        <v/>
      </c>
      <c r="ICB1">
        <f>IFERROR(IF((ISBLANK(VLOOKUP(ICB7,#REF!,4,FALSE)))=TRUE,VLOOKUP(ICB7,#REF!,3,FALSE),VLOOKUP(ICB7,#REF!,4,FALSE)),0)</f>
        <v/>
      </c>
      <c r="ICC1">
        <f>IFERROR(IF((ISBLANK(VLOOKUP(ICC7,#REF!,4,FALSE)))=TRUE,VLOOKUP(ICC7,#REF!,3,FALSE),VLOOKUP(ICC7,#REF!,4,FALSE)),0)</f>
        <v/>
      </c>
      <c r="ICD1">
        <f>IFERROR(IF((ISBLANK(VLOOKUP(ICD7,#REF!,4,FALSE)))=TRUE,VLOOKUP(ICD7,#REF!,3,FALSE),VLOOKUP(ICD7,#REF!,4,FALSE)),0)</f>
        <v/>
      </c>
      <c r="ICE1">
        <f>IFERROR(IF((ISBLANK(VLOOKUP(ICE7,#REF!,4,FALSE)))=TRUE,VLOOKUP(ICE7,#REF!,3,FALSE),VLOOKUP(ICE7,#REF!,4,FALSE)),0)</f>
        <v/>
      </c>
      <c r="ICF1">
        <f>IFERROR(IF((ISBLANK(VLOOKUP(ICF7,#REF!,4,FALSE)))=TRUE,VLOOKUP(ICF7,#REF!,3,FALSE),VLOOKUP(ICF7,#REF!,4,FALSE)),0)</f>
        <v/>
      </c>
      <c r="ICG1">
        <f>IFERROR(IF((ISBLANK(VLOOKUP(ICG7,#REF!,4,FALSE)))=TRUE,VLOOKUP(ICG7,#REF!,3,FALSE),VLOOKUP(ICG7,#REF!,4,FALSE)),0)</f>
        <v/>
      </c>
      <c r="ICH1">
        <f>IFERROR(IF((ISBLANK(VLOOKUP(ICH7,#REF!,4,FALSE)))=TRUE,VLOOKUP(ICH7,#REF!,3,FALSE),VLOOKUP(ICH7,#REF!,4,FALSE)),0)</f>
        <v/>
      </c>
      <c r="ICI1">
        <f>IFERROR(IF((ISBLANK(VLOOKUP(ICI7,#REF!,4,FALSE)))=TRUE,VLOOKUP(ICI7,#REF!,3,FALSE),VLOOKUP(ICI7,#REF!,4,FALSE)),0)</f>
        <v/>
      </c>
      <c r="ICJ1">
        <f>IFERROR(IF((ISBLANK(VLOOKUP(ICJ7,#REF!,4,FALSE)))=TRUE,VLOOKUP(ICJ7,#REF!,3,FALSE),VLOOKUP(ICJ7,#REF!,4,FALSE)),0)</f>
        <v/>
      </c>
      <c r="ICK1">
        <f>IFERROR(IF((ISBLANK(VLOOKUP(ICK7,#REF!,4,FALSE)))=TRUE,VLOOKUP(ICK7,#REF!,3,FALSE),VLOOKUP(ICK7,#REF!,4,FALSE)),0)</f>
        <v/>
      </c>
      <c r="ICL1">
        <f>IFERROR(IF((ISBLANK(VLOOKUP(ICL7,#REF!,4,FALSE)))=TRUE,VLOOKUP(ICL7,#REF!,3,FALSE),VLOOKUP(ICL7,#REF!,4,FALSE)),0)</f>
        <v/>
      </c>
      <c r="ICM1">
        <f>IFERROR(IF((ISBLANK(VLOOKUP(ICM7,#REF!,4,FALSE)))=TRUE,VLOOKUP(ICM7,#REF!,3,FALSE),VLOOKUP(ICM7,#REF!,4,FALSE)),0)</f>
        <v/>
      </c>
      <c r="ICN1">
        <f>IFERROR(IF((ISBLANK(VLOOKUP(ICN7,#REF!,4,FALSE)))=TRUE,VLOOKUP(ICN7,#REF!,3,FALSE),VLOOKUP(ICN7,#REF!,4,FALSE)),0)</f>
        <v/>
      </c>
      <c r="ICO1">
        <f>IFERROR(IF((ISBLANK(VLOOKUP(ICO7,#REF!,4,FALSE)))=TRUE,VLOOKUP(ICO7,#REF!,3,FALSE),VLOOKUP(ICO7,#REF!,4,FALSE)),0)</f>
        <v/>
      </c>
      <c r="ICP1">
        <f>IFERROR(IF((ISBLANK(VLOOKUP(ICP7,#REF!,4,FALSE)))=TRUE,VLOOKUP(ICP7,#REF!,3,FALSE),VLOOKUP(ICP7,#REF!,4,FALSE)),0)</f>
        <v/>
      </c>
      <c r="ICQ1">
        <f>IFERROR(IF((ISBLANK(VLOOKUP(ICQ7,#REF!,4,FALSE)))=TRUE,VLOOKUP(ICQ7,#REF!,3,FALSE),VLOOKUP(ICQ7,#REF!,4,FALSE)),0)</f>
        <v/>
      </c>
      <c r="ICR1">
        <f>IFERROR(IF((ISBLANK(VLOOKUP(ICR7,#REF!,4,FALSE)))=TRUE,VLOOKUP(ICR7,#REF!,3,FALSE),VLOOKUP(ICR7,#REF!,4,FALSE)),0)</f>
        <v/>
      </c>
      <c r="ICS1">
        <f>IFERROR(IF((ISBLANK(VLOOKUP(ICS7,#REF!,4,FALSE)))=TRUE,VLOOKUP(ICS7,#REF!,3,FALSE),VLOOKUP(ICS7,#REF!,4,FALSE)),0)</f>
        <v/>
      </c>
      <c r="ICT1">
        <f>IFERROR(IF((ISBLANK(VLOOKUP(ICT7,#REF!,4,FALSE)))=TRUE,VLOOKUP(ICT7,#REF!,3,FALSE),VLOOKUP(ICT7,#REF!,4,FALSE)),0)</f>
        <v/>
      </c>
      <c r="ICU1">
        <f>IFERROR(IF((ISBLANK(VLOOKUP(ICU7,#REF!,4,FALSE)))=TRUE,VLOOKUP(ICU7,#REF!,3,FALSE),VLOOKUP(ICU7,#REF!,4,FALSE)),0)</f>
        <v/>
      </c>
      <c r="ICV1">
        <f>IFERROR(IF((ISBLANK(VLOOKUP(ICV7,#REF!,4,FALSE)))=TRUE,VLOOKUP(ICV7,#REF!,3,FALSE),VLOOKUP(ICV7,#REF!,4,FALSE)),0)</f>
        <v/>
      </c>
      <c r="ICW1">
        <f>IFERROR(IF((ISBLANK(VLOOKUP(ICW7,#REF!,4,FALSE)))=TRUE,VLOOKUP(ICW7,#REF!,3,FALSE),VLOOKUP(ICW7,#REF!,4,FALSE)),0)</f>
        <v/>
      </c>
      <c r="ICX1">
        <f>IFERROR(IF((ISBLANK(VLOOKUP(ICX7,#REF!,4,FALSE)))=TRUE,VLOOKUP(ICX7,#REF!,3,FALSE),VLOOKUP(ICX7,#REF!,4,FALSE)),0)</f>
        <v/>
      </c>
      <c r="ICY1">
        <f>IFERROR(IF((ISBLANK(VLOOKUP(ICY7,#REF!,4,FALSE)))=TRUE,VLOOKUP(ICY7,#REF!,3,FALSE),VLOOKUP(ICY7,#REF!,4,FALSE)),0)</f>
        <v/>
      </c>
      <c r="ICZ1">
        <f>IFERROR(IF((ISBLANK(VLOOKUP(ICZ7,#REF!,4,FALSE)))=TRUE,VLOOKUP(ICZ7,#REF!,3,FALSE),VLOOKUP(ICZ7,#REF!,4,FALSE)),0)</f>
        <v/>
      </c>
      <c r="IDA1">
        <f>IFERROR(IF((ISBLANK(VLOOKUP(IDA7,#REF!,4,FALSE)))=TRUE,VLOOKUP(IDA7,#REF!,3,FALSE),VLOOKUP(IDA7,#REF!,4,FALSE)),0)</f>
        <v/>
      </c>
      <c r="IDB1">
        <f>IFERROR(IF((ISBLANK(VLOOKUP(IDB7,#REF!,4,FALSE)))=TRUE,VLOOKUP(IDB7,#REF!,3,FALSE),VLOOKUP(IDB7,#REF!,4,FALSE)),0)</f>
        <v/>
      </c>
      <c r="IDC1">
        <f>IFERROR(IF((ISBLANK(VLOOKUP(IDC7,#REF!,4,FALSE)))=TRUE,VLOOKUP(IDC7,#REF!,3,FALSE),VLOOKUP(IDC7,#REF!,4,FALSE)),0)</f>
        <v/>
      </c>
      <c r="IDD1">
        <f>IFERROR(IF((ISBLANK(VLOOKUP(IDD7,#REF!,4,FALSE)))=TRUE,VLOOKUP(IDD7,#REF!,3,FALSE),VLOOKUP(IDD7,#REF!,4,FALSE)),0)</f>
        <v/>
      </c>
      <c r="IDE1">
        <f>IFERROR(IF((ISBLANK(VLOOKUP(IDE7,#REF!,4,FALSE)))=TRUE,VLOOKUP(IDE7,#REF!,3,FALSE),VLOOKUP(IDE7,#REF!,4,FALSE)),0)</f>
        <v/>
      </c>
      <c r="IDF1">
        <f>IFERROR(IF((ISBLANK(VLOOKUP(IDF7,#REF!,4,FALSE)))=TRUE,VLOOKUP(IDF7,#REF!,3,FALSE),VLOOKUP(IDF7,#REF!,4,FALSE)),0)</f>
        <v/>
      </c>
      <c r="IDG1">
        <f>IFERROR(IF((ISBLANK(VLOOKUP(IDG7,#REF!,4,FALSE)))=TRUE,VLOOKUP(IDG7,#REF!,3,FALSE),VLOOKUP(IDG7,#REF!,4,FALSE)),0)</f>
        <v/>
      </c>
      <c r="IDH1">
        <f>IFERROR(IF((ISBLANK(VLOOKUP(IDH7,#REF!,4,FALSE)))=TRUE,VLOOKUP(IDH7,#REF!,3,FALSE),VLOOKUP(IDH7,#REF!,4,FALSE)),0)</f>
        <v/>
      </c>
      <c r="IDI1">
        <f>IFERROR(IF((ISBLANK(VLOOKUP(IDI7,#REF!,4,FALSE)))=TRUE,VLOOKUP(IDI7,#REF!,3,FALSE),VLOOKUP(IDI7,#REF!,4,FALSE)),0)</f>
        <v/>
      </c>
      <c r="IDJ1">
        <f>IFERROR(IF((ISBLANK(VLOOKUP(IDJ7,#REF!,4,FALSE)))=TRUE,VLOOKUP(IDJ7,#REF!,3,FALSE),VLOOKUP(IDJ7,#REF!,4,FALSE)),0)</f>
        <v/>
      </c>
      <c r="IDK1">
        <f>IFERROR(IF((ISBLANK(VLOOKUP(IDK7,#REF!,4,FALSE)))=TRUE,VLOOKUP(IDK7,#REF!,3,FALSE),VLOOKUP(IDK7,#REF!,4,FALSE)),0)</f>
        <v/>
      </c>
      <c r="IDL1">
        <f>IFERROR(IF((ISBLANK(VLOOKUP(IDL7,#REF!,4,FALSE)))=TRUE,VLOOKUP(IDL7,#REF!,3,FALSE),VLOOKUP(IDL7,#REF!,4,FALSE)),0)</f>
        <v/>
      </c>
      <c r="IDM1">
        <f>IFERROR(IF((ISBLANK(VLOOKUP(IDM7,#REF!,4,FALSE)))=TRUE,VLOOKUP(IDM7,#REF!,3,FALSE),VLOOKUP(IDM7,#REF!,4,FALSE)),0)</f>
        <v/>
      </c>
      <c r="IDN1">
        <f>IFERROR(IF((ISBLANK(VLOOKUP(IDN7,#REF!,4,FALSE)))=TRUE,VLOOKUP(IDN7,#REF!,3,FALSE),VLOOKUP(IDN7,#REF!,4,FALSE)),0)</f>
        <v/>
      </c>
      <c r="IDO1">
        <f>IFERROR(IF((ISBLANK(VLOOKUP(IDO7,#REF!,4,FALSE)))=TRUE,VLOOKUP(IDO7,#REF!,3,FALSE),VLOOKUP(IDO7,#REF!,4,FALSE)),0)</f>
        <v/>
      </c>
      <c r="IDP1">
        <f>IFERROR(IF((ISBLANK(VLOOKUP(IDP7,#REF!,4,FALSE)))=TRUE,VLOOKUP(IDP7,#REF!,3,FALSE),VLOOKUP(IDP7,#REF!,4,FALSE)),0)</f>
        <v/>
      </c>
      <c r="IDQ1">
        <f>IFERROR(IF((ISBLANK(VLOOKUP(IDQ7,#REF!,4,FALSE)))=TRUE,VLOOKUP(IDQ7,#REF!,3,FALSE),VLOOKUP(IDQ7,#REF!,4,FALSE)),0)</f>
        <v/>
      </c>
      <c r="IDR1">
        <f>IFERROR(IF((ISBLANK(VLOOKUP(IDR7,#REF!,4,FALSE)))=TRUE,VLOOKUP(IDR7,#REF!,3,FALSE),VLOOKUP(IDR7,#REF!,4,FALSE)),0)</f>
        <v/>
      </c>
      <c r="IDS1">
        <f>IFERROR(IF((ISBLANK(VLOOKUP(IDS7,#REF!,4,FALSE)))=TRUE,VLOOKUP(IDS7,#REF!,3,FALSE),VLOOKUP(IDS7,#REF!,4,FALSE)),0)</f>
        <v/>
      </c>
      <c r="IDT1">
        <f>IFERROR(IF((ISBLANK(VLOOKUP(IDT7,#REF!,4,FALSE)))=TRUE,VLOOKUP(IDT7,#REF!,3,FALSE),VLOOKUP(IDT7,#REF!,4,FALSE)),0)</f>
        <v/>
      </c>
      <c r="IDU1">
        <f>IFERROR(IF((ISBLANK(VLOOKUP(IDU7,#REF!,4,FALSE)))=TRUE,VLOOKUP(IDU7,#REF!,3,FALSE),VLOOKUP(IDU7,#REF!,4,FALSE)),0)</f>
        <v/>
      </c>
      <c r="IDV1">
        <f>IFERROR(IF((ISBLANK(VLOOKUP(IDV7,#REF!,4,FALSE)))=TRUE,VLOOKUP(IDV7,#REF!,3,FALSE),VLOOKUP(IDV7,#REF!,4,FALSE)),0)</f>
        <v/>
      </c>
      <c r="IDW1">
        <f>IFERROR(IF((ISBLANK(VLOOKUP(IDW7,#REF!,4,FALSE)))=TRUE,VLOOKUP(IDW7,#REF!,3,FALSE),VLOOKUP(IDW7,#REF!,4,FALSE)),0)</f>
        <v/>
      </c>
      <c r="IDX1">
        <f>IFERROR(IF((ISBLANK(VLOOKUP(IDX7,#REF!,4,FALSE)))=TRUE,VLOOKUP(IDX7,#REF!,3,FALSE),VLOOKUP(IDX7,#REF!,4,FALSE)),0)</f>
        <v/>
      </c>
      <c r="IDY1">
        <f>IFERROR(IF((ISBLANK(VLOOKUP(IDY7,#REF!,4,FALSE)))=TRUE,VLOOKUP(IDY7,#REF!,3,FALSE),VLOOKUP(IDY7,#REF!,4,FALSE)),0)</f>
        <v/>
      </c>
      <c r="IDZ1">
        <f>IFERROR(IF((ISBLANK(VLOOKUP(IDZ7,#REF!,4,FALSE)))=TRUE,VLOOKUP(IDZ7,#REF!,3,FALSE),VLOOKUP(IDZ7,#REF!,4,FALSE)),0)</f>
        <v/>
      </c>
      <c r="IEA1">
        <f>IFERROR(IF((ISBLANK(VLOOKUP(IEA7,#REF!,4,FALSE)))=TRUE,VLOOKUP(IEA7,#REF!,3,FALSE),VLOOKUP(IEA7,#REF!,4,FALSE)),0)</f>
        <v/>
      </c>
      <c r="IEB1">
        <f>IFERROR(IF((ISBLANK(VLOOKUP(IEB7,#REF!,4,FALSE)))=TRUE,VLOOKUP(IEB7,#REF!,3,FALSE),VLOOKUP(IEB7,#REF!,4,FALSE)),0)</f>
        <v/>
      </c>
      <c r="IEC1">
        <f>IFERROR(IF((ISBLANK(VLOOKUP(IEC7,#REF!,4,FALSE)))=TRUE,VLOOKUP(IEC7,#REF!,3,FALSE),VLOOKUP(IEC7,#REF!,4,FALSE)),0)</f>
        <v/>
      </c>
      <c r="IED1">
        <f>IFERROR(IF((ISBLANK(VLOOKUP(IED7,#REF!,4,FALSE)))=TRUE,VLOOKUP(IED7,#REF!,3,FALSE),VLOOKUP(IED7,#REF!,4,FALSE)),0)</f>
        <v/>
      </c>
      <c r="IEE1">
        <f>IFERROR(IF((ISBLANK(VLOOKUP(IEE7,#REF!,4,FALSE)))=TRUE,VLOOKUP(IEE7,#REF!,3,FALSE),VLOOKUP(IEE7,#REF!,4,FALSE)),0)</f>
        <v/>
      </c>
      <c r="IEF1">
        <f>IFERROR(IF((ISBLANK(VLOOKUP(IEF7,#REF!,4,FALSE)))=TRUE,VLOOKUP(IEF7,#REF!,3,FALSE),VLOOKUP(IEF7,#REF!,4,FALSE)),0)</f>
        <v/>
      </c>
      <c r="IEG1">
        <f>IFERROR(IF((ISBLANK(VLOOKUP(IEG7,#REF!,4,FALSE)))=TRUE,VLOOKUP(IEG7,#REF!,3,FALSE),VLOOKUP(IEG7,#REF!,4,FALSE)),0)</f>
        <v/>
      </c>
      <c r="IEH1">
        <f>IFERROR(IF((ISBLANK(VLOOKUP(IEH7,#REF!,4,FALSE)))=TRUE,VLOOKUP(IEH7,#REF!,3,FALSE),VLOOKUP(IEH7,#REF!,4,FALSE)),0)</f>
        <v/>
      </c>
      <c r="IEI1">
        <f>IFERROR(IF((ISBLANK(VLOOKUP(IEI7,#REF!,4,FALSE)))=TRUE,VLOOKUP(IEI7,#REF!,3,FALSE),VLOOKUP(IEI7,#REF!,4,FALSE)),0)</f>
        <v/>
      </c>
      <c r="IEJ1">
        <f>IFERROR(IF((ISBLANK(VLOOKUP(IEJ7,#REF!,4,FALSE)))=TRUE,VLOOKUP(IEJ7,#REF!,3,FALSE),VLOOKUP(IEJ7,#REF!,4,FALSE)),0)</f>
        <v/>
      </c>
      <c r="IEK1">
        <f>IFERROR(IF((ISBLANK(VLOOKUP(IEK7,#REF!,4,FALSE)))=TRUE,VLOOKUP(IEK7,#REF!,3,FALSE),VLOOKUP(IEK7,#REF!,4,FALSE)),0)</f>
        <v/>
      </c>
      <c r="IEL1">
        <f>IFERROR(IF((ISBLANK(VLOOKUP(IEL7,#REF!,4,FALSE)))=TRUE,VLOOKUP(IEL7,#REF!,3,FALSE),VLOOKUP(IEL7,#REF!,4,FALSE)),0)</f>
        <v/>
      </c>
      <c r="IEM1">
        <f>IFERROR(IF((ISBLANK(VLOOKUP(IEM7,#REF!,4,FALSE)))=TRUE,VLOOKUP(IEM7,#REF!,3,FALSE),VLOOKUP(IEM7,#REF!,4,FALSE)),0)</f>
        <v/>
      </c>
      <c r="IEN1">
        <f>IFERROR(IF((ISBLANK(VLOOKUP(IEN7,#REF!,4,FALSE)))=TRUE,VLOOKUP(IEN7,#REF!,3,FALSE),VLOOKUP(IEN7,#REF!,4,FALSE)),0)</f>
        <v/>
      </c>
      <c r="IEO1">
        <f>IFERROR(IF((ISBLANK(VLOOKUP(IEO7,#REF!,4,FALSE)))=TRUE,VLOOKUP(IEO7,#REF!,3,FALSE),VLOOKUP(IEO7,#REF!,4,FALSE)),0)</f>
        <v/>
      </c>
      <c r="IEP1">
        <f>IFERROR(IF((ISBLANK(VLOOKUP(IEP7,#REF!,4,FALSE)))=TRUE,VLOOKUP(IEP7,#REF!,3,FALSE),VLOOKUP(IEP7,#REF!,4,FALSE)),0)</f>
        <v/>
      </c>
      <c r="IEQ1">
        <f>IFERROR(IF((ISBLANK(VLOOKUP(IEQ7,#REF!,4,FALSE)))=TRUE,VLOOKUP(IEQ7,#REF!,3,FALSE),VLOOKUP(IEQ7,#REF!,4,FALSE)),0)</f>
        <v/>
      </c>
      <c r="IER1">
        <f>IFERROR(IF((ISBLANK(VLOOKUP(IER7,#REF!,4,FALSE)))=TRUE,VLOOKUP(IER7,#REF!,3,FALSE),VLOOKUP(IER7,#REF!,4,FALSE)),0)</f>
        <v/>
      </c>
      <c r="IES1">
        <f>IFERROR(IF((ISBLANK(VLOOKUP(IES7,#REF!,4,FALSE)))=TRUE,VLOOKUP(IES7,#REF!,3,FALSE),VLOOKUP(IES7,#REF!,4,FALSE)),0)</f>
        <v/>
      </c>
      <c r="IET1">
        <f>IFERROR(IF((ISBLANK(VLOOKUP(IET7,#REF!,4,FALSE)))=TRUE,VLOOKUP(IET7,#REF!,3,FALSE),VLOOKUP(IET7,#REF!,4,FALSE)),0)</f>
        <v/>
      </c>
      <c r="IEU1">
        <f>IFERROR(IF((ISBLANK(VLOOKUP(IEU7,#REF!,4,FALSE)))=TRUE,VLOOKUP(IEU7,#REF!,3,FALSE),VLOOKUP(IEU7,#REF!,4,FALSE)),0)</f>
        <v/>
      </c>
      <c r="IEV1">
        <f>IFERROR(IF((ISBLANK(VLOOKUP(IEV7,#REF!,4,FALSE)))=TRUE,VLOOKUP(IEV7,#REF!,3,FALSE),VLOOKUP(IEV7,#REF!,4,FALSE)),0)</f>
        <v/>
      </c>
      <c r="IEW1">
        <f>IFERROR(IF((ISBLANK(VLOOKUP(IEW7,#REF!,4,FALSE)))=TRUE,VLOOKUP(IEW7,#REF!,3,FALSE),VLOOKUP(IEW7,#REF!,4,FALSE)),0)</f>
        <v/>
      </c>
      <c r="IEX1">
        <f>IFERROR(IF((ISBLANK(VLOOKUP(IEX7,#REF!,4,FALSE)))=TRUE,VLOOKUP(IEX7,#REF!,3,FALSE),VLOOKUP(IEX7,#REF!,4,FALSE)),0)</f>
        <v/>
      </c>
      <c r="IEY1">
        <f>IFERROR(IF((ISBLANK(VLOOKUP(IEY7,#REF!,4,FALSE)))=TRUE,VLOOKUP(IEY7,#REF!,3,FALSE),VLOOKUP(IEY7,#REF!,4,FALSE)),0)</f>
        <v/>
      </c>
      <c r="IEZ1">
        <f>IFERROR(IF((ISBLANK(VLOOKUP(IEZ7,#REF!,4,FALSE)))=TRUE,VLOOKUP(IEZ7,#REF!,3,FALSE),VLOOKUP(IEZ7,#REF!,4,FALSE)),0)</f>
        <v/>
      </c>
      <c r="IFA1">
        <f>IFERROR(IF((ISBLANK(VLOOKUP(IFA7,#REF!,4,FALSE)))=TRUE,VLOOKUP(IFA7,#REF!,3,FALSE),VLOOKUP(IFA7,#REF!,4,FALSE)),0)</f>
        <v/>
      </c>
      <c r="IFB1">
        <f>IFERROR(IF((ISBLANK(VLOOKUP(IFB7,#REF!,4,FALSE)))=TRUE,VLOOKUP(IFB7,#REF!,3,FALSE),VLOOKUP(IFB7,#REF!,4,FALSE)),0)</f>
        <v/>
      </c>
      <c r="IFC1">
        <f>IFERROR(IF((ISBLANK(VLOOKUP(IFC7,#REF!,4,FALSE)))=TRUE,VLOOKUP(IFC7,#REF!,3,FALSE),VLOOKUP(IFC7,#REF!,4,FALSE)),0)</f>
        <v/>
      </c>
      <c r="IFD1">
        <f>IFERROR(IF((ISBLANK(VLOOKUP(IFD7,#REF!,4,FALSE)))=TRUE,VLOOKUP(IFD7,#REF!,3,FALSE),VLOOKUP(IFD7,#REF!,4,FALSE)),0)</f>
        <v/>
      </c>
      <c r="IFE1">
        <f>IFERROR(IF((ISBLANK(VLOOKUP(IFE7,#REF!,4,FALSE)))=TRUE,VLOOKUP(IFE7,#REF!,3,FALSE),VLOOKUP(IFE7,#REF!,4,FALSE)),0)</f>
        <v/>
      </c>
      <c r="IFF1">
        <f>IF(#REF!="Skip to main content","FILED","NOT FILED")</f>
        <v/>
      </c>
      <c r="IFG1">
        <f>RIGHT(#REF!,2)</f>
        <v/>
      </c>
      <c r="IFH1">
        <f>IFERROR(VLOOKUP(RIGHT(#REF!,6),#REF!,2,FALSE),0)</f>
        <v/>
      </c>
      <c r="IFI1">
        <f>IFERROR(IF((ISBLANK(VLOOKUP(IFI7,#REF!,3,FALSE)))=TRUE,VLOOKUP(IFI7,#REF!,2,FALSE),VLOOKUP(IFI7,#REF!,3,FALSE)),0)</f>
        <v/>
      </c>
      <c r="IFJ1">
        <f>IFERROR(IF((ISBLANK(VLOOKUP(IFJ7,#REF!,3,FALSE)))=TRUE,VLOOKUP(IFJ7,#REF!,2,FALSE),VLOOKUP(IFJ7,#REF!,3,FALSE)),0)</f>
        <v/>
      </c>
      <c r="IFK1">
        <f>IFERROR(IF((ISBLANK(VLOOKUP(IFK7,#REF!,3,FALSE)))=TRUE,VLOOKUP(IFK7,#REF!,2,FALSE),VLOOKUP(IFK7,#REF!,3,FALSE)),0)</f>
        <v/>
      </c>
      <c r="IFL1">
        <f>IFERROR(IF((ISBLANK(VLOOKUP(IFL7,#REF!,3,FALSE)))=TRUE,VLOOKUP(IFL7,#REF!,2,FALSE),VLOOKUP(IFL7,#REF!,3,FALSE)),0)</f>
        <v/>
      </c>
      <c r="IFM1">
        <f>IFERROR(IF((ISBLANK(VLOOKUP(IFM7,#REF!,3,FALSE)))=TRUE,VLOOKUP(IFM7,#REF!,2,FALSE),VLOOKUP(IFM7,#REF!,3,FALSE)),0)</f>
        <v/>
      </c>
      <c r="IFN1">
        <f>IFERROR(IF((ISBLANK(VLOOKUP(IFN7,#REF!,3,FALSE)))=TRUE,VLOOKUP(IFN7,#REF!,2,FALSE),VLOOKUP(IFN7,#REF!,3,FALSE)),0)</f>
        <v/>
      </c>
      <c r="IFO1">
        <f>IFERROR(IF((ISBLANK(VLOOKUP(IFO7,#REF!,4,FALSE)))=TRUE,VLOOKUP(IFO7,#REF!,3,FALSE),VLOOKUP(IFO7,#REF!,4,FALSE)),0)</f>
        <v/>
      </c>
      <c r="IFP1">
        <f>IFERROR(IF((ISBLANK(VLOOKUP(IFP7,#REF!,4,FALSE)))=TRUE,VLOOKUP(IFP7,#REF!,3,FALSE),VLOOKUP(IFP7,#REF!,4,FALSE)),0)</f>
        <v/>
      </c>
      <c r="IFQ1">
        <f>IFERROR(IF((ISBLANK(VLOOKUP(IFQ7,#REF!,4,FALSE)))=TRUE,VLOOKUP(IFQ7,#REF!,3,FALSE),VLOOKUP(IFQ7,#REF!,4,FALSE)),0)</f>
        <v/>
      </c>
      <c r="IFR1">
        <f>IFERROR(IF((ISBLANK(VLOOKUP(IFR7,#REF!,4,FALSE)))=TRUE,VLOOKUP(IFR7,#REF!,3,FALSE),VLOOKUP(IFR7,#REF!,4,FALSE)),0)</f>
        <v/>
      </c>
      <c r="IFS1">
        <f>IFERROR(IF((ISBLANK(VLOOKUP(IFS7,#REF!,4,FALSE)))=TRUE,VLOOKUP(IFS7,#REF!,3,FALSE),VLOOKUP(IFS7,#REF!,4,FALSE)),0)</f>
        <v/>
      </c>
      <c r="IFT1">
        <f>IFERROR(IF((ISBLANK(VLOOKUP(IFT7,#REF!,4,FALSE)))=TRUE,VLOOKUP(IFT7,#REF!,3,FALSE),VLOOKUP(IFT7,#REF!,4,FALSE)),0)</f>
        <v/>
      </c>
      <c r="IFU1">
        <f>IFERROR(IF((ISBLANK(VLOOKUP(IFU7,#REF!,4,FALSE)))=TRUE,VLOOKUP(IFU7,#REF!,3,FALSE),VLOOKUP(IFU7,#REF!,4,FALSE)),0)</f>
        <v/>
      </c>
      <c r="IFV1">
        <f>IFERROR(IF((ISBLANK(VLOOKUP(IFV7,#REF!,4,FALSE)))=TRUE,VLOOKUP(IFV7,#REF!,3,FALSE),VLOOKUP(IFV7,#REF!,4,FALSE)),0)</f>
        <v/>
      </c>
      <c r="IFW1">
        <f>IFERROR(IF((ISBLANK(VLOOKUP(IFW7,#REF!,4,FALSE)))=TRUE,VLOOKUP(IFW7,#REF!,3,FALSE),VLOOKUP(IFW7,#REF!,4,FALSE)),0)</f>
        <v/>
      </c>
      <c r="IFX1">
        <f>IFERROR(IF((ISBLANK(VLOOKUP(IFX7,#REF!,4,FALSE)))=TRUE,VLOOKUP(IFX7,#REF!,3,FALSE),VLOOKUP(IFX7,#REF!,4,FALSE)),0)</f>
        <v/>
      </c>
      <c r="IFY1">
        <f>IFERROR(IF((ISBLANK(VLOOKUP(IFY7,#REF!,4,FALSE)))=TRUE,VLOOKUP(IFY7,#REF!,3,FALSE),VLOOKUP(IFY7,#REF!,4,FALSE)),0)</f>
        <v/>
      </c>
      <c r="IFZ1">
        <f>IFERROR(IF((ISBLANK(VLOOKUP(IFZ7,#REF!,4,FALSE)))=TRUE,VLOOKUP(IFZ7,#REF!,3,FALSE),VLOOKUP(IFZ7,#REF!,4,FALSE)),0)</f>
        <v/>
      </c>
      <c r="IGA1">
        <f>IFERROR(IF((ISBLANK(VLOOKUP(IGA7,#REF!,4,FALSE)))=TRUE,VLOOKUP(IGA7,#REF!,3,FALSE),VLOOKUP(IGA7,#REF!,4,FALSE)),0)</f>
        <v/>
      </c>
      <c r="IGB1">
        <f>IFERROR(IF((ISBLANK(VLOOKUP(IGB7,#REF!,4,FALSE)))=TRUE,VLOOKUP(IGB7,#REF!,3,FALSE),VLOOKUP(IGB7,#REF!,4,FALSE)),0)</f>
        <v/>
      </c>
      <c r="IGC1">
        <f>IFERROR(IF((ISBLANK(VLOOKUP(IGC7,#REF!,4,FALSE)))=TRUE,VLOOKUP(IGC7,#REF!,3,FALSE),VLOOKUP(IGC7,#REF!,4,FALSE)),0)</f>
        <v/>
      </c>
      <c r="IGD1">
        <f>IFERROR(IF((ISBLANK(VLOOKUP(IGD7,#REF!,4,FALSE)))=TRUE,VLOOKUP(IGD7,#REF!,3,FALSE),VLOOKUP(IGD7,#REF!,4,FALSE)),0)</f>
        <v/>
      </c>
      <c r="IGE1">
        <f>IFERROR(IF((ISBLANK(VLOOKUP(IGE7,#REF!,4,FALSE)))=TRUE,VLOOKUP(IGE7,#REF!,3,FALSE),VLOOKUP(IGE7,#REF!,4,FALSE)),0)</f>
        <v/>
      </c>
      <c r="IGF1">
        <f>IFERROR(IF((ISBLANK(VLOOKUP(IGF7,#REF!,4,FALSE)))=TRUE,VLOOKUP(IGF7,#REF!,3,FALSE),VLOOKUP(IGF7,#REF!,4,FALSE)),0)</f>
        <v/>
      </c>
      <c r="IGG1">
        <f>IFERROR(IF((ISBLANK(VLOOKUP(IGG7,#REF!,4,FALSE)))=TRUE,VLOOKUP(IGG7,#REF!,3,FALSE),VLOOKUP(IGG7,#REF!,4,FALSE)),0)</f>
        <v/>
      </c>
      <c r="IGH1">
        <f>IFERROR(IF((ISBLANK(VLOOKUP(IGH7,#REF!,4,FALSE)))=TRUE,VLOOKUP(IGH7,#REF!,3,FALSE),VLOOKUP(IGH7,#REF!,4,FALSE)),0)</f>
        <v/>
      </c>
      <c r="IGI1">
        <f>IFERROR(IF((ISBLANK(VLOOKUP(IGI7,#REF!,4,FALSE)))=TRUE,VLOOKUP(IGI7,#REF!,3,FALSE),VLOOKUP(IGI7,#REF!,4,FALSE)),0)</f>
        <v/>
      </c>
      <c r="IGJ1">
        <f>IFERROR(IF((ISBLANK(VLOOKUP(IGJ7,#REF!,4,FALSE)))=TRUE,VLOOKUP(IGJ7,#REF!,3,FALSE),VLOOKUP(IGJ7,#REF!,4,FALSE)),0)</f>
        <v/>
      </c>
      <c r="IGK1">
        <f>IFERROR(IF((ISBLANK(VLOOKUP(IGK7,#REF!,4,FALSE)))=TRUE,VLOOKUP(IGK7,#REF!,3,FALSE),VLOOKUP(IGK7,#REF!,4,FALSE)),0)</f>
        <v/>
      </c>
      <c r="IGL1">
        <f>IFERROR(IF((ISBLANK(VLOOKUP(IGL7,#REF!,4,FALSE)))=TRUE,VLOOKUP(IGL7,#REF!,3,FALSE),VLOOKUP(IGL7,#REF!,4,FALSE)),0)</f>
        <v/>
      </c>
      <c r="IGM1">
        <f>IFERROR(IF((ISBLANK(VLOOKUP(IGM7,#REF!,4,FALSE)))=TRUE,VLOOKUP(IGM7,#REF!,3,FALSE),VLOOKUP(IGM7,#REF!,4,FALSE)),0)</f>
        <v/>
      </c>
      <c r="IGN1">
        <f>IFERROR(IF((ISBLANK(VLOOKUP(IGN7,#REF!,4,FALSE)))=TRUE,VLOOKUP(IGN7,#REF!,3,FALSE),VLOOKUP(IGN7,#REF!,4,FALSE)),0)</f>
        <v/>
      </c>
      <c r="IGO1">
        <f>IFERROR(IF((ISBLANK(VLOOKUP(IGO7,#REF!,4,FALSE)))=TRUE,VLOOKUP(IGO7,#REF!,3,FALSE),VLOOKUP(IGO7,#REF!,4,FALSE)),0)</f>
        <v/>
      </c>
      <c r="IGP1">
        <f>IFERROR(IF((ISBLANK(VLOOKUP(IGP7,#REF!,4,FALSE)))=TRUE,VLOOKUP(IGP7,#REF!,3,FALSE),VLOOKUP(IGP7,#REF!,4,FALSE)),0)</f>
        <v/>
      </c>
      <c r="IGQ1">
        <f>IFERROR(IF((ISBLANK(VLOOKUP(IGQ7,#REF!,4,FALSE)))=TRUE,VLOOKUP(IGQ7,#REF!,3,FALSE),VLOOKUP(IGQ7,#REF!,4,FALSE)),0)</f>
        <v/>
      </c>
      <c r="IGR1">
        <f>IFERROR(IF((ISBLANK(VLOOKUP(IGR7,#REF!,4,FALSE)))=TRUE,VLOOKUP(IGR7,#REF!,3,FALSE),VLOOKUP(IGR7,#REF!,4,FALSE)),0)</f>
        <v/>
      </c>
      <c r="IGS1">
        <f>IFERROR(IF((ISBLANK(VLOOKUP(IGS7,#REF!,4,FALSE)))=TRUE,VLOOKUP(IGS7,#REF!,3,FALSE),VLOOKUP(IGS7,#REF!,4,FALSE)),0)</f>
        <v/>
      </c>
      <c r="IGT1">
        <f>IFERROR(IF((ISBLANK(VLOOKUP(IGT7,#REF!,4,FALSE)))=TRUE,VLOOKUP(IGT7,#REF!,3,FALSE),VLOOKUP(IGT7,#REF!,4,FALSE)),0)</f>
        <v/>
      </c>
      <c r="IGU1">
        <f>IFERROR(IF((ISBLANK(VLOOKUP(IGU7,#REF!,4,FALSE)))=TRUE,VLOOKUP(IGU7,#REF!,3,FALSE),VLOOKUP(IGU7,#REF!,4,FALSE)),0)</f>
        <v/>
      </c>
      <c r="IGV1">
        <f>IFERROR(IF((ISBLANK(VLOOKUP(IGV7,#REF!,4,FALSE)))=TRUE,VLOOKUP(IGV7,#REF!,3,FALSE),VLOOKUP(IGV7,#REF!,4,FALSE)),0)</f>
        <v/>
      </c>
      <c r="IGW1">
        <f>IFERROR(IF((ISBLANK(VLOOKUP(IGW7,#REF!,4,FALSE)))=TRUE,VLOOKUP(IGW7,#REF!,3,FALSE),VLOOKUP(IGW7,#REF!,4,FALSE)),0)</f>
        <v/>
      </c>
      <c r="IGX1">
        <f>IFERROR(IF((ISBLANK(VLOOKUP(IGX7,#REF!,4,FALSE)))=TRUE,VLOOKUP(IGX7,#REF!,3,FALSE),VLOOKUP(IGX7,#REF!,4,FALSE)),0)</f>
        <v/>
      </c>
      <c r="IGY1">
        <f>IFERROR(IF((ISBLANK(VLOOKUP(IGY7,#REF!,4,FALSE)))=TRUE,VLOOKUP(IGY7,#REF!,3,FALSE),VLOOKUP(IGY7,#REF!,4,FALSE)),0)</f>
        <v/>
      </c>
      <c r="IGZ1">
        <f>IFERROR(IF((ISBLANK(VLOOKUP(IGZ7,#REF!,4,FALSE)))=TRUE,VLOOKUP(IGZ7,#REF!,3,FALSE),VLOOKUP(IGZ7,#REF!,4,FALSE)),0)</f>
        <v/>
      </c>
      <c r="IHA1">
        <f>IFERROR(IF((ISBLANK(VLOOKUP(IHA7,#REF!,4,FALSE)))=TRUE,VLOOKUP(IHA7,#REF!,3,FALSE),VLOOKUP(IHA7,#REF!,4,FALSE)),0)</f>
        <v/>
      </c>
      <c r="IHB1">
        <f>IFERROR(IF((ISBLANK(VLOOKUP(IHB7,#REF!,4,FALSE)))=TRUE,VLOOKUP(IHB7,#REF!,3,FALSE),VLOOKUP(IHB7,#REF!,4,FALSE)),0)</f>
        <v/>
      </c>
      <c r="IHC1">
        <f>IFERROR(IF((ISBLANK(VLOOKUP(IHC7,#REF!,4,FALSE)))=TRUE,VLOOKUP(IHC7,#REF!,3,FALSE),VLOOKUP(IHC7,#REF!,4,FALSE)),0)</f>
        <v/>
      </c>
      <c r="IHD1">
        <f>IFERROR(IF((ISBLANK(VLOOKUP(IHD7,#REF!,4,FALSE)))=TRUE,VLOOKUP(IHD7,#REF!,3,FALSE),VLOOKUP(IHD7,#REF!,4,FALSE)),0)</f>
        <v/>
      </c>
      <c r="IHE1">
        <f>IFERROR(IF((ISBLANK(VLOOKUP(IHE7,#REF!,4,FALSE)))=TRUE,VLOOKUP(IHE7,#REF!,3,FALSE),VLOOKUP(IHE7,#REF!,4,FALSE)),0)</f>
        <v/>
      </c>
      <c r="IHF1">
        <f>IFERROR(IF((ISBLANK(VLOOKUP(IHF7,#REF!,4,FALSE)))=TRUE,VLOOKUP(IHF7,#REF!,3,FALSE),VLOOKUP(IHF7,#REF!,4,FALSE)),0)</f>
        <v/>
      </c>
      <c r="IHG1">
        <f>IFERROR(IF((ISBLANK(VLOOKUP(IHG7,#REF!,4,FALSE)))=TRUE,VLOOKUP(IHG7,#REF!,3,FALSE),VLOOKUP(IHG7,#REF!,4,FALSE)),0)</f>
        <v/>
      </c>
      <c r="IHH1">
        <f>IFERROR(IF((ISBLANK(VLOOKUP(IHH7,#REF!,4,FALSE)))=TRUE,VLOOKUP(IHH7,#REF!,3,FALSE),VLOOKUP(IHH7,#REF!,4,FALSE)),0)</f>
        <v/>
      </c>
      <c r="IHI1">
        <f>IFERROR(IF((ISBLANK(VLOOKUP(IHI7,#REF!,4,FALSE)))=TRUE,VLOOKUP(IHI7,#REF!,3,FALSE),VLOOKUP(IHI7,#REF!,4,FALSE)),0)</f>
        <v/>
      </c>
      <c r="IHJ1">
        <f>IFERROR(IF((ISBLANK(VLOOKUP(IHJ7,#REF!,4,FALSE)))=TRUE,VLOOKUP(IHJ7,#REF!,3,FALSE),VLOOKUP(IHJ7,#REF!,4,FALSE)),0)</f>
        <v/>
      </c>
      <c r="IHK1">
        <f>IFERROR(IF((ISBLANK(VLOOKUP(IHK7,#REF!,4,FALSE)))=TRUE,VLOOKUP(IHK7,#REF!,3,FALSE),VLOOKUP(IHK7,#REF!,4,FALSE)),0)</f>
        <v/>
      </c>
      <c r="IHL1">
        <f>IFERROR(IF((ISBLANK(VLOOKUP(IHL7,#REF!,4,FALSE)))=TRUE,VLOOKUP(IHL7,#REF!,3,FALSE),VLOOKUP(IHL7,#REF!,4,FALSE)),0)</f>
        <v/>
      </c>
      <c r="IHM1">
        <f>IFERROR(IF((ISBLANK(VLOOKUP(IHM7,#REF!,4,FALSE)))=TRUE,VLOOKUP(IHM7,#REF!,3,FALSE),VLOOKUP(IHM7,#REF!,4,FALSE)),0)</f>
        <v/>
      </c>
      <c r="IHN1">
        <f>IFERROR(IF((ISBLANK(VLOOKUP(IHN7,#REF!,4,FALSE)))=TRUE,VLOOKUP(IHN7,#REF!,3,FALSE),VLOOKUP(IHN7,#REF!,4,FALSE)),0)</f>
        <v/>
      </c>
      <c r="IHO1">
        <f>IFERROR(IF((ISBLANK(VLOOKUP(IHO7,#REF!,4,FALSE)))=TRUE,VLOOKUP(IHO7,#REF!,3,FALSE),VLOOKUP(IHO7,#REF!,4,FALSE)),0)</f>
        <v/>
      </c>
      <c r="IHP1">
        <f>IFERROR(IF((ISBLANK(VLOOKUP(IHP7,#REF!,4,FALSE)))=TRUE,VLOOKUP(IHP7,#REF!,3,FALSE),VLOOKUP(IHP7,#REF!,4,FALSE)),0)</f>
        <v/>
      </c>
      <c r="IHQ1">
        <f>IFERROR(IF((ISBLANK(VLOOKUP(IHQ7,#REF!,4,FALSE)))=TRUE,VLOOKUP(IHQ7,#REF!,3,FALSE),VLOOKUP(IHQ7,#REF!,4,FALSE)),0)</f>
        <v/>
      </c>
      <c r="IHR1">
        <f>IFERROR(IF((ISBLANK(VLOOKUP(IHR7,#REF!,4,FALSE)))=TRUE,VLOOKUP(IHR7,#REF!,3,FALSE),VLOOKUP(IHR7,#REF!,4,FALSE)),0)</f>
        <v/>
      </c>
      <c r="IHS1">
        <f>IFERROR(IF((ISBLANK(VLOOKUP(IHS7,#REF!,4,FALSE)))=TRUE,VLOOKUP(IHS7,#REF!,3,FALSE),VLOOKUP(IHS7,#REF!,4,FALSE)),0)</f>
        <v/>
      </c>
      <c r="IHT1">
        <f>IFERROR(IF((ISBLANK(VLOOKUP(IHT7,#REF!,4,FALSE)))=TRUE,VLOOKUP(IHT7,#REF!,3,FALSE),VLOOKUP(IHT7,#REF!,4,FALSE)),0)</f>
        <v/>
      </c>
      <c r="IHU1">
        <f>IFERROR(IF((ISBLANK(VLOOKUP(IHU7,#REF!,4,FALSE)))=TRUE,VLOOKUP(IHU7,#REF!,3,FALSE),VLOOKUP(IHU7,#REF!,4,FALSE)),0)</f>
        <v/>
      </c>
      <c r="IHV1">
        <f>IFERROR(IF((ISBLANK(VLOOKUP(IHV7,#REF!,4,FALSE)))=TRUE,VLOOKUP(IHV7,#REF!,3,FALSE),VLOOKUP(IHV7,#REF!,4,FALSE)),0)</f>
        <v/>
      </c>
      <c r="IHW1">
        <f>IFERROR(IF((ISBLANK(VLOOKUP(IHW7,#REF!,4,FALSE)))=TRUE,VLOOKUP(IHW7,#REF!,3,FALSE),VLOOKUP(IHW7,#REF!,4,FALSE)),0)</f>
        <v/>
      </c>
      <c r="IHX1">
        <f>IFERROR(IF((ISBLANK(VLOOKUP(IHX7,#REF!,4,FALSE)))=TRUE,VLOOKUP(IHX7,#REF!,3,FALSE),VLOOKUP(IHX7,#REF!,4,FALSE)),0)</f>
        <v/>
      </c>
      <c r="IHY1">
        <f>IFERROR(IF((ISBLANK(VLOOKUP(IHY7,#REF!,4,FALSE)))=TRUE,VLOOKUP(IHY7,#REF!,3,FALSE),VLOOKUP(IHY7,#REF!,4,FALSE)),0)</f>
        <v/>
      </c>
      <c r="IHZ1">
        <f>IFERROR(IF((ISBLANK(VLOOKUP(IHZ7,#REF!,4,FALSE)))=TRUE,VLOOKUP(IHZ7,#REF!,3,FALSE),VLOOKUP(IHZ7,#REF!,4,FALSE)),0)</f>
        <v/>
      </c>
      <c r="IIA1">
        <f>IFERROR(IF((ISBLANK(VLOOKUP(IIA7,#REF!,4,FALSE)))=TRUE,VLOOKUP(IIA7,#REF!,3,FALSE),VLOOKUP(IIA7,#REF!,4,FALSE)),0)</f>
        <v/>
      </c>
      <c r="IIB1">
        <f>IFERROR(IF((ISBLANK(VLOOKUP(IIB7,#REF!,4,FALSE)))=TRUE,VLOOKUP(IIB7,#REF!,3,FALSE),VLOOKUP(IIB7,#REF!,4,FALSE)),0)</f>
        <v/>
      </c>
      <c r="IIC1">
        <f>IFERROR(IF((ISBLANK(VLOOKUP(IIC7,#REF!,4,FALSE)))=TRUE,VLOOKUP(IIC7,#REF!,3,FALSE),VLOOKUP(IIC7,#REF!,4,FALSE)),0)</f>
        <v/>
      </c>
      <c r="IID1">
        <f>IFERROR(IF((ISBLANK(VLOOKUP(IID7,#REF!,4,FALSE)))=TRUE,VLOOKUP(IID7,#REF!,3,FALSE),VLOOKUP(IID7,#REF!,4,FALSE)),0)</f>
        <v/>
      </c>
      <c r="IIE1">
        <f>IFERROR(IF((ISBLANK(VLOOKUP(IIE7,#REF!,4,FALSE)))=TRUE,VLOOKUP(IIE7,#REF!,3,FALSE),VLOOKUP(IIE7,#REF!,4,FALSE)),0)</f>
        <v/>
      </c>
      <c r="IIF1">
        <f>IFERROR(IF((ISBLANK(VLOOKUP(IIF7,#REF!,4,FALSE)))=TRUE,VLOOKUP(IIF7,#REF!,3,FALSE),VLOOKUP(IIF7,#REF!,4,FALSE)),0)</f>
        <v/>
      </c>
      <c r="IIG1">
        <f>IFERROR(IF((ISBLANK(VLOOKUP(IIG7,#REF!,4,FALSE)))=TRUE,VLOOKUP(IIG7,#REF!,3,FALSE),VLOOKUP(IIG7,#REF!,4,FALSE)),0)</f>
        <v/>
      </c>
      <c r="IIH1">
        <f>IFERROR(IF((ISBLANK(VLOOKUP(IIH7,#REF!,4,FALSE)))=TRUE,VLOOKUP(IIH7,#REF!,3,FALSE),VLOOKUP(IIH7,#REF!,4,FALSE)),0)</f>
        <v/>
      </c>
      <c r="III1">
        <f>IFERROR(IF((ISBLANK(VLOOKUP(III7,#REF!,4,FALSE)))=TRUE,VLOOKUP(III7,#REF!,3,FALSE),VLOOKUP(III7,#REF!,4,FALSE)),0)</f>
        <v/>
      </c>
      <c r="IIJ1">
        <f>IFERROR(IF((ISBLANK(VLOOKUP(IIJ7,#REF!,4,FALSE)))=TRUE,VLOOKUP(IIJ7,#REF!,3,FALSE),VLOOKUP(IIJ7,#REF!,4,FALSE)),0)</f>
        <v/>
      </c>
      <c r="IIK1">
        <f>IFERROR(IF((ISBLANK(VLOOKUP(IIK7,#REF!,4,FALSE)))=TRUE,VLOOKUP(IIK7,#REF!,3,FALSE),VLOOKUP(IIK7,#REF!,4,FALSE)),0)</f>
        <v/>
      </c>
      <c r="IIL1">
        <f>IFERROR(IF((ISBLANK(VLOOKUP(IIL7,#REF!,4,FALSE)))=TRUE,VLOOKUP(IIL7,#REF!,3,FALSE),VLOOKUP(IIL7,#REF!,4,FALSE)),0)</f>
        <v/>
      </c>
      <c r="IIM1">
        <f>IFERROR(IF((ISBLANK(VLOOKUP(IIM7,#REF!,4,FALSE)))=TRUE,VLOOKUP(IIM7,#REF!,3,FALSE),VLOOKUP(IIM7,#REF!,4,FALSE)),0)</f>
        <v/>
      </c>
      <c r="IIN1">
        <f>IFERROR(IF((ISBLANK(VLOOKUP(IIN7,#REF!,4,FALSE)))=TRUE,VLOOKUP(IIN7,#REF!,3,FALSE),VLOOKUP(IIN7,#REF!,4,FALSE)),0)</f>
        <v/>
      </c>
      <c r="IIO1">
        <f>IFERROR(IF((ISBLANK(VLOOKUP(IIO7,#REF!,4,FALSE)))=TRUE,VLOOKUP(IIO7,#REF!,3,FALSE),VLOOKUP(IIO7,#REF!,4,FALSE)),0)</f>
        <v/>
      </c>
      <c r="IIP1">
        <f>IFERROR(IF((ISBLANK(VLOOKUP(IIP7,#REF!,4,FALSE)))=TRUE,VLOOKUP(IIP7,#REF!,3,FALSE),VLOOKUP(IIP7,#REF!,4,FALSE)),0)</f>
        <v/>
      </c>
      <c r="IIQ1">
        <f>IFERROR(IF((ISBLANK(VLOOKUP(IIQ7,#REF!,4,FALSE)))=TRUE,VLOOKUP(IIQ7,#REF!,3,FALSE),VLOOKUP(IIQ7,#REF!,4,FALSE)),0)</f>
        <v/>
      </c>
      <c r="IIR1">
        <f>IFERROR(IF((ISBLANK(VLOOKUP(IIR7,#REF!,4,FALSE)))=TRUE,VLOOKUP(IIR7,#REF!,3,FALSE),VLOOKUP(IIR7,#REF!,4,FALSE)),0)</f>
        <v/>
      </c>
      <c r="IIS1">
        <f>IFERROR(IF((ISBLANK(VLOOKUP(IIS7,#REF!,4,FALSE)))=TRUE,VLOOKUP(IIS7,#REF!,3,FALSE),VLOOKUP(IIS7,#REF!,4,FALSE)),0)</f>
        <v/>
      </c>
      <c r="IIT1">
        <f>IFERROR(IF((ISBLANK(VLOOKUP(IIT7,#REF!,4,FALSE)))=TRUE,VLOOKUP(IIT7,#REF!,3,FALSE),VLOOKUP(IIT7,#REF!,4,FALSE)),0)</f>
        <v/>
      </c>
      <c r="IIU1">
        <f>IFERROR(IF((ISBLANK(VLOOKUP(IIU7,#REF!,4,FALSE)))=TRUE,VLOOKUP(IIU7,#REF!,3,FALSE),VLOOKUP(IIU7,#REF!,4,FALSE)),0)</f>
        <v/>
      </c>
      <c r="IIV1">
        <f>IFERROR(IF((ISBLANK(VLOOKUP(IIV7,#REF!,4,FALSE)))=TRUE,VLOOKUP(IIV7,#REF!,3,FALSE),VLOOKUP(IIV7,#REF!,4,FALSE)),0)</f>
        <v/>
      </c>
      <c r="IIW1">
        <f>IFERROR(IF((ISBLANK(VLOOKUP(IIW7,#REF!,4,FALSE)))=TRUE,VLOOKUP(IIW7,#REF!,3,FALSE),VLOOKUP(IIW7,#REF!,4,FALSE)),0)</f>
        <v/>
      </c>
      <c r="IIX1">
        <f>IFERROR(IF((ISBLANK(VLOOKUP(IIX7,#REF!,4,FALSE)))=TRUE,VLOOKUP(IIX7,#REF!,3,FALSE),VLOOKUP(IIX7,#REF!,4,FALSE)),0)</f>
        <v/>
      </c>
      <c r="IIY1">
        <f>IFERROR(IF((ISBLANK(VLOOKUP(IIY7,#REF!,4,FALSE)))=TRUE,VLOOKUP(IIY7,#REF!,3,FALSE),VLOOKUP(IIY7,#REF!,4,FALSE)),0)</f>
        <v/>
      </c>
      <c r="IIZ1">
        <f>IFERROR(IF((ISBLANK(VLOOKUP(IIZ7,#REF!,4,FALSE)))=TRUE,VLOOKUP(IIZ7,#REF!,3,FALSE),VLOOKUP(IIZ7,#REF!,4,FALSE)),0)</f>
        <v/>
      </c>
      <c r="IJA1">
        <f>IFERROR(IF((ISBLANK(VLOOKUP(IJA7,#REF!,4,FALSE)))=TRUE,VLOOKUP(IJA7,#REF!,3,FALSE),VLOOKUP(IJA7,#REF!,4,FALSE)),0)</f>
        <v/>
      </c>
      <c r="IJB1">
        <f>IFERROR(IF((ISBLANK(VLOOKUP(IJB7,#REF!,4,FALSE)))=TRUE,VLOOKUP(IJB7,#REF!,3,FALSE),VLOOKUP(IJB7,#REF!,4,FALSE)),0)</f>
        <v/>
      </c>
      <c r="IJC1">
        <f>IFERROR(IF((ISBLANK(VLOOKUP(IJC7,#REF!,4,FALSE)))=TRUE,VLOOKUP(IJC7,#REF!,3,FALSE),VLOOKUP(IJC7,#REF!,4,FALSE)),0)</f>
        <v/>
      </c>
      <c r="IJD1">
        <f>IFERROR(IF((ISBLANK(VLOOKUP(IJD7,#REF!,4,FALSE)))=TRUE,VLOOKUP(IJD7,#REF!,3,FALSE),VLOOKUP(IJD7,#REF!,4,FALSE)),0)</f>
        <v/>
      </c>
      <c r="IJE1">
        <f>IFERROR(IF((ISBLANK(VLOOKUP(IJE7,#REF!,4,FALSE)))=TRUE,VLOOKUP(IJE7,#REF!,3,FALSE),VLOOKUP(IJE7,#REF!,4,FALSE)),0)</f>
        <v/>
      </c>
      <c r="IJF1">
        <f>IFERROR(IF((ISBLANK(VLOOKUP(IJF7,#REF!,4,FALSE)))=TRUE,VLOOKUP(IJF7,#REF!,3,FALSE),VLOOKUP(IJF7,#REF!,4,FALSE)),0)</f>
        <v/>
      </c>
      <c r="IJG1">
        <f>IFERROR(IF((ISBLANK(VLOOKUP(IJG7,#REF!,4,FALSE)))=TRUE,VLOOKUP(IJG7,#REF!,3,FALSE),VLOOKUP(IJG7,#REF!,4,FALSE)),0)</f>
        <v/>
      </c>
      <c r="IJH1">
        <f>IFERROR(IF((ISBLANK(VLOOKUP(IJH7,#REF!,4,FALSE)))=TRUE,VLOOKUP(IJH7,#REF!,3,FALSE),VLOOKUP(IJH7,#REF!,4,FALSE)),0)</f>
        <v/>
      </c>
      <c r="IJI1">
        <f>IFERROR(IF((ISBLANK(VLOOKUP(IJI7,#REF!,4,FALSE)))=TRUE,VLOOKUP(IJI7,#REF!,3,FALSE),VLOOKUP(IJI7,#REF!,4,FALSE)),0)</f>
        <v/>
      </c>
      <c r="IJJ1">
        <f>IFERROR(IF((ISBLANK(VLOOKUP(IJJ7,#REF!,4,FALSE)))=TRUE,VLOOKUP(IJJ7,#REF!,3,FALSE),VLOOKUP(IJJ7,#REF!,4,FALSE)),0)</f>
        <v/>
      </c>
      <c r="IJK1">
        <f>IFERROR(IF((ISBLANK(VLOOKUP(IJK7,#REF!,4,FALSE)))=TRUE,VLOOKUP(IJK7,#REF!,3,FALSE),VLOOKUP(IJK7,#REF!,4,FALSE)),0)</f>
        <v/>
      </c>
      <c r="IJL1">
        <f>IFERROR(IF((ISBLANK(VLOOKUP(IJL7,#REF!,4,FALSE)))=TRUE,VLOOKUP(IJL7,#REF!,3,FALSE),VLOOKUP(IJL7,#REF!,4,FALSE)),0)</f>
        <v/>
      </c>
      <c r="IJM1">
        <f>IFERROR(IF((ISBLANK(VLOOKUP(IJM7,#REF!,4,FALSE)))=TRUE,VLOOKUP(IJM7,#REF!,3,FALSE),VLOOKUP(IJM7,#REF!,4,FALSE)),0)</f>
        <v/>
      </c>
      <c r="IJN1">
        <f>IFERROR(IF((ISBLANK(VLOOKUP(IJN7,#REF!,4,FALSE)))=TRUE,VLOOKUP(IJN7,#REF!,3,FALSE),VLOOKUP(IJN7,#REF!,4,FALSE)),0)</f>
        <v/>
      </c>
      <c r="IJO1">
        <f>IFERROR(IF((ISBLANK(VLOOKUP(IJO7,#REF!,4,FALSE)))=TRUE,VLOOKUP(IJO7,#REF!,3,FALSE),VLOOKUP(IJO7,#REF!,4,FALSE)),0)</f>
        <v/>
      </c>
      <c r="IJP1">
        <f>IFERROR(IF((ISBLANK(VLOOKUP(IJP7,#REF!,4,FALSE)))=TRUE,VLOOKUP(IJP7,#REF!,3,FALSE),VLOOKUP(IJP7,#REF!,4,FALSE)),0)</f>
        <v/>
      </c>
      <c r="IJQ1">
        <f>IFERROR(IF((ISBLANK(VLOOKUP(IJQ7,#REF!,4,FALSE)))=TRUE,VLOOKUP(IJQ7,#REF!,3,FALSE),VLOOKUP(IJQ7,#REF!,4,FALSE)),0)</f>
        <v/>
      </c>
      <c r="IJR1">
        <f>IFERROR(IF((ISBLANK(VLOOKUP(IJR7,#REF!,4,FALSE)))=TRUE,VLOOKUP(IJR7,#REF!,3,FALSE),VLOOKUP(IJR7,#REF!,4,FALSE)),0)</f>
        <v/>
      </c>
      <c r="IJS1">
        <f>IFERROR(IF((ISBLANK(VLOOKUP(IJS7,#REF!,4,FALSE)))=TRUE,VLOOKUP(IJS7,#REF!,3,FALSE),VLOOKUP(IJS7,#REF!,4,FALSE)),0)</f>
        <v/>
      </c>
      <c r="IJT1">
        <f>IFERROR(IF((ISBLANK(VLOOKUP(IJT7,#REF!,4,FALSE)))=TRUE,VLOOKUP(IJT7,#REF!,3,FALSE),VLOOKUP(IJT7,#REF!,4,FALSE)),0)</f>
        <v/>
      </c>
      <c r="IJU1">
        <f>IFERROR(IF((ISBLANK(VLOOKUP(IJU7,#REF!,4,FALSE)))=TRUE,VLOOKUP(IJU7,#REF!,3,FALSE),VLOOKUP(IJU7,#REF!,4,FALSE)),0)</f>
        <v/>
      </c>
      <c r="IJV1">
        <f>IFERROR(IF((ISBLANK(VLOOKUP(IJV7,#REF!,4,FALSE)))=TRUE,VLOOKUP(IJV7,#REF!,3,FALSE),VLOOKUP(IJV7,#REF!,4,FALSE)),0)</f>
        <v/>
      </c>
      <c r="IJW1">
        <f>IFERROR(IF((ISBLANK(VLOOKUP(IJW7,#REF!,4,FALSE)))=TRUE,VLOOKUP(IJW7,#REF!,3,FALSE),VLOOKUP(IJW7,#REF!,4,FALSE)),0)</f>
        <v/>
      </c>
      <c r="IJX1">
        <f>IFERROR(IF((ISBLANK(VLOOKUP(IJX7,#REF!,4,FALSE)))=TRUE,VLOOKUP(IJX7,#REF!,3,FALSE),VLOOKUP(IJX7,#REF!,4,FALSE)),0)</f>
        <v/>
      </c>
      <c r="IJY1">
        <f>IFERROR(IF((ISBLANK(VLOOKUP(IJY7,#REF!,4,FALSE)))=TRUE,VLOOKUP(IJY7,#REF!,3,FALSE),VLOOKUP(IJY7,#REF!,4,FALSE)),0)</f>
        <v/>
      </c>
      <c r="IJZ1">
        <f>IFERROR(IF((ISBLANK(VLOOKUP(IJZ7,#REF!,4,FALSE)))=TRUE,VLOOKUP(IJZ7,#REF!,3,FALSE),VLOOKUP(IJZ7,#REF!,4,FALSE)),0)</f>
        <v/>
      </c>
      <c r="IKA1">
        <f>IFERROR(IF((ISBLANK(VLOOKUP(IKA7,#REF!,4,FALSE)))=TRUE,VLOOKUP(IKA7,#REF!,3,FALSE),VLOOKUP(IKA7,#REF!,4,FALSE)),0)</f>
        <v/>
      </c>
      <c r="IKB1">
        <f>IFERROR(IF((ISBLANK(VLOOKUP(IKB7,#REF!,4,FALSE)))=TRUE,VLOOKUP(IKB7,#REF!,3,FALSE),VLOOKUP(IKB7,#REF!,4,FALSE)),0)</f>
        <v/>
      </c>
      <c r="IKC1">
        <f>IFERROR(IF((ISBLANK(VLOOKUP(IKC7,#REF!,4,FALSE)))=TRUE,VLOOKUP(IKC7,#REF!,3,FALSE),VLOOKUP(IKC7,#REF!,4,FALSE)),0)</f>
        <v/>
      </c>
      <c r="IKD1">
        <f>IFERROR(IF((ISBLANK(VLOOKUP(IKD7,#REF!,4,FALSE)))=TRUE,VLOOKUP(IKD7,#REF!,3,FALSE),VLOOKUP(IKD7,#REF!,4,FALSE)),0)</f>
        <v/>
      </c>
      <c r="IKE1">
        <f>IFERROR(IF((ISBLANK(VLOOKUP(IKE7,#REF!,4,FALSE)))=TRUE,VLOOKUP(IKE7,#REF!,3,FALSE),VLOOKUP(IKE7,#REF!,4,FALSE)),0)</f>
        <v/>
      </c>
      <c r="IKF1">
        <f>IFERROR(IF((ISBLANK(VLOOKUP(IKF7,#REF!,4,FALSE)))=TRUE,VLOOKUP(IKF7,#REF!,3,FALSE),VLOOKUP(IKF7,#REF!,4,FALSE)),0)</f>
        <v/>
      </c>
      <c r="IKG1">
        <f>IFERROR(IF((ISBLANK(VLOOKUP(IKG7,#REF!,4,FALSE)))=TRUE,VLOOKUP(IKG7,#REF!,3,FALSE),VLOOKUP(IKG7,#REF!,4,FALSE)),0)</f>
        <v/>
      </c>
      <c r="IKH1">
        <f>IFERROR(IF((ISBLANK(VLOOKUP(IKH7,#REF!,4,FALSE)))=TRUE,VLOOKUP(IKH7,#REF!,3,FALSE),VLOOKUP(IKH7,#REF!,4,FALSE)),0)</f>
        <v/>
      </c>
      <c r="IKI1">
        <f>IFERROR(IF((ISBLANK(VLOOKUP(IKI7,#REF!,4,FALSE)))=TRUE,VLOOKUP(IKI7,#REF!,3,FALSE),VLOOKUP(IKI7,#REF!,4,FALSE)),0)</f>
        <v/>
      </c>
      <c r="IKJ1">
        <f>IFERROR(IF((ISBLANK(VLOOKUP(IKJ7,#REF!,4,FALSE)))=TRUE,VLOOKUP(IKJ7,#REF!,3,FALSE),VLOOKUP(IKJ7,#REF!,4,FALSE)),0)</f>
        <v/>
      </c>
      <c r="IKK1">
        <f>IFERROR(IF((ISBLANK(VLOOKUP(IKK7,#REF!,4,FALSE)))=TRUE,VLOOKUP(IKK7,#REF!,3,FALSE),VLOOKUP(IKK7,#REF!,4,FALSE)),0)</f>
        <v/>
      </c>
      <c r="IKL1">
        <f>IFERROR(IF((ISBLANK(VLOOKUP(IKL7,#REF!,4,FALSE)))=TRUE,VLOOKUP(IKL7,#REF!,3,FALSE),VLOOKUP(IKL7,#REF!,4,FALSE)),0)</f>
        <v/>
      </c>
      <c r="IKM1">
        <f>IFERROR(IF((ISBLANK(VLOOKUP(IKM7,#REF!,4,FALSE)))=TRUE,VLOOKUP(IKM7,#REF!,3,FALSE),VLOOKUP(IKM7,#REF!,4,FALSE)),0)</f>
        <v/>
      </c>
      <c r="IKN1">
        <f>IFERROR(IF((ISBLANK(VLOOKUP(IKN7,#REF!,4,FALSE)))=TRUE,VLOOKUP(IKN7,#REF!,3,FALSE),VLOOKUP(IKN7,#REF!,4,FALSE)),0)</f>
        <v/>
      </c>
      <c r="IKO1">
        <f>IFERROR(IF((ISBLANK(VLOOKUP(IKO7,#REF!,4,FALSE)))=TRUE,VLOOKUP(IKO7,#REF!,3,FALSE),VLOOKUP(IKO7,#REF!,4,FALSE)),0)</f>
        <v/>
      </c>
      <c r="IKP1">
        <f>IFERROR(IF((ISBLANK(VLOOKUP(IKP7,#REF!,4,FALSE)))=TRUE,VLOOKUP(IKP7,#REF!,3,FALSE),VLOOKUP(IKP7,#REF!,4,FALSE)),0)</f>
        <v/>
      </c>
      <c r="IKQ1">
        <f>IFERROR(IF((ISBLANK(VLOOKUP(IKQ7,#REF!,4,FALSE)))=TRUE,VLOOKUP(IKQ7,#REF!,3,FALSE),VLOOKUP(IKQ7,#REF!,4,FALSE)),0)</f>
        <v/>
      </c>
      <c r="IKR1">
        <f>IFERROR(IF((ISBLANK(VLOOKUP(IKR7,#REF!,4,FALSE)))=TRUE,VLOOKUP(IKR7,#REF!,3,FALSE),VLOOKUP(IKR7,#REF!,4,FALSE)),0)</f>
        <v/>
      </c>
      <c r="IKS1">
        <f>IFERROR(IF((ISBLANK(VLOOKUP(IKS7,#REF!,4,FALSE)))=TRUE,VLOOKUP(IKS7,#REF!,3,FALSE),VLOOKUP(IKS7,#REF!,4,FALSE)),0)</f>
        <v/>
      </c>
      <c r="IKT1">
        <f>IFERROR(IF((ISBLANK(VLOOKUP(IKT7,#REF!,4,FALSE)))=TRUE,VLOOKUP(IKT7,#REF!,3,FALSE),VLOOKUP(IKT7,#REF!,4,FALSE)),0)</f>
        <v/>
      </c>
      <c r="IKU1">
        <f>IFERROR(IF((ISBLANK(VLOOKUP(IKU7,#REF!,4,FALSE)))=TRUE,VLOOKUP(IKU7,#REF!,3,FALSE),VLOOKUP(IKU7,#REF!,4,FALSE)),0)</f>
        <v/>
      </c>
      <c r="IKV1">
        <f>IFERROR(IF((ISBLANK(VLOOKUP(IKV7,#REF!,4,FALSE)))=TRUE,VLOOKUP(IKV7,#REF!,3,FALSE),VLOOKUP(IKV7,#REF!,4,FALSE)),0)</f>
        <v/>
      </c>
      <c r="IKW1">
        <f>IFERROR(IF((ISBLANK(VLOOKUP(IKW7,#REF!,4,FALSE)))=TRUE,VLOOKUP(IKW7,#REF!,3,FALSE),VLOOKUP(IKW7,#REF!,4,FALSE)),0)</f>
        <v/>
      </c>
      <c r="IKX1">
        <f>IFERROR(IF((ISBLANK(VLOOKUP(IKX7,#REF!,4,FALSE)))=TRUE,VLOOKUP(IKX7,#REF!,3,FALSE),VLOOKUP(IKX7,#REF!,4,FALSE)),0)</f>
        <v/>
      </c>
      <c r="IKY1">
        <f>IFERROR(IF((ISBLANK(VLOOKUP(IKY7,#REF!,4,FALSE)))=TRUE,VLOOKUP(IKY7,#REF!,3,FALSE),VLOOKUP(IKY7,#REF!,4,FALSE)),0)</f>
        <v/>
      </c>
      <c r="IKZ1">
        <f>IFERROR(IF((ISBLANK(VLOOKUP(IKZ7,#REF!,4,FALSE)))=TRUE,VLOOKUP(IKZ7,#REF!,3,FALSE),VLOOKUP(IKZ7,#REF!,4,FALSE)),0)</f>
        <v/>
      </c>
      <c r="ILA1">
        <f>IFERROR(IF((ISBLANK(VLOOKUP(ILA7,#REF!,4,FALSE)))=TRUE,VLOOKUP(ILA7,#REF!,3,FALSE),VLOOKUP(ILA7,#REF!,4,FALSE)),0)</f>
        <v/>
      </c>
      <c r="ILB1">
        <f>IFERROR(IF((ISBLANK(VLOOKUP(ILB7,#REF!,4,FALSE)))=TRUE,VLOOKUP(ILB7,#REF!,3,FALSE),VLOOKUP(ILB7,#REF!,4,FALSE)),0)</f>
        <v/>
      </c>
      <c r="ILC1">
        <f>IFERROR(IF((ISBLANK(VLOOKUP(ILC7,#REF!,4,FALSE)))=TRUE,VLOOKUP(ILC7,#REF!,3,FALSE),VLOOKUP(ILC7,#REF!,4,FALSE)),0)</f>
        <v/>
      </c>
      <c r="ILD1">
        <f>IFERROR(IF((ISBLANK(VLOOKUP(ILD7,#REF!,4,FALSE)))=TRUE,VLOOKUP(ILD7,#REF!,3,FALSE),VLOOKUP(ILD7,#REF!,4,FALSE)),0)</f>
        <v/>
      </c>
      <c r="ILE1">
        <f>IFERROR(IF((ISBLANK(VLOOKUP(ILE7,#REF!,4,FALSE)))=TRUE,VLOOKUP(ILE7,#REF!,3,FALSE),VLOOKUP(ILE7,#REF!,4,FALSE)),0)</f>
        <v/>
      </c>
      <c r="ILF1">
        <f>IFERROR(IF((ISBLANK(VLOOKUP(ILF7,#REF!,4,FALSE)))=TRUE,VLOOKUP(ILF7,#REF!,3,FALSE),VLOOKUP(ILF7,#REF!,4,FALSE)),0)</f>
        <v/>
      </c>
      <c r="ILG1">
        <f>IFERROR(IF((ISBLANK(VLOOKUP(ILG7,#REF!,4,FALSE)))=TRUE,VLOOKUP(ILG7,#REF!,3,FALSE),VLOOKUP(ILG7,#REF!,4,FALSE)),0)</f>
        <v/>
      </c>
      <c r="ILH1">
        <f>IFERROR(IF((ISBLANK(VLOOKUP(ILH7,#REF!,4,FALSE)))=TRUE,VLOOKUP(ILH7,#REF!,3,FALSE),VLOOKUP(ILH7,#REF!,4,FALSE)),0)</f>
        <v/>
      </c>
      <c r="ILI1">
        <f>IFERROR(IF((ISBLANK(VLOOKUP(ILI7,#REF!,4,FALSE)))=TRUE,VLOOKUP(ILI7,#REF!,3,FALSE),VLOOKUP(ILI7,#REF!,4,FALSE)),0)</f>
        <v/>
      </c>
      <c r="ILJ1">
        <f>IFERROR(IF((ISBLANK(VLOOKUP(ILJ7,#REF!,4,FALSE)))=TRUE,VLOOKUP(ILJ7,#REF!,3,FALSE),VLOOKUP(ILJ7,#REF!,4,FALSE)),0)</f>
        <v/>
      </c>
      <c r="ILK1">
        <f>IFERROR(IF((ISBLANK(VLOOKUP(ILK7,#REF!,4,FALSE)))=TRUE,VLOOKUP(ILK7,#REF!,3,FALSE),VLOOKUP(ILK7,#REF!,4,FALSE)),0)</f>
        <v/>
      </c>
      <c r="ILL1">
        <f>IFERROR(IF((ISBLANK(VLOOKUP(ILL7,#REF!,4,FALSE)))=TRUE,VLOOKUP(ILL7,#REF!,3,FALSE),VLOOKUP(ILL7,#REF!,4,FALSE)),0)</f>
        <v/>
      </c>
      <c r="ILM1">
        <f>IFERROR(IF((ISBLANK(VLOOKUP(ILM7,#REF!,4,FALSE)))=TRUE,VLOOKUP(ILM7,#REF!,3,FALSE),VLOOKUP(ILM7,#REF!,4,FALSE)),0)</f>
        <v/>
      </c>
      <c r="ILN1">
        <f>IFERROR(IF((ISBLANK(VLOOKUP(ILN7,#REF!,4,FALSE)))=TRUE,VLOOKUP(ILN7,#REF!,3,FALSE),VLOOKUP(ILN7,#REF!,4,FALSE)),0)</f>
        <v/>
      </c>
      <c r="ILO1">
        <f>IFERROR(IF((ISBLANK(VLOOKUP(ILO7,#REF!,4,FALSE)))=TRUE,VLOOKUP(ILO7,#REF!,3,FALSE),VLOOKUP(ILO7,#REF!,4,FALSE)),0)</f>
        <v/>
      </c>
      <c r="ILP1">
        <f>IFERROR(IF((ISBLANK(VLOOKUP(ILP7,#REF!,4,FALSE)))=TRUE,VLOOKUP(ILP7,#REF!,3,FALSE),VLOOKUP(ILP7,#REF!,4,FALSE)),0)</f>
        <v/>
      </c>
      <c r="ILQ1">
        <f>IFERROR(IF((ISBLANK(VLOOKUP(ILQ7,#REF!,4,FALSE)))=TRUE,VLOOKUP(ILQ7,#REF!,3,FALSE),VLOOKUP(ILQ7,#REF!,4,FALSE)),0)</f>
        <v/>
      </c>
      <c r="ILR1">
        <f>IFERROR(IF((ISBLANK(VLOOKUP(ILR7,#REF!,4,FALSE)))=TRUE,VLOOKUP(ILR7,#REF!,3,FALSE),VLOOKUP(ILR7,#REF!,4,FALSE)),0)</f>
        <v/>
      </c>
      <c r="ILS1">
        <f>IFERROR(IF((ISBLANK(VLOOKUP(ILS7,#REF!,4,FALSE)))=TRUE,VLOOKUP(ILS7,#REF!,3,FALSE),VLOOKUP(ILS7,#REF!,4,FALSE)),0)</f>
        <v/>
      </c>
      <c r="ILT1">
        <f>IFERROR(IF((ISBLANK(VLOOKUP(ILT7,#REF!,4,FALSE)))=TRUE,VLOOKUP(ILT7,#REF!,3,FALSE),VLOOKUP(ILT7,#REF!,4,FALSE)),0)</f>
        <v/>
      </c>
      <c r="ILU1">
        <f>IFERROR(IF((ISBLANK(VLOOKUP(ILU7,#REF!,4,FALSE)))=TRUE,VLOOKUP(ILU7,#REF!,3,FALSE),VLOOKUP(ILU7,#REF!,4,FALSE)),0)</f>
        <v/>
      </c>
      <c r="ILV1">
        <f>IFERROR(IF((ISBLANK(VLOOKUP(ILV7,#REF!,4,FALSE)))=TRUE,VLOOKUP(ILV7,#REF!,3,FALSE),VLOOKUP(ILV7,#REF!,4,FALSE)),0)</f>
        <v/>
      </c>
      <c r="ILW1">
        <f>IFERROR(IF((ISBLANK(VLOOKUP(ILW7,#REF!,4,FALSE)))=TRUE,VLOOKUP(ILW7,#REF!,3,FALSE),VLOOKUP(ILW7,#REF!,4,FALSE)),0)</f>
        <v/>
      </c>
      <c r="ILX1">
        <f>IFERROR(IF((ISBLANK(VLOOKUP(ILX7,#REF!,4,FALSE)))=TRUE,VLOOKUP(ILX7,#REF!,3,FALSE),VLOOKUP(ILX7,#REF!,4,FALSE)),0)</f>
        <v/>
      </c>
      <c r="ILY1">
        <f>IFERROR(IF((ISBLANK(VLOOKUP(ILY7,#REF!,4,FALSE)))=TRUE,VLOOKUP(ILY7,#REF!,3,FALSE),VLOOKUP(ILY7,#REF!,4,FALSE)),0)</f>
        <v/>
      </c>
      <c r="ILZ1">
        <f>IFERROR(IF((ISBLANK(VLOOKUP(ILZ7,#REF!,4,FALSE)))=TRUE,VLOOKUP(ILZ7,#REF!,3,FALSE),VLOOKUP(ILZ7,#REF!,4,FALSE)),0)</f>
        <v/>
      </c>
      <c r="IMA1">
        <f>IFERROR(IF((ISBLANK(VLOOKUP(IMA7,#REF!,4,FALSE)))=TRUE,VLOOKUP(IMA7,#REF!,3,FALSE),VLOOKUP(IMA7,#REF!,4,FALSE)),0)</f>
        <v/>
      </c>
      <c r="IMB1">
        <f>IFERROR(IF((ISBLANK(VLOOKUP(IMB7,#REF!,4,FALSE)))=TRUE,VLOOKUP(IMB7,#REF!,3,FALSE),VLOOKUP(IMB7,#REF!,4,FALSE)),0)</f>
        <v/>
      </c>
      <c r="IMC1">
        <f>IFERROR(IF((ISBLANK(VLOOKUP(IMC7,#REF!,4,FALSE)))=TRUE,VLOOKUP(IMC7,#REF!,3,FALSE),VLOOKUP(IMC7,#REF!,4,FALSE)),0)</f>
        <v/>
      </c>
      <c r="IMD1">
        <f>IFERROR(IF((ISBLANK(VLOOKUP(IMD7,#REF!,4,FALSE)))=TRUE,VLOOKUP(IMD7,#REF!,3,FALSE),VLOOKUP(IMD7,#REF!,4,FALSE)),0)</f>
        <v/>
      </c>
      <c r="IME1">
        <f>IFERROR(IF((ISBLANK(VLOOKUP(IME7,#REF!,4,FALSE)))=TRUE,VLOOKUP(IME7,#REF!,3,FALSE),VLOOKUP(IME7,#REF!,4,FALSE)),0)</f>
        <v/>
      </c>
      <c r="IMF1">
        <f>IFERROR(IF((ISBLANK(VLOOKUP(IMF7,#REF!,4,FALSE)))=TRUE,VLOOKUP(IMF7,#REF!,3,FALSE),VLOOKUP(IMF7,#REF!,4,FALSE)),0)</f>
        <v/>
      </c>
      <c r="IMG1">
        <f>IFERROR(IF((ISBLANK(VLOOKUP(IMG7,#REF!,4,FALSE)))=TRUE,VLOOKUP(IMG7,#REF!,3,FALSE),VLOOKUP(IMG7,#REF!,4,FALSE)),0)</f>
        <v/>
      </c>
      <c r="IMH1">
        <f>IFERROR(IF((ISBLANK(VLOOKUP(IMH7,#REF!,4,FALSE)))=TRUE,VLOOKUP(IMH7,#REF!,3,FALSE),VLOOKUP(IMH7,#REF!,4,FALSE)),0)</f>
        <v/>
      </c>
      <c r="IMI1">
        <f>IFERROR(IF((ISBLANK(VLOOKUP(IMI7,#REF!,4,FALSE)))=TRUE,VLOOKUP(IMI7,#REF!,3,FALSE),VLOOKUP(IMI7,#REF!,4,FALSE)),0)</f>
        <v/>
      </c>
      <c r="IMJ1">
        <f>IFERROR(IF((ISBLANK(VLOOKUP(IMJ7,#REF!,4,FALSE)))=TRUE,VLOOKUP(IMJ7,#REF!,3,FALSE),VLOOKUP(IMJ7,#REF!,4,FALSE)),0)</f>
        <v/>
      </c>
      <c r="IMK1">
        <f>IFERROR(IF((ISBLANK(VLOOKUP(IMK7,#REF!,4,FALSE)))=TRUE,VLOOKUP(IMK7,#REF!,3,FALSE),VLOOKUP(IMK7,#REF!,4,FALSE)),0)</f>
        <v/>
      </c>
      <c r="IML1">
        <f>IFERROR(IF((ISBLANK(VLOOKUP(IML7,#REF!,4,FALSE)))=TRUE,VLOOKUP(IML7,#REF!,3,FALSE),VLOOKUP(IML7,#REF!,4,FALSE)),0)</f>
        <v/>
      </c>
      <c r="IMM1">
        <f>IFERROR(IF((ISBLANK(VLOOKUP(IMM7,#REF!,4,FALSE)))=TRUE,VLOOKUP(IMM7,#REF!,3,FALSE),VLOOKUP(IMM7,#REF!,4,FALSE)),0)</f>
        <v/>
      </c>
      <c r="IMN1">
        <f>IFERROR(IF((ISBLANK(VLOOKUP(IMN7,#REF!,4,FALSE)))=TRUE,VLOOKUP(IMN7,#REF!,3,FALSE),VLOOKUP(IMN7,#REF!,4,FALSE)),0)</f>
        <v/>
      </c>
      <c r="IMO1">
        <f>IFERROR(IF((ISBLANK(VLOOKUP(IMO7,#REF!,4,FALSE)))=TRUE,VLOOKUP(IMO7,#REF!,3,FALSE),VLOOKUP(IMO7,#REF!,4,FALSE)),0)</f>
        <v/>
      </c>
      <c r="IMP1">
        <f>IFERROR(IF((ISBLANK(VLOOKUP(IMP7,#REF!,4,FALSE)))=TRUE,VLOOKUP(IMP7,#REF!,3,FALSE),VLOOKUP(IMP7,#REF!,4,FALSE)),0)</f>
        <v/>
      </c>
      <c r="IMQ1">
        <f>IFERROR(IF((ISBLANK(VLOOKUP(IMQ7,#REF!,4,FALSE)))=TRUE,VLOOKUP(IMQ7,#REF!,3,FALSE),VLOOKUP(IMQ7,#REF!,4,FALSE)),0)</f>
        <v/>
      </c>
      <c r="IMR1">
        <f>IFERROR(IF((ISBLANK(VLOOKUP(IMR7,#REF!,4,FALSE)))=TRUE,VLOOKUP(IMR7,#REF!,3,FALSE),VLOOKUP(IMR7,#REF!,4,FALSE)),0)</f>
        <v/>
      </c>
      <c r="IMS1">
        <f>IFERROR(IF((ISBLANK(VLOOKUP(IMS7,#REF!,4,FALSE)))=TRUE,VLOOKUP(IMS7,#REF!,3,FALSE),VLOOKUP(IMS7,#REF!,4,FALSE)),0)</f>
        <v/>
      </c>
      <c r="IMT1">
        <f>IFERROR(IF((ISBLANK(VLOOKUP(IMT7,#REF!,4,FALSE)))=TRUE,VLOOKUP(IMT7,#REF!,3,FALSE),VLOOKUP(IMT7,#REF!,4,FALSE)),0)</f>
        <v/>
      </c>
      <c r="IMU1">
        <f>IFERROR(IF((ISBLANK(VLOOKUP(IMU7,#REF!,4,FALSE)))=TRUE,VLOOKUP(IMU7,#REF!,3,FALSE),VLOOKUP(IMU7,#REF!,4,FALSE)),0)</f>
        <v/>
      </c>
      <c r="IMV1">
        <f>IFERROR(IF((ISBLANK(VLOOKUP(IMV7,#REF!,4,FALSE)))=TRUE,VLOOKUP(IMV7,#REF!,3,FALSE),VLOOKUP(IMV7,#REF!,4,FALSE)),0)</f>
        <v/>
      </c>
      <c r="IMW1">
        <f>IFERROR(IF((ISBLANK(VLOOKUP(IMW7,#REF!,4,FALSE)))=TRUE,VLOOKUP(IMW7,#REF!,3,FALSE),VLOOKUP(IMW7,#REF!,4,FALSE)),0)</f>
        <v/>
      </c>
      <c r="IMX1">
        <f>IFERROR(IF((ISBLANK(VLOOKUP(IMX7,#REF!,4,FALSE)))=TRUE,VLOOKUP(IMX7,#REF!,3,FALSE),VLOOKUP(IMX7,#REF!,4,FALSE)),0)</f>
        <v/>
      </c>
      <c r="IMY1">
        <f>IFERROR(IF((ISBLANK(VLOOKUP(IMY7,#REF!,4,FALSE)))=TRUE,VLOOKUP(IMY7,#REF!,3,FALSE),VLOOKUP(IMY7,#REF!,4,FALSE)),0)</f>
        <v/>
      </c>
      <c r="IMZ1">
        <f>IFERROR(IF((ISBLANK(VLOOKUP(IMZ7,#REF!,4,FALSE)))=TRUE,VLOOKUP(IMZ7,#REF!,3,FALSE),VLOOKUP(IMZ7,#REF!,4,FALSE)),0)</f>
        <v/>
      </c>
      <c r="INA1">
        <f>IFERROR(IF((ISBLANK(VLOOKUP(INA7,#REF!,4,FALSE)))=TRUE,VLOOKUP(INA7,#REF!,3,FALSE),VLOOKUP(INA7,#REF!,4,FALSE)),0)</f>
        <v/>
      </c>
      <c r="INB1">
        <f>IFERROR(IF((ISBLANK(VLOOKUP(INB7,#REF!,4,FALSE)))=TRUE,VLOOKUP(INB7,#REF!,3,FALSE),VLOOKUP(INB7,#REF!,4,FALSE)),0)</f>
        <v/>
      </c>
      <c r="INC1">
        <f>IFERROR(IF((ISBLANK(VLOOKUP(INC7,#REF!,4,FALSE)))=TRUE,VLOOKUP(INC7,#REF!,3,FALSE),VLOOKUP(INC7,#REF!,4,FALSE)),0)</f>
        <v/>
      </c>
      <c r="IND1">
        <f>IFERROR(IF((ISBLANK(VLOOKUP(IND7,#REF!,4,FALSE)))=TRUE,VLOOKUP(IND7,#REF!,3,FALSE),VLOOKUP(IND7,#REF!,4,FALSE)),0)</f>
        <v/>
      </c>
      <c r="INE1">
        <f>IFERROR(IF((ISBLANK(VLOOKUP(INE7,#REF!,4,FALSE)))=TRUE,VLOOKUP(INE7,#REF!,3,FALSE),VLOOKUP(INE7,#REF!,4,FALSE)),0)</f>
        <v/>
      </c>
      <c r="INF1">
        <f>IFERROR(IF((ISBLANK(VLOOKUP(INF7,#REF!,4,FALSE)))=TRUE,VLOOKUP(INF7,#REF!,3,FALSE),VLOOKUP(INF7,#REF!,4,FALSE)),0)</f>
        <v/>
      </c>
      <c r="ING1">
        <f>IFERROR(IF((ISBLANK(VLOOKUP(ING7,#REF!,4,FALSE)))=TRUE,VLOOKUP(ING7,#REF!,3,FALSE),VLOOKUP(ING7,#REF!,4,FALSE)),0)</f>
        <v/>
      </c>
      <c r="INH1">
        <f>IFERROR(IF((ISBLANK(VLOOKUP(INH7,#REF!,4,FALSE)))=TRUE,VLOOKUP(INH7,#REF!,3,FALSE),VLOOKUP(INH7,#REF!,4,FALSE)),0)</f>
        <v/>
      </c>
      <c r="INI1">
        <f>IFERROR(IF((ISBLANK(VLOOKUP(INI7,#REF!,4,FALSE)))=TRUE,VLOOKUP(INI7,#REF!,3,FALSE),VLOOKUP(INI7,#REF!,4,FALSE)),0)</f>
        <v/>
      </c>
      <c r="INJ1">
        <f>IFERROR(IF((ISBLANK(VLOOKUP(INJ7,#REF!,4,FALSE)))=TRUE,VLOOKUP(INJ7,#REF!,3,FALSE),VLOOKUP(INJ7,#REF!,4,FALSE)),0)</f>
        <v/>
      </c>
      <c r="INK1">
        <f>IFERROR(IF((ISBLANK(VLOOKUP(INK7,#REF!,4,FALSE)))=TRUE,VLOOKUP(INK7,#REF!,3,FALSE),VLOOKUP(INK7,#REF!,4,FALSE)),0)</f>
        <v/>
      </c>
      <c r="INL1">
        <f>IFERROR(IF((ISBLANK(VLOOKUP(INL7,#REF!,4,FALSE)))=TRUE,VLOOKUP(INL7,#REF!,3,FALSE),VLOOKUP(INL7,#REF!,4,FALSE)),0)</f>
        <v/>
      </c>
      <c r="INM1">
        <f>IFERROR(IF((ISBLANK(VLOOKUP(INM7,#REF!,4,FALSE)))=TRUE,VLOOKUP(INM7,#REF!,3,FALSE),VLOOKUP(INM7,#REF!,4,FALSE)),0)</f>
        <v/>
      </c>
      <c r="INN1">
        <f>IFERROR(IF((ISBLANK(VLOOKUP(INN7,#REF!,4,FALSE)))=TRUE,VLOOKUP(INN7,#REF!,3,FALSE),VLOOKUP(INN7,#REF!,4,FALSE)),0)</f>
        <v/>
      </c>
      <c r="INO1">
        <f>IFERROR(IF((ISBLANK(VLOOKUP(INO7,#REF!,4,FALSE)))=TRUE,VLOOKUP(INO7,#REF!,3,FALSE),VLOOKUP(INO7,#REF!,4,FALSE)),0)</f>
        <v/>
      </c>
      <c r="INP1">
        <f>IFERROR(IF((ISBLANK(VLOOKUP(INP7,#REF!,4,FALSE)))=TRUE,VLOOKUP(INP7,#REF!,3,FALSE),VLOOKUP(INP7,#REF!,4,FALSE)),0)</f>
        <v/>
      </c>
      <c r="INQ1">
        <f>IFERROR(IF((ISBLANK(VLOOKUP(INQ7,#REF!,4,FALSE)))=TRUE,VLOOKUP(INQ7,#REF!,3,FALSE),VLOOKUP(INQ7,#REF!,4,FALSE)),0)</f>
        <v/>
      </c>
      <c r="INR1">
        <f>IFERROR(IF((ISBLANK(VLOOKUP(INR7,#REF!,4,FALSE)))=TRUE,VLOOKUP(INR7,#REF!,3,FALSE),VLOOKUP(INR7,#REF!,4,FALSE)),0)</f>
        <v/>
      </c>
      <c r="INS1">
        <f>IFERROR(IF((ISBLANK(VLOOKUP(INS7,#REF!,4,FALSE)))=TRUE,VLOOKUP(INS7,#REF!,3,FALSE),VLOOKUP(INS7,#REF!,4,FALSE)),0)</f>
        <v/>
      </c>
      <c r="INT1">
        <f>IFERROR(IF((ISBLANK(VLOOKUP(INT7,#REF!,4,FALSE)))=TRUE,VLOOKUP(INT7,#REF!,3,FALSE),VLOOKUP(INT7,#REF!,4,FALSE)),0)</f>
        <v/>
      </c>
      <c r="INU1">
        <f>IFERROR(IF((ISBLANK(VLOOKUP(INU7,#REF!,4,FALSE)))=TRUE,VLOOKUP(INU7,#REF!,3,FALSE),VLOOKUP(INU7,#REF!,4,FALSE)),0)</f>
        <v/>
      </c>
      <c r="INV1">
        <f>IFERROR(IF((ISBLANK(VLOOKUP(INV7,#REF!,4,FALSE)))=TRUE,VLOOKUP(INV7,#REF!,3,FALSE),VLOOKUP(INV7,#REF!,4,FALSE)),0)</f>
        <v/>
      </c>
      <c r="INW1">
        <f>IFERROR(IF((ISBLANK(VLOOKUP(INW7,#REF!,4,FALSE)))=TRUE,VLOOKUP(INW7,#REF!,3,FALSE),VLOOKUP(INW7,#REF!,4,FALSE)),0)</f>
        <v/>
      </c>
      <c r="INX1">
        <f>IFERROR(IF((ISBLANK(VLOOKUP(INX7,#REF!,4,FALSE)))=TRUE,VLOOKUP(INX7,#REF!,3,FALSE),VLOOKUP(INX7,#REF!,4,FALSE)),0)</f>
        <v/>
      </c>
      <c r="INY1">
        <f>IFERROR(IF((ISBLANK(VLOOKUP(INY7,#REF!,4,FALSE)))=TRUE,VLOOKUP(INY7,#REF!,3,FALSE),VLOOKUP(INY7,#REF!,4,FALSE)),0)</f>
        <v/>
      </c>
      <c r="INZ1">
        <f>IFERROR(IF((ISBLANK(VLOOKUP(INZ7,#REF!,4,FALSE)))=TRUE,VLOOKUP(INZ7,#REF!,3,FALSE),VLOOKUP(INZ7,#REF!,4,FALSE)),0)</f>
        <v/>
      </c>
      <c r="IOA1">
        <f>IFERROR(IF((ISBLANK(VLOOKUP(IOA7,#REF!,4,FALSE)))=TRUE,VLOOKUP(IOA7,#REF!,3,FALSE),VLOOKUP(IOA7,#REF!,4,FALSE)),0)</f>
        <v/>
      </c>
      <c r="IOB1">
        <f>IFERROR(IF((ISBLANK(VLOOKUP(IOB7,#REF!,4,FALSE)))=TRUE,VLOOKUP(IOB7,#REF!,3,FALSE),VLOOKUP(IOB7,#REF!,4,FALSE)),0)</f>
        <v/>
      </c>
      <c r="IOC1">
        <f>IFERROR(IF((ISBLANK(VLOOKUP(IOC7,#REF!,4,FALSE)))=TRUE,VLOOKUP(IOC7,#REF!,3,FALSE),VLOOKUP(IOC7,#REF!,4,FALSE)),0)</f>
        <v/>
      </c>
      <c r="IOD1">
        <f>IFERROR(IF((ISBLANK(VLOOKUP(IOD7,#REF!,4,FALSE)))=TRUE,VLOOKUP(IOD7,#REF!,3,FALSE),VLOOKUP(IOD7,#REF!,4,FALSE)),0)</f>
        <v/>
      </c>
      <c r="IOE1">
        <f>IFERROR(IF((ISBLANK(VLOOKUP(IOE7,#REF!,4,FALSE)))=TRUE,VLOOKUP(IOE7,#REF!,3,FALSE),VLOOKUP(IOE7,#REF!,4,FALSE)),0)</f>
        <v/>
      </c>
      <c r="IOF1">
        <f>IFERROR(IF((ISBLANK(VLOOKUP(IOF7,#REF!,4,FALSE)))=TRUE,VLOOKUP(IOF7,#REF!,3,FALSE),VLOOKUP(IOF7,#REF!,4,FALSE)),0)</f>
        <v/>
      </c>
      <c r="IOG1">
        <f>IFERROR(IF((ISBLANK(VLOOKUP(IOG7,#REF!,4,FALSE)))=TRUE,VLOOKUP(IOG7,#REF!,3,FALSE),VLOOKUP(IOG7,#REF!,4,FALSE)),0)</f>
        <v/>
      </c>
      <c r="IOH1">
        <f>IFERROR(IF((ISBLANK(VLOOKUP(IOH7,#REF!,4,FALSE)))=TRUE,VLOOKUP(IOH7,#REF!,3,FALSE),VLOOKUP(IOH7,#REF!,4,FALSE)),0)</f>
        <v/>
      </c>
      <c r="IOI1">
        <f>IFERROR(IF((ISBLANK(VLOOKUP(IOI7,#REF!,4,FALSE)))=TRUE,VLOOKUP(IOI7,#REF!,3,FALSE),VLOOKUP(IOI7,#REF!,4,FALSE)),0)</f>
        <v/>
      </c>
      <c r="IOJ1">
        <f>IFERROR(IF((ISBLANK(VLOOKUP(IOJ7,#REF!,4,FALSE)))=TRUE,VLOOKUP(IOJ7,#REF!,3,FALSE),VLOOKUP(IOJ7,#REF!,4,FALSE)),0)</f>
        <v/>
      </c>
      <c r="IOK1">
        <f>IFERROR(IF((ISBLANK(VLOOKUP(IOK7,#REF!,4,FALSE)))=TRUE,VLOOKUP(IOK7,#REF!,3,FALSE),VLOOKUP(IOK7,#REF!,4,FALSE)),0)</f>
        <v/>
      </c>
      <c r="IOL1">
        <f>IFERROR(IF((ISBLANK(VLOOKUP(IOL7,#REF!,4,FALSE)))=TRUE,VLOOKUP(IOL7,#REF!,3,FALSE),VLOOKUP(IOL7,#REF!,4,FALSE)),0)</f>
        <v/>
      </c>
      <c r="IOM1">
        <f>IFERROR(IF((ISBLANK(VLOOKUP(IOM7,#REF!,4,FALSE)))=TRUE,VLOOKUP(IOM7,#REF!,3,FALSE),VLOOKUP(IOM7,#REF!,4,FALSE)),0)</f>
        <v/>
      </c>
      <c r="ION1">
        <f>IFERROR(IF((ISBLANK(VLOOKUP(ION7,#REF!,4,FALSE)))=TRUE,VLOOKUP(ION7,#REF!,3,FALSE),VLOOKUP(ION7,#REF!,4,FALSE)),0)</f>
        <v/>
      </c>
      <c r="IOO1">
        <f>IFERROR(IF((ISBLANK(VLOOKUP(IOO7,#REF!,4,FALSE)))=TRUE,VLOOKUP(IOO7,#REF!,3,FALSE),VLOOKUP(IOO7,#REF!,4,FALSE)),0)</f>
        <v/>
      </c>
      <c r="IOP1">
        <f>IFERROR(IF((ISBLANK(VLOOKUP(IOP7,#REF!,4,FALSE)))=TRUE,VLOOKUP(IOP7,#REF!,3,FALSE),VLOOKUP(IOP7,#REF!,4,FALSE)),0)</f>
        <v/>
      </c>
      <c r="IOQ1">
        <f>IFERROR(IF((ISBLANK(VLOOKUP(IOQ7,#REF!,4,FALSE)))=TRUE,VLOOKUP(IOQ7,#REF!,3,FALSE),VLOOKUP(IOQ7,#REF!,4,FALSE)),0)</f>
        <v/>
      </c>
      <c r="IOR1">
        <f>IFERROR(IF((ISBLANK(VLOOKUP(IOR7,#REF!,4,FALSE)))=TRUE,VLOOKUP(IOR7,#REF!,3,FALSE),VLOOKUP(IOR7,#REF!,4,FALSE)),0)</f>
        <v/>
      </c>
      <c r="IOS1">
        <f>IFERROR(IF((ISBLANK(VLOOKUP(IOS7,#REF!,4,FALSE)))=TRUE,VLOOKUP(IOS7,#REF!,3,FALSE),VLOOKUP(IOS7,#REF!,4,FALSE)),0)</f>
        <v/>
      </c>
      <c r="IOT1">
        <f>IFERROR(IF((ISBLANK(VLOOKUP(IOT7,#REF!,4,FALSE)))=TRUE,VLOOKUP(IOT7,#REF!,3,FALSE),VLOOKUP(IOT7,#REF!,4,FALSE)),0)</f>
        <v/>
      </c>
      <c r="IOU1">
        <f>IFERROR(IF((ISBLANK(VLOOKUP(IOU7,#REF!,4,FALSE)))=TRUE,VLOOKUP(IOU7,#REF!,3,FALSE),VLOOKUP(IOU7,#REF!,4,FALSE)),0)</f>
        <v/>
      </c>
      <c r="IOV1">
        <f>IFERROR(IF((ISBLANK(VLOOKUP(IOV7,#REF!,4,FALSE)))=TRUE,VLOOKUP(IOV7,#REF!,3,FALSE),VLOOKUP(IOV7,#REF!,4,FALSE)),0)</f>
        <v/>
      </c>
      <c r="IOW1">
        <f>IFERROR(IF((ISBLANK(VLOOKUP(IOW7,#REF!,4,FALSE)))=TRUE,VLOOKUP(IOW7,#REF!,3,FALSE),VLOOKUP(IOW7,#REF!,4,FALSE)),0)</f>
        <v/>
      </c>
      <c r="IOX1">
        <f>IFERROR(IF((ISBLANK(VLOOKUP(IOX7,#REF!,4,FALSE)))=TRUE,VLOOKUP(IOX7,#REF!,3,FALSE),VLOOKUP(IOX7,#REF!,4,FALSE)),0)</f>
        <v/>
      </c>
      <c r="IOY1">
        <f>IFERROR(IF((ISBLANK(VLOOKUP(IOY7,#REF!,4,FALSE)))=TRUE,VLOOKUP(IOY7,#REF!,3,FALSE),VLOOKUP(IOY7,#REF!,4,FALSE)),0)</f>
        <v/>
      </c>
      <c r="IOZ1">
        <f>IFERROR(IF((ISBLANK(VLOOKUP(IOZ7,#REF!,4,FALSE)))=TRUE,VLOOKUP(IOZ7,#REF!,3,FALSE),VLOOKUP(IOZ7,#REF!,4,FALSE)),0)</f>
        <v/>
      </c>
      <c r="IPA1">
        <f>IFERROR(IF((ISBLANK(VLOOKUP(IPA7,#REF!,4,FALSE)))=TRUE,VLOOKUP(IPA7,#REF!,3,FALSE),VLOOKUP(IPA7,#REF!,4,FALSE)),0)</f>
        <v/>
      </c>
      <c r="IPB1">
        <f>IFERROR(IF((ISBLANK(VLOOKUP(IPB7,#REF!,4,FALSE)))=TRUE,VLOOKUP(IPB7,#REF!,3,FALSE),VLOOKUP(IPB7,#REF!,4,FALSE)),0)</f>
        <v/>
      </c>
      <c r="IPC1">
        <f>IFERROR(IF((ISBLANK(VLOOKUP(IPC7,#REF!,4,FALSE)))=TRUE,VLOOKUP(IPC7,#REF!,3,FALSE),VLOOKUP(IPC7,#REF!,4,FALSE)),0)</f>
        <v/>
      </c>
      <c r="IPD1">
        <f>IFERROR(IF((ISBLANK(VLOOKUP(IPD7,#REF!,4,FALSE)))=TRUE,VLOOKUP(IPD7,#REF!,3,FALSE),VLOOKUP(IPD7,#REF!,4,FALSE)),0)</f>
        <v/>
      </c>
      <c r="IPE1">
        <f>IFERROR(IF((ISBLANK(VLOOKUP(IPE7,#REF!,4,FALSE)))=TRUE,VLOOKUP(IPE7,#REF!,3,FALSE),VLOOKUP(IPE7,#REF!,4,FALSE)),0)</f>
        <v/>
      </c>
      <c r="IPF1">
        <f>IFERROR(IF((ISBLANK(VLOOKUP(IPF7,#REF!,4,FALSE)))=TRUE,VLOOKUP(IPF7,#REF!,3,FALSE),VLOOKUP(IPF7,#REF!,4,FALSE)),0)</f>
        <v/>
      </c>
      <c r="IPG1">
        <f>IFERROR(IF((ISBLANK(VLOOKUP(IPG7,#REF!,4,FALSE)))=TRUE,VLOOKUP(IPG7,#REF!,3,FALSE),VLOOKUP(IPG7,#REF!,4,FALSE)),0)</f>
        <v/>
      </c>
      <c r="IPH1">
        <f>IFERROR(IF((ISBLANK(VLOOKUP(IPH7,#REF!,4,FALSE)))=TRUE,VLOOKUP(IPH7,#REF!,3,FALSE),VLOOKUP(IPH7,#REF!,4,FALSE)),0)</f>
        <v/>
      </c>
      <c r="IPI1">
        <f>IFERROR(IF((ISBLANK(VLOOKUP(IPI7,#REF!,4,FALSE)))=TRUE,VLOOKUP(IPI7,#REF!,3,FALSE),VLOOKUP(IPI7,#REF!,4,FALSE)),0)</f>
        <v/>
      </c>
      <c r="IPJ1">
        <f>IFERROR(IF((ISBLANK(VLOOKUP(IPJ7,#REF!,4,FALSE)))=TRUE,VLOOKUP(IPJ7,#REF!,3,FALSE),VLOOKUP(IPJ7,#REF!,4,FALSE)),0)</f>
        <v/>
      </c>
      <c r="IPK1">
        <f>IFERROR(IF((ISBLANK(VLOOKUP(IPK7,#REF!,4,FALSE)))=TRUE,VLOOKUP(IPK7,#REF!,3,FALSE),VLOOKUP(IPK7,#REF!,4,FALSE)),0)</f>
        <v/>
      </c>
      <c r="IPL1">
        <f>IFERROR(IF((ISBLANK(VLOOKUP(IPL7,#REF!,4,FALSE)))=TRUE,VLOOKUP(IPL7,#REF!,3,FALSE),VLOOKUP(IPL7,#REF!,4,FALSE)),0)</f>
        <v/>
      </c>
      <c r="IPM1">
        <f>IFERROR(IF((ISBLANK(VLOOKUP(IPM7,#REF!,4,FALSE)))=TRUE,VLOOKUP(IPM7,#REF!,3,FALSE),VLOOKUP(IPM7,#REF!,4,FALSE)),0)</f>
        <v/>
      </c>
      <c r="IPN1">
        <f>IFERROR(IF((ISBLANK(VLOOKUP(IPN7,#REF!,4,FALSE)))=TRUE,VLOOKUP(IPN7,#REF!,3,FALSE),VLOOKUP(IPN7,#REF!,4,FALSE)),0)</f>
        <v/>
      </c>
      <c r="IPO1">
        <f>IFERROR(IF((ISBLANK(VLOOKUP(IPO7,#REF!,4,FALSE)))=TRUE,VLOOKUP(IPO7,#REF!,3,FALSE),VLOOKUP(IPO7,#REF!,4,FALSE)),0)</f>
        <v/>
      </c>
      <c r="IPP1">
        <f>IFERROR(IF((ISBLANK(VLOOKUP(IPP7,#REF!,4,FALSE)))=TRUE,VLOOKUP(IPP7,#REF!,3,FALSE),VLOOKUP(IPP7,#REF!,4,FALSE)),0)</f>
        <v/>
      </c>
      <c r="IPQ1">
        <f>IFERROR(IF((ISBLANK(VLOOKUP(IPQ7,#REF!,4,FALSE)))=TRUE,VLOOKUP(IPQ7,#REF!,3,FALSE),VLOOKUP(IPQ7,#REF!,4,FALSE)),0)</f>
        <v/>
      </c>
      <c r="IPR1">
        <f>IFERROR(IF((ISBLANK(VLOOKUP(IPR7,#REF!,4,FALSE)))=TRUE,VLOOKUP(IPR7,#REF!,3,FALSE),VLOOKUP(IPR7,#REF!,4,FALSE)),0)</f>
        <v/>
      </c>
      <c r="IPS1">
        <f>IFERROR(IF((ISBLANK(VLOOKUP(IPS7,#REF!,4,FALSE)))=TRUE,VLOOKUP(IPS7,#REF!,3,FALSE),VLOOKUP(IPS7,#REF!,4,FALSE)),0)</f>
        <v/>
      </c>
      <c r="IPT1">
        <f>IFERROR(IF((ISBLANK(VLOOKUP(IPT7,#REF!,4,FALSE)))=TRUE,VLOOKUP(IPT7,#REF!,3,FALSE),VLOOKUP(IPT7,#REF!,4,FALSE)),0)</f>
        <v/>
      </c>
      <c r="IPU1">
        <f>IFERROR(IF((ISBLANK(VLOOKUP(IPU7,#REF!,4,FALSE)))=TRUE,VLOOKUP(IPU7,#REF!,3,FALSE),VLOOKUP(IPU7,#REF!,4,FALSE)),0)</f>
        <v/>
      </c>
      <c r="IPV1">
        <f>IFERROR(IF((ISBLANK(VLOOKUP(IPV7,#REF!,4,FALSE)))=TRUE,VLOOKUP(IPV7,#REF!,3,FALSE),VLOOKUP(IPV7,#REF!,4,FALSE)),0)</f>
        <v/>
      </c>
      <c r="IPW1">
        <f>IFERROR(IF((ISBLANK(VLOOKUP(IPW7,#REF!,4,FALSE)))=TRUE,VLOOKUP(IPW7,#REF!,3,FALSE),VLOOKUP(IPW7,#REF!,4,FALSE)),0)</f>
        <v/>
      </c>
      <c r="IPX1">
        <f>IFERROR(IF((ISBLANK(VLOOKUP(IPX7,#REF!,4,FALSE)))=TRUE,VLOOKUP(IPX7,#REF!,3,FALSE),VLOOKUP(IPX7,#REF!,4,FALSE)),0)</f>
        <v/>
      </c>
      <c r="IPY1">
        <f>IFERROR(IF((ISBLANK(VLOOKUP(IPY7,#REF!,4,FALSE)))=TRUE,VLOOKUP(IPY7,#REF!,3,FALSE),VLOOKUP(IPY7,#REF!,4,FALSE)),0)</f>
        <v/>
      </c>
      <c r="IPZ1">
        <f>IFERROR(IF((ISBLANK(VLOOKUP(IPZ7,#REF!,4,FALSE)))=TRUE,VLOOKUP(IPZ7,#REF!,3,FALSE),VLOOKUP(IPZ7,#REF!,4,FALSE)),0)</f>
        <v/>
      </c>
      <c r="IQA1">
        <f>IFERROR(IF((ISBLANK(VLOOKUP(IQA7,#REF!,4,FALSE)))=TRUE,VLOOKUP(IQA7,#REF!,3,FALSE),VLOOKUP(IQA7,#REF!,4,FALSE)),0)</f>
        <v/>
      </c>
      <c r="IQB1">
        <f>IFERROR(IF((ISBLANK(VLOOKUP(IQB7,#REF!,4,FALSE)))=TRUE,VLOOKUP(IQB7,#REF!,3,FALSE),VLOOKUP(IQB7,#REF!,4,FALSE)),0)</f>
        <v/>
      </c>
      <c r="IQC1">
        <f>IFERROR(IF((ISBLANK(VLOOKUP(IQC7,#REF!,4,FALSE)))=TRUE,VLOOKUP(IQC7,#REF!,3,FALSE),VLOOKUP(IQC7,#REF!,4,FALSE)),0)</f>
        <v/>
      </c>
      <c r="IQD1">
        <f>IFERROR(IF((ISBLANK(VLOOKUP(IQD7,#REF!,4,FALSE)))=TRUE,VLOOKUP(IQD7,#REF!,3,FALSE),VLOOKUP(IQD7,#REF!,4,FALSE)),0)</f>
        <v/>
      </c>
      <c r="IQE1">
        <f>IFERROR(IF((ISBLANK(VLOOKUP(IQE7,#REF!,4,FALSE)))=TRUE,VLOOKUP(IQE7,#REF!,3,FALSE),VLOOKUP(IQE7,#REF!,4,FALSE)),0)</f>
        <v/>
      </c>
      <c r="IQF1">
        <f>IFERROR(IF((ISBLANK(VLOOKUP(IQF7,#REF!,4,FALSE)))=TRUE,VLOOKUP(IQF7,#REF!,3,FALSE),VLOOKUP(IQF7,#REF!,4,FALSE)),0)</f>
        <v/>
      </c>
      <c r="IQG1">
        <f>IFERROR(IF((ISBLANK(VLOOKUP(IQG7,#REF!,4,FALSE)))=TRUE,VLOOKUP(IQG7,#REF!,3,FALSE),VLOOKUP(IQG7,#REF!,4,FALSE)),0)</f>
        <v/>
      </c>
      <c r="IQH1">
        <f>IFERROR(IF((ISBLANK(VLOOKUP(IQH7,#REF!,4,FALSE)))=TRUE,VLOOKUP(IQH7,#REF!,3,FALSE),VLOOKUP(IQH7,#REF!,4,FALSE)),0)</f>
        <v/>
      </c>
      <c r="IQI1">
        <f>IFERROR(IF((ISBLANK(VLOOKUP(IQI7,#REF!,4,FALSE)))=TRUE,VLOOKUP(IQI7,#REF!,3,FALSE),VLOOKUP(IQI7,#REF!,4,FALSE)),0)</f>
        <v/>
      </c>
      <c r="IQJ1">
        <f>IFERROR(IF((ISBLANK(VLOOKUP(IQJ7,#REF!,4,FALSE)))=TRUE,VLOOKUP(IQJ7,#REF!,3,FALSE),VLOOKUP(IQJ7,#REF!,4,FALSE)),0)</f>
        <v/>
      </c>
      <c r="IQK1">
        <f>IFERROR(IF((ISBLANK(VLOOKUP(IQK7,#REF!,4,FALSE)))=TRUE,VLOOKUP(IQK7,#REF!,3,FALSE),VLOOKUP(IQK7,#REF!,4,FALSE)),0)</f>
        <v/>
      </c>
      <c r="IQL1">
        <f>IFERROR(IF((ISBLANK(VLOOKUP(IQL7,#REF!,4,FALSE)))=TRUE,VLOOKUP(IQL7,#REF!,3,FALSE),VLOOKUP(IQL7,#REF!,4,FALSE)),0)</f>
        <v/>
      </c>
      <c r="IQM1">
        <f>IFERROR(IF((ISBLANK(VLOOKUP(IQM7,#REF!,4,FALSE)))=TRUE,VLOOKUP(IQM7,#REF!,3,FALSE),VLOOKUP(IQM7,#REF!,4,FALSE)),0)</f>
        <v/>
      </c>
      <c r="IQN1">
        <f>IFERROR(IF((ISBLANK(VLOOKUP(IQN7,#REF!,4,FALSE)))=TRUE,VLOOKUP(IQN7,#REF!,3,FALSE),VLOOKUP(IQN7,#REF!,4,FALSE)),0)</f>
        <v/>
      </c>
      <c r="IQO1">
        <f>IFERROR(IF((ISBLANK(VLOOKUP(IQO7,#REF!,4,FALSE)))=TRUE,VLOOKUP(IQO7,#REF!,3,FALSE),VLOOKUP(IQO7,#REF!,4,FALSE)),0)</f>
        <v/>
      </c>
      <c r="IQP1">
        <f>IFERROR(IF((ISBLANK(VLOOKUP(IQP7,#REF!,4,FALSE)))=TRUE,VLOOKUP(IQP7,#REF!,3,FALSE),VLOOKUP(IQP7,#REF!,4,FALSE)),0)</f>
        <v/>
      </c>
      <c r="IQQ1">
        <f>IFERROR(IF((ISBLANK(VLOOKUP(IQQ7,#REF!,4,FALSE)))=TRUE,VLOOKUP(IQQ7,#REF!,3,FALSE),VLOOKUP(IQQ7,#REF!,4,FALSE)),0)</f>
        <v/>
      </c>
      <c r="IQR1">
        <f>IFERROR(IF((ISBLANK(VLOOKUP(IQR7,#REF!,4,FALSE)))=TRUE,VLOOKUP(IQR7,#REF!,3,FALSE),VLOOKUP(IQR7,#REF!,4,FALSE)),0)</f>
        <v/>
      </c>
      <c r="IQS1">
        <f>IFERROR(IF((ISBLANK(VLOOKUP(IQS7,#REF!,4,FALSE)))=TRUE,VLOOKUP(IQS7,#REF!,3,FALSE),VLOOKUP(IQS7,#REF!,4,FALSE)),0)</f>
        <v/>
      </c>
      <c r="IQT1">
        <f>IFERROR(IF((ISBLANK(VLOOKUP(IQT7,#REF!,4,FALSE)))=TRUE,VLOOKUP(IQT7,#REF!,3,FALSE),VLOOKUP(IQT7,#REF!,4,FALSE)),0)</f>
        <v/>
      </c>
      <c r="IQU1">
        <f>IFERROR(IF((ISBLANK(VLOOKUP(IQU7,#REF!,4,FALSE)))=TRUE,VLOOKUP(IQU7,#REF!,3,FALSE),VLOOKUP(IQU7,#REF!,4,FALSE)),0)</f>
        <v/>
      </c>
      <c r="IQV1">
        <f>IFERROR(IF((ISBLANK(VLOOKUP(IQV7,#REF!,4,FALSE)))=TRUE,VLOOKUP(IQV7,#REF!,3,FALSE),VLOOKUP(IQV7,#REF!,4,FALSE)),0)</f>
        <v/>
      </c>
      <c r="IQW1">
        <f>IFERROR(IF((ISBLANK(VLOOKUP(IQW7,#REF!,4,FALSE)))=TRUE,VLOOKUP(IQW7,#REF!,3,FALSE),VLOOKUP(IQW7,#REF!,4,FALSE)),0)</f>
        <v/>
      </c>
      <c r="IQX1">
        <f>IFERROR(IF((ISBLANK(VLOOKUP(IQX7,#REF!,4,FALSE)))=TRUE,VLOOKUP(IQX7,#REF!,3,FALSE),VLOOKUP(IQX7,#REF!,4,FALSE)),0)</f>
        <v/>
      </c>
      <c r="IQY1">
        <f>IFERROR(IF((ISBLANK(VLOOKUP(IQY7,#REF!,4,FALSE)))=TRUE,VLOOKUP(IQY7,#REF!,3,FALSE),VLOOKUP(IQY7,#REF!,4,FALSE)),0)</f>
        <v/>
      </c>
      <c r="IQZ1">
        <f>IFERROR(IF((ISBLANK(VLOOKUP(IQZ7,#REF!,4,FALSE)))=TRUE,VLOOKUP(IQZ7,#REF!,3,FALSE),VLOOKUP(IQZ7,#REF!,4,FALSE)),0)</f>
        <v/>
      </c>
      <c r="IRA1">
        <f>IFERROR(IF((ISBLANK(VLOOKUP(IRA7,#REF!,4,FALSE)))=TRUE,VLOOKUP(IRA7,#REF!,3,FALSE),VLOOKUP(IRA7,#REF!,4,FALSE)),0)</f>
        <v/>
      </c>
      <c r="IRB1">
        <f>IFERROR(IF((ISBLANK(VLOOKUP(IRB7,#REF!,4,FALSE)))=TRUE,VLOOKUP(IRB7,#REF!,3,FALSE),VLOOKUP(IRB7,#REF!,4,FALSE)),0)</f>
        <v/>
      </c>
      <c r="IRC1">
        <f>IFERROR(IF((ISBLANK(VLOOKUP(IRC7,#REF!,4,FALSE)))=TRUE,VLOOKUP(IRC7,#REF!,3,FALSE),VLOOKUP(IRC7,#REF!,4,FALSE)),0)</f>
        <v/>
      </c>
      <c r="IRD1">
        <f>IFERROR(IF((ISBLANK(VLOOKUP(IRD7,#REF!,4,FALSE)))=TRUE,VLOOKUP(IRD7,#REF!,3,FALSE),VLOOKUP(IRD7,#REF!,4,FALSE)),0)</f>
        <v/>
      </c>
      <c r="IRE1">
        <f>IFERROR(IF((ISBLANK(VLOOKUP(IRE7,#REF!,4,FALSE)))=TRUE,VLOOKUP(IRE7,#REF!,3,FALSE),VLOOKUP(IRE7,#REF!,4,FALSE)),0)</f>
        <v/>
      </c>
      <c r="IRF1">
        <f>IFERROR(IF((ISBLANK(VLOOKUP(IRF7,#REF!,4,FALSE)))=TRUE,VLOOKUP(IRF7,#REF!,3,FALSE),VLOOKUP(IRF7,#REF!,4,FALSE)),0)</f>
        <v/>
      </c>
      <c r="IRG1">
        <f>IFERROR(IF((ISBLANK(VLOOKUP(IRG7,#REF!,4,FALSE)))=TRUE,VLOOKUP(IRG7,#REF!,3,FALSE),VLOOKUP(IRG7,#REF!,4,FALSE)),0)</f>
        <v/>
      </c>
      <c r="IRH1">
        <f>IFERROR(IF((ISBLANK(VLOOKUP(IRH7,#REF!,4,FALSE)))=TRUE,VLOOKUP(IRH7,#REF!,3,FALSE),VLOOKUP(IRH7,#REF!,4,FALSE)),0)</f>
        <v/>
      </c>
      <c r="IRI1">
        <f>IFERROR(IF((ISBLANK(VLOOKUP(IRI7,#REF!,4,FALSE)))=TRUE,VLOOKUP(IRI7,#REF!,3,FALSE),VLOOKUP(IRI7,#REF!,4,FALSE)),0)</f>
        <v/>
      </c>
      <c r="IRJ1">
        <f>IFERROR(IF((ISBLANK(VLOOKUP(IRJ7,#REF!,4,FALSE)))=TRUE,VLOOKUP(IRJ7,#REF!,3,FALSE),VLOOKUP(IRJ7,#REF!,4,FALSE)),0)</f>
        <v/>
      </c>
      <c r="IRK1">
        <f>IFERROR(IF((ISBLANK(VLOOKUP(IRK7,#REF!,4,FALSE)))=TRUE,VLOOKUP(IRK7,#REF!,3,FALSE),VLOOKUP(IRK7,#REF!,4,FALSE)),0)</f>
        <v/>
      </c>
      <c r="IRL1">
        <f>IFERROR(IF((ISBLANK(VLOOKUP(IRL7,#REF!,4,FALSE)))=TRUE,VLOOKUP(IRL7,#REF!,3,FALSE),VLOOKUP(IRL7,#REF!,4,FALSE)),0)</f>
        <v/>
      </c>
      <c r="IRM1">
        <f>IFERROR(IF((ISBLANK(VLOOKUP(IRM7,#REF!,4,FALSE)))=TRUE,VLOOKUP(IRM7,#REF!,3,FALSE),VLOOKUP(IRM7,#REF!,4,FALSE)),0)</f>
        <v/>
      </c>
      <c r="IRN1">
        <f>IFERROR(IF((ISBLANK(VLOOKUP(IRN7,#REF!,4,FALSE)))=TRUE,VLOOKUP(IRN7,#REF!,3,FALSE),VLOOKUP(IRN7,#REF!,4,FALSE)),0)</f>
        <v/>
      </c>
      <c r="IRO1">
        <f>IFERROR(IF((ISBLANK(VLOOKUP(IRO7,#REF!,4,FALSE)))=TRUE,VLOOKUP(IRO7,#REF!,3,FALSE),VLOOKUP(IRO7,#REF!,4,FALSE)),0)</f>
        <v/>
      </c>
      <c r="IRP1">
        <f>IFERROR(IF((ISBLANK(VLOOKUP(IRP7,#REF!,4,FALSE)))=TRUE,VLOOKUP(IRP7,#REF!,3,FALSE),VLOOKUP(IRP7,#REF!,4,FALSE)),0)</f>
        <v/>
      </c>
      <c r="IRQ1">
        <f>IFERROR(IF((ISBLANK(VLOOKUP(IRQ7,#REF!,4,FALSE)))=TRUE,VLOOKUP(IRQ7,#REF!,3,FALSE),VLOOKUP(IRQ7,#REF!,4,FALSE)),0)</f>
        <v/>
      </c>
      <c r="IRR1">
        <f>IFERROR(IF((ISBLANK(VLOOKUP(IRR7,#REF!,4,FALSE)))=TRUE,VLOOKUP(IRR7,#REF!,3,FALSE),VLOOKUP(IRR7,#REF!,4,FALSE)),0)</f>
        <v/>
      </c>
      <c r="IRS1">
        <f>IFERROR(IF((ISBLANK(VLOOKUP(IRS7,#REF!,4,FALSE)))=TRUE,VLOOKUP(IRS7,#REF!,3,FALSE),VLOOKUP(IRS7,#REF!,4,FALSE)),0)</f>
        <v/>
      </c>
      <c r="IRT1">
        <f>IFERROR(IF((ISBLANK(VLOOKUP(IRT7,#REF!,4,FALSE)))=TRUE,VLOOKUP(IRT7,#REF!,3,FALSE),VLOOKUP(IRT7,#REF!,4,FALSE)),0)</f>
        <v/>
      </c>
      <c r="IRU1">
        <f>IFERROR(IF((ISBLANK(VLOOKUP(IRU7,#REF!,4,FALSE)))=TRUE,VLOOKUP(IRU7,#REF!,3,FALSE),VLOOKUP(IRU7,#REF!,4,FALSE)),0)</f>
        <v/>
      </c>
      <c r="IRV1">
        <f>IFERROR(IF((ISBLANK(VLOOKUP(IRV7,#REF!,4,FALSE)))=TRUE,VLOOKUP(IRV7,#REF!,3,FALSE),VLOOKUP(IRV7,#REF!,4,FALSE)),0)</f>
        <v/>
      </c>
      <c r="IRW1">
        <f>IFERROR(IF((ISBLANK(VLOOKUP(IRW7,#REF!,4,FALSE)))=TRUE,VLOOKUP(IRW7,#REF!,3,FALSE),VLOOKUP(IRW7,#REF!,4,FALSE)),0)</f>
        <v/>
      </c>
      <c r="IRX1">
        <f>IFERROR(IF((ISBLANK(VLOOKUP(IRX7,#REF!,4,FALSE)))=TRUE,VLOOKUP(IRX7,#REF!,3,FALSE),VLOOKUP(IRX7,#REF!,4,FALSE)),0)</f>
        <v/>
      </c>
      <c r="IRY1">
        <f>IFERROR(IF((ISBLANK(VLOOKUP(IRY7,#REF!,4,FALSE)))=TRUE,VLOOKUP(IRY7,#REF!,3,FALSE),VLOOKUP(IRY7,#REF!,4,FALSE)),0)</f>
        <v/>
      </c>
      <c r="IRZ1">
        <f>IFERROR(IF((ISBLANK(VLOOKUP(IRZ7,#REF!,4,FALSE)))=TRUE,VLOOKUP(IRZ7,#REF!,3,FALSE),VLOOKUP(IRZ7,#REF!,4,FALSE)),0)</f>
        <v/>
      </c>
      <c r="ISA1">
        <f>IFERROR(IF((ISBLANK(VLOOKUP(ISA7,#REF!,4,FALSE)))=TRUE,VLOOKUP(ISA7,#REF!,3,FALSE),VLOOKUP(ISA7,#REF!,4,FALSE)),0)</f>
        <v/>
      </c>
      <c r="ISB1">
        <f>IFERROR(IF((ISBLANK(VLOOKUP(ISB7,#REF!,4,FALSE)))=TRUE,VLOOKUP(ISB7,#REF!,3,FALSE),VLOOKUP(ISB7,#REF!,4,FALSE)),0)</f>
        <v/>
      </c>
      <c r="ISC1">
        <f>IFERROR(IF((ISBLANK(VLOOKUP(ISC7,#REF!,4,FALSE)))=TRUE,VLOOKUP(ISC7,#REF!,3,FALSE),VLOOKUP(ISC7,#REF!,4,FALSE)),0)</f>
        <v/>
      </c>
      <c r="ISD1">
        <f>IFERROR(IF((ISBLANK(VLOOKUP(ISD7,#REF!,4,FALSE)))=TRUE,VLOOKUP(ISD7,#REF!,3,FALSE),VLOOKUP(ISD7,#REF!,4,FALSE)),0)</f>
        <v/>
      </c>
      <c r="ISE1">
        <f>IFERROR(IF((ISBLANK(VLOOKUP(ISE7,#REF!,4,FALSE)))=TRUE,VLOOKUP(ISE7,#REF!,3,FALSE),VLOOKUP(ISE7,#REF!,4,FALSE)),0)</f>
        <v/>
      </c>
      <c r="ISF1">
        <f>IFERROR(IF((ISBLANK(VLOOKUP(ISF7,#REF!,4,FALSE)))=TRUE,VLOOKUP(ISF7,#REF!,3,FALSE),VLOOKUP(ISF7,#REF!,4,FALSE)),0)</f>
        <v/>
      </c>
      <c r="ISG1">
        <f>IFERROR(IF((ISBLANK(VLOOKUP(ISG7,#REF!,4,FALSE)))=TRUE,VLOOKUP(ISG7,#REF!,3,FALSE),VLOOKUP(ISG7,#REF!,4,FALSE)),0)</f>
        <v/>
      </c>
      <c r="ISH1">
        <f>IFERROR(IF((ISBLANK(VLOOKUP(ISH7,#REF!,4,FALSE)))=TRUE,VLOOKUP(ISH7,#REF!,3,FALSE),VLOOKUP(ISH7,#REF!,4,FALSE)),0)</f>
        <v/>
      </c>
      <c r="ISI1">
        <f>IFERROR(IF((ISBLANK(VLOOKUP(ISI7,#REF!,4,FALSE)))=TRUE,VLOOKUP(ISI7,#REF!,3,FALSE),VLOOKUP(ISI7,#REF!,4,FALSE)),0)</f>
        <v/>
      </c>
      <c r="ISJ1">
        <f>IFERROR(IF((ISBLANK(VLOOKUP(ISJ7,#REF!,4,FALSE)))=TRUE,VLOOKUP(ISJ7,#REF!,3,FALSE),VLOOKUP(ISJ7,#REF!,4,FALSE)),0)</f>
        <v/>
      </c>
      <c r="ISK1">
        <f>IFERROR(IF((ISBLANK(VLOOKUP(ISK7,#REF!,4,FALSE)))=TRUE,VLOOKUP(ISK7,#REF!,3,FALSE),VLOOKUP(ISK7,#REF!,4,FALSE)),0)</f>
        <v/>
      </c>
      <c r="ISL1">
        <f>IFERROR(IF((ISBLANK(VLOOKUP(ISL7,#REF!,4,FALSE)))=TRUE,VLOOKUP(ISL7,#REF!,3,FALSE),VLOOKUP(ISL7,#REF!,4,FALSE)),0)</f>
        <v/>
      </c>
      <c r="ISM1">
        <f>IFERROR(IF((ISBLANK(VLOOKUP(ISM7,#REF!,4,FALSE)))=TRUE,VLOOKUP(ISM7,#REF!,3,FALSE),VLOOKUP(ISM7,#REF!,4,FALSE)),0)</f>
        <v/>
      </c>
      <c r="ISN1">
        <f>IFERROR(IF((ISBLANK(VLOOKUP(ISN7,#REF!,4,FALSE)))=TRUE,VLOOKUP(ISN7,#REF!,3,FALSE),VLOOKUP(ISN7,#REF!,4,FALSE)),0)</f>
        <v/>
      </c>
      <c r="ISO1">
        <f>IFERROR(IF((ISBLANK(VLOOKUP(ISO7,#REF!,4,FALSE)))=TRUE,VLOOKUP(ISO7,#REF!,3,FALSE),VLOOKUP(ISO7,#REF!,4,FALSE)),0)</f>
        <v/>
      </c>
      <c r="ISP1">
        <f>IFERROR(IF((ISBLANK(VLOOKUP(ISP7,#REF!,4,FALSE)))=TRUE,VLOOKUP(ISP7,#REF!,3,FALSE),VLOOKUP(ISP7,#REF!,4,FALSE)),0)</f>
        <v/>
      </c>
      <c r="ISQ1">
        <f>IFERROR(IF((ISBLANK(VLOOKUP(ISQ7,#REF!,4,FALSE)))=TRUE,VLOOKUP(ISQ7,#REF!,3,FALSE),VLOOKUP(ISQ7,#REF!,4,FALSE)),0)</f>
        <v/>
      </c>
      <c r="ISR1">
        <f>IFERROR(IF((ISBLANK(VLOOKUP(ISR7,#REF!,4,FALSE)))=TRUE,VLOOKUP(ISR7,#REF!,3,FALSE),VLOOKUP(ISR7,#REF!,4,FALSE)),0)</f>
        <v/>
      </c>
      <c r="ISS1">
        <f>IFERROR(IF((ISBLANK(VLOOKUP(ISS7,#REF!,4,FALSE)))=TRUE,VLOOKUP(ISS7,#REF!,3,FALSE),VLOOKUP(ISS7,#REF!,4,FALSE)),0)</f>
        <v/>
      </c>
      <c r="IST1">
        <f>IFERROR(IF((ISBLANK(VLOOKUP(IST7,#REF!,4,FALSE)))=TRUE,VLOOKUP(IST7,#REF!,3,FALSE),VLOOKUP(IST7,#REF!,4,FALSE)),0)</f>
        <v/>
      </c>
      <c r="ISU1">
        <f>IFERROR(IF((ISBLANK(VLOOKUP(ISU7,#REF!,4,FALSE)))=TRUE,VLOOKUP(ISU7,#REF!,3,FALSE),VLOOKUP(ISU7,#REF!,4,FALSE)),0)</f>
        <v/>
      </c>
      <c r="ISV1">
        <f>IFERROR(IF((ISBLANK(VLOOKUP(ISV7,#REF!,4,FALSE)))=TRUE,VLOOKUP(ISV7,#REF!,3,FALSE),VLOOKUP(ISV7,#REF!,4,FALSE)),0)</f>
        <v/>
      </c>
      <c r="ISW1">
        <f>IFERROR(IF((ISBLANK(VLOOKUP(ISW7,#REF!,4,FALSE)))=TRUE,VLOOKUP(ISW7,#REF!,3,FALSE),VLOOKUP(ISW7,#REF!,4,FALSE)),0)</f>
        <v/>
      </c>
      <c r="ISX1">
        <f>IFERROR(IF((ISBLANK(VLOOKUP(ISX7,#REF!,4,FALSE)))=TRUE,VLOOKUP(ISX7,#REF!,3,FALSE),VLOOKUP(ISX7,#REF!,4,FALSE)),0)</f>
        <v/>
      </c>
      <c r="ISY1">
        <f>IFERROR(IF((ISBLANK(VLOOKUP(ISY7,#REF!,4,FALSE)))=TRUE,VLOOKUP(ISY7,#REF!,3,FALSE),VLOOKUP(ISY7,#REF!,4,FALSE)),0)</f>
        <v/>
      </c>
      <c r="ISZ1">
        <f>IFERROR(IF((ISBLANK(VLOOKUP(ISZ7,#REF!,4,FALSE)))=TRUE,VLOOKUP(ISZ7,#REF!,3,FALSE),VLOOKUP(ISZ7,#REF!,4,FALSE)),0)</f>
        <v/>
      </c>
      <c r="ITA1">
        <f>IFERROR(IF((ISBLANK(VLOOKUP(ITA7,#REF!,4,FALSE)))=TRUE,VLOOKUP(ITA7,#REF!,3,FALSE),VLOOKUP(ITA7,#REF!,4,FALSE)),0)</f>
        <v/>
      </c>
      <c r="ITB1">
        <f>IFERROR(IF((ISBLANK(VLOOKUP(ITB7,#REF!,4,FALSE)))=TRUE,VLOOKUP(ITB7,#REF!,3,FALSE),VLOOKUP(ITB7,#REF!,4,FALSE)),0)</f>
        <v/>
      </c>
      <c r="ITC1">
        <f>IFERROR(IF((ISBLANK(VLOOKUP(ITC7,#REF!,4,FALSE)))=TRUE,VLOOKUP(ITC7,#REF!,3,FALSE),VLOOKUP(ITC7,#REF!,4,FALSE)),0)</f>
        <v/>
      </c>
      <c r="ITD1">
        <f>IFERROR(IF((ISBLANK(VLOOKUP(ITD7,#REF!,4,FALSE)))=TRUE,VLOOKUP(ITD7,#REF!,3,FALSE),VLOOKUP(ITD7,#REF!,4,FALSE)),0)</f>
        <v/>
      </c>
      <c r="ITE1">
        <f>IFERROR(IF((ISBLANK(VLOOKUP(ITE7,#REF!,4,FALSE)))=TRUE,VLOOKUP(ITE7,#REF!,3,FALSE),VLOOKUP(ITE7,#REF!,4,FALSE)),0)</f>
        <v/>
      </c>
      <c r="ITF1">
        <f>IFERROR(IF((ISBLANK(VLOOKUP(ITF7,#REF!,4,FALSE)))=TRUE,VLOOKUP(ITF7,#REF!,3,FALSE),VLOOKUP(ITF7,#REF!,4,FALSE)),0)</f>
        <v/>
      </c>
      <c r="ITG1">
        <f>IFERROR(IF((ISBLANK(VLOOKUP(ITG7,#REF!,4,FALSE)))=TRUE,VLOOKUP(ITG7,#REF!,3,FALSE),VLOOKUP(ITG7,#REF!,4,FALSE)),0)</f>
        <v/>
      </c>
      <c r="ITH1">
        <f>IFERROR(IF((ISBLANK(VLOOKUP(ITH7,#REF!,4,FALSE)))=TRUE,VLOOKUP(ITH7,#REF!,3,FALSE),VLOOKUP(ITH7,#REF!,4,FALSE)),0)</f>
        <v/>
      </c>
      <c r="ITI1">
        <f>IFERROR(IF((ISBLANK(VLOOKUP(ITI7,#REF!,4,FALSE)))=TRUE,VLOOKUP(ITI7,#REF!,3,FALSE),VLOOKUP(ITI7,#REF!,4,FALSE)),0)</f>
        <v/>
      </c>
      <c r="ITJ1">
        <f>IFERROR(IF((ISBLANK(VLOOKUP(ITJ7,#REF!,4,FALSE)))=TRUE,VLOOKUP(ITJ7,#REF!,3,FALSE),VLOOKUP(ITJ7,#REF!,4,FALSE)),0)</f>
        <v/>
      </c>
      <c r="ITK1">
        <f>IFERROR(IF((ISBLANK(VLOOKUP(ITK7,#REF!,4,FALSE)))=TRUE,VLOOKUP(ITK7,#REF!,3,FALSE),VLOOKUP(ITK7,#REF!,4,FALSE)),0)</f>
        <v/>
      </c>
      <c r="ITL1">
        <f>IFERROR(IF((ISBLANK(VLOOKUP(ITL7,#REF!,4,FALSE)))=TRUE,VLOOKUP(ITL7,#REF!,3,FALSE),VLOOKUP(ITL7,#REF!,4,FALSE)),0)</f>
        <v/>
      </c>
      <c r="ITM1">
        <f>IFERROR(IF((ISBLANK(VLOOKUP(ITM7,#REF!,4,FALSE)))=TRUE,VLOOKUP(ITM7,#REF!,3,FALSE),VLOOKUP(ITM7,#REF!,4,FALSE)),0)</f>
        <v/>
      </c>
      <c r="ITN1">
        <f>IFERROR(IF((ISBLANK(VLOOKUP(ITN7,#REF!,4,FALSE)))=TRUE,VLOOKUP(ITN7,#REF!,3,FALSE),VLOOKUP(ITN7,#REF!,4,FALSE)),0)</f>
        <v/>
      </c>
      <c r="ITO1">
        <f>IFERROR(IF((ISBLANK(VLOOKUP(ITO7,#REF!,4,FALSE)))=TRUE,VLOOKUP(ITO7,#REF!,3,FALSE),VLOOKUP(ITO7,#REF!,4,FALSE)),0)</f>
        <v/>
      </c>
      <c r="ITP1">
        <f>IFERROR(IF((ISBLANK(VLOOKUP(ITP7,#REF!,4,FALSE)))=TRUE,VLOOKUP(ITP7,#REF!,3,FALSE),VLOOKUP(ITP7,#REF!,4,FALSE)),0)</f>
        <v/>
      </c>
      <c r="ITQ1">
        <f>IFERROR(IF((ISBLANK(VLOOKUP(ITQ7,#REF!,4,FALSE)))=TRUE,VLOOKUP(ITQ7,#REF!,3,FALSE),VLOOKUP(ITQ7,#REF!,4,FALSE)),0)</f>
        <v/>
      </c>
      <c r="ITR1">
        <f>IFERROR(IF((ISBLANK(VLOOKUP(ITR7,#REF!,4,FALSE)))=TRUE,VLOOKUP(ITR7,#REF!,3,FALSE),VLOOKUP(ITR7,#REF!,4,FALSE)),0)</f>
        <v/>
      </c>
      <c r="ITS1">
        <f>IFERROR(IF((ISBLANK(VLOOKUP(ITS7,#REF!,4,FALSE)))=TRUE,VLOOKUP(ITS7,#REF!,3,FALSE),VLOOKUP(ITS7,#REF!,4,FALSE)),0)</f>
        <v/>
      </c>
      <c r="ITT1">
        <f>IFERROR(IF((ISBLANK(VLOOKUP(ITT7,#REF!,4,FALSE)))=TRUE,VLOOKUP(ITT7,#REF!,3,FALSE),VLOOKUP(ITT7,#REF!,4,FALSE)),0)</f>
        <v/>
      </c>
      <c r="ITU1">
        <f>IFERROR(IF((ISBLANK(VLOOKUP(ITU7,#REF!,4,FALSE)))=TRUE,VLOOKUP(ITU7,#REF!,3,FALSE),VLOOKUP(ITU7,#REF!,4,FALSE)),0)</f>
        <v/>
      </c>
      <c r="ITV1">
        <f>IFERROR(IF((ISBLANK(VLOOKUP(ITV7,#REF!,4,FALSE)))=TRUE,VLOOKUP(ITV7,#REF!,3,FALSE),VLOOKUP(ITV7,#REF!,4,FALSE)),0)</f>
        <v/>
      </c>
      <c r="ITW1">
        <f>IFERROR(IF((ISBLANK(VLOOKUP(ITW7,#REF!,4,FALSE)))=TRUE,VLOOKUP(ITW7,#REF!,3,FALSE),VLOOKUP(ITW7,#REF!,4,FALSE)),0)</f>
        <v/>
      </c>
      <c r="ITX1">
        <f>IFERROR(IF((ISBLANK(VLOOKUP(ITX7,#REF!,4,FALSE)))=TRUE,VLOOKUP(ITX7,#REF!,3,FALSE),VLOOKUP(ITX7,#REF!,4,FALSE)),0)</f>
        <v/>
      </c>
      <c r="ITY1">
        <f>IFERROR(IF((ISBLANK(VLOOKUP(ITY7,#REF!,4,FALSE)))=TRUE,VLOOKUP(ITY7,#REF!,3,FALSE),VLOOKUP(ITY7,#REF!,4,FALSE)),0)</f>
        <v/>
      </c>
      <c r="ITZ1">
        <f>IFERROR(IF((ISBLANK(VLOOKUP(ITZ7,#REF!,4,FALSE)))=TRUE,VLOOKUP(ITZ7,#REF!,3,FALSE),VLOOKUP(ITZ7,#REF!,4,FALSE)),0)</f>
        <v/>
      </c>
      <c r="IUA1">
        <f>IFERROR(IF((ISBLANK(VLOOKUP(IUA7,#REF!,4,FALSE)))=TRUE,VLOOKUP(IUA7,#REF!,3,FALSE),VLOOKUP(IUA7,#REF!,4,FALSE)),0)</f>
        <v/>
      </c>
      <c r="IUB1">
        <f>IFERROR(IF((ISBLANK(VLOOKUP(IUB7,#REF!,4,FALSE)))=TRUE,VLOOKUP(IUB7,#REF!,3,FALSE),VLOOKUP(IUB7,#REF!,4,FALSE)),0)</f>
        <v/>
      </c>
      <c r="IUC1">
        <f>IFERROR(IF((ISBLANK(VLOOKUP(IUC7,#REF!,4,FALSE)))=TRUE,VLOOKUP(IUC7,#REF!,3,FALSE),VLOOKUP(IUC7,#REF!,4,FALSE)),0)</f>
        <v/>
      </c>
      <c r="IUD1">
        <f>IFERROR(IF((ISBLANK(VLOOKUP(IUD7,#REF!,4,FALSE)))=TRUE,VLOOKUP(IUD7,#REF!,3,FALSE),VLOOKUP(IUD7,#REF!,4,FALSE)),0)</f>
        <v/>
      </c>
      <c r="IUE1">
        <f>IFERROR(IF((ISBLANK(VLOOKUP(IUE7,#REF!,4,FALSE)))=TRUE,VLOOKUP(IUE7,#REF!,3,FALSE),VLOOKUP(IUE7,#REF!,4,FALSE)),0)</f>
        <v/>
      </c>
      <c r="IUF1">
        <f>IFERROR(IF((ISBLANK(VLOOKUP(IUF7,#REF!,4,FALSE)))=TRUE,VLOOKUP(IUF7,#REF!,3,FALSE),VLOOKUP(IUF7,#REF!,4,FALSE)),0)</f>
        <v/>
      </c>
      <c r="IUG1">
        <f>IFERROR(IF((ISBLANK(VLOOKUP(IUG7,#REF!,4,FALSE)))=TRUE,VLOOKUP(IUG7,#REF!,3,FALSE),VLOOKUP(IUG7,#REF!,4,FALSE)),0)</f>
        <v/>
      </c>
      <c r="IUH1">
        <f>IFERROR(IF((ISBLANK(VLOOKUP(IUH7,#REF!,4,FALSE)))=TRUE,VLOOKUP(IUH7,#REF!,3,FALSE),VLOOKUP(IUH7,#REF!,4,FALSE)),0)</f>
        <v/>
      </c>
      <c r="IUI1">
        <f>IFERROR(IF((ISBLANK(VLOOKUP(IUI7,#REF!,4,FALSE)))=TRUE,VLOOKUP(IUI7,#REF!,3,FALSE),VLOOKUP(IUI7,#REF!,4,FALSE)),0)</f>
        <v/>
      </c>
      <c r="IUJ1">
        <f>IFERROR(IF((ISBLANK(VLOOKUP(IUJ7,#REF!,4,FALSE)))=TRUE,VLOOKUP(IUJ7,#REF!,3,FALSE),VLOOKUP(IUJ7,#REF!,4,FALSE)),0)</f>
        <v/>
      </c>
      <c r="IUK1">
        <f>IFERROR(IF((ISBLANK(VLOOKUP(IUK7,#REF!,4,FALSE)))=TRUE,VLOOKUP(IUK7,#REF!,3,FALSE),VLOOKUP(IUK7,#REF!,4,FALSE)),0)</f>
        <v/>
      </c>
      <c r="IUL1">
        <f>IFERROR(IF((ISBLANK(VLOOKUP(IUL7,#REF!,4,FALSE)))=TRUE,VLOOKUP(IUL7,#REF!,3,FALSE),VLOOKUP(IUL7,#REF!,4,FALSE)),0)</f>
        <v/>
      </c>
      <c r="IUM1">
        <f>IFERROR(IF((ISBLANK(VLOOKUP(IUM7,#REF!,4,FALSE)))=TRUE,VLOOKUP(IUM7,#REF!,3,FALSE),VLOOKUP(IUM7,#REF!,4,FALSE)),0)</f>
        <v/>
      </c>
      <c r="IUN1">
        <f>IFERROR(IF((ISBLANK(VLOOKUP(IUN7,#REF!,4,FALSE)))=TRUE,VLOOKUP(IUN7,#REF!,3,FALSE),VLOOKUP(IUN7,#REF!,4,FALSE)),0)</f>
        <v/>
      </c>
      <c r="IUO1">
        <f>IFERROR(IF((ISBLANK(VLOOKUP(IUO7,#REF!,4,FALSE)))=TRUE,VLOOKUP(IUO7,#REF!,3,FALSE),VLOOKUP(IUO7,#REF!,4,FALSE)),0)</f>
        <v/>
      </c>
      <c r="IUP1">
        <f>IFERROR(IF((ISBLANK(VLOOKUP(IUP7,#REF!,4,FALSE)))=TRUE,VLOOKUP(IUP7,#REF!,3,FALSE),VLOOKUP(IUP7,#REF!,4,FALSE)),0)</f>
        <v/>
      </c>
      <c r="IUQ1">
        <f>IFERROR(IF((ISBLANK(VLOOKUP(IUQ7,#REF!,4,FALSE)))=TRUE,VLOOKUP(IUQ7,#REF!,3,FALSE),VLOOKUP(IUQ7,#REF!,4,FALSE)),0)</f>
        <v/>
      </c>
      <c r="IUR1">
        <f>IFERROR(IF((ISBLANK(VLOOKUP(IUR7,#REF!,4,FALSE)))=TRUE,VLOOKUP(IUR7,#REF!,3,FALSE),VLOOKUP(IUR7,#REF!,4,FALSE)),0)</f>
        <v/>
      </c>
      <c r="IUS1">
        <f>IFERROR(IF((ISBLANK(VLOOKUP(IUS7,#REF!,4,FALSE)))=TRUE,VLOOKUP(IUS7,#REF!,3,FALSE),VLOOKUP(IUS7,#REF!,4,FALSE)),0)</f>
        <v/>
      </c>
      <c r="IUT1">
        <f>IFERROR(IF((ISBLANK(VLOOKUP(IUT7,#REF!,4,FALSE)))=TRUE,VLOOKUP(IUT7,#REF!,3,FALSE),VLOOKUP(IUT7,#REF!,4,FALSE)),0)</f>
        <v/>
      </c>
      <c r="IUU1">
        <f>IFERROR(IF((ISBLANK(VLOOKUP(IUU7,#REF!,4,FALSE)))=TRUE,VLOOKUP(IUU7,#REF!,3,FALSE),VLOOKUP(IUU7,#REF!,4,FALSE)),0)</f>
        <v/>
      </c>
      <c r="IUV1">
        <f>IFERROR(IF((ISBLANK(VLOOKUP(IUV7,#REF!,4,FALSE)))=TRUE,VLOOKUP(IUV7,#REF!,3,FALSE),VLOOKUP(IUV7,#REF!,4,FALSE)),0)</f>
        <v/>
      </c>
      <c r="IUW1">
        <f>IFERROR(IF((ISBLANK(VLOOKUP(IUW7,#REF!,4,FALSE)))=TRUE,VLOOKUP(IUW7,#REF!,3,FALSE),VLOOKUP(IUW7,#REF!,4,FALSE)),0)</f>
        <v/>
      </c>
      <c r="IUX1">
        <f>IFERROR(IF((ISBLANK(VLOOKUP(IUX7,#REF!,4,FALSE)))=TRUE,VLOOKUP(IUX7,#REF!,3,FALSE),VLOOKUP(IUX7,#REF!,4,FALSE)),0)</f>
        <v/>
      </c>
      <c r="IUY1">
        <f>IFERROR(IF((ISBLANK(VLOOKUP(IUY7,#REF!,4,FALSE)))=TRUE,VLOOKUP(IUY7,#REF!,3,FALSE),VLOOKUP(IUY7,#REF!,4,FALSE)),0)</f>
        <v/>
      </c>
      <c r="IUZ1">
        <f>IFERROR(IF((ISBLANK(VLOOKUP(IUZ7,#REF!,4,FALSE)))=TRUE,VLOOKUP(IUZ7,#REF!,3,FALSE),VLOOKUP(IUZ7,#REF!,4,FALSE)),0)</f>
        <v/>
      </c>
      <c r="IVA1">
        <f>IFERROR(IF((ISBLANK(VLOOKUP(IVA7,#REF!,4,FALSE)))=TRUE,VLOOKUP(IVA7,#REF!,3,FALSE),VLOOKUP(IVA7,#REF!,4,FALSE)),0)</f>
        <v/>
      </c>
      <c r="IVB1">
        <f>IFERROR(IF((ISBLANK(VLOOKUP(IVB7,#REF!,4,FALSE)))=TRUE,VLOOKUP(IVB7,#REF!,3,FALSE),VLOOKUP(IVB7,#REF!,4,FALSE)),0)</f>
        <v/>
      </c>
      <c r="IVC1">
        <f>IFERROR(IF((ISBLANK(VLOOKUP(IVC7,#REF!,4,FALSE)))=TRUE,VLOOKUP(IVC7,#REF!,3,FALSE),VLOOKUP(IVC7,#REF!,4,FALSE)),0)</f>
        <v/>
      </c>
      <c r="IVD1">
        <f>IFERROR(IF((ISBLANK(VLOOKUP(IVD7,#REF!,4,FALSE)))=TRUE,VLOOKUP(IVD7,#REF!,3,FALSE),VLOOKUP(IVD7,#REF!,4,FALSE)),0)</f>
        <v/>
      </c>
      <c r="IVE1">
        <f>IFERROR(IF((ISBLANK(VLOOKUP(IVE7,#REF!,4,FALSE)))=TRUE,VLOOKUP(IVE7,#REF!,3,FALSE),VLOOKUP(IVE7,#REF!,4,FALSE)),0)</f>
        <v/>
      </c>
      <c r="IVF1">
        <f>IFERROR(IF((ISBLANK(VLOOKUP(IVF7,#REF!,4,FALSE)))=TRUE,VLOOKUP(IVF7,#REF!,3,FALSE),VLOOKUP(IVF7,#REF!,4,FALSE)),0)</f>
        <v/>
      </c>
      <c r="IVG1">
        <f>IFERROR(IF((ISBLANK(VLOOKUP(IVG7,#REF!,4,FALSE)))=TRUE,VLOOKUP(IVG7,#REF!,3,FALSE),VLOOKUP(IVG7,#REF!,4,FALSE)),0)</f>
        <v/>
      </c>
      <c r="IVH1">
        <f>IFERROR(IF((ISBLANK(VLOOKUP(IVH7,#REF!,4,FALSE)))=TRUE,VLOOKUP(IVH7,#REF!,3,FALSE),VLOOKUP(IVH7,#REF!,4,FALSE)),0)</f>
        <v/>
      </c>
      <c r="IVI1">
        <f>IFERROR(IF((ISBLANK(VLOOKUP(IVI7,#REF!,4,FALSE)))=TRUE,VLOOKUP(IVI7,#REF!,3,FALSE),VLOOKUP(IVI7,#REF!,4,FALSE)),0)</f>
        <v/>
      </c>
      <c r="IVJ1">
        <f>IFERROR(IF((ISBLANK(VLOOKUP(IVJ7,#REF!,4,FALSE)))=TRUE,VLOOKUP(IVJ7,#REF!,3,FALSE),VLOOKUP(IVJ7,#REF!,4,FALSE)),0)</f>
        <v/>
      </c>
      <c r="IVK1">
        <f>IFERROR(IF((ISBLANK(VLOOKUP(IVK7,#REF!,4,FALSE)))=TRUE,VLOOKUP(IVK7,#REF!,3,FALSE),VLOOKUP(IVK7,#REF!,4,FALSE)),0)</f>
        <v/>
      </c>
      <c r="IVL1">
        <f>IFERROR(IF((ISBLANK(VLOOKUP(IVL7,#REF!,4,FALSE)))=TRUE,VLOOKUP(IVL7,#REF!,3,FALSE),VLOOKUP(IVL7,#REF!,4,FALSE)),0)</f>
        <v/>
      </c>
      <c r="IVM1">
        <f>IFERROR(IF((ISBLANK(VLOOKUP(IVM7,#REF!,4,FALSE)))=TRUE,VLOOKUP(IVM7,#REF!,3,FALSE),VLOOKUP(IVM7,#REF!,4,FALSE)),0)</f>
        <v/>
      </c>
      <c r="IVN1">
        <f>IFERROR(IF((ISBLANK(VLOOKUP(IVN7,#REF!,4,FALSE)))=TRUE,VLOOKUP(IVN7,#REF!,3,FALSE),VLOOKUP(IVN7,#REF!,4,FALSE)),0)</f>
        <v/>
      </c>
      <c r="IVO1">
        <f>IFERROR(IF((ISBLANK(VLOOKUP(IVO7,#REF!,4,FALSE)))=TRUE,VLOOKUP(IVO7,#REF!,3,FALSE),VLOOKUP(IVO7,#REF!,4,FALSE)),0)</f>
        <v/>
      </c>
      <c r="IVP1">
        <f>IFERROR(IF((ISBLANK(VLOOKUP(IVP7,#REF!,4,FALSE)))=TRUE,VLOOKUP(IVP7,#REF!,3,FALSE),VLOOKUP(IVP7,#REF!,4,FALSE)),0)</f>
        <v/>
      </c>
      <c r="IVQ1">
        <f>IFERROR(IF((ISBLANK(VLOOKUP(IVQ7,#REF!,4,FALSE)))=TRUE,VLOOKUP(IVQ7,#REF!,3,FALSE),VLOOKUP(IVQ7,#REF!,4,FALSE)),0)</f>
        <v/>
      </c>
      <c r="IVR1">
        <f>IFERROR(IF((ISBLANK(VLOOKUP(IVR7,#REF!,4,FALSE)))=TRUE,VLOOKUP(IVR7,#REF!,3,FALSE),VLOOKUP(IVR7,#REF!,4,FALSE)),0)</f>
        <v/>
      </c>
      <c r="IVS1">
        <f>IFERROR(IF((ISBLANK(VLOOKUP(IVS7,#REF!,4,FALSE)))=TRUE,VLOOKUP(IVS7,#REF!,3,FALSE),VLOOKUP(IVS7,#REF!,4,FALSE)),0)</f>
        <v/>
      </c>
      <c r="IVT1">
        <f>IFERROR(IF((ISBLANK(VLOOKUP(IVT7,#REF!,4,FALSE)))=TRUE,VLOOKUP(IVT7,#REF!,3,FALSE),VLOOKUP(IVT7,#REF!,4,FALSE)),0)</f>
        <v/>
      </c>
      <c r="IVU1">
        <f>IFERROR(IF((ISBLANK(VLOOKUP(IVU7,#REF!,4,FALSE)))=TRUE,VLOOKUP(IVU7,#REF!,3,FALSE),VLOOKUP(IVU7,#REF!,4,FALSE)),0)</f>
        <v/>
      </c>
      <c r="IVV1">
        <f>IFERROR(IF((ISBLANK(VLOOKUP(IVV7,#REF!,4,FALSE)))=TRUE,VLOOKUP(IVV7,#REF!,3,FALSE),VLOOKUP(IVV7,#REF!,4,FALSE)),0)</f>
        <v/>
      </c>
      <c r="IVW1">
        <f>IFERROR(IF((ISBLANK(VLOOKUP(IVW7,#REF!,4,FALSE)))=TRUE,VLOOKUP(IVW7,#REF!,3,FALSE),VLOOKUP(IVW7,#REF!,4,FALSE)),0)</f>
        <v/>
      </c>
      <c r="IVX1">
        <f>IFERROR(IF((ISBLANK(VLOOKUP(IVX7,#REF!,4,FALSE)))=TRUE,VLOOKUP(IVX7,#REF!,3,FALSE),VLOOKUP(IVX7,#REF!,4,FALSE)),0)</f>
        <v/>
      </c>
      <c r="IVY1">
        <f>IFERROR(IF((ISBLANK(VLOOKUP(IVY7,#REF!,4,FALSE)))=TRUE,VLOOKUP(IVY7,#REF!,3,FALSE),VLOOKUP(IVY7,#REF!,4,FALSE)),0)</f>
        <v/>
      </c>
      <c r="IVZ1">
        <f>IFERROR(IF((ISBLANK(VLOOKUP(IVZ7,#REF!,4,FALSE)))=TRUE,VLOOKUP(IVZ7,#REF!,3,FALSE),VLOOKUP(IVZ7,#REF!,4,FALSE)),0)</f>
        <v/>
      </c>
      <c r="IWA1">
        <f>IFERROR(IF((ISBLANK(VLOOKUP(IWA7,#REF!,4,FALSE)))=TRUE,VLOOKUP(IWA7,#REF!,3,FALSE),VLOOKUP(IWA7,#REF!,4,FALSE)),0)</f>
        <v/>
      </c>
      <c r="IWB1">
        <f>IFERROR(IF((ISBLANK(VLOOKUP(IWB7,#REF!,4,FALSE)))=TRUE,VLOOKUP(IWB7,#REF!,3,FALSE),VLOOKUP(IWB7,#REF!,4,FALSE)),0)</f>
        <v/>
      </c>
      <c r="IWC1">
        <f>IFERROR(IF((ISBLANK(VLOOKUP(IWC7,#REF!,4,FALSE)))=TRUE,VLOOKUP(IWC7,#REF!,3,FALSE),VLOOKUP(IWC7,#REF!,4,FALSE)),0)</f>
        <v/>
      </c>
      <c r="IWD1">
        <f>IFERROR(IF((ISBLANK(VLOOKUP(IWD7,#REF!,4,FALSE)))=TRUE,VLOOKUP(IWD7,#REF!,3,FALSE),VLOOKUP(IWD7,#REF!,4,FALSE)),0)</f>
        <v/>
      </c>
      <c r="IWE1">
        <f>IFERROR(IF((ISBLANK(VLOOKUP(IWE7,#REF!,4,FALSE)))=TRUE,VLOOKUP(IWE7,#REF!,3,FALSE),VLOOKUP(IWE7,#REF!,4,FALSE)),0)</f>
        <v/>
      </c>
      <c r="IWF1">
        <f>IFERROR(IF((ISBLANK(VLOOKUP(IWF7,#REF!,4,FALSE)))=TRUE,VLOOKUP(IWF7,#REF!,3,FALSE),VLOOKUP(IWF7,#REF!,4,FALSE)),0)</f>
        <v/>
      </c>
      <c r="IWG1">
        <f>IFERROR(IF((ISBLANK(VLOOKUP(IWG7,#REF!,4,FALSE)))=TRUE,VLOOKUP(IWG7,#REF!,3,FALSE),VLOOKUP(IWG7,#REF!,4,FALSE)),0)</f>
        <v/>
      </c>
      <c r="IWH1">
        <f>IFERROR(IF((ISBLANK(VLOOKUP(IWH7,#REF!,4,FALSE)))=TRUE,VLOOKUP(IWH7,#REF!,3,FALSE),VLOOKUP(IWH7,#REF!,4,FALSE)),0)</f>
        <v/>
      </c>
      <c r="IWI1">
        <f>IFERROR(IF((ISBLANK(VLOOKUP(IWI7,#REF!,4,FALSE)))=TRUE,VLOOKUP(IWI7,#REF!,3,FALSE),VLOOKUP(IWI7,#REF!,4,FALSE)),0)</f>
        <v/>
      </c>
      <c r="IWJ1">
        <f>IFERROR(IF((ISBLANK(VLOOKUP(IWJ7,#REF!,4,FALSE)))=TRUE,VLOOKUP(IWJ7,#REF!,3,FALSE),VLOOKUP(IWJ7,#REF!,4,FALSE)),0)</f>
        <v/>
      </c>
      <c r="IWK1">
        <f>IFERROR(IF((ISBLANK(VLOOKUP(IWK7,#REF!,4,FALSE)))=TRUE,VLOOKUP(IWK7,#REF!,3,FALSE),VLOOKUP(IWK7,#REF!,4,FALSE)),0)</f>
        <v/>
      </c>
      <c r="IWL1">
        <f>IFERROR(IF((ISBLANK(VLOOKUP(IWL7,#REF!,4,FALSE)))=TRUE,VLOOKUP(IWL7,#REF!,3,FALSE),VLOOKUP(IWL7,#REF!,4,FALSE)),0)</f>
        <v/>
      </c>
      <c r="IWM1">
        <f>IFERROR(IF((ISBLANK(VLOOKUP(IWM7,#REF!,4,FALSE)))=TRUE,VLOOKUP(IWM7,#REF!,3,FALSE),VLOOKUP(IWM7,#REF!,4,FALSE)),0)</f>
        <v/>
      </c>
      <c r="IWN1">
        <f>IFERROR(IF((ISBLANK(VLOOKUP(IWN7,#REF!,4,FALSE)))=TRUE,VLOOKUP(IWN7,#REF!,3,FALSE),VLOOKUP(IWN7,#REF!,4,FALSE)),0)</f>
        <v/>
      </c>
      <c r="IWO1">
        <f>IFERROR(IF((ISBLANK(VLOOKUP(IWO7,#REF!,4,FALSE)))=TRUE,VLOOKUP(IWO7,#REF!,3,FALSE),VLOOKUP(IWO7,#REF!,4,FALSE)),0)</f>
        <v/>
      </c>
      <c r="IWP1">
        <f>IFERROR(IF((ISBLANK(VLOOKUP(IWP7,#REF!,4,FALSE)))=TRUE,VLOOKUP(IWP7,#REF!,3,FALSE),VLOOKUP(IWP7,#REF!,4,FALSE)),0)</f>
        <v/>
      </c>
      <c r="IWQ1">
        <f>IFERROR(IF((ISBLANK(VLOOKUP(IWQ7,#REF!,4,FALSE)))=TRUE,VLOOKUP(IWQ7,#REF!,3,FALSE),VLOOKUP(IWQ7,#REF!,4,FALSE)),0)</f>
        <v/>
      </c>
      <c r="IWR1">
        <f>IFERROR(IF((ISBLANK(VLOOKUP(IWR7,#REF!,4,FALSE)))=TRUE,VLOOKUP(IWR7,#REF!,3,FALSE),VLOOKUP(IWR7,#REF!,4,FALSE)),0)</f>
        <v/>
      </c>
      <c r="IWS1">
        <f>IFERROR(IF((ISBLANK(VLOOKUP(IWS7,#REF!,4,FALSE)))=TRUE,VLOOKUP(IWS7,#REF!,3,FALSE),VLOOKUP(IWS7,#REF!,4,FALSE)),0)</f>
        <v/>
      </c>
      <c r="IWT1">
        <f>IFERROR(IF((ISBLANK(VLOOKUP(IWT7,#REF!,4,FALSE)))=TRUE,VLOOKUP(IWT7,#REF!,3,FALSE),VLOOKUP(IWT7,#REF!,4,FALSE)),0)</f>
        <v/>
      </c>
      <c r="IWU1">
        <f>IFERROR(IF((ISBLANK(VLOOKUP(IWU7,#REF!,4,FALSE)))=TRUE,VLOOKUP(IWU7,#REF!,3,FALSE),VLOOKUP(IWU7,#REF!,4,FALSE)),0)</f>
        <v/>
      </c>
      <c r="IWV1">
        <f>IFERROR(IF((ISBLANK(VLOOKUP(IWV7,#REF!,4,FALSE)))=TRUE,VLOOKUP(IWV7,#REF!,3,FALSE),VLOOKUP(IWV7,#REF!,4,FALSE)),0)</f>
        <v/>
      </c>
      <c r="IWW1">
        <f>IFERROR(IF((ISBLANK(VLOOKUP(IWW7,#REF!,4,FALSE)))=TRUE,VLOOKUP(IWW7,#REF!,3,FALSE),VLOOKUP(IWW7,#REF!,4,FALSE)),0)</f>
        <v/>
      </c>
      <c r="IWX1">
        <f>IFERROR(IF((ISBLANK(VLOOKUP(IWX7,#REF!,4,FALSE)))=TRUE,VLOOKUP(IWX7,#REF!,3,FALSE),VLOOKUP(IWX7,#REF!,4,FALSE)),0)</f>
        <v/>
      </c>
      <c r="IWY1">
        <f>IFERROR(IF((ISBLANK(VLOOKUP(IWY7,#REF!,4,FALSE)))=TRUE,VLOOKUP(IWY7,#REF!,3,FALSE),VLOOKUP(IWY7,#REF!,4,FALSE)),0)</f>
        <v/>
      </c>
      <c r="IWZ1">
        <f>IFERROR(IF((ISBLANK(VLOOKUP(IWZ7,#REF!,4,FALSE)))=TRUE,VLOOKUP(IWZ7,#REF!,3,FALSE),VLOOKUP(IWZ7,#REF!,4,FALSE)),0)</f>
        <v/>
      </c>
      <c r="IXA1">
        <f>IFERROR(IF((ISBLANK(VLOOKUP(IXA7,#REF!,4,FALSE)))=TRUE,VLOOKUP(IXA7,#REF!,3,FALSE),VLOOKUP(IXA7,#REF!,4,FALSE)),0)</f>
        <v/>
      </c>
      <c r="IXB1">
        <f>IFERROR(IF((ISBLANK(VLOOKUP(IXB7,#REF!,4,FALSE)))=TRUE,VLOOKUP(IXB7,#REF!,3,FALSE),VLOOKUP(IXB7,#REF!,4,FALSE)),0)</f>
        <v/>
      </c>
      <c r="IXC1">
        <f>IFERROR(IF((ISBLANK(VLOOKUP(IXC7,#REF!,4,FALSE)))=TRUE,VLOOKUP(IXC7,#REF!,3,FALSE),VLOOKUP(IXC7,#REF!,4,FALSE)),0)</f>
        <v/>
      </c>
      <c r="IXD1">
        <f>IFERROR(IF((ISBLANK(VLOOKUP(IXD7,#REF!,4,FALSE)))=TRUE,VLOOKUP(IXD7,#REF!,3,FALSE),VLOOKUP(IXD7,#REF!,4,FALSE)),0)</f>
        <v/>
      </c>
      <c r="IXE1">
        <f>IFERROR(IF((ISBLANK(VLOOKUP(IXE7,#REF!,4,FALSE)))=TRUE,VLOOKUP(IXE7,#REF!,3,FALSE),VLOOKUP(IXE7,#REF!,4,FALSE)),0)</f>
        <v/>
      </c>
      <c r="IXF1">
        <f>IFERROR(IF((ISBLANK(VLOOKUP(IXF7,#REF!,4,FALSE)))=TRUE,VLOOKUP(IXF7,#REF!,3,FALSE),VLOOKUP(IXF7,#REF!,4,FALSE)),0)</f>
        <v/>
      </c>
      <c r="IXG1">
        <f>IFERROR(IF((ISBLANK(VLOOKUP(IXG7,#REF!,4,FALSE)))=TRUE,VLOOKUP(IXG7,#REF!,3,FALSE),VLOOKUP(IXG7,#REF!,4,FALSE)),0)</f>
        <v/>
      </c>
      <c r="IXH1">
        <f>IFERROR(IF((ISBLANK(VLOOKUP(IXH7,#REF!,4,FALSE)))=TRUE,VLOOKUP(IXH7,#REF!,3,FALSE),VLOOKUP(IXH7,#REF!,4,FALSE)),0)</f>
        <v/>
      </c>
      <c r="IXI1">
        <f>IFERROR(IF((ISBLANK(VLOOKUP(IXI7,#REF!,4,FALSE)))=TRUE,VLOOKUP(IXI7,#REF!,3,FALSE),VLOOKUP(IXI7,#REF!,4,FALSE)),0)</f>
        <v/>
      </c>
      <c r="IXJ1">
        <f>IFERROR(IF((ISBLANK(VLOOKUP(IXJ7,#REF!,4,FALSE)))=TRUE,VLOOKUP(IXJ7,#REF!,3,FALSE),VLOOKUP(IXJ7,#REF!,4,FALSE)),0)</f>
        <v/>
      </c>
      <c r="IXK1">
        <f>IFERROR(IF((ISBLANK(VLOOKUP(IXK7,#REF!,4,FALSE)))=TRUE,VLOOKUP(IXK7,#REF!,3,FALSE),VLOOKUP(IXK7,#REF!,4,FALSE)),0)</f>
        <v/>
      </c>
      <c r="IXL1">
        <f>IFERROR(IF((ISBLANK(VLOOKUP(IXL7,#REF!,4,FALSE)))=TRUE,VLOOKUP(IXL7,#REF!,3,FALSE),VLOOKUP(IXL7,#REF!,4,FALSE)),0)</f>
        <v/>
      </c>
      <c r="IXM1">
        <f>IFERROR(IF((ISBLANK(VLOOKUP(IXM7,#REF!,4,FALSE)))=TRUE,VLOOKUP(IXM7,#REF!,3,FALSE),VLOOKUP(IXM7,#REF!,4,FALSE)),0)</f>
        <v/>
      </c>
      <c r="IXN1">
        <f>IFERROR(IF((ISBLANK(VLOOKUP(IXN7,#REF!,4,FALSE)))=TRUE,VLOOKUP(IXN7,#REF!,3,FALSE),VLOOKUP(IXN7,#REF!,4,FALSE)),0)</f>
        <v/>
      </c>
      <c r="IXO1">
        <f>IFERROR(IF((ISBLANK(VLOOKUP(IXO7,#REF!,4,FALSE)))=TRUE,VLOOKUP(IXO7,#REF!,3,FALSE),VLOOKUP(IXO7,#REF!,4,FALSE)),0)</f>
        <v/>
      </c>
      <c r="IXP1">
        <f>IFERROR(IF((ISBLANK(VLOOKUP(IXP7,#REF!,4,FALSE)))=TRUE,VLOOKUP(IXP7,#REF!,3,FALSE),VLOOKUP(IXP7,#REF!,4,FALSE)),0)</f>
        <v/>
      </c>
      <c r="IXQ1">
        <f>IFERROR(IF((ISBLANK(VLOOKUP(IXQ7,#REF!,4,FALSE)))=TRUE,VLOOKUP(IXQ7,#REF!,3,FALSE),VLOOKUP(IXQ7,#REF!,4,FALSE)),0)</f>
        <v/>
      </c>
      <c r="IXR1">
        <f>IFERROR(IF((ISBLANK(VLOOKUP(IXR7,#REF!,4,FALSE)))=TRUE,VLOOKUP(IXR7,#REF!,3,FALSE),VLOOKUP(IXR7,#REF!,4,FALSE)),0)</f>
        <v/>
      </c>
      <c r="IXS1">
        <f>IFERROR(IF((ISBLANK(VLOOKUP(IXS7,#REF!,4,FALSE)))=TRUE,VLOOKUP(IXS7,#REF!,3,FALSE),VLOOKUP(IXS7,#REF!,4,FALSE)),0)</f>
        <v/>
      </c>
      <c r="IXT1">
        <f>IFERROR(IF((ISBLANK(VLOOKUP(IXT7,#REF!,4,FALSE)))=TRUE,VLOOKUP(IXT7,#REF!,3,FALSE),VLOOKUP(IXT7,#REF!,4,FALSE)),0)</f>
        <v/>
      </c>
      <c r="IXU1">
        <f>IFERROR(IF((ISBLANK(VLOOKUP(IXU7,#REF!,4,FALSE)))=TRUE,VLOOKUP(IXU7,#REF!,3,FALSE),VLOOKUP(IXU7,#REF!,4,FALSE)),0)</f>
        <v/>
      </c>
      <c r="IXV1">
        <f>IFERROR(IF((ISBLANK(VLOOKUP(IXV7,#REF!,4,FALSE)))=TRUE,VLOOKUP(IXV7,#REF!,3,FALSE),VLOOKUP(IXV7,#REF!,4,FALSE)),0)</f>
        <v/>
      </c>
      <c r="IXW1">
        <f>IFERROR(IF((ISBLANK(VLOOKUP(IXW7,#REF!,4,FALSE)))=TRUE,VLOOKUP(IXW7,#REF!,3,FALSE),VLOOKUP(IXW7,#REF!,4,FALSE)),0)</f>
        <v/>
      </c>
      <c r="IXX1">
        <f>IFERROR(IF((ISBLANK(VLOOKUP(IXX7,#REF!,4,FALSE)))=TRUE,VLOOKUP(IXX7,#REF!,3,FALSE),VLOOKUP(IXX7,#REF!,4,FALSE)),0)</f>
        <v/>
      </c>
      <c r="IXY1">
        <f>IFERROR(IF((ISBLANK(VLOOKUP(IXY7,#REF!,4,FALSE)))=TRUE,VLOOKUP(IXY7,#REF!,3,FALSE),VLOOKUP(IXY7,#REF!,4,FALSE)),0)</f>
        <v/>
      </c>
      <c r="IXZ1">
        <f>IFERROR(IF((ISBLANK(VLOOKUP(IXZ7,#REF!,4,FALSE)))=TRUE,VLOOKUP(IXZ7,#REF!,3,FALSE),VLOOKUP(IXZ7,#REF!,4,FALSE)),0)</f>
        <v/>
      </c>
      <c r="IYA1">
        <f>IFERROR(IF((ISBLANK(VLOOKUP(IYA7,#REF!,4,FALSE)))=TRUE,VLOOKUP(IYA7,#REF!,3,FALSE),VLOOKUP(IYA7,#REF!,4,FALSE)),0)</f>
        <v/>
      </c>
      <c r="IYB1">
        <f>IFERROR(IF((ISBLANK(VLOOKUP(IYB7,#REF!,4,FALSE)))=TRUE,VLOOKUP(IYB7,#REF!,3,FALSE),VLOOKUP(IYB7,#REF!,4,FALSE)),0)</f>
        <v/>
      </c>
      <c r="IYC1">
        <f>IFERROR(IF((ISBLANK(VLOOKUP(IYC7,#REF!,4,FALSE)))=TRUE,VLOOKUP(IYC7,#REF!,3,FALSE),VLOOKUP(IYC7,#REF!,4,FALSE)),0)</f>
        <v/>
      </c>
      <c r="IYD1">
        <f>IFERROR(IF((ISBLANK(VLOOKUP(IYD7,#REF!,4,FALSE)))=TRUE,VLOOKUP(IYD7,#REF!,3,FALSE),VLOOKUP(IYD7,#REF!,4,FALSE)),0)</f>
        <v/>
      </c>
      <c r="IYE1">
        <f>IFERROR(IF((ISBLANK(VLOOKUP(IYE7,#REF!,4,FALSE)))=TRUE,VLOOKUP(IYE7,#REF!,3,FALSE),VLOOKUP(IYE7,#REF!,4,FALSE)),0)</f>
        <v/>
      </c>
      <c r="IYF1">
        <f>IFERROR(IF((ISBLANK(VLOOKUP(IYF7,#REF!,4,FALSE)))=TRUE,VLOOKUP(IYF7,#REF!,3,FALSE),VLOOKUP(IYF7,#REF!,4,FALSE)),0)</f>
        <v/>
      </c>
      <c r="IYG1">
        <f>IFERROR(IF((ISBLANK(VLOOKUP(IYG7,#REF!,4,FALSE)))=TRUE,VLOOKUP(IYG7,#REF!,3,FALSE),VLOOKUP(IYG7,#REF!,4,FALSE)),0)</f>
        <v/>
      </c>
      <c r="IYH1">
        <f>IFERROR(IF((ISBLANK(VLOOKUP(IYH7,#REF!,4,FALSE)))=TRUE,VLOOKUP(IYH7,#REF!,3,FALSE),VLOOKUP(IYH7,#REF!,4,FALSE)),0)</f>
        <v/>
      </c>
      <c r="IYI1">
        <f>IFERROR(IF((ISBLANK(VLOOKUP(IYI7,#REF!,4,FALSE)))=TRUE,VLOOKUP(IYI7,#REF!,3,FALSE),VLOOKUP(IYI7,#REF!,4,FALSE)),0)</f>
        <v/>
      </c>
      <c r="IYJ1">
        <f>IFERROR(IF((ISBLANK(VLOOKUP(IYJ7,#REF!,4,FALSE)))=TRUE,VLOOKUP(IYJ7,#REF!,3,FALSE),VLOOKUP(IYJ7,#REF!,4,FALSE)),0)</f>
        <v/>
      </c>
      <c r="IYK1">
        <f>IFERROR(IF((ISBLANK(VLOOKUP(IYK7,#REF!,4,FALSE)))=TRUE,VLOOKUP(IYK7,#REF!,3,FALSE),VLOOKUP(IYK7,#REF!,4,FALSE)),0)</f>
        <v/>
      </c>
      <c r="IYL1">
        <f>IFERROR(IF((ISBLANK(VLOOKUP(IYL7,#REF!,4,FALSE)))=TRUE,VLOOKUP(IYL7,#REF!,3,FALSE),VLOOKUP(IYL7,#REF!,4,FALSE)),0)</f>
        <v/>
      </c>
      <c r="IYM1">
        <f>IFERROR(IF((ISBLANK(VLOOKUP(IYM7,#REF!,4,FALSE)))=TRUE,VLOOKUP(IYM7,#REF!,3,FALSE),VLOOKUP(IYM7,#REF!,4,FALSE)),0)</f>
        <v/>
      </c>
      <c r="IYN1">
        <f>IFERROR(IF((ISBLANK(VLOOKUP(IYN7,#REF!,4,FALSE)))=TRUE,VLOOKUP(IYN7,#REF!,3,FALSE),VLOOKUP(IYN7,#REF!,4,FALSE)),0)</f>
        <v/>
      </c>
      <c r="IYO1">
        <f>IFERROR(IF((ISBLANK(VLOOKUP(IYO7,#REF!,4,FALSE)))=TRUE,VLOOKUP(IYO7,#REF!,3,FALSE),VLOOKUP(IYO7,#REF!,4,FALSE)),0)</f>
        <v/>
      </c>
      <c r="IYP1">
        <f>IFERROR(IF((ISBLANK(VLOOKUP(IYP7,#REF!,4,FALSE)))=TRUE,VLOOKUP(IYP7,#REF!,3,FALSE),VLOOKUP(IYP7,#REF!,4,FALSE)),0)</f>
        <v/>
      </c>
      <c r="IYQ1">
        <f>IFERROR(IF((ISBLANK(VLOOKUP(IYQ7,#REF!,4,FALSE)))=TRUE,VLOOKUP(IYQ7,#REF!,3,FALSE),VLOOKUP(IYQ7,#REF!,4,FALSE)),0)</f>
        <v/>
      </c>
      <c r="IYR1">
        <f>IFERROR(IF((ISBLANK(VLOOKUP(IYR7,#REF!,4,FALSE)))=TRUE,VLOOKUP(IYR7,#REF!,3,FALSE),VLOOKUP(IYR7,#REF!,4,FALSE)),0)</f>
        <v/>
      </c>
      <c r="IYS1">
        <f>IFERROR(IF((ISBLANK(VLOOKUP(IYS7,#REF!,4,FALSE)))=TRUE,VLOOKUP(IYS7,#REF!,3,FALSE),VLOOKUP(IYS7,#REF!,4,FALSE)),0)</f>
        <v/>
      </c>
      <c r="IYT1">
        <f>IFERROR(IF((ISBLANK(VLOOKUP(IYT7,#REF!,4,FALSE)))=TRUE,VLOOKUP(IYT7,#REF!,3,FALSE),VLOOKUP(IYT7,#REF!,4,FALSE)),0)</f>
        <v/>
      </c>
      <c r="IYU1">
        <f>IFERROR(IF((ISBLANK(VLOOKUP(IYU7,#REF!,4,FALSE)))=TRUE,VLOOKUP(IYU7,#REF!,3,FALSE),VLOOKUP(IYU7,#REF!,4,FALSE)),0)</f>
        <v/>
      </c>
      <c r="IYV1">
        <f>IFERROR(IF((ISBLANK(VLOOKUP(IYV7,#REF!,4,FALSE)))=TRUE,VLOOKUP(IYV7,#REF!,3,FALSE),VLOOKUP(IYV7,#REF!,4,FALSE)),0)</f>
        <v/>
      </c>
      <c r="IYW1">
        <f>IFERROR(IF((ISBLANK(VLOOKUP(IYW7,#REF!,4,FALSE)))=TRUE,VLOOKUP(IYW7,#REF!,3,FALSE),VLOOKUP(IYW7,#REF!,4,FALSE)),0)</f>
        <v/>
      </c>
      <c r="IYX1">
        <f>IFERROR(IF((ISBLANK(VLOOKUP(IYX7,#REF!,4,FALSE)))=TRUE,VLOOKUP(IYX7,#REF!,3,FALSE),VLOOKUP(IYX7,#REF!,4,FALSE)),0)</f>
        <v/>
      </c>
      <c r="IYY1">
        <f>IFERROR(IF((ISBLANK(VLOOKUP(IYY7,#REF!,4,FALSE)))=TRUE,VLOOKUP(IYY7,#REF!,3,FALSE),VLOOKUP(IYY7,#REF!,4,FALSE)),0)</f>
        <v/>
      </c>
      <c r="IYZ1">
        <f>IFERROR(IF((ISBLANK(VLOOKUP(IYZ7,#REF!,4,FALSE)))=TRUE,VLOOKUP(IYZ7,#REF!,3,FALSE),VLOOKUP(IYZ7,#REF!,4,FALSE)),0)</f>
        <v/>
      </c>
      <c r="IZA1">
        <f>IFERROR(IF((ISBLANK(VLOOKUP(IZA7,#REF!,4,FALSE)))=TRUE,VLOOKUP(IZA7,#REF!,3,FALSE),VLOOKUP(IZA7,#REF!,4,FALSE)),0)</f>
        <v/>
      </c>
      <c r="IZB1">
        <f>IFERROR(IF((ISBLANK(VLOOKUP(IZB7,#REF!,4,FALSE)))=TRUE,VLOOKUP(IZB7,#REF!,3,FALSE),VLOOKUP(IZB7,#REF!,4,FALSE)),0)</f>
        <v/>
      </c>
      <c r="IZC1">
        <f>IFERROR(IF((ISBLANK(VLOOKUP(IZC7,#REF!,4,FALSE)))=TRUE,VLOOKUP(IZC7,#REF!,3,FALSE),VLOOKUP(IZC7,#REF!,4,FALSE)),0)</f>
        <v/>
      </c>
      <c r="IZD1">
        <f>IFERROR(IF((ISBLANK(VLOOKUP(IZD7,#REF!,4,FALSE)))=TRUE,VLOOKUP(IZD7,#REF!,3,FALSE),VLOOKUP(IZD7,#REF!,4,FALSE)),0)</f>
        <v/>
      </c>
      <c r="IZE1">
        <f>IFERROR(IF((ISBLANK(VLOOKUP(IZE7,#REF!,4,FALSE)))=TRUE,VLOOKUP(IZE7,#REF!,3,FALSE),VLOOKUP(IZE7,#REF!,4,FALSE)),0)</f>
        <v/>
      </c>
      <c r="IZF1">
        <f>IFERROR(IF((ISBLANK(VLOOKUP(IZF7,#REF!,4,FALSE)))=TRUE,VLOOKUP(IZF7,#REF!,3,FALSE),VLOOKUP(IZF7,#REF!,4,FALSE)),0)</f>
        <v/>
      </c>
      <c r="IZG1">
        <f>IFERROR(IF((ISBLANK(VLOOKUP(IZG7,#REF!,4,FALSE)))=TRUE,VLOOKUP(IZG7,#REF!,3,FALSE),VLOOKUP(IZG7,#REF!,4,FALSE)),0)</f>
        <v/>
      </c>
      <c r="IZH1">
        <f>IFERROR(IF((ISBLANK(VLOOKUP(IZH7,#REF!,4,FALSE)))=TRUE,VLOOKUP(IZH7,#REF!,3,FALSE),VLOOKUP(IZH7,#REF!,4,FALSE)),0)</f>
        <v/>
      </c>
      <c r="IZI1">
        <f>IFERROR(IF((ISBLANK(VLOOKUP(IZI7,#REF!,4,FALSE)))=TRUE,VLOOKUP(IZI7,#REF!,3,FALSE),VLOOKUP(IZI7,#REF!,4,FALSE)),0)</f>
        <v/>
      </c>
      <c r="IZJ1">
        <f>IFERROR(IF((ISBLANK(VLOOKUP(IZJ7,#REF!,4,FALSE)))=TRUE,VLOOKUP(IZJ7,#REF!,3,FALSE),VLOOKUP(IZJ7,#REF!,4,FALSE)),0)</f>
        <v/>
      </c>
      <c r="IZK1">
        <f>IFERROR(IF((ISBLANK(VLOOKUP(IZK7,#REF!,4,FALSE)))=TRUE,VLOOKUP(IZK7,#REF!,3,FALSE),VLOOKUP(IZK7,#REF!,4,FALSE)),0)</f>
        <v/>
      </c>
      <c r="IZL1">
        <f>IFERROR(IF((ISBLANK(VLOOKUP(IZL7,#REF!,4,FALSE)))=TRUE,VLOOKUP(IZL7,#REF!,3,FALSE),VLOOKUP(IZL7,#REF!,4,FALSE)),0)</f>
        <v/>
      </c>
      <c r="IZM1">
        <f>IFERROR(IF((ISBLANK(VLOOKUP(IZM7,#REF!,4,FALSE)))=TRUE,VLOOKUP(IZM7,#REF!,3,FALSE),VLOOKUP(IZM7,#REF!,4,FALSE)),0)</f>
        <v/>
      </c>
      <c r="IZN1">
        <f>IFERROR(IF((ISBLANK(VLOOKUP(IZN7,#REF!,4,FALSE)))=TRUE,VLOOKUP(IZN7,#REF!,3,FALSE),VLOOKUP(IZN7,#REF!,4,FALSE)),0)</f>
        <v/>
      </c>
      <c r="IZO1">
        <f>IFERROR(IF((ISBLANK(VLOOKUP(IZO7,#REF!,4,FALSE)))=TRUE,VLOOKUP(IZO7,#REF!,3,FALSE),VLOOKUP(IZO7,#REF!,4,FALSE)),0)</f>
        <v/>
      </c>
      <c r="IZP1">
        <f>IFERROR(IF((ISBLANK(VLOOKUP(IZP7,#REF!,4,FALSE)))=TRUE,VLOOKUP(IZP7,#REF!,3,FALSE),VLOOKUP(IZP7,#REF!,4,FALSE)),0)</f>
        <v/>
      </c>
      <c r="IZQ1">
        <f>IFERROR(IF((ISBLANK(VLOOKUP(IZQ7,#REF!,4,FALSE)))=TRUE,VLOOKUP(IZQ7,#REF!,3,FALSE),VLOOKUP(IZQ7,#REF!,4,FALSE)),0)</f>
        <v/>
      </c>
      <c r="IZR1">
        <f>IFERROR(IF((ISBLANK(VLOOKUP(IZR7,#REF!,4,FALSE)))=TRUE,VLOOKUP(IZR7,#REF!,3,FALSE),VLOOKUP(IZR7,#REF!,4,FALSE)),0)</f>
        <v/>
      </c>
      <c r="IZS1">
        <f>IFERROR(IF((ISBLANK(VLOOKUP(IZS7,#REF!,4,FALSE)))=TRUE,VLOOKUP(IZS7,#REF!,3,FALSE),VLOOKUP(IZS7,#REF!,4,FALSE)),0)</f>
        <v/>
      </c>
      <c r="IZT1">
        <f>IFERROR(IF((ISBLANK(VLOOKUP(IZT7,#REF!,4,FALSE)))=TRUE,VLOOKUP(IZT7,#REF!,3,FALSE),VLOOKUP(IZT7,#REF!,4,FALSE)),0)</f>
        <v/>
      </c>
      <c r="IZU1">
        <f>IFERROR(IF((ISBLANK(VLOOKUP(IZU7,#REF!,4,FALSE)))=TRUE,VLOOKUP(IZU7,#REF!,3,FALSE),VLOOKUP(IZU7,#REF!,4,FALSE)),0)</f>
        <v/>
      </c>
      <c r="IZV1">
        <f>IFERROR(IF((ISBLANK(VLOOKUP(IZV7,#REF!,4,FALSE)))=TRUE,VLOOKUP(IZV7,#REF!,3,FALSE),VLOOKUP(IZV7,#REF!,4,FALSE)),0)</f>
        <v/>
      </c>
      <c r="IZW1">
        <f>IFERROR(IF((ISBLANK(VLOOKUP(IZW7,#REF!,4,FALSE)))=TRUE,VLOOKUP(IZW7,#REF!,3,FALSE),VLOOKUP(IZW7,#REF!,4,FALSE)),0)</f>
        <v/>
      </c>
      <c r="IZX1">
        <f>IFERROR(IF((ISBLANK(VLOOKUP(IZX7,#REF!,4,FALSE)))=TRUE,VLOOKUP(IZX7,#REF!,3,FALSE),VLOOKUP(IZX7,#REF!,4,FALSE)),0)</f>
        <v/>
      </c>
      <c r="IZY1">
        <f>IFERROR(IF((ISBLANK(VLOOKUP(IZY7,#REF!,4,FALSE)))=TRUE,VLOOKUP(IZY7,#REF!,3,FALSE),VLOOKUP(IZY7,#REF!,4,FALSE)),0)</f>
        <v/>
      </c>
      <c r="IZZ1">
        <f>IFERROR(IF((ISBLANK(VLOOKUP(IZZ7,#REF!,4,FALSE)))=TRUE,VLOOKUP(IZZ7,#REF!,3,FALSE),VLOOKUP(IZZ7,#REF!,4,FALSE)),0)</f>
        <v/>
      </c>
      <c r="JAA1">
        <f>IFERROR(IF((ISBLANK(VLOOKUP(JAA7,#REF!,4,FALSE)))=TRUE,VLOOKUP(JAA7,#REF!,3,FALSE),VLOOKUP(JAA7,#REF!,4,FALSE)),0)</f>
        <v/>
      </c>
      <c r="JAB1">
        <f>IFERROR(IF((ISBLANK(VLOOKUP(JAB7,#REF!,4,FALSE)))=TRUE,VLOOKUP(JAB7,#REF!,3,FALSE),VLOOKUP(JAB7,#REF!,4,FALSE)),0)</f>
        <v/>
      </c>
      <c r="JAC1">
        <f>IFERROR(IF((ISBLANK(VLOOKUP(JAC7,#REF!,4,FALSE)))=TRUE,VLOOKUP(JAC7,#REF!,3,FALSE),VLOOKUP(JAC7,#REF!,4,FALSE)),0)</f>
        <v/>
      </c>
      <c r="JAD1">
        <f>IFERROR(IF((ISBLANK(VLOOKUP(JAD7,#REF!,4,FALSE)))=TRUE,VLOOKUP(JAD7,#REF!,3,FALSE),VLOOKUP(JAD7,#REF!,4,FALSE)),0)</f>
        <v/>
      </c>
      <c r="JAE1">
        <f>IFERROR(IF((ISBLANK(VLOOKUP(JAE7,#REF!,4,FALSE)))=TRUE,VLOOKUP(JAE7,#REF!,3,FALSE),VLOOKUP(JAE7,#REF!,4,FALSE)),0)</f>
        <v/>
      </c>
      <c r="JAF1">
        <f>IFERROR(IF((ISBLANK(VLOOKUP(JAF7,#REF!,4,FALSE)))=TRUE,VLOOKUP(JAF7,#REF!,3,FALSE),VLOOKUP(JAF7,#REF!,4,FALSE)),0)</f>
        <v/>
      </c>
      <c r="JAG1">
        <f>IFERROR(IF((ISBLANK(VLOOKUP(JAG7,#REF!,4,FALSE)))=TRUE,VLOOKUP(JAG7,#REF!,3,FALSE),VLOOKUP(JAG7,#REF!,4,FALSE)),0)</f>
        <v/>
      </c>
      <c r="JAH1">
        <f>IFERROR(IF((ISBLANK(VLOOKUP(JAH7,#REF!,4,FALSE)))=TRUE,VLOOKUP(JAH7,#REF!,3,FALSE),VLOOKUP(JAH7,#REF!,4,FALSE)),0)</f>
        <v/>
      </c>
      <c r="JAI1">
        <f>IFERROR(IF((ISBLANK(VLOOKUP(JAI7,#REF!,4,FALSE)))=TRUE,VLOOKUP(JAI7,#REF!,3,FALSE),VLOOKUP(JAI7,#REF!,4,FALSE)),0)</f>
        <v/>
      </c>
      <c r="JAJ1">
        <f>IFERROR(IF((ISBLANK(VLOOKUP(JAJ7,#REF!,4,FALSE)))=TRUE,VLOOKUP(JAJ7,#REF!,3,FALSE),VLOOKUP(JAJ7,#REF!,4,FALSE)),0)</f>
        <v/>
      </c>
      <c r="JAK1">
        <f>IFERROR(IF((ISBLANK(VLOOKUP(JAK7,#REF!,4,FALSE)))=TRUE,VLOOKUP(JAK7,#REF!,3,FALSE),VLOOKUP(JAK7,#REF!,4,FALSE)),0)</f>
        <v/>
      </c>
      <c r="JAL1">
        <f>IFERROR(IF((ISBLANK(VLOOKUP(JAL7,#REF!,4,FALSE)))=TRUE,VLOOKUP(JAL7,#REF!,3,FALSE),VLOOKUP(JAL7,#REF!,4,FALSE)),0)</f>
        <v/>
      </c>
      <c r="JAM1">
        <f>IFERROR(IF((ISBLANK(VLOOKUP(JAM7,#REF!,4,FALSE)))=TRUE,VLOOKUP(JAM7,#REF!,3,FALSE),VLOOKUP(JAM7,#REF!,4,FALSE)),0)</f>
        <v/>
      </c>
      <c r="JAN1">
        <f>IFERROR(IF((ISBLANK(VLOOKUP(JAN7,#REF!,4,FALSE)))=TRUE,VLOOKUP(JAN7,#REF!,3,FALSE),VLOOKUP(JAN7,#REF!,4,FALSE)),0)</f>
        <v/>
      </c>
      <c r="JAO1">
        <f>IFERROR(IF((ISBLANK(VLOOKUP(JAO7,#REF!,4,FALSE)))=TRUE,VLOOKUP(JAO7,#REF!,3,FALSE),VLOOKUP(JAO7,#REF!,4,FALSE)),0)</f>
        <v/>
      </c>
      <c r="JAP1">
        <f>IFERROR(IF((ISBLANK(VLOOKUP(JAP7,#REF!,4,FALSE)))=TRUE,VLOOKUP(JAP7,#REF!,3,FALSE),VLOOKUP(JAP7,#REF!,4,FALSE)),0)</f>
        <v/>
      </c>
      <c r="JAQ1">
        <f>IFERROR(IF((ISBLANK(VLOOKUP(JAQ7,#REF!,4,FALSE)))=TRUE,VLOOKUP(JAQ7,#REF!,3,FALSE),VLOOKUP(JAQ7,#REF!,4,FALSE)),0)</f>
        <v/>
      </c>
      <c r="JAR1">
        <f>IFERROR(IF((ISBLANK(VLOOKUP(JAR7,#REF!,4,FALSE)))=TRUE,VLOOKUP(JAR7,#REF!,3,FALSE),VLOOKUP(JAR7,#REF!,4,FALSE)),0)</f>
        <v/>
      </c>
      <c r="JAS1">
        <f>IFERROR(IF((ISBLANK(VLOOKUP(JAS7,#REF!,4,FALSE)))=TRUE,VLOOKUP(JAS7,#REF!,3,FALSE),VLOOKUP(JAS7,#REF!,4,FALSE)),0)</f>
        <v/>
      </c>
      <c r="JAT1">
        <f>IFERROR(IF((ISBLANK(VLOOKUP(JAT7,#REF!,4,FALSE)))=TRUE,VLOOKUP(JAT7,#REF!,3,FALSE),VLOOKUP(JAT7,#REF!,4,FALSE)),0)</f>
        <v/>
      </c>
      <c r="JAU1">
        <f>IFERROR(IF((ISBLANK(VLOOKUP(JAU7,#REF!,4,FALSE)))=TRUE,VLOOKUP(JAU7,#REF!,3,FALSE),VLOOKUP(JAU7,#REF!,4,FALSE)),0)</f>
        <v/>
      </c>
      <c r="JAV1">
        <f>IFERROR(IF((ISBLANK(VLOOKUP(JAV7,#REF!,4,FALSE)))=TRUE,VLOOKUP(JAV7,#REF!,3,FALSE),VLOOKUP(JAV7,#REF!,4,FALSE)),0)</f>
        <v/>
      </c>
      <c r="JAW1">
        <f>IFERROR(IF((ISBLANK(VLOOKUP(JAW7,#REF!,4,FALSE)))=TRUE,VLOOKUP(JAW7,#REF!,3,FALSE),VLOOKUP(JAW7,#REF!,4,FALSE)),0)</f>
        <v/>
      </c>
      <c r="JAX1">
        <f>IFERROR(IF((ISBLANK(VLOOKUP(JAX7,#REF!,4,FALSE)))=TRUE,VLOOKUP(JAX7,#REF!,3,FALSE),VLOOKUP(JAX7,#REF!,4,FALSE)),0)</f>
        <v/>
      </c>
      <c r="JAY1">
        <f>IFERROR(IF((ISBLANK(VLOOKUP(JAY7,#REF!,4,FALSE)))=TRUE,VLOOKUP(JAY7,#REF!,3,FALSE),VLOOKUP(JAY7,#REF!,4,FALSE)),0)</f>
        <v/>
      </c>
      <c r="JAZ1">
        <f>IFERROR(IF((ISBLANK(VLOOKUP(JAZ7,#REF!,4,FALSE)))=TRUE,VLOOKUP(JAZ7,#REF!,3,FALSE),VLOOKUP(JAZ7,#REF!,4,FALSE)),0)</f>
        <v/>
      </c>
      <c r="JBA1">
        <f>IFERROR(IF((ISBLANK(VLOOKUP(JBA7,#REF!,4,FALSE)))=TRUE,VLOOKUP(JBA7,#REF!,3,FALSE),VLOOKUP(JBA7,#REF!,4,FALSE)),0)</f>
        <v/>
      </c>
      <c r="JBB1">
        <f>IFERROR(IF((ISBLANK(VLOOKUP(JBB7,#REF!,4,FALSE)))=TRUE,VLOOKUP(JBB7,#REF!,3,FALSE),VLOOKUP(JBB7,#REF!,4,FALSE)),0)</f>
        <v/>
      </c>
      <c r="JBC1">
        <f>IFERROR(IF((ISBLANK(VLOOKUP(JBC7,#REF!,4,FALSE)))=TRUE,VLOOKUP(JBC7,#REF!,3,FALSE),VLOOKUP(JBC7,#REF!,4,FALSE)),0)</f>
        <v/>
      </c>
      <c r="JBD1">
        <f>IFERROR(IF((ISBLANK(VLOOKUP(JBD7,#REF!,4,FALSE)))=TRUE,VLOOKUP(JBD7,#REF!,3,FALSE),VLOOKUP(JBD7,#REF!,4,FALSE)),0)</f>
        <v/>
      </c>
      <c r="JBE1">
        <f>IFERROR(IF((ISBLANK(VLOOKUP(JBE7,#REF!,4,FALSE)))=TRUE,VLOOKUP(JBE7,#REF!,3,FALSE),VLOOKUP(JBE7,#REF!,4,FALSE)),0)</f>
        <v/>
      </c>
      <c r="JBF1">
        <f>IFERROR(IF((ISBLANK(VLOOKUP(JBF7,#REF!,4,FALSE)))=TRUE,VLOOKUP(JBF7,#REF!,3,FALSE),VLOOKUP(JBF7,#REF!,4,FALSE)),0)</f>
        <v/>
      </c>
      <c r="JBG1">
        <f>IFERROR(IF((ISBLANK(VLOOKUP(JBG7,#REF!,4,FALSE)))=TRUE,VLOOKUP(JBG7,#REF!,3,FALSE),VLOOKUP(JBG7,#REF!,4,FALSE)),0)</f>
        <v/>
      </c>
      <c r="JBH1">
        <f>IFERROR(IF((ISBLANK(VLOOKUP(JBH7,#REF!,4,FALSE)))=TRUE,VLOOKUP(JBH7,#REF!,3,FALSE),VLOOKUP(JBH7,#REF!,4,FALSE)),0)</f>
        <v/>
      </c>
      <c r="JBI1">
        <f>IFERROR(IF((ISBLANK(VLOOKUP(JBI7,#REF!,4,FALSE)))=TRUE,VLOOKUP(JBI7,#REF!,3,FALSE),VLOOKUP(JBI7,#REF!,4,FALSE)),0)</f>
        <v/>
      </c>
      <c r="JBJ1">
        <f>IFERROR(IF((ISBLANK(VLOOKUP(JBJ7,#REF!,4,FALSE)))=TRUE,VLOOKUP(JBJ7,#REF!,3,FALSE),VLOOKUP(JBJ7,#REF!,4,FALSE)),0)</f>
        <v/>
      </c>
      <c r="JBK1">
        <f>IFERROR(IF((ISBLANK(VLOOKUP(JBK7,#REF!,4,FALSE)))=TRUE,VLOOKUP(JBK7,#REF!,3,FALSE),VLOOKUP(JBK7,#REF!,4,FALSE)),0)</f>
        <v/>
      </c>
      <c r="JBL1">
        <f>IFERROR(IF((ISBLANK(VLOOKUP(JBL7,#REF!,4,FALSE)))=TRUE,VLOOKUP(JBL7,#REF!,3,FALSE),VLOOKUP(JBL7,#REF!,4,FALSE)),0)</f>
        <v/>
      </c>
      <c r="JBM1">
        <f>IFERROR(IF((ISBLANK(VLOOKUP(JBM7,#REF!,4,FALSE)))=TRUE,VLOOKUP(JBM7,#REF!,3,FALSE),VLOOKUP(JBM7,#REF!,4,FALSE)),0)</f>
        <v/>
      </c>
      <c r="JBN1">
        <f>IFERROR(IF((ISBLANK(VLOOKUP(JBN7,#REF!,4,FALSE)))=TRUE,VLOOKUP(JBN7,#REF!,3,FALSE),VLOOKUP(JBN7,#REF!,4,FALSE)),0)</f>
        <v/>
      </c>
      <c r="JBO1">
        <f>IFERROR(IF((ISBLANK(VLOOKUP(JBO7,#REF!,4,FALSE)))=TRUE,VLOOKUP(JBO7,#REF!,3,FALSE),VLOOKUP(JBO7,#REF!,4,FALSE)),0)</f>
        <v/>
      </c>
      <c r="JBP1">
        <f>IFERROR(IF((ISBLANK(VLOOKUP(JBP7,#REF!,4,FALSE)))=TRUE,VLOOKUP(JBP7,#REF!,3,FALSE),VLOOKUP(JBP7,#REF!,4,FALSE)),0)</f>
        <v/>
      </c>
      <c r="JBQ1">
        <f>IFERROR(IF((ISBLANK(VLOOKUP(JBQ7,#REF!,4,FALSE)))=TRUE,VLOOKUP(JBQ7,#REF!,3,FALSE),VLOOKUP(JBQ7,#REF!,4,FALSE)),0)</f>
        <v/>
      </c>
      <c r="JBR1">
        <f>IFERROR(IF((ISBLANK(VLOOKUP(JBR7,#REF!,4,FALSE)))=TRUE,VLOOKUP(JBR7,#REF!,3,FALSE),VLOOKUP(JBR7,#REF!,4,FALSE)),0)</f>
        <v/>
      </c>
      <c r="JBS1">
        <f>IFERROR(IF((ISBLANK(VLOOKUP(JBS7,#REF!,4,FALSE)))=TRUE,VLOOKUP(JBS7,#REF!,3,FALSE),VLOOKUP(JBS7,#REF!,4,FALSE)),0)</f>
        <v/>
      </c>
      <c r="JBT1">
        <f>IFERROR(IF((ISBLANK(VLOOKUP(JBT7,#REF!,4,FALSE)))=TRUE,VLOOKUP(JBT7,#REF!,3,FALSE),VLOOKUP(JBT7,#REF!,4,FALSE)),0)</f>
        <v/>
      </c>
      <c r="JBU1">
        <f>IFERROR(IF((ISBLANK(VLOOKUP(JBU7,#REF!,4,FALSE)))=TRUE,VLOOKUP(JBU7,#REF!,3,FALSE),VLOOKUP(JBU7,#REF!,4,FALSE)),0)</f>
        <v/>
      </c>
      <c r="JBV1">
        <f>IFERROR(IF((ISBLANK(VLOOKUP(JBV7,#REF!,4,FALSE)))=TRUE,VLOOKUP(JBV7,#REF!,3,FALSE),VLOOKUP(JBV7,#REF!,4,FALSE)),0)</f>
        <v/>
      </c>
      <c r="JBW1">
        <f>IFERROR(IF((ISBLANK(VLOOKUP(JBW7,#REF!,4,FALSE)))=TRUE,VLOOKUP(JBW7,#REF!,3,FALSE),VLOOKUP(JBW7,#REF!,4,FALSE)),0)</f>
        <v/>
      </c>
      <c r="JBX1">
        <f>IFERROR(IF((ISBLANK(VLOOKUP(JBX7,#REF!,4,FALSE)))=TRUE,VLOOKUP(JBX7,#REF!,3,FALSE),VLOOKUP(JBX7,#REF!,4,FALSE)),0)</f>
        <v/>
      </c>
      <c r="JBY1">
        <f>IFERROR(IF((ISBLANK(VLOOKUP(JBY7,#REF!,4,FALSE)))=TRUE,VLOOKUP(JBY7,#REF!,3,FALSE),VLOOKUP(JBY7,#REF!,4,FALSE)),0)</f>
        <v/>
      </c>
      <c r="JBZ1">
        <f>IFERROR(IF((ISBLANK(VLOOKUP(JBZ7,#REF!,4,FALSE)))=TRUE,VLOOKUP(JBZ7,#REF!,3,FALSE),VLOOKUP(JBZ7,#REF!,4,FALSE)),0)</f>
        <v/>
      </c>
      <c r="JCA1">
        <f>IFERROR(IF((ISBLANK(VLOOKUP(JCA7,#REF!,4,FALSE)))=TRUE,VLOOKUP(JCA7,#REF!,3,FALSE),VLOOKUP(JCA7,#REF!,4,FALSE)),0)</f>
        <v/>
      </c>
      <c r="JCB1">
        <f>IFERROR(IF((ISBLANK(VLOOKUP(JCB7,#REF!,4,FALSE)))=TRUE,VLOOKUP(JCB7,#REF!,3,FALSE),VLOOKUP(JCB7,#REF!,4,FALSE)),0)</f>
        <v/>
      </c>
      <c r="JCC1">
        <f>IFERROR(IF((ISBLANK(VLOOKUP(JCC7,#REF!,4,FALSE)))=TRUE,VLOOKUP(JCC7,#REF!,3,FALSE),VLOOKUP(JCC7,#REF!,4,FALSE)),0)</f>
        <v/>
      </c>
      <c r="JCD1">
        <f>IFERROR(IF((ISBLANK(VLOOKUP(JCD7,#REF!,4,FALSE)))=TRUE,VLOOKUP(JCD7,#REF!,3,FALSE),VLOOKUP(JCD7,#REF!,4,FALSE)),0)</f>
        <v/>
      </c>
      <c r="JCE1">
        <f>IFERROR(IF((ISBLANK(VLOOKUP(JCE7,#REF!,4,FALSE)))=TRUE,VLOOKUP(JCE7,#REF!,3,FALSE),VLOOKUP(JCE7,#REF!,4,FALSE)),0)</f>
        <v/>
      </c>
      <c r="JCF1">
        <f>IFERROR(IF((ISBLANK(VLOOKUP(JCF7,#REF!,4,FALSE)))=TRUE,VLOOKUP(JCF7,#REF!,3,FALSE),VLOOKUP(JCF7,#REF!,4,FALSE)),0)</f>
        <v/>
      </c>
      <c r="JCG1">
        <f>IFERROR(IF((ISBLANK(VLOOKUP(JCG7,#REF!,4,FALSE)))=TRUE,VLOOKUP(JCG7,#REF!,3,FALSE),VLOOKUP(JCG7,#REF!,4,FALSE)),0)</f>
        <v/>
      </c>
      <c r="JCH1">
        <f>IFERROR(IF((ISBLANK(VLOOKUP(JCH7,#REF!,4,FALSE)))=TRUE,VLOOKUP(JCH7,#REF!,3,FALSE),VLOOKUP(JCH7,#REF!,4,FALSE)),0)</f>
        <v/>
      </c>
      <c r="JCI1">
        <f>IFERROR(IF((ISBLANK(VLOOKUP(JCI7,#REF!,4,FALSE)))=TRUE,VLOOKUP(JCI7,#REF!,3,FALSE),VLOOKUP(JCI7,#REF!,4,FALSE)),0)</f>
        <v/>
      </c>
      <c r="JCJ1">
        <f>IFERROR(IF((ISBLANK(VLOOKUP(JCJ7,#REF!,4,FALSE)))=TRUE,VLOOKUP(JCJ7,#REF!,3,FALSE),VLOOKUP(JCJ7,#REF!,4,FALSE)),0)</f>
        <v/>
      </c>
      <c r="JCK1">
        <f>IFERROR(IF((ISBLANK(VLOOKUP(JCK7,#REF!,4,FALSE)))=TRUE,VLOOKUP(JCK7,#REF!,3,FALSE),VLOOKUP(JCK7,#REF!,4,FALSE)),0)</f>
        <v/>
      </c>
      <c r="JCL1">
        <f>IFERROR(IF((ISBLANK(VLOOKUP(JCL7,#REF!,4,FALSE)))=TRUE,VLOOKUP(JCL7,#REF!,3,FALSE),VLOOKUP(JCL7,#REF!,4,FALSE)),0)</f>
        <v/>
      </c>
      <c r="JCM1">
        <f>IFERROR(IF((ISBLANK(VLOOKUP(JCM7,#REF!,4,FALSE)))=TRUE,VLOOKUP(JCM7,#REF!,3,FALSE),VLOOKUP(JCM7,#REF!,4,FALSE)),0)</f>
        <v/>
      </c>
      <c r="JCN1">
        <f>IFERROR(IF((ISBLANK(VLOOKUP(JCN7,#REF!,4,FALSE)))=TRUE,VLOOKUP(JCN7,#REF!,3,FALSE),VLOOKUP(JCN7,#REF!,4,FALSE)),0)</f>
        <v/>
      </c>
      <c r="JCO1">
        <f>IFERROR(IF((ISBLANK(VLOOKUP(JCO7,#REF!,4,FALSE)))=TRUE,VLOOKUP(JCO7,#REF!,3,FALSE),VLOOKUP(JCO7,#REF!,4,FALSE)),0)</f>
        <v/>
      </c>
      <c r="JCP1">
        <f>IFERROR(IF((ISBLANK(VLOOKUP(JCP7,#REF!,4,FALSE)))=TRUE,VLOOKUP(JCP7,#REF!,3,FALSE),VLOOKUP(JCP7,#REF!,4,FALSE)),0)</f>
        <v/>
      </c>
      <c r="JCQ1">
        <f>IFERROR(IF((ISBLANK(VLOOKUP(JCQ7,#REF!,4,FALSE)))=TRUE,VLOOKUP(JCQ7,#REF!,3,FALSE),VLOOKUP(JCQ7,#REF!,4,FALSE)),0)</f>
        <v/>
      </c>
      <c r="JCR1">
        <f>IFERROR(IF((ISBLANK(VLOOKUP(JCR7,#REF!,4,FALSE)))=TRUE,VLOOKUP(JCR7,#REF!,3,FALSE),VLOOKUP(JCR7,#REF!,4,FALSE)),0)</f>
        <v/>
      </c>
      <c r="JCS1">
        <f>IFERROR(IF((ISBLANK(VLOOKUP(JCS7,#REF!,4,FALSE)))=TRUE,VLOOKUP(JCS7,#REF!,3,FALSE),VLOOKUP(JCS7,#REF!,4,FALSE)),0)</f>
        <v/>
      </c>
      <c r="JCT1">
        <f>IFERROR(IF((ISBLANK(VLOOKUP(JCT7,#REF!,4,FALSE)))=TRUE,VLOOKUP(JCT7,#REF!,3,FALSE),VLOOKUP(JCT7,#REF!,4,FALSE)),0)</f>
        <v/>
      </c>
      <c r="JCU1">
        <f>IFERROR(IF((ISBLANK(VLOOKUP(JCU7,#REF!,4,FALSE)))=TRUE,VLOOKUP(JCU7,#REF!,3,FALSE),VLOOKUP(JCU7,#REF!,4,FALSE)),0)</f>
        <v/>
      </c>
      <c r="JCV1">
        <f>IFERROR(IF((ISBLANK(VLOOKUP(JCV7,#REF!,4,FALSE)))=TRUE,VLOOKUP(JCV7,#REF!,3,FALSE),VLOOKUP(JCV7,#REF!,4,FALSE)),0)</f>
        <v/>
      </c>
      <c r="JCW1">
        <f>IFERROR(IF((ISBLANK(VLOOKUP(JCW7,#REF!,4,FALSE)))=TRUE,VLOOKUP(JCW7,#REF!,3,FALSE),VLOOKUP(JCW7,#REF!,4,FALSE)),0)</f>
        <v/>
      </c>
      <c r="JCX1">
        <f>IFERROR(IF((ISBLANK(VLOOKUP(JCX7,#REF!,4,FALSE)))=TRUE,VLOOKUP(JCX7,#REF!,3,FALSE),VLOOKUP(JCX7,#REF!,4,FALSE)),0)</f>
        <v/>
      </c>
      <c r="JCY1">
        <f>IFERROR(IF((ISBLANK(VLOOKUP(JCY7,#REF!,4,FALSE)))=TRUE,VLOOKUP(JCY7,#REF!,3,FALSE),VLOOKUP(JCY7,#REF!,4,FALSE)),0)</f>
        <v/>
      </c>
      <c r="JCZ1">
        <f>IFERROR(IF((ISBLANK(VLOOKUP(JCZ7,#REF!,4,FALSE)))=TRUE,VLOOKUP(JCZ7,#REF!,3,FALSE),VLOOKUP(JCZ7,#REF!,4,FALSE)),0)</f>
        <v/>
      </c>
      <c r="JDA1">
        <f>IFERROR(IF((ISBLANK(VLOOKUP(JDA7,#REF!,4,FALSE)))=TRUE,VLOOKUP(JDA7,#REF!,3,FALSE),VLOOKUP(JDA7,#REF!,4,FALSE)),0)</f>
        <v/>
      </c>
      <c r="JDB1">
        <f>IFERROR(IF((ISBLANK(VLOOKUP(JDB7,#REF!,4,FALSE)))=TRUE,VLOOKUP(JDB7,#REF!,3,FALSE),VLOOKUP(JDB7,#REF!,4,FALSE)),0)</f>
        <v/>
      </c>
      <c r="JDC1">
        <f>IFERROR(IF((ISBLANK(VLOOKUP(JDC7,#REF!,4,FALSE)))=TRUE,VLOOKUP(JDC7,#REF!,3,FALSE),VLOOKUP(JDC7,#REF!,4,FALSE)),0)</f>
        <v/>
      </c>
      <c r="JDD1">
        <f>IFERROR(IF((ISBLANK(VLOOKUP(JDD7,#REF!,4,FALSE)))=TRUE,VLOOKUP(JDD7,#REF!,3,FALSE),VLOOKUP(JDD7,#REF!,4,FALSE)),0)</f>
        <v/>
      </c>
      <c r="JDE1">
        <f>IFERROR(IF((ISBLANK(VLOOKUP(JDE7,#REF!,4,FALSE)))=TRUE,VLOOKUP(JDE7,#REF!,3,FALSE),VLOOKUP(JDE7,#REF!,4,FALSE)),0)</f>
        <v/>
      </c>
      <c r="JDF1">
        <f>IFERROR(IF((ISBLANK(VLOOKUP(JDF7,#REF!,4,FALSE)))=TRUE,VLOOKUP(JDF7,#REF!,3,FALSE),VLOOKUP(JDF7,#REF!,4,FALSE)),0)</f>
        <v/>
      </c>
      <c r="JDG1">
        <f>IFERROR(IF((ISBLANK(VLOOKUP(JDG7,#REF!,4,FALSE)))=TRUE,VLOOKUP(JDG7,#REF!,3,FALSE),VLOOKUP(JDG7,#REF!,4,FALSE)),0)</f>
        <v/>
      </c>
      <c r="JDH1">
        <f>IFERROR(IF((ISBLANK(VLOOKUP(JDH7,#REF!,4,FALSE)))=TRUE,VLOOKUP(JDH7,#REF!,3,FALSE),VLOOKUP(JDH7,#REF!,4,FALSE)),0)</f>
        <v/>
      </c>
      <c r="JDI1">
        <f>IFERROR(IF((ISBLANK(VLOOKUP(JDI7,#REF!,4,FALSE)))=TRUE,VLOOKUP(JDI7,#REF!,3,FALSE),VLOOKUP(JDI7,#REF!,4,FALSE)),0)</f>
        <v/>
      </c>
      <c r="JDJ1">
        <f>IFERROR(IF((ISBLANK(VLOOKUP(JDJ7,#REF!,4,FALSE)))=TRUE,VLOOKUP(JDJ7,#REF!,3,FALSE),VLOOKUP(JDJ7,#REF!,4,FALSE)),0)</f>
        <v/>
      </c>
      <c r="JDK1">
        <f>IFERROR(IF((ISBLANK(VLOOKUP(JDK7,#REF!,4,FALSE)))=TRUE,VLOOKUP(JDK7,#REF!,3,FALSE),VLOOKUP(JDK7,#REF!,4,FALSE)),0)</f>
        <v/>
      </c>
      <c r="JDL1">
        <f>IFERROR(IF((ISBLANK(VLOOKUP(JDL7,#REF!,4,FALSE)))=TRUE,VLOOKUP(JDL7,#REF!,3,FALSE),VLOOKUP(JDL7,#REF!,4,FALSE)),0)</f>
        <v/>
      </c>
      <c r="JDM1">
        <f>IFERROR(IF((ISBLANK(VLOOKUP(JDM7,#REF!,4,FALSE)))=TRUE,VLOOKUP(JDM7,#REF!,3,FALSE),VLOOKUP(JDM7,#REF!,4,FALSE)),0)</f>
        <v/>
      </c>
      <c r="JDN1">
        <f>IFERROR(IF((ISBLANK(VLOOKUP(JDN7,#REF!,4,FALSE)))=TRUE,VLOOKUP(JDN7,#REF!,3,FALSE),VLOOKUP(JDN7,#REF!,4,FALSE)),0)</f>
        <v/>
      </c>
      <c r="JDO1">
        <f>IFERROR(IF((ISBLANK(VLOOKUP(JDO7,#REF!,4,FALSE)))=TRUE,VLOOKUP(JDO7,#REF!,3,FALSE),VLOOKUP(JDO7,#REF!,4,FALSE)),0)</f>
        <v/>
      </c>
      <c r="JDP1">
        <f>IFERROR(IF((ISBLANK(VLOOKUP(JDP7,#REF!,4,FALSE)))=TRUE,VLOOKUP(JDP7,#REF!,3,FALSE),VLOOKUP(JDP7,#REF!,4,FALSE)),0)</f>
        <v/>
      </c>
      <c r="JDQ1">
        <f>IFERROR(IF((ISBLANK(VLOOKUP(JDQ7,#REF!,4,FALSE)))=TRUE,VLOOKUP(JDQ7,#REF!,3,FALSE),VLOOKUP(JDQ7,#REF!,4,FALSE)),0)</f>
        <v/>
      </c>
      <c r="JDR1">
        <f>IFERROR(IF((ISBLANK(VLOOKUP(JDR7,#REF!,4,FALSE)))=TRUE,VLOOKUP(JDR7,#REF!,3,FALSE),VLOOKUP(JDR7,#REF!,4,FALSE)),0)</f>
        <v/>
      </c>
      <c r="JDS1">
        <f>IFERROR(IF((ISBLANK(VLOOKUP(JDS7,#REF!,4,FALSE)))=TRUE,VLOOKUP(JDS7,#REF!,3,FALSE),VLOOKUP(JDS7,#REF!,4,FALSE)),0)</f>
        <v/>
      </c>
      <c r="JDT1">
        <f>IFERROR(IF((ISBLANK(VLOOKUP(JDT7,#REF!,4,FALSE)))=TRUE,VLOOKUP(JDT7,#REF!,3,FALSE),VLOOKUP(JDT7,#REF!,4,FALSE)),0)</f>
        <v/>
      </c>
      <c r="JDU1">
        <f>IFERROR(IF((ISBLANK(VLOOKUP(JDU7,#REF!,4,FALSE)))=TRUE,VLOOKUP(JDU7,#REF!,3,FALSE),VLOOKUP(JDU7,#REF!,4,FALSE)),0)</f>
        <v/>
      </c>
      <c r="JDV1">
        <f>IFERROR(IF((ISBLANK(VLOOKUP(JDV7,#REF!,4,FALSE)))=TRUE,VLOOKUP(JDV7,#REF!,3,FALSE),VLOOKUP(JDV7,#REF!,4,FALSE)),0)</f>
        <v/>
      </c>
      <c r="JDW1">
        <f>IFERROR(IF((ISBLANK(VLOOKUP(JDW7,#REF!,4,FALSE)))=TRUE,VLOOKUP(JDW7,#REF!,3,FALSE),VLOOKUP(JDW7,#REF!,4,FALSE)),0)</f>
        <v/>
      </c>
      <c r="JDX1">
        <f>IFERROR(IF((ISBLANK(VLOOKUP(JDX7,#REF!,4,FALSE)))=TRUE,VLOOKUP(JDX7,#REF!,3,FALSE),VLOOKUP(JDX7,#REF!,4,FALSE)),0)</f>
        <v/>
      </c>
      <c r="JDY1">
        <f>IFERROR(IF((ISBLANK(VLOOKUP(JDY7,#REF!,4,FALSE)))=TRUE,VLOOKUP(JDY7,#REF!,3,FALSE),VLOOKUP(JDY7,#REF!,4,FALSE)),0)</f>
        <v/>
      </c>
      <c r="JDZ1">
        <f>IFERROR(IF((ISBLANK(VLOOKUP(JDZ7,#REF!,4,FALSE)))=TRUE,VLOOKUP(JDZ7,#REF!,3,FALSE),VLOOKUP(JDZ7,#REF!,4,FALSE)),0)</f>
        <v/>
      </c>
      <c r="JEA1">
        <f>IFERROR(IF((ISBLANK(VLOOKUP(JEA7,#REF!,4,FALSE)))=TRUE,VLOOKUP(JEA7,#REF!,3,FALSE),VLOOKUP(JEA7,#REF!,4,FALSE)),0)</f>
        <v/>
      </c>
      <c r="JEB1">
        <f>IFERROR(IF((ISBLANK(VLOOKUP(JEB7,#REF!,4,FALSE)))=TRUE,VLOOKUP(JEB7,#REF!,3,FALSE),VLOOKUP(JEB7,#REF!,4,FALSE)),0)</f>
        <v/>
      </c>
      <c r="JEC1">
        <f>IFERROR(IF((ISBLANK(VLOOKUP(JEC7,#REF!,4,FALSE)))=TRUE,VLOOKUP(JEC7,#REF!,3,FALSE),VLOOKUP(JEC7,#REF!,4,FALSE)),0)</f>
        <v/>
      </c>
      <c r="JED1">
        <f>IFERROR(IF((ISBLANK(VLOOKUP(JED7,#REF!,4,FALSE)))=TRUE,VLOOKUP(JED7,#REF!,3,FALSE),VLOOKUP(JED7,#REF!,4,FALSE)),0)</f>
        <v/>
      </c>
      <c r="JEE1">
        <f>IFERROR(IF((ISBLANK(VLOOKUP(JEE7,#REF!,4,FALSE)))=TRUE,VLOOKUP(JEE7,#REF!,3,FALSE),VLOOKUP(JEE7,#REF!,4,FALSE)),0)</f>
        <v/>
      </c>
      <c r="JEF1">
        <f>IFERROR(IF((ISBLANK(VLOOKUP(JEF7,#REF!,4,FALSE)))=TRUE,VLOOKUP(JEF7,#REF!,3,FALSE),VLOOKUP(JEF7,#REF!,4,FALSE)),0)</f>
        <v/>
      </c>
      <c r="JEG1">
        <f>IFERROR(IF((ISBLANK(VLOOKUP(JEG7,#REF!,4,FALSE)))=TRUE,VLOOKUP(JEG7,#REF!,3,FALSE),VLOOKUP(JEG7,#REF!,4,FALSE)),0)</f>
        <v/>
      </c>
      <c r="JEH1">
        <f>IFERROR(IF((ISBLANK(VLOOKUP(JEH7,#REF!,4,FALSE)))=TRUE,VLOOKUP(JEH7,#REF!,3,FALSE),VLOOKUP(JEH7,#REF!,4,FALSE)),0)</f>
        <v/>
      </c>
      <c r="JEI1">
        <f>IFERROR(IF((ISBLANK(VLOOKUP(JEI7,#REF!,4,FALSE)))=TRUE,VLOOKUP(JEI7,#REF!,3,FALSE),VLOOKUP(JEI7,#REF!,4,FALSE)),0)</f>
        <v/>
      </c>
      <c r="JEJ1">
        <f>IFERROR(IF((ISBLANK(VLOOKUP(JEJ7,#REF!,4,FALSE)))=TRUE,VLOOKUP(JEJ7,#REF!,3,FALSE),VLOOKUP(JEJ7,#REF!,4,FALSE)),0)</f>
        <v/>
      </c>
      <c r="JEK1">
        <f>IFERROR(IF((ISBLANK(VLOOKUP(JEK7,#REF!,4,FALSE)))=TRUE,VLOOKUP(JEK7,#REF!,3,FALSE),VLOOKUP(JEK7,#REF!,4,FALSE)),0)</f>
        <v/>
      </c>
      <c r="JEL1">
        <f>IFERROR(IF((ISBLANK(VLOOKUP(JEL7,#REF!,4,FALSE)))=TRUE,VLOOKUP(JEL7,#REF!,3,FALSE),VLOOKUP(JEL7,#REF!,4,FALSE)),0)</f>
        <v/>
      </c>
      <c r="JEM1">
        <f>IFERROR(IF((ISBLANK(VLOOKUP(JEM7,#REF!,4,FALSE)))=TRUE,VLOOKUP(JEM7,#REF!,3,FALSE),VLOOKUP(JEM7,#REF!,4,FALSE)),0)</f>
        <v/>
      </c>
      <c r="JEN1">
        <f>IFERROR(IF((ISBLANK(VLOOKUP(JEN7,#REF!,4,FALSE)))=TRUE,VLOOKUP(JEN7,#REF!,3,FALSE),VLOOKUP(JEN7,#REF!,4,FALSE)),0)</f>
        <v/>
      </c>
      <c r="JEO1">
        <f>IFERROR(IF((ISBLANK(VLOOKUP(JEO7,#REF!,4,FALSE)))=TRUE,VLOOKUP(JEO7,#REF!,3,FALSE),VLOOKUP(JEO7,#REF!,4,FALSE)),0)</f>
        <v/>
      </c>
      <c r="JEP1">
        <f>IFERROR(IF((ISBLANK(VLOOKUP(JEP7,#REF!,4,FALSE)))=TRUE,VLOOKUP(JEP7,#REF!,3,FALSE),VLOOKUP(JEP7,#REF!,4,FALSE)),0)</f>
        <v/>
      </c>
      <c r="JEQ1">
        <f>IFERROR(IF((ISBLANK(VLOOKUP(JEQ7,#REF!,4,FALSE)))=TRUE,VLOOKUP(JEQ7,#REF!,3,FALSE),VLOOKUP(JEQ7,#REF!,4,FALSE)),0)</f>
        <v/>
      </c>
      <c r="JER1">
        <f>IFERROR(IF((ISBLANK(VLOOKUP(JER7,#REF!,4,FALSE)))=TRUE,VLOOKUP(JER7,#REF!,3,FALSE),VLOOKUP(JER7,#REF!,4,FALSE)),0)</f>
        <v/>
      </c>
      <c r="JES1">
        <f>IFERROR(IF((ISBLANK(VLOOKUP(JES7,#REF!,4,FALSE)))=TRUE,VLOOKUP(JES7,#REF!,3,FALSE),VLOOKUP(JES7,#REF!,4,FALSE)),0)</f>
        <v/>
      </c>
      <c r="JET1">
        <f>IFERROR(IF((ISBLANK(VLOOKUP(JET7,#REF!,4,FALSE)))=TRUE,VLOOKUP(JET7,#REF!,3,FALSE),VLOOKUP(JET7,#REF!,4,FALSE)),0)</f>
        <v/>
      </c>
      <c r="JEU1">
        <f>IFERROR(IF((ISBLANK(VLOOKUP(JEU7,#REF!,4,FALSE)))=TRUE,VLOOKUP(JEU7,#REF!,3,FALSE),VLOOKUP(JEU7,#REF!,4,FALSE)),0)</f>
        <v/>
      </c>
      <c r="JEV1">
        <f>IFERROR(IF((ISBLANK(VLOOKUP(JEV7,#REF!,4,FALSE)))=TRUE,VLOOKUP(JEV7,#REF!,3,FALSE),VLOOKUP(JEV7,#REF!,4,FALSE)),0)</f>
        <v/>
      </c>
      <c r="JEW1">
        <f>IFERROR(IF((ISBLANK(VLOOKUP(JEW7,#REF!,4,FALSE)))=TRUE,VLOOKUP(JEW7,#REF!,3,FALSE),VLOOKUP(JEW7,#REF!,4,FALSE)),0)</f>
        <v/>
      </c>
      <c r="JEX1">
        <f>IFERROR(IF((ISBLANK(VLOOKUP(JEX7,#REF!,4,FALSE)))=TRUE,VLOOKUP(JEX7,#REF!,3,FALSE),VLOOKUP(JEX7,#REF!,4,FALSE)),0)</f>
        <v/>
      </c>
      <c r="JEY1">
        <f>IFERROR(IF((ISBLANK(VLOOKUP(JEY7,#REF!,4,FALSE)))=TRUE,VLOOKUP(JEY7,#REF!,3,FALSE),VLOOKUP(JEY7,#REF!,4,FALSE)),0)</f>
        <v/>
      </c>
      <c r="JEZ1">
        <f>IFERROR(IF((ISBLANK(VLOOKUP(JEZ7,#REF!,4,FALSE)))=TRUE,VLOOKUP(JEZ7,#REF!,3,FALSE),VLOOKUP(JEZ7,#REF!,4,FALSE)),0)</f>
        <v/>
      </c>
      <c r="JFA1">
        <f>IFERROR(IF((ISBLANK(VLOOKUP(JFA7,#REF!,4,FALSE)))=TRUE,VLOOKUP(JFA7,#REF!,3,FALSE),VLOOKUP(JFA7,#REF!,4,FALSE)),0)</f>
        <v/>
      </c>
      <c r="JFB1">
        <f>IFERROR(IF((ISBLANK(VLOOKUP(JFB7,#REF!,4,FALSE)))=TRUE,VLOOKUP(JFB7,#REF!,3,FALSE),VLOOKUP(JFB7,#REF!,4,FALSE)),0)</f>
        <v/>
      </c>
      <c r="JFC1">
        <f>IFERROR(IF((ISBLANK(VLOOKUP(JFC7,#REF!,4,FALSE)))=TRUE,VLOOKUP(JFC7,#REF!,3,FALSE),VLOOKUP(JFC7,#REF!,4,FALSE)),0)</f>
        <v/>
      </c>
      <c r="JFD1">
        <f>IFERROR(IF((ISBLANK(VLOOKUP(JFD7,#REF!,4,FALSE)))=TRUE,VLOOKUP(JFD7,#REF!,3,FALSE),VLOOKUP(JFD7,#REF!,4,FALSE)),0)</f>
        <v/>
      </c>
      <c r="JFE1">
        <f>IFERROR(IF((ISBLANK(VLOOKUP(JFE7,#REF!,4,FALSE)))=TRUE,VLOOKUP(JFE7,#REF!,3,FALSE),VLOOKUP(JFE7,#REF!,4,FALSE)),0)</f>
        <v/>
      </c>
      <c r="JFF1">
        <f>IFERROR(IF((ISBLANK(VLOOKUP(JFF7,#REF!,4,FALSE)))=TRUE,VLOOKUP(JFF7,#REF!,3,FALSE),VLOOKUP(JFF7,#REF!,4,FALSE)),0)</f>
        <v/>
      </c>
      <c r="JFG1">
        <f>IFERROR(IF((ISBLANK(VLOOKUP(JFG7,#REF!,4,FALSE)))=TRUE,VLOOKUP(JFG7,#REF!,3,FALSE),VLOOKUP(JFG7,#REF!,4,FALSE)),0)</f>
        <v/>
      </c>
      <c r="JFH1">
        <f>IF(#REF!="Skip to main content","FILED","NOT FILED")</f>
        <v/>
      </c>
      <c r="JFI1">
        <f>RIGHT(#REF!,2)</f>
        <v/>
      </c>
      <c r="JFJ1">
        <f>IFERROR(VLOOKUP(RIGHT(#REF!,6),#REF!,2,FALSE),0)</f>
        <v/>
      </c>
      <c r="JFK1">
        <f>IFERROR(IF((ISBLANK(VLOOKUP(JFK7,#REF!,3,FALSE)))=TRUE,VLOOKUP(JFK7,#REF!,2,FALSE),VLOOKUP(JFK7,#REF!,3,FALSE)),0)</f>
        <v/>
      </c>
      <c r="JFL1">
        <f>IFERROR(IF((ISBLANK(VLOOKUP(JFL7,#REF!,3,FALSE)))=TRUE,VLOOKUP(JFL7,#REF!,2,FALSE),VLOOKUP(JFL7,#REF!,3,FALSE)),0)</f>
        <v/>
      </c>
      <c r="JFM1">
        <f>IFERROR(IF((ISBLANK(VLOOKUP(JFM7,#REF!,3,FALSE)))=TRUE,VLOOKUP(JFM7,#REF!,2,FALSE),VLOOKUP(JFM7,#REF!,3,FALSE)),0)</f>
        <v/>
      </c>
      <c r="JFN1">
        <f>IFERROR(IF((ISBLANK(VLOOKUP(JFN7,#REF!,3,FALSE)))=TRUE,VLOOKUP(JFN7,#REF!,2,FALSE),VLOOKUP(JFN7,#REF!,3,FALSE)),0)</f>
        <v/>
      </c>
      <c r="JFO1">
        <f>IFERROR(IF((ISBLANK(VLOOKUP(JFO7,#REF!,3,FALSE)))=TRUE,VLOOKUP(JFO7,#REF!,2,FALSE),VLOOKUP(JFO7,#REF!,3,FALSE)),0)</f>
        <v/>
      </c>
      <c r="JFP1">
        <f>IFERROR(IF((ISBLANK(VLOOKUP(JFP7,#REF!,3,FALSE)))=TRUE,VLOOKUP(JFP7,#REF!,2,FALSE),VLOOKUP(JFP7,#REF!,3,FALSE)),0)</f>
        <v/>
      </c>
      <c r="JFQ1">
        <f>IFERROR(IF((ISBLANK(VLOOKUP(JFQ7,#REF!,4,FALSE)))=TRUE,VLOOKUP(JFQ7,#REF!,3,FALSE),VLOOKUP(JFQ7,#REF!,4,FALSE)),0)</f>
        <v/>
      </c>
      <c r="JFR1">
        <f>IFERROR(IF((ISBLANK(VLOOKUP(JFR7,#REF!,4,FALSE)))=TRUE,VLOOKUP(JFR7,#REF!,3,FALSE),VLOOKUP(JFR7,#REF!,4,FALSE)),0)</f>
        <v/>
      </c>
      <c r="JFS1">
        <f>IFERROR(IF((ISBLANK(VLOOKUP(JFS7,#REF!,4,FALSE)))=TRUE,VLOOKUP(JFS7,#REF!,3,FALSE),VLOOKUP(JFS7,#REF!,4,FALSE)),0)</f>
        <v/>
      </c>
      <c r="JFT1">
        <f>IFERROR(IF((ISBLANK(VLOOKUP(JFT7,#REF!,4,FALSE)))=TRUE,VLOOKUP(JFT7,#REF!,3,FALSE),VLOOKUP(JFT7,#REF!,4,FALSE)),0)</f>
        <v/>
      </c>
      <c r="JFU1">
        <f>IFERROR(IF((ISBLANK(VLOOKUP(JFU7,#REF!,4,FALSE)))=TRUE,VLOOKUP(JFU7,#REF!,3,FALSE),VLOOKUP(JFU7,#REF!,4,FALSE)),0)</f>
        <v/>
      </c>
      <c r="JFV1">
        <f>IFERROR(IF((ISBLANK(VLOOKUP(JFV7,#REF!,4,FALSE)))=TRUE,VLOOKUP(JFV7,#REF!,3,FALSE),VLOOKUP(JFV7,#REF!,4,FALSE)),0)</f>
        <v/>
      </c>
      <c r="JFW1">
        <f>IFERROR(IF((ISBLANK(VLOOKUP(JFW7,#REF!,4,FALSE)))=TRUE,VLOOKUP(JFW7,#REF!,3,FALSE),VLOOKUP(JFW7,#REF!,4,FALSE)),0)</f>
        <v/>
      </c>
      <c r="JFX1">
        <f>IFERROR(IF((ISBLANK(VLOOKUP(JFX7,#REF!,4,FALSE)))=TRUE,VLOOKUP(JFX7,#REF!,3,FALSE),VLOOKUP(JFX7,#REF!,4,FALSE)),0)</f>
        <v/>
      </c>
      <c r="JFY1">
        <f>IFERROR(IF((ISBLANK(VLOOKUP(JFY7,#REF!,4,FALSE)))=TRUE,VLOOKUP(JFY7,#REF!,3,FALSE),VLOOKUP(JFY7,#REF!,4,FALSE)),0)</f>
        <v/>
      </c>
      <c r="JFZ1">
        <f>IFERROR(IF((ISBLANK(VLOOKUP(JFZ7,#REF!,4,FALSE)))=TRUE,VLOOKUP(JFZ7,#REF!,3,FALSE),VLOOKUP(JFZ7,#REF!,4,FALSE)),0)</f>
        <v/>
      </c>
      <c r="JGA1">
        <f>IFERROR(IF((ISBLANK(VLOOKUP(JGA7,#REF!,4,FALSE)))=TRUE,VLOOKUP(JGA7,#REF!,3,FALSE),VLOOKUP(JGA7,#REF!,4,FALSE)),0)</f>
        <v/>
      </c>
      <c r="JGB1">
        <f>IFERROR(IF((ISBLANK(VLOOKUP(JGB7,#REF!,4,FALSE)))=TRUE,VLOOKUP(JGB7,#REF!,3,FALSE),VLOOKUP(JGB7,#REF!,4,FALSE)),0)</f>
        <v/>
      </c>
      <c r="JGC1">
        <f>IFERROR(IF((ISBLANK(VLOOKUP(JGC7,#REF!,4,FALSE)))=TRUE,VLOOKUP(JGC7,#REF!,3,FALSE),VLOOKUP(JGC7,#REF!,4,FALSE)),0)</f>
        <v/>
      </c>
      <c r="JGD1">
        <f>IFERROR(IF((ISBLANK(VLOOKUP(JGD7,#REF!,4,FALSE)))=TRUE,VLOOKUP(JGD7,#REF!,3,FALSE),VLOOKUP(JGD7,#REF!,4,FALSE)),0)</f>
        <v/>
      </c>
      <c r="JGE1">
        <f>IFERROR(IF((ISBLANK(VLOOKUP(JGE7,#REF!,4,FALSE)))=TRUE,VLOOKUP(JGE7,#REF!,3,FALSE),VLOOKUP(JGE7,#REF!,4,FALSE)),0)</f>
        <v/>
      </c>
      <c r="JGF1">
        <f>IFERROR(IF((ISBLANK(VLOOKUP(JGF7,#REF!,4,FALSE)))=TRUE,VLOOKUP(JGF7,#REF!,3,FALSE),VLOOKUP(JGF7,#REF!,4,FALSE)),0)</f>
        <v/>
      </c>
      <c r="JGG1">
        <f>IFERROR(IF((ISBLANK(VLOOKUP(JGG7,#REF!,4,FALSE)))=TRUE,VLOOKUP(JGG7,#REF!,3,FALSE),VLOOKUP(JGG7,#REF!,4,FALSE)),0)</f>
        <v/>
      </c>
      <c r="JGH1">
        <f>IFERROR(IF((ISBLANK(VLOOKUP(JGH7,#REF!,4,FALSE)))=TRUE,VLOOKUP(JGH7,#REF!,3,FALSE),VLOOKUP(JGH7,#REF!,4,FALSE)),0)</f>
        <v/>
      </c>
      <c r="JGI1">
        <f>IFERROR(IF((ISBLANK(VLOOKUP(JGI7,#REF!,4,FALSE)))=TRUE,VLOOKUP(JGI7,#REF!,3,FALSE),VLOOKUP(JGI7,#REF!,4,FALSE)),0)</f>
        <v/>
      </c>
      <c r="JGJ1">
        <f>IFERROR(IF((ISBLANK(VLOOKUP(JGJ7,#REF!,4,FALSE)))=TRUE,VLOOKUP(JGJ7,#REF!,3,FALSE),VLOOKUP(JGJ7,#REF!,4,FALSE)),0)</f>
        <v/>
      </c>
      <c r="JGK1">
        <f>IFERROR(IF((ISBLANK(VLOOKUP(JGK7,#REF!,4,FALSE)))=TRUE,VLOOKUP(JGK7,#REF!,3,FALSE),VLOOKUP(JGK7,#REF!,4,FALSE)),0)</f>
        <v/>
      </c>
      <c r="JGL1">
        <f>IFERROR(IF((ISBLANK(VLOOKUP(JGL7,#REF!,4,FALSE)))=TRUE,VLOOKUP(JGL7,#REF!,3,FALSE),VLOOKUP(JGL7,#REF!,4,FALSE)),0)</f>
        <v/>
      </c>
      <c r="JGM1">
        <f>IFERROR(IF((ISBLANK(VLOOKUP(JGM7,#REF!,4,FALSE)))=TRUE,VLOOKUP(JGM7,#REF!,3,FALSE),VLOOKUP(JGM7,#REF!,4,FALSE)),0)</f>
        <v/>
      </c>
      <c r="JGN1">
        <f>IFERROR(IF((ISBLANK(VLOOKUP(JGN7,#REF!,4,FALSE)))=TRUE,VLOOKUP(JGN7,#REF!,3,FALSE),VLOOKUP(JGN7,#REF!,4,FALSE)),0)</f>
        <v/>
      </c>
      <c r="JGO1">
        <f>IFERROR(IF((ISBLANK(VLOOKUP(JGO7,#REF!,4,FALSE)))=TRUE,VLOOKUP(JGO7,#REF!,3,FALSE),VLOOKUP(JGO7,#REF!,4,FALSE)),0)</f>
        <v/>
      </c>
      <c r="JGP1">
        <f>IFERROR(IF((ISBLANK(VLOOKUP(JGP7,#REF!,4,FALSE)))=TRUE,VLOOKUP(JGP7,#REF!,3,FALSE),VLOOKUP(JGP7,#REF!,4,FALSE)),0)</f>
        <v/>
      </c>
      <c r="JGQ1">
        <f>IFERROR(IF((ISBLANK(VLOOKUP(JGQ7,#REF!,4,FALSE)))=TRUE,VLOOKUP(JGQ7,#REF!,3,FALSE),VLOOKUP(JGQ7,#REF!,4,FALSE)),0)</f>
        <v/>
      </c>
      <c r="JGR1">
        <f>IFERROR(IF((ISBLANK(VLOOKUP(JGR7,#REF!,4,FALSE)))=TRUE,VLOOKUP(JGR7,#REF!,3,FALSE),VLOOKUP(JGR7,#REF!,4,FALSE)),0)</f>
        <v/>
      </c>
      <c r="JGS1">
        <f>IFERROR(IF((ISBLANK(VLOOKUP(JGS7,#REF!,4,FALSE)))=TRUE,VLOOKUP(JGS7,#REF!,3,FALSE),VLOOKUP(JGS7,#REF!,4,FALSE)),0)</f>
        <v/>
      </c>
      <c r="JGT1">
        <f>IFERROR(IF((ISBLANK(VLOOKUP(JGT7,#REF!,4,FALSE)))=TRUE,VLOOKUP(JGT7,#REF!,3,FALSE),VLOOKUP(JGT7,#REF!,4,FALSE)),0)</f>
        <v/>
      </c>
      <c r="JGU1">
        <f>IFERROR(IF((ISBLANK(VLOOKUP(JGU7,#REF!,4,FALSE)))=TRUE,VLOOKUP(JGU7,#REF!,3,FALSE),VLOOKUP(JGU7,#REF!,4,FALSE)),0)</f>
        <v/>
      </c>
      <c r="JGV1">
        <f>IFERROR(IF((ISBLANK(VLOOKUP(JGV7,#REF!,4,FALSE)))=TRUE,VLOOKUP(JGV7,#REF!,3,FALSE),VLOOKUP(JGV7,#REF!,4,FALSE)),0)</f>
        <v/>
      </c>
      <c r="JGW1">
        <f>IFERROR(IF((ISBLANK(VLOOKUP(JGW7,#REF!,4,FALSE)))=TRUE,VLOOKUP(JGW7,#REF!,3,FALSE),VLOOKUP(JGW7,#REF!,4,FALSE)),0)</f>
        <v/>
      </c>
      <c r="JGX1">
        <f>IFERROR(IF((ISBLANK(VLOOKUP(JGX7,#REF!,4,FALSE)))=TRUE,VLOOKUP(JGX7,#REF!,3,FALSE),VLOOKUP(JGX7,#REF!,4,FALSE)),0)</f>
        <v/>
      </c>
      <c r="JGY1">
        <f>IFERROR(IF((ISBLANK(VLOOKUP(JGY7,#REF!,4,FALSE)))=TRUE,VLOOKUP(JGY7,#REF!,3,FALSE),VLOOKUP(JGY7,#REF!,4,FALSE)),0)</f>
        <v/>
      </c>
      <c r="JGZ1">
        <f>IFERROR(IF((ISBLANK(VLOOKUP(JGZ7,#REF!,4,FALSE)))=TRUE,VLOOKUP(JGZ7,#REF!,3,FALSE),VLOOKUP(JGZ7,#REF!,4,FALSE)),0)</f>
        <v/>
      </c>
      <c r="JHA1">
        <f>IFERROR(IF((ISBLANK(VLOOKUP(JHA7,#REF!,4,FALSE)))=TRUE,VLOOKUP(JHA7,#REF!,3,FALSE),VLOOKUP(JHA7,#REF!,4,FALSE)),0)</f>
        <v/>
      </c>
      <c r="JHB1">
        <f>IFERROR(IF((ISBLANK(VLOOKUP(JHB7,#REF!,4,FALSE)))=TRUE,VLOOKUP(JHB7,#REF!,3,FALSE),VLOOKUP(JHB7,#REF!,4,FALSE)),0)</f>
        <v/>
      </c>
      <c r="JHC1">
        <f>IFERROR(IF((ISBLANK(VLOOKUP(JHC7,#REF!,4,FALSE)))=TRUE,VLOOKUP(JHC7,#REF!,3,FALSE),VLOOKUP(JHC7,#REF!,4,FALSE)),0)</f>
        <v/>
      </c>
      <c r="JHD1">
        <f>IFERROR(IF((ISBLANK(VLOOKUP(JHD7,#REF!,4,FALSE)))=TRUE,VLOOKUP(JHD7,#REF!,3,FALSE),VLOOKUP(JHD7,#REF!,4,FALSE)),0)</f>
        <v/>
      </c>
      <c r="JHE1">
        <f>IFERROR(IF((ISBLANK(VLOOKUP(JHE7,#REF!,4,FALSE)))=TRUE,VLOOKUP(JHE7,#REF!,3,FALSE),VLOOKUP(JHE7,#REF!,4,FALSE)),0)</f>
        <v/>
      </c>
      <c r="JHF1">
        <f>IFERROR(IF((ISBLANK(VLOOKUP(JHF7,#REF!,4,FALSE)))=TRUE,VLOOKUP(JHF7,#REF!,3,FALSE),VLOOKUP(JHF7,#REF!,4,FALSE)),0)</f>
        <v/>
      </c>
      <c r="JHG1">
        <f>IFERROR(IF((ISBLANK(VLOOKUP(JHG7,#REF!,4,FALSE)))=TRUE,VLOOKUP(JHG7,#REF!,3,FALSE),VLOOKUP(JHG7,#REF!,4,FALSE)),0)</f>
        <v/>
      </c>
      <c r="JHH1">
        <f>IFERROR(IF((ISBLANK(VLOOKUP(JHH7,#REF!,4,FALSE)))=TRUE,VLOOKUP(JHH7,#REF!,3,FALSE),VLOOKUP(JHH7,#REF!,4,FALSE)),0)</f>
        <v/>
      </c>
      <c r="JHI1">
        <f>IFERROR(IF((ISBLANK(VLOOKUP(JHI7,#REF!,4,FALSE)))=TRUE,VLOOKUP(JHI7,#REF!,3,FALSE),VLOOKUP(JHI7,#REF!,4,FALSE)),0)</f>
        <v/>
      </c>
      <c r="JHJ1">
        <f>IFERROR(IF((ISBLANK(VLOOKUP(JHJ7,#REF!,4,FALSE)))=TRUE,VLOOKUP(JHJ7,#REF!,3,FALSE),VLOOKUP(JHJ7,#REF!,4,FALSE)),0)</f>
        <v/>
      </c>
      <c r="JHK1">
        <f>IFERROR(IF((ISBLANK(VLOOKUP(JHK7,#REF!,4,FALSE)))=TRUE,VLOOKUP(JHK7,#REF!,3,FALSE),VLOOKUP(JHK7,#REF!,4,FALSE)),0)</f>
        <v/>
      </c>
      <c r="JHL1">
        <f>IFERROR(IF((ISBLANK(VLOOKUP(JHL7,#REF!,4,FALSE)))=TRUE,VLOOKUP(JHL7,#REF!,3,FALSE),VLOOKUP(JHL7,#REF!,4,FALSE)),0)</f>
        <v/>
      </c>
      <c r="JHM1">
        <f>IFERROR(IF((ISBLANK(VLOOKUP(JHM7,#REF!,4,FALSE)))=TRUE,VLOOKUP(JHM7,#REF!,3,FALSE),VLOOKUP(JHM7,#REF!,4,FALSE)),0)</f>
        <v/>
      </c>
      <c r="JHN1">
        <f>IFERROR(IF((ISBLANK(VLOOKUP(JHN7,#REF!,4,FALSE)))=TRUE,VLOOKUP(JHN7,#REF!,3,FALSE),VLOOKUP(JHN7,#REF!,4,FALSE)),0)</f>
        <v/>
      </c>
      <c r="JHO1">
        <f>IFERROR(IF((ISBLANK(VLOOKUP(JHO7,#REF!,4,FALSE)))=TRUE,VLOOKUP(JHO7,#REF!,3,FALSE),VLOOKUP(JHO7,#REF!,4,FALSE)),0)</f>
        <v/>
      </c>
      <c r="JHP1">
        <f>IFERROR(IF((ISBLANK(VLOOKUP(JHP7,#REF!,4,FALSE)))=TRUE,VLOOKUP(JHP7,#REF!,3,FALSE),VLOOKUP(JHP7,#REF!,4,FALSE)),0)</f>
        <v/>
      </c>
      <c r="JHQ1">
        <f>IFERROR(IF((ISBLANK(VLOOKUP(JHQ7,#REF!,4,FALSE)))=TRUE,VLOOKUP(JHQ7,#REF!,3,FALSE),VLOOKUP(JHQ7,#REF!,4,FALSE)),0)</f>
        <v/>
      </c>
      <c r="JHR1">
        <f>IFERROR(IF((ISBLANK(VLOOKUP(JHR7,#REF!,4,FALSE)))=TRUE,VLOOKUP(JHR7,#REF!,3,FALSE),VLOOKUP(JHR7,#REF!,4,FALSE)),0)</f>
        <v/>
      </c>
      <c r="JHS1">
        <f>IFERROR(IF((ISBLANK(VLOOKUP(JHS7,#REF!,4,FALSE)))=TRUE,VLOOKUP(JHS7,#REF!,3,FALSE),VLOOKUP(JHS7,#REF!,4,FALSE)),0)</f>
        <v/>
      </c>
      <c r="JHT1">
        <f>IFERROR(IF((ISBLANK(VLOOKUP(JHT7,#REF!,4,FALSE)))=TRUE,VLOOKUP(JHT7,#REF!,3,FALSE),VLOOKUP(JHT7,#REF!,4,FALSE)),0)</f>
        <v/>
      </c>
      <c r="JHU1">
        <f>IFERROR(IF((ISBLANK(VLOOKUP(JHU7,#REF!,4,FALSE)))=TRUE,VLOOKUP(JHU7,#REF!,3,FALSE),VLOOKUP(JHU7,#REF!,4,FALSE)),0)</f>
        <v/>
      </c>
      <c r="JHV1">
        <f>IFERROR(IF((ISBLANK(VLOOKUP(JHV7,#REF!,4,FALSE)))=TRUE,VLOOKUP(JHV7,#REF!,3,FALSE),VLOOKUP(JHV7,#REF!,4,FALSE)),0)</f>
        <v/>
      </c>
      <c r="JHW1">
        <f>IFERROR(IF((ISBLANK(VLOOKUP(JHW7,#REF!,4,FALSE)))=TRUE,VLOOKUP(JHW7,#REF!,3,FALSE),VLOOKUP(JHW7,#REF!,4,FALSE)),0)</f>
        <v/>
      </c>
      <c r="JHX1">
        <f>IFERROR(IF((ISBLANK(VLOOKUP(JHX7,#REF!,4,FALSE)))=TRUE,VLOOKUP(JHX7,#REF!,3,FALSE),VLOOKUP(JHX7,#REF!,4,FALSE)),0)</f>
        <v/>
      </c>
      <c r="JHY1">
        <f>IFERROR(IF((ISBLANK(VLOOKUP(JHY7,#REF!,4,FALSE)))=TRUE,VLOOKUP(JHY7,#REF!,3,FALSE),VLOOKUP(JHY7,#REF!,4,FALSE)),0)</f>
        <v/>
      </c>
      <c r="JHZ1">
        <f>IFERROR(IF((ISBLANK(VLOOKUP(JHZ7,#REF!,4,FALSE)))=TRUE,VLOOKUP(JHZ7,#REF!,3,FALSE),VLOOKUP(JHZ7,#REF!,4,FALSE)),0)</f>
        <v/>
      </c>
      <c r="JIA1">
        <f>IFERROR(IF((ISBLANK(VLOOKUP(JIA7,#REF!,4,FALSE)))=TRUE,VLOOKUP(JIA7,#REF!,3,FALSE),VLOOKUP(JIA7,#REF!,4,FALSE)),0)</f>
        <v/>
      </c>
      <c r="JIB1">
        <f>IFERROR(IF((ISBLANK(VLOOKUP(JIB7,#REF!,4,FALSE)))=TRUE,VLOOKUP(JIB7,#REF!,3,FALSE),VLOOKUP(JIB7,#REF!,4,FALSE)),0)</f>
        <v/>
      </c>
      <c r="JIC1">
        <f>IFERROR(IF((ISBLANK(VLOOKUP(JIC7,#REF!,4,FALSE)))=TRUE,VLOOKUP(JIC7,#REF!,3,FALSE),VLOOKUP(JIC7,#REF!,4,FALSE)),0)</f>
        <v/>
      </c>
      <c r="JID1">
        <f>IFERROR(IF((ISBLANK(VLOOKUP(JID7,#REF!,4,FALSE)))=TRUE,VLOOKUP(JID7,#REF!,3,FALSE),VLOOKUP(JID7,#REF!,4,FALSE)),0)</f>
        <v/>
      </c>
      <c r="JIE1">
        <f>IFERROR(IF((ISBLANK(VLOOKUP(JIE7,#REF!,4,FALSE)))=TRUE,VLOOKUP(JIE7,#REF!,3,FALSE),VLOOKUP(JIE7,#REF!,4,FALSE)),0)</f>
        <v/>
      </c>
      <c r="JIF1">
        <f>IFERROR(IF((ISBLANK(VLOOKUP(JIF7,#REF!,4,FALSE)))=TRUE,VLOOKUP(JIF7,#REF!,3,FALSE),VLOOKUP(JIF7,#REF!,4,FALSE)),0)</f>
        <v/>
      </c>
      <c r="JIG1">
        <f>IFERROR(IF((ISBLANK(VLOOKUP(JIG7,#REF!,4,FALSE)))=TRUE,VLOOKUP(JIG7,#REF!,3,FALSE),VLOOKUP(JIG7,#REF!,4,FALSE)),0)</f>
        <v/>
      </c>
      <c r="JIH1">
        <f>IFERROR(IF((ISBLANK(VLOOKUP(JIH7,#REF!,4,FALSE)))=TRUE,VLOOKUP(JIH7,#REF!,3,FALSE),VLOOKUP(JIH7,#REF!,4,FALSE)),0)</f>
        <v/>
      </c>
      <c r="JII1">
        <f>IFERROR(IF((ISBLANK(VLOOKUP(JII7,#REF!,4,FALSE)))=TRUE,VLOOKUP(JII7,#REF!,3,FALSE),VLOOKUP(JII7,#REF!,4,FALSE)),0)</f>
        <v/>
      </c>
      <c r="JIJ1">
        <f>IFERROR(IF((ISBLANK(VLOOKUP(JIJ7,#REF!,4,FALSE)))=TRUE,VLOOKUP(JIJ7,#REF!,3,FALSE),VLOOKUP(JIJ7,#REF!,4,FALSE)),0)</f>
        <v/>
      </c>
      <c r="JIK1">
        <f>IFERROR(IF((ISBLANK(VLOOKUP(JIK7,#REF!,4,FALSE)))=TRUE,VLOOKUP(JIK7,#REF!,3,FALSE),VLOOKUP(JIK7,#REF!,4,FALSE)),0)</f>
        <v/>
      </c>
      <c r="JIL1">
        <f>IFERROR(IF((ISBLANK(VLOOKUP(JIL7,#REF!,4,FALSE)))=TRUE,VLOOKUP(JIL7,#REF!,3,FALSE),VLOOKUP(JIL7,#REF!,4,FALSE)),0)</f>
        <v/>
      </c>
      <c r="JIM1">
        <f>IFERROR(IF((ISBLANK(VLOOKUP(JIM7,#REF!,4,FALSE)))=TRUE,VLOOKUP(JIM7,#REF!,3,FALSE),VLOOKUP(JIM7,#REF!,4,FALSE)),0)</f>
        <v/>
      </c>
      <c r="JIN1">
        <f>IFERROR(IF((ISBLANK(VLOOKUP(JIN7,#REF!,4,FALSE)))=TRUE,VLOOKUP(JIN7,#REF!,3,FALSE),VLOOKUP(JIN7,#REF!,4,FALSE)),0)</f>
        <v/>
      </c>
      <c r="JIO1">
        <f>IFERROR(IF((ISBLANK(VLOOKUP(JIO7,#REF!,4,FALSE)))=TRUE,VLOOKUP(JIO7,#REF!,3,FALSE),VLOOKUP(JIO7,#REF!,4,FALSE)),0)</f>
        <v/>
      </c>
      <c r="JIP1">
        <f>IFERROR(IF((ISBLANK(VLOOKUP(JIP7,#REF!,4,FALSE)))=TRUE,VLOOKUP(JIP7,#REF!,3,FALSE),VLOOKUP(JIP7,#REF!,4,FALSE)),0)</f>
        <v/>
      </c>
      <c r="JIQ1">
        <f>IFERROR(IF((ISBLANK(VLOOKUP(JIQ7,#REF!,4,FALSE)))=TRUE,VLOOKUP(JIQ7,#REF!,3,FALSE),VLOOKUP(JIQ7,#REF!,4,FALSE)),0)</f>
        <v/>
      </c>
      <c r="JIR1">
        <f>IFERROR(IF((ISBLANK(VLOOKUP(JIR7,#REF!,4,FALSE)))=TRUE,VLOOKUP(JIR7,#REF!,3,FALSE),VLOOKUP(JIR7,#REF!,4,FALSE)),0)</f>
        <v/>
      </c>
      <c r="JIS1">
        <f>IFERROR(IF((ISBLANK(VLOOKUP(JIS7,#REF!,4,FALSE)))=TRUE,VLOOKUP(JIS7,#REF!,3,FALSE),VLOOKUP(JIS7,#REF!,4,FALSE)),0)</f>
        <v/>
      </c>
      <c r="JIT1">
        <f>IFERROR(IF((ISBLANK(VLOOKUP(JIT7,#REF!,4,FALSE)))=TRUE,VLOOKUP(JIT7,#REF!,3,FALSE),VLOOKUP(JIT7,#REF!,4,FALSE)),0)</f>
        <v/>
      </c>
      <c r="JIU1">
        <f>IFERROR(IF((ISBLANK(VLOOKUP(JIU7,#REF!,4,FALSE)))=TRUE,VLOOKUP(JIU7,#REF!,3,FALSE),VLOOKUP(JIU7,#REF!,4,FALSE)),0)</f>
        <v/>
      </c>
      <c r="JIV1">
        <f>IFERROR(IF((ISBLANK(VLOOKUP(JIV7,#REF!,4,FALSE)))=TRUE,VLOOKUP(JIV7,#REF!,3,FALSE),VLOOKUP(JIV7,#REF!,4,FALSE)),0)</f>
        <v/>
      </c>
      <c r="JIW1">
        <f>IFERROR(IF((ISBLANK(VLOOKUP(JIW7,#REF!,4,FALSE)))=TRUE,VLOOKUP(JIW7,#REF!,3,FALSE),VLOOKUP(JIW7,#REF!,4,FALSE)),0)</f>
        <v/>
      </c>
      <c r="JIX1">
        <f>IFERROR(IF((ISBLANK(VLOOKUP(JIX7,#REF!,4,FALSE)))=TRUE,VLOOKUP(JIX7,#REF!,3,FALSE),VLOOKUP(JIX7,#REF!,4,FALSE)),0)</f>
        <v/>
      </c>
      <c r="JIY1">
        <f>IFERROR(IF((ISBLANK(VLOOKUP(JIY7,#REF!,4,FALSE)))=TRUE,VLOOKUP(JIY7,#REF!,3,FALSE),VLOOKUP(JIY7,#REF!,4,FALSE)),0)</f>
        <v/>
      </c>
      <c r="JIZ1">
        <f>IFERROR(IF((ISBLANK(VLOOKUP(JIZ7,#REF!,4,FALSE)))=TRUE,VLOOKUP(JIZ7,#REF!,3,FALSE),VLOOKUP(JIZ7,#REF!,4,FALSE)),0)</f>
        <v/>
      </c>
      <c r="JJA1">
        <f>IFERROR(IF((ISBLANK(VLOOKUP(JJA7,#REF!,4,FALSE)))=TRUE,VLOOKUP(JJA7,#REF!,3,FALSE),VLOOKUP(JJA7,#REF!,4,FALSE)),0)</f>
        <v/>
      </c>
      <c r="JJB1">
        <f>IFERROR(IF((ISBLANK(VLOOKUP(JJB7,#REF!,4,FALSE)))=TRUE,VLOOKUP(JJB7,#REF!,3,FALSE),VLOOKUP(JJB7,#REF!,4,FALSE)),0)</f>
        <v/>
      </c>
      <c r="JJC1">
        <f>IFERROR(IF((ISBLANK(VLOOKUP(JJC7,#REF!,4,FALSE)))=TRUE,VLOOKUP(JJC7,#REF!,3,FALSE),VLOOKUP(JJC7,#REF!,4,FALSE)),0)</f>
        <v/>
      </c>
      <c r="JJD1">
        <f>IFERROR(IF((ISBLANK(VLOOKUP(JJD7,#REF!,4,FALSE)))=TRUE,VLOOKUP(JJD7,#REF!,3,FALSE),VLOOKUP(JJD7,#REF!,4,FALSE)),0)</f>
        <v/>
      </c>
      <c r="JJE1">
        <f>IFERROR(IF((ISBLANK(VLOOKUP(JJE7,#REF!,4,FALSE)))=TRUE,VLOOKUP(JJE7,#REF!,3,FALSE),VLOOKUP(JJE7,#REF!,4,FALSE)),0)</f>
        <v/>
      </c>
      <c r="JJF1">
        <f>IFERROR(IF((ISBLANK(VLOOKUP(JJF7,#REF!,4,FALSE)))=TRUE,VLOOKUP(JJF7,#REF!,3,FALSE),VLOOKUP(JJF7,#REF!,4,FALSE)),0)</f>
        <v/>
      </c>
      <c r="JJG1">
        <f>IFERROR(IF((ISBLANK(VLOOKUP(JJG7,#REF!,4,FALSE)))=TRUE,VLOOKUP(JJG7,#REF!,3,FALSE),VLOOKUP(JJG7,#REF!,4,FALSE)),0)</f>
        <v/>
      </c>
      <c r="JJH1">
        <f>IFERROR(IF((ISBLANK(VLOOKUP(JJH7,#REF!,4,FALSE)))=TRUE,VLOOKUP(JJH7,#REF!,3,FALSE),VLOOKUP(JJH7,#REF!,4,FALSE)),0)</f>
        <v/>
      </c>
      <c r="JJI1">
        <f>IFERROR(IF((ISBLANK(VLOOKUP(JJI7,#REF!,4,FALSE)))=TRUE,VLOOKUP(JJI7,#REF!,3,FALSE),VLOOKUP(JJI7,#REF!,4,FALSE)),0)</f>
        <v/>
      </c>
      <c r="JJJ1">
        <f>IFERROR(IF((ISBLANK(VLOOKUP(JJJ7,#REF!,4,FALSE)))=TRUE,VLOOKUP(JJJ7,#REF!,3,FALSE),VLOOKUP(JJJ7,#REF!,4,FALSE)),0)</f>
        <v/>
      </c>
      <c r="JJK1">
        <f>IFERROR(IF((ISBLANK(VLOOKUP(JJK7,#REF!,4,FALSE)))=TRUE,VLOOKUP(JJK7,#REF!,3,FALSE),VLOOKUP(JJK7,#REF!,4,FALSE)),0)</f>
        <v/>
      </c>
      <c r="JJL1">
        <f>IFERROR(IF((ISBLANK(VLOOKUP(JJL7,#REF!,4,FALSE)))=TRUE,VLOOKUP(JJL7,#REF!,3,FALSE),VLOOKUP(JJL7,#REF!,4,FALSE)),0)</f>
        <v/>
      </c>
      <c r="JJM1">
        <f>IFERROR(IF((ISBLANK(VLOOKUP(JJM7,#REF!,4,FALSE)))=TRUE,VLOOKUP(JJM7,#REF!,3,FALSE),VLOOKUP(JJM7,#REF!,4,FALSE)),0)</f>
        <v/>
      </c>
      <c r="JJN1">
        <f>IFERROR(IF((ISBLANK(VLOOKUP(JJN7,#REF!,4,FALSE)))=TRUE,VLOOKUP(JJN7,#REF!,3,FALSE),VLOOKUP(JJN7,#REF!,4,FALSE)),0)</f>
        <v/>
      </c>
      <c r="JJO1">
        <f>IFERROR(IF((ISBLANK(VLOOKUP(JJO7,#REF!,4,FALSE)))=TRUE,VLOOKUP(JJO7,#REF!,3,FALSE),VLOOKUP(JJO7,#REF!,4,FALSE)),0)</f>
        <v/>
      </c>
      <c r="JJP1">
        <f>IFERROR(IF((ISBLANK(VLOOKUP(JJP7,#REF!,4,FALSE)))=TRUE,VLOOKUP(JJP7,#REF!,3,FALSE),VLOOKUP(JJP7,#REF!,4,FALSE)),0)</f>
        <v/>
      </c>
      <c r="JJQ1">
        <f>IFERROR(IF((ISBLANK(VLOOKUP(JJQ7,#REF!,4,FALSE)))=TRUE,VLOOKUP(JJQ7,#REF!,3,FALSE),VLOOKUP(JJQ7,#REF!,4,FALSE)),0)</f>
        <v/>
      </c>
      <c r="JJR1">
        <f>IFERROR(IF((ISBLANK(VLOOKUP(JJR7,#REF!,4,FALSE)))=TRUE,VLOOKUP(JJR7,#REF!,3,FALSE),VLOOKUP(JJR7,#REF!,4,FALSE)),0)</f>
        <v/>
      </c>
      <c r="JJS1">
        <f>IFERROR(IF((ISBLANK(VLOOKUP(JJS7,#REF!,4,FALSE)))=TRUE,VLOOKUP(JJS7,#REF!,3,FALSE),VLOOKUP(JJS7,#REF!,4,FALSE)),0)</f>
        <v/>
      </c>
      <c r="JJT1">
        <f>IFERROR(IF((ISBLANK(VLOOKUP(JJT7,#REF!,4,FALSE)))=TRUE,VLOOKUP(JJT7,#REF!,3,FALSE),VLOOKUP(JJT7,#REF!,4,FALSE)),0)</f>
        <v/>
      </c>
      <c r="JJU1">
        <f>IFERROR(IF((ISBLANK(VLOOKUP(JJU7,#REF!,4,FALSE)))=TRUE,VLOOKUP(JJU7,#REF!,3,FALSE),VLOOKUP(JJU7,#REF!,4,FALSE)),0)</f>
        <v/>
      </c>
      <c r="JJV1">
        <f>IFERROR(IF((ISBLANK(VLOOKUP(JJV7,#REF!,4,FALSE)))=TRUE,VLOOKUP(JJV7,#REF!,3,FALSE),VLOOKUP(JJV7,#REF!,4,FALSE)),0)</f>
        <v/>
      </c>
      <c r="JJW1">
        <f>IFERROR(IF((ISBLANK(VLOOKUP(JJW7,#REF!,4,FALSE)))=TRUE,VLOOKUP(JJW7,#REF!,3,FALSE),VLOOKUP(JJW7,#REF!,4,FALSE)),0)</f>
        <v/>
      </c>
      <c r="JJX1">
        <f>IFERROR(IF((ISBLANK(VLOOKUP(JJX7,#REF!,4,FALSE)))=TRUE,VLOOKUP(JJX7,#REF!,3,FALSE),VLOOKUP(JJX7,#REF!,4,FALSE)),0)</f>
        <v/>
      </c>
      <c r="JJY1">
        <f>IFERROR(IF((ISBLANK(VLOOKUP(JJY7,#REF!,4,FALSE)))=TRUE,VLOOKUP(JJY7,#REF!,3,FALSE),VLOOKUP(JJY7,#REF!,4,FALSE)),0)</f>
        <v/>
      </c>
      <c r="JJZ1">
        <f>IFERROR(IF((ISBLANK(VLOOKUP(JJZ7,#REF!,4,FALSE)))=TRUE,VLOOKUP(JJZ7,#REF!,3,FALSE),VLOOKUP(JJZ7,#REF!,4,FALSE)),0)</f>
        <v/>
      </c>
      <c r="JKA1">
        <f>IFERROR(IF((ISBLANK(VLOOKUP(JKA7,#REF!,4,FALSE)))=TRUE,VLOOKUP(JKA7,#REF!,3,FALSE),VLOOKUP(JKA7,#REF!,4,FALSE)),0)</f>
        <v/>
      </c>
      <c r="JKB1">
        <f>IFERROR(IF((ISBLANK(VLOOKUP(JKB7,#REF!,4,FALSE)))=TRUE,VLOOKUP(JKB7,#REF!,3,FALSE),VLOOKUP(JKB7,#REF!,4,FALSE)),0)</f>
        <v/>
      </c>
      <c r="JKC1">
        <f>IFERROR(IF((ISBLANK(VLOOKUP(JKC7,#REF!,4,FALSE)))=TRUE,VLOOKUP(JKC7,#REF!,3,FALSE),VLOOKUP(JKC7,#REF!,4,FALSE)),0)</f>
        <v/>
      </c>
      <c r="JKD1">
        <f>IFERROR(IF((ISBLANK(VLOOKUP(JKD7,#REF!,4,FALSE)))=TRUE,VLOOKUP(JKD7,#REF!,3,FALSE),VLOOKUP(JKD7,#REF!,4,FALSE)),0)</f>
        <v/>
      </c>
      <c r="JKE1">
        <f>IFERROR(IF((ISBLANK(VLOOKUP(JKE7,#REF!,4,FALSE)))=TRUE,VLOOKUP(JKE7,#REF!,3,FALSE),VLOOKUP(JKE7,#REF!,4,FALSE)),0)</f>
        <v/>
      </c>
      <c r="JKF1">
        <f>IFERROR(IF((ISBLANK(VLOOKUP(JKF7,#REF!,4,FALSE)))=TRUE,VLOOKUP(JKF7,#REF!,3,FALSE),VLOOKUP(JKF7,#REF!,4,FALSE)),0)</f>
        <v/>
      </c>
      <c r="JKG1">
        <f>IFERROR(IF((ISBLANK(VLOOKUP(JKG7,#REF!,4,FALSE)))=TRUE,VLOOKUP(JKG7,#REF!,3,FALSE),VLOOKUP(JKG7,#REF!,4,FALSE)),0)</f>
        <v/>
      </c>
      <c r="JKH1">
        <f>IFERROR(IF((ISBLANK(VLOOKUP(JKH7,#REF!,4,FALSE)))=TRUE,VLOOKUP(JKH7,#REF!,3,FALSE),VLOOKUP(JKH7,#REF!,4,FALSE)),0)</f>
        <v/>
      </c>
      <c r="JKI1">
        <f>IFERROR(IF((ISBLANK(VLOOKUP(JKI7,#REF!,4,FALSE)))=TRUE,VLOOKUP(JKI7,#REF!,3,FALSE),VLOOKUP(JKI7,#REF!,4,FALSE)),0)</f>
        <v/>
      </c>
      <c r="JKJ1">
        <f>IFERROR(IF((ISBLANK(VLOOKUP(JKJ7,#REF!,4,FALSE)))=TRUE,VLOOKUP(JKJ7,#REF!,3,FALSE),VLOOKUP(JKJ7,#REF!,4,FALSE)),0)</f>
        <v/>
      </c>
      <c r="JKK1">
        <f>IFERROR(IF((ISBLANK(VLOOKUP(JKK7,#REF!,4,FALSE)))=TRUE,VLOOKUP(JKK7,#REF!,3,FALSE),VLOOKUP(JKK7,#REF!,4,FALSE)),0)</f>
        <v/>
      </c>
      <c r="JKL1">
        <f>IFERROR(IF((ISBLANK(VLOOKUP(JKL7,#REF!,4,FALSE)))=TRUE,VLOOKUP(JKL7,#REF!,3,FALSE),VLOOKUP(JKL7,#REF!,4,FALSE)),0)</f>
        <v/>
      </c>
      <c r="JKM1">
        <f>IFERROR(IF((ISBLANK(VLOOKUP(JKM7,#REF!,4,FALSE)))=TRUE,VLOOKUP(JKM7,#REF!,3,FALSE),VLOOKUP(JKM7,#REF!,4,FALSE)),0)</f>
        <v/>
      </c>
      <c r="JKN1">
        <f>IFERROR(IF((ISBLANK(VLOOKUP(JKN7,#REF!,4,FALSE)))=TRUE,VLOOKUP(JKN7,#REF!,3,FALSE),VLOOKUP(JKN7,#REF!,4,FALSE)),0)</f>
        <v/>
      </c>
      <c r="JKO1">
        <f>IFERROR(IF((ISBLANK(VLOOKUP(JKO7,#REF!,4,FALSE)))=TRUE,VLOOKUP(JKO7,#REF!,3,FALSE),VLOOKUP(JKO7,#REF!,4,FALSE)),0)</f>
        <v/>
      </c>
      <c r="JKP1">
        <f>IFERROR(IF((ISBLANK(VLOOKUP(JKP7,#REF!,4,FALSE)))=TRUE,VLOOKUP(JKP7,#REF!,3,FALSE),VLOOKUP(JKP7,#REF!,4,FALSE)),0)</f>
        <v/>
      </c>
      <c r="JKQ1">
        <f>IFERROR(IF((ISBLANK(VLOOKUP(JKQ7,#REF!,4,FALSE)))=TRUE,VLOOKUP(JKQ7,#REF!,3,FALSE),VLOOKUP(JKQ7,#REF!,4,FALSE)),0)</f>
        <v/>
      </c>
      <c r="JKR1">
        <f>IFERROR(IF((ISBLANK(VLOOKUP(JKR7,#REF!,4,FALSE)))=TRUE,VLOOKUP(JKR7,#REF!,3,FALSE),VLOOKUP(JKR7,#REF!,4,FALSE)),0)</f>
        <v/>
      </c>
      <c r="JKS1">
        <f>IFERROR(IF((ISBLANK(VLOOKUP(JKS7,#REF!,4,FALSE)))=TRUE,VLOOKUP(JKS7,#REF!,3,FALSE),VLOOKUP(JKS7,#REF!,4,FALSE)),0)</f>
        <v/>
      </c>
      <c r="JKT1">
        <f>IFERROR(IF((ISBLANK(VLOOKUP(JKT7,#REF!,4,FALSE)))=TRUE,VLOOKUP(JKT7,#REF!,3,FALSE),VLOOKUP(JKT7,#REF!,4,FALSE)),0)</f>
        <v/>
      </c>
      <c r="JKU1">
        <f>IFERROR(IF((ISBLANK(VLOOKUP(JKU7,#REF!,4,FALSE)))=TRUE,VLOOKUP(JKU7,#REF!,3,FALSE),VLOOKUP(JKU7,#REF!,4,FALSE)),0)</f>
        <v/>
      </c>
      <c r="JKV1">
        <f>IFERROR(IF((ISBLANK(VLOOKUP(JKV7,#REF!,4,FALSE)))=TRUE,VLOOKUP(JKV7,#REF!,3,FALSE),VLOOKUP(JKV7,#REF!,4,FALSE)),0)</f>
        <v/>
      </c>
      <c r="JKW1">
        <f>IFERROR(IF((ISBLANK(VLOOKUP(JKW7,#REF!,4,FALSE)))=TRUE,VLOOKUP(JKW7,#REF!,3,FALSE),VLOOKUP(JKW7,#REF!,4,FALSE)),0)</f>
        <v/>
      </c>
      <c r="JKX1">
        <f>IFERROR(IF((ISBLANK(VLOOKUP(JKX7,#REF!,4,FALSE)))=TRUE,VLOOKUP(JKX7,#REF!,3,FALSE),VLOOKUP(JKX7,#REF!,4,FALSE)),0)</f>
        <v/>
      </c>
      <c r="JKY1">
        <f>IFERROR(IF((ISBLANK(VLOOKUP(JKY7,#REF!,4,FALSE)))=TRUE,VLOOKUP(JKY7,#REF!,3,FALSE),VLOOKUP(JKY7,#REF!,4,FALSE)),0)</f>
        <v/>
      </c>
      <c r="JKZ1">
        <f>IFERROR(IF((ISBLANK(VLOOKUP(JKZ7,#REF!,4,FALSE)))=TRUE,VLOOKUP(JKZ7,#REF!,3,FALSE),VLOOKUP(JKZ7,#REF!,4,FALSE)),0)</f>
        <v/>
      </c>
      <c r="JLA1">
        <f>IFERROR(IF((ISBLANK(VLOOKUP(JLA7,#REF!,4,FALSE)))=TRUE,VLOOKUP(JLA7,#REF!,3,FALSE),VLOOKUP(JLA7,#REF!,4,FALSE)),0)</f>
        <v/>
      </c>
      <c r="JLB1">
        <f>IFERROR(IF((ISBLANK(VLOOKUP(JLB7,#REF!,4,FALSE)))=TRUE,VLOOKUP(JLB7,#REF!,3,FALSE),VLOOKUP(JLB7,#REF!,4,FALSE)),0)</f>
        <v/>
      </c>
      <c r="JLC1">
        <f>IFERROR(IF((ISBLANK(VLOOKUP(JLC7,#REF!,4,FALSE)))=TRUE,VLOOKUP(JLC7,#REF!,3,FALSE),VLOOKUP(JLC7,#REF!,4,FALSE)),0)</f>
        <v/>
      </c>
      <c r="JLD1">
        <f>IFERROR(IF((ISBLANK(VLOOKUP(JLD7,#REF!,4,FALSE)))=TRUE,VLOOKUP(JLD7,#REF!,3,FALSE),VLOOKUP(JLD7,#REF!,4,FALSE)),0)</f>
        <v/>
      </c>
      <c r="JLE1">
        <f>IFERROR(IF((ISBLANK(VLOOKUP(JLE7,#REF!,4,FALSE)))=TRUE,VLOOKUP(JLE7,#REF!,3,FALSE),VLOOKUP(JLE7,#REF!,4,FALSE)),0)</f>
        <v/>
      </c>
      <c r="JLF1">
        <f>IFERROR(IF((ISBLANK(VLOOKUP(JLF7,#REF!,4,FALSE)))=TRUE,VLOOKUP(JLF7,#REF!,3,FALSE),VLOOKUP(JLF7,#REF!,4,FALSE)),0)</f>
        <v/>
      </c>
      <c r="JLG1">
        <f>IFERROR(IF((ISBLANK(VLOOKUP(JLG7,#REF!,4,FALSE)))=TRUE,VLOOKUP(JLG7,#REF!,3,FALSE),VLOOKUP(JLG7,#REF!,4,FALSE)),0)</f>
        <v/>
      </c>
      <c r="JLH1">
        <f>IFERROR(IF((ISBLANK(VLOOKUP(JLH7,#REF!,4,FALSE)))=TRUE,VLOOKUP(JLH7,#REF!,3,FALSE),VLOOKUP(JLH7,#REF!,4,FALSE)),0)</f>
        <v/>
      </c>
      <c r="JLI1">
        <f>IFERROR(IF((ISBLANK(VLOOKUP(JLI7,#REF!,4,FALSE)))=TRUE,VLOOKUP(JLI7,#REF!,3,FALSE),VLOOKUP(JLI7,#REF!,4,FALSE)),0)</f>
        <v/>
      </c>
      <c r="JLJ1">
        <f>IFERROR(IF((ISBLANK(VLOOKUP(JLJ7,#REF!,4,FALSE)))=TRUE,VLOOKUP(JLJ7,#REF!,3,FALSE),VLOOKUP(JLJ7,#REF!,4,FALSE)),0)</f>
        <v/>
      </c>
      <c r="JLK1">
        <f>IFERROR(IF((ISBLANK(VLOOKUP(JLK7,#REF!,4,FALSE)))=TRUE,VLOOKUP(JLK7,#REF!,3,FALSE),VLOOKUP(JLK7,#REF!,4,FALSE)),0)</f>
        <v/>
      </c>
      <c r="JLL1">
        <f>IFERROR(IF((ISBLANK(VLOOKUP(JLL7,#REF!,4,FALSE)))=TRUE,VLOOKUP(JLL7,#REF!,3,FALSE),VLOOKUP(JLL7,#REF!,4,FALSE)),0)</f>
        <v/>
      </c>
      <c r="JLM1">
        <f>IFERROR(IF((ISBLANK(VLOOKUP(JLM7,#REF!,4,FALSE)))=TRUE,VLOOKUP(JLM7,#REF!,3,FALSE),VLOOKUP(JLM7,#REF!,4,FALSE)),0)</f>
        <v/>
      </c>
      <c r="JLN1">
        <f>IFERROR(IF((ISBLANK(VLOOKUP(JLN7,#REF!,4,FALSE)))=TRUE,VLOOKUP(JLN7,#REF!,3,FALSE),VLOOKUP(JLN7,#REF!,4,FALSE)),0)</f>
        <v/>
      </c>
      <c r="JLO1">
        <f>IFERROR(IF((ISBLANK(VLOOKUP(JLO7,#REF!,4,FALSE)))=TRUE,VLOOKUP(JLO7,#REF!,3,FALSE),VLOOKUP(JLO7,#REF!,4,FALSE)),0)</f>
        <v/>
      </c>
      <c r="JLP1">
        <f>IFERROR(IF((ISBLANK(VLOOKUP(JLP7,#REF!,4,FALSE)))=TRUE,VLOOKUP(JLP7,#REF!,3,FALSE),VLOOKUP(JLP7,#REF!,4,FALSE)),0)</f>
        <v/>
      </c>
      <c r="JLQ1">
        <f>IFERROR(IF((ISBLANK(VLOOKUP(JLQ7,#REF!,4,FALSE)))=TRUE,VLOOKUP(JLQ7,#REF!,3,FALSE),VLOOKUP(JLQ7,#REF!,4,FALSE)),0)</f>
        <v/>
      </c>
      <c r="JLR1">
        <f>IFERROR(IF((ISBLANK(VLOOKUP(JLR7,#REF!,4,FALSE)))=TRUE,VLOOKUP(JLR7,#REF!,3,FALSE),VLOOKUP(JLR7,#REF!,4,FALSE)),0)</f>
        <v/>
      </c>
      <c r="JLS1">
        <f>IFERROR(IF((ISBLANK(VLOOKUP(JLS7,#REF!,4,FALSE)))=TRUE,VLOOKUP(JLS7,#REF!,3,FALSE),VLOOKUP(JLS7,#REF!,4,FALSE)),0)</f>
        <v/>
      </c>
      <c r="JLT1">
        <f>IFERROR(IF((ISBLANK(VLOOKUP(JLT7,#REF!,4,FALSE)))=TRUE,VLOOKUP(JLT7,#REF!,3,FALSE),VLOOKUP(JLT7,#REF!,4,FALSE)),0)</f>
        <v/>
      </c>
      <c r="JLU1">
        <f>IFERROR(IF((ISBLANK(VLOOKUP(JLU7,#REF!,4,FALSE)))=TRUE,VLOOKUP(JLU7,#REF!,3,FALSE),VLOOKUP(JLU7,#REF!,4,FALSE)),0)</f>
        <v/>
      </c>
      <c r="JLV1">
        <f>IFERROR(IF((ISBLANK(VLOOKUP(JLV7,#REF!,4,FALSE)))=TRUE,VLOOKUP(JLV7,#REF!,3,FALSE),VLOOKUP(JLV7,#REF!,4,FALSE)),0)</f>
        <v/>
      </c>
      <c r="JLW1">
        <f>IFERROR(IF((ISBLANK(VLOOKUP(JLW7,#REF!,4,FALSE)))=TRUE,VLOOKUP(JLW7,#REF!,3,FALSE),VLOOKUP(JLW7,#REF!,4,FALSE)),0)</f>
        <v/>
      </c>
      <c r="JLX1">
        <f>IFERROR(IF((ISBLANK(VLOOKUP(JLX7,#REF!,4,FALSE)))=TRUE,VLOOKUP(JLX7,#REF!,3,FALSE),VLOOKUP(JLX7,#REF!,4,FALSE)),0)</f>
        <v/>
      </c>
      <c r="JLY1">
        <f>IFERROR(IF((ISBLANK(VLOOKUP(JLY7,#REF!,4,FALSE)))=TRUE,VLOOKUP(JLY7,#REF!,3,FALSE),VLOOKUP(JLY7,#REF!,4,FALSE)),0)</f>
        <v/>
      </c>
      <c r="JLZ1">
        <f>IFERROR(IF((ISBLANK(VLOOKUP(JLZ7,#REF!,4,FALSE)))=TRUE,VLOOKUP(JLZ7,#REF!,3,FALSE),VLOOKUP(JLZ7,#REF!,4,FALSE)),0)</f>
        <v/>
      </c>
      <c r="JMA1">
        <f>IFERROR(IF((ISBLANK(VLOOKUP(JMA7,#REF!,4,FALSE)))=TRUE,VLOOKUP(JMA7,#REF!,3,FALSE),VLOOKUP(JMA7,#REF!,4,FALSE)),0)</f>
        <v/>
      </c>
      <c r="JMB1">
        <f>IFERROR(IF((ISBLANK(VLOOKUP(JMB7,#REF!,4,FALSE)))=TRUE,VLOOKUP(JMB7,#REF!,3,FALSE),VLOOKUP(JMB7,#REF!,4,FALSE)),0)</f>
        <v/>
      </c>
      <c r="JMC1">
        <f>IFERROR(IF((ISBLANK(VLOOKUP(JMC7,#REF!,4,FALSE)))=TRUE,VLOOKUP(JMC7,#REF!,3,FALSE),VLOOKUP(JMC7,#REF!,4,FALSE)),0)</f>
        <v/>
      </c>
      <c r="JMD1">
        <f>IFERROR(IF((ISBLANK(VLOOKUP(JMD7,#REF!,4,FALSE)))=TRUE,VLOOKUP(JMD7,#REF!,3,FALSE),VLOOKUP(JMD7,#REF!,4,FALSE)),0)</f>
        <v/>
      </c>
      <c r="JME1">
        <f>IFERROR(IF((ISBLANK(VLOOKUP(JME7,#REF!,4,FALSE)))=TRUE,VLOOKUP(JME7,#REF!,3,FALSE),VLOOKUP(JME7,#REF!,4,FALSE)),0)</f>
        <v/>
      </c>
      <c r="JMF1">
        <f>IFERROR(IF((ISBLANK(VLOOKUP(JMF7,#REF!,4,FALSE)))=TRUE,VLOOKUP(JMF7,#REF!,3,FALSE),VLOOKUP(JMF7,#REF!,4,FALSE)),0)</f>
        <v/>
      </c>
      <c r="JMG1">
        <f>IFERROR(IF((ISBLANK(VLOOKUP(JMG7,#REF!,4,FALSE)))=TRUE,VLOOKUP(JMG7,#REF!,3,FALSE),VLOOKUP(JMG7,#REF!,4,FALSE)),0)</f>
        <v/>
      </c>
      <c r="JMH1">
        <f>IFERROR(IF((ISBLANK(VLOOKUP(JMH7,#REF!,4,FALSE)))=TRUE,VLOOKUP(JMH7,#REF!,3,FALSE),VLOOKUP(JMH7,#REF!,4,FALSE)),0)</f>
        <v/>
      </c>
      <c r="JMI1">
        <f>IFERROR(IF((ISBLANK(VLOOKUP(JMI7,#REF!,4,FALSE)))=TRUE,VLOOKUP(JMI7,#REF!,3,FALSE),VLOOKUP(JMI7,#REF!,4,FALSE)),0)</f>
        <v/>
      </c>
      <c r="JMJ1">
        <f>IFERROR(IF((ISBLANK(VLOOKUP(JMJ7,#REF!,4,FALSE)))=TRUE,VLOOKUP(JMJ7,#REF!,3,FALSE),VLOOKUP(JMJ7,#REF!,4,FALSE)),0)</f>
        <v/>
      </c>
      <c r="JMK1">
        <f>IFERROR(IF((ISBLANK(VLOOKUP(JMK7,#REF!,4,FALSE)))=TRUE,VLOOKUP(JMK7,#REF!,3,FALSE),VLOOKUP(JMK7,#REF!,4,FALSE)),0)</f>
        <v/>
      </c>
      <c r="JML1">
        <f>IFERROR(IF((ISBLANK(VLOOKUP(JML7,#REF!,4,FALSE)))=TRUE,VLOOKUP(JML7,#REF!,3,FALSE),VLOOKUP(JML7,#REF!,4,FALSE)),0)</f>
        <v/>
      </c>
      <c r="JMM1">
        <f>IFERROR(IF((ISBLANK(VLOOKUP(JMM7,#REF!,4,FALSE)))=TRUE,VLOOKUP(JMM7,#REF!,3,FALSE),VLOOKUP(JMM7,#REF!,4,FALSE)),0)</f>
        <v/>
      </c>
      <c r="JMN1">
        <f>IFERROR(IF((ISBLANK(VLOOKUP(JMN7,#REF!,4,FALSE)))=TRUE,VLOOKUP(JMN7,#REF!,3,FALSE),VLOOKUP(JMN7,#REF!,4,FALSE)),0)</f>
        <v/>
      </c>
      <c r="JMO1">
        <f>IFERROR(IF((ISBLANK(VLOOKUP(JMO7,#REF!,4,FALSE)))=TRUE,VLOOKUP(JMO7,#REF!,3,FALSE),VLOOKUP(JMO7,#REF!,4,FALSE)),0)</f>
        <v/>
      </c>
      <c r="JMP1">
        <f>IFERROR(IF((ISBLANK(VLOOKUP(JMP7,#REF!,4,FALSE)))=TRUE,VLOOKUP(JMP7,#REF!,3,FALSE),VLOOKUP(JMP7,#REF!,4,FALSE)),0)</f>
        <v/>
      </c>
      <c r="JMQ1">
        <f>IFERROR(IF((ISBLANK(VLOOKUP(JMQ7,#REF!,4,FALSE)))=TRUE,VLOOKUP(JMQ7,#REF!,3,FALSE),VLOOKUP(JMQ7,#REF!,4,FALSE)),0)</f>
        <v/>
      </c>
      <c r="JMR1">
        <f>IFERROR(IF((ISBLANK(VLOOKUP(JMR7,#REF!,4,FALSE)))=TRUE,VLOOKUP(JMR7,#REF!,3,FALSE),VLOOKUP(JMR7,#REF!,4,FALSE)),0)</f>
        <v/>
      </c>
      <c r="JMS1">
        <f>IFERROR(IF((ISBLANK(VLOOKUP(JMS7,#REF!,4,FALSE)))=TRUE,VLOOKUP(JMS7,#REF!,3,FALSE),VLOOKUP(JMS7,#REF!,4,FALSE)),0)</f>
        <v/>
      </c>
      <c r="JMT1">
        <f>IFERROR(IF((ISBLANK(VLOOKUP(JMT7,#REF!,4,FALSE)))=TRUE,VLOOKUP(JMT7,#REF!,3,FALSE),VLOOKUP(JMT7,#REF!,4,FALSE)),0)</f>
        <v/>
      </c>
      <c r="JMU1">
        <f>IFERROR(IF((ISBLANK(VLOOKUP(JMU7,#REF!,4,FALSE)))=TRUE,VLOOKUP(JMU7,#REF!,3,FALSE),VLOOKUP(JMU7,#REF!,4,FALSE)),0)</f>
        <v/>
      </c>
      <c r="JMV1">
        <f>IFERROR(IF((ISBLANK(VLOOKUP(JMV7,#REF!,4,FALSE)))=TRUE,VLOOKUP(JMV7,#REF!,3,FALSE),VLOOKUP(JMV7,#REF!,4,FALSE)),0)</f>
        <v/>
      </c>
      <c r="JMW1">
        <f>IFERROR(IF((ISBLANK(VLOOKUP(JMW7,#REF!,4,FALSE)))=TRUE,VLOOKUP(JMW7,#REF!,3,FALSE),VLOOKUP(JMW7,#REF!,4,FALSE)),0)</f>
        <v/>
      </c>
      <c r="JMX1">
        <f>IFERROR(IF((ISBLANK(VLOOKUP(JMX7,#REF!,4,FALSE)))=TRUE,VLOOKUP(JMX7,#REF!,3,FALSE),VLOOKUP(JMX7,#REF!,4,FALSE)),0)</f>
        <v/>
      </c>
      <c r="JMY1">
        <f>IFERROR(IF((ISBLANK(VLOOKUP(JMY7,#REF!,4,FALSE)))=TRUE,VLOOKUP(JMY7,#REF!,3,FALSE),VLOOKUP(JMY7,#REF!,4,FALSE)),0)</f>
        <v/>
      </c>
      <c r="JMZ1">
        <f>IFERROR(IF((ISBLANK(VLOOKUP(JMZ7,#REF!,4,FALSE)))=TRUE,VLOOKUP(JMZ7,#REF!,3,FALSE),VLOOKUP(JMZ7,#REF!,4,FALSE)),0)</f>
        <v/>
      </c>
      <c r="JNA1">
        <f>IFERROR(IF((ISBLANK(VLOOKUP(JNA7,#REF!,4,FALSE)))=TRUE,VLOOKUP(JNA7,#REF!,3,FALSE),VLOOKUP(JNA7,#REF!,4,FALSE)),0)</f>
        <v/>
      </c>
      <c r="JNB1">
        <f>IFERROR(IF((ISBLANK(VLOOKUP(JNB7,#REF!,4,FALSE)))=TRUE,VLOOKUP(JNB7,#REF!,3,FALSE),VLOOKUP(JNB7,#REF!,4,FALSE)),0)</f>
        <v/>
      </c>
      <c r="JNC1">
        <f>IFERROR(IF((ISBLANK(VLOOKUP(JNC7,#REF!,4,FALSE)))=TRUE,VLOOKUP(JNC7,#REF!,3,FALSE),VLOOKUP(JNC7,#REF!,4,FALSE)),0)</f>
        <v/>
      </c>
      <c r="JND1">
        <f>IFERROR(IF((ISBLANK(VLOOKUP(JND7,#REF!,4,FALSE)))=TRUE,VLOOKUP(JND7,#REF!,3,FALSE),VLOOKUP(JND7,#REF!,4,FALSE)),0)</f>
        <v/>
      </c>
      <c r="JNE1">
        <f>IFERROR(IF((ISBLANK(VLOOKUP(JNE7,#REF!,4,FALSE)))=TRUE,VLOOKUP(JNE7,#REF!,3,FALSE),VLOOKUP(JNE7,#REF!,4,FALSE)),0)</f>
        <v/>
      </c>
      <c r="JNF1">
        <f>IFERROR(IF((ISBLANK(VLOOKUP(JNF7,#REF!,4,FALSE)))=TRUE,VLOOKUP(JNF7,#REF!,3,FALSE),VLOOKUP(JNF7,#REF!,4,FALSE)),0)</f>
        <v/>
      </c>
      <c r="JNG1">
        <f>IFERROR(IF((ISBLANK(VLOOKUP(JNG7,#REF!,4,FALSE)))=TRUE,VLOOKUP(JNG7,#REF!,3,FALSE),VLOOKUP(JNG7,#REF!,4,FALSE)),0)</f>
        <v/>
      </c>
      <c r="JNH1">
        <f>IFERROR(IF((ISBLANK(VLOOKUP(JNH7,#REF!,4,FALSE)))=TRUE,VLOOKUP(JNH7,#REF!,3,FALSE),VLOOKUP(JNH7,#REF!,4,FALSE)),0)</f>
        <v/>
      </c>
      <c r="JNI1">
        <f>IFERROR(IF((ISBLANK(VLOOKUP(JNI7,#REF!,4,FALSE)))=TRUE,VLOOKUP(JNI7,#REF!,3,FALSE),VLOOKUP(JNI7,#REF!,4,FALSE)),0)</f>
        <v/>
      </c>
      <c r="JNJ1">
        <f>IFERROR(IF((ISBLANK(VLOOKUP(JNJ7,#REF!,4,FALSE)))=TRUE,VLOOKUP(JNJ7,#REF!,3,FALSE),VLOOKUP(JNJ7,#REF!,4,FALSE)),0)</f>
        <v/>
      </c>
      <c r="JNK1">
        <f>IFERROR(IF((ISBLANK(VLOOKUP(JNK7,#REF!,4,FALSE)))=TRUE,VLOOKUP(JNK7,#REF!,3,FALSE),VLOOKUP(JNK7,#REF!,4,FALSE)),0)</f>
        <v/>
      </c>
      <c r="JNL1">
        <f>IFERROR(IF((ISBLANK(VLOOKUP(JNL7,#REF!,4,FALSE)))=TRUE,VLOOKUP(JNL7,#REF!,3,FALSE),VLOOKUP(JNL7,#REF!,4,FALSE)),0)</f>
        <v/>
      </c>
      <c r="JNM1">
        <f>IFERROR(IF((ISBLANK(VLOOKUP(JNM7,#REF!,4,FALSE)))=TRUE,VLOOKUP(JNM7,#REF!,3,FALSE),VLOOKUP(JNM7,#REF!,4,FALSE)),0)</f>
        <v/>
      </c>
      <c r="JNN1">
        <f>IFERROR(IF((ISBLANK(VLOOKUP(JNN7,#REF!,4,FALSE)))=TRUE,VLOOKUP(JNN7,#REF!,3,FALSE),VLOOKUP(JNN7,#REF!,4,FALSE)),0)</f>
        <v/>
      </c>
      <c r="JNO1">
        <f>IFERROR(IF((ISBLANK(VLOOKUP(JNO7,#REF!,4,FALSE)))=TRUE,VLOOKUP(JNO7,#REF!,3,FALSE),VLOOKUP(JNO7,#REF!,4,FALSE)),0)</f>
        <v/>
      </c>
      <c r="JNP1">
        <f>IFERROR(IF((ISBLANK(VLOOKUP(JNP7,#REF!,4,FALSE)))=TRUE,VLOOKUP(JNP7,#REF!,3,FALSE),VLOOKUP(JNP7,#REF!,4,FALSE)),0)</f>
        <v/>
      </c>
      <c r="JNQ1">
        <f>IFERROR(IF((ISBLANK(VLOOKUP(JNQ7,#REF!,4,FALSE)))=TRUE,VLOOKUP(JNQ7,#REF!,3,FALSE),VLOOKUP(JNQ7,#REF!,4,FALSE)),0)</f>
        <v/>
      </c>
      <c r="JNR1">
        <f>IFERROR(IF((ISBLANK(VLOOKUP(JNR7,#REF!,4,FALSE)))=TRUE,VLOOKUP(JNR7,#REF!,3,FALSE),VLOOKUP(JNR7,#REF!,4,FALSE)),0)</f>
        <v/>
      </c>
      <c r="JNS1">
        <f>IFERROR(IF((ISBLANK(VLOOKUP(JNS7,#REF!,4,FALSE)))=TRUE,VLOOKUP(JNS7,#REF!,3,FALSE),VLOOKUP(JNS7,#REF!,4,FALSE)),0)</f>
        <v/>
      </c>
      <c r="JNT1">
        <f>IFERROR(IF((ISBLANK(VLOOKUP(JNT7,#REF!,4,FALSE)))=TRUE,VLOOKUP(JNT7,#REF!,3,FALSE),VLOOKUP(JNT7,#REF!,4,FALSE)),0)</f>
        <v/>
      </c>
      <c r="JNU1">
        <f>IFERROR(IF((ISBLANK(VLOOKUP(JNU7,#REF!,4,FALSE)))=TRUE,VLOOKUP(JNU7,#REF!,3,FALSE),VLOOKUP(JNU7,#REF!,4,FALSE)),0)</f>
        <v/>
      </c>
      <c r="JNV1">
        <f>IFERROR(IF((ISBLANK(VLOOKUP(JNV7,#REF!,4,FALSE)))=TRUE,VLOOKUP(JNV7,#REF!,3,FALSE),VLOOKUP(JNV7,#REF!,4,FALSE)),0)</f>
        <v/>
      </c>
      <c r="JNW1">
        <f>IFERROR(IF((ISBLANK(VLOOKUP(JNW7,#REF!,4,FALSE)))=TRUE,VLOOKUP(JNW7,#REF!,3,FALSE),VLOOKUP(JNW7,#REF!,4,FALSE)),0)</f>
        <v/>
      </c>
      <c r="JNX1">
        <f>IFERROR(IF((ISBLANK(VLOOKUP(JNX7,#REF!,4,FALSE)))=TRUE,VLOOKUP(JNX7,#REF!,3,FALSE),VLOOKUP(JNX7,#REF!,4,FALSE)),0)</f>
        <v/>
      </c>
      <c r="JNY1">
        <f>IFERROR(IF((ISBLANK(VLOOKUP(JNY7,#REF!,4,FALSE)))=TRUE,VLOOKUP(JNY7,#REF!,3,FALSE),VLOOKUP(JNY7,#REF!,4,FALSE)),0)</f>
        <v/>
      </c>
      <c r="JNZ1">
        <f>IFERROR(IF((ISBLANK(VLOOKUP(JNZ7,#REF!,4,FALSE)))=TRUE,VLOOKUP(JNZ7,#REF!,3,FALSE),VLOOKUP(JNZ7,#REF!,4,FALSE)),0)</f>
        <v/>
      </c>
      <c r="JOA1">
        <f>IFERROR(IF((ISBLANK(VLOOKUP(JOA7,#REF!,4,FALSE)))=TRUE,VLOOKUP(JOA7,#REF!,3,FALSE),VLOOKUP(JOA7,#REF!,4,FALSE)),0)</f>
        <v/>
      </c>
      <c r="JOB1">
        <f>IFERROR(IF((ISBLANK(VLOOKUP(JOB7,#REF!,4,FALSE)))=TRUE,VLOOKUP(JOB7,#REF!,3,FALSE),VLOOKUP(JOB7,#REF!,4,FALSE)),0)</f>
        <v/>
      </c>
      <c r="JOC1">
        <f>IFERROR(IF((ISBLANK(VLOOKUP(JOC7,#REF!,4,FALSE)))=TRUE,VLOOKUP(JOC7,#REF!,3,FALSE),VLOOKUP(JOC7,#REF!,4,FALSE)),0)</f>
        <v/>
      </c>
      <c r="JOD1">
        <f>IFERROR(IF((ISBLANK(VLOOKUP(JOD7,#REF!,4,FALSE)))=TRUE,VLOOKUP(JOD7,#REF!,3,FALSE),VLOOKUP(JOD7,#REF!,4,FALSE)),0)</f>
        <v/>
      </c>
      <c r="JOE1">
        <f>IFERROR(IF((ISBLANK(VLOOKUP(JOE7,#REF!,4,FALSE)))=TRUE,VLOOKUP(JOE7,#REF!,3,FALSE),VLOOKUP(JOE7,#REF!,4,FALSE)),0)</f>
        <v/>
      </c>
      <c r="JOF1">
        <f>IFERROR(IF((ISBLANK(VLOOKUP(JOF7,#REF!,4,FALSE)))=TRUE,VLOOKUP(JOF7,#REF!,3,FALSE),VLOOKUP(JOF7,#REF!,4,FALSE)),0)</f>
        <v/>
      </c>
      <c r="JOG1">
        <f>IFERROR(IF((ISBLANK(VLOOKUP(JOG7,#REF!,4,FALSE)))=TRUE,VLOOKUP(JOG7,#REF!,3,FALSE),VLOOKUP(JOG7,#REF!,4,FALSE)),0)</f>
        <v/>
      </c>
      <c r="JOH1">
        <f>IFERROR(IF((ISBLANK(VLOOKUP(JOH7,#REF!,4,FALSE)))=TRUE,VLOOKUP(JOH7,#REF!,3,FALSE),VLOOKUP(JOH7,#REF!,4,FALSE)),0)</f>
        <v/>
      </c>
      <c r="JOI1">
        <f>IFERROR(IF((ISBLANK(VLOOKUP(JOI7,#REF!,4,FALSE)))=TRUE,VLOOKUP(JOI7,#REF!,3,FALSE),VLOOKUP(JOI7,#REF!,4,FALSE)),0)</f>
        <v/>
      </c>
      <c r="JOJ1">
        <f>IFERROR(IF((ISBLANK(VLOOKUP(JOJ7,#REF!,4,FALSE)))=TRUE,VLOOKUP(JOJ7,#REF!,3,FALSE),VLOOKUP(JOJ7,#REF!,4,FALSE)),0)</f>
        <v/>
      </c>
      <c r="JOK1">
        <f>IFERROR(IF((ISBLANK(VLOOKUP(JOK7,#REF!,4,FALSE)))=TRUE,VLOOKUP(JOK7,#REF!,3,FALSE),VLOOKUP(JOK7,#REF!,4,FALSE)),0)</f>
        <v/>
      </c>
      <c r="JOL1">
        <f>IFERROR(IF((ISBLANK(VLOOKUP(JOL7,#REF!,4,FALSE)))=TRUE,VLOOKUP(JOL7,#REF!,3,FALSE),VLOOKUP(JOL7,#REF!,4,FALSE)),0)</f>
        <v/>
      </c>
      <c r="JOM1">
        <f>IFERROR(IF((ISBLANK(VLOOKUP(JOM7,#REF!,4,FALSE)))=TRUE,VLOOKUP(JOM7,#REF!,3,FALSE),VLOOKUP(JOM7,#REF!,4,FALSE)),0)</f>
        <v/>
      </c>
      <c r="JON1">
        <f>IFERROR(IF((ISBLANK(VLOOKUP(JON7,#REF!,4,FALSE)))=TRUE,VLOOKUP(JON7,#REF!,3,FALSE),VLOOKUP(JON7,#REF!,4,FALSE)),0)</f>
        <v/>
      </c>
      <c r="JOO1">
        <f>IFERROR(IF((ISBLANK(VLOOKUP(JOO7,#REF!,4,FALSE)))=TRUE,VLOOKUP(JOO7,#REF!,3,FALSE),VLOOKUP(JOO7,#REF!,4,FALSE)),0)</f>
        <v/>
      </c>
      <c r="JOP1">
        <f>IFERROR(IF((ISBLANK(VLOOKUP(JOP7,#REF!,4,FALSE)))=TRUE,VLOOKUP(JOP7,#REF!,3,FALSE),VLOOKUP(JOP7,#REF!,4,FALSE)),0)</f>
        <v/>
      </c>
      <c r="JOQ1">
        <f>IFERROR(IF((ISBLANK(VLOOKUP(JOQ7,#REF!,4,FALSE)))=TRUE,VLOOKUP(JOQ7,#REF!,3,FALSE),VLOOKUP(JOQ7,#REF!,4,FALSE)),0)</f>
        <v/>
      </c>
      <c r="JOR1">
        <f>IFERROR(IF((ISBLANK(VLOOKUP(JOR7,#REF!,4,FALSE)))=TRUE,VLOOKUP(JOR7,#REF!,3,FALSE),VLOOKUP(JOR7,#REF!,4,FALSE)),0)</f>
        <v/>
      </c>
      <c r="JOS1">
        <f>IFERROR(IF((ISBLANK(VLOOKUP(JOS7,#REF!,4,FALSE)))=TRUE,VLOOKUP(JOS7,#REF!,3,FALSE),VLOOKUP(JOS7,#REF!,4,FALSE)),0)</f>
        <v/>
      </c>
      <c r="JOT1">
        <f>IFERROR(IF((ISBLANK(VLOOKUP(JOT7,#REF!,4,FALSE)))=TRUE,VLOOKUP(JOT7,#REF!,3,FALSE),VLOOKUP(JOT7,#REF!,4,FALSE)),0)</f>
        <v/>
      </c>
      <c r="JOU1">
        <f>IFERROR(IF((ISBLANK(VLOOKUP(JOU7,#REF!,4,FALSE)))=TRUE,VLOOKUP(JOU7,#REF!,3,FALSE),VLOOKUP(JOU7,#REF!,4,FALSE)),0)</f>
        <v/>
      </c>
      <c r="JOV1">
        <f>IFERROR(IF((ISBLANK(VLOOKUP(JOV7,#REF!,4,FALSE)))=TRUE,VLOOKUP(JOV7,#REF!,3,FALSE),VLOOKUP(JOV7,#REF!,4,FALSE)),0)</f>
        <v/>
      </c>
      <c r="JOW1">
        <f>IFERROR(IF((ISBLANK(VLOOKUP(JOW7,#REF!,4,FALSE)))=TRUE,VLOOKUP(JOW7,#REF!,3,FALSE),VLOOKUP(JOW7,#REF!,4,FALSE)),0)</f>
        <v/>
      </c>
      <c r="JOX1">
        <f>IFERROR(IF((ISBLANK(VLOOKUP(JOX7,#REF!,4,FALSE)))=TRUE,VLOOKUP(JOX7,#REF!,3,FALSE),VLOOKUP(JOX7,#REF!,4,FALSE)),0)</f>
        <v/>
      </c>
      <c r="JOY1">
        <f>IFERROR(IF((ISBLANK(VLOOKUP(JOY7,#REF!,4,FALSE)))=TRUE,VLOOKUP(JOY7,#REF!,3,FALSE),VLOOKUP(JOY7,#REF!,4,FALSE)),0)</f>
        <v/>
      </c>
      <c r="JOZ1">
        <f>IFERROR(IF((ISBLANK(VLOOKUP(JOZ7,#REF!,4,FALSE)))=TRUE,VLOOKUP(JOZ7,#REF!,3,FALSE),VLOOKUP(JOZ7,#REF!,4,FALSE)),0)</f>
        <v/>
      </c>
      <c r="JPA1">
        <f>IFERROR(IF((ISBLANK(VLOOKUP(JPA7,#REF!,4,FALSE)))=TRUE,VLOOKUP(JPA7,#REF!,3,FALSE),VLOOKUP(JPA7,#REF!,4,FALSE)),0)</f>
        <v/>
      </c>
      <c r="JPB1">
        <f>IFERROR(IF((ISBLANK(VLOOKUP(JPB7,#REF!,4,FALSE)))=TRUE,VLOOKUP(JPB7,#REF!,3,FALSE),VLOOKUP(JPB7,#REF!,4,FALSE)),0)</f>
        <v/>
      </c>
      <c r="JPC1">
        <f>IFERROR(IF((ISBLANK(VLOOKUP(JPC7,#REF!,4,FALSE)))=TRUE,VLOOKUP(JPC7,#REF!,3,FALSE),VLOOKUP(JPC7,#REF!,4,FALSE)),0)</f>
        <v/>
      </c>
      <c r="JPD1">
        <f>IFERROR(IF((ISBLANK(VLOOKUP(JPD7,#REF!,4,FALSE)))=TRUE,VLOOKUP(JPD7,#REF!,3,FALSE),VLOOKUP(JPD7,#REF!,4,FALSE)),0)</f>
        <v/>
      </c>
      <c r="JPE1">
        <f>IFERROR(IF((ISBLANK(VLOOKUP(JPE7,#REF!,4,FALSE)))=TRUE,VLOOKUP(JPE7,#REF!,3,FALSE),VLOOKUP(JPE7,#REF!,4,FALSE)),0)</f>
        <v/>
      </c>
      <c r="JPF1">
        <f>IFERROR(IF((ISBLANK(VLOOKUP(JPF7,#REF!,4,FALSE)))=TRUE,VLOOKUP(JPF7,#REF!,3,FALSE),VLOOKUP(JPF7,#REF!,4,FALSE)),0)</f>
        <v/>
      </c>
      <c r="JPG1">
        <f>IFERROR(IF((ISBLANK(VLOOKUP(JPG7,#REF!,4,FALSE)))=TRUE,VLOOKUP(JPG7,#REF!,3,FALSE),VLOOKUP(JPG7,#REF!,4,FALSE)),0)</f>
        <v/>
      </c>
      <c r="JPH1">
        <f>IFERROR(IF((ISBLANK(VLOOKUP(JPH7,#REF!,4,FALSE)))=TRUE,VLOOKUP(JPH7,#REF!,3,FALSE),VLOOKUP(JPH7,#REF!,4,FALSE)),0)</f>
        <v/>
      </c>
      <c r="JPI1">
        <f>IFERROR(IF((ISBLANK(VLOOKUP(JPI7,#REF!,4,FALSE)))=TRUE,VLOOKUP(JPI7,#REF!,3,FALSE),VLOOKUP(JPI7,#REF!,4,FALSE)),0)</f>
        <v/>
      </c>
      <c r="JPJ1">
        <f>IFERROR(IF((ISBLANK(VLOOKUP(JPJ7,#REF!,4,FALSE)))=TRUE,VLOOKUP(JPJ7,#REF!,3,FALSE),VLOOKUP(JPJ7,#REF!,4,FALSE)),0)</f>
        <v/>
      </c>
      <c r="JPK1">
        <f>IFERROR(IF((ISBLANK(VLOOKUP(JPK7,#REF!,4,FALSE)))=TRUE,VLOOKUP(JPK7,#REF!,3,FALSE),VLOOKUP(JPK7,#REF!,4,FALSE)),0)</f>
        <v/>
      </c>
      <c r="JPL1">
        <f>IFERROR(IF((ISBLANK(VLOOKUP(JPL7,#REF!,4,FALSE)))=TRUE,VLOOKUP(JPL7,#REF!,3,FALSE),VLOOKUP(JPL7,#REF!,4,FALSE)),0)</f>
        <v/>
      </c>
      <c r="JPM1">
        <f>IFERROR(IF((ISBLANK(VLOOKUP(JPM7,#REF!,4,FALSE)))=TRUE,VLOOKUP(JPM7,#REF!,3,FALSE),VLOOKUP(JPM7,#REF!,4,FALSE)),0)</f>
        <v/>
      </c>
      <c r="JPN1">
        <f>IFERROR(IF((ISBLANK(VLOOKUP(JPN7,#REF!,4,FALSE)))=TRUE,VLOOKUP(JPN7,#REF!,3,FALSE),VLOOKUP(JPN7,#REF!,4,FALSE)),0)</f>
        <v/>
      </c>
      <c r="JPO1">
        <f>IFERROR(IF((ISBLANK(VLOOKUP(JPO7,#REF!,4,FALSE)))=TRUE,VLOOKUP(JPO7,#REF!,3,FALSE),VLOOKUP(JPO7,#REF!,4,FALSE)),0)</f>
        <v/>
      </c>
      <c r="JPP1">
        <f>IFERROR(IF((ISBLANK(VLOOKUP(JPP7,#REF!,4,FALSE)))=TRUE,VLOOKUP(JPP7,#REF!,3,FALSE),VLOOKUP(JPP7,#REF!,4,FALSE)),0)</f>
        <v/>
      </c>
      <c r="JPQ1">
        <f>IFERROR(IF((ISBLANK(VLOOKUP(JPQ7,#REF!,4,FALSE)))=TRUE,VLOOKUP(JPQ7,#REF!,3,FALSE),VLOOKUP(JPQ7,#REF!,4,FALSE)),0)</f>
        <v/>
      </c>
      <c r="JPR1">
        <f>IFERROR(IF((ISBLANK(VLOOKUP(JPR7,#REF!,4,FALSE)))=TRUE,VLOOKUP(JPR7,#REF!,3,FALSE),VLOOKUP(JPR7,#REF!,4,FALSE)),0)</f>
        <v/>
      </c>
      <c r="JPS1">
        <f>IFERROR(IF((ISBLANK(VLOOKUP(JPS7,#REF!,4,FALSE)))=TRUE,VLOOKUP(JPS7,#REF!,3,FALSE),VLOOKUP(JPS7,#REF!,4,FALSE)),0)</f>
        <v/>
      </c>
      <c r="JPT1">
        <f>IFERROR(IF((ISBLANK(VLOOKUP(JPT7,#REF!,4,FALSE)))=TRUE,VLOOKUP(JPT7,#REF!,3,FALSE),VLOOKUP(JPT7,#REF!,4,FALSE)),0)</f>
        <v/>
      </c>
      <c r="JPU1">
        <f>IFERROR(IF((ISBLANK(VLOOKUP(JPU7,#REF!,4,FALSE)))=TRUE,VLOOKUP(JPU7,#REF!,3,FALSE),VLOOKUP(JPU7,#REF!,4,FALSE)),0)</f>
        <v/>
      </c>
      <c r="JPV1">
        <f>IFERROR(IF((ISBLANK(VLOOKUP(JPV7,#REF!,4,FALSE)))=TRUE,VLOOKUP(JPV7,#REF!,3,FALSE),VLOOKUP(JPV7,#REF!,4,FALSE)),0)</f>
        <v/>
      </c>
      <c r="JPW1">
        <f>IFERROR(IF((ISBLANK(VLOOKUP(JPW7,#REF!,4,FALSE)))=TRUE,VLOOKUP(JPW7,#REF!,3,FALSE),VLOOKUP(JPW7,#REF!,4,FALSE)),0)</f>
        <v/>
      </c>
      <c r="JPX1">
        <f>IFERROR(IF((ISBLANK(VLOOKUP(JPX7,#REF!,4,FALSE)))=TRUE,VLOOKUP(JPX7,#REF!,3,FALSE),VLOOKUP(JPX7,#REF!,4,FALSE)),0)</f>
        <v/>
      </c>
      <c r="JPY1">
        <f>IFERROR(IF((ISBLANK(VLOOKUP(JPY7,#REF!,4,FALSE)))=TRUE,VLOOKUP(JPY7,#REF!,3,FALSE),VLOOKUP(JPY7,#REF!,4,FALSE)),0)</f>
        <v/>
      </c>
      <c r="JPZ1">
        <f>IFERROR(IF((ISBLANK(VLOOKUP(JPZ7,#REF!,4,FALSE)))=TRUE,VLOOKUP(JPZ7,#REF!,3,FALSE),VLOOKUP(JPZ7,#REF!,4,FALSE)),0)</f>
        <v/>
      </c>
      <c r="JQA1">
        <f>IFERROR(IF((ISBLANK(VLOOKUP(JQA7,#REF!,4,FALSE)))=TRUE,VLOOKUP(JQA7,#REF!,3,FALSE),VLOOKUP(JQA7,#REF!,4,FALSE)),0)</f>
        <v/>
      </c>
      <c r="JQB1">
        <f>IFERROR(IF((ISBLANK(VLOOKUP(JQB7,#REF!,4,FALSE)))=TRUE,VLOOKUP(JQB7,#REF!,3,FALSE),VLOOKUP(JQB7,#REF!,4,FALSE)),0)</f>
        <v/>
      </c>
      <c r="JQC1">
        <f>IFERROR(IF((ISBLANK(VLOOKUP(JQC7,#REF!,4,FALSE)))=TRUE,VLOOKUP(JQC7,#REF!,3,FALSE),VLOOKUP(JQC7,#REF!,4,FALSE)),0)</f>
        <v/>
      </c>
      <c r="JQD1">
        <f>IFERROR(IF((ISBLANK(VLOOKUP(JQD7,#REF!,4,FALSE)))=TRUE,VLOOKUP(JQD7,#REF!,3,FALSE),VLOOKUP(JQD7,#REF!,4,FALSE)),0)</f>
        <v/>
      </c>
      <c r="JQE1">
        <f>IFERROR(IF((ISBLANK(VLOOKUP(JQE7,#REF!,4,FALSE)))=TRUE,VLOOKUP(JQE7,#REF!,3,FALSE),VLOOKUP(JQE7,#REF!,4,FALSE)),0)</f>
        <v/>
      </c>
      <c r="JQF1">
        <f>IFERROR(IF((ISBLANK(VLOOKUP(JQF7,#REF!,4,FALSE)))=TRUE,VLOOKUP(JQF7,#REF!,3,FALSE),VLOOKUP(JQF7,#REF!,4,FALSE)),0)</f>
        <v/>
      </c>
      <c r="JQG1">
        <f>IFERROR(IF((ISBLANK(VLOOKUP(JQG7,#REF!,4,FALSE)))=TRUE,VLOOKUP(JQG7,#REF!,3,FALSE),VLOOKUP(JQG7,#REF!,4,FALSE)),0)</f>
        <v/>
      </c>
      <c r="JQH1">
        <f>IFERROR(IF((ISBLANK(VLOOKUP(JQH7,#REF!,4,FALSE)))=TRUE,VLOOKUP(JQH7,#REF!,3,FALSE),VLOOKUP(JQH7,#REF!,4,FALSE)),0)</f>
        <v/>
      </c>
      <c r="JQI1">
        <f>IFERROR(IF((ISBLANK(VLOOKUP(JQI7,#REF!,4,FALSE)))=TRUE,VLOOKUP(JQI7,#REF!,3,FALSE),VLOOKUP(JQI7,#REF!,4,FALSE)),0)</f>
        <v/>
      </c>
      <c r="JQJ1">
        <f>IFERROR(IF((ISBLANK(VLOOKUP(JQJ7,#REF!,4,FALSE)))=TRUE,VLOOKUP(JQJ7,#REF!,3,FALSE),VLOOKUP(JQJ7,#REF!,4,FALSE)),0)</f>
        <v/>
      </c>
      <c r="JQK1">
        <f>IFERROR(IF((ISBLANK(VLOOKUP(JQK7,#REF!,4,FALSE)))=TRUE,VLOOKUP(JQK7,#REF!,3,FALSE),VLOOKUP(JQK7,#REF!,4,FALSE)),0)</f>
        <v/>
      </c>
      <c r="JQL1">
        <f>IFERROR(IF((ISBLANK(VLOOKUP(JQL7,#REF!,4,FALSE)))=TRUE,VLOOKUP(JQL7,#REF!,3,FALSE),VLOOKUP(JQL7,#REF!,4,FALSE)),0)</f>
        <v/>
      </c>
      <c r="JQM1">
        <f>IFERROR(IF((ISBLANK(VLOOKUP(JQM7,#REF!,4,FALSE)))=TRUE,VLOOKUP(JQM7,#REF!,3,FALSE),VLOOKUP(JQM7,#REF!,4,FALSE)),0)</f>
        <v/>
      </c>
      <c r="JQN1">
        <f>IFERROR(IF((ISBLANK(VLOOKUP(JQN7,#REF!,4,FALSE)))=TRUE,VLOOKUP(JQN7,#REF!,3,FALSE),VLOOKUP(JQN7,#REF!,4,FALSE)),0)</f>
        <v/>
      </c>
      <c r="JQO1">
        <f>IFERROR(IF((ISBLANK(VLOOKUP(JQO7,#REF!,4,FALSE)))=TRUE,VLOOKUP(JQO7,#REF!,3,FALSE),VLOOKUP(JQO7,#REF!,4,FALSE)),0)</f>
        <v/>
      </c>
      <c r="JQP1">
        <f>IFERROR(IF((ISBLANK(VLOOKUP(JQP7,#REF!,4,FALSE)))=TRUE,VLOOKUP(JQP7,#REF!,3,FALSE),VLOOKUP(JQP7,#REF!,4,FALSE)),0)</f>
        <v/>
      </c>
      <c r="JQQ1">
        <f>IFERROR(IF((ISBLANK(VLOOKUP(JQQ7,#REF!,4,FALSE)))=TRUE,VLOOKUP(JQQ7,#REF!,3,FALSE),VLOOKUP(JQQ7,#REF!,4,FALSE)),0)</f>
        <v/>
      </c>
      <c r="JQR1">
        <f>IFERROR(IF((ISBLANK(VLOOKUP(JQR7,#REF!,4,FALSE)))=TRUE,VLOOKUP(JQR7,#REF!,3,FALSE),VLOOKUP(JQR7,#REF!,4,FALSE)),0)</f>
        <v/>
      </c>
      <c r="JQS1">
        <f>IFERROR(IF((ISBLANK(VLOOKUP(JQS7,#REF!,4,FALSE)))=TRUE,VLOOKUP(JQS7,#REF!,3,FALSE),VLOOKUP(JQS7,#REF!,4,FALSE)),0)</f>
        <v/>
      </c>
      <c r="JQT1">
        <f>IFERROR(IF((ISBLANK(VLOOKUP(JQT7,#REF!,4,FALSE)))=TRUE,VLOOKUP(JQT7,#REF!,3,FALSE),VLOOKUP(JQT7,#REF!,4,FALSE)),0)</f>
        <v/>
      </c>
      <c r="JQU1">
        <f>IFERROR(IF((ISBLANK(VLOOKUP(JQU7,#REF!,4,FALSE)))=TRUE,VLOOKUP(JQU7,#REF!,3,FALSE),VLOOKUP(JQU7,#REF!,4,FALSE)),0)</f>
        <v/>
      </c>
      <c r="JQV1">
        <f>IFERROR(IF((ISBLANK(VLOOKUP(JQV7,#REF!,4,FALSE)))=TRUE,VLOOKUP(JQV7,#REF!,3,FALSE),VLOOKUP(JQV7,#REF!,4,FALSE)),0)</f>
        <v/>
      </c>
      <c r="JQW1">
        <f>IFERROR(IF((ISBLANK(VLOOKUP(JQW7,#REF!,4,FALSE)))=TRUE,VLOOKUP(JQW7,#REF!,3,FALSE),VLOOKUP(JQW7,#REF!,4,FALSE)),0)</f>
        <v/>
      </c>
      <c r="JQX1">
        <f>IFERROR(IF((ISBLANK(VLOOKUP(JQX7,#REF!,4,FALSE)))=TRUE,VLOOKUP(JQX7,#REF!,3,FALSE),VLOOKUP(JQX7,#REF!,4,FALSE)),0)</f>
        <v/>
      </c>
      <c r="JQY1">
        <f>IFERROR(IF((ISBLANK(VLOOKUP(JQY7,#REF!,4,FALSE)))=TRUE,VLOOKUP(JQY7,#REF!,3,FALSE),VLOOKUP(JQY7,#REF!,4,FALSE)),0)</f>
        <v/>
      </c>
      <c r="JQZ1">
        <f>IFERROR(IF((ISBLANK(VLOOKUP(JQZ7,#REF!,4,FALSE)))=TRUE,VLOOKUP(JQZ7,#REF!,3,FALSE),VLOOKUP(JQZ7,#REF!,4,FALSE)),0)</f>
        <v/>
      </c>
      <c r="JRA1">
        <f>IFERROR(IF((ISBLANK(VLOOKUP(JRA7,#REF!,4,FALSE)))=TRUE,VLOOKUP(JRA7,#REF!,3,FALSE),VLOOKUP(JRA7,#REF!,4,FALSE)),0)</f>
        <v/>
      </c>
      <c r="JRB1">
        <f>IFERROR(IF((ISBLANK(VLOOKUP(JRB7,#REF!,4,FALSE)))=TRUE,VLOOKUP(JRB7,#REF!,3,FALSE),VLOOKUP(JRB7,#REF!,4,FALSE)),0)</f>
        <v/>
      </c>
      <c r="JRC1">
        <f>IFERROR(IF((ISBLANK(VLOOKUP(JRC7,#REF!,4,FALSE)))=TRUE,VLOOKUP(JRC7,#REF!,3,FALSE),VLOOKUP(JRC7,#REF!,4,FALSE)),0)</f>
        <v/>
      </c>
      <c r="JRD1">
        <f>IFERROR(IF((ISBLANK(VLOOKUP(JRD7,#REF!,4,FALSE)))=TRUE,VLOOKUP(JRD7,#REF!,3,FALSE),VLOOKUP(JRD7,#REF!,4,FALSE)),0)</f>
        <v/>
      </c>
      <c r="JRE1">
        <f>IFERROR(IF((ISBLANK(VLOOKUP(JRE7,#REF!,4,FALSE)))=TRUE,VLOOKUP(JRE7,#REF!,3,FALSE),VLOOKUP(JRE7,#REF!,4,FALSE)),0)</f>
        <v/>
      </c>
      <c r="JRF1">
        <f>IFERROR(IF((ISBLANK(VLOOKUP(JRF7,#REF!,4,FALSE)))=TRUE,VLOOKUP(JRF7,#REF!,3,FALSE),VLOOKUP(JRF7,#REF!,4,FALSE)),0)</f>
        <v/>
      </c>
      <c r="JRG1">
        <f>IFERROR(IF((ISBLANK(VLOOKUP(JRG7,#REF!,4,FALSE)))=TRUE,VLOOKUP(JRG7,#REF!,3,FALSE),VLOOKUP(JRG7,#REF!,4,FALSE)),0)</f>
        <v/>
      </c>
      <c r="JRH1">
        <f>IFERROR(IF((ISBLANK(VLOOKUP(JRH7,#REF!,4,FALSE)))=TRUE,VLOOKUP(JRH7,#REF!,3,FALSE),VLOOKUP(JRH7,#REF!,4,FALSE)),0)</f>
        <v/>
      </c>
      <c r="JRI1">
        <f>IFERROR(IF((ISBLANK(VLOOKUP(JRI7,#REF!,4,FALSE)))=TRUE,VLOOKUP(JRI7,#REF!,3,FALSE),VLOOKUP(JRI7,#REF!,4,FALSE)),0)</f>
        <v/>
      </c>
      <c r="JRJ1">
        <f>IFERROR(IF((ISBLANK(VLOOKUP(JRJ7,#REF!,4,FALSE)))=TRUE,VLOOKUP(JRJ7,#REF!,3,FALSE),VLOOKUP(JRJ7,#REF!,4,FALSE)),0)</f>
        <v/>
      </c>
      <c r="JRK1">
        <f>IFERROR(IF((ISBLANK(VLOOKUP(JRK7,#REF!,4,FALSE)))=TRUE,VLOOKUP(JRK7,#REF!,3,FALSE),VLOOKUP(JRK7,#REF!,4,FALSE)),0)</f>
        <v/>
      </c>
      <c r="JRL1">
        <f>IFERROR(IF((ISBLANK(VLOOKUP(JRL7,#REF!,4,FALSE)))=TRUE,VLOOKUP(JRL7,#REF!,3,FALSE),VLOOKUP(JRL7,#REF!,4,FALSE)),0)</f>
        <v/>
      </c>
      <c r="JRM1">
        <f>IFERROR(IF((ISBLANK(VLOOKUP(JRM7,#REF!,4,FALSE)))=TRUE,VLOOKUP(JRM7,#REF!,3,FALSE),VLOOKUP(JRM7,#REF!,4,FALSE)),0)</f>
        <v/>
      </c>
      <c r="JRN1">
        <f>IFERROR(IF((ISBLANK(VLOOKUP(JRN7,#REF!,4,FALSE)))=TRUE,VLOOKUP(JRN7,#REF!,3,FALSE),VLOOKUP(JRN7,#REF!,4,FALSE)),0)</f>
        <v/>
      </c>
      <c r="JRO1">
        <f>IFERROR(IF((ISBLANK(VLOOKUP(JRO7,#REF!,4,FALSE)))=TRUE,VLOOKUP(JRO7,#REF!,3,FALSE),VLOOKUP(JRO7,#REF!,4,FALSE)),0)</f>
        <v/>
      </c>
      <c r="JRP1">
        <f>IFERROR(IF((ISBLANK(VLOOKUP(JRP7,#REF!,4,FALSE)))=TRUE,VLOOKUP(JRP7,#REF!,3,FALSE),VLOOKUP(JRP7,#REF!,4,FALSE)),0)</f>
        <v/>
      </c>
      <c r="JRQ1">
        <f>IFERROR(IF((ISBLANK(VLOOKUP(JRQ7,#REF!,4,FALSE)))=TRUE,VLOOKUP(JRQ7,#REF!,3,FALSE),VLOOKUP(JRQ7,#REF!,4,FALSE)),0)</f>
        <v/>
      </c>
      <c r="JRR1">
        <f>IFERROR(IF((ISBLANK(VLOOKUP(JRR7,#REF!,4,FALSE)))=TRUE,VLOOKUP(JRR7,#REF!,3,FALSE),VLOOKUP(JRR7,#REF!,4,FALSE)),0)</f>
        <v/>
      </c>
      <c r="JRS1">
        <f>IFERROR(IF((ISBLANK(VLOOKUP(JRS7,#REF!,4,FALSE)))=TRUE,VLOOKUP(JRS7,#REF!,3,FALSE),VLOOKUP(JRS7,#REF!,4,FALSE)),0)</f>
        <v/>
      </c>
      <c r="JRT1">
        <f>IFERROR(IF((ISBLANK(VLOOKUP(JRT7,#REF!,4,FALSE)))=TRUE,VLOOKUP(JRT7,#REF!,3,FALSE),VLOOKUP(JRT7,#REF!,4,FALSE)),0)</f>
        <v/>
      </c>
      <c r="JRU1">
        <f>IFERROR(IF((ISBLANK(VLOOKUP(JRU7,#REF!,4,FALSE)))=TRUE,VLOOKUP(JRU7,#REF!,3,FALSE),VLOOKUP(JRU7,#REF!,4,FALSE)),0)</f>
        <v/>
      </c>
      <c r="JRV1">
        <f>IFERROR(IF((ISBLANK(VLOOKUP(JRV7,#REF!,4,FALSE)))=TRUE,VLOOKUP(JRV7,#REF!,3,FALSE),VLOOKUP(JRV7,#REF!,4,FALSE)),0)</f>
        <v/>
      </c>
      <c r="JRW1">
        <f>IFERROR(IF((ISBLANK(VLOOKUP(JRW7,#REF!,4,FALSE)))=TRUE,VLOOKUP(JRW7,#REF!,3,FALSE),VLOOKUP(JRW7,#REF!,4,FALSE)),0)</f>
        <v/>
      </c>
      <c r="JRX1">
        <f>IFERROR(IF((ISBLANK(VLOOKUP(JRX7,#REF!,4,FALSE)))=TRUE,VLOOKUP(JRX7,#REF!,3,FALSE),VLOOKUP(JRX7,#REF!,4,FALSE)),0)</f>
        <v/>
      </c>
      <c r="JRY1">
        <f>IFERROR(IF((ISBLANK(VLOOKUP(JRY7,#REF!,4,FALSE)))=TRUE,VLOOKUP(JRY7,#REF!,3,FALSE),VLOOKUP(JRY7,#REF!,4,FALSE)),0)</f>
        <v/>
      </c>
      <c r="JRZ1">
        <f>IFERROR(IF((ISBLANK(VLOOKUP(JRZ7,#REF!,4,FALSE)))=TRUE,VLOOKUP(JRZ7,#REF!,3,FALSE),VLOOKUP(JRZ7,#REF!,4,FALSE)),0)</f>
        <v/>
      </c>
      <c r="JSA1">
        <f>IFERROR(IF((ISBLANK(VLOOKUP(JSA7,#REF!,4,FALSE)))=TRUE,VLOOKUP(JSA7,#REF!,3,FALSE),VLOOKUP(JSA7,#REF!,4,FALSE)),0)</f>
        <v/>
      </c>
      <c r="JSB1">
        <f>IFERROR(IF((ISBLANK(VLOOKUP(JSB7,#REF!,4,FALSE)))=TRUE,VLOOKUP(JSB7,#REF!,3,FALSE),VLOOKUP(JSB7,#REF!,4,FALSE)),0)</f>
        <v/>
      </c>
      <c r="JSC1">
        <f>IFERROR(IF((ISBLANK(VLOOKUP(JSC7,#REF!,4,FALSE)))=TRUE,VLOOKUP(JSC7,#REF!,3,FALSE),VLOOKUP(JSC7,#REF!,4,FALSE)),0)</f>
        <v/>
      </c>
      <c r="JSD1">
        <f>IFERROR(IF((ISBLANK(VLOOKUP(JSD7,#REF!,4,FALSE)))=TRUE,VLOOKUP(JSD7,#REF!,3,FALSE),VLOOKUP(JSD7,#REF!,4,FALSE)),0)</f>
        <v/>
      </c>
      <c r="JSE1">
        <f>IFERROR(IF((ISBLANK(VLOOKUP(JSE7,#REF!,4,FALSE)))=TRUE,VLOOKUP(JSE7,#REF!,3,FALSE),VLOOKUP(JSE7,#REF!,4,FALSE)),0)</f>
        <v/>
      </c>
      <c r="JSF1">
        <f>IFERROR(IF((ISBLANK(VLOOKUP(JSF7,#REF!,4,FALSE)))=TRUE,VLOOKUP(JSF7,#REF!,3,FALSE),VLOOKUP(JSF7,#REF!,4,FALSE)),0)</f>
        <v/>
      </c>
      <c r="JSG1">
        <f>IFERROR(IF((ISBLANK(VLOOKUP(JSG7,#REF!,4,FALSE)))=TRUE,VLOOKUP(JSG7,#REF!,3,FALSE),VLOOKUP(JSG7,#REF!,4,FALSE)),0)</f>
        <v/>
      </c>
      <c r="JSH1">
        <f>IFERROR(IF((ISBLANK(VLOOKUP(JSH7,#REF!,4,FALSE)))=TRUE,VLOOKUP(JSH7,#REF!,3,FALSE),VLOOKUP(JSH7,#REF!,4,FALSE)),0)</f>
        <v/>
      </c>
      <c r="JSI1">
        <f>IFERROR(IF((ISBLANK(VLOOKUP(JSI7,#REF!,4,FALSE)))=TRUE,VLOOKUP(JSI7,#REF!,3,FALSE),VLOOKUP(JSI7,#REF!,4,FALSE)),0)</f>
        <v/>
      </c>
      <c r="JSJ1">
        <f>IFERROR(IF((ISBLANK(VLOOKUP(JSJ7,#REF!,4,FALSE)))=TRUE,VLOOKUP(JSJ7,#REF!,3,FALSE),VLOOKUP(JSJ7,#REF!,4,FALSE)),0)</f>
        <v/>
      </c>
      <c r="JSK1">
        <f>IFERROR(IF((ISBLANK(VLOOKUP(JSK7,#REF!,4,FALSE)))=TRUE,VLOOKUP(JSK7,#REF!,3,FALSE),VLOOKUP(JSK7,#REF!,4,FALSE)),0)</f>
        <v/>
      </c>
      <c r="JSL1">
        <f>IFERROR(IF((ISBLANK(VLOOKUP(JSL7,#REF!,4,FALSE)))=TRUE,VLOOKUP(JSL7,#REF!,3,FALSE),VLOOKUP(JSL7,#REF!,4,FALSE)),0)</f>
        <v/>
      </c>
      <c r="JSM1">
        <f>IFERROR(IF((ISBLANK(VLOOKUP(JSM7,#REF!,4,FALSE)))=TRUE,VLOOKUP(JSM7,#REF!,3,FALSE),VLOOKUP(JSM7,#REF!,4,FALSE)),0)</f>
        <v/>
      </c>
      <c r="JSN1">
        <f>IFERROR(IF((ISBLANK(VLOOKUP(JSN7,#REF!,4,FALSE)))=TRUE,VLOOKUP(JSN7,#REF!,3,FALSE),VLOOKUP(JSN7,#REF!,4,FALSE)),0)</f>
        <v/>
      </c>
      <c r="JSO1">
        <f>IFERROR(IF((ISBLANK(VLOOKUP(JSO7,#REF!,4,FALSE)))=TRUE,VLOOKUP(JSO7,#REF!,3,FALSE),VLOOKUP(JSO7,#REF!,4,FALSE)),0)</f>
        <v/>
      </c>
      <c r="JSP1">
        <f>IFERROR(IF((ISBLANK(VLOOKUP(JSP7,#REF!,4,FALSE)))=TRUE,VLOOKUP(JSP7,#REF!,3,FALSE),VLOOKUP(JSP7,#REF!,4,FALSE)),0)</f>
        <v/>
      </c>
      <c r="JSQ1">
        <f>IFERROR(IF((ISBLANK(VLOOKUP(JSQ7,#REF!,4,FALSE)))=TRUE,VLOOKUP(JSQ7,#REF!,3,FALSE),VLOOKUP(JSQ7,#REF!,4,FALSE)),0)</f>
        <v/>
      </c>
      <c r="JSR1">
        <f>IFERROR(IF((ISBLANK(VLOOKUP(JSR7,#REF!,4,FALSE)))=TRUE,VLOOKUP(JSR7,#REF!,3,FALSE),VLOOKUP(JSR7,#REF!,4,FALSE)),0)</f>
        <v/>
      </c>
      <c r="JSS1">
        <f>IFERROR(IF((ISBLANK(VLOOKUP(JSS7,#REF!,4,FALSE)))=TRUE,VLOOKUP(JSS7,#REF!,3,FALSE),VLOOKUP(JSS7,#REF!,4,FALSE)),0)</f>
        <v/>
      </c>
      <c r="JST1">
        <f>IFERROR(IF((ISBLANK(VLOOKUP(JST7,#REF!,4,FALSE)))=TRUE,VLOOKUP(JST7,#REF!,3,FALSE),VLOOKUP(JST7,#REF!,4,FALSE)),0)</f>
        <v/>
      </c>
      <c r="JSU1">
        <f>IFERROR(IF((ISBLANK(VLOOKUP(JSU7,#REF!,4,FALSE)))=TRUE,VLOOKUP(JSU7,#REF!,3,FALSE),VLOOKUP(JSU7,#REF!,4,FALSE)),0)</f>
        <v/>
      </c>
      <c r="JSV1">
        <f>IFERROR(IF((ISBLANK(VLOOKUP(JSV7,#REF!,4,FALSE)))=TRUE,VLOOKUP(JSV7,#REF!,3,FALSE),VLOOKUP(JSV7,#REF!,4,FALSE)),0)</f>
        <v/>
      </c>
      <c r="JSW1">
        <f>IFERROR(IF((ISBLANK(VLOOKUP(JSW7,#REF!,4,FALSE)))=TRUE,VLOOKUP(JSW7,#REF!,3,FALSE),VLOOKUP(JSW7,#REF!,4,FALSE)),0)</f>
        <v/>
      </c>
      <c r="JSX1">
        <f>IFERROR(IF((ISBLANK(VLOOKUP(JSX7,#REF!,4,FALSE)))=TRUE,VLOOKUP(JSX7,#REF!,3,FALSE),VLOOKUP(JSX7,#REF!,4,FALSE)),0)</f>
        <v/>
      </c>
      <c r="JSY1">
        <f>IFERROR(IF((ISBLANK(VLOOKUP(JSY7,#REF!,4,FALSE)))=TRUE,VLOOKUP(JSY7,#REF!,3,FALSE),VLOOKUP(JSY7,#REF!,4,FALSE)),0)</f>
        <v/>
      </c>
      <c r="JSZ1">
        <f>IFERROR(IF((ISBLANK(VLOOKUP(JSZ7,#REF!,4,FALSE)))=TRUE,VLOOKUP(JSZ7,#REF!,3,FALSE),VLOOKUP(JSZ7,#REF!,4,FALSE)),0)</f>
        <v/>
      </c>
      <c r="JTA1">
        <f>IFERROR(IF((ISBLANK(VLOOKUP(JTA7,#REF!,4,FALSE)))=TRUE,VLOOKUP(JTA7,#REF!,3,FALSE),VLOOKUP(JTA7,#REF!,4,FALSE)),0)</f>
        <v/>
      </c>
      <c r="JTB1">
        <f>IFERROR(IF((ISBLANK(VLOOKUP(JTB7,#REF!,4,FALSE)))=TRUE,VLOOKUP(JTB7,#REF!,3,FALSE),VLOOKUP(JTB7,#REF!,4,FALSE)),0)</f>
        <v/>
      </c>
      <c r="JTC1">
        <f>IFERROR(IF((ISBLANK(VLOOKUP(JTC7,#REF!,4,FALSE)))=TRUE,VLOOKUP(JTC7,#REF!,3,FALSE),VLOOKUP(JTC7,#REF!,4,FALSE)),0)</f>
        <v/>
      </c>
      <c r="JTD1">
        <f>IFERROR(IF((ISBLANK(VLOOKUP(JTD7,#REF!,4,FALSE)))=TRUE,VLOOKUP(JTD7,#REF!,3,FALSE),VLOOKUP(JTD7,#REF!,4,FALSE)),0)</f>
        <v/>
      </c>
      <c r="JTE1">
        <f>IFERROR(IF((ISBLANK(VLOOKUP(JTE7,#REF!,4,FALSE)))=TRUE,VLOOKUP(JTE7,#REF!,3,FALSE),VLOOKUP(JTE7,#REF!,4,FALSE)),0)</f>
        <v/>
      </c>
      <c r="JTF1">
        <f>IFERROR(IF((ISBLANK(VLOOKUP(JTF7,#REF!,4,FALSE)))=TRUE,VLOOKUP(JTF7,#REF!,3,FALSE),VLOOKUP(JTF7,#REF!,4,FALSE)),0)</f>
        <v/>
      </c>
      <c r="JTG1">
        <f>IFERROR(IF((ISBLANK(VLOOKUP(JTG7,#REF!,4,FALSE)))=TRUE,VLOOKUP(JTG7,#REF!,3,FALSE),VLOOKUP(JTG7,#REF!,4,FALSE)),0)</f>
        <v/>
      </c>
      <c r="JTH1">
        <f>IFERROR(IF((ISBLANK(VLOOKUP(JTH7,#REF!,4,FALSE)))=TRUE,VLOOKUP(JTH7,#REF!,3,FALSE),VLOOKUP(JTH7,#REF!,4,FALSE)),0)</f>
        <v/>
      </c>
      <c r="JTI1">
        <f>IFERROR(IF((ISBLANK(VLOOKUP(JTI7,#REF!,4,FALSE)))=TRUE,VLOOKUP(JTI7,#REF!,3,FALSE),VLOOKUP(JTI7,#REF!,4,FALSE)),0)</f>
        <v/>
      </c>
      <c r="JTJ1">
        <f>IFERROR(IF((ISBLANK(VLOOKUP(JTJ7,#REF!,4,FALSE)))=TRUE,VLOOKUP(JTJ7,#REF!,3,FALSE),VLOOKUP(JTJ7,#REF!,4,FALSE)),0)</f>
        <v/>
      </c>
      <c r="JTK1">
        <f>IFERROR(IF((ISBLANK(VLOOKUP(JTK7,#REF!,4,FALSE)))=TRUE,VLOOKUP(JTK7,#REF!,3,FALSE),VLOOKUP(JTK7,#REF!,4,FALSE)),0)</f>
        <v/>
      </c>
      <c r="JTL1">
        <f>IFERROR(IF((ISBLANK(VLOOKUP(JTL7,#REF!,4,FALSE)))=TRUE,VLOOKUP(JTL7,#REF!,3,FALSE),VLOOKUP(JTL7,#REF!,4,FALSE)),0)</f>
        <v/>
      </c>
      <c r="JTM1">
        <f>IFERROR(IF((ISBLANK(VLOOKUP(JTM7,#REF!,4,FALSE)))=TRUE,VLOOKUP(JTM7,#REF!,3,FALSE),VLOOKUP(JTM7,#REF!,4,FALSE)),0)</f>
        <v/>
      </c>
      <c r="JTN1">
        <f>IFERROR(IF((ISBLANK(VLOOKUP(JTN7,#REF!,4,FALSE)))=TRUE,VLOOKUP(JTN7,#REF!,3,FALSE),VLOOKUP(JTN7,#REF!,4,FALSE)),0)</f>
        <v/>
      </c>
      <c r="JTO1">
        <f>IFERROR(IF((ISBLANK(VLOOKUP(JTO7,#REF!,4,FALSE)))=TRUE,VLOOKUP(JTO7,#REF!,3,FALSE),VLOOKUP(JTO7,#REF!,4,FALSE)),0)</f>
        <v/>
      </c>
      <c r="JTP1">
        <f>IFERROR(IF((ISBLANK(VLOOKUP(JTP7,#REF!,4,FALSE)))=TRUE,VLOOKUP(JTP7,#REF!,3,FALSE),VLOOKUP(JTP7,#REF!,4,FALSE)),0)</f>
        <v/>
      </c>
      <c r="JTQ1">
        <f>IFERROR(IF((ISBLANK(VLOOKUP(JTQ7,#REF!,4,FALSE)))=TRUE,VLOOKUP(JTQ7,#REF!,3,FALSE),VLOOKUP(JTQ7,#REF!,4,FALSE)),0)</f>
        <v/>
      </c>
      <c r="JTR1">
        <f>IFERROR(IF((ISBLANK(VLOOKUP(JTR7,#REF!,4,FALSE)))=TRUE,VLOOKUP(JTR7,#REF!,3,FALSE),VLOOKUP(JTR7,#REF!,4,FALSE)),0)</f>
        <v/>
      </c>
      <c r="JTS1">
        <f>IFERROR(IF((ISBLANK(VLOOKUP(JTS7,#REF!,4,FALSE)))=TRUE,VLOOKUP(JTS7,#REF!,3,FALSE),VLOOKUP(JTS7,#REF!,4,FALSE)),0)</f>
        <v/>
      </c>
      <c r="JTT1">
        <f>IFERROR(IF((ISBLANK(VLOOKUP(JTT7,#REF!,4,FALSE)))=TRUE,VLOOKUP(JTT7,#REF!,3,FALSE),VLOOKUP(JTT7,#REF!,4,FALSE)),0)</f>
        <v/>
      </c>
      <c r="JTU1">
        <f>IFERROR(IF((ISBLANK(VLOOKUP(JTU7,#REF!,4,FALSE)))=TRUE,VLOOKUP(JTU7,#REF!,3,FALSE),VLOOKUP(JTU7,#REF!,4,FALSE)),0)</f>
        <v/>
      </c>
      <c r="JTV1">
        <f>IFERROR(IF((ISBLANK(VLOOKUP(JTV7,#REF!,4,FALSE)))=TRUE,VLOOKUP(JTV7,#REF!,3,FALSE),VLOOKUP(JTV7,#REF!,4,FALSE)),0)</f>
        <v/>
      </c>
      <c r="JTW1">
        <f>IFERROR(IF((ISBLANK(VLOOKUP(JTW7,#REF!,4,FALSE)))=TRUE,VLOOKUP(JTW7,#REF!,3,FALSE),VLOOKUP(JTW7,#REF!,4,FALSE)),0)</f>
        <v/>
      </c>
      <c r="JTX1">
        <f>IFERROR(IF((ISBLANK(VLOOKUP(JTX7,#REF!,4,FALSE)))=TRUE,VLOOKUP(JTX7,#REF!,3,FALSE),VLOOKUP(JTX7,#REF!,4,FALSE)),0)</f>
        <v/>
      </c>
      <c r="JTY1">
        <f>IFERROR(IF((ISBLANK(VLOOKUP(JTY7,#REF!,4,FALSE)))=TRUE,VLOOKUP(JTY7,#REF!,3,FALSE),VLOOKUP(JTY7,#REF!,4,FALSE)),0)</f>
        <v/>
      </c>
      <c r="JTZ1">
        <f>IFERROR(IF((ISBLANK(VLOOKUP(JTZ7,#REF!,4,FALSE)))=TRUE,VLOOKUP(JTZ7,#REF!,3,FALSE),VLOOKUP(JTZ7,#REF!,4,FALSE)),0)</f>
        <v/>
      </c>
      <c r="JUA1">
        <f>IFERROR(IF((ISBLANK(VLOOKUP(JUA7,#REF!,4,FALSE)))=TRUE,VLOOKUP(JUA7,#REF!,3,FALSE),VLOOKUP(JUA7,#REF!,4,FALSE)),0)</f>
        <v/>
      </c>
      <c r="JUB1">
        <f>IFERROR(IF((ISBLANK(VLOOKUP(JUB7,#REF!,4,FALSE)))=TRUE,VLOOKUP(JUB7,#REF!,3,FALSE),VLOOKUP(JUB7,#REF!,4,FALSE)),0)</f>
        <v/>
      </c>
      <c r="JUC1">
        <f>IFERROR(IF((ISBLANK(VLOOKUP(JUC7,#REF!,4,FALSE)))=TRUE,VLOOKUP(JUC7,#REF!,3,FALSE),VLOOKUP(JUC7,#REF!,4,FALSE)),0)</f>
        <v/>
      </c>
      <c r="JUD1">
        <f>IFERROR(IF((ISBLANK(VLOOKUP(JUD7,#REF!,4,FALSE)))=TRUE,VLOOKUP(JUD7,#REF!,3,FALSE),VLOOKUP(JUD7,#REF!,4,FALSE)),0)</f>
        <v/>
      </c>
      <c r="JUE1">
        <f>IFERROR(IF((ISBLANK(VLOOKUP(JUE7,#REF!,4,FALSE)))=TRUE,VLOOKUP(JUE7,#REF!,3,FALSE),VLOOKUP(JUE7,#REF!,4,FALSE)),0)</f>
        <v/>
      </c>
      <c r="JUF1">
        <f>IFERROR(IF((ISBLANK(VLOOKUP(JUF7,#REF!,4,FALSE)))=TRUE,VLOOKUP(JUF7,#REF!,3,FALSE),VLOOKUP(JUF7,#REF!,4,FALSE)),0)</f>
        <v/>
      </c>
      <c r="JUG1">
        <f>IFERROR(IF((ISBLANK(VLOOKUP(JUG7,#REF!,4,FALSE)))=TRUE,VLOOKUP(JUG7,#REF!,3,FALSE),VLOOKUP(JUG7,#REF!,4,FALSE)),0)</f>
        <v/>
      </c>
      <c r="JUH1">
        <f>IFERROR(IF((ISBLANK(VLOOKUP(JUH7,#REF!,4,FALSE)))=TRUE,VLOOKUP(JUH7,#REF!,3,FALSE),VLOOKUP(JUH7,#REF!,4,FALSE)),0)</f>
        <v/>
      </c>
      <c r="JUI1">
        <f>IFERROR(IF((ISBLANK(VLOOKUP(JUI7,#REF!,4,FALSE)))=TRUE,VLOOKUP(JUI7,#REF!,3,FALSE),VLOOKUP(JUI7,#REF!,4,FALSE)),0)</f>
        <v/>
      </c>
      <c r="JUJ1">
        <f>IFERROR(IF((ISBLANK(VLOOKUP(JUJ7,#REF!,4,FALSE)))=TRUE,VLOOKUP(JUJ7,#REF!,3,FALSE),VLOOKUP(JUJ7,#REF!,4,FALSE)),0)</f>
        <v/>
      </c>
      <c r="JUK1">
        <f>IFERROR(IF((ISBLANK(VLOOKUP(JUK7,#REF!,4,FALSE)))=TRUE,VLOOKUP(JUK7,#REF!,3,FALSE),VLOOKUP(JUK7,#REF!,4,FALSE)),0)</f>
        <v/>
      </c>
      <c r="JUL1">
        <f>IFERROR(IF((ISBLANK(VLOOKUP(JUL7,#REF!,4,FALSE)))=TRUE,VLOOKUP(JUL7,#REF!,3,FALSE),VLOOKUP(JUL7,#REF!,4,FALSE)),0)</f>
        <v/>
      </c>
      <c r="JUM1">
        <f>IFERROR(IF((ISBLANK(VLOOKUP(JUM7,#REF!,4,FALSE)))=TRUE,VLOOKUP(JUM7,#REF!,3,FALSE),VLOOKUP(JUM7,#REF!,4,FALSE)),0)</f>
        <v/>
      </c>
      <c r="JUN1">
        <f>IFERROR(IF((ISBLANK(VLOOKUP(JUN7,#REF!,4,FALSE)))=TRUE,VLOOKUP(JUN7,#REF!,3,FALSE),VLOOKUP(JUN7,#REF!,4,FALSE)),0)</f>
        <v/>
      </c>
      <c r="JUO1">
        <f>IFERROR(IF((ISBLANK(VLOOKUP(JUO7,#REF!,4,FALSE)))=TRUE,VLOOKUP(JUO7,#REF!,3,FALSE),VLOOKUP(JUO7,#REF!,4,FALSE)),0)</f>
        <v/>
      </c>
      <c r="JUP1">
        <f>IFERROR(IF((ISBLANK(VLOOKUP(JUP7,#REF!,4,FALSE)))=TRUE,VLOOKUP(JUP7,#REF!,3,FALSE),VLOOKUP(JUP7,#REF!,4,FALSE)),0)</f>
        <v/>
      </c>
      <c r="JUQ1">
        <f>IFERROR(IF((ISBLANK(VLOOKUP(JUQ7,#REF!,4,FALSE)))=TRUE,VLOOKUP(JUQ7,#REF!,3,FALSE),VLOOKUP(JUQ7,#REF!,4,FALSE)),0)</f>
        <v/>
      </c>
      <c r="JUR1">
        <f>IFERROR(IF((ISBLANK(VLOOKUP(JUR7,#REF!,4,FALSE)))=TRUE,VLOOKUP(JUR7,#REF!,3,FALSE),VLOOKUP(JUR7,#REF!,4,FALSE)),0)</f>
        <v/>
      </c>
      <c r="JUS1">
        <f>IFERROR(IF((ISBLANK(VLOOKUP(JUS7,#REF!,4,FALSE)))=TRUE,VLOOKUP(JUS7,#REF!,3,FALSE),VLOOKUP(JUS7,#REF!,4,FALSE)),0)</f>
        <v/>
      </c>
      <c r="JUT1">
        <f>IFERROR(IF((ISBLANK(VLOOKUP(JUT7,#REF!,4,FALSE)))=TRUE,VLOOKUP(JUT7,#REF!,3,FALSE),VLOOKUP(JUT7,#REF!,4,FALSE)),0)</f>
        <v/>
      </c>
      <c r="JUU1">
        <f>IFERROR(IF((ISBLANK(VLOOKUP(JUU7,#REF!,4,FALSE)))=TRUE,VLOOKUP(JUU7,#REF!,3,FALSE),VLOOKUP(JUU7,#REF!,4,FALSE)),0)</f>
        <v/>
      </c>
      <c r="JUV1">
        <f>IFERROR(IF((ISBLANK(VLOOKUP(JUV7,#REF!,4,FALSE)))=TRUE,VLOOKUP(JUV7,#REF!,3,FALSE),VLOOKUP(JUV7,#REF!,4,FALSE)),0)</f>
        <v/>
      </c>
      <c r="JUW1">
        <f>IFERROR(IF((ISBLANK(VLOOKUP(JUW7,#REF!,4,FALSE)))=TRUE,VLOOKUP(JUW7,#REF!,3,FALSE),VLOOKUP(JUW7,#REF!,4,FALSE)),0)</f>
        <v/>
      </c>
      <c r="JUX1">
        <f>IFERROR(IF((ISBLANK(VLOOKUP(JUX7,#REF!,4,FALSE)))=TRUE,VLOOKUP(JUX7,#REF!,3,FALSE),VLOOKUP(JUX7,#REF!,4,FALSE)),0)</f>
        <v/>
      </c>
      <c r="JUY1">
        <f>IFERROR(IF((ISBLANK(VLOOKUP(JUY7,#REF!,4,FALSE)))=TRUE,VLOOKUP(JUY7,#REF!,3,FALSE),VLOOKUP(JUY7,#REF!,4,FALSE)),0)</f>
        <v/>
      </c>
      <c r="JUZ1">
        <f>IFERROR(IF((ISBLANK(VLOOKUP(JUZ7,#REF!,4,FALSE)))=TRUE,VLOOKUP(JUZ7,#REF!,3,FALSE),VLOOKUP(JUZ7,#REF!,4,FALSE)),0)</f>
        <v/>
      </c>
      <c r="JVA1">
        <f>IFERROR(IF((ISBLANK(VLOOKUP(JVA7,#REF!,4,FALSE)))=TRUE,VLOOKUP(JVA7,#REF!,3,FALSE),VLOOKUP(JVA7,#REF!,4,FALSE)),0)</f>
        <v/>
      </c>
      <c r="JVB1">
        <f>IFERROR(IF((ISBLANK(VLOOKUP(JVB7,#REF!,4,FALSE)))=TRUE,VLOOKUP(JVB7,#REF!,3,FALSE),VLOOKUP(JVB7,#REF!,4,FALSE)),0)</f>
        <v/>
      </c>
      <c r="JVC1">
        <f>IFERROR(IF((ISBLANK(VLOOKUP(JVC7,#REF!,4,FALSE)))=TRUE,VLOOKUP(JVC7,#REF!,3,FALSE),VLOOKUP(JVC7,#REF!,4,FALSE)),0)</f>
        <v/>
      </c>
      <c r="JVD1">
        <f>IFERROR(IF((ISBLANK(VLOOKUP(JVD7,#REF!,4,FALSE)))=TRUE,VLOOKUP(JVD7,#REF!,3,FALSE),VLOOKUP(JVD7,#REF!,4,FALSE)),0)</f>
        <v/>
      </c>
      <c r="JVE1">
        <f>IFERROR(IF((ISBLANK(VLOOKUP(JVE7,#REF!,4,FALSE)))=TRUE,VLOOKUP(JVE7,#REF!,3,FALSE),VLOOKUP(JVE7,#REF!,4,FALSE)),0)</f>
        <v/>
      </c>
      <c r="JVF1">
        <f>IFERROR(IF((ISBLANK(VLOOKUP(JVF7,#REF!,4,FALSE)))=TRUE,VLOOKUP(JVF7,#REF!,3,FALSE),VLOOKUP(JVF7,#REF!,4,FALSE)),0)</f>
        <v/>
      </c>
      <c r="JVG1">
        <f>IFERROR(IF((ISBLANK(VLOOKUP(JVG7,#REF!,4,FALSE)))=TRUE,VLOOKUP(JVG7,#REF!,3,FALSE),VLOOKUP(JVG7,#REF!,4,FALSE)),0)</f>
        <v/>
      </c>
      <c r="JVH1">
        <f>IFERROR(IF((ISBLANK(VLOOKUP(JVH7,#REF!,4,FALSE)))=TRUE,VLOOKUP(JVH7,#REF!,3,FALSE),VLOOKUP(JVH7,#REF!,4,FALSE)),0)</f>
        <v/>
      </c>
      <c r="JVI1">
        <f>IFERROR(IF((ISBLANK(VLOOKUP(JVI7,#REF!,4,FALSE)))=TRUE,VLOOKUP(JVI7,#REF!,3,FALSE),VLOOKUP(JVI7,#REF!,4,FALSE)),0)</f>
        <v/>
      </c>
      <c r="JVJ1">
        <f>IFERROR(IF((ISBLANK(VLOOKUP(JVJ7,#REF!,4,FALSE)))=TRUE,VLOOKUP(JVJ7,#REF!,3,FALSE),VLOOKUP(JVJ7,#REF!,4,FALSE)),0)</f>
        <v/>
      </c>
      <c r="JVK1">
        <f>IFERROR(IF((ISBLANK(VLOOKUP(JVK7,#REF!,4,FALSE)))=TRUE,VLOOKUP(JVK7,#REF!,3,FALSE),VLOOKUP(JVK7,#REF!,4,FALSE)),0)</f>
        <v/>
      </c>
      <c r="JVL1">
        <f>IFERROR(IF((ISBLANK(VLOOKUP(JVL7,#REF!,4,FALSE)))=TRUE,VLOOKUP(JVL7,#REF!,3,FALSE),VLOOKUP(JVL7,#REF!,4,FALSE)),0)</f>
        <v/>
      </c>
      <c r="JVM1">
        <f>IFERROR(IF((ISBLANK(VLOOKUP(JVM7,#REF!,4,FALSE)))=TRUE,VLOOKUP(JVM7,#REF!,3,FALSE),VLOOKUP(JVM7,#REF!,4,FALSE)),0)</f>
        <v/>
      </c>
      <c r="JVN1">
        <f>IFERROR(IF((ISBLANK(VLOOKUP(JVN7,#REF!,4,FALSE)))=TRUE,VLOOKUP(JVN7,#REF!,3,FALSE),VLOOKUP(JVN7,#REF!,4,FALSE)),0)</f>
        <v/>
      </c>
      <c r="JVO1">
        <f>IFERROR(IF((ISBLANK(VLOOKUP(JVO7,#REF!,4,FALSE)))=TRUE,VLOOKUP(JVO7,#REF!,3,FALSE),VLOOKUP(JVO7,#REF!,4,FALSE)),0)</f>
        <v/>
      </c>
      <c r="JVP1">
        <f>IFERROR(IF((ISBLANK(VLOOKUP(JVP7,#REF!,4,FALSE)))=TRUE,VLOOKUP(JVP7,#REF!,3,FALSE),VLOOKUP(JVP7,#REF!,4,FALSE)),0)</f>
        <v/>
      </c>
      <c r="JVQ1">
        <f>IFERROR(IF((ISBLANK(VLOOKUP(JVQ7,#REF!,4,FALSE)))=TRUE,VLOOKUP(JVQ7,#REF!,3,FALSE),VLOOKUP(JVQ7,#REF!,4,FALSE)),0)</f>
        <v/>
      </c>
      <c r="JVR1">
        <f>IFERROR(IF((ISBLANK(VLOOKUP(JVR7,#REF!,4,FALSE)))=TRUE,VLOOKUP(JVR7,#REF!,3,FALSE),VLOOKUP(JVR7,#REF!,4,FALSE)),0)</f>
        <v/>
      </c>
      <c r="JVS1">
        <f>IFERROR(IF((ISBLANK(VLOOKUP(JVS7,#REF!,4,FALSE)))=TRUE,VLOOKUP(JVS7,#REF!,3,FALSE),VLOOKUP(JVS7,#REF!,4,FALSE)),0)</f>
        <v/>
      </c>
      <c r="JVT1">
        <f>IFERROR(IF((ISBLANK(VLOOKUP(JVT7,#REF!,4,FALSE)))=TRUE,VLOOKUP(JVT7,#REF!,3,FALSE),VLOOKUP(JVT7,#REF!,4,FALSE)),0)</f>
        <v/>
      </c>
      <c r="JVU1">
        <f>IFERROR(IF((ISBLANK(VLOOKUP(JVU7,#REF!,4,FALSE)))=TRUE,VLOOKUP(JVU7,#REF!,3,FALSE),VLOOKUP(JVU7,#REF!,4,FALSE)),0)</f>
        <v/>
      </c>
      <c r="JVV1">
        <f>IFERROR(IF((ISBLANK(VLOOKUP(JVV7,#REF!,4,FALSE)))=TRUE,VLOOKUP(JVV7,#REF!,3,FALSE),VLOOKUP(JVV7,#REF!,4,FALSE)),0)</f>
        <v/>
      </c>
      <c r="JVW1">
        <f>IFERROR(IF((ISBLANK(VLOOKUP(JVW7,#REF!,4,FALSE)))=TRUE,VLOOKUP(JVW7,#REF!,3,FALSE),VLOOKUP(JVW7,#REF!,4,FALSE)),0)</f>
        <v/>
      </c>
      <c r="JVX1">
        <f>IFERROR(IF((ISBLANK(VLOOKUP(JVX7,#REF!,4,FALSE)))=TRUE,VLOOKUP(JVX7,#REF!,3,FALSE),VLOOKUP(JVX7,#REF!,4,FALSE)),0)</f>
        <v/>
      </c>
      <c r="JVY1">
        <f>IFERROR(IF((ISBLANK(VLOOKUP(JVY7,#REF!,4,FALSE)))=TRUE,VLOOKUP(JVY7,#REF!,3,FALSE),VLOOKUP(JVY7,#REF!,4,FALSE)),0)</f>
        <v/>
      </c>
      <c r="JVZ1">
        <f>IFERROR(IF((ISBLANK(VLOOKUP(JVZ7,#REF!,4,FALSE)))=TRUE,VLOOKUP(JVZ7,#REF!,3,FALSE),VLOOKUP(JVZ7,#REF!,4,FALSE)),0)</f>
        <v/>
      </c>
      <c r="JWA1">
        <f>IFERROR(IF((ISBLANK(VLOOKUP(JWA7,#REF!,4,FALSE)))=TRUE,VLOOKUP(JWA7,#REF!,3,FALSE),VLOOKUP(JWA7,#REF!,4,FALSE)),0)</f>
        <v/>
      </c>
      <c r="JWB1">
        <f>IFERROR(IF((ISBLANK(VLOOKUP(JWB7,#REF!,4,FALSE)))=TRUE,VLOOKUP(JWB7,#REF!,3,FALSE),VLOOKUP(JWB7,#REF!,4,FALSE)),0)</f>
        <v/>
      </c>
      <c r="JWC1">
        <f>IFERROR(IF((ISBLANK(VLOOKUP(JWC7,#REF!,4,FALSE)))=TRUE,VLOOKUP(JWC7,#REF!,3,FALSE),VLOOKUP(JWC7,#REF!,4,FALSE)),0)</f>
        <v/>
      </c>
      <c r="JWD1">
        <f>IFERROR(IF((ISBLANK(VLOOKUP(JWD7,#REF!,4,FALSE)))=TRUE,VLOOKUP(JWD7,#REF!,3,FALSE),VLOOKUP(JWD7,#REF!,4,FALSE)),0)</f>
        <v/>
      </c>
      <c r="JWE1">
        <f>IFERROR(IF((ISBLANK(VLOOKUP(JWE7,#REF!,4,FALSE)))=TRUE,VLOOKUP(JWE7,#REF!,3,FALSE),VLOOKUP(JWE7,#REF!,4,FALSE)),0)</f>
        <v/>
      </c>
      <c r="JWF1">
        <f>IFERROR(IF((ISBLANK(VLOOKUP(JWF7,#REF!,4,FALSE)))=TRUE,VLOOKUP(JWF7,#REF!,3,FALSE),VLOOKUP(JWF7,#REF!,4,FALSE)),0)</f>
        <v/>
      </c>
      <c r="JWG1">
        <f>IFERROR(IF((ISBLANK(VLOOKUP(JWG7,#REF!,4,FALSE)))=TRUE,VLOOKUP(JWG7,#REF!,3,FALSE),VLOOKUP(JWG7,#REF!,4,FALSE)),0)</f>
        <v/>
      </c>
      <c r="JWH1">
        <f>IFERROR(IF((ISBLANK(VLOOKUP(JWH7,#REF!,4,FALSE)))=TRUE,VLOOKUP(JWH7,#REF!,3,FALSE),VLOOKUP(JWH7,#REF!,4,FALSE)),0)</f>
        <v/>
      </c>
      <c r="JWI1">
        <f>IFERROR(IF((ISBLANK(VLOOKUP(JWI7,#REF!,4,FALSE)))=TRUE,VLOOKUP(JWI7,#REF!,3,FALSE),VLOOKUP(JWI7,#REF!,4,FALSE)),0)</f>
        <v/>
      </c>
      <c r="JWJ1">
        <f>IFERROR(IF((ISBLANK(VLOOKUP(JWJ7,#REF!,4,FALSE)))=TRUE,VLOOKUP(JWJ7,#REF!,3,FALSE),VLOOKUP(JWJ7,#REF!,4,FALSE)),0)</f>
        <v/>
      </c>
      <c r="JWK1">
        <f>IFERROR(IF((ISBLANK(VLOOKUP(JWK7,#REF!,4,FALSE)))=TRUE,VLOOKUP(JWK7,#REF!,3,FALSE),VLOOKUP(JWK7,#REF!,4,FALSE)),0)</f>
        <v/>
      </c>
      <c r="JWL1">
        <f>IFERROR(IF((ISBLANK(VLOOKUP(JWL7,#REF!,4,FALSE)))=TRUE,VLOOKUP(JWL7,#REF!,3,FALSE),VLOOKUP(JWL7,#REF!,4,FALSE)),0)</f>
        <v/>
      </c>
      <c r="JWM1">
        <f>IFERROR(IF((ISBLANK(VLOOKUP(JWM7,#REF!,4,FALSE)))=TRUE,VLOOKUP(JWM7,#REF!,3,FALSE),VLOOKUP(JWM7,#REF!,4,FALSE)),0)</f>
        <v/>
      </c>
      <c r="JWN1">
        <f>IFERROR(IF((ISBLANK(VLOOKUP(JWN7,#REF!,4,FALSE)))=TRUE,VLOOKUP(JWN7,#REF!,3,FALSE),VLOOKUP(JWN7,#REF!,4,FALSE)),0)</f>
        <v/>
      </c>
      <c r="JWO1">
        <f>IFERROR(IF((ISBLANK(VLOOKUP(JWO7,#REF!,4,FALSE)))=TRUE,VLOOKUP(JWO7,#REF!,3,FALSE),VLOOKUP(JWO7,#REF!,4,FALSE)),0)</f>
        <v/>
      </c>
      <c r="JWP1">
        <f>IFERROR(IF((ISBLANK(VLOOKUP(JWP7,#REF!,4,FALSE)))=TRUE,VLOOKUP(JWP7,#REF!,3,FALSE),VLOOKUP(JWP7,#REF!,4,FALSE)),0)</f>
        <v/>
      </c>
      <c r="JWQ1">
        <f>IFERROR(IF((ISBLANK(VLOOKUP(JWQ7,#REF!,4,FALSE)))=TRUE,VLOOKUP(JWQ7,#REF!,3,FALSE),VLOOKUP(JWQ7,#REF!,4,FALSE)),0)</f>
        <v/>
      </c>
      <c r="JWR1">
        <f>IFERROR(IF((ISBLANK(VLOOKUP(JWR7,#REF!,4,FALSE)))=TRUE,VLOOKUP(JWR7,#REF!,3,FALSE),VLOOKUP(JWR7,#REF!,4,FALSE)),0)</f>
        <v/>
      </c>
      <c r="JWS1">
        <f>IFERROR(IF((ISBLANK(VLOOKUP(JWS7,#REF!,4,FALSE)))=TRUE,VLOOKUP(JWS7,#REF!,3,FALSE),VLOOKUP(JWS7,#REF!,4,FALSE)),0)</f>
        <v/>
      </c>
      <c r="JWT1">
        <f>IFERROR(IF((ISBLANK(VLOOKUP(JWT7,#REF!,4,FALSE)))=TRUE,VLOOKUP(JWT7,#REF!,3,FALSE),VLOOKUP(JWT7,#REF!,4,FALSE)),0)</f>
        <v/>
      </c>
      <c r="JWU1">
        <f>IFERROR(IF((ISBLANK(VLOOKUP(JWU7,#REF!,4,FALSE)))=TRUE,VLOOKUP(JWU7,#REF!,3,FALSE),VLOOKUP(JWU7,#REF!,4,FALSE)),0)</f>
        <v/>
      </c>
      <c r="JWV1">
        <f>IFERROR(IF((ISBLANK(VLOOKUP(JWV7,#REF!,4,FALSE)))=TRUE,VLOOKUP(JWV7,#REF!,3,FALSE),VLOOKUP(JWV7,#REF!,4,FALSE)),0)</f>
        <v/>
      </c>
      <c r="JWW1">
        <f>IFERROR(IF((ISBLANK(VLOOKUP(JWW7,#REF!,4,FALSE)))=TRUE,VLOOKUP(JWW7,#REF!,3,FALSE),VLOOKUP(JWW7,#REF!,4,FALSE)),0)</f>
        <v/>
      </c>
      <c r="JWX1">
        <f>IFERROR(IF((ISBLANK(VLOOKUP(JWX7,#REF!,4,FALSE)))=TRUE,VLOOKUP(JWX7,#REF!,3,FALSE),VLOOKUP(JWX7,#REF!,4,FALSE)),0)</f>
        <v/>
      </c>
      <c r="JWY1">
        <f>IFERROR(IF((ISBLANK(VLOOKUP(JWY7,#REF!,4,FALSE)))=TRUE,VLOOKUP(JWY7,#REF!,3,FALSE),VLOOKUP(JWY7,#REF!,4,FALSE)),0)</f>
        <v/>
      </c>
      <c r="JWZ1">
        <f>IFERROR(IF((ISBLANK(VLOOKUP(JWZ7,#REF!,4,FALSE)))=TRUE,VLOOKUP(JWZ7,#REF!,3,FALSE),VLOOKUP(JWZ7,#REF!,4,FALSE)),0)</f>
        <v/>
      </c>
      <c r="JXA1">
        <f>IFERROR(IF((ISBLANK(VLOOKUP(JXA7,#REF!,4,FALSE)))=TRUE,VLOOKUP(JXA7,#REF!,3,FALSE),VLOOKUP(JXA7,#REF!,4,FALSE)),0)</f>
        <v/>
      </c>
      <c r="JXB1">
        <f>IFERROR(IF((ISBLANK(VLOOKUP(JXB7,#REF!,4,FALSE)))=TRUE,VLOOKUP(JXB7,#REF!,3,FALSE),VLOOKUP(JXB7,#REF!,4,FALSE)),0)</f>
        <v/>
      </c>
      <c r="JXC1">
        <f>IFERROR(IF((ISBLANK(VLOOKUP(JXC7,#REF!,4,FALSE)))=TRUE,VLOOKUP(JXC7,#REF!,3,FALSE),VLOOKUP(JXC7,#REF!,4,FALSE)),0)</f>
        <v/>
      </c>
      <c r="JXD1">
        <f>IFERROR(IF((ISBLANK(VLOOKUP(JXD7,#REF!,4,FALSE)))=TRUE,VLOOKUP(JXD7,#REF!,3,FALSE),VLOOKUP(JXD7,#REF!,4,FALSE)),0)</f>
        <v/>
      </c>
      <c r="JXE1">
        <f>IFERROR(IF((ISBLANK(VLOOKUP(JXE7,#REF!,4,FALSE)))=TRUE,VLOOKUP(JXE7,#REF!,3,FALSE),VLOOKUP(JXE7,#REF!,4,FALSE)),0)</f>
        <v/>
      </c>
      <c r="JXF1">
        <f>IFERROR(IF((ISBLANK(VLOOKUP(JXF7,#REF!,4,FALSE)))=TRUE,VLOOKUP(JXF7,#REF!,3,FALSE),VLOOKUP(JXF7,#REF!,4,FALSE)),0)</f>
        <v/>
      </c>
      <c r="JXG1">
        <f>IFERROR(IF((ISBLANK(VLOOKUP(JXG7,#REF!,4,FALSE)))=TRUE,VLOOKUP(JXG7,#REF!,3,FALSE),VLOOKUP(JXG7,#REF!,4,FALSE)),0)</f>
        <v/>
      </c>
      <c r="JXH1">
        <f>IFERROR(IF((ISBLANK(VLOOKUP(JXH7,#REF!,4,FALSE)))=TRUE,VLOOKUP(JXH7,#REF!,3,FALSE),VLOOKUP(JXH7,#REF!,4,FALSE)),0)</f>
        <v/>
      </c>
      <c r="JXI1">
        <f>IFERROR(IF((ISBLANK(VLOOKUP(JXI7,#REF!,4,FALSE)))=TRUE,VLOOKUP(JXI7,#REF!,3,FALSE),VLOOKUP(JXI7,#REF!,4,FALSE)),0)</f>
        <v/>
      </c>
      <c r="JXJ1">
        <f>IFERROR(IF((ISBLANK(VLOOKUP(JXJ7,#REF!,4,FALSE)))=TRUE,VLOOKUP(JXJ7,#REF!,3,FALSE),VLOOKUP(JXJ7,#REF!,4,FALSE)),0)</f>
        <v/>
      </c>
      <c r="JXK1">
        <f>IFERROR(IF((ISBLANK(VLOOKUP(JXK7,#REF!,4,FALSE)))=TRUE,VLOOKUP(JXK7,#REF!,3,FALSE),VLOOKUP(JXK7,#REF!,4,FALSE)),0)</f>
        <v/>
      </c>
      <c r="JXL1">
        <f>IFERROR(IF((ISBLANK(VLOOKUP(JXL7,#REF!,4,FALSE)))=TRUE,VLOOKUP(JXL7,#REF!,3,FALSE),VLOOKUP(JXL7,#REF!,4,FALSE)),0)</f>
        <v/>
      </c>
      <c r="JXM1">
        <f>IFERROR(IF((ISBLANK(VLOOKUP(JXM7,#REF!,4,FALSE)))=TRUE,VLOOKUP(JXM7,#REF!,3,FALSE),VLOOKUP(JXM7,#REF!,4,FALSE)),0)</f>
        <v/>
      </c>
      <c r="JXN1">
        <f>IFERROR(IF((ISBLANK(VLOOKUP(JXN7,#REF!,4,FALSE)))=TRUE,VLOOKUP(JXN7,#REF!,3,FALSE),VLOOKUP(JXN7,#REF!,4,FALSE)),0)</f>
        <v/>
      </c>
      <c r="JXO1">
        <f>IFERROR(IF((ISBLANK(VLOOKUP(JXO7,#REF!,4,FALSE)))=TRUE,VLOOKUP(JXO7,#REF!,3,FALSE),VLOOKUP(JXO7,#REF!,4,FALSE)),0)</f>
        <v/>
      </c>
      <c r="JXP1">
        <f>IFERROR(IF((ISBLANK(VLOOKUP(JXP7,#REF!,4,FALSE)))=TRUE,VLOOKUP(JXP7,#REF!,3,FALSE),VLOOKUP(JXP7,#REF!,4,FALSE)),0)</f>
        <v/>
      </c>
      <c r="JXQ1">
        <f>IFERROR(IF((ISBLANK(VLOOKUP(JXQ7,#REF!,4,FALSE)))=TRUE,VLOOKUP(JXQ7,#REF!,3,FALSE),VLOOKUP(JXQ7,#REF!,4,FALSE)),0)</f>
        <v/>
      </c>
      <c r="JXR1">
        <f>IFERROR(IF((ISBLANK(VLOOKUP(JXR7,#REF!,4,FALSE)))=TRUE,VLOOKUP(JXR7,#REF!,3,FALSE),VLOOKUP(JXR7,#REF!,4,FALSE)),0)</f>
        <v/>
      </c>
      <c r="JXS1">
        <f>IFERROR(IF((ISBLANK(VLOOKUP(JXS7,#REF!,4,FALSE)))=TRUE,VLOOKUP(JXS7,#REF!,3,FALSE),VLOOKUP(JXS7,#REF!,4,FALSE)),0)</f>
        <v/>
      </c>
      <c r="JXT1">
        <f>IFERROR(IF((ISBLANK(VLOOKUP(JXT7,#REF!,4,FALSE)))=TRUE,VLOOKUP(JXT7,#REF!,3,FALSE),VLOOKUP(JXT7,#REF!,4,FALSE)),0)</f>
        <v/>
      </c>
      <c r="JXU1">
        <f>IFERROR(IF((ISBLANK(VLOOKUP(JXU7,#REF!,4,FALSE)))=TRUE,VLOOKUP(JXU7,#REF!,3,FALSE),VLOOKUP(JXU7,#REF!,4,FALSE)),0)</f>
        <v/>
      </c>
      <c r="JXV1">
        <f>IFERROR(IF((ISBLANK(VLOOKUP(JXV7,#REF!,4,FALSE)))=TRUE,VLOOKUP(JXV7,#REF!,3,FALSE),VLOOKUP(JXV7,#REF!,4,FALSE)),0)</f>
        <v/>
      </c>
      <c r="JXW1">
        <f>IFERROR(IF((ISBLANK(VLOOKUP(JXW7,#REF!,4,FALSE)))=TRUE,VLOOKUP(JXW7,#REF!,3,FALSE),VLOOKUP(JXW7,#REF!,4,FALSE)),0)</f>
        <v/>
      </c>
      <c r="JXX1">
        <f>IFERROR(IF((ISBLANK(VLOOKUP(JXX7,#REF!,4,FALSE)))=TRUE,VLOOKUP(JXX7,#REF!,3,FALSE),VLOOKUP(JXX7,#REF!,4,FALSE)),0)</f>
        <v/>
      </c>
      <c r="JXY1">
        <f>IFERROR(IF((ISBLANK(VLOOKUP(JXY7,#REF!,4,FALSE)))=TRUE,VLOOKUP(JXY7,#REF!,3,FALSE),VLOOKUP(JXY7,#REF!,4,FALSE)),0)</f>
        <v/>
      </c>
      <c r="JXZ1">
        <f>IFERROR(IF((ISBLANK(VLOOKUP(JXZ7,#REF!,4,FALSE)))=TRUE,VLOOKUP(JXZ7,#REF!,3,FALSE),VLOOKUP(JXZ7,#REF!,4,FALSE)),0)</f>
        <v/>
      </c>
      <c r="JYA1">
        <f>IFERROR(IF((ISBLANK(VLOOKUP(JYA7,#REF!,4,FALSE)))=TRUE,VLOOKUP(JYA7,#REF!,3,FALSE),VLOOKUP(JYA7,#REF!,4,FALSE)),0)</f>
        <v/>
      </c>
      <c r="JYB1">
        <f>IFERROR(IF((ISBLANK(VLOOKUP(JYB7,#REF!,4,FALSE)))=TRUE,VLOOKUP(JYB7,#REF!,3,FALSE),VLOOKUP(JYB7,#REF!,4,FALSE)),0)</f>
        <v/>
      </c>
      <c r="JYC1">
        <f>IFERROR(IF((ISBLANK(VLOOKUP(JYC7,#REF!,4,FALSE)))=TRUE,VLOOKUP(JYC7,#REF!,3,FALSE),VLOOKUP(JYC7,#REF!,4,FALSE)),0)</f>
        <v/>
      </c>
      <c r="JYD1">
        <f>IFERROR(IF((ISBLANK(VLOOKUP(JYD7,#REF!,4,FALSE)))=TRUE,VLOOKUP(JYD7,#REF!,3,FALSE),VLOOKUP(JYD7,#REF!,4,FALSE)),0)</f>
        <v/>
      </c>
      <c r="JYE1">
        <f>IFERROR(IF((ISBLANK(VLOOKUP(JYE7,#REF!,4,FALSE)))=TRUE,VLOOKUP(JYE7,#REF!,3,FALSE),VLOOKUP(JYE7,#REF!,4,FALSE)),0)</f>
        <v/>
      </c>
      <c r="JYF1">
        <f>IFERROR(IF((ISBLANK(VLOOKUP(JYF7,#REF!,4,FALSE)))=TRUE,VLOOKUP(JYF7,#REF!,3,FALSE),VLOOKUP(JYF7,#REF!,4,FALSE)),0)</f>
        <v/>
      </c>
      <c r="JYG1">
        <f>IFERROR(IF((ISBLANK(VLOOKUP(JYG7,#REF!,4,FALSE)))=TRUE,VLOOKUP(JYG7,#REF!,3,FALSE),VLOOKUP(JYG7,#REF!,4,FALSE)),0)</f>
        <v/>
      </c>
      <c r="JYH1">
        <f>IFERROR(IF((ISBLANK(VLOOKUP(JYH7,#REF!,4,FALSE)))=TRUE,VLOOKUP(JYH7,#REF!,3,FALSE),VLOOKUP(JYH7,#REF!,4,FALSE)),0)</f>
        <v/>
      </c>
      <c r="JYI1">
        <f>IFERROR(IF((ISBLANK(VLOOKUP(JYI7,#REF!,4,FALSE)))=TRUE,VLOOKUP(JYI7,#REF!,3,FALSE),VLOOKUP(JYI7,#REF!,4,FALSE)),0)</f>
        <v/>
      </c>
      <c r="JYJ1">
        <f>IFERROR(IF((ISBLANK(VLOOKUP(JYJ7,#REF!,4,FALSE)))=TRUE,VLOOKUP(JYJ7,#REF!,3,FALSE),VLOOKUP(JYJ7,#REF!,4,FALSE)),0)</f>
        <v/>
      </c>
      <c r="JYK1">
        <f>IFERROR(IF((ISBLANK(VLOOKUP(JYK7,#REF!,4,FALSE)))=TRUE,VLOOKUP(JYK7,#REF!,3,FALSE),VLOOKUP(JYK7,#REF!,4,FALSE)),0)</f>
        <v/>
      </c>
      <c r="JYL1">
        <f>IFERROR(IF((ISBLANK(VLOOKUP(JYL7,#REF!,4,FALSE)))=TRUE,VLOOKUP(JYL7,#REF!,3,FALSE),VLOOKUP(JYL7,#REF!,4,FALSE)),0)</f>
        <v/>
      </c>
      <c r="JYM1">
        <f>IFERROR(IF((ISBLANK(VLOOKUP(JYM7,#REF!,4,FALSE)))=TRUE,VLOOKUP(JYM7,#REF!,3,FALSE),VLOOKUP(JYM7,#REF!,4,FALSE)),0)</f>
        <v/>
      </c>
      <c r="JYN1">
        <f>IFERROR(IF((ISBLANK(VLOOKUP(JYN7,#REF!,4,FALSE)))=TRUE,VLOOKUP(JYN7,#REF!,3,FALSE),VLOOKUP(JYN7,#REF!,4,FALSE)),0)</f>
        <v/>
      </c>
      <c r="JYO1">
        <f>IFERROR(IF((ISBLANK(VLOOKUP(JYO7,#REF!,4,FALSE)))=TRUE,VLOOKUP(JYO7,#REF!,3,FALSE),VLOOKUP(JYO7,#REF!,4,FALSE)),0)</f>
        <v/>
      </c>
      <c r="JYP1">
        <f>IFERROR(IF((ISBLANK(VLOOKUP(JYP7,#REF!,4,FALSE)))=TRUE,VLOOKUP(JYP7,#REF!,3,FALSE),VLOOKUP(JYP7,#REF!,4,FALSE)),0)</f>
        <v/>
      </c>
      <c r="JYQ1">
        <f>IFERROR(IF((ISBLANK(VLOOKUP(JYQ7,#REF!,4,FALSE)))=TRUE,VLOOKUP(JYQ7,#REF!,3,FALSE),VLOOKUP(JYQ7,#REF!,4,FALSE)),0)</f>
        <v/>
      </c>
      <c r="JYR1">
        <f>IFERROR(IF((ISBLANK(VLOOKUP(JYR7,#REF!,4,FALSE)))=TRUE,VLOOKUP(JYR7,#REF!,3,FALSE),VLOOKUP(JYR7,#REF!,4,FALSE)),0)</f>
        <v/>
      </c>
      <c r="JYS1">
        <f>IFERROR(IF((ISBLANK(VLOOKUP(JYS7,#REF!,4,FALSE)))=TRUE,VLOOKUP(JYS7,#REF!,3,FALSE),VLOOKUP(JYS7,#REF!,4,FALSE)),0)</f>
        <v/>
      </c>
      <c r="JYT1">
        <f>IFERROR(IF((ISBLANK(VLOOKUP(JYT7,#REF!,4,FALSE)))=TRUE,VLOOKUP(JYT7,#REF!,3,FALSE),VLOOKUP(JYT7,#REF!,4,FALSE)),0)</f>
        <v/>
      </c>
      <c r="JYU1">
        <f>IFERROR(IF((ISBLANK(VLOOKUP(JYU7,#REF!,4,FALSE)))=TRUE,VLOOKUP(JYU7,#REF!,3,FALSE),VLOOKUP(JYU7,#REF!,4,FALSE)),0)</f>
        <v/>
      </c>
      <c r="JYV1">
        <f>IFERROR(IF((ISBLANK(VLOOKUP(JYV7,#REF!,4,FALSE)))=TRUE,VLOOKUP(JYV7,#REF!,3,FALSE),VLOOKUP(JYV7,#REF!,4,FALSE)),0)</f>
        <v/>
      </c>
      <c r="JYW1">
        <f>IFERROR(IF((ISBLANK(VLOOKUP(JYW7,#REF!,4,FALSE)))=TRUE,VLOOKUP(JYW7,#REF!,3,FALSE),VLOOKUP(JYW7,#REF!,4,FALSE)),0)</f>
        <v/>
      </c>
      <c r="JYX1">
        <f>IFERROR(IF((ISBLANK(VLOOKUP(JYX7,#REF!,4,FALSE)))=TRUE,VLOOKUP(JYX7,#REF!,3,FALSE),VLOOKUP(JYX7,#REF!,4,FALSE)),0)</f>
        <v/>
      </c>
      <c r="JYY1">
        <f>IFERROR(IF((ISBLANK(VLOOKUP(JYY7,#REF!,4,FALSE)))=TRUE,VLOOKUP(JYY7,#REF!,3,FALSE),VLOOKUP(JYY7,#REF!,4,FALSE)),0)</f>
        <v/>
      </c>
      <c r="JYZ1">
        <f>IFERROR(IF((ISBLANK(VLOOKUP(JYZ7,#REF!,4,FALSE)))=TRUE,VLOOKUP(JYZ7,#REF!,3,FALSE),VLOOKUP(JYZ7,#REF!,4,FALSE)),0)</f>
        <v/>
      </c>
      <c r="JZA1">
        <f>IFERROR(IF((ISBLANK(VLOOKUP(JZA7,#REF!,4,FALSE)))=TRUE,VLOOKUP(JZA7,#REF!,3,FALSE),VLOOKUP(JZA7,#REF!,4,FALSE)),0)</f>
        <v/>
      </c>
      <c r="JZB1">
        <f>IFERROR(IF((ISBLANK(VLOOKUP(JZB7,#REF!,4,FALSE)))=TRUE,VLOOKUP(JZB7,#REF!,3,FALSE),VLOOKUP(JZB7,#REF!,4,FALSE)),0)</f>
        <v/>
      </c>
      <c r="JZC1">
        <f>IFERROR(IF((ISBLANK(VLOOKUP(JZC7,#REF!,4,FALSE)))=TRUE,VLOOKUP(JZC7,#REF!,3,FALSE),VLOOKUP(JZC7,#REF!,4,FALSE)),0)</f>
        <v/>
      </c>
      <c r="JZD1">
        <f>IFERROR(IF((ISBLANK(VLOOKUP(JZD7,#REF!,4,FALSE)))=TRUE,VLOOKUP(JZD7,#REF!,3,FALSE),VLOOKUP(JZD7,#REF!,4,FALSE)),0)</f>
        <v/>
      </c>
      <c r="JZE1">
        <f>IFERROR(IF((ISBLANK(VLOOKUP(JZE7,#REF!,4,FALSE)))=TRUE,VLOOKUP(JZE7,#REF!,3,FALSE),VLOOKUP(JZE7,#REF!,4,FALSE)),0)</f>
        <v/>
      </c>
      <c r="JZF1">
        <f>IFERROR(IF((ISBLANK(VLOOKUP(JZF7,#REF!,4,FALSE)))=TRUE,VLOOKUP(JZF7,#REF!,3,FALSE),VLOOKUP(JZF7,#REF!,4,FALSE)),0)</f>
        <v/>
      </c>
      <c r="JZG1">
        <f>IFERROR(IF((ISBLANK(VLOOKUP(JZG7,#REF!,4,FALSE)))=TRUE,VLOOKUP(JZG7,#REF!,3,FALSE),VLOOKUP(JZG7,#REF!,4,FALSE)),0)</f>
        <v/>
      </c>
      <c r="JZH1">
        <f>IFERROR(IF((ISBLANK(VLOOKUP(JZH7,#REF!,4,FALSE)))=TRUE,VLOOKUP(JZH7,#REF!,3,FALSE),VLOOKUP(JZH7,#REF!,4,FALSE)),0)</f>
        <v/>
      </c>
      <c r="JZI1">
        <f>IFERROR(IF((ISBLANK(VLOOKUP(JZI7,#REF!,4,FALSE)))=TRUE,VLOOKUP(JZI7,#REF!,3,FALSE),VLOOKUP(JZI7,#REF!,4,FALSE)),0)</f>
        <v/>
      </c>
      <c r="JZJ1">
        <f>IFERROR(IF((ISBLANK(VLOOKUP(JZJ7,#REF!,4,FALSE)))=TRUE,VLOOKUP(JZJ7,#REF!,3,FALSE),VLOOKUP(JZJ7,#REF!,4,FALSE)),0)</f>
        <v/>
      </c>
      <c r="JZK1">
        <f>IFERROR(IF((ISBLANK(VLOOKUP(JZK7,#REF!,4,FALSE)))=TRUE,VLOOKUP(JZK7,#REF!,3,FALSE),VLOOKUP(JZK7,#REF!,4,FALSE)),0)</f>
        <v/>
      </c>
      <c r="JZL1">
        <f>IFERROR(IF((ISBLANK(VLOOKUP(JZL7,#REF!,4,FALSE)))=TRUE,VLOOKUP(JZL7,#REF!,3,FALSE),VLOOKUP(JZL7,#REF!,4,FALSE)),0)</f>
        <v/>
      </c>
      <c r="JZM1">
        <f>IFERROR(IF((ISBLANK(VLOOKUP(JZM7,#REF!,4,FALSE)))=TRUE,VLOOKUP(JZM7,#REF!,3,FALSE),VLOOKUP(JZM7,#REF!,4,FALSE)),0)</f>
        <v/>
      </c>
      <c r="JZN1">
        <f>IFERROR(IF((ISBLANK(VLOOKUP(JZN7,#REF!,4,FALSE)))=TRUE,VLOOKUP(JZN7,#REF!,3,FALSE),VLOOKUP(JZN7,#REF!,4,FALSE)),0)</f>
        <v/>
      </c>
      <c r="JZO1">
        <f>IFERROR(IF((ISBLANK(VLOOKUP(JZO7,#REF!,4,FALSE)))=TRUE,VLOOKUP(JZO7,#REF!,3,FALSE),VLOOKUP(JZO7,#REF!,4,FALSE)),0)</f>
        <v/>
      </c>
      <c r="JZP1">
        <f>IFERROR(IF((ISBLANK(VLOOKUP(JZP7,#REF!,4,FALSE)))=TRUE,VLOOKUP(JZP7,#REF!,3,FALSE),VLOOKUP(JZP7,#REF!,4,FALSE)),0)</f>
        <v/>
      </c>
      <c r="JZQ1">
        <f>IFERROR(IF((ISBLANK(VLOOKUP(JZQ7,#REF!,4,FALSE)))=TRUE,VLOOKUP(JZQ7,#REF!,3,FALSE),VLOOKUP(JZQ7,#REF!,4,FALSE)),0)</f>
        <v/>
      </c>
      <c r="JZR1">
        <f>IFERROR(IF((ISBLANK(VLOOKUP(JZR7,#REF!,4,FALSE)))=TRUE,VLOOKUP(JZR7,#REF!,3,FALSE),VLOOKUP(JZR7,#REF!,4,FALSE)),0)</f>
        <v/>
      </c>
      <c r="JZS1">
        <f>IFERROR(IF((ISBLANK(VLOOKUP(JZS7,#REF!,4,FALSE)))=TRUE,VLOOKUP(JZS7,#REF!,3,FALSE),VLOOKUP(JZS7,#REF!,4,FALSE)),0)</f>
        <v/>
      </c>
      <c r="JZT1">
        <f>IFERROR(IF((ISBLANK(VLOOKUP(JZT7,#REF!,4,FALSE)))=TRUE,VLOOKUP(JZT7,#REF!,3,FALSE),VLOOKUP(JZT7,#REF!,4,FALSE)),0)</f>
        <v/>
      </c>
      <c r="JZU1">
        <f>IFERROR(IF((ISBLANK(VLOOKUP(JZU7,#REF!,4,FALSE)))=TRUE,VLOOKUP(JZU7,#REF!,3,FALSE),VLOOKUP(JZU7,#REF!,4,FALSE)),0)</f>
        <v/>
      </c>
      <c r="JZV1">
        <f>IFERROR(IF((ISBLANK(VLOOKUP(JZV7,#REF!,4,FALSE)))=TRUE,VLOOKUP(JZV7,#REF!,3,FALSE),VLOOKUP(JZV7,#REF!,4,FALSE)),0)</f>
        <v/>
      </c>
      <c r="JZW1">
        <f>IFERROR(IF((ISBLANK(VLOOKUP(JZW7,#REF!,4,FALSE)))=TRUE,VLOOKUP(JZW7,#REF!,3,FALSE),VLOOKUP(JZW7,#REF!,4,FALSE)),0)</f>
        <v/>
      </c>
      <c r="JZX1">
        <f>IFERROR(IF((ISBLANK(VLOOKUP(JZX7,#REF!,4,FALSE)))=TRUE,VLOOKUP(JZX7,#REF!,3,FALSE),VLOOKUP(JZX7,#REF!,4,FALSE)),0)</f>
        <v/>
      </c>
      <c r="JZY1">
        <f>IFERROR(IF((ISBLANK(VLOOKUP(JZY7,#REF!,4,FALSE)))=TRUE,VLOOKUP(JZY7,#REF!,3,FALSE),VLOOKUP(JZY7,#REF!,4,FALSE)),0)</f>
        <v/>
      </c>
      <c r="JZZ1">
        <f>IFERROR(IF((ISBLANK(VLOOKUP(JZZ7,#REF!,4,FALSE)))=TRUE,VLOOKUP(JZZ7,#REF!,3,FALSE),VLOOKUP(JZZ7,#REF!,4,FALSE)),0)</f>
        <v/>
      </c>
      <c r="KAA1">
        <f>IFERROR(IF((ISBLANK(VLOOKUP(KAA7,#REF!,4,FALSE)))=TRUE,VLOOKUP(KAA7,#REF!,3,FALSE),VLOOKUP(KAA7,#REF!,4,FALSE)),0)</f>
        <v/>
      </c>
      <c r="KAB1">
        <f>IFERROR(IF((ISBLANK(VLOOKUP(KAB7,#REF!,4,FALSE)))=TRUE,VLOOKUP(KAB7,#REF!,3,FALSE),VLOOKUP(KAB7,#REF!,4,FALSE)),0)</f>
        <v/>
      </c>
      <c r="KAC1">
        <f>IFERROR(IF((ISBLANK(VLOOKUP(KAC7,#REF!,4,FALSE)))=TRUE,VLOOKUP(KAC7,#REF!,3,FALSE),VLOOKUP(KAC7,#REF!,4,FALSE)),0)</f>
        <v/>
      </c>
      <c r="KAD1">
        <f>IFERROR(IF((ISBLANK(VLOOKUP(KAD7,#REF!,4,FALSE)))=TRUE,VLOOKUP(KAD7,#REF!,3,FALSE),VLOOKUP(KAD7,#REF!,4,FALSE)),0)</f>
        <v/>
      </c>
      <c r="KAE1">
        <f>IFERROR(IF((ISBLANK(VLOOKUP(KAE7,#REF!,4,FALSE)))=TRUE,VLOOKUP(KAE7,#REF!,3,FALSE),VLOOKUP(KAE7,#REF!,4,FALSE)),0)</f>
        <v/>
      </c>
      <c r="KAF1">
        <f>IFERROR(IF((ISBLANK(VLOOKUP(KAF7,#REF!,4,FALSE)))=TRUE,VLOOKUP(KAF7,#REF!,3,FALSE),VLOOKUP(KAF7,#REF!,4,FALSE)),0)</f>
        <v/>
      </c>
      <c r="KAG1">
        <f>IFERROR(IF((ISBLANK(VLOOKUP(KAG7,#REF!,4,FALSE)))=TRUE,VLOOKUP(KAG7,#REF!,3,FALSE),VLOOKUP(KAG7,#REF!,4,FALSE)),0)</f>
        <v/>
      </c>
      <c r="KAH1">
        <f>IFERROR(IF((ISBLANK(VLOOKUP(KAH7,#REF!,4,FALSE)))=TRUE,VLOOKUP(KAH7,#REF!,3,FALSE),VLOOKUP(KAH7,#REF!,4,FALSE)),0)</f>
        <v/>
      </c>
      <c r="KAI1">
        <f>IFERROR(IF((ISBLANK(VLOOKUP(KAI7,#REF!,4,FALSE)))=TRUE,VLOOKUP(KAI7,#REF!,3,FALSE),VLOOKUP(KAI7,#REF!,4,FALSE)),0)</f>
        <v/>
      </c>
      <c r="KAJ1">
        <f>IFERROR(IF((ISBLANK(VLOOKUP(KAJ7,#REF!,4,FALSE)))=TRUE,VLOOKUP(KAJ7,#REF!,3,FALSE),VLOOKUP(KAJ7,#REF!,4,FALSE)),0)</f>
        <v/>
      </c>
      <c r="KAK1">
        <f>IFERROR(IF((ISBLANK(VLOOKUP(KAK7,#REF!,4,FALSE)))=TRUE,VLOOKUP(KAK7,#REF!,3,FALSE),VLOOKUP(KAK7,#REF!,4,FALSE)),0)</f>
        <v/>
      </c>
      <c r="KAL1">
        <f>IFERROR(IF((ISBLANK(VLOOKUP(KAL7,#REF!,4,FALSE)))=TRUE,VLOOKUP(KAL7,#REF!,3,FALSE),VLOOKUP(KAL7,#REF!,4,FALSE)),0)</f>
        <v/>
      </c>
      <c r="KAM1">
        <f>IFERROR(IF((ISBLANK(VLOOKUP(KAM7,#REF!,4,FALSE)))=TRUE,VLOOKUP(KAM7,#REF!,3,FALSE),VLOOKUP(KAM7,#REF!,4,FALSE)),0)</f>
        <v/>
      </c>
      <c r="KAN1">
        <f>IFERROR(IF((ISBLANK(VLOOKUP(KAN7,#REF!,4,FALSE)))=TRUE,VLOOKUP(KAN7,#REF!,3,FALSE),VLOOKUP(KAN7,#REF!,4,FALSE)),0)</f>
        <v/>
      </c>
      <c r="KAO1">
        <f>IFERROR(IF((ISBLANK(VLOOKUP(KAO7,#REF!,4,FALSE)))=TRUE,VLOOKUP(KAO7,#REF!,3,FALSE),VLOOKUP(KAO7,#REF!,4,FALSE)),0)</f>
        <v/>
      </c>
      <c r="KAP1">
        <f>IFERROR(IF((ISBLANK(VLOOKUP(KAP7,#REF!,4,FALSE)))=TRUE,VLOOKUP(KAP7,#REF!,3,FALSE),VLOOKUP(KAP7,#REF!,4,FALSE)),0)</f>
        <v/>
      </c>
      <c r="KAQ1">
        <f>IFERROR(IF((ISBLANK(VLOOKUP(KAQ7,#REF!,4,FALSE)))=TRUE,VLOOKUP(KAQ7,#REF!,3,FALSE),VLOOKUP(KAQ7,#REF!,4,FALSE)),0)</f>
        <v/>
      </c>
      <c r="KAR1">
        <f>IFERROR(IF((ISBLANK(VLOOKUP(KAR7,#REF!,4,FALSE)))=TRUE,VLOOKUP(KAR7,#REF!,3,FALSE),VLOOKUP(KAR7,#REF!,4,FALSE)),0)</f>
        <v/>
      </c>
      <c r="KAS1">
        <f>IFERROR(IF((ISBLANK(VLOOKUP(KAS7,#REF!,4,FALSE)))=TRUE,VLOOKUP(KAS7,#REF!,3,FALSE),VLOOKUP(KAS7,#REF!,4,FALSE)),0)</f>
        <v/>
      </c>
      <c r="KAT1">
        <f>IFERROR(IF((ISBLANK(VLOOKUP(KAT7,#REF!,4,FALSE)))=TRUE,VLOOKUP(KAT7,#REF!,3,FALSE),VLOOKUP(KAT7,#REF!,4,FALSE)),0)</f>
        <v/>
      </c>
      <c r="KAU1">
        <f>IFERROR(IF((ISBLANK(VLOOKUP(KAU7,#REF!,4,FALSE)))=TRUE,VLOOKUP(KAU7,#REF!,3,FALSE),VLOOKUP(KAU7,#REF!,4,FALSE)),0)</f>
        <v/>
      </c>
      <c r="KAV1">
        <f>IFERROR(IF((ISBLANK(VLOOKUP(KAV7,#REF!,4,FALSE)))=TRUE,VLOOKUP(KAV7,#REF!,3,FALSE),VLOOKUP(KAV7,#REF!,4,FALSE)),0)</f>
        <v/>
      </c>
      <c r="KAW1">
        <f>IFERROR(IF((ISBLANK(VLOOKUP(KAW7,#REF!,4,FALSE)))=TRUE,VLOOKUP(KAW7,#REF!,3,FALSE),VLOOKUP(KAW7,#REF!,4,FALSE)),0)</f>
        <v/>
      </c>
      <c r="KAX1">
        <f>IFERROR(IF((ISBLANK(VLOOKUP(KAX7,#REF!,4,FALSE)))=TRUE,VLOOKUP(KAX7,#REF!,3,FALSE),VLOOKUP(KAX7,#REF!,4,FALSE)),0)</f>
        <v/>
      </c>
      <c r="KAY1">
        <f>IFERROR(IF((ISBLANK(VLOOKUP(KAY7,#REF!,4,FALSE)))=TRUE,VLOOKUP(KAY7,#REF!,3,FALSE),VLOOKUP(KAY7,#REF!,4,FALSE)),0)</f>
        <v/>
      </c>
      <c r="KAZ1">
        <f>IFERROR(IF((ISBLANK(VLOOKUP(KAZ7,#REF!,4,FALSE)))=TRUE,VLOOKUP(KAZ7,#REF!,3,FALSE),VLOOKUP(KAZ7,#REF!,4,FALSE)),0)</f>
        <v/>
      </c>
      <c r="KBA1">
        <f>IFERROR(IF((ISBLANK(VLOOKUP(KBA7,#REF!,4,FALSE)))=TRUE,VLOOKUP(KBA7,#REF!,3,FALSE),VLOOKUP(KBA7,#REF!,4,FALSE)),0)</f>
        <v/>
      </c>
      <c r="KBB1">
        <f>IFERROR(IF((ISBLANK(VLOOKUP(KBB7,#REF!,4,FALSE)))=TRUE,VLOOKUP(KBB7,#REF!,3,FALSE),VLOOKUP(KBB7,#REF!,4,FALSE)),0)</f>
        <v/>
      </c>
      <c r="KBC1">
        <f>IFERROR(IF((ISBLANK(VLOOKUP(KBC7,#REF!,4,FALSE)))=TRUE,VLOOKUP(KBC7,#REF!,3,FALSE),VLOOKUP(KBC7,#REF!,4,FALSE)),0)</f>
        <v/>
      </c>
      <c r="KBD1">
        <f>IFERROR(IF((ISBLANK(VLOOKUP(KBD7,#REF!,4,FALSE)))=TRUE,VLOOKUP(KBD7,#REF!,3,FALSE),VLOOKUP(KBD7,#REF!,4,FALSE)),0)</f>
        <v/>
      </c>
      <c r="KBE1">
        <f>IFERROR(IF((ISBLANK(VLOOKUP(KBE7,#REF!,4,FALSE)))=TRUE,VLOOKUP(KBE7,#REF!,3,FALSE),VLOOKUP(KBE7,#REF!,4,FALSE)),0)</f>
        <v/>
      </c>
      <c r="KBF1">
        <f>IFERROR(IF((ISBLANK(VLOOKUP(KBF7,#REF!,4,FALSE)))=TRUE,VLOOKUP(KBF7,#REF!,3,FALSE),VLOOKUP(KBF7,#REF!,4,FALSE)),0)</f>
        <v/>
      </c>
      <c r="KBG1">
        <f>IFERROR(IF((ISBLANK(VLOOKUP(KBG7,#REF!,4,FALSE)))=TRUE,VLOOKUP(KBG7,#REF!,3,FALSE),VLOOKUP(KBG7,#REF!,4,FALSE)),0)</f>
        <v/>
      </c>
      <c r="KBH1">
        <f>IFERROR(IF((ISBLANK(VLOOKUP(KBH7,#REF!,4,FALSE)))=TRUE,VLOOKUP(KBH7,#REF!,3,FALSE),VLOOKUP(KBH7,#REF!,4,FALSE)),0)</f>
        <v/>
      </c>
      <c r="KBI1">
        <f>IFERROR(IF((ISBLANK(VLOOKUP(KBI7,#REF!,4,FALSE)))=TRUE,VLOOKUP(KBI7,#REF!,3,FALSE),VLOOKUP(KBI7,#REF!,4,FALSE)),0)</f>
        <v/>
      </c>
      <c r="KBJ1">
        <f>IFERROR(IF((ISBLANK(VLOOKUP(KBJ7,#REF!,4,FALSE)))=TRUE,VLOOKUP(KBJ7,#REF!,3,FALSE),VLOOKUP(KBJ7,#REF!,4,FALSE)),0)</f>
        <v/>
      </c>
      <c r="KBK1">
        <f>IFERROR(IF((ISBLANK(VLOOKUP(KBK7,#REF!,4,FALSE)))=TRUE,VLOOKUP(KBK7,#REF!,3,FALSE),VLOOKUP(KBK7,#REF!,4,FALSE)),0)</f>
        <v/>
      </c>
      <c r="KBL1">
        <f>IFERROR(IF((ISBLANK(VLOOKUP(KBL7,#REF!,4,FALSE)))=TRUE,VLOOKUP(KBL7,#REF!,3,FALSE),VLOOKUP(KBL7,#REF!,4,FALSE)),0)</f>
        <v/>
      </c>
      <c r="KBM1">
        <f>IFERROR(IF((ISBLANK(VLOOKUP(KBM7,#REF!,4,FALSE)))=TRUE,VLOOKUP(KBM7,#REF!,3,FALSE),VLOOKUP(KBM7,#REF!,4,FALSE)),0)</f>
        <v/>
      </c>
      <c r="KBN1">
        <f>IFERROR(IF((ISBLANK(VLOOKUP(KBN7,#REF!,4,FALSE)))=TRUE,VLOOKUP(KBN7,#REF!,3,FALSE),VLOOKUP(KBN7,#REF!,4,FALSE)),0)</f>
        <v/>
      </c>
      <c r="KBO1">
        <f>IFERROR(IF((ISBLANK(VLOOKUP(KBO7,#REF!,4,FALSE)))=TRUE,VLOOKUP(KBO7,#REF!,3,FALSE),VLOOKUP(KBO7,#REF!,4,FALSE)),0)</f>
        <v/>
      </c>
      <c r="KBP1">
        <f>IFERROR(IF((ISBLANK(VLOOKUP(KBP7,#REF!,4,FALSE)))=TRUE,VLOOKUP(KBP7,#REF!,3,FALSE),VLOOKUP(KBP7,#REF!,4,FALSE)),0)</f>
        <v/>
      </c>
      <c r="KBQ1">
        <f>IFERROR(IF((ISBLANK(VLOOKUP(KBQ7,#REF!,4,FALSE)))=TRUE,VLOOKUP(KBQ7,#REF!,3,FALSE),VLOOKUP(KBQ7,#REF!,4,FALSE)),0)</f>
        <v/>
      </c>
      <c r="KBR1">
        <f>IFERROR(IF((ISBLANK(VLOOKUP(KBR7,#REF!,4,FALSE)))=TRUE,VLOOKUP(KBR7,#REF!,3,FALSE),VLOOKUP(KBR7,#REF!,4,FALSE)),0)</f>
        <v/>
      </c>
      <c r="KBS1">
        <f>IFERROR(IF((ISBLANK(VLOOKUP(KBS7,#REF!,4,FALSE)))=TRUE,VLOOKUP(KBS7,#REF!,3,FALSE),VLOOKUP(KBS7,#REF!,4,FALSE)),0)</f>
        <v/>
      </c>
      <c r="KBT1">
        <f>IFERROR(IF((ISBLANK(VLOOKUP(KBT7,#REF!,4,FALSE)))=TRUE,VLOOKUP(KBT7,#REF!,3,FALSE),VLOOKUP(KBT7,#REF!,4,FALSE)),0)</f>
        <v/>
      </c>
      <c r="KBU1">
        <f>IFERROR(IF((ISBLANK(VLOOKUP(KBU7,#REF!,4,FALSE)))=TRUE,VLOOKUP(KBU7,#REF!,3,FALSE),VLOOKUP(KBU7,#REF!,4,FALSE)),0)</f>
        <v/>
      </c>
      <c r="KBV1">
        <f>IFERROR(IF((ISBLANK(VLOOKUP(KBV7,#REF!,4,FALSE)))=TRUE,VLOOKUP(KBV7,#REF!,3,FALSE),VLOOKUP(KBV7,#REF!,4,FALSE)),0)</f>
        <v/>
      </c>
      <c r="KBW1">
        <f>IFERROR(IF((ISBLANK(VLOOKUP(KBW7,#REF!,4,FALSE)))=TRUE,VLOOKUP(KBW7,#REF!,3,FALSE),VLOOKUP(KBW7,#REF!,4,FALSE)),0)</f>
        <v/>
      </c>
      <c r="KBX1">
        <f>IFERROR(IF((ISBLANK(VLOOKUP(KBX7,#REF!,4,FALSE)))=TRUE,VLOOKUP(KBX7,#REF!,3,FALSE),VLOOKUP(KBX7,#REF!,4,FALSE)),0)</f>
        <v/>
      </c>
      <c r="KBY1">
        <f>IFERROR(IF((ISBLANK(VLOOKUP(KBY7,#REF!,4,FALSE)))=TRUE,VLOOKUP(KBY7,#REF!,3,FALSE),VLOOKUP(KBY7,#REF!,4,FALSE)),0)</f>
        <v/>
      </c>
      <c r="KBZ1">
        <f>IFERROR(IF((ISBLANK(VLOOKUP(KBZ7,#REF!,4,FALSE)))=TRUE,VLOOKUP(KBZ7,#REF!,3,FALSE),VLOOKUP(KBZ7,#REF!,4,FALSE)),0)</f>
        <v/>
      </c>
      <c r="KCA1">
        <f>IFERROR(IF((ISBLANK(VLOOKUP(KCA7,#REF!,4,FALSE)))=TRUE,VLOOKUP(KCA7,#REF!,3,FALSE),VLOOKUP(KCA7,#REF!,4,FALSE)),0)</f>
        <v/>
      </c>
      <c r="KCB1">
        <f>IFERROR(IF((ISBLANK(VLOOKUP(KCB7,#REF!,4,FALSE)))=TRUE,VLOOKUP(KCB7,#REF!,3,FALSE),VLOOKUP(KCB7,#REF!,4,FALSE)),0)</f>
        <v/>
      </c>
      <c r="KCC1">
        <f>IFERROR(IF((ISBLANK(VLOOKUP(KCC7,#REF!,4,FALSE)))=TRUE,VLOOKUP(KCC7,#REF!,3,FALSE),VLOOKUP(KCC7,#REF!,4,FALSE)),0)</f>
        <v/>
      </c>
      <c r="KCD1">
        <f>IFERROR(IF((ISBLANK(VLOOKUP(KCD7,#REF!,4,FALSE)))=TRUE,VLOOKUP(KCD7,#REF!,3,FALSE),VLOOKUP(KCD7,#REF!,4,FALSE)),0)</f>
        <v/>
      </c>
      <c r="KCE1">
        <f>IFERROR(IF((ISBLANK(VLOOKUP(KCE7,#REF!,4,FALSE)))=TRUE,VLOOKUP(KCE7,#REF!,3,FALSE),VLOOKUP(KCE7,#REF!,4,FALSE)),0)</f>
        <v/>
      </c>
      <c r="KCF1">
        <f>IFERROR(IF((ISBLANK(VLOOKUP(KCF7,#REF!,4,FALSE)))=TRUE,VLOOKUP(KCF7,#REF!,3,FALSE),VLOOKUP(KCF7,#REF!,4,FALSE)),0)</f>
        <v/>
      </c>
      <c r="KCG1">
        <f>IFERROR(IF((ISBLANK(VLOOKUP(KCG7,#REF!,4,FALSE)))=TRUE,VLOOKUP(KCG7,#REF!,3,FALSE),VLOOKUP(KCG7,#REF!,4,FALSE)),0)</f>
        <v/>
      </c>
      <c r="KCH1">
        <f>IFERROR(IF((ISBLANK(VLOOKUP(KCH7,#REF!,4,FALSE)))=TRUE,VLOOKUP(KCH7,#REF!,3,FALSE),VLOOKUP(KCH7,#REF!,4,FALSE)),0)</f>
        <v/>
      </c>
      <c r="KCI1">
        <f>IFERROR(IF((ISBLANK(VLOOKUP(KCI7,#REF!,4,FALSE)))=TRUE,VLOOKUP(KCI7,#REF!,3,FALSE),VLOOKUP(KCI7,#REF!,4,FALSE)),0)</f>
        <v/>
      </c>
      <c r="KCJ1">
        <f>IFERROR(IF((ISBLANK(VLOOKUP(KCJ7,#REF!,4,FALSE)))=TRUE,VLOOKUP(KCJ7,#REF!,3,FALSE),VLOOKUP(KCJ7,#REF!,4,FALSE)),0)</f>
        <v/>
      </c>
      <c r="KCK1">
        <f>IFERROR(IF((ISBLANK(VLOOKUP(KCK7,#REF!,4,FALSE)))=TRUE,VLOOKUP(KCK7,#REF!,3,FALSE),VLOOKUP(KCK7,#REF!,4,FALSE)),0)</f>
        <v/>
      </c>
      <c r="KCL1">
        <f>IFERROR(IF((ISBLANK(VLOOKUP(KCL7,#REF!,4,FALSE)))=TRUE,VLOOKUP(KCL7,#REF!,3,FALSE),VLOOKUP(KCL7,#REF!,4,FALSE)),0)</f>
        <v/>
      </c>
      <c r="KCM1">
        <f>IFERROR(IF((ISBLANK(VLOOKUP(KCM7,#REF!,4,FALSE)))=TRUE,VLOOKUP(KCM7,#REF!,3,FALSE),VLOOKUP(KCM7,#REF!,4,FALSE)),0)</f>
        <v/>
      </c>
      <c r="KCN1">
        <f>IFERROR(IF((ISBLANK(VLOOKUP(KCN7,#REF!,4,FALSE)))=TRUE,VLOOKUP(KCN7,#REF!,3,FALSE),VLOOKUP(KCN7,#REF!,4,FALSE)),0)</f>
        <v/>
      </c>
      <c r="KCO1">
        <f>IFERROR(IF((ISBLANK(VLOOKUP(KCO7,#REF!,4,FALSE)))=TRUE,VLOOKUP(KCO7,#REF!,3,FALSE),VLOOKUP(KCO7,#REF!,4,FALSE)),0)</f>
        <v/>
      </c>
      <c r="KCP1">
        <f>IFERROR(IF((ISBLANK(VLOOKUP(KCP7,#REF!,4,FALSE)))=TRUE,VLOOKUP(KCP7,#REF!,3,FALSE),VLOOKUP(KCP7,#REF!,4,FALSE)),0)</f>
        <v/>
      </c>
      <c r="KCQ1">
        <f>IFERROR(IF((ISBLANK(VLOOKUP(KCQ7,#REF!,4,FALSE)))=TRUE,VLOOKUP(KCQ7,#REF!,3,FALSE),VLOOKUP(KCQ7,#REF!,4,FALSE)),0)</f>
        <v/>
      </c>
      <c r="KCR1">
        <f>IFERROR(IF((ISBLANK(VLOOKUP(KCR7,#REF!,4,FALSE)))=TRUE,VLOOKUP(KCR7,#REF!,3,FALSE),VLOOKUP(KCR7,#REF!,4,FALSE)),0)</f>
        <v/>
      </c>
      <c r="KCS1">
        <f>IFERROR(IF((ISBLANK(VLOOKUP(KCS7,#REF!,4,FALSE)))=TRUE,VLOOKUP(KCS7,#REF!,3,FALSE),VLOOKUP(KCS7,#REF!,4,FALSE)),0)</f>
        <v/>
      </c>
      <c r="KCT1">
        <f>IFERROR(IF((ISBLANK(VLOOKUP(KCT7,#REF!,4,FALSE)))=TRUE,VLOOKUP(KCT7,#REF!,3,FALSE),VLOOKUP(KCT7,#REF!,4,FALSE)),0)</f>
        <v/>
      </c>
      <c r="KCU1">
        <f>IFERROR(IF((ISBLANK(VLOOKUP(KCU7,#REF!,4,FALSE)))=TRUE,VLOOKUP(KCU7,#REF!,3,FALSE),VLOOKUP(KCU7,#REF!,4,FALSE)),0)</f>
        <v/>
      </c>
      <c r="KCV1">
        <f>IFERROR(IF((ISBLANK(VLOOKUP(KCV7,#REF!,4,FALSE)))=TRUE,VLOOKUP(KCV7,#REF!,3,FALSE),VLOOKUP(KCV7,#REF!,4,FALSE)),0)</f>
        <v/>
      </c>
      <c r="KCW1">
        <f>IFERROR(IF((ISBLANK(VLOOKUP(KCW7,#REF!,4,FALSE)))=TRUE,VLOOKUP(KCW7,#REF!,3,FALSE),VLOOKUP(KCW7,#REF!,4,FALSE)),0)</f>
        <v/>
      </c>
      <c r="KCX1">
        <f>IFERROR(IF((ISBLANK(VLOOKUP(KCX7,#REF!,4,FALSE)))=TRUE,VLOOKUP(KCX7,#REF!,3,FALSE),VLOOKUP(KCX7,#REF!,4,FALSE)),0)</f>
        <v/>
      </c>
      <c r="KCY1">
        <f>IFERROR(IF((ISBLANK(VLOOKUP(KCY7,#REF!,4,FALSE)))=TRUE,VLOOKUP(KCY7,#REF!,3,FALSE),VLOOKUP(KCY7,#REF!,4,FALSE)),0)</f>
        <v/>
      </c>
      <c r="KCZ1">
        <f>IFERROR(IF((ISBLANK(VLOOKUP(KCZ7,#REF!,4,FALSE)))=TRUE,VLOOKUP(KCZ7,#REF!,3,FALSE),VLOOKUP(KCZ7,#REF!,4,FALSE)),0)</f>
        <v/>
      </c>
      <c r="KDA1">
        <f>IFERROR(IF((ISBLANK(VLOOKUP(KDA7,#REF!,4,FALSE)))=TRUE,VLOOKUP(KDA7,#REF!,3,FALSE),VLOOKUP(KDA7,#REF!,4,FALSE)),0)</f>
        <v/>
      </c>
      <c r="KDB1">
        <f>IFERROR(IF((ISBLANK(VLOOKUP(KDB7,#REF!,4,FALSE)))=TRUE,VLOOKUP(KDB7,#REF!,3,FALSE),VLOOKUP(KDB7,#REF!,4,FALSE)),0)</f>
        <v/>
      </c>
      <c r="KDC1">
        <f>IFERROR(IF((ISBLANK(VLOOKUP(KDC7,#REF!,4,FALSE)))=TRUE,VLOOKUP(KDC7,#REF!,3,FALSE),VLOOKUP(KDC7,#REF!,4,FALSE)),0)</f>
        <v/>
      </c>
      <c r="KDD1">
        <f>IFERROR(IF((ISBLANK(VLOOKUP(KDD7,#REF!,4,FALSE)))=TRUE,VLOOKUP(KDD7,#REF!,3,FALSE),VLOOKUP(KDD7,#REF!,4,FALSE)),0)</f>
        <v/>
      </c>
      <c r="KDE1">
        <f>IFERROR(IF((ISBLANK(VLOOKUP(KDE7,#REF!,4,FALSE)))=TRUE,VLOOKUP(KDE7,#REF!,3,FALSE),VLOOKUP(KDE7,#REF!,4,FALSE)),0)</f>
        <v/>
      </c>
      <c r="KDF1">
        <f>IFERROR(IF((ISBLANK(VLOOKUP(KDF7,#REF!,4,FALSE)))=TRUE,VLOOKUP(KDF7,#REF!,3,FALSE),VLOOKUP(KDF7,#REF!,4,FALSE)),0)</f>
        <v/>
      </c>
      <c r="KDG1">
        <f>IFERROR(IF((ISBLANK(VLOOKUP(KDG7,#REF!,4,FALSE)))=TRUE,VLOOKUP(KDG7,#REF!,3,FALSE),VLOOKUP(KDG7,#REF!,4,FALSE)),0)</f>
        <v/>
      </c>
      <c r="KDH1">
        <f>IFERROR(IF((ISBLANK(VLOOKUP(KDH7,#REF!,4,FALSE)))=TRUE,VLOOKUP(KDH7,#REF!,3,FALSE),VLOOKUP(KDH7,#REF!,4,FALSE)),0)</f>
        <v/>
      </c>
      <c r="KDI1">
        <f>IFERROR(IF((ISBLANK(VLOOKUP(KDI7,#REF!,4,FALSE)))=TRUE,VLOOKUP(KDI7,#REF!,3,FALSE),VLOOKUP(KDI7,#REF!,4,FALSE)),0)</f>
        <v/>
      </c>
      <c r="KDJ1">
        <f>IFERROR(IF((ISBLANK(VLOOKUP(KDJ7,#REF!,4,FALSE)))=TRUE,VLOOKUP(KDJ7,#REF!,3,FALSE),VLOOKUP(KDJ7,#REF!,4,FALSE)),0)</f>
        <v/>
      </c>
      <c r="KDK1">
        <f>IFERROR(IF((ISBLANK(VLOOKUP(KDK7,#REF!,4,FALSE)))=TRUE,VLOOKUP(KDK7,#REF!,3,FALSE),VLOOKUP(KDK7,#REF!,4,FALSE)),0)</f>
        <v/>
      </c>
      <c r="KDL1">
        <f>IFERROR(IF((ISBLANK(VLOOKUP(KDL7,#REF!,4,FALSE)))=TRUE,VLOOKUP(KDL7,#REF!,3,FALSE),VLOOKUP(KDL7,#REF!,4,FALSE)),0)</f>
        <v/>
      </c>
      <c r="KDM1">
        <f>IFERROR(IF((ISBLANK(VLOOKUP(KDM7,#REF!,4,FALSE)))=TRUE,VLOOKUP(KDM7,#REF!,3,FALSE),VLOOKUP(KDM7,#REF!,4,FALSE)),0)</f>
        <v/>
      </c>
      <c r="KDN1">
        <f>IFERROR(IF((ISBLANK(VLOOKUP(KDN7,#REF!,4,FALSE)))=TRUE,VLOOKUP(KDN7,#REF!,3,FALSE),VLOOKUP(KDN7,#REF!,4,FALSE)),0)</f>
        <v/>
      </c>
      <c r="KDO1">
        <f>IFERROR(IF((ISBLANK(VLOOKUP(KDO7,#REF!,4,FALSE)))=TRUE,VLOOKUP(KDO7,#REF!,3,FALSE),VLOOKUP(KDO7,#REF!,4,FALSE)),0)</f>
        <v/>
      </c>
      <c r="KDP1">
        <f>IFERROR(IF((ISBLANK(VLOOKUP(KDP7,#REF!,4,FALSE)))=TRUE,VLOOKUP(KDP7,#REF!,3,FALSE),VLOOKUP(KDP7,#REF!,4,FALSE)),0)</f>
        <v/>
      </c>
      <c r="KDQ1">
        <f>IFERROR(IF((ISBLANK(VLOOKUP(KDQ7,#REF!,4,FALSE)))=TRUE,VLOOKUP(KDQ7,#REF!,3,FALSE),VLOOKUP(KDQ7,#REF!,4,FALSE)),0)</f>
        <v/>
      </c>
      <c r="KDR1">
        <f>IFERROR(IF((ISBLANK(VLOOKUP(KDR7,#REF!,4,FALSE)))=TRUE,VLOOKUP(KDR7,#REF!,3,FALSE),VLOOKUP(KDR7,#REF!,4,FALSE)),0)</f>
        <v/>
      </c>
      <c r="KDS1">
        <f>IFERROR(IF((ISBLANK(VLOOKUP(KDS7,#REF!,4,FALSE)))=TRUE,VLOOKUP(KDS7,#REF!,3,FALSE),VLOOKUP(KDS7,#REF!,4,FALSE)),0)</f>
        <v/>
      </c>
      <c r="KDT1">
        <f>IFERROR(IF((ISBLANK(VLOOKUP(KDT7,#REF!,4,FALSE)))=TRUE,VLOOKUP(KDT7,#REF!,3,FALSE),VLOOKUP(KDT7,#REF!,4,FALSE)),0)</f>
        <v/>
      </c>
      <c r="KDU1">
        <f>IFERROR(IF((ISBLANK(VLOOKUP(KDU7,#REF!,4,FALSE)))=TRUE,VLOOKUP(KDU7,#REF!,3,FALSE),VLOOKUP(KDU7,#REF!,4,FALSE)),0)</f>
        <v/>
      </c>
      <c r="KDV1">
        <f>IFERROR(IF((ISBLANK(VLOOKUP(KDV7,#REF!,4,FALSE)))=TRUE,VLOOKUP(KDV7,#REF!,3,FALSE),VLOOKUP(KDV7,#REF!,4,FALSE)),0)</f>
        <v/>
      </c>
      <c r="KDW1">
        <f>IFERROR(IF((ISBLANK(VLOOKUP(KDW7,#REF!,4,FALSE)))=TRUE,VLOOKUP(KDW7,#REF!,3,FALSE),VLOOKUP(KDW7,#REF!,4,FALSE)),0)</f>
        <v/>
      </c>
      <c r="KDX1">
        <f>IFERROR(IF((ISBLANK(VLOOKUP(KDX7,#REF!,4,FALSE)))=TRUE,VLOOKUP(KDX7,#REF!,3,FALSE),VLOOKUP(KDX7,#REF!,4,FALSE)),0)</f>
        <v/>
      </c>
      <c r="KDY1">
        <f>IFERROR(IF((ISBLANK(VLOOKUP(KDY7,#REF!,4,FALSE)))=TRUE,VLOOKUP(KDY7,#REF!,3,FALSE),VLOOKUP(KDY7,#REF!,4,FALSE)),0)</f>
        <v/>
      </c>
      <c r="KDZ1">
        <f>IFERROR(IF((ISBLANK(VLOOKUP(KDZ7,#REF!,4,FALSE)))=TRUE,VLOOKUP(KDZ7,#REF!,3,FALSE),VLOOKUP(KDZ7,#REF!,4,FALSE)),0)</f>
        <v/>
      </c>
      <c r="KEA1">
        <f>IFERROR(IF((ISBLANK(VLOOKUP(KEA7,#REF!,4,FALSE)))=TRUE,VLOOKUP(KEA7,#REF!,3,FALSE),VLOOKUP(KEA7,#REF!,4,FALSE)),0)</f>
        <v/>
      </c>
      <c r="KEB1">
        <f>IFERROR(IF((ISBLANK(VLOOKUP(KEB7,#REF!,4,FALSE)))=TRUE,VLOOKUP(KEB7,#REF!,3,FALSE),VLOOKUP(KEB7,#REF!,4,FALSE)),0)</f>
        <v/>
      </c>
      <c r="KEC1">
        <f>IFERROR(IF((ISBLANK(VLOOKUP(KEC7,#REF!,4,FALSE)))=TRUE,VLOOKUP(KEC7,#REF!,3,FALSE),VLOOKUP(KEC7,#REF!,4,FALSE)),0)</f>
        <v/>
      </c>
      <c r="KED1">
        <f>IFERROR(IF((ISBLANK(VLOOKUP(KED7,#REF!,4,FALSE)))=TRUE,VLOOKUP(KED7,#REF!,3,FALSE),VLOOKUP(KED7,#REF!,4,FALSE)),0)</f>
        <v/>
      </c>
      <c r="KEE1">
        <f>IFERROR(IF((ISBLANK(VLOOKUP(KEE7,#REF!,4,FALSE)))=TRUE,VLOOKUP(KEE7,#REF!,3,FALSE),VLOOKUP(KEE7,#REF!,4,FALSE)),0)</f>
        <v/>
      </c>
      <c r="KEF1">
        <f>IFERROR(IF((ISBLANK(VLOOKUP(KEF7,#REF!,4,FALSE)))=TRUE,VLOOKUP(KEF7,#REF!,3,FALSE),VLOOKUP(KEF7,#REF!,4,FALSE)),0)</f>
        <v/>
      </c>
      <c r="KEG1">
        <f>IFERROR(IF((ISBLANK(VLOOKUP(KEG7,#REF!,4,FALSE)))=TRUE,VLOOKUP(KEG7,#REF!,3,FALSE),VLOOKUP(KEG7,#REF!,4,FALSE)),0)</f>
        <v/>
      </c>
      <c r="KEH1">
        <f>IFERROR(IF((ISBLANK(VLOOKUP(KEH7,#REF!,4,FALSE)))=TRUE,VLOOKUP(KEH7,#REF!,3,FALSE),VLOOKUP(KEH7,#REF!,4,FALSE)),0)</f>
        <v/>
      </c>
      <c r="KEI1">
        <f>IFERROR(IF((ISBLANK(VLOOKUP(KEI7,#REF!,4,FALSE)))=TRUE,VLOOKUP(KEI7,#REF!,3,FALSE),VLOOKUP(KEI7,#REF!,4,FALSE)),0)</f>
        <v/>
      </c>
      <c r="KEJ1">
        <f>IFERROR(IF((ISBLANK(VLOOKUP(KEJ7,#REF!,4,FALSE)))=TRUE,VLOOKUP(KEJ7,#REF!,3,FALSE),VLOOKUP(KEJ7,#REF!,4,FALSE)),0)</f>
        <v/>
      </c>
      <c r="KEK1">
        <f>IFERROR(IF((ISBLANK(VLOOKUP(KEK7,#REF!,4,FALSE)))=TRUE,VLOOKUP(KEK7,#REF!,3,FALSE),VLOOKUP(KEK7,#REF!,4,FALSE)),0)</f>
        <v/>
      </c>
      <c r="KEL1">
        <f>IFERROR(IF((ISBLANK(VLOOKUP(KEL7,#REF!,4,FALSE)))=TRUE,VLOOKUP(KEL7,#REF!,3,FALSE),VLOOKUP(KEL7,#REF!,4,FALSE)),0)</f>
        <v/>
      </c>
      <c r="KEM1">
        <f>IFERROR(IF((ISBLANK(VLOOKUP(KEM7,#REF!,4,FALSE)))=TRUE,VLOOKUP(KEM7,#REF!,3,FALSE),VLOOKUP(KEM7,#REF!,4,FALSE)),0)</f>
        <v/>
      </c>
      <c r="KEN1">
        <f>IFERROR(IF((ISBLANK(VLOOKUP(KEN7,#REF!,4,FALSE)))=TRUE,VLOOKUP(KEN7,#REF!,3,FALSE),VLOOKUP(KEN7,#REF!,4,FALSE)),0)</f>
        <v/>
      </c>
      <c r="KEO1">
        <f>IFERROR(IF((ISBLANK(VLOOKUP(KEO7,#REF!,4,FALSE)))=TRUE,VLOOKUP(KEO7,#REF!,3,FALSE),VLOOKUP(KEO7,#REF!,4,FALSE)),0)</f>
        <v/>
      </c>
      <c r="KEP1">
        <f>IFERROR(IF((ISBLANK(VLOOKUP(KEP7,#REF!,4,FALSE)))=TRUE,VLOOKUP(KEP7,#REF!,3,FALSE),VLOOKUP(KEP7,#REF!,4,FALSE)),0)</f>
        <v/>
      </c>
      <c r="KEQ1">
        <f>IFERROR(IF((ISBLANK(VLOOKUP(KEQ7,#REF!,4,FALSE)))=TRUE,VLOOKUP(KEQ7,#REF!,3,FALSE),VLOOKUP(KEQ7,#REF!,4,FALSE)),0)</f>
        <v/>
      </c>
      <c r="KER1">
        <f>IFERROR(IF((ISBLANK(VLOOKUP(KER7,#REF!,4,FALSE)))=TRUE,VLOOKUP(KER7,#REF!,3,FALSE),VLOOKUP(KER7,#REF!,4,FALSE)),0)</f>
        <v/>
      </c>
      <c r="KES1">
        <f>IFERROR(IF((ISBLANK(VLOOKUP(KES7,#REF!,4,FALSE)))=TRUE,VLOOKUP(KES7,#REF!,3,FALSE),VLOOKUP(KES7,#REF!,4,FALSE)),0)</f>
        <v/>
      </c>
      <c r="KET1">
        <f>IFERROR(IF((ISBLANK(VLOOKUP(KET7,#REF!,4,FALSE)))=TRUE,VLOOKUP(KET7,#REF!,3,FALSE),VLOOKUP(KET7,#REF!,4,FALSE)),0)</f>
        <v/>
      </c>
      <c r="KEU1">
        <f>IFERROR(IF((ISBLANK(VLOOKUP(KEU7,#REF!,4,FALSE)))=TRUE,VLOOKUP(KEU7,#REF!,3,FALSE),VLOOKUP(KEU7,#REF!,4,FALSE)),0)</f>
        <v/>
      </c>
      <c r="KEV1">
        <f>IFERROR(IF((ISBLANK(VLOOKUP(KEV7,#REF!,4,FALSE)))=TRUE,VLOOKUP(KEV7,#REF!,3,FALSE),VLOOKUP(KEV7,#REF!,4,FALSE)),0)</f>
        <v/>
      </c>
      <c r="KEW1">
        <f>IFERROR(IF((ISBLANK(VLOOKUP(KEW7,#REF!,4,FALSE)))=TRUE,VLOOKUP(KEW7,#REF!,3,FALSE),VLOOKUP(KEW7,#REF!,4,FALSE)),0)</f>
        <v/>
      </c>
      <c r="KEX1">
        <f>IFERROR(IF((ISBLANK(VLOOKUP(KEX7,#REF!,4,FALSE)))=TRUE,VLOOKUP(KEX7,#REF!,3,FALSE),VLOOKUP(KEX7,#REF!,4,FALSE)),0)</f>
        <v/>
      </c>
      <c r="KEY1">
        <f>IFERROR(IF((ISBLANK(VLOOKUP(KEY7,#REF!,4,FALSE)))=TRUE,VLOOKUP(KEY7,#REF!,3,FALSE),VLOOKUP(KEY7,#REF!,4,FALSE)),0)</f>
        <v/>
      </c>
      <c r="KEZ1">
        <f>IFERROR(IF((ISBLANK(VLOOKUP(KEZ7,#REF!,4,FALSE)))=TRUE,VLOOKUP(KEZ7,#REF!,3,FALSE),VLOOKUP(KEZ7,#REF!,4,FALSE)),0)</f>
        <v/>
      </c>
      <c r="KFA1">
        <f>IFERROR(IF((ISBLANK(VLOOKUP(KFA7,#REF!,4,FALSE)))=TRUE,VLOOKUP(KFA7,#REF!,3,FALSE),VLOOKUP(KFA7,#REF!,4,FALSE)),0)</f>
        <v/>
      </c>
      <c r="KFB1">
        <f>IFERROR(IF((ISBLANK(VLOOKUP(KFB7,#REF!,4,FALSE)))=TRUE,VLOOKUP(KFB7,#REF!,3,FALSE),VLOOKUP(KFB7,#REF!,4,FALSE)),0)</f>
        <v/>
      </c>
      <c r="KFC1">
        <f>IFERROR(IF((ISBLANK(VLOOKUP(KFC7,#REF!,4,FALSE)))=TRUE,VLOOKUP(KFC7,#REF!,3,FALSE),VLOOKUP(KFC7,#REF!,4,FALSE)),0)</f>
        <v/>
      </c>
      <c r="KFD1">
        <f>IFERROR(IF((ISBLANK(VLOOKUP(KFD7,#REF!,4,FALSE)))=TRUE,VLOOKUP(KFD7,#REF!,3,FALSE),VLOOKUP(KFD7,#REF!,4,FALSE)),0)</f>
        <v/>
      </c>
      <c r="KFE1">
        <f>IFERROR(IF((ISBLANK(VLOOKUP(KFE7,#REF!,4,FALSE)))=TRUE,VLOOKUP(KFE7,#REF!,3,FALSE),VLOOKUP(KFE7,#REF!,4,FALSE)),0)</f>
        <v/>
      </c>
      <c r="KFF1">
        <f>IFERROR(IF((ISBLANK(VLOOKUP(KFF7,#REF!,4,FALSE)))=TRUE,VLOOKUP(KFF7,#REF!,3,FALSE),VLOOKUP(KFF7,#REF!,4,FALSE)),0)</f>
        <v/>
      </c>
      <c r="KFG1">
        <f>IFERROR(IF((ISBLANK(VLOOKUP(KFG7,#REF!,4,FALSE)))=TRUE,VLOOKUP(KFG7,#REF!,3,FALSE),VLOOKUP(KFG7,#REF!,4,FALSE)),0)</f>
        <v/>
      </c>
      <c r="KFH1">
        <f>IFERROR(IF((ISBLANK(VLOOKUP(KFH7,#REF!,4,FALSE)))=TRUE,VLOOKUP(KFH7,#REF!,3,FALSE),VLOOKUP(KFH7,#REF!,4,FALSE)),0)</f>
        <v/>
      </c>
      <c r="KFI1">
        <f>IFERROR(IF((ISBLANK(VLOOKUP(KFI7,#REF!,4,FALSE)))=TRUE,VLOOKUP(KFI7,#REF!,3,FALSE),VLOOKUP(KFI7,#REF!,4,FALSE)),0)</f>
        <v/>
      </c>
    </row>
    <row r="2">
      <c r="AT2" s="267" t="n"/>
      <c r="AU2" s="267" t="n"/>
      <c r="AW2" t="n">
        <v>1</v>
      </c>
      <c r="AX2" t="n">
        <v>2</v>
      </c>
      <c r="AY2" t="n">
        <v>3</v>
      </c>
      <c r="AZ2" t="n">
        <v>4</v>
      </c>
      <c r="BA2" t="n">
        <v>5</v>
      </c>
      <c r="BB2" t="n">
        <v>6</v>
      </c>
      <c r="BC2" t="n">
        <v>7</v>
      </c>
      <c r="BD2" t="n">
        <v>8</v>
      </c>
      <c r="BE2" t="n">
        <v>9</v>
      </c>
      <c r="BF2" t="n">
        <v>10</v>
      </c>
      <c r="BG2" t="n">
        <v>11</v>
      </c>
      <c r="BH2" t="n">
        <v>12</v>
      </c>
      <c r="BI2" t="n">
        <v>13</v>
      </c>
      <c r="BJ2" t="n">
        <v>14</v>
      </c>
      <c r="BK2" t="n">
        <v>15</v>
      </c>
      <c r="BL2" t="n">
        <v>16</v>
      </c>
      <c r="BM2" t="n">
        <v>17</v>
      </c>
      <c r="BN2" t="n">
        <v>18</v>
      </c>
      <c r="BO2" t="n">
        <v>19</v>
      </c>
      <c r="BP2" t="n">
        <v>20</v>
      </c>
      <c r="BQ2" t="n">
        <v>21</v>
      </c>
      <c r="BR2" t="n">
        <v>22</v>
      </c>
      <c r="BS2" t="n">
        <v>23</v>
      </c>
      <c r="BT2" t="n">
        <v>24</v>
      </c>
      <c r="BU2" t="n">
        <v>25</v>
      </c>
      <c r="BV2" t="n">
        <v>26</v>
      </c>
      <c r="BW2" t="n">
        <v>27</v>
      </c>
      <c r="BX2" t="n">
        <v>28</v>
      </c>
      <c r="BY2" t="n">
        <v>29</v>
      </c>
      <c r="BZ2" t="n">
        <v>30</v>
      </c>
      <c r="CA2" t="n">
        <v>31</v>
      </c>
      <c r="CB2" t="n">
        <v>32</v>
      </c>
      <c r="CC2" t="n">
        <v>33</v>
      </c>
      <c r="CD2" t="n">
        <v>34</v>
      </c>
      <c r="CE2" t="n">
        <v>35</v>
      </c>
      <c r="CF2" t="n">
        <v>36</v>
      </c>
      <c r="CG2" t="n">
        <v>37</v>
      </c>
      <c r="CH2" t="n">
        <v>38</v>
      </c>
      <c r="CI2" t="n">
        <v>39</v>
      </c>
      <c r="CJ2" t="n">
        <v>40</v>
      </c>
      <c r="CK2" t="n">
        <v>41</v>
      </c>
      <c r="CL2" t="n">
        <v>42</v>
      </c>
      <c r="CM2" t="n">
        <v>43</v>
      </c>
      <c r="CN2" t="n">
        <v>44</v>
      </c>
      <c r="CO2" t="n">
        <v>45</v>
      </c>
      <c r="CP2" t="n">
        <v>46</v>
      </c>
      <c r="CQ2" t="n">
        <v>47</v>
      </c>
      <c r="CR2" t="n">
        <v>48</v>
      </c>
      <c r="CS2" t="n">
        <v>49</v>
      </c>
      <c r="CT2" t="n">
        <v>50</v>
      </c>
      <c r="CU2" t="n">
        <v>51</v>
      </c>
      <c r="CV2" t="n">
        <v>52</v>
      </c>
      <c r="CW2" t="n">
        <v>53</v>
      </c>
      <c r="CX2" t="n">
        <v>54</v>
      </c>
      <c r="CY2" t="n">
        <v>55</v>
      </c>
      <c r="CZ2" t="n">
        <v>56</v>
      </c>
      <c r="DA2" t="n">
        <v>57</v>
      </c>
      <c r="DB2" t="n">
        <v>58</v>
      </c>
      <c r="DC2" t="n">
        <v>59</v>
      </c>
      <c r="DD2" t="n">
        <v>60</v>
      </c>
      <c r="DE2" t="n">
        <v>61</v>
      </c>
      <c r="DF2" t="n">
        <v>62</v>
      </c>
      <c r="DG2" t="n">
        <v>63</v>
      </c>
      <c r="DH2" t="n">
        <v>64</v>
      </c>
      <c r="DI2" t="n">
        <v>65</v>
      </c>
      <c r="DJ2" t="n">
        <v>66</v>
      </c>
      <c r="DK2" t="n">
        <v>67</v>
      </c>
      <c r="DL2" t="n">
        <v>68</v>
      </c>
      <c r="DM2" t="n">
        <v>69</v>
      </c>
      <c r="DN2" t="n">
        <v>70</v>
      </c>
      <c r="DO2" t="n">
        <v>71</v>
      </c>
      <c r="DP2" t="n">
        <v>72</v>
      </c>
      <c r="DQ2" t="n">
        <v>73</v>
      </c>
      <c r="DR2" t="n">
        <v>74</v>
      </c>
      <c r="DS2" t="n">
        <v>75</v>
      </c>
      <c r="DT2" t="n">
        <v>76</v>
      </c>
      <c r="DU2" t="n">
        <v>77</v>
      </c>
      <c r="DV2" t="n">
        <v>78</v>
      </c>
      <c r="DW2" t="n">
        <v>79</v>
      </c>
      <c r="DX2" t="n">
        <v>80</v>
      </c>
      <c r="DY2" t="n">
        <v>81</v>
      </c>
      <c r="DZ2" t="n">
        <v>82</v>
      </c>
      <c r="EA2" t="n">
        <v>83</v>
      </c>
      <c r="EB2" t="n">
        <v>84</v>
      </c>
      <c r="EC2" t="n">
        <v>85</v>
      </c>
      <c r="ED2" t="n">
        <v>86</v>
      </c>
      <c r="EE2" t="n">
        <v>87</v>
      </c>
      <c r="EF2" t="n">
        <v>88</v>
      </c>
      <c r="EG2" t="n">
        <v>89</v>
      </c>
      <c r="EH2" t="n">
        <v>90</v>
      </c>
      <c r="EI2" t="n">
        <v>91</v>
      </c>
      <c r="EJ2" t="n">
        <v>92</v>
      </c>
      <c r="EK2" t="n">
        <v>93</v>
      </c>
      <c r="EL2" t="n">
        <v>94</v>
      </c>
      <c r="EM2" t="n">
        <v>95</v>
      </c>
      <c r="EN2" t="n">
        <v>96</v>
      </c>
      <c r="EO2" t="n">
        <v>97</v>
      </c>
      <c r="EP2" t="n">
        <v>98</v>
      </c>
      <c r="EQ2" t="n">
        <v>99</v>
      </c>
      <c r="ER2" t="n">
        <v>100</v>
      </c>
      <c r="ES2" t="n">
        <v>101</v>
      </c>
      <c r="ET2" t="n">
        <v>102</v>
      </c>
      <c r="EU2" t="n">
        <v>103</v>
      </c>
      <c r="EV2" t="n">
        <v>104</v>
      </c>
      <c r="EW2" t="n">
        <v>105</v>
      </c>
      <c r="EX2" t="n">
        <v>106</v>
      </c>
      <c r="EY2" t="n">
        <v>107</v>
      </c>
      <c r="EZ2" t="n">
        <v>108</v>
      </c>
      <c r="FA2" t="n">
        <v>109</v>
      </c>
      <c r="FB2" t="n">
        <v>110</v>
      </c>
      <c r="FC2" t="n">
        <v>111</v>
      </c>
      <c r="FD2" t="n">
        <v>112</v>
      </c>
      <c r="FE2" t="n">
        <v>113</v>
      </c>
      <c r="FF2" t="n">
        <v>114</v>
      </c>
      <c r="FG2" t="n">
        <v>115</v>
      </c>
      <c r="FH2" t="n">
        <v>116</v>
      </c>
      <c r="FI2" t="n">
        <v>117</v>
      </c>
      <c r="FJ2" t="n">
        <v>118</v>
      </c>
      <c r="FK2" t="n">
        <v>119</v>
      </c>
      <c r="FL2" t="n">
        <v>120</v>
      </c>
      <c r="FM2" t="n">
        <v>121</v>
      </c>
      <c r="FN2" t="n">
        <v>122</v>
      </c>
      <c r="FO2" t="n">
        <v>123</v>
      </c>
      <c r="FP2" t="n">
        <v>124</v>
      </c>
      <c r="FQ2" t="n">
        <v>125</v>
      </c>
      <c r="FR2" t="n">
        <v>126</v>
      </c>
      <c r="FS2" t="n">
        <v>127</v>
      </c>
      <c r="FT2" t="n">
        <v>128</v>
      </c>
      <c r="FU2" t="n">
        <v>129</v>
      </c>
      <c r="FV2" t="n">
        <v>130</v>
      </c>
      <c r="FW2" t="n">
        <v>131</v>
      </c>
      <c r="FX2" t="n">
        <v>132</v>
      </c>
      <c r="FY2" t="n">
        <v>133</v>
      </c>
      <c r="FZ2" t="n">
        <v>134</v>
      </c>
      <c r="GA2" t="n">
        <v>135</v>
      </c>
      <c r="GB2" t="n">
        <v>136</v>
      </c>
      <c r="GC2" t="n">
        <v>137</v>
      </c>
      <c r="GD2" t="n">
        <v>138</v>
      </c>
      <c r="GE2" t="n">
        <v>139</v>
      </c>
      <c r="GF2" t="n">
        <v>140</v>
      </c>
      <c r="GG2" t="n">
        <v>141</v>
      </c>
      <c r="GH2" t="n">
        <v>142</v>
      </c>
      <c r="GI2" t="n">
        <v>143</v>
      </c>
      <c r="GJ2" t="n">
        <v>144</v>
      </c>
      <c r="GK2" t="n">
        <v>145</v>
      </c>
      <c r="GL2" t="n">
        <v>146</v>
      </c>
      <c r="GM2" t="n">
        <v>147</v>
      </c>
      <c r="GN2" t="n">
        <v>148</v>
      </c>
      <c r="GO2" t="n">
        <v>149</v>
      </c>
      <c r="GP2" t="n">
        <v>150</v>
      </c>
      <c r="GQ2" t="n">
        <v>151</v>
      </c>
      <c r="GR2" t="n">
        <v>152</v>
      </c>
      <c r="GS2" t="n">
        <v>153</v>
      </c>
      <c r="GT2" t="n">
        <v>154</v>
      </c>
      <c r="GU2" t="n">
        <v>155</v>
      </c>
      <c r="GV2" t="n">
        <v>156</v>
      </c>
      <c r="GW2" t="n">
        <v>157</v>
      </c>
      <c r="GX2" t="n">
        <v>158</v>
      </c>
      <c r="GY2" t="n">
        <v>159</v>
      </c>
      <c r="GZ2" t="n">
        <v>160</v>
      </c>
      <c r="HA2" t="n">
        <v>161</v>
      </c>
      <c r="HB2" t="n">
        <v>162</v>
      </c>
      <c r="HC2" t="n">
        <v>163</v>
      </c>
      <c r="HD2" t="n">
        <v>164</v>
      </c>
      <c r="HE2" t="n">
        <v>165</v>
      </c>
      <c r="HF2" t="n">
        <v>166</v>
      </c>
      <c r="HG2" t="n">
        <v>167</v>
      </c>
      <c r="HH2" t="n">
        <v>168</v>
      </c>
      <c r="HI2" t="n">
        <v>169</v>
      </c>
      <c r="HJ2" t="n">
        <v>170</v>
      </c>
      <c r="HK2" t="n">
        <v>171</v>
      </c>
      <c r="HL2" t="n">
        <v>172</v>
      </c>
      <c r="HM2" t="n">
        <v>173</v>
      </c>
      <c r="HN2" t="n">
        <v>174</v>
      </c>
      <c r="HO2" t="n">
        <v>175</v>
      </c>
      <c r="HP2" t="n">
        <v>176</v>
      </c>
      <c r="HQ2" t="n">
        <v>177</v>
      </c>
      <c r="HR2" t="n">
        <v>178</v>
      </c>
      <c r="HS2" t="n">
        <v>179</v>
      </c>
      <c r="HT2" t="n">
        <v>180</v>
      </c>
      <c r="HU2" t="n">
        <v>181</v>
      </c>
      <c r="HV2" t="n">
        <v>182</v>
      </c>
      <c r="HW2" t="n">
        <v>183</v>
      </c>
      <c r="HX2" t="n">
        <v>184</v>
      </c>
      <c r="HY2" t="n">
        <v>185</v>
      </c>
      <c r="HZ2" t="n">
        <v>186</v>
      </c>
      <c r="IA2" t="n">
        <v>187</v>
      </c>
      <c r="IB2" t="n">
        <v>188</v>
      </c>
      <c r="IC2" t="n">
        <v>189</v>
      </c>
      <c r="ID2" t="n">
        <v>190</v>
      </c>
      <c r="IE2" t="n">
        <v>191</v>
      </c>
      <c r="IF2" t="n">
        <v>192</v>
      </c>
      <c r="IG2" t="n">
        <v>193</v>
      </c>
      <c r="IH2" t="n">
        <v>194</v>
      </c>
      <c r="II2" t="n">
        <v>195</v>
      </c>
      <c r="IJ2" t="n">
        <v>196</v>
      </c>
      <c r="IK2" t="n">
        <v>197</v>
      </c>
      <c r="IL2" t="n">
        <v>198</v>
      </c>
      <c r="IM2" t="n">
        <v>199</v>
      </c>
      <c r="IN2" t="n">
        <v>200</v>
      </c>
      <c r="IO2" t="n">
        <v>201</v>
      </c>
      <c r="IP2" t="n">
        <v>202</v>
      </c>
      <c r="IQ2" t="n">
        <v>203</v>
      </c>
      <c r="IR2" t="n">
        <v>204</v>
      </c>
      <c r="IS2" t="n">
        <v>205</v>
      </c>
      <c r="IT2" t="n">
        <v>206</v>
      </c>
      <c r="IU2" t="n">
        <v>207</v>
      </c>
      <c r="IV2" t="n">
        <v>208</v>
      </c>
      <c r="IW2" t="n">
        <v>209</v>
      </c>
      <c r="IX2" t="n">
        <v>210</v>
      </c>
      <c r="IY2" t="n">
        <v>211</v>
      </c>
      <c r="IZ2" t="n">
        <v>212</v>
      </c>
      <c r="JA2" t="n">
        <v>213</v>
      </c>
      <c r="JB2" t="n">
        <v>214</v>
      </c>
      <c r="JC2" t="n">
        <v>215</v>
      </c>
      <c r="JD2" t="n">
        <v>216</v>
      </c>
      <c r="JE2" t="n">
        <v>217</v>
      </c>
      <c r="JF2" t="n">
        <v>218</v>
      </c>
      <c r="JG2" t="n">
        <v>219</v>
      </c>
      <c r="JH2" t="n">
        <v>220</v>
      </c>
      <c r="JI2" t="n">
        <v>221</v>
      </c>
      <c r="JJ2" t="n">
        <v>222</v>
      </c>
      <c r="JK2" t="n">
        <v>223</v>
      </c>
      <c r="JL2" t="n">
        <v>224</v>
      </c>
      <c r="JM2" t="n">
        <v>225</v>
      </c>
      <c r="JN2" t="n">
        <v>226</v>
      </c>
      <c r="JO2" t="n">
        <v>227</v>
      </c>
      <c r="JP2" t="n">
        <v>228</v>
      </c>
      <c r="JQ2" t="n">
        <v>229</v>
      </c>
      <c r="JR2" t="n">
        <v>230</v>
      </c>
      <c r="JS2" t="n">
        <v>231</v>
      </c>
      <c r="JT2" t="n">
        <v>232</v>
      </c>
      <c r="JU2" t="n">
        <v>233</v>
      </c>
      <c r="JV2" t="n">
        <v>234</v>
      </c>
      <c r="JW2" t="n">
        <v>235</v>
      </c>
      <c r="JX2" t="n">
        <v>236</v>
      </c>
      <c r="JY2" t="n">
        <v>237</v>
      </c>
      <c r="JZ2" t="n">
        <v>238</v>
      </c>
      <c r="KA2" t="n">
        <v>239</v>
      </c>
      <c r="KB2" t="n">
        <v>240</v>
      </c>
      <c r="KC2" t="n">
        <v>241</v>
      </c>
      <c r="KD2" t="n">
        <v>242</v>
      </c>
      <c r="KE2" t="n">
        <v>243</v>
      </c>
      <c r="KF2" t="n">
        <v>244</v>
      </c>
      <c r="KG2" t="n">
        <v>245</v>
      </c>
      <c r="KH2" t="n">
        <v>246</v>
      </c>
      <c r="KI2" t="n">
        <v>247</v>
      </c>
      <c r="KJ2" t="n">
        <v>248</v>
      </c>
      <c r="KK2" t="n">
        <v>249</v>
      </c>
      <c r="KL2" t="n">
        <v>250</v>
      </c>
      <c r="KM2" t="n">
        <v>251</v>
      </c>
      <c r="KN2" t="n">
        <v>252</v>
      </c>
      <c r="KO2" t="n">
        <v>253</v>
      </c>
      <c r="KP2" t="n">
        <v>254</v>
      </c>
      <c r="KQ2" t="n">
        <v>255</v>
      </c>
      <c r="KR2" t="n">
        <v>256</v>
      </c>
      <c r="KS2" t="n">
        <v>257</v>
      </c>
      <c r="KT2" t="n">
        <v>258</v>
      </c>
      <c r="KU2" t="n">
        <v>259</v>
      </c>
      <c r="KV2" t="n">
        <v>260</v>
      </c>
      <c r="KW2" t="n">
        <v>261</v>
      </c>
      <c r="KX2" t="n">
        <v>262</v>
      </c>
      <c r="KY2" t="n">
        <v>263</v>
      </c>
      <c r="KZ2" t="n">
        <v>264</v>
      </c>
      <c r="LA2" t="n">
        <v>265</v>
      </c>
      <c r="LB2" t="n">
        <v>266</v>
      </c>
      <c r="LC2" t="n">
        <v>267</v>
      </c>
      <c r="LD2" t="n">
        <v>268</v>
      </c>
      <c r="LE2" t="n">
        <v>269</v>
      </c>
      <c r="LF2" t="n">
        <v>270</v>
      </c>
      <c r="LG2" t="n">
        <v>271</v>
      </c>
      <c r="LH2" t="n">
        <v>272</v>
      </c>
      <c r="LI2" t="n">
        <v>273</v>
      </c>
      <c r="LJ2" t="n">
        <v>274</v>
      </c>
      <c r="LK2" t="n">
        <v>275</v>
      </c>
      <c r="LL2" t="n">
        <v>276</v>
      </c>
      <c r="LM2" t="n">
        <v>277</v>
      </c>
      <c r="LN2" t="n">
        <v>278</v>
      </c>
      <c r="LO2" t="n">
        <v>279</v>
      </c>
      <c r="LP2" t="n">
        <v>280</v>
      </c>
      <c r="LQ2" t="n">
        <v>281</v>
      </c>
      <c r="LR2" t="n">
        <v>282</v>
      </c>
      <c r="LS2" t="n">
        <v>283</v>
      </c>
      <c r="LT2" t="n">
        <v>284</v>
      </c>
      <c r="LU2" t="n">
        <v>285</v>
      </c>
      <c r="LV2" t="n">
        <v>286</v>
      </c>
      <c r="LW2" t="n">
        <v>287</v>
      </c>
      <c r="LX2" t="n">
        <v>288</v>
      </c>
      <c r="LY2" t="n">
        <v>289</v>
      </c>
      <c r="LZ2" t="n">
        <v>290</v>
      </c>
      <c r="MA2" t="n">
        <v>291</v>
      </c>
      <c r="MB2" t="n">
        <v>292</v>
      </c>
      <c r="MC2" t="n">
        <v>293</v>
      </c>
      <c r="MD2" t="n">
        <v>294</v>
      </c>
      <c r="ME2" t="n">
        <v>295</v>
      </c>
      <c r="MF2" t="n">
        <v>296</v>
      </c>
      <c r="MG2" t="n">
        <v>297</v>
      </c>
      <c r="MH2" t="n">
        <v>298</v>
      </c>
      <c r="MI2" t="n">
        <v>299</v>
      </c>
      <c r="MJ2" t="n">
        <v>300</v>
      </c>
      <c r="MK2" t="n">
        <v>301</v>
      </c>
      <c r="ML2" t="n">
        <v>302</v>
      </c>
      <c r="MM2" t="n">
        <v>303</v>
      </c>
      <c r="MN2" t="n">
        <v>304</v>
      </c>
      <c r="MO2" t="n">
        <v>305</v>
      </c>
      <c r="MP2" t="n">
        <v>306</v>
      </c>
      <c r="MQ2" t="n">
        <v>307</v>
      </c>
      <c r="MR2" t="n">
        <v>308</v>
      </c>
      <c r="MS2" t="n">
        <v>309</v>
      </c>
      <c r="MT2" t="n">
        <v>310</v>
      </c>
      <c r="MU2" t="n">
        <v>311</v>
      </c>
      <c r="MV2" t="n">
        <v>312</v>
      </c>
      <c r="MW2" t="n">
        <v>313</v>
      </c>
      <c r="MX2" t="n">
        <v>314</v>
      </c>
      <c r="MY2" t="n">
        <v>315</v>
      </c>
      <c r="MZ2" t="n">
        <v>316</v>
      </c>
      <c r="NA2" t="n">
        <v>317</v>
      </c>
      <c r="NB2" t="n">
        <v>318</v>
      </c>
      <c r="NC2" t="n">
        <v>319</v>
      </c>
      <c r="ND2" t="n">
        <v>320</v>
      </c>
      <c r="NE2" t="n">
        <v>321</v>
      </c>
      <c r="NF2" t="n">
        <v>322</v>
      </c>
      <c r="NG2" t="n">
        <v>323</v>
      </c>
      <c r="NH2" t="n">
        <v>324</v>
      </c>
      <c r="NI2" t="n">
        <v>325</v>
      </c>
      <c r="NJ2" t="n">
        <v>326</v>
      </c>
      <c r="NK2" t="n">
        <v>327</v>
      </c>
      <c r="NL2" t="n">
        <v>328</v>
      </c>
      <c r="NM2" t="n">
        <v>329</v>
      </c>
      <c r="NN2" t="n">
        <v>330</v>
      </c>
      <c r="NO2" t="n">
        <v>331</v>
      </c>
      <c r="NP2" t="n">
        <v>332</v>
      </c>
      <c r="NQ2" t="n">
        <v>333</v>
      </c>
      <c r="NR2" t="n">
        <v>334</v>
      </c>
      <c r="NS2" t="n">
        <v>335</v>
      </c>
      <c r="NT2" t="n">
        <v>336</v>
      </c>
      <c r="NU2" t="n">
        <v>337</v>
      </c>
      <c r="NV2" t="n">
        <v>338</v>
      </c>
      <c r="NW2" t="n">
        <v>339</v>
      </c>
      <c r="NX2" t="n">
        <v>340</v>
      </c>
      <c r="NY2" t="n">
        <v>341</v>
      </c>
      <c r="NZ2" t="n">
        <v>342</v>
      </c>
      <c r="OA2" t="n">
        <v>343</v>
      </c>
      <c r="OB2" t="n">
        <v>344</v>
      </c>
      <c r="OC2" t="n">
        <v>345</v>
      </c>
      <c r="OD2" t="n">
        <v>346</v>
      </c>
      <c r="OE2" t="n">
        <v>347</v>
      </c>
      <c r="OF2" t="n">
        <v>348</v>
      </c>
      <c r="OG2" t="n">
        <v>349</v>
      </c>
      <c r="OH2" t="n">
        <v>350</v>
      </c>
      <c r="OI2" t="n">
        <v>351</v>
      </c>
      <c r="OJ2" t="n">
        <v>352</v>
      </c>
      <c r="OK2" t="n">
        <v>353</v>
      </c>
      <c r="OL2" t="n">
        <v>354</v>
      </c>
      <c r="OM2" t="n">
        <v>355</v>
      </c>
      <c r="ON2" t="n">
        <v>356</v>
      </c>
      <c r="OO2" t="n">
        <v>357</v>
      </c>
      <c r="OP2" t="n">
        <v>358</v>
      </c>
      <c r="OQ2" t="n">
        <v>359</v>
      </c>
      <c r="OR2" t="n">
        <v>360</v>
      </c>
      <c r="OS2" t="n">
        <v>361</v>
      </c>
      <c r="OT2" t="n">
        <v>362</v>
      </c>
      <c r="OU2" t="n">
        <v>363</v>
      </c>
      <c r="OV2" t="n">
        <v>364</v>
      </c>
      <c r="OW2" t="n">
        <v>365</v>
      </c>
      <c r="OX2" t="n">
        <v>366</v>
      </c>
      <c r="OY2" t="n">
        <v>367</v>
      </c>
      <c r="OZ2" t="n">
        <v>368</v>
      </c>
      <c r="PA2" t="n">
        <v>369</v>
      </c>
      <c r="PB2" t="n">
        <v>370</v>
      </c>
      <c r="PC2" t="n">
        <v>371</v>
      </c>
      <c r="PD2" t="n">
        <v>372</v>
      </c>
      <c r="PE2" t="n">
        <v>373</v>
      </c>
      <c r="PF2" t="n">
        <v>374</v>
      </c>
      <c r="PG2" t="n">
        <v>375</v>
      </c>
      <c r="PH2" t="n">
        <v>376</v>
      </c>
      <c r="PI2" t="n">
        <v>377</v>
      </c>
      <c r="PJ2" t="n">
        <v>378</v>
      </c>
      <c r="PK2" t="n">
        <v>379</v>
      </c>
      <c r="PL2" t="n">
        <v>380</v>
      </c>
      <c r="PM2" t="n">
        <v>381</v>
      </c>
      <c r="PN2" t="n">
        <v>382</v>
      </c>
      <c r="PO2" t="n">
        <v>383</v>
      </c>
      <c r="PP2" t="n">
        <v>384</v>
      </c>
      <c r="PQ2" t="n">
        <v>385</v>
      </c>
      <c r="PR2" t="n">
        <v>386</v>
      </c>
      <c r="PS2" t="n">
        <v>387</v>
      </c>
      <c r="PT2" t="n">
        <v>388</v>
      </c>
      <c r="PU2" t="n">
        <v>389</v>
      </c>
      <c r="PV2" t="n">
        <v>390</v>
      </c>
      <c r="PW2" t="n">
        <v>391</v>
      </c>
      <c r="PX2" t="n">
        <v>392</v>
      </c>
      <c r="PY2" t="n">
        <v>393</v>
      </c>
      <c r="PZ2" t="n">
        <v>394</v>
      </c>
      <c r="QA2" t="n">
        <v>395</v>
      </c>
      <c r="QB2" t="n">
        <v>396</v>
      </c>
      <c r="QC2" t="n">
        <v>397</v>
      </c>
      <c r="QD2" t="n">
        <v>398</v>
      </c>
      <c r="QE2" t="n">
        <v>399</v>
      </c>
      <c r="QF2" t="n">
        <v>400</v>
      </c>
      <c r="QG2" t="n">
        <v>401</v>
      </c>
      <c r="QH2" t="n">
        <v>402</v>
      </c>
      <c r="QI2" t="n">
        <v>403</v>
      </c>
      <c r="QJ2" t="n">
        <v>404</v>
      </c>
      <c r="QK2" t="n">
        <v>405</v>
      </c>
      <c r="QL2" t="n">
        <v>406</v>
      </c>
      <c r="QM2" t="n">
        <v>407</v>
      </c>
      <c r="QN2" t="n">
        <v>408</v>
      </c>
      <c r="QO2" t="n">
        <v>409</v>
      </c>
      <c r="QP2" t="n">
        <v>410</v>
      </c>
      <c r="QQ2" t="n">
        <v>411</v>
      </c>
      <c r="QR2" t="n">
        <v>412</v>
      </c>
      <c r="QS2" t="n">
        <v>413</v>
      </c>
      <c r="QT2" t="n">
        <v>414</v>
      </c>
      <c r="QU2" t="n">
        <v>415</v>
      </c>
      <c r="QV2" t="n">
        <v>416</v>
      </c>
      <c r="QW2" t="n">
        <v>417</v>
      </c>
      <c r="QX2" t="n">
        <v>418</v>
      </c>
      <c r="QY2" t="n">
        <v>419</v>
      </c>
      <c r="QZ2" t="n">
        <v>420</v>
      </c>
      <c r="RA2" t="n">
        <v>421</v>
      </c>
      <c r="RB2" t="n">
        <v>422</v>
      </c>
      <c r="RC2" t="n">
        <v>423</v>
      </c>
      <c r="RD2" t="n">
        <v>424</v>
      </c>
      <c r="RE2" t="n">
        <v>425</v>
      </c>
      <c r="RF2" t="n">
        <v>426</v>
      </c>
      <c r="RG2" t="n">
        <v>427</v>
      </c>
      <c r="RH2" t="n">
        <v>428</v>
      </c>
      <c r="RI2" t="n">
        <v>429</v>
      </c>
      <c r="RJ2" t="n">
        <v>430</v>
      </c>
      <c r="RK2" t="n">
        <v>431</v>
      </c>
      <c r="RL2" t="n">
        <v>432</v>
      </c>
      <c r="RM2" t="n">
        <v>433</v>
      </c>
      <c r="RN2" t="n">
        <v>434</v>
      </c>
      <c r="RO2" t="n">
        <v>435</v>
      </c>
      <c r="RP2" t="n">
        <v>436</v>
      </c>
      <c r="RQ2" t="n">
        <v>437</v>
      </c>
      <c r="RR2" t="n">
        <v>438</v>
      </c>
      <c r="RS2" t="n">
        <v>439</v>
      </c>
      <c r="RT2" t="n">
        <v>440</v>
      </c>
      <c r="RU2" t="n">
        <v>441</v>
      </c>
      <c r="RV2" t="n">
        <v>442</v>
      </c>
      <c r="RW2" t="n">
        <v>443</v>
      </c>
      <c r="RX2" t="n">
        <v>444</v>
      </c>
      <c r="RY2" t="n">
        <v>445</v>
      </c>
      <c r="RZ2" t="n">
        <v>446</v>
      </c>
      <c r="SA2" t="n">
        <v>447</v>
      </c>
      <c r="SB2" t="n">
        <v>448</v>
      </c>
      <c r="SC2" t="n">
        <v>449</v>
      </c>
      <c r="SD2" t="n">
        <v>450</v>
      </c>
      <c r="SE2" t="n">
        <v>451</v>
      </c>
      <c r="SF2" t="n">
        <v>452</v>
      </c>
      <c r="SG2" t="n">
        <v>453</v>
      </c>
      <c r="SH2" t="n">
        <v>454</v>
      </c>
      <c r="SI2" t="n">
        <v>455</v>
      </c>
      <c r="SJ2" t="n">
        <v>456</v>
      </c>
      <c r="SK2" t="n">
        <v>457</v>
      </c>
      <c r="SL2" t="n">
        <v>458</v>
      </c>
      <c r="SM2" t="n">
        <v>459</v>
      </c>
      <c r="SN2" t="n">
        <v>460</v>
      </c>
      <c r="SO2" t="n">
        <v>461</v>
      </c>
      <c r="SP2" t="n">
        <v>462</v>
      </c>
      <c r="SQ2" t="n">
        <v>463</v>
      </c>
      <c r="SR2" t="n">
        <v>464</v>
      </c>
      <c r="SS2" t="n">
        <v>465</v>
      </c>
      <c r="ST2" t="n">
        <v>466</v>
      </c>
      <c r="SU2" t="n">
        <v>467</v>
      </c>
      <c r="SV2" t="n">
        <v>468</v>
      </c>
      <c r="SW2" t="n">
        <v>469</v>
      </c>
      <c r="SX2" t="n">
        <v>470</v>
      </c>
      <c r="SY2" t="n">
        <v>471</v>
      </c>
      <c r="SZ2" t="n">
        <v>472</v>
      </c>
      <c r="TA2" t="n">
        <v>473</v>
      </c>
      <c r="TB2" t="n">
        <v>474</v>
      </c>
      <c r="TC2" t="n">
        <v>475</v>
      </c>
      <c r="TD2" t="n">
        <v>476</v>
      </c>
      <c r="TE2" t="n">
        <v>477</v>
      </c>
      <c r="TF2" t="n">
        <v>478</v>
      </c>
      <c r="TG2" t="n">
        <v>479</v>
      </c>
      <c r="TH2" t="n">
        <v>480</v>
      </c>
      <c r="TI2" t="n">
        <v>481</v>
      </c>
      <c r="TJ2" t="n">
        <v>482</v>
      </c>
      <c r="TK2" t="n">
        <v>483</v>
      </c>
      <c r="TL2" t="n">
        <v>484</v>
      </c>
      <c r="TM2" t="n">
        <v>485</v>
      </c>
      <c r="TN2" t="n">
        <v>486</v>
      </c>
      <c r="TO2" t="n">
        <v>487</v>
      </c>
      <c r="TP2" t="n">
        <v>488</v>
      </c>
      <c r="TQ2" t="n">
        <v>489</v>
      </c>
      <c r="TR2" t="n">
        <v>490</v>
      </c>
      <c r="TS2" t="n">
        <v>491</v>
      </c>
      <c r="TT2" t="n">
        <v>492</v>
      </c>
      <c r="TU2" t="n">
        <v>493</v>
      </c>
      <c r="TV2" t="n">
        <v>494</v>
      </c>
      <c r="TW2" t="n">
        <v>495</v>
      </c>
      <c r="TX2" t="n">
        <v>496</v>
      </c>
      <c r="TY2" t="n">
        <v>497</v>
      </c>
      <c r="TZ2" t="n">
        <v>498</v>
      </c>
      <c r="UA2" t="n">
        <v>499</v>
      </c>
      <c r="UB2" t="n">
        <v>500</v>
      </c>
      <c r="UC2" t="n">
        <v>501</v>
      </c>
      <c r="UD2" t="n">
        <v>502</v>
      </c>
      <c r="UE2" t="n">
        <v>503</v>
      </c>
      <c r="UF2" t="n">
        <v>504</v>
      </c>
      <c r="UG2" t="n">
        <v>505</v>
      </c>
      <c r="UH2" t="n">
        <v>506</v>
      </c>
      <c r="UI2" t="n">
        <v>507</v>
      </c>
      <c r="UJ2" t="n">
        <v>508</v>
      </c>
      <c r="UK2" t="n">
        <v>509</v>
      </c>
      <c r="UL2" t="n">
        <v>510</v>
      </c>
      <c r="UM2" t="n">
        <v>511</v>
      </c>
      <c r="UN2" t="n">
        <v>512</v>
      </c>
      <c r="UO2" t="n">
        <v>513</v>
      </c>
      <c r="UP2" t="n">
        <v>514</v>
      </c>
      <c r="UQ2" t="n">
        <v>515</v>
      </c>
      <c r="UR2" t="n">
        <v>516</v>
      </c>
      <c r="US2" t="n">
        <v>517</v>
      </c>
      <c r="UT2" t="n">
        <v>518</v>
      </c>
      <c r="UU2" t="n">
        <v>519</v>
      </c>
      <c r="UV2" t="n">
        <v>520</v>
      </c>
      <c r="UW2" t="n">
        <v>521</v>
      </c>
      <c r="UX2" t="n">
        <v>522</v>
      </c>
      <c r="UY2" t="n">
        <v>523</v>
      </c>
      <c r="UZ2" t="n">
        <v>524</v>
      </c>
      <c r="VA2" t="n">
        <v>525</v>
      </c>
      <c r="VB2" t="n">
        <v>526</v>
      </c>
      <c r="VC2" t="n">
        <v>527</v>
      </c>
      <c r="VD2" t="n">
        <v>528</v>
      </c>
      <c r="VE2" t="n">
        <v>529</v>
      </c>
      <c r="VF2" t="n">
        <v>530</v>
      </c>
      <c r="VG2" t="n">
        <v>531</v>
      </c>
      <c r="VH2" t="n">
        <v>532</v>
      </c>
      <c r="VI2" t="n">
        <v>533</v>
      </c>
      <c r="VJ2" t="n">
        <v>534</v>
      </c>
      <c r="VK2" t="n">
        <v>535</v>
      </c>
      <c r="VL2" t="n">
        <v>536</v>
      </c>
      <c r="VM2" t="n">
        <v>537</v>
      </c>
      <c r="VN2" t="n">
        <v>538</v>
      </c>
      <c r="VO2" t="n">
        <v>539</v>
      </c>
      <c r="VP2" t="n">
        <v>540</v>
      </c>
      <c r="VQ2" t="n">
        <v>541</v>
      </c>
      <c r="VR2" t="n">
        <v>542</v>
      </c>
      <c r="VS2" t="n">
        <v>543</v>
      </c>
      <c r="VT2" t="n">
        <v>544</v>
      </c>
      <c r="VU2" t="n">
        <v>545</v>
      </c>
      <c r="VV2" t="n">
        <v>546</v>
      </c>
      <c r="VW2" t="n">
        <v>547</v>
      </c>
      <c r="VX2" t="n">
        <v>548</v>
      </c>
      <c r="VY2" t="n">
        <v>549</v>
      </c>
      <c r="VZ2" t="n">
        <v>550</v>
      </c>
      <c r="WA2" t="n">
        <v>551</v>
      </c>
      <c r="WB2" t="n">
        <v>552</v>
      </c>
      <c r="WC2" t="n">
        <v>553</v>
      </c>
      <c r="WD2" t="n">
        <v>554</v>
      </c>
      <c r="WE2" t="n">
        <v>555</v>
      </c>
      <c r="WF2" t="n">
        <v>556</v>
      </c>
      <c r="WG2" t="n">
        <v>557</v>
      </c>
      <c r="WH2" t="n">
        <v>558</v>
      </c>
      <c r="WI2" t="n">
        <v>559</v>
      </c>
      <c r="WJ2" t="n">
        <v>560</v>
      </c>
      <c r="WK2" t="n">
        <v>561</v>
      </c>
      <c r="WL2" t="n">
        <v>562</v>
      </c>
      <c r="WM2" t="n">
        <v>563</v>
      </c>
      <c r="WN2" t="n">
        <v>564</v>
      </c>
      <c r="WO2" t="n">
        <v>565</v>
      </c>
      <c r="WP2" t="n">
        <v>566</v>
      </c>
      <c r="WQ2" t="n">
        <v>567</v>
      </c>
      <c r="WR2" t="n">
        <v>568</v>
      </c>
      <c r="WS2" t="n">
        <v>569</v>
      </c>
      <c r="WT2" t="n">
        <v>570</v>
      </c>
      <c r="WU2" t="n">
        <v>571</v>
      </c>
      <c r="WV2" t="n">
        <v>572</v>
      </c>
      <c r="WW2" t="n">
        <v>573</v>
      </c>
      <c r="WX2" t="n">
        <v>574</v>
      </c>
      <c r="WY2" t="n">
        <v>575</v>
      </c>
      <c r="WZ2" t="n">
        <v>576</v>
      </c>
      <c r="XA2" t="n">
        <v>577</v>
      </c>
      <c r="XB2" t="n">
        <v>578</v>
      </c>
      <c r="XC2" t="n">
        <v>579</v>
      </c>
      <c r="XD2" t="n">
        <v>580</v>
      </c>
      <c r="XE2" t="n">
        <v>581</v>
      </c>
      <c r="XF2" t="n">
        <v>582</v>
      </c>
      <c r="XG2" t="n">
        <v>583</v>
      </c>
      <c r="XH2" t="n">
        <v>584</v>
      </c>
      <c r="XI2" t="n">
        <v>585</v>
      </c>
      <c r="XJ2" t="n">
        <v>586</v>
      </c>
      <c r="XK2" t="n">
        <v>587</v>
      </c>
      <c r="XL2" t="n">
        <v>588</v>
      </c>
      <c r="XM2" t="n">
        <v>589</v>
      </c>
      <c r="XN2" t="n">
        <v>590</v>
      </c>
      <c r="XO2" t="n">
        <v>591</v>
      </c>
      <c r="XP2" t="n">
        <v>592</v>
      </c>
      <c r="XQ2" t="n">
        <v>593</v>
      </c>
      <c r="XR2" t="n">
        <v>594</v>
      </c>
      <c r="XS2" t="n">
        <v>595</v>
      </c>
      <c r="XT2" t="n">
        <v>596</v>
      </c>
      <c r="XU2" t="n">
        <v>597</v>
      </c>
      <c r="XV2" t="n">
        <v>598</v>
      </c>
      <c r="XW2" t="n">
        <v>599</v>
      </c>
      <c r="XX2" t="n">
        <v>600</v>
      </c>
      <c r="XY2" t="n">
        <v>601</v>
      </c>
      <c r="XZ2" t="n">
        <v>602</v>
      </c>
      <c r="YA2" t="n">
        <v>603</v>
      </c>
      <c r="YB2" t="n">
        <v>604</v>
      </c>
      <c r="YC2" t="n">
        <v>605</v>
      </c>
      <c r="YD2" t="n">
        <v>606</v>
      </c>
      <c r="YE2" t="n">
        <v>607</v>
      </c>
      <c r="YF2" t="n">
        <v>608</v>
      </c>
      <c r="YG2" t="n">
        <v>609</v>
      </c>
      <c r="YH2" t="n">
        <v>610</v>
      </c>
      <c r="YI2" t="n">
        <v>611</v>
      </c>
      <c r="YJ2" t="n">
        <v>612</v>
      </c>
      <c r="YK2" t="n">
        <v>613</v>
      </c>
      <c r="YL2" t="n">
        <v>614</v>
      </c>
      <c r="YM2" t="n">
        <v>615</v>
      </c>
      <c r="YN2" t="n">
        <v>616</v>
      </c>
      <c r="YO2" t="n">
        <v>617</v>
      </c>
      <c r="YP2" t="n">
        <v>618</v>
      </c>
      <c r="YQ2" t="n">
        <v>619</v>
      </c>
      <c r="YR2" t="n">
        <v>620</v>
      </c>
      <c r="YS2" t="n">
        <v>621</v>
      </c>
      <c r="YT2" t="n">
        <v>622</v>
      </c>
      <c r="YU2" t="n">
        <v>623</v>
      </c>
      <c r="YV2" t="n">
        <v>624</v>
      </c>
      <c r="YW2" t="n">
        <v>625</v>
      </c>
      <c r="YX2" t="n">
        <v>626</v>
      </c>
      <c r="YY2" t="n">
        <v>627</v>
      </c>
      <c r="YZ2" t="n">
        <v>628</v>
      </c>
      <c r="ZA2" t="n">
        <v>629</v>
      </c>
      <c r="ZB2" t="n">
        <v>630</v>
      </c>
      <c r="ZC2" t="n">
        <v>631</v>
      </c>
      <c r="ZD2" t="n">
        <v>632</v>
      </c>
      <c r="ZE2" t="n">
        <v>633</v>
      </c>
      <c r="ZF2" t="n">
        <v>634</v>
      </c>
      <c r="ZG2" t="n">
        <v>635</v>
      </c>
      <c r="ZH2" t="n">
        <v>636</v>
      </c>
      <c r="ZI2" t="n">
        <v>637</v>
      </c>
      <c r="ZJ2" t="n">
        <v>638</v>
      </c>
      <c r="ZK2" t="n">
        <v>639</v>
      </c>
      <c r="ZL2" t="n">
        <v>640</v>
      </c>
      <c r="ZM2" t="n">
        <v>641</v>
      </c>
      <c r="ZN2" t="n">
        <v>642</v>
      </c>
      <c r="ZO2" t="n">
        <v>643</v>
      </c>
      <c r="ZP2" t="n">
        <v>644</v>
      </c>
      <c r="ZQ2" t="n">
        <v>645</v>
      </c>
      <c r="ZR2" t="n">
        <v>646</v>
      </c>
      <c r="ZS2" t="n">
        <v>647</v>
      </c>
      <c r="ZT2" t="n">
        <v>648</v>
      </c>
      <c r="ZU2" t="n">
        <v>649</v>
      </c>
      <c r="ZV2" t="n">
        <v>650</v>
      </c>
      <c r="ZW2" t="n">
        <v>651</v>
      </c>
      <c r="ZX2" t="n">
        <v>652</v>
      </c>
      <c r="ZY2" t="n">
        <v>653</v>
      </c>
      <c r="ZZ2" t="n">
        <v>654</v>
      </c>
      <c r="AAA2" t="n">
        <v>655</v>
      </c>
      <c r="AAB2" t="n">
        <v>656</v>
      </c>
      <c r="AAC2" t="n">
        <v>657</v>
      </c>
      <c r="AAD2" t="n">
        <v>658</v>
      </c>
      <c r="AAE2" t="n">
        <v>659</v>
      </c>
      <c r="AAF2" t="n">
        <v>660</v>
      </c>
      <c r="AAG2" t="n">
        <v>661</v>
      </c>
      <c r="AAH2" t="n">
        <v>662</v>
      </c>
      <c r="AAI2" t="n">
        <v>663</v>
      </c>
      <c r="AAJ2" t="n">
        <v>664</v>
      </c>
      <c r="AAK2" t="n">
        <v>665</v>
      </c>
      <c r="AAL2" t="n">
        <v>666</v>
      </c>
      <c r="AAM2" t="n">
        <v>667</v>
      </c>
      <c r="AAN2" t="n">
        <v>668</v>
      </c>
      <c r="AAO2" t="n">
        <v>669</v>
      </c>
      <c r="AAP2" t="n">
        <v>670</v>
      </c>
      <c r="AAQ2" t="n">
        <v>671</v>
      </c>
      <c r="AAR2" t="n">
        <v>672</v>
      </c>
      <c r="AAS2" t="n">
        <v>673</v>
      </c>
      <c r="AAT2" t="n">
        <v>674</v>
      </c>
      <c r="AAU2" t="n">
        <v>675</v>
      </c>
      <c r="AAV2" t="n">
        <v>676</v>
      </c>
      <c r="AAW2" t="n">
        <v>677</v>
      </c>
      <c r="AAX2" t="n">
        <v>678</v>
      </c>
      <c r="AAY2" t="n">
        <v>679</v>
      </c>
      <c r="AAZ2" t="n">
        <v>680</v>
      </c>
      <c r="ABA2" t="n">
        <v>681</v>
      </c>
      <c r="ABB2" t="n">
        <v>682</v>
      </c>
      <c r="ABC2" t="n">
        <v>683</v>
      </c>
      <c r="ABD2" t="n">
        <v>684</v>
      </c>
      <c r="ABE2" t="n">
        <v>685</v>
      </c>
      <c r="ABF2" t="n">
        <v>686</v>
      </c>
      <c r="ABG2" t="n">
        <v>687</v>
      </c>
      <c r="ABH2" t="n">
        <v>688</v>
      </c>
      <c r="ABI2" t="n">
        <v>689</v>
      </c>
      <c r="ABJ2" t="n">
        <v>690</v>
      </c>
      <c r="ABK2" t="n">
        <v>691</v>
      </c>
      <c r="ABL2" t="n">
        <v>692</v>
      </c>
      <c r="ABM2" t="n">
        <v>693</v>
      </c>
      <c r="ABN2" t="n">
        <v>694</v>
      </c>
      <c r="ABO2" t="n">
        <v>695</v>
      </c>
      <c r="ABP2" t="n">
        <v>696</v>
      </c>
      <c r="ABQ2" t="n">
        <v>697</v>
      </c>
      <c r="ABR2" t="n">
        <v>1</v>
      </c>
      <c r="ABS2" t="n">
        <v>2</v>
      </c>
      <c r="ABT2" t="n">
        <v>3</v>
      </c>
      <c r="ABU2" t="n">
        <v>4</v>
      </c>
      <c r="ABV2" t="n">
        <v>5</v>
      </c>
      <c r="ABW2" t="n">
        <v>6</v>
      </c>
      <c r="ABX2" t="n">
        <v>7</v>
      </c>
      <c r="ABY2" t="n">
        <v>8</v>
      </c>
      <c r="ABZ2" t="n">
        <v>9</v>
      </c>
      <c r="ACA2" t="n">
        <v>10</v>
      </c>
      <c r="ACB2" t="n">
        <v>11</v>
      </c>
      <c r="ACC2" t="n">
        <v>12</v>
      </c>
      <c r="ACD2" t="n">
        <v>13</v>
      </c>
      <c r="ACE2" t="n">
        <v>14</v>
      </c>
      <c r="ACF2" t="n">
        <v>15</v>
      </c>
      <c r="ACG2" t="n">
        <v>16</v>
      </c>
      <c r="ACH2" t="n">
        <v>17</v>
      </c>
      <c r="ACI2" t="n">
        <v>18</v>
      </c>
      <c r="ACJ2" t="n">
        <v>19</v>
      </c>
      <c r="ACK2" t="n">
        <v>20</v>
      </c>
      <c r="ACL2" t="n">
        <v>21</v>
      </c>
      <c r="ACM2" t="n">
        <v>22</v>
      </c>
      <c r="ACN2" t="n">
        <v>23</v>
      </c>
      <c r="ACO2" t="n">
        <v>24</v>
      </c>
      <c r="ACP2" t="n">
        <v>25</v>
      </c>
      <c r="ACQ2" t="n">
        <v>26</v>
      </c>
      <c r="ACR2" t="n">
        <v>27</v>
      </c>
      <c r="ACS2" t="n">
        <v>28</v>
      </c>
      <c r="ACT2" t="n">
        <v>29</v>
      </c>
      <c r="ACU2" t="n">
        <v>30</v>
      </c>
      <c r="ACV2" t="n">
        <v>31</v>
      </c>
      <c r="ACW2" t="n">
        <v>32</v>
      </c>
      <c r="ACX2" t="n">
        <v>33</v>
      </c>
      <c r="ACY2" t="n">
        <v>34</v>
      </c>
      <c r="ACZ2" t="n">
        <v>35</v>
      </c>
      <c r="ADA2" t="n">
        <v>36</v>
      </c>
      <c r="ADB2" t="n">
        <v>37</v>
      </c>
      <c r="ADC2" t="n">
        <v>38</v>
      </c>
      <c r="ADD2" t="n">
        <v>39</v>
      </c>
      <c r="ADE2" t="n">
        <v>40</v>
      </c>
      <c r="ADF2" t="n">
        <v>41</v>
      </c>
      <c r="ADG2" t="n">
        <v>42</v>
      </c>
      <c r="ADH2" t="n">
        <v>43</v>
      </c>
      <c r="ADI2" t="n">
        <v>44</v>
      </c>
      <c r="ADJ2" t="n">
        <v>45</v>
      </c>
      <c r="ADK2" t="n">
        <v>46</v>
      </c>
      <c r="ADL2" t="n">
        <v>47</v>
      </c>
      <c r="ADM2" t="n">
        <v>48</v>
      </c>
      <c r="ADN2" t="n">
        <v>49</v>
      </c>
      <c r="ADO2" t="n">
        <v>50</v>
      </c>
      <c r="ADP2" t="n">
        <v>51</v>
      </c>
      <c r="ADQ2" t="n">
        <v>52</v>
      </c>
      <c r="ADR2" t="n">
        <v>53</v>
      </c>
      <c r="ADS2" t="n">
        <v>54</v>
      </c>
      <c r="ADT2" t="n">
        <v>55</v>
      </c>
      <c r="ADU2" t="n">
        <v>56</v>
      </c>
      <c r="ADV2" t="n">
        <v>57</v>
      </c>
      <c r="ADW2" t="n">
        <v>58</v>
      </c>
      <c r="ADX2" t="n">
        <v>59</v>
      </c>
      <c r="ADY2" t="n">
        <v>60</v>
      </c>
      <c r="ADZ2" t="n">
        <v>61</v>
      </c>
      <c r="AEA2" t="n">
        <v>62</v>
      </c>
      <c r="AEB2" t="n">
        <v>63</v>
      </c>
      <c r="AEC2" t="n">
        <v>64</v>
      </c>
      <c r="AED2" t="n">
        <v>65</v>
      </c>
      <c r="AEE2" t="n">
        <v>66</v>
      </c>
      <c r="AEF2" t="n">
        <v>67</v>
      </c>
      <c r="AEG2" t="n">
        <v>68</v>
      </c>
      <c r="AEH2" t="n">
        <v>69</v>
      </c>
      <c r="AEI2" t="n">
        <v>70</v>
      </c>
      <c r="AEJ2" t="n">
        <v>71</v>
      </c>
      <c r="AEK2" t="n">
        <v>72</v>
      </c>
      <c r="AEL2" t="n">
        <v>73</v>
      </c>
      <c r="AEM2" t="n">
        <v>74</v>
      </c>
      <c r="AEN2" t="n">
        <v>75</v>
      </c>
      <c r="AEO2" t="n">
        <v>76</v>
      </c>
      <c r="AEP2" t="n">
        <v>77</v>
      </c>
      <c r="AEQ2" t="n">
        <v>78</v>
      </c>
      <c r="AER2" t="n">
        <v>79</v>
      </c>
      <c r="AES2" t="n">
        <v>80</v>
      </c>
      <c r="AET2" t="n">
        <v>81</v>
      </c>
      <c r="AEU2" t="n">
        <v>82</v>
      </c>
      <c r="AEV2" t="n">
        <v>83</v>
      </c>
      <c r="AEW2" t="n">
        <v>84</v>
      </c>
      <c r="AEX2" t="n">
        <v>85</v>
      </c>
      <c r="AEY2" t="n">
        <v>86</v>
      </c>
      <c r="AEZ2" t="n">
        <v>87</v>
      </c>
      <c r="AFA2" t="n">
        <v>88</v>
      </c>
      <c r="AFB2" t="n">
        <v>89</v>
      </c>
      <c r="AFC2" t="n">
        <v>90</v>
      </c>
      <c r="AFD2" t="n">
        <v>91</v>
      </c>
      <c r="AFE2" t="n">
        <v>92</v>
      </c>
      <c r="AFF2" t="n">
        <v>93</v>
      </c>
      <c r="AFG2" t="n">
        <v>94</v>
      </c>
      <c r="AFH2" t="n">
        <v>95</v>
      </c>
      <c r="AFI2" t="n">
        <v>96</v>
      </c>
      <c r="AFJ2" t="n">
        <v>97</v>
      </c>
      <c r="AFK2" t="n">
        <v>98</v>
      </c>
      <c r="AFL2" t="n">
        <v>99</v>
      </c>
      <c r="AFM2" t="n">
        <v>100</v>
      </c>
      <c r="AFN2" t="n">
        <v>101</v>
      </c>
      <c r="AFO2" t="n">
        <v>102</v>
      </c>
      <c r="AFP2" t="n">
        <v>103</v>
      </c>
      <c r="AFQ2" t="n">
        <v>104</v>
      </c>
      <c r="AFR2" t="n">
        <v>105</v>
      </c>
      <c r="AFS2" t="n">
        <v>106</v>
      </c>
      <c r="AFT2" t="n">
        <v>107</v>
      </c>
      <c r="AFU2" t="n">
        <v>108</v>
      </c>
      <c r="AFV2" t="n">
        <v>109</v>
      </c>
      <c r="AFW2" t="n">
        <v>110</v>
      </c>
      <c r="AFX2" t="n">
        <v>111</v>
      </c>
      <c r="AFY2" t="n">
        <v>112</v>
      </c>
      <c r="AFZ2" t="n">
        <v>113</v>
      </c>
      <c r="AGA2" t="n">
        <v>114</v>
      </c>
      <c r="AGB2" t="n">
        <v>115</v>
      </c>
      <c r="AGC2" t="n">
        <v>116</v>
      </c>
      <c r="AGD2" t="n">
        <v>117</v>
      </c>
      <c r="AGE2" t="n">
        <v>118</v>
      </c>
      <c r="AGF2" t="n">
        <v>119</v>
      </c>
      <c r="AGG2" t="n">
        <v>120</v>
      </c>
      <c r="AGH2" t="n">
        <v>121</v>
      </c>
      <c r="AGI2" t="n">
        <v>122</v>
      </c>
      <c r="AGJ2" t="n">
        <v>123</v>
      </c>
      <c r="AGK2" t="n">
        <v>124</v>
      </c>
      <c r="AGL2" t="n">
        <v>125</v>
      </c>
      <c r="AGM2" t="n">
        <v>126</v>
      </c>
      <c r="AGN2" t="n">
        <v>127</v>
      </c>
      <c r="AGO2" t="n">
        <v>128</v>
      </c>
      <c r="AGP2" t="n">
        <v>129</v>
      </c>
      <c r="AGQ2" t="n">
        <v>130</v>
      </c>
      <c r="AGR2" t="n">
        <v>131</v>
      </c>
      <c r="AGS2" t="n">
        <v>132</v>
      </c>
      <c r="AGT2" t="n">
        <v>133</v>
      </c>
      <c r="AGU2" t="n">
        <v>134</v>
      </c>
      <c r="AGV2" t="n">
        <v>135</v>
      </c>
      <c r="AGW2" t="n">
        <v>136</v>
      </c>
      <c r="AGX2" t="n">
        <v>137</v>
      </c>
      <c r="AGY2" t="n">
        <v>138</v>
      </c>
      <c r="AGZ2" t="n">
        <v>139</v>
      </c>
      <c r="AHA2" t="n">
        <v>140</v>
      </c>
      <c r="AHB2" t="n">
        <v>141</v>
      </c>
      <c r="AHC2" t="n">
        <v>142</v>
      </c>
      <c r="AHD2" t="n">
        <v>143</v>
      </c>
      <c r="AHE2" t="n">
        <v>144</v>
      </c>
      <c r="AHF2" t="n">
        <v>145</v>
      </c>
      <c r="AHG2" t="n">
        <v>146</v>
      </c>
      <c r="AHH2" t="n">
        <v>147</v>
      </c>
      <c r="AHI2" t="n">
        <v>148</v>
      </c>
      <c r="AHJ2" t="n">
        <v>149</v>
      </c>
      <c r="AHK2" t="n">
        <v>150</v>
      </c>
      <c r="AHL2" t="n">
        <v>151</v>
      </c>
      <c r="AHM2" t="n">
        <v>152</v>
      </c>
      <c r="AHN2" t="n">
        <v>153</v>
      </c>
      <c r="AHO2" t="n">
        <v>154</v>
      </c>
      <c r="AHP2" t="n">
        <v>155</v>
      </c>
      <c r="AHQ2" t="n">
        <v>156</v>
      </c>
      <c r="AHR2" t="n">
        <v>157</v>
      </c>
      <c r="AHS2" t="n">
        <v>158</v>
      </c>
      <c r="AHT2" t="n">
        <v>159</v>
      </c>
      <c r="AHU2" t="n">
        <v>160</v>
      </c>
      <c r="AHV2" t="n">
        <v>161</v>
      </c>
      <c r="AHW2" t="n">
        <v>162</v>
      </c>
      <c r="AHX2" t="n">
        <v>163</v>
      </c>
      <c r="AHY2" t="n">
        <v>164</v>
      </c>
      <c r="AHZ2" t="n">
        <v>165</v>
      </c>
      <c r="AIA2" t="n">
        <v>166</v>
      </c>
      <c r="AIB2" t="n">
        <v>167</v>
      </c>
      <c r="AIC2" t="n">
        <v>168</v>
      </c>
      <c r="AID2" t="n">
        <v>169</v>
      </c>
      <c r="AIE2" t="n">
        <v>170</v>
      </c>
      <c r="AIF2" t="n">
        <v>171</v>
      </c>
      <c r="AIG2" t="n">
        <v>172</v>
      </c>
      <c r="AIH2" t="n">
        <v>173</v>
      </c>
      <c r="AII2" t="n">
        <v>174</v>
      </c>
      <c r="AIJ2" t="n">
        <v>175</v>
      </c>
      <c r="AIK2" t="n">
        <v>176</v>
      </c>
      <c r="AIL2" t="n">
        <v>177</v>
      </c>
      <c r="AIM2" t="n">
        <v>178</v>
      </c>
      <c r="AIN2" t="n">
        <v>179</v>
      </c>
      <c r="AIO2" t="n">
        <v>180</v>
      </c>
      <c r="AIP2" t="n">
        <v>181</v>
      </c>
      <c r="AIQ2" t="n">
        <v>182</v>
      </c>
      <c r="AIR2" t="n">
        <v>183</v>
      </c>
      <c r="AIS2" t="n">
        <v>184</v>
      </c>
      <c r="AIT2" t="n">
        <v>185</v>
      </c>
      <c r="AIU2" t="n">
        <v>186</v>
      </c>
      <c r="AIV2" t="n">
        <v>187</v>
      </c>
      <c r="AIW2" t="n">
        <v>188</v>
      </c>
      <c r="AIX2" t="n">
        <v>189</v>
      </c>
      <c r="AIY2" t="n">
        <v>190</v>
      </c>
      <c r="AIZ2" t="n">
        <v>191</v>
      </c>
      <c r="AJA2" t="n">
        <v>192</v>
      </c>
      <c r="AJB2" t="n">
        <v>193</v>
      </c>
      <c r="AJC2" t="n">
        <v>194</v>
      </c>
      <c r="AJD2" t="n">
        <v>195</v>
      </c>
      <c r="AJE2" t="n">
        <v>196</v>
      </c>
      <c r="AJF2" t="n">
        <v>197</v>
      </c>
      <c r="AJG2" t="n">
        <v>198</v>
      </c>
      <c r="AJH2" t="n">
        <v>199</v>
      </c>
      <c r="AJI2" t="n">
        <v>200</v>
      </c>
      <c r="AJJ2" t="n">
        <v>201</v>
      </c>
      <c r="AJK2" t="n">
        <v>202</v>
      </c>
      <c r="AJL2" t="n">
        <v>203</v>
      </c>
      <c r="AJM2" t="n">
        <v>204</v>
      </c>
      <c r="AJN2" t="n">
        <v>205</v>
      </c>
      <c r="AJO2" t="n">
        <v>206</v>
      </c>
      <c r="AJP2" t="n">
        <v>207</v>
      </c>
      <c r="AJQ2" t="n">
        <v>208</v>
      </c>
      <c r="AJR2" t="n">
        <v>209</v>
      </c>
      <c r="AJS2" t="n">
        <v>210</v>
      </c>
      <c r="AJT2" t="n">
        <v>211</v>
      </c>
      <c r="AJU2" t="n">
        <v>212</v>
      </c>
      <c r="AJV2" t="n">
        <v>213</v>
      </c>
      <c r="AJW2" t="n">
        <v>214</v>
      </c>
      <c r="AJX2" t="n">
        <v>215</v>
      </c>
      <c r="AJY2" t="n">
        <v>216</v>
      </c>
      <c r="AJZ2" t="n">
        <v>217</v>
      </c>
      <c r="AKA2" t="n">
        <v>218</v>
      </c>
      <c r="AKB2" t="n">
        <v>219</v>
      </c>
      <c r="AKC2" t="n">
        <v>220</v>
      </c>
      <c r="AKD2" t="n">
        <v>221</v>
      </c>
      <c r="AKE2" t="n">
        <v>222</v>
      </c>
      <c r="AKF2" t="n">
        <v>223</v>
      </c>
      <c r="AKG2" t="n">
        <v>224</v>
      </c>
      <c r="AKH2" t="n">
        <v>225</v>
      </c>
      <c r="AKI2" t="n">
        <v>226</v>
      </c>
      <c r="AKJ2" t="n">
        <v>227</v>
      </c>
      <c r="AKK2" t="n">
        <v>228</v>
      </c>
      <c r="AKL2" t="n">
        <v>229</v>
      </c>
      <c r="AKM2" t="n">
        <v>230</v>
      </c>
      <c r="AKN2" t="n">
        <v>231</v>
      </c>
      <c r="AKO2" t="n">
        <v>232</v>
      </c>
      <c r="AKP2" t="n">
        <v>233</v>
      </c>
      <c r="AKQ2" t="n">
        <v>234</v>
      </c>
      <c r="AKR2" t="n">
        <v>235</v>
      </c>
      <c r="AKS2" t="n">
        <v>236</v>
      </c>
      <c r="AKT2" t="n">
        <v>237</v>
      </c>
      <c r="AKU2" t="n">
        <v>238</v>
      </c>
      <c r="AKV2" t="n">
        <v>239</v>
      </c>
      <c r="AKW2" t="n">
        <v>240</v>
      </c>
      <c r="AKX2" t="n">
        <v>241</v>
      </c>
      <c r="AKY2" t="n">
        <v>242</v>
      </c>
      <c r="AKZ2" t="n">
        <v>243</v>
      </c>
      <c r="ALA2" t="n">
        <v>244</v>
      </c>
      <c r="ALB2" t="n">
        <v>245</v>
      </c>
      <c r="ALC2" t="n">
        <v>246</v>
      </c>
      <c r="ALD2" t="n">
        <v>247</v>
      </c>
      <c r="ALE2" t="n">
        <v>248</v>
      </c>
      <c r="ALF2" t="n">
        <v>249</v>
      </c>
      <c r="ALG2" t="n">
        <v>250</v>
      </c>
      <c r="ALH2" t="n">
        <v>251</v>
      </c>
      <c r="ALI2" t="n">
        <v>252</v>
      </c>
      <c r="ALJ2" t="n">
        <v>253</v>
      </c>
      <c r="ALK2" t="n">
        <v>254</v>
      </c>
      <c r="ALL2" t="n">
        <v>255</v>
      </c>
      <c r="ALM2" t="n">
        <v>256</v>
      </c>
      <c r="ALN2" t="n">
        <v>257</v>
      </c>
      <c r="ALO2" t="n">
        <v>258</v>
      </c>
      <c r="ALP2" t="n">
        <v>259</v>
      </c>
      <c r="ALQ2" t="n">
        <v>260</v>
      </c>
      <c r="ALR2" t="n">
        <v>261</v>
      </c>
      <c r="ALS2" t="n">
        <v>262</v>
      </c>
      <c r="ALT2" t="n">
        <v>263</v>
      </c>
      <c r="ALU2" t="n">
        <v>264</v>
      </c>
      <c r="ALV2" t="n">
        <v>265</v>
      </c>
      <c r="ALW2" t="n">
        <v>266</v>
      </c>
      <c r="ALX2" t="n">
        <v>267</v>
      </c>
      <c r="ALY2" t="n">
        <v>268</v>
      </c>
      <c r="ALZ2" t="n">
        <v>269</v>
      </c>
      <c r="AMA2" t="n">
        <v>270</v>
      </c>
      <c r="AMB2" t="n">
        <v>271</v>
      </c>
      <c r="AMC2" t="n">
        <v>272</v>
      </c>
      <c r="AMD2" t="n">
        <v>273</v>
      </c>
      <c r="AME2" t="n">
        <v>274</v>
      </c>
      <c r="AMF2" t="n">
        <v>275</v>
      </c>
      <c r="AMG2" t="n">
        <v>276</v>
      </c>
      <c r="AMH2" t="n">
        <v>277</v>
      </c>
      <c r="AMI2" t="n">
        <v>278</v>
      </c>
      <c r="AMJ2" t="n">
        <v>279</v>
      </c>
      <c r="AMK2" t="n">
        <v>280</v>
      </c>
      <c r="AML2" t="n">
        <v>281</v>
      </c>
      <c r="AMM2" t="n">
        <v>282</v>
      </c>
      <c r="AMN2" t="n">
        <v>283</v>
      </c>
      <c r="AMO2" t="n">
        <v>284</v>
      </c>
      <c r="AMP2" t="n">
        <v>285</v>
      </c>
      <c r="AMQ2" t="n">
        <v>286</v>
      </c>
      <c r="AMR2" t="n">
        <v>287</v>
      </c>
      <c r="AMS2" t="n">
        <v>288</v>
      </c>
      <c r="AMT2" t="n">
        <v>289</v>
      </c>
      <c r="AMU2" t="n">
        <v>290</v>
      </c>
      <c r="AMV2" t="n">
        <v>291</v>
      </c>
      <c r="AMW2" t="n">
        <v>292</v>
      </c>
      <c r="AMX2" t="n">
        <v>293</v>
      </c>
      <c r="AMY2" t="n">
        <v>294</v>
      </c>
      <c r="AMZ2" t="n">
        <v>295</v>
      </c>
      <c r="ANA2" t="n">
        <v>296</v>
      </c>
      <c r="ANB2" t="n">
        <v>297</v>
      </c>
      <c r="ANC2" t="n">
        <v>298</v>
      </c>
      <c r="AND2" t="n">
        <v>299</v>
      </c>
      <c r="ANE2" t="n">
        <v>300</v>
      </c>
      <c r="ANF2" t="n">
        <v>301</v>
      </c>
      <c r="ANG2" t="n">
        <v>302</v>
      </c>
      <c r="ANH2" t="n">
        <v>303</v>
      </c>
      <c r="ANI2" t="n">
        <v>304</v>
      </c>
      <c r="ANJ2" t="n">
        <v>305</v>
      </c>
      <c r="ANK2" t="n">
        <v>306</v>
      </c>
      <c r="ANL2" t="n">
        <v>307</v>
      </c>
      <c r="ANM2" t="n">
        <v>308</v>
      </c>
      <c r="ANN2" t="n">
        <v>309</v>
      </c>
      <c r="ANO2" t="n">
        <v>310</v>
      </c>
      <c r="ANP2" t="n">
        <v>311</v>
      </c>
      <c r="ANQ2" t="n">
        <v>312</v>
      </c>
      <c r="ANR2" t="n">
        <v>313</v>
      </c>
      <c r="ANS2" t="n">
        <v>314</v>
      </c>
      <c r="ANT2" t="n">
        <v>315</v>
      </c>
      <c r="ANU2" t="n">
        <v>316</v>
      </c>
      <c r="ANV2" t="n">
        <v>317</v>
      </c>
      <c r="ANW2" t="n">
        <v>318</v>
      </c>
      <c r="ANX2" t="n">
        <v>319</v>
      </c>
      <c r="ANY2" t="n">
        <v>320</v>
      </c>
      <c r="ANZ2" t="n">
        <v>321</v>
      </c>
      <c r="AOA2" t="n">
        <v>322</v>
      </c>
      <c r="AOB2" t="n">
        <v>323</v>
      </c>
      <c r="AOC2" t="n">
        <v>324</v>
      </c>
      <c r="AOD2" t="n">
        <v>325</v>
      </c>
      <c r="AOE2" t="n">
        <v>326</v>
      </c>
      <c r="AOF2" t="n">
        <v>327</v>
      </c>
      <c r="AOG2" t="n">
        <v>328</v>
      </c>
      <c r="AOH2" t="n">
        <v>329</v>
      </c>
      <c r="AOI2" t="n">
        <v>330</v>
      </c>
      <c r="AOJ2" t="n">
        <v>331</v>
      </c>
      <c r="AOK2" t="n">
        <v>332</v>
      </c>
      <c r="AOL2" t="n">
        <v>333</v>
      </c>
      <c r="AOM2" t="n">
        <v>334</v>
      </c>
      <c r="AON2" t="n">
        <v>335</v>
      </c>
      <c r="AOO2" t="n">
        <v>336</v>
      </c>
      <c r="AOP2" t="n">
        <v>337</v>
      </c>
      <c r="AOQ2" t="n">
        <v>338</v>
      </c>
      <c r="AOR2" t="n">
        <v>339</v>
      </c>
      <c r="AOS2" t="n">
        <v>340</v>
      </c>
      <c r="AOT2" t="n">
        <v>341</v>
      </c>
      <c r="AOU2" t="n">
        <v>342</v>
      </c>
      <c r="AOV2" t="n">
        <v>343</v>
      </c>
      <c r="AOW2" t="n">
        <v>344</v>
      </c>
      <c r="AOX2" t="n">
        <v>345</v>
      </c>
      <c r="AOY2" t="n">
        <v>346</v>
      </c>
      <c r="AOZ2" t="n">
        <v>347</v>
      </c>
      <c r="APA2" t="n">
        <v>348</v>
      </c>
      <c r="APB2" t="n">
        <v>349</v>
      </c>
      <c r="APC2" t="n">
        <v>350</v>
      </c>
      <c r="APD2" t="n">
        <v>351</v>
      </c>
      <c r="APE2" t="n">
        <v>352</v>
      </c>
      <c r="APF2" t="n">
        <v>353</v>
      </c>
      <c r="APG2" t="n">
        <v>354</v>
      </c>
      <c r="APH2" t="n">
        <v>355</v>
      </c>
      <c r="API2" t="n">
        <v>356</v>
      </c>
      <c r="APJ2" t="n">
        <v>357</v>
      </c>
      <c r="APK2" t="n">
        <v>358</v>
      </c>
      <c r="APL2" t="n">
        <v>359</v>
      </c>
      <c r="APM2" t="n">
        <v>360</v>
      </c>
      <c r="APN2" t="n">
        <v>361</v>
      </c>
      <c r="APO2" t="n">
        <v>362</v>
      </c>
      <c r="APP2" t="n">
        <v>363</v>
      </c>
      <c r="APQ2" t="n">
        <v>364</v>
      </c>
      <c r="APR2" t="n">
        <v>365</v>
      </c>
      <c r="APS2" t="n">
        <v>366</v>
      </c>
      <c r="APT2" t="n">
        <v>367</v>
      </c>
      <c r="APU2" t="n">
        <v>368</v>
      </c>
      <c r="APV2" t="n">
        <v>369</v>
      </c>
      <c r="APW2" t="n">
        <v>370</v>
      </c>
      <c r="APX2" t="n">
        <v>371</v>
      </c>
      <c r="APY2" t="n">
        <v>372</v>
      </c>
      <c r="APZ2" t="n">
        <v>373</v>
      </c>
      <c r="AQA2" t="n">
        <v>374</v>
      </c>
      <c r="AQB2" t="n">
        <v>375</v>
      </c>
      <c r="AQC2" t="n">
        <v>376</v>
      </c>
      <c r="AQD2" t="n">
        <v>377</v>
      </c>
      <c r="AQE2" t="n">
        <v>378</v>
      </c>
      <c r="AQF2" t="n">
        <v>379</v>
      </c>
      <c r="AQG2" t="n">
        <v>380</v>
      </c>
      <c r="AQH2" t="n">
        <v>381</v>
      </c>
      <c r="AQI2" t="n">
        <v>382</v>
      </c>
      <c r="AQJ2" t="n">
        <v>383</v>
      </c>
      <c r="AQK2" t="n">
        <v>384</v>
      </c>
      <c r="AQL2" t="n">
        <v>385</v>
      </c>
      <c r="AQM2" t="n">
        <v>386</v>
      </c>
      <c r="AQN2" t="n">
        <v>387</v>
      </c>
      <c r="AQO2" t="n">
        <v>388</v>
      </c>
      <c r="AQP2" t="n">
        <v>389</v>
      </c>
      <c r="AQQ2" t="n">
        <v>390</v>
      </c>
      <c r="AQR2" t="n">
        <v>391</v>
      </c>
      <c r="AQS2" t="n">
        <v>392</v>
      </c>
      <c r="AQT2" t="n">
        <v>393</v>
      </c>
      <c r="AQU2" t="n">
        <v>394</v>
      </c>
      <c r="AQV2" t="n">
        <v>395</v>
      </c>
      <c r="AQW2" t="n">
        <v>396</v>
      </c>
      <c r="AQX2" t="n">
        <v>397</v>
      </c>
      <c r="AQY2" t="n">
        <v>398</v>
      </c>
      <c r="AQZ2" t="n">
        <v>399</v>
      </c>
      <c r="ARA2" t="n">
        <v>400</v>
      </c>
      <c r="ARB2" t="n">
        <v>401</v>
      </c>
      <c r="ARC2" t="n">
        <v>402</v>
      </c>
      <c r="ARD2" t="n">
        <v>403</v>
      </c>
      <c r="ARE2" t="n">
        <v>404</v>
      </c>
      <c r="ARF2" t="n">
        <v>405</v>
      </c>
      <c r="ARG2" t="n">
        <v>406</v>
      </c>
      <c r="ARH2" t="n">
        <v>407</v>
      </c>
      <c r="ARI2" t="n">
        <v>408</v>
      </c>
      <c r="ARJ2" t="n">
        <v>409</v>
      </c>
      <c r="ARK2" t="n">
        <v>410</v>
      </c>
      <c r="ARL2" t="n">
        <v>411</v>
      </c>
      <c r="ARM2" t="n">
        <v>412</v>
      </c>
      <c r="ARN2" t="n">
        <v>413</v>
      </c>
      <c r="ARO2" t="n">
        <v>414</v>
      </c>
      <c r="ARP2" t="n">
        <v>415</v>
      </c>
      <c r="ARQ2" t="n">
        <v>416</v>
      </c>
      <c r="ARR2" t="n">
        <v>417</v>
      </c>
      <c r="ARS2" t="n">
        <v>418</v>
      </c>
      <c r="ART2" t="n">
        <v>419</v>
      </c>
      <c r="ARU2" t="n">
        <v>420</v>
      </c>
      <c r="ARV2" t="n">
        <v>421</v>
      </c>
      <c r="ARW2" t="n">
        <v>422</v>
      </c>
      <c r="ARX2" t="n">
        <v>423</v>
      </c>
      <c r="ARY2" t="n">
        <v>424</v>
      </c>
      <c r="ARZ2" t="n">
        <v>425</v>
      </c>
      <c r="ASA2" t="n">
        <v>426</v>
      </c>
      <c r="ASB2" t="n">
        <v>427</v>
      </c>
      <c r="ASC2" t="n">
        <v>428</v>
      </c>
      <c r="ASD2" t="n">
        <v>429</v>
      </c>
      <c r="ASE2" t="n">
        <v>430</v>
      </c>
      <c r="ASF2" t="n">
        <v>431</v>
      </c>
      <c r="ASG2" t="n">
        <v>432</v>
      </c>
      <c r="ASH2" t="n">
        <v>433</v>
      </c>
      <c r="ASI2" t="n">
        <v>434</v>
      </c>
      <c r="ASJ2" t="n">
        <v>435</v>
      </c>
      <c r="ASK2" t="n">
        <v>436</v>
      </c>
      <c r="ASL2" t="n">
        <v>437</v>
      </c>
      <c r="ASM2" t="n">
        <v>438</v>
      </c>
      <c r="ASN2" t="n">
        <v>439</v>
      </c>
      <c r="ASO2" t="n">
        <v>440</v>
      </c>
      <c r="ASP2" t="n">
        <v>441</v>
      </c>
      <c r="ASQ2" t="n">
        <v>442</v>
      </c>
      <c r="ASR2" t="n">
        <v>443</v>
      </c>
      <c r="ASS2" t="n">
        <v>444</v>
      </c>
      <c r="AST2" t="n">
        <v>445</v>
      </c>
      <c r="ASU2" t="n">
        <v>446</v>
      </c>
      <c r="ASV2" t="n">
        <v>447</v>
      </c>
      <c r="ASW2" t="n">
        <v>448</v>
      </c>
      <c r="ASX2" t="n">
        <v>449</v>
      </c>
      <c r="ASY2" t="n">
        <v>450</v>
      </c>
      <c r="ASZ2" t="n">
        <v>451</v>
      </c>
      <c r="ATA2" t="n">
        <v>452</v>
      </c>
      <c r="ATB2" t="n">
        <v>453</v>
      </c>
      <c r="ATC2" t="n">
        <v>454</v>
      </c>
      <c r="ATD2" t="n">
        <v>455</v>
      </c>
      <c r="ATE2" t="n">
        <v>456</v>
      </c>
      <c r="ATF2" t="n">
        <v>457</v>
      </c>
      <c r="ATG2" t="n">
        <v>458</v>
      </c>
      <c r="ATH2" t="n">
        <v>459</v>
      </c>
      <c r="ATI2" t="n">
        <v>460</v>
      </c>
      <c r="ATJ2" t="n">
        <v>461</v>
      </c>
      <c r="ATK2" t="n">
        <v>462</v>
      </c>
      <c r="ATL2" t="n">
        <v>463</v>
      </c>
      <c r="ATM2" t="n">
        <v>464</v>
      </c>
      <c r="ATN2" t="n">
        <v>465</v>
      </c>
      <c r="ATO2" t="n">
        <v>466</v>
      </c>
      <c r="ATP2" t="n">
        <v>467</v>
      </c>
      <c r="ATQ2" t="n">
        <v>468</v>
      </c>
      <c r="ATR2" t="n">
        <v>469</v>
      </c>
      <c r="ATS2" t="n">
        <v>470</v>
      </c>
      <c r="ATT2" t="n">
        <v>471</v>
      </c>
      <c r="ATU2" t="n">
        <v>472</v>
      </c>
      <c r="ATV2" t="n">
        <v>473</v>
      </c>
      <c r="ATW2" t="n">
        <v>474</v>
      </c>
      <c r="ATX2" t="n">
        <v>475</v>
      </c>
      <c r="ATY2" t="n">
        <v>476</v>
      </c>
      <c r="ATZ2" t="n">
        <v>477</v>
      </c>
      <c r="AUA2" t="n">
        <v>478</v>
      </c>
      <c r="AUB2" t="n">
        <v>479</v>
      </c>
      <c r="AUC2" t="n">
        <v>480</v>
      </c>
      <c r="AUD2" t="n">
        <v>481</v>
      </c>
      <c r="AUE2" t="n">
        <v>482</v>
      </c>
      <c r="AUF2" t="n">
        <v>483</v>
      </c>
      <c r="AUG2" t="n">
        <v>484</v>
      </c>
      <c r="AUH2" t="n">
        <v>485</v>
      </c>
      <c r="AUI2" t="n">
        <v>486</v>
      </c>
      <c r="AUJ2" t="n">
        <v>487</v>
      </c>
      <c r="AUK2" t="n">
        <v>488</v>
      </c>
      <c r="AUL2" t="n">
        <v>489</v>
      </c>
      <c r="AUM2" t="n">
        <v>490</v>
      </c>
      <c r="AUN2" t="n">
        <v>491</v>
      </c>
      <c r="AUO2" t="n">
        <v>492</v>
      </c>
      <c r="AUP2" t="n">
        <v>493</v>
      </c>
      <c r="AUQ2" t="n">
        <v>494</v>
      </c>
      <c r="AUR2" t="n">
        <v>495</v>
      </c>
      <c r="AUS2" t="n">
        <v>496</v>
      </c>
      <c r="AUT2" t="n">
        <v>497</v>
      </c>
      <c r="AUU2" t="n">
        <v>498</v>
      </c>
      <c r="AUV2" t="n">
        <v>499</v>
      </c>
      <c r="AUW2" t="n">
        <v>500</v>
      </c>
      <c r="AUX2" t="n">
        <v>501</v>
      </c>
      <c r="AUY2" t="n">
        <v>502</v>
      </c>
      <c r="AUZ2" t="n">
        <v>503</v>
      </c>
      <c r="AVA2" t="n">
        <v>504</v>
      </c>
      <c r="AVB2" t="n">
        <v>505</v>
      </c>
      <c r="AVC2" t="n">
        <v>506</v>
      </c>
      <c r="AVD2" t="n">
        <v>507</v>
      </c>
      <c r="AVE2" t="n">
        <v>508</v>
      </c>
      <c r="AVF2" t="n">
        <v>509</v>
      </c>
      <c r="AVG2" t="n">
        <v>510</v>
      </c>
      <c r="AVH2" t="n">
        <v>511</v>
      </c>
      <c r="AVI2" t="n">
        <v>512</v>
      </c>
      <c r="AVJ2" t="n">
        <v>513</v>
      </c>
      <c r="AVK2" t="n">
        <v>514</v>
      </c>
      <c r="AVL2" t="n">
        <v>515</v>
      </c>
      <c r="AVM2" t="n">
        <v>516</v>
      </c>
      <c r="AVN2" t="n">
        <v>517</v>
      </c>
      <c r="AVO2" t="n">
        <v>518</v>
      </c>
      <c r="AVP2" t="n">
        <v>519</v>
      </c>
      <c r="AVQ2" t="n">
        <v>520</v>
      </c>
      <c r="AVR2" t="n">
        <v>521</v>
      </c>
      <c r="AVS2" t="n">
        <v>522</v>
      </c>
      <c r="AVT2" t="n">
        <v>523</v>
      </c>
      <c r="AVU2" t="n">
        <v>524</v>
      </c>
      <c r="AVV2" t="n">
        <v>525</v>
      </c>
      <c r="AVW2" t="n">
        <v>526</v>
      </c>
      <c r="AVX2" t="n">
        <v>527</v>
      </c>
      <c r="AVY2" t="n">
        <v>528</v>
      </c>
      <c r="AVZ2" t="n">
        <v>529</v>
      </c>
      <c r="AWA2" t="n">
        <v>530</v>
      </c>
      <c r="AWB2" t="n">
        <v>531</v>
      </c>
      <c r="AWC2" t="n">
        <v>532</v>
      </c>
      <c r="AWD2" t="n">
        <v>533</v>
      </c>
      <c r="AWE2" t="n">
        <v>534</v>
      </c>
      <c r="AWF2" t="n">
        <v>535</v>
      </c>
      <c r="AWG2" t="n">
        <v>536</v>
      </c>
      <c r="AWH2" t="n">
        <v>537</v>
      </c>
      <c r="AWI2" t="n">
        <v>538</v>
      </c>
      <c r="AWJ2" t="n">
        <v>539</v>
      </c>
      <c r="AWK2" t="n">
        <v>540</v>
      </c>
      <c r="AWL2" t="n">
        <v>541</v>
      </c>
      <c r="AWM2" t="n">
        <v>542</v>
      </c>
      <c r="AWN2" t="n">
        <v>543</v>
      </c>
      <c r="AWO2" t="n">
        <v>544</v>
      </c>
      <c r="AWP2" t="n">
        <v>545</v>
      </c>
      <c r="AWQ2" t="n">
        <v>546</v>
      </c>
      <c r="AWR2" t="n">
        <v>547</v>
      </c>
      <c r="AWS2" t="n">
        <v>548</v>
      </c>
      <c r="AWT2" t="n">
        <v>549</v>
      </c>
      <c r="AWU2" t="n">
        <v>550</v>
      </c>
      <c r="AWV2" t="n">
        <v>551</v>
      </c>
      <c r="AWW2" t="n">
        <v>552</v>
      </c>
      <c r="AWX2" t="n">
        <v>553</v>
      </c>
      <c r="AWY2" t="n">
        <v>554</v>
      </c>
      <c r="AWZ2" t="n">
        <v>555</v>
      </c>
      <c r="AXA2" t="n">
        <v>556</v>
      </c>
      <c r="AXB2" t="n">
        <v>557</v>
      </c>
      <c r="AXC2" t="n">
        <v>558</v>
      </c>
      <c r="AXD2" t="n">
        <v>559</v>
      </c>
      <c r="AXE2" t="n">
        <v>560</v>
      </c>
      <c r="AXF2" t="n">
        <v>561</v>
      </c>
      <c r="AXG2" t="n">
        <v>562</v>
      </c>
      <c r="AXH2" t="n">
        <v>563</v>
      </c>
      <c r="AXI2" t="n">
        <v>564</v>
      </c>
      <c r="AXJ2" t="n">
        <v>565</v>
      </c>
      <c r="AXK2" t="n">
        <v>566</v>
      </c>
      <c r="AXL2" t="n">
        <v>567</v>
      </c>
      <c r="AXM2" t="n">
        <v>568</v>
      </c>
      <c r="AXN2" t="n">
        <v>569</v>
      </c>
      <c r="AXO2" t="n">
        <v>570</v>
      </c>
      <c r="AXP2" t="n">
        <v>571</v>
      </c>
      <c r="AXQ2" t="n">
        <v>572</v>
      </c>
      <c r="AXR2" t="n">
        <v>573</v>
      </c>
      <c r="AXS2" t="n">
        <v>574</v>
      </c>
      <c r="AXT2" t="n">
        <v>575</v>
      </c>
      <c r="AXU2" t="n">
        <v>576</v>
      </c>
      <c r="AXV2" t="n">
        <v>577</v>
      </c>
      <c r="AXW2" t="n">
        <v>578</v>
      </c>
      <c r="AXX2" t="n">
        <v>579</v>
      </c>
      <c r="AXY2" t="n">
        <v>580</v>
      </c>
      <c r="AXZ2" t="n">
        <v>581</v>
      </c>
      <c r="AYA2" t="n">
        <v>582</v>
      </c>
      <c r="AYB2" t="n">
        <v>583</v>
      </c>
      <c r="AYC2" t="n">
        <v>584</v>
      </c>
      <c r="AYD2" t="n">
        <v>585</v>
      </c>
      <c r="AYE2" t="n">
        <v>586</v>
      </c>
      <c r="AYF2" t="n">
        <v>587</v>
      </c>
      <c r="AYG2" t="n">
        <v>588</v>
      </c>
      <c r="AYH2" t="n">
        <v>589</v>
      </c>
      <c r="AYI2" t="n">
        <v>590</v>
      </c>
      <c r="AYJ2" t="n">
        <v>591</v>
      </c>
      <c r="AYK2" t="n">
        <v>592</v>
      </c>
      <c r="AYL2" t="n">
        <v>593</v>
      </c>
      <c r="AYM2" t="n">
        <v>594</v>
      </c>
      <c r="AYN2" t="n">
        <v>595</v>
      </c>
      <c r="AYO2" t="n">
        <v>596</v>
      </c>
      <c r="AYP2" t="n">
        <v>597</v>
      </c>
      <c r="AYQ2" t="n">
        <v>598</v>
      </c>
      <c r="AYR2" t="n">
        <v>599</v>
      </c>
      <c r="AYS2" t="n">
        <v>600</v>
      </c>
      <c r="AYT2" t="n">
        <v>601</v>
      </c>
      <c r="AYU2" t="n">
        <v>602</v>
      </c>
      <c r="AYV2" t="n">
        <v>603</v>
      </c>
      <c r="AYW2" t="n">
        <v>604</v>
      </c>
      <c r="AYX2" t="n">
        <v>605</v>
      </c>
      <c r="AYY2" t="n">
        <v>606</v>
      </c>
      <c r="AYZ2" t="n">
        <v>607</v>
      </c>
      <c r="AZA2" t="n">
        <v>608</v>
      </c>
      <c r="AZB2" t="n">
        <v>609</v>
      </c>
      <c r="AZC2" t="n">
        <v>610</v>
      </c>
      <c r="AZD2" t="n">
        <v>611</v>
      </c>
      <c r="AZE2" t="n">
        <v>612</v>
      </c>
      <c r="AZF2" t="n">
        <v>613</v>
      </c>
      <c r="AZG2" t="n">
        <v>614</v>
      </c>
      <c r="AZH2" t="n">
        <v>615</v>
      </c>
      <c r="AZI2" t="n">
        <v>616</v>
      </c>
      <c r="AZJ2" t="n">
        <v>617</v>
      </c>
      <c r="AZK2" t="n">
        <v>618</v>
      </c>
      <c r="AZL2" t="n">
        <v>619</v>
      </c>
      <c r="AZM2" t="n">
        <v>620</v>
      </c>
      <c r="AZN2" t="n">
        <v>621</v>
      </c>
      <c r="AZO2" t="n">
        <v>622</v>
      </c>
      <c r="AZP2" t="n">
        <v>623</v>
      </c>
      <c r="AZQ2" t="n">
        <v>624</v>
      </c>
      <c r="AZR2" t="n">
        <v>625</v>
      </c>
      <c r="AZS2" t="n">
        <v>626</v>
      </c>
      <c r="AZT2" t="n">
        <v>627</v>
      </c>
      <c r="AZU2" t="n">
        <v>628</v>
      </c>
      <c r="AZV2" t="n">
        <v>629</v>
      </c>
      <c r="AZW2" t="n">
        <v>630</v>
      </c>
      <c r="AZX2" t="n">
        <v>631</v>
      </c>
      <c r="AZY2" t="n">
        <v>632</v>
      </c>
      <c r="AZZ2" t="n">
        <v>633</v>
      </c>
      <c r="BAA2" t="n">
        <v>634</v>
      </c>
      <c r="BAB2" t="n">
        <v>635</v>
      </c>
      <c r="BAC2" t="n">
        <v>636</v>
      </c>
      <c r="BAD2" t="n">
        <v>637</v>
      </c>
      <c r="BAE2" t="n">
        <v>638</v>
      </c>
      <c r="BAF2" t="n">
        <v>639</v>
      </c>
      <c r="BAG2" t="n">
        <v>640</v>
      </c>
      <c r="BAH2" t="n">
        <v>641</v>
      </c>
      <c r="BAI2" t="n">
        <v>642</v>
      </c>
      <c r="BAJ2" t="n">
        <v>643</v>
      </c>
      <c r="BAK2" t="n">
        <v>644</v>
      </c>
      <c r="BAL2" t="n">
        <v>645</v>
      </c>
      <c r="BAM2" t="n">
        <v>646</v>
      </c>
      <c r="BAN2" t="n">
        <v>647</v>
      </c>
      <c r="BAO2" t="n">
        <v>648</v>
      </c>
      <c r="BAP2" t="n">
        <v>649</v>
      </c>
      <c r="BAQ2" t="n">
        <v>650</v>
      </c>
      <c r="BAR2" t="n">
        <v>651</v>
      </c>
      <c r="BAS2" t="n">
        <v>652</v>
      </c>
      <c r="BAT2" t="n">
        <v>653</v>
      </c>
      <c r="BAU2" t="n">
        <v>654</v>
      </c>
      <c r="BAV2" t="n">
        <v>655</v>
      </c>
      <c r="BAW2" t="n">
        <v>656</v>
      </c>
      <c r="BAX2" t="n">
        <v>657</v>
      </c>
      <c r="BAY2" t="n">
        <v>658</v>
      </c>
      <c r="BAZ2" t="n">
        <v>659</v>
      </c>
      <c r="BBA2" t="n">
        <v>660</v>
      </c>
      <c r="BBB2" t="n">
        <v>661</v>
      </c>
      <c r="BBC2" t="n">
        <v>662</v>
      </c>
      <c r="BBD2" t="n">
        <v>663</v>
      </c>
      <c r="BBE2" t="n">
        <v>664</v>
      </c>
      <c r="BBF2" t="n">
        <v>665</v>
      </c>
      <c r="BBG2" t="n">
        <v>666</v>
      </c>
      <c r="BBH2" t="n">
        <v>667</v>
      </c>
      <c r="BBI2" t="n">
        <v>668</v>
      </c>
      <c r="BBJ2" t="n">
        <v>669</v>
      </c>
      <c r="BBK2" t="n">
        <v>670</v>
      </c>
      <c r="BBL2" t="n">
        <v>671</v>
      </c>
      <c r="BBM2" t="n">
        <v>672</v>
      </c>
      <c r="BBN2" t="n">
        <v>673</v>
      </c>
      <c r="BBO2" t="n">
        <v>674</v>
      </c>
      <c r="BBP2" t="n">
        <v>675</v>
      </c>
      <c r="BBQ2" t="n">
        <v>676</v>
      </c>
      <c r="BBR2" t="n">
        <v>677</v>
      </c>
      <c r="BBS2" t="n">
        <v>678</v>
      </c>
      <c r="BBT2" t="n">
        <v>679</v>
      </c>
      <c r="BBU2" t="n">
        <v>680</v>
      </c>
      <c r="BBV2" t="n">
        <v>681</v>
      </c>
      <c r="BBW2" t="n">
        <v>682</v>
      </c>
      <c r="BBX2" t="n">
        <v>683</v>
      </c>
      <c r="BBY2" t="n">
        <v>684</v>
      </c>
      <c r="BBZ2" t="n">
        <v>685</v>
      </c>
      <c r="BCA2" t="n">
        <v>686</v>
      </c>
      <c r="BCB2" t="n">
        <v>687</v>
      </c>
      <c r="BCC2" t="n">
        <v>688</v>
      </c>
      <c r="BCD2" t="n">
        <v>689</v>
      </c>
      <c r="BCE2" t="n">
        <v>690</v>
      </c>
      <c r="BCF2" t="n">
        <v>691</v>
      </c>
      <c r="BCG2" t="n">
        <v>692</v>
      </c>
      <c r="BCH2" t="n">
        <v>693</v>
      </c>
      <c r="BCI2" t="n">
        <v>694</v>
      </c>
      <c r="BCJ2" t="n">
        <v>695</v>
      </c>
      <c r="BCK2" t="n">
        <v>696</v>
      </c>
      <c r="BCL2" t="n">
        <v>697</v>
      </c>
      <c r="BCM2" t="n">
        <v>1</v>
      </c>
      <c r="BCN2" t="n">
        <v>2</v>
      </c>
      <c r="BCO2" t="n">
        <v>3</v>
      </c>
      <c r="BCP2" t="n">
        <v>4</v>
      </c>
      <c r="BCQ2" t="n">
        <v>5</v>
      </c>
      <c r="BCR2" t="n">
        <v>6</v>
      </c>
      <c r="BCS2" t="n">
        <v>7</v>
      </c>
      <c r="BCT2" t="n">
        <v>8</v>
      </c>
      <c r="BCU2" t="n">
        <v>9</v>
      </c>
      <c r="BCV2" t="n">
        <v>10</v>
      </c>
      <c r="BCW2" t="n">
        <v>11</v>
      </c>
      <c r="BCX2" t="n">
        <v>12</v>
      </c>
      <c r="BCY2" t="n">
        <v>13</v>
      </c>
      <c r="BCZ2" t="n">
        <v>14</v>
      </c>
      <c r="BDA2" t="n">
        <v>15</v>
      </c>
      <c r="BDB2" t="n">
        <v>16</v>
      </c>
      <c r="BDC2" t="n">
        <v>17</v>
      </c>
      <c r="BDD2" t="n">
        <v>18</v>
      </c>
      <c r="BDE2" t="n">
        <v>19</v>
      </c>
      <c r="BDF2" t="n">
        <v>20</v>
      </c>
      <c r="BDG2" t="n">
        <v>21</v>
      </c>
      <c r="BDH2" t="n">
        <v>22</v>
      </c>
      <c r="BDI2" t="n">
        <v>23</v>
      </c>
      <c r="BDJ2" t="n">
        <v>24</v>
      </c>
      <c r="BDK2" t="n">
        <v>25</v>
      </c>
      <c r="BDL2" t="n">
        <v>26</v>
      </c>
      <c r="BDM2" t="n">
        <v>27</v>
      </c>
      <c r="BDN2" t="n">
        <v>28</v>
      </c>
      <c r="BDO2" t="n">
        <v>29</v>
      </c>
      <c r="BDP2" t="n">
        <v>30</v>
      </c>
      <c r="BDQ2" t="n">
        <v>31</v>
      </c>
      <c r="BDR2" t="n">
        <v>32</v>
      </c>
      <c r="BDS2" t="n">
        <v>33</v>
      </c>
      <c r="BDT2" t="n">
        <v>34</v>
      </c>
      <c r="BDU2" t="n">
        <v>35</v>
      </c>
      <c r="BDV2" t="n">
        <v>36</v>
      </c>
      <c r="BDW2" t="n">
        <v>37</v>
      </c>
      <c r="BDX2" t="n">
        <v>38</v>
      </c>
      <c r="BDY2" t="n">
        <v>39</v>
      </c>
      <c r="BDZ2" t="n">
        <v>40</v>
      </c>
      <c r="BEA2" t="n">
        <v>41</v>
      </c>
      <c r="BEB2" t="n">
        <v>42</v>
      </c>
      <c r="BEC2" t="n">
        <v>43</v>
      </c>
      <c r="BED2" t="n">
        <v>44</v>
      </c>
      <c r="BEE2" t="n">
        <v>45</v>
      </c>
      <c r="BEF2" t="n">
        <v>46</v>
      </c>
      <c r="BEG2" t="n">
        <v>47</v>
      </c>
      <c r="BEH2" t="n">
        <v>48</v>
      </c>
      <c r="BEI2" t="n">
        <v>49</v>
      </c>
      <c r="BEJ2" t="n">
        <v>50</v>
      </c>
      <c r="BEK2" t="n">
        <v>51</v>
      </c>
      <c r="BEL2" t="n">
        <v>52</v>
      </c>
      <c r="BEM2" t="n">
        <v>53</v>
      </c>
      <c r="BEN2" t="n">
        <v>54</v>
      </c>
      <c r="BEO2" t="n">
        <v>55</v>
      </c>
      <c r="BEP2" t="n">
        <v>56</v>
      </c>
      <c r="BEQ2" t="n">
        <v>57</v>
      </c>
      <c r="BER2" t="n">
        <v>58</v>
      </c>
      <c r="BES2" t="n">
        <v>59</v>
      </c>
      <c r="BET2" t="n">
        <v>60</v>
      </c>
      <c r="BEU2" t="n">
        <v>61</v>
      </c>
      <c r="BEV2" t="n">
        <v>62</v>
      </c>
      <c r="BEW2" t="n">
        <v>63</v>
      </c>
      <c r="BEX2" t="n">
        <v>64</v>
      </c>
      <c r="BEY2" t="n">
        <v>65</v>
      </c>
      <c r="BEZ2" t="n">
        <v>66</v>
      </c>
      <c r="BFA2" t="n">
        <v>67</v>
      </c>
      <c r="BFB2" t="n">
        <v>68</v>
      </c>
      <c r="BFC2" t="n">
        <v>69</v>
      </c>
      <c r="BFD2" t="n">
        <v>70</v>
      </c>
      <c r="BFE2" t="n">
        <v>71</v>
      </c>
      <c r="BFF2" t="n">
        <v>72</v>
      </c>
      <c r="BFG2" t="n">
        <v>73</v>
      </c>
      <c r="BFH2" t="n">
        <v>74</v>
      </c>
      <c r="BFI2" t="n">
        <v>75</v>
      </c>
      <c r="BFJ2" t="n">
        <v>76</v>
      </c>
      <c r="BFK2" t="n">
        <v>77</v>
      </c>
      <c r="BFL2" t="n">
        <v>78</v>
      </c>
      <c r="BFM2" t="n">
        <v>79</v>
      </c>
      <c r="BFN2" t="n">
        <v>80</v>
      </c>
      <c r="BFO2" t="n">
        <v>81</v>
      </c>
      <c r="BFP2" t="n">
        <v>82</v>
      </c>
      <c r="BFQ2" t="n">
        <v>83</v>
      </c>
      <c r="BFR2" t="n">
        <v>84</v>
      </c>
      <c r="BFS2" t="n">
        <v>85</v>
      </c>
      <c r="BFT2" t="n">
        <v>86</v>
      </c>
      <c r="BFU2" t="n">
        <v>87</v>
      </c>
      <c r="BFV2" t="n">
        <v>88</v>
      </c>
      <c r="BFW2" t="n">
        <v>89</v>
      </c>
      <c r="BFX2" t="n">
        <v>90</v>
      </c>
      <c r="BFY2" t="n">
        <v>91</v>
      </c>
      <c r="BFZ2" t="n">
        <v>92</v>
      </c>
      <c r="BGA2" t="n">
        <v>93</v>
      </c>
      <c r="BGB2" t="n">
        <v>94</v>
      </c>
      <c r="BGC2" t="n">
        <v>95</v>
      </c>
      <c r="BGD2" t="n">
        <v>96</v>
      </c>
      <c r="BGE2" t="n">
        <v>97</v>
      </c>
      <c r="BGF2" t="n">
        <v>98</v>
      </c>
      <c r="BGG2" t="n">
        <v>99</v>
      </c>
      <c r="BGH2" t="n">
        <v>100</v>
      </c>
      <c r="BGI2" t="n">
        <v>101</v>
      </c>
      <c r="BGJ2" t="n">
        <v>102</v>
      </c>
      <c r="BGK2" t="n">
        <v>103</v>
      </c>
      <c r="BGL2" t="n">
        <v>104</v>
      </c>
      <c r="BGM2" t="n">
        <v>105</v>
      </c>
      <c r="BGN2" t="n">
        <v>106</v>
      </c>
      <c r="BGO2" t="n">
        <v>107</v>
      </c>
      <c r="BGP2" t="n">
        <v>108</v>
      </c>
      <c r="BGQ2" t="n">
        <v>109</v>
      </c>
      <c r="BGR2" t="n">
        <v>110</v>
      </c>
      <c r="BGS2" t="n">
        <v>111</v>
      </c>
      <c r="BGT2" t="n">
        <v>112</v>
      </c>
      <c r="BGU2" t="n">
        <v>113</v>
      </c>
      <c r="BGV2" t="n">
        <v>114</v>
      </c>
      <c r="BGW2" t="n">
        <v>115</v>
      </c>
      <c r="BGX2" t="n">
        <v>116</v>
      </c>
      <c r="BGY2" t="n">
        <v>117</v>
      </c>
      <c r="BGZ2" t="n">
        <v>118</v>
      </c>
      <c r="BHA2" t="n">
        <v>119</v>
      </c>
      <c r="BHB2" t="n">
        <v>120</v>
      </c>
      <c r="BHC2" t="n">
        <v>121</v>
      </c>
      <c r="BHD2" t="n">
        <v>122</v>
      </c>
      <c r="BHE2" t="n">
        <v>123</v>
      </c>
      <c r="BHF2" t="n">
        <v>124</v>
      </c>
      <c r="BHG2" t="n">
        <v>125</v>
      </c>
      <c r="BHH2" t="n">
        <v>126</v>
      </c>
      <c r="BHI2" t="n">
        <v>127</v>
      </c>
      <c r="BHJ2" t="n">
        <v>128</v>
      </c>
      <c r="BHK2" t="n">
        <v>129</v>
      </c>
      <c r="BHL2" t="n">
        <v>130</v>
      </c>
      <c r="BHM2" t="n">
        <v>131</v>
      </c>
      <c r="BHN2" t="n">
        <v>132</v>
      </c>
      <c r="BHO2" t="n">
        <v>133</v>
      </c>
      <c r="BHP2" t="n">
        <v>134</v>
      </c>
      <c r="BHQ2" t="n">
        <v>135</v>
      </c>
      <c r="BHR2" t="n">
        <v>136</v>
      </c>
      <c r="BHS2" t="n">
        <v>137</v>
      </c>
      <c r="BHT2" t="n">
        <v>138</v>
      </c>
      <c r="BHU2" t="n">
        <v>139</v>
      </c>
      <c r="BHV2" t="n">
        <v>140</v>
      </c>
      <c r="BHW2" t="n">
        <v>141</v>
      </c>
      <c r="BHX2" t="n">
        <v>142</v>
      </c>
      <c r="BHY2" t="n">
        <v>143</v>
      </c>
      <c r="BHZ2" t="n">
        <v>144</v>
      </c>
      <c r="BIA2" t="n">
        <v>145</v>
      </c>
      <c r="BIB2" t="n">
        <v>146</v>
      </c>
      <c r="BIC2" t="n">
        <v>147</v>
      </c>
      <c r="BID2" t="n">
        <v>148</v>
      </c>
      <c r="BIE2" t="n">
        <v>149</v>
      </c>
      <c r="BIF2" t="n">
        <v>150</v>
      </c>
      <c r="BIG2" t="n">
        <v>151</v>
      </c>
      <c r="BIH2" t="n">
        <v>152</v>
      </c>
      <c r="BII2" t="n">
        <v>153</v>
      </c>
      <c r="BIJ2" t="n">
        <v>154</v>
      </c>
      <c r="BIK2" t="n">
        <v>155</v>
      </c>
      <c r="BIL2" t="n">
        <v>156</v>
      </c>
      <c r="BIM2" t="n">
        <v>157</v>
      </c>
      <c r="BIN2" t="n">
        <v>158</v>
      </c>
      <c r="BIO2" t="n">
        <v>159</v>
      </c>
      <c r="BIP2" t="n">
        <v>160</v>
      </c>
      <c r="BIQ2" t="n">
        <v>161</v>
      </c>
      <c r="BIR2" t="n">
        <v>162</v>
      </c>
      <c r="BIS2" t="n">
        <v>163</v>
      </c>
      <c r="BIT2" t="n">
        <v>164</v>
      </c>
      <c r="BIU2" t="n">
        <v>165</v>
      </c>
      <c r="BIV2" t="n">
        <v>166</v>
      </c>
      <c r="BIW2" t="n">
        <v>167</v>
      </c>
      <c r="BIX2" t="n">
        <v>168</v>
      </c>
      <c r="BIY2" t="n">
        <v>169</v>
      </c>
      <c r="BIZ2" t="n">
        <v>170</v>
      </c>
      <c r="BJA2" t="n">
        <v>171</v>
      </c>
      <c r="BJB2" t="n">
        <v>172</v>
      </c>
      <c r="BJC2" t="n">
        <v>173</v>
      </c>
      <c r="BJD2" t="n">
        <v>174</v>
      </c>
      <c r="BJE2" t="n">
        <v>175</v>
      </c>
      <c r="BJF2" t="n">
        <v>176</v>
      </c>
      <c r="BJG2" t="n">
        <v>177</v>
      </c>
      <c r="BJH2" t="n">
        <v>178</v>
      </c>
      <c r="BJI2" t="n">
        <v>179</v>
      </c>
      <c r="BJJ2" t="n">
        <v>180</v>
      </c>
      <c r="BJK2" t="n">
        <v>181</v>
      </c>
      <c r="BJL2" t="n">
        <v>182</v>
      </c>
      <c r="BJM2" t="n">
        <v>183</v>
      </c>
      <c r="BJN2" t="n">
        <v>184</v>
      </c>
      <c r="BJO2" t="n">
        <v>185</v>
      </c>
      <c r="BJP2" t="n">
        <v>186</v>
      </c>
      <c r="BJQ2" t="n">
        <v>187</v>
      </c>
      <c r="BJR2" t="n">
        <v>188</v>
      </c>
      <c r="BJS2" t="n">
        <v>189</v>
      </c>
      <c r="BJT2" t="n">
        <v>190</v>
      </c>
      <c r="BJU2" t="n">
        <v>191</v>
      </c>
      <c r="BJV2" t="n">
        <v>192</v>
      </c>
      <c r="BJW2" t="n">
        <v>193</v>
      </c>
      <c r="BJX2" t="n">
        <v>194</v>
      </c>
      <c r="BJY2" t="n">
        <v>195</v>
      </c>
      <c r="BJZ2" t="n">
        <v>196</v>
      </c>
      <c r="BKA2" t="n">
        <v>197</v>
      </c>
      <c r="BKB2" t="n">
        <v>198</v>
      </c>
      <c r="BKC2" t="n">
        <v>199</v>
      </c>
      <c r="BKD2" t="n">
        <v>200</v>
      </c>
      <c r="BKE2" t="n">
        <v>201</v>
      </c>
      <c r="BKF2" t="n">
        <v>202</v>
      </c>
      <c r="BKG2" t="n">
        <v>203</v>
      </c>
      <c r="BKH2" t="n">
        <v>204</v>
      </c>
      <c r="BKI2" t="n">
        <v>205</v>
      </c>
      <c r="BKJ2" t="n">
        <v>206</v>
      </c>
      <c r="BKK2" t="n">
        <v>207</v>
      </c>
      <c r="BKL2" t="n">
        <v>208</v>
      </c>
      <c r="BKM2" t="n">
        <v>209</v>
      </c>
      <c r="BKN2" t="n">
        <v>210</v>
      </c>
      <c r="BKO2" t="n">
        <v>211</v>
      </c>
      <c r="BKP2" t="n">
        <v>212</v>
      </c>
      <c r="BKQ2" t="n">
        <v>213</v>
      </c>
      <c r="BKR2" t="n">
        <v>214</v>
      </c>
      <c r="BKS2" t="n">
        <v>215</v>
      </c>
      <c r="BKT2" t="n">
        <v>216</v>
      </c>
      <c r="BKU2" t="n">
        <v>217</v>
      </c>
      <c r="BKV2" t="n">
        <v>218</v>
      </c>
      <c r="BKW2" t="n">
        <v>219</v>
      </c>
      <c r="BKX2" t="n">
        <v>220</v>
      </c>
      <c r="BKY2" t="n">
        <v>221</v>
      </c>
      <c r="BKZ2" t="n">
        <v>222</v>
      </c>
      <c r="BLA2" t="n">
        <v>223</v>
      </c>
      <c r="BLB2" t="n">
        <v>224</v>
      </c>
      <c r="BLC2" t="n">
        <v>225</v>
      </c>
      <c r="BLD2" t="n">
        <v>226</v>
      </c>
      <c r="BLE2" t="n">
        <v>227</v>
      </c>
      <c r="BLF2" t="n">
        <v>228</v>
      </c>
      <c r="BLG2" t="n">
        <v>229</v>
      </c>
      <c r="BLH2" t="n">
        <v>230</v>
      </c>
      <c r="BLI2" t="n">
        <v>231</v>
      </c>
      <c r="BLJ2" t="n">
        <v>232</v>
      </c>
      <c r="BLK2" t="n">
        <v>233</v>
      </c>
      <c r="BLL2" t="n">
        <v>234</v>
      </c>
      <c r="BLM2" t="n">
        <v>235</v>
      </c>
      <c r="BLN2" t="n">
        <v>236</v>
      </c>
      <c r="BLO2" t="n">
        <v>237</v>
      </c>
      <c r="BLP2" t="n">
        <v>238</v>
      </c>
      <c r="BLQ2" t="n">
        <v>239</v>
      </c>
      <c r="BLR2" t="n">
        <v>240</v>
      </c>
      <c r="BLS2" t="n">
        <v>241</v>
      </c>
      <c r="BLT2" t="n">
        <v>242</v>
      </c>
      <c r="BLU2" t="n">
        <v>243</v>
      </c>
      <c r="BLV2" t="n">
        <v>244</v>
      </c>
      <c r="BLW2" t="n">
        <v>245</v>
      </c>
      <c r="BLX2" t="n">
        <v>246</v>
      </c>
      <c r="BLY2" t="n">
        <v>247</v>
      </c>
      <c r="BLZ2" t="n">
        <v>248</v>
      </c>
      <c r="BMA2" t="n">
        <v>249</v>
      </c>
      <c r="BMB2" t="n">
        <v>250</v>
      </c>
      <c r="BMC2" t="n">
        <v>251</v>
      </c>
      <c r="BMD2" t="n">
        <v>252</v>
      </c>
      <c r="BME2" t="n">
        <v>253</v>
      </c>
      <c r="BMF2" t="n">
        <v>254</v>
      </c>
      <c r="BMG2" t="n">
        <v>255</v>
      </c>
      <c r="BMH2" t="n">
        <v>256</v>
      </c>
      <c r="BMI2" t="n">
        <v>257</v>
      </c>
      <c r="BMJ2" t="n">
        <v>258</v>
      </c>
      <c r="BMK2" t="n">
        <v>259</v>
      </c>
      <c r="BML2" t="n">
        <v>260</v>
      </c>
      <c r="BMM2" t="n">
        <v>261</v>
      </c>
      <c r="BMN2" t="n">
        <v>262</v>
      </c>
      <c r="BMO2" t="n">
        <v>263</v>
      </c>
      <c r="BMP2" t="n">
        <v>264</v>
      </c>
      <c r="BMQ2" t="n">
        <v>265</v>
      </c>
      <c r="BMR2" t="n">
        <v>266</v>
      </c>
      <c r="BMS2" t="n">
        <v>267</v>
      </c>
      <c r="BMT2" t="n">
        <v>268</v>
      </c>
      <c r="BMU2" t="n">
        <v>269</v>
      </c>
      <c r="BMV2" t="n">
        <v>270</v>
      </c>
      <c r="BMW2" t="n">
        <v>271</v>
      </c>
      <c r="BMX2" t="n">
        <v>272</v>
      </c>
      <c r="BMY2" t="n">
        <v>273</v>
      </c>
      <c r="BMZ2" t="n">
        <v>274</v>
      </c>
      <c r="BNA2" t="n">
        <v>275</v>
      </c>
      <c r="BNB2" t="n">
        <v>276</v>
      </c>
      <c r="BNC2" t="n">
        <v>277</v>
      </c>
      <c r="BND2" t="n">
        <v>278</v>
      </c>
      <c r="BNE2" t="n">
        <v>279</v>
      </c>
      <c r="BNF2" t="n">
        <v>280</v>
      </c>
      <c r="BNG2" t="n">
        <v>281</v>
      </c>
      <c r="BNH2" t="n">
        <v>282</v>
      </c>
      <c r="BNI2" t="n">
        <v>283</v>
      </c>
      <c r="BNJ2" t="n">
        <v>284</v>
      </c>
      <c r="BNK2" t="n">
        <v>285</v>
      </c>
      <c r="BNL2" t="n">
        <v>286</v>
      </c>
      <c r="BNM2" t="n">
        <v>287</v>
      </c>
      <c r="BNN2" t="n">
        <v>288</v>
      </c>
      <c r="BNO2" t="n">
        <v>289</v>
      </c>
      <c r="BNP2" t="n">
        <v>290</v>
      </c>
      <c r="BNQ2" t="n">
        <v>291</v>
      </c>
      <c r="BNR2" t="n">
        <v>292</v>
      </c>
      <c r="BNS2" t="n">
        <v>293</v>
      </c>
      <c r="BNT2" t="n">
        <v>294</v>
      </c>
      <c r="BNU2" t="n">
        <v>295</v>
      </c>
      <c r="BNV2" t="n">
        <v>296</v>
      </c>
      <c r="BNW2" t="n">
        <v>297</v>
      </c>
      <c r="BNX2" t="n">
        <v>298</v>
      </c>
      <c r="BNY2" t="n">
        <v>299</v>
      </c>
      <c r="BNZ2" t="n">
        <v>300</v>
      </c>
      <c r="BOA2" t="n">
        <v>301</v>
      </c>
      <c r="BOB2" t="n">
        <v>302</v>
      </c>
      <c r="BOC2" t="n">
        <v>303</v>
      </c>
      <c r="BOD2" t="n">
        <v>304</v>
      </c>
      <c r="BOE2" t="n">
        <v>305</v>
      </c>
      <c r="BOF2" t="n">
        <v>306</v>
      </c>
      <c r="BOG2" t="n">
        <v>307</v>
      </c>
      <c r="BOH2" t="n">
        <v>308</v>
      </c>
      <c r="BOI2" t="n">
        <v>309</v>
      </c>
      <c r="BOJ2" t="n">
        <v>310</v>
      </c>
      <c r="BOK2" t="n">
        <v>311</v>
      </c>
      <c r="BOL2" t="n">
        <v>312</v>
      </c>
      <c r="BOM2" t="n">
        <v>313</v>
      </c>
      <c r="BON2" t="n">
        <v>314</v>
      </c>
      <c r="BOO2" t="n">
        <v>315</v>
      </c>
      <c r="BOP2" t="n">
        <v>316</v>
      </c>
      <c r="BOQ2" t="n">
        <v>317</v>
      </c>
      <c r="BOR2" t="n">
        <v>318</v>
      </c>
      <c r="BOS2" t="n">
        <v>319</v>
      </c>
      <c r="BOT2" t="n">
        <v>320</v>
      </c>
      <c r="BOU2" t="n">
        <v>321</v>
      </c>
      <c r="BOV2" t="n">
        <v>322</v>
      </c>
      <c r="BOW2" t="n">
        <v>323</v>
      </c>
      <c r="BOX2" t="n">
        <v>324</v>
      </c>
      <c r="BOY2" t="n">
        <v>325</v>
      </c>
      <c r="BOZ2" t="n">
        <v>326</v>
      </c>
      <c r="BPA2" t="n">
        <v>327</v>
      </c>
      <c r="BPB2" t="n">
        <v>328</v>
      </c>
      <c r="BPC2" t="n">
        <v>329</v>
      </c>
      <c r="BPD2" t="n">
        <v>330</v>
      </c>
      <c r="BPE2" t="n">
        <v>331</v>
      </c>
      <c r="BPF2" t="n">
        <v>332</v>
      </c>
      <c r="BPG2" t="n">
        <v>333</v>
      </c>
      <c r="BPH2" t="n">
        <v>334</v>
      </c>
      <c r="BPI2" t="n">
        <v>335</v>
      </c>
      <c r="BPJ2" t="n">
        <v>336</v>
      </c>
      <c r="BPK2" t="n">
        <v>337</v>
      </c>
      <c r="BPL2" t="n">
        <v>338</v>
      </c>
      <c r="BPM2" t="n">
        <v>339</v>
      </c>
      <c r="BPN2" t="n">
        <v>340</v>
      </c>
      <c r="BPO2" t="n">
        <v>341</v>
      </c>
      <c r="BPP2" t="n">
        <v>342</v>
      </c>
      <c r="BPQ2" t="n">
        <v>343</v>
      </c>
      <c r="BPR2" t="n">
        <v>344</v>
      </c>
      <c r="BPS2" t="n">
        <v>345</v>
      </c>
      <c r="BPT2" t="n">
        <v>346</v>
      </c>
      <c r="BPU2" t="n">
        <v>347</v>
      </c>
      <c r="BPV2" t="n">
        <v>348</v>
      </c>
      <c r="BPW2" t="n">
        <v>349</v>
      </c>
      <c r="BPX2" t="n">
        <v>350</v>
      </c>
      <c r="BPY2" t="n">
        <v>351</v>
      </c>
      <c r="BPZ2" t="n">
        <v>352</v>
      </c>
      <c r="BQA2" t="n">
        <v>353</v>
      </c>
      <c r="BQB2" t="n">
        <v>354</v>
      </c>
      <c r="BQC2" t="n">
        <v>355</v>
      </c>
      <c r="BQD2" t="n">
        <v>356</v>
      </c>
      <c r="BQE2" t="n">
        <v>357</v>
      </c>
      <c r="BQF2" t="n">
        <v>358</v>
      </c>
      <c r="BQG2" t="n">
        <v>359</v>
      </c>
      <c r="BQH2" t="n">
        <v>360</v>
      </c>
      <c r="BQI2" t="n">
        <v>361</v>
      </c>
      <c r="BQJ2" t="n">
        <v>362</v>
      </c>
      <c r="BQK2" t="n">
        <v>363</v>
      </c>
      <c r="BQL2" t="n">
        <v>364</v>
      </c>
      <c r="BQM2" t="n">
        <v>365</v>
      </c>
      <c r="BQN2" t="n">
        <v>366</v>
      </c>
      <c r="BQO2" t="n">
        <v>367</v>
      </c>
      <c r="BQP2" t="n">
        <v>368</v>
      </c>
      <c r="BQQ2" t="n">
        <v>369</v>
      </c>
      <c r="BQR2" t="n">
        <v>370</v>
      </c>
      <c r="BQS2" t="n">
        <v>371</v>
      </c>
      <c r="BQT2" t="n">
        <v>372</v>
      </c>
      <c r="BQU2" t="n">
        <v>373</v>
      </c>
      <c r="BQV2" t="n">
        <v>374</v>
      </c>
      <c r="BQW2" t="n">
        <v>375</v>
      </c>
      <c r="BQX2" t="n">
        <v>376</v>
      </c>
      <c r="BQY2" t="n">
        <v>377</v>
      </c>
      <c r="BQZ2" t="n">
        <v>378</v>
      </c>
      <c r="BRA2" t="n">
        <v>379</v>
      </c>
      <c r="BRB2" t="n">
        <v>380</v>
      </c>
      <c r="BRC2" t="n">
        <v>381</v>
      </c>
      <c r="BRD2" t="n">
        <v>382</v>
      </c>
      <c r="BRE2" t="n">
        <v>383</v>
      </c>
      <c r="BRF2" t="n">
        <v>384</v>
      </c>
      <c r="BRG2" t="n">
        <v>385</v>
      </c>
      <c r="BRH2" t="n">
        <v>386</v>
      </c>
      <c r="BRI2" t="n">
        <v>387</v>
      </c>
      <c r="BRJ2" t="n">
        <v>388</v>
      </c>
      <c r="BRK2" t="n">
        <v>389</v>
      </c>
      <c r="BRL2" t="n">
        <v>390</v>
      </c>
      <c r="BRM2" t="n">
        <v>391</v>
      </c>
      <c r="BRN2" t="n">
        <v>392</v>
      </c>
      <c r="BRO2" t="n">
        <v>393</v>
      </c>
      <c r="BRP2" t="n">
        <v>394</v>
      </c>
      <c r="BRQ2" t="n">
        <v>395</v>
      </c>
      <c r="BRR2" t="n">
        <v>396</v>
      </c>
      <c r="BRS2" t="n">
        <v>397</v>
      </c>
      <c r="BRT2" t="n">
        <v>398</v>
      </c>
      <c r="BRU2" t="n">
        <v>399</v>
      </c>
      <c r="BRV2" t="n">
        <v>400</v>
      </c>
      <c r="BRW2" t="n">
        <v>401</v>
      </c>
      <c r="BRX2" t="n">
        <v>402</v>
      </c>
      <c r="BRY2" t="n">
        <v>403</v>
      </c>
      <c r="BRZ2" t="n">
        <v>404</v>
      </c>
      <c r="BSA2" t="n">
        <v>405</v>
      </c>
      <c r="BSB2" t="n">
        <v>406</v>
      </c>
      <c r="BSC2" t="n">
        <v>407</v>
      </c>
      <c r="BSD2" t="n">
        <v>408</v>
      </c>
      <c r="BSE2" t="n">
        <v>409</v>
      </c>
      <c r="BSF2" t="n">
        <v>410</v>
      </c>
      <c r="BSG2" t="n">
        <v>411</v>
      </c>
      <c r="BSH2" t="n">
        <v>412</v>
      </c>
      <c r="BSI2" t="n">
        <v>413</v>
      </c>
      <c r="BSJ2" t="n">
        <v>414</v>
      </c>
      <c r="BSK2" t="n">
        <v>415</v>
      </c>
      <c r="BSL2" t="n">
        <v>416</v>
      </c>
      <c r="BSM2" t="n">
        <v>417</v>
      </c>
      <c r="BSN2" t="n">
        <v>418</v>
      </c>
      <c r="BSO2" t="n">
        <v>419</v>
      </c>
      <c r="BSP2" t="n">
        <v>420</v>
      </c>
      <c r="BSQ2" t="n">
        <v>421</v>
      </c>
      <c r="BSR2" t="n">
        <v>422</v>
      </c>
      <c r="BSS2" t="n">
        <v>423</v>
      </c>
      <c r="BST2" t="n">
        <v>424</v>
      </c>
      <c r="BSU2" t="n">
        <v>425</v>
      </c>
      <c r="BSV2" t="n">
        <v>426</v>
      </c>
      <c r="BSW2" t="n">
        <v>427</v>
      </c>
      <c r="BSX2" t="n">
        <v>428</v>
      </c>
      <c r="BSY2" t="n">
        <v>429</v>
      </c>
      <c r="BSZ2" t="n">
        <v>430</v>
      </c>
      <c r="BTA2" t="n">
        <v>431</v>
      </c>
      <c r="BTB2" t="n">
        <v>432</v>
      </c>
      <c r="BTC2" t="n">
        <v>433</v>
      </c>
      <c r="BTD2" t="n">
        <v>434</v>
      </c>
      <c r="BTE2" t="n">
        <v>435</v>
      </c>
      <c r="BTF2" t="n">
        <v>436</v>
      </c>
      <c r="BTG2" t="n">
        <v>437</v>
      </c>
      <c r="BTH2" t="n">
        <v>438</v>
      </c>
      <c r="BTI2" t="n">
        <v>439</v>
      </c>
      <c r="BTJ2" t="n">
        <v>440</v>
      </c>
      <c r="BTK2" t="n">
        <v>441</v>
      </c>
      <c r="BTL2" t="n">
        <v>442</v>
      </c>
      <c r="BTM2" t="n">
        <v>443</v>
      </c>
      <c r="BTN2" t="n">
        <v>444</v>
      </c>
      <c r="BTO2" t="n">
        <v>445</v>
      </c>
      <c r="BTP2" t="n">
        <v>446</v>
      </c>
      <c r="BTQ2" t="n">
        <v>447</v>
      </c>
      <c r="BTR2" t="n">
        <v>448</v>
      </c>
      <c r="BTS2" t="n">
        <v>449</v>
      </c>
      <c r="BTT2" t="n">
        <v>450</v>
      </c>
      <c r="BTU2" t="n">
        <v>451</v>
      </c>
      <c r="BTV2" t="n">
        <v>452</v>
      </c>
      <c r="BTW2" t="n">
        <v>453</v>
      </c>
      <c r="BTX2" t="n">
        <v>454</v>
      </c>
      <c r="BTY2" t="n">
        <v>455</v>
      </c>
      <c r="BTZ2" t="n">
        <v>456</v>
      </c>
      <c r="BUA2" t="n">
        <v>457</v>
      </c>
      <c r="BUB2" t="n">
        <v>458</v>
      </c>
      <c r="BUC2" t="n">
        <v>459</v>
      </c>
      <c r="BUD2" t="n">
        <v>460</v>
      </c>
      <c r="BUE2" t="n">
        <v>461</v>
      </c>
      <c r="BUF2" t="n">
        <v>462</v>
      </c>
      <c r="BUG2" t="n">
        <v>463</v>
      </c>
      <c r="BUH2" t="n">
        <v>464</v>
      </c>
      <c r="BUI2" t="n">
        <v>465</v>
      </c>
      <c r="BUJ2" t="n">
        <v>466</v>
      </c>
      <c r="BUK2" t="n">
        <v>467</v>
      </c>
      <c r="BUL2" t="n">
        <v>468</v>
      </c>
      <c r="BUM2" t="n">
        <v>469</v>
      </c>
      <c r="BUN2" t="n">
        <v>470</v>
      </c>
      <c r="BUO2" t="n">
        <v>471</v>
      </c>
      <c r="BUP2" t="n">
        <v>472</v>
      </c>
      <c r="BUQ2" t="n">
        <v>473</v>
      </c>
      <c r="BUR2" t="n">
        <v>474</v>
      </c>
      <c r="BUS2" t="n">
        <v>475</v>
      </c>
      <c r="BUT2" t="n">
        <v>476</v>
      </c>
      <c r="BUU2" t="n">
        <v>477</v>
      </c>
      <c r="BUV2" t="n">
        <v>478</v>
      </c>
      <c r="BUW2" t="n">
        <v>479</v>
      </c>
      <c r="BUX2" t="n">
        <v>480</v>
      </c>
      <c r="BUY2" t="n">
        <v>481</v>
      </c>
      <c r="BUZ2" t="n">
        <v>482</v>
      </c>
      <c r="BVA2" t="n">
        <v>483</v>
      </c>
      <c r="BVB2" t="n">
        <v>484</v>
      </c>
      <c r="BVC2" t="n">
        <v>485</v>
      </c>
      <c r="BVD2" t="n">
        <v>486</v>
      </c>
      <c r="BVE2" t="n">
        <v>487</v>
      </c>
      <c r="BVF2" t="n">
        <v>488</v>
      </c>
      <c r="BVG2" t="n">
        <v>489</v>
      </c>
      <c r="BVH2" t="n">
        <v>490</v>
      </c>
      <c r="BVI2" t="n">
        <v>491</v>
      </c>
      <c r="BVJ2" t="n">
        <v>492</v>
      </c>
      <c r="BVK2" t="n">
        <v>493</v>
      </c>
      <c r="BVL2" t="n">
        <v>494</v>
      </c>
      <c r="BVM2" t="n">
        <v>495</v>
      </c>
      <c r="BVN2" t="n">
        <v>496</v>
      </c>
      <c r="BVO2" t="n">
        <v>497</v>
      </c>
      <c r="BVP2" t="n">
        <v>498</v>
      </c>
      <c r="BVQ2" t="n">
        <v>499</v>
      </c>
      <c r="BVR2" t="n">
        <v>500</v>
      </c>
      <c r="BVS2" t="n">
        <v>501</v>
      </c>
      <c r="BVT2" t="n">
        <v>502</v>
      </c>
      <c r="BVU2" t="n">
        <v>503</v>
      </c>
      <c r="BVV2" t="n">
        <v>504</v>
      </c>
      <c r="BVW2" t="n">
        <v>505</v>
      </c>
      <c r="BVX2" t="n">
        <v>506</v>
      </c>
      <c r="BVY2" t="n">
        <v>507</v>
      </c>
      <c r="BVZ2" t="n">
        <v>508</v>
      </c>
      <c r="BWA2" t="n">
        <v>509</v>
      </c>
      <c r="BWB2" t="n">
        <v>510</v>
      </c>
      <c r="BWC2" t="n">
        <v>511</v>
      </c>
      <c r="BWD2" t="n">
        <v>512</v>
      </c>
      <c r="BWE2" t="n">
        <v>513</v>
      </c>
      <c r="BWF2" t="n">
        <v>514</v>
      </c>
      <c r="BWG2" t="n">
        <v>515</v>
      </c>
      <c r="BWH2" t="n">
        <v>516</v>
      </c>
      <c r="BWI2" t="n">
        <v>517</v>
      </c>
      <c r="BWJ2" t="n">
        <v>518</v>
      </c>
      <c r="BWK2" t="n">
        <v>519</v>
      </c>
      <c r="BWL2" t="n">
        <v>520</v>
      </c>
      <c r="BWM2" t="n">
        <v>521</v>
      </c>
      <c r="BWN2" t="n">
        <v>522</v>
      </c>
      <c r="BWO2" t="n">
        <v>523</v>
      </c>
      <c r="BWP2" t="n">
        <v>524</v>
      </c>
      <c r="BWQ2" t="n">
        <v>525</v>
      </c>
      <c r="BWR2" t="n">
        <v>526</v>
      </c>
      <c r="BWS2" t="n">
        <v>527</v>
      </c>
      <c r="BWT2" t="n">
        <v>528</v>
      </c>
      <c r="BWU2" t="n">
        <v>529</v>
      </c>
      <c r="BWV2" t="n">
        <v>530</v>
      </c>
      <c r="BWW2" t="n">
        <v>531</v>
      </c>
      <c r="BWX2" t="n">
        <v>532</v>
      </c>
      <c r="BWY2" t="n">
        <v>533</v>
      </c>
      <c r="BWZ2" t="n">
        <v>534</v>
      </c>
      <c r="BXA2" t="n">
        <v>535</v>
      </c>
      <c r="BXB2" t="n">
        <v>536</v>
      </c>
      <c r="BXC2" t="n">
        <v>537</v>
      </c>
      <c r="BXD2" t="n">
        <v>538</v>
      </c>
      <c r="BXE2" t="n">
        <v>539</v>
      </c>
      <c r="BXF2" t="n">
        <v>540</v>
      </c>
      <c r="BXG2" t="n">
        <v>541</v>
      </c>
      <c r="BXH2" t="n">
        <v>542</v>
      </c>
      <c r="BXI2" t="n">
        <v>543</v>
      </c>
      <c r="BXJ2" t="n">
        <v>544</v>
      </c>
      <c r="BXK2" t="n">
        <v>545</v>
      </c>
      <c r="BXL2" t="n">
        <v>546</v>
      </c>
      <c r="BXM2" t="n">
        <v>547</v>
      </c>
      <c r="BXN2" t="n">
        <v>548</v>
      </c>
      <c r="BXO2" t="n">
        <v>549</v>
      </c>
      <c r="BXP2" t="n">
        <v>550</v>
      </c>
      <c r="BXQ2" t="n">
        <v>551</v>
      </c>
      <c r="BXR2" t="n">
        <v>552</v>
      </c>
      <c r="BXS2" t="n">
        <v>553</v>
      </c>
      <c r="BXT2" t="n">
        <v>554</v>
      </c>
      <c r="BXU2" t="n">
        <v>555</v>
      </c>
      <c r="BXV2" t="n">
        <v>556</v>
      </c>
      <c r="BXW2" t="n">
        <v>557</v>
      </c>
      <c r="BXX2" t="n">
        <v>558</v>
      </c>
      <c r="BXY2" t="n">
        <v>559</v>
      </c>
      <c r="BXZ2" t="n">
        <v>560</v>
      </c>
      <c r="BYA2" t="n">
        <v>561</v>
      </c>
      <c r="BYB2" t="n">
        <v>562</v>
      </c>
      <c r="BYC2" t="n">
        <v>563</v>
      </c>
      <c r="BYD2" t="n">
        <v>564</v>
      </c>
      <c r="BYE2" t="n">
        <v>565</v>
      </c>
      <c r="BYF2" t="n">
        <v>566</v>
      </c>
      <c r="BYG2" t="n">
        <v>567</v>
      </c>
      <c r="BYH2" t="n">
        <v>568</v>
      </c>
      <c r="BYI2" t="n">
        <v>569</v>
      </c>
      <c r="BYJ2" t="n">
        <v>570</v>
      </c>
      <c r="BYK2" t="n">
        <v>571</v>
      </c>
      <c r="BYL2" t="n">
        <v>572</v>
      </c>
      <c r="BYM2" t="n">
        <v>573</v>
      </c>
      <c r="BYN2" t="n">
        <v>574</v>
      </c>
      <c r="BYO2" t="n">
        <v>575</v>
      </c>
      <c r="BYP2" t="n">
        <v>576</v>
      </c>
      <c r="BYQ2" t="n">
        <v>577</v>
      </c>
      <c r="BYR2" t="n">
        <v>578</v>
      </c>
      <c r="BYS2" t="n">
        <v>579</v>
      </c>
      <c r="BYT2" t="n">
        <v>580</v>
      </c>
      <c r="BYU2" t="n">
        <v>581</v>
      </c>
      <c r="BYV2" t="n">
        <v>582</v>
      </c>
      <c r="BYW2" t="n">
        <v>583</v>
      </c>
      <c r="BYX2" t="n">
        <v>584</v>
      </c>
      <c r="BYY2" t="n">
        <v>585</v>
      </c>
      <c r="BYZ2" t="n">
        <v>586</v>
      </c>
      <c r="BZA2" t="n">
        <v>587</v>
      </c>
      <c r="BZB2" t="n">
        <v>588</v>
      </c>
      <c r="BZC2" t="n">
        <v>589</v>
      </c>
      <c r="BZD2" t="n">
        <v>590</v>
      </c>
      <c r="BZE2" t="n">
        <v>591</v>
      </c>
      <c r="BZF2" t="n">
        <v>592</v>
      </c>
      <c r="BZG2" t="n">
        <v>593</v>
      </c>
      <c r="BZH2" t="n">
        <v>594</v>
      </c>
      <c r="BZI2" t="n">
        <v>595</v>
      </c>
      <c r="BZJ2" t="n">
        <v>596</v>
      </c>
      <c r="BZK2" t="n">
        <v>597</v>
      </c>
      <c r="BZL2" t="n">
        <v>598</v>
      </c>
      <c r="BZM2" t="n">
        <v>599</v>
      </c>
      <c r="BZN2" t="n">
        <v>600</v>
      </c>
      <c r="BZO2" t="n">
        <v>601</v>
      </c>
      <c r="BZP2" t="n">
        <v>602</v>
      </c>
      <c r="BZQ2" t="n">
        <v>603</v>
      </c>
      <c r="BZR2" t="n">
        <v>604</v>
      </c>
      <c r="BZS2" t="n">
        <v>605</v>
      </c>
      <c r="BZT2" t="n">
        <v>606</v>
      </c>
      <c r="BZU2" t="n">
        <v>607</v>
      </c>
      <c r="BZV2" t="n">
        <v>608</v>
      </c>
      <c r="BZW2" t="n">
        <v>609</v>
      </c>
      <c r="BZX2" t="n">
        <v>610</v>
      </c>
      <c r="BZY2" t="n">
        <v>611</v>
      </c>
      <c r="BZZ2" t="n">
        <v>612</v>
      </c>
      <c r="CAA2" t="n">
        <v>613</v>
      </c>
      <c r="CAB2" t="n">
        <v>614</v>
      </c>
      <c r="CAC2" t="n">
        <v>615</v>
      </c>
      <c r="CAD2" t="n">
        <v>616</v>
      </c>
      <c r="CAE2" t="n">
        <v>617</v>
      </c>
      <c r="CAF2" t="n">
        <v>618</v>
      </c>
      <c r="CAG2" t="n">
        <v>619</v>
      </c>
      <c r="CAH2" t="n">
        <v>620</v>
      </c>
      <c r="CAI2" t="n">
        <v>621</v>
      </c>
      <c r="CAJ2" t="n">
        <v>622</v>
      </c>
      <c r="CAK2" t="n">
        <v>623</v>
      </c>
      <c r="CAL2" t="n">
        <v>624</v>
      </c>
      <c r="CAM2" t="n">
        <v>625</v>
      </c>
      <c r="CAN2" t="n">
        <v>626</v>
      </c>
      <c r="CAO2" t="n">
        <v>627</v>
      </c>
      <c r="CAP2" t="n">
        <v>628</v>
      </c>
      <c r="CAQ2" t="n">
        <v>629</v>
      </c>
      <c r="CAR2" t="n">
        <v>630</v>
      </c>
      <c r="CAS2" t="n">
        <v>631</v>
      </c>
      <c r="CAT2" t="n">
        <v>632</v>
      </c>
      <c r="CAU2" t="n">
        <v>633</v>
      </c>
      <c r="CAV2" t="n">
        <v>634</v>
      </c>
      <c r="CAW2" t="n">
        <v>635</v>
      </c>
      <c r="CAX2" t="n">
        <v>636</v>
      </c>
      <c r="CAY2" t="n">
        <v>637</v>
      </c>
      <c r="CAZ2" t="n">
        <v>638</v>
      </c>
      <c r="CBA2" t="n">
        <v>639</v>
      </c>
      <c r="CBB2" t="n">
        <v>640</v>
      </c>
      <c r="CBC2" t="n">
        <v>641</v>
      </c>
      <c r="CBD2" t="n">
        <v>642</v>
      </c>
      <c r="CBE2" t="n">
        <v>643</v>
      </c>
      <c r="CBF2" t="n">
        <v>644</v>
      </c>
      <c r="CBG2" t="n">
        <v>645</v>
      </c>
      <c r="CBH2" t="n">
        <v>646</v>
      </c>
      <c r="CBI2" t="n">
        <v>647</v>
      </c>
      <c r="CBJ2" t="n">
        <v>648</v>
      </c>
      <c r="CBK2" t="n">
        <v>649</v>
      </c>
      <c r="CBL2" t="n">
        <v>650</v>
      </c>
      <c r="CBM2" t="n">
        <v>651</v>
      </c>
      <c r="CBN2" t="n">
        <v>652</v>
      </c>
      <c r="CBO2" t="n">
        <v>653</v>
      </c>
      <c r="CBP2" t="n">
        <v>654</v>
      </c>
      <c r="CBQ2" t="n">
        <v>655</v>
      </c>
      <c r="CBR2" t="n">
        <v>656</v>
      </c>
      <c r="CBS2" t="n">
        <v>657</v>
      </c>
      <c r="CBT2" t="n">
        <v>658</v>
      </c>
      <c r="CBU2" t="n">
        <v>659</v>
      </c>
      <c r="CBV2" t="n">
        <v>660</v>
      </c>
      <c r="CBW2" t="n">
        <v>661</v>
      </c>
      <c r="CBX2" t="n">
        <v>662</v>
      </c>
      <c r="CBY2" t="n">
        <v>663</v>
      </c>
      <c r="CBZ2" t="n">
        <v>664</v>
      </c>
      <c r="CCA2" t="n">
        <v>665</v>
      </c>
      <c r="CCB2" t="n">
        <v>666</v>
      </c>
      <c r="CCC2" t="n">
        <v>667</v>
      </c>
      <c r="CCD2" t="n">
        <v>668</v>
      </c>
      <c r="CCE2" t="n">
        <v>669</v>
      </c>
      <c r="CCF2" t="n">
        <v>670</v>
      </c>
      <c r="CCG2" t="n">
        <v>671</v>
      </c>
      <c r="CCH2" t="n">
        <v>672</v>
      </c>
      <c r="CCI2" t="n">
        <v>673</v>
      </c>
      <c r="CCJ2" t="n">
        <v>674</v>
      </c>
      <c r="CCK2" t="n">
        <v>675</v>
      </c>
      <c r="CCL2" t="n">
        <v>676</v>
      </c>
      <c r="CCM2" t="n">
        <v>677</v>
      </c>
      <c r="CCN2" t="n">
        <v>678</v>
      </c>
      <c r="CCO2" t="n">
        <v>679</v>
      </c>
      <c r="CCP2" t="n">
        <v>680</v>
      </c>
      <c r="CCQ2" t="n">
        <v>681</v>
      </c>
      <c r="CCR2" t="n">
        <v>682</v>
      </c>
      <c r="CCS2" t="n">
        <v>683</v>
      </c>
      <c r="CCT2" t="n">
        <v>684</v>
      </c>
      <c r="CCU2" t="n">
        <v>685</v>
      </c>
      <c r="CCV2" t="n">
        <v>686</v>
      </c>
      <c r="CCW2" t="n">
        <v>687</v>
      </c>
      <c r="CCX2" t="n">
        <v>688</v>
      </c>
      <c r="CCY2" t="n">
        <v>689</v>
      </c>
      <c r="CCZ2" t="n">
        <v>690</v>
      </c>
      <c r="CDA2" t="n">
        <v>691</v>
      </c>
      <c r="CDB2" t="n">
        <v>692</v>
      </c>
      <c r="CDC2" t="n">
        <v>693</v>
      </c>
      <c r="CDD2" t="n">
        <v>694</v>
      </c>
      <c r="CDE2" t="n">
        <v>695</v>
      </c>
      <c r="CDF2" t="n">
        <v>696</v>
      </c>
      <c r="CDG2" t="n">
        <v>697</v>
      </c>
      <c r="CDH2" t="n">
        <v>1</v>
      </c>
      <c r="CDI2" t="n">
        <v>2</v>
      </c>
      <c r="CDJ2" t="n">
        <v>3</v>
      </c>
      <c r="CDK2" t="n">
        <v>4</v>
      </c>
      <c r="CDL2" t="n">
        <v>5</v>
      </c>
      <c r="CDM2" t="n">
        <v>6</v>
      </c>
      <c r="CDN2" t="n">
        <v>7</v>
      </c>
      <c r="CDO2" t="n">
        <v>8</v>
      </c>
      <c r="CDP2" t="n">
        <v>9</v>
      </c>
      <c r="CDQ2" t="n">
        <v>10</v>
      </c>
      <c r="CDR2" t="n">
        <v>11</v>
      </c>
      <c r="CDS2" t="n">
        <v>12</v>
      </c>
      <c r="CDT2" t="n">
        <v>13</v>
      </c>
      <c r="CDU2" t="n">
        <v>14</v>
      </c>
      <c r="CDV2" t="n">
        <v>15</v>
      </c>
      <c r="CDW2" t="n">
        <v>16</v>
      </c>
      <c r="CDX2" t="n">
        <v>17</v>
      </c>
      <c r="CDY2" t="n">
        <v>18</v>
      </c>
      <c r="CDZ2" t="n">
        <v>19</v>
      </c>
      <c r="CEA2" t="n">
        <v>20</v>
      </c>
      <c r="CEB2" t="n">
        <v>21</v>
      </c>
      <c r="CEC2" t="n">
        <v>22</v>
      </c>
      <c r="CED2" t="n">
        <v>23</v>
      </c>
      <c r="CEE2" t="n">
        <v>24</v>
      </c>
      <c r="CEF2" t="n">
        <v>25</v>
      </c>
      <c r="CEG2" t="n">
        <v>26</v>
      </c>
      <c r="CEH2" t="n">
        <v>27</v>
      </c>
      <c r="CEI2" t="n">
        <v>28</v>
      </c>
      <c r="CEJ2" t="n">
        <v>29</v>
      </c>
      <c r="CEK2" t="n">
        <v>30</v>
      </c>
      <c r="CEL2" t="n">
        <v>31</v>
      </c>
      <c r="CEM2" t="n">
        <v>32</v>
      </c>
      <c r="CEN2" t="n">
        <v>33</v>
      </c>
      <c r="CEO2" t="n">
        <v>34</v>
      </c>
      <c r="CEP2" t="n">
        <v>35</v>
      </c>
      <c r="CEQ2" t="n">
        <v>36</v>
      </c>
      <c r="CER2" t="n">
        <v>37</v>
      </c>
      <c r="CES2" t="n">
        <v>38</v>
      </c>
      <c r="CET2" t="n">
        <v>39</v>
      </c>
      <c r="CEU2" t="n">
        <v>40</v>
      </c>
      <c r="CEV2" t="n">
        <v>41</v>
      </c>
      <c r="CEW2" t="n">
        <v>42</v>
      </c>
      <c r="CEX2" t="n">
        <v>43</v>
      </c>
      <c r="CEY2" t="n">
        <v>44</v>
      </c>
      <c r="CEZ2" t="n">
        <v>45</v>
      </c>
      <c r="CFA2" t="n">
        <v>46</v>
      </c>
      <c r="CFB2" t="n">
        <v>47</v>
      </c>
      <c r="CFC2" t="n">
        <v>48</v>
      </c>
      <c r="CFD2" t="n">
        <v>49</v>
      </c>
      <c r="CFE2" t="n">
        <v>50</v>
      </c>
      <c r="CFF2" t="n">
        <v>51</v>
      </c>
      <c r="CFG2" t="n">
        <v>52</v>
      </c>
      <c r="CFH2" t="n">
        <v>53</v>
      </c>
      <c r="CFI2" t="n">
        <v>54</v>
      </c>
      <c r="CFJ2" t="n">
        <v>55</v>
      </c>
      <c r="CFK2" t="n">
        <v>56</v>
      </c>
      <c r="CFL2" t="n">
        <v>57</v>
      </c>
      <c r="CFM2" t="n">
        <v>58</v>
      </c>
      <c r="CFN2" t="n">
        <v>59</v>
      </c>
      <c r="CFO2" t="n">
        <v>60</v>
      </c>
      <c r="CFP2" t="n">
        <v>61</v>
      </c>
      <c r="CFQ2" t="n">
        <v>62</v>
      </c>
      <c r="CFR2" t="n">
        <v>63</v>
      </c>
      <c r="CFS2" t="n">
        <v>64</v>
      </c>
      <c r="CFT2" t="n">
        <v>65</v>
      </c>
      <c r="CFU2" t="n">
        <v>66</v>
      </c>
      <c r="CFV2" t="n">
        <v>67</v>
      </c>
      <c r="CFW2" t="n">
        <v>68</v>
      </c>
      <c r="CFX2" t="n">
        <v>69</v>
      </c>
      <c r="CFY2" t="n">
        <v>70</v>
      </c>
      <c r="CFZ2" t="n">
        <v>71</v>
      </c>
      <c r="CGA2" t="n">
        <v>72</v>
      </c>
      <c r="CGB2" t="n">
        <v>73</v>
      </c>
      <c r="CGC2" t="n">
        <v>74</v>
      </c>
      <c r="CGD2" t="n">
        <v>75</v>
      </c>
      <c r="CGE2" t="n">
        <v>76</v>
      </c>
      <c r="CGF2" t="n">
        <v>77</v>
      </c>
      <c r="CGG2" t="n">
        <v>78</v>
      </c>
      <c r="CGH2" t="n">
        <v>79</v>
      </c>
      <c r="CGI2" t="n">
        <v>80</v>
      </c>
      <c r="CGJ2" t="n">
        <v>81</v>
      </c>
      <c r="CGK2" t="n">
        <v>82</v>
      </c>
      <c r="CGL2" t="n">
        <v>83</v>
      </c>
      <c r="CGM2" t="n">
        <v>84</v>
      </c>
      <c r="CGN2" t="n">
        <v>85</v>
      </c>
      <c r="CGO2" t="n">
        <v>86</v>
      </c>
      <c r="CGP2" t="n">
        <v>87</v>
      </c>
      <c r="CGQ2" t="n">
        <v>88</v>
      </c>
      <c r="CGR2" t="n">
        <v>89</v>
      </c>
      <c r="CGS2" t="n">
        <v>90</v>
      </c>
      <c r="CGT2" t="n">
        <v>91</v>
      </c>
      <c r="CGU2" t="n">
        <v>92</v>
      </c>
      <c r="CGV2" t="n">
        <v>93</v>
      </c>
      <c r="CGW2" t="n">
        <v>94</v>
      </c>
      <c r="CGX2" t="n">
        <v>95</v>
      </c>
      <c r="CGY2" t="n">
        <v>96</v>
      </c>
      <c r="CGZ2" t="n">
        <v>97</v>
      </c>
      <c r="CHA2" t="n">
        <v>98</v>
      </c>
      <c r="CHB2" t="n">
        <v>99</v>
      </c>
      <c r="CHC2" t="n">
        <v>100</v>
      </c>
      <c r="CHD2" t="n">
        <v>101</v>
      </c>
      <c r="CHE2" t="n">
        <v>102</v>
      </c>
      <c r="CHF2" t="n">
        <v>103</v>
      </c>
      <c r="CHG2" t="n">
        <v>104</v>
      </c>
      <c r="CHH2" t="n">
        <v>105</v>
      </c>
      <c r="CHI2" t="n">
        <v>106</v>
      </c>
      <c r="CHJ2" t="n">
        <v>107</v>
      </c>
      <c r="CHK2" t="n">
        <v>108</v>
      </c>
      <c r="CHL2" t="n">
        <v>109</v>
      </c>
      <c r="CHM2" t="n">
        <v>110</v>
      </c>
      <c r="CHN2" t="n">
        <v>111</v>
      </c>
      <c r="CHO2" t="n">
        <v>112</v>
      </c>
      <c r="CHP2" t="n">
        <v>113</v>
      </c>
      <c r="CHQ2" t="n">
        <v>114</v>
      </c>
      <c r="CHR2" t="n">
        <v>115</v>
      </c>
      <c r="CHS2" t="n">
        <v>116</v>
      </c>
      <c r="CHT2" t="n">
        <v>117</v>
      </c>
      <c r="CHU2" t="n">
        <v>118</v>
      </c>
      <c r="CHV2" t="n">
        <v>119</v>
      </c>
      <c r="CHW2" t="n">
        <v>120</v>
      </c>
      <c r="CHX2" t="n">
        <v>121</v>
      </c>
      <c r="CHY2" t="n">
        <v>122</v>
      </c>
      <c r="CHZ2" t="n">
        <v>123</v>
      </c>
      <c r="CIA2" t="n">
        <v>124</v>
      </c>
      <c r="CIB2" t="n">
        <v>125</v>
      </c>
      <c r="CIC2" t="n">
        <v>126</v>
      </c>
      <c r="CID2" t="n">
        <v>127</v>
      </c>
      <c r="CIE2" t="n">
        <v>128</v>
      </c>
      <c r="CIF2" t="n">
        <v>129</v>
      </c>
      <c r="CIG2" t="n">
        <v>130</v>
      </c>
      <c r="CIH2" t="n">
        <v>131</v>
      </c>
      <c r="CII2" t="n">
        <v>132</v>
      </c>
      <c r="CIJ2" t="n">
        <v>133</v>
      </c>
      <c r="CIK2" t="n">
        <v>134</v>
      </c>
      <c r="CIL2" t="n">
        <v>135</v>
      </c>
      <c r="CIM2" t="n">
        <v>136</v>
      </c>
      <c r="CIN2" t="n">
        <v>137</v>
      </c>
      <c r="CIO2" t="n">
        <v>138</v>
      </c>
      <c r="CIP2" t="n">
        <v>139</v>
      </c>
      <c r="CIQ2" t="n">
        <v>140</v>
      </c>
      <c r="CIR2" t="n">
        <v>141</v>
      </c>
      <c r="CIS2" t="n">
        <v>142</v>
      </c>
      <c r="CIT2" t="n">
        <v>143</v>
      </c>
      <c r="CIU2" t="n">
        <v>144</v>
      </c>
      <c r="CIV2" t="n">
        <v>145</v>
      </c>
      <c r="CIW2" t="n">
        <v>146</v>
      </c>
      <c r="CIX2" t="n">
        <v>147</v>
      </c>
      <c r="CIY2" t="n">
        <v>148</v>
      </c>
      <c r="CIZ2" t="n">
        <v>149</v>
      </c>
      <c r="CJA2" t="n">
        <v>150</v>
      </c>
      <c r="CJB2" t="n">
        <v>151</v>
      </c>
      <c r="CJC2" t="n">
        <v>152</v>
      </c>
      <c r="CJD2" t="n">
        <v>153</v>
      </c>
      <c r="CJE2" t="n">
        <v>154</v>
      </c>
      <c r="CJF2" t="n">
        <v>155</v>
      </c>
      <c r="CJG2" t="n">
        <v>156</v>
      </c>
      <c r="CJH2" t="n">
        <v>157</v>
      </c>
      <c r="CJI2" t="n">
        <v>158</v>
      </c>
      <c r="CJJ2" t="n">
        <v>159</v>
      </c>
      <c r="CJK2" t="n">
        <v>160</v>
      </c>
      <c r="CJL2" t="n">
        <v>161</v>
      </c>
      <c r="CJM2" t="n">
        <v>162</v>
      </c>
      <c r="CJN2" t="n">
        <v>163</v>
      </c>
      <c r="CJO2" t="n">
        <v>164</v>
      </c>
      <c r="CJP2" t="n">
        <v>165</v>
      </c>
      <c r="CJQ2" t="n">
        <v>166</v>
      </c>
      <c r="CJR2" t="n">
        <v>167</v>
      </c>
      <c r="CJS2" t="n">
        <v>168</v>
      </c>
      <c r="CJT2" t="n">
        <v>169</v>
      </c>
      <c r="CJU2" t="n">
        <v>170</v>
      </c>
      <c r="CJV2" t="n">
        <v>171</v>
      </c>
      <c r="CJW2" t="n">
        <v>172</v>
      </c>
      <c r="CJX2" t="n">
        <v>173</v>
      </c>
      <c r="CJY2" t="n">
        <v>174</v>
      </c>
      <c r="CJZ2" t="n">
        <v>175</v>
      </c>
      <c r="CKA2" t="n">
        <v>176</v>
      </c>
      <c r="CKB2" t="n">
        <v>177</v>
      </c>
      <c r="CKC2" t="n">
        <v>178</v>
      </c>
      <c r="CKD2" t="n">
        <v>179</v>
      </c>
      <c r="CKE2" t="n">
        <v>180</v>
      </c>
      <c r="CKF2" t="n">
        <v>181</v>
      </c>
      <c r="CKG2" t="n">
        <v>182</v>
      </c>
      <c r="CKH2" t="n">
        <v>183</v>
      </c>
      <c r="CKI2" t="n">
        <v>184</v>
      </c>
      <c r="CKJ2" t="n">
        <v>185</v>
      </c>
      <c r="CKK2" t="n">
        <v>186</v>
      </c>
      <c r="CKL2" t="n">
        <v>187</v>
      </c>
      <c r="CKM2" t="n">
        <v>188</v>
      </c>
      <c r="CKN2" t="n">
        <v>189</v>
      </c>
      <c r="CKO2" t="n">
        <v>190</v>
      </c>
      <c r="CKP2" t="n">
        <v>191</v>
      </c>
      <c r="CKQ2" t="n">
        <v>192</v>
      </c>
      <c r="CKR2" t="n">
        <v>193</v>
      </c>
      <c r="CKS2" t="n">
        <v>194</v>
      </c>
      <c r="CKT2" t="n">
        <v>195</v>
      </c>
      <c r="CKU2" t="n">
        <v>196</v>
      </c>
      <c r="CKV2" t="n">
        <v>197</v>
      </c>
      <c r="CKW2" t="n">
        <v>198</v>
      </c>
      <c r="CKX2" t="n">
        <v>199</v>
      </c>
      <c r="CKY2" t="n">
        <v>200</v>
      </c>
      <c r="CKZ2" t="n">
        <v>201</v>
      </c>
      <c r="CLA2" t="n">
        <v>202</v>
      </c>
      <c r="CLB2" t="n">
        <v>203</v>
      </c>
      <c r="CLC2" t="n">
        <v>204</v>
      </c>
      <c r="CLD2" t="n">
        <v>205</v>
      </c>
      <c r="CLE2" t="n">
        <v>206</v>
      </c>
      <c r="CLF2" t="n">
        <v>207</v>
      </c>
      <c r="CLG2" t="n">
        <v>208</v>
      </c>
      <c r="CLH2" t="n">
        <v>209</v>
      </c>
      <c r="CLI2" t="n">
        <v>210</v>
      </c>
      <c r="CLJ2" t="n">
        <v>211</v>
      </c>
      <c r="CLK2" t="n">
        <v>212</v>
      </c>
      <c r="CLL2" t="n">
        <v>213</v>
      </c>
      <c r="CLM2" t="n">
        <v>214</v>
      </c>
      <c r="CLN2" t="n">
        <v>215</v>
      </c>
      <c r="CLO2" t="n">
        <v>216</v>
      </c>
      <c r="CLP2" t="n">
        <v>217</v>
      </c>
      <c r="CLQ2" t="n">
        <v>218</v>
      </c>
      <c r="CLR2" t="n">
        <v>219</v>
      </c>
      <c r="CLS2" t="n">
        <v>220</v>
      </c>
      <c r="CLT2" t="n">
        <v>221</v>
      </c>
      <c r="CLU2" t="n">
        <v>222</v>
      </c>
      <c r="CLV2" t="n">
        <v>223</v>
      </c>
      <c r="CLW2" t="n">
        <v>224</v>
      </c>
      <c r="CLX2" t="n">
        <v>225</v>
      </c>
      <c r="CLY2" t="n">
        <v>226</v>
      </c>
      <c r="CLZ2" t="n">
        <v>227</v>
      </c>
      <c r="CMA2" t="n">
        <v>228</v>
      </c>
      <c r="CMB2" t="n">
        <v>229</v>
      </c>
      <c r="CMC2" t="n">
        <v>230</v>
      </c>
      <c r="CMD2" t="n">
        <v>231</v>
      </c>
      <c r="CME2" t="n">
        <v>232</v>
      </c>
      <c r="CMF2" t="n">
        <v>233</v>
      </c>
      <c r="CMG2" t="n">
        <v>234</v>
      </c>
      <c r="CMH2" t="n">
        <v>235</v>
      </c>
      <c r="CMI2" t="n">
        <v>236</v>
      </c>
      <c r="CMJ2" t="n">
        <v>237</v>
      </c>
      <c r="CMK2" t="n">
        <v>238</v>
      </c>
      <c r="CML2" t="n">
        <v>239</v>
      </c>
      <c r="CMM2" t="n">
        <v>240</v>
      </c>
      <c r="CMN2" t="n">
        <v>241</v>
      </c>
      <c r="CMO2" t="n">
        <v>242</v>
      </c>
      <c r="CMP2" t="n">
        <v>243</v>
      </c>
      <c r="CMQ2" t="n">
        <v>244</v>
      </c>
      <c r="CMR2" t="n">
        <v>245</v>
      </c>
      <c r="CMS2" t="n">
        <v>246</v>
      </c>
      <c r="CMT2" t="n">
        <v>247</v>
      </c>
      <c r="CMU2" t="n">
        <v>248</v>
      </c>
      <c r="CMV2" t="n">
        <v>249</v>
      </c>
      <c r="CMW2" t="n">
        <v>250</v>
      </c>
      <c r="CMX2" t="n">
        <v>251</v>
      </c>
      <c r="CMY2" t="n">
        <v>252</v>
      </c>
      <c r="CMZ2" t="n">
        <v>253</v>
      </c>
      <c r="CNA2" t="n">
        <v>254</v>
      </c>
      <c r="CNB2" t="n">
        <v>255</v>
      </c>
      <c r="CNC2" t="n">
        <v>256</v>
      </c>
      <c r="CND2" t="n">
        <v>257</v>
      </c>
      <c r="CNE2" t="n">
        <v>258</v>
      </c>
      <c r="CNF2" t="n">
        <v>259</v>
      </c>
      <c r="CNG2" t="n">
        <v>260</v>
      </c>
      <c r="CNH2" t="n">
        <v>261</v>
      </c>
      <c r="CNI2" t="n">
        <v>262</v>
      </c>
      <c r="CNJ2" t="n">
        <v>263</v>
      </c>
      <c r="CNK2" t="n">
        <v>264</v>
      </c>
      <c r="CNL2" t="n">
        <v>265</v>
      </c>
      <c r="CNM2" t="n">
        <v>266</v>
      </c>
      <c r="CNN2" t="n">
        <v>267</v>
      </c>
      <c r="CNO2" t="n">
        <v>268</v>
      </c>
      <c r="CNP2" t="n">
        <v>269</v>
      </c>
      <c r="CNQ2" t="n">
        <v>270</v>
      </c>
      <c r="CNR2" t="n">
        <v>271</v>
      </c>
      <c r="CNS2" t="n">
        <v>272</v>
      </c>
      <c r="CNT2" t="n">
        <v>273</v>
      </c>
      <c r="CNU2" t="n">
        <v>274</v>
      </c>
      <c r="CNV2" t="n">
        <v>275</v>
      </c>
      <c r="CNW2" t="n">
        <v>276</v>
      </c>
      <c r="CNX2" t="n">
        <v>277</v>
      </c>
      <c r="CNY2" t="n">
        <v>278</v>
      </c>
      <c r="CNZ2" t="n">
        <v>279</v>
      </c>
      <c r="COA2" t="n">
        <v>280</v>
      </c>
      <c r="COB2" t="n">
        <v>281</v>
      </c>
      <c r="COC2" t="n">
        <v>282</v>
      </c>
      <c r="COD2" t="n">
        <v>283</v>
      </c>
      <c r="COE2" t="n">
        <v>284</v>
      </c>
      <c r="COF2" t="n">
        <v>285</v>
      </c>
      <c r="COG2" t="n">
        <v>286</v>
      </c>
      <c r="COH2" t="n">
        <v>287</v>
      </c>
      <c r="COI2" t="n">
        <v>288</v>
      </c>
      <c r="COJ2" t="n">
        <v>289</v>
      </c>
      <c r="COK2" t="n">
        <v>290</v>
      </c>
      <c r="COL2" t="n">
        <v>291</v>
      </c>
      <c r="COM2" t="n">
        <v>292</v>
      </c>
      <c r="CON2" t="n">
        <v>293</v>
      </c>
      <c r="COO2" t="n">
        <v>294</v>
      </c>
      <c r="COP2" t="n">
        <v>295</v>
      </c>
      <c r="COQ2" t="n">
        <v>296</v>
      </c>
      <c r="COR2" t="n">
        <v>297</v>
      </c>
      <c r="COS2" t="n">
        <v>298</v>
      </c>
      <c r="COT2" t="n">
        <v>299</v>
      </c>
      <c r="COU2" t="n">
        <v>300</v>
      </c>
      <c r="COV2" t="n">
        <v>301</v>
      </c>
      <c r="COW2" t="n">
        <v>302</v>
      </c>
      <c r="COX2" t="n">
        <v>303</v>
      </c>
      <c r="COY2" t="n">
        <v>304</v>
      </c>
      <c r="COZ2" t="n">
        <v>305</v>
      </c>
      <c r="CPA2" t="n">
        <v>306</v>
      </c>
      <c r="CPB2" t="n">
        <v>307</v>
      </c>
      <c r="CPC2" t="n">
        <v>308</v>
      </c>
      <c r="CPD2" t="n">
        <v>309</v>
      </c>
      <c r="CPE2" t="n">
        <v>310</v>
      </c>
      <c r="CPF2" t="n">
        <v>311</v>
      </c>
      <c r="CPG2" t="n">
        <v>312</v>
      </c>
      <c r="CPH2" t="n">
        <v>313</v>
      </c>
      <c r="CPI2" t="n">
        <v>314</v>
      </c>
      <c r="CPJ2" t="n">
        <v>315</v>
      </c>
      <c r="CPK2" t="n">
        <v>316</v>
      </c>
      <c r="CPL2" t="n">
        <v>317</v>
      </c>
      <c r="CPM2" t="n">
        <v>318</v>
      </c>
      <c r="CPN2" t="n">
        <v>319</v>
      </c>
      <c r="CPO2" t="n">
        <v>320</v>
      </c>
      <c r="CPP2" t="n">
        <v>321</v>
      </c>
      <c r="CPQ2" t="n">
        <v>322</v>
      </c>
      <c r="CPR2" t="n">
        <v>323</v>
      </c>
      <c r="CPS2" t="n">
        <v>324</v>
      </c>
      <c r="CPT2" t="n">
        <v>325</v>
      </c>
      <c r="CPU2" t="n">
        <v>326</v>
      </c>
      <c r="CPV2" t="n">
        <v>327</v>
      </c>
      <c r="CPW2" t="n">
        <v>328</v>
      </c>
      <c r="CPX2" t="n">
        <v>329</v>
      </c>
      <c r="CPY2" t="n">
        <v>330</v>
      </c>
      <c r="CPZ2" t="n">
        <v>331</v>
      </c>
      <c r="CQA2" t="n">
        <v>332</v>
      </c>
      <c r="CQB2" t="n">
        <v>333</v>
      </c>
      <c r="CQC2" t="n">
        <v>334</v>
      </c>
      <c r="CQD2" t="n">
        <v>335</v>
      </c>
      <c r="CQE2" t="n">
        <v>336</v>
      </c>
      <c r="CQF2" t="n">
        <v>337</v>
      </c>
      <c r="CQG2" t="n">
        <v>338</v>
      </c>
      <c r="CQH2" t="n">
        <v>339</v>
      </c>
      <c r="CQI2" t="n">
        <v>340</v>
      </c>
      <c r="CQJ2" t="n">
        <v>341</v>
      </c>
      <c r="CQK2" t="n">
        <v>342</v>
      </c>
      <c r="CQL2" t="n">
        <v>343</v>
      </c>
      <c r="CQM2" t="n">
        <v>344</v>
      </c>
      <c r="CQN2" t="n">
        <v>345</v>
      </c>
      <c r="CQO2" t="n">
        <v>346</v>
      </c>
      <c r="CQP2" t="n">
        <v>347</v>
      </c>
      <c r="CQQ2" t="n">
        <v>348</v>
      </c>
      <c r="CQR2" t="n">
        <v>349</v>
      </c>
      <c r="CQS2" t="n">
        <v>350</v>
      </c>
      <c r="CQT2" t="n">
        <v>351</v>
      </c>
      <c r="CQU2" t="n">
        <v>352</v>
      </c>
      <c r="CQV2" t="n">
        <v>353</v>
      </c>
      <c r="CQW2" t="n">
        <v>354</v>
      </c>
      <c r="CQX2" t="n">
        <v>355</v>
      </c>
      <c r="CQY2" t="n">
        <v>356</v>
      </c>
      <c r="CQZ2" t="n">
        <v>357</v>
      </c>
      <c r="CRA2" t="n">
        <v>358</v>
      </c>
      <c r="CRB2" t="n">
        <v>359</v>
      </c>
      <c r="CRC2" t="n">
        <v>360</v>
      </c>
      <c r="CRD2" t="n">
        <v>361</v>
      </c>
      <c r="CRE2" t="n">
        <v>362</v>
      </c>
      <c r="CRF2" t="n">
        <v>363</v>
      </c>
      <c r="CRG2" t="n">
        <v>364</v>
      </c>
      <c r="CRH2" t="n">
        <v>365</v>
      </c>
      <c r="CRI2" t="n">
        <v>366</v>
      </c>
      <c r="CRJ2" t="n">
        <v>367</v>
      </c>
      <c r="CRK2" t="n">
        <v>368</v>
      </c>
      <c r="CRL2" t="n">
        <v>369</v>
      </c>
      <c r="CRM2" t="n">
        <v>370</v>
      </c>
      <c r="CRN2" t="n">
        <v>371</v>
      </c>
      <c r="CRO2" t="n">
        <v>372</v>
      </c>
      <c r="CRP2" t="n">
        <v>373</v>
      </c>
      <c r="CRQ2" t="n">
        <v>374</v>
      </c>
      <c r="CRR2" t="n">
        <v>375</v>
      </c>
      <c r="CRS2" t="n">
        <v>376</v>
      </c>
      <c r="CRT2" t="n">
        <v>377</v>
      </c>
      <c r="CRU2" t="n">
        <v>378</v>
      </c>
      <c r="CRV2" t="n">
        <v>379</v>
      </c>
      <c r="CRW2" t="n">
        <v>380</v>
      </c>
      <c r="CRX2" t="n">
        <v>381</v>
      </c>
      <c r="CRY2" t="n">
        <v>382</v>
      </c>
      <c r="CRZ2" t="n">
        <v>383</v>
      </c>
      <c r="CSA2" t="n">
        <v>384</v>
      </c>
      <c r="CSB2" t="n">
        <v>385</v>
      </c>
      <c r="CSC2" t="n">
        <v>386</v>
      </c>
      <c r="CSD2" t="n">
        <v>387</v>
      </c>
      <c r="CSE2" t="n">
        <v>388</v>
      </c>
      <c r="CSF2" t="n">
        <v>389</v>
      </c>
      <c r="CSG2" t="n">
        <v>390</v>
      </c>
      <c r="CSH2" t="n">
        <v>391</v>
      </c>
      <c r="CSI2" t="n">
        <v>392</v>
      </c>
      <c r="CSJ2" t="n">
        <v>393</v>
      </c>
      <c r="CSK2" t="n">
        <v>394</v>
      </c>
      <c r="CSL2" t="n">
        <v>395</v>
      </c>
      <c r="CSM2" t="n">
        <v>396</v>
      </c>
      <c r="CSN2" t="n">
        <v>397</v>
      </c>
      <c r="CSO2" t="n">
        <v>398</v>
      </c>
      <c r="CSP2" t="n">
        <v>399</v>
      </c>
      <c r="CSQ2" t="n">
        <v>400</v>
      </c>
      <c r="CSR2" t="n">
        <v>401</v>
      </c>
      <c r="CSS2" t="n">
        <v>402</v>
      </c>
      <c r="CST2" t="n">
        <v>403</v>
      </c>
      <c r="CSU2" t="n">
        <v>404</v>
      </c>
      <c r="CSV2" t="n">
        <v>405</v>
      </c>
      <c r="CSW2" t="n">
        <v>406</v>
      </c>
      <c r="CSX2" t="n">
        <v>407</v>
      </c>
      <c r="CSY2" t="n">
        <v>408</v>
      </c>
      <c r="CSZ2" t="n">
        <v>409</v>
      </c>
      <c r="CTA2" t="n">
        <v>410</v>
      </c>
      <c r="CTB2" t="n">
        <v>411</v>
      </c>
      <c r="CTC2" t="n">
        <v>412</v>
      </c>
      <c r="CTD2" t="n">
        <v>413</v>
      </c>
      <c r="CTE2" t="n">
        <v>414</v>
      </c>
      <c r="CTF2" t="n">
        <v>415</v>
      </c>
      <c r="CTG2" t="n">
        <v>416</v>
      </c>
      <c r="CTH2" t="n">
        <v>417</v>
      </c>
      <c r="CTI2" t="n">
        <v>418</v>
      </c>
      <c r="CTJ2" t="n">
        <v>419</v>
      </c>
      <c r="CTK2" t="n">
        <v>420</v>
      </c>
      <c r="CTL2" t="n">
        <v>421</v>
      </c>
      <c r="CTM2" t="n">
        <v>422</v>
      </c>
      <c r="CTN2" t="n">
        <v>423</v>
      </c>
      <c r="CTO2" t="n">
        <v>424</v>
      </c>
      <c r="CTP2" t="n">
        <v>425</v>
      </c>
      <c r="CTQ2" t="n">
        <v>426</v>
      </c>
      <c r="CTR2" t="n">
        <v>427</v>
      </c>
      <c r="CTS2" t="n">
        <v>428</v>
      </c>
      <c r="CTT2" t="n">
        <v>429</v>
      </c>
      <c r="CTU2" t="n">
        <v>430</v>
      </c>
      <c r="CTV2" t="n">
        <v>431</v>
      </c>
      <c r="CTW2" t="n">
        <v>432</v>
      </c>
      <c r="CTX2" t="n">
        <v>433</v>
      </c>
      <c r="CTY2" t="n">
        <v>434</v>
      </c>
      <c r="CTZ2" t="n">
        <v>435</v>
      </c>
      <c r="CUA2" t="n">
        <v>436</v>
      </c>
      <c r="CUB2" t="n">
        <v>437</v>
      </c>
      <c r="CUC2" t="n">
        <v>438</v>
      </c>
      <c r="CUD2" t="n">
        <v>439</v>
      </c>
      <c r="CUE2" t="n">
        <v>440</v>
      </c>
      <c r="CUF2" t="n">
        <v>441</v>
      </c>
      <c r="CUG2" t="n">
        <v>442</v>
      </c>
      <c r="CUH2" t="n">
        <v>443</v>
      </c>
      <c r="CUI2" t="n">
        <v>444</v>
      </c>
      <c r="CUJ2" t="n">
        <v>445</v>
      </c>
      <c r="CUK2" t="n">
        <v>446</v>
      </c>
      <c r="CUL2" t="n">
        <v>447</v>
      </c>
      <c r="CUM2" t="n">
        <v>448</v>
      </c>
      <c r="CUN2" t="n">
        <v>449</v>
      </c>
      <c r="CUO2" t="n">
        <v>450</v>
      </c>
      <c r="CUP2" t="n">
        <v>451</v>
      </c>
      <c r="CUQ2" t="n">
        <v>452</v>
      </c>
      <c r="CUR2" t="n">
        <v>453</v>
      </c>
      <c r="CUS2" t="n">
        <v>454</v>
      </c>
      <c r="CUT2" t="n">
        <v>455</v>
      </c>
      <c r="CUU2" t="n">
        <v>456</v>
      </c>
      <c r="CUV2" t="n">
        <v>457</v>
      </c>
      <c r="CUW2" t="n">
        <v>458</v>
      </c>
      <c r="CUX2" t="n">
        <v>459</v>
      </c>
      <c r="CUY2" t="n">
        <v>460</v>
      </c>
      <c r="CUZ2" t="n">
        <v>461</v>
      </c>
      <c r="CVA2" t="n">
        <v>462</v>
      </c>
      <c r="CVB2" t="n">
        <v>463</v>
      </c>
      <c r="CVC2" t="n">
        <v>464</v>
      </c>
      <c r="CVD2" t="n">
        <v>465</v>
      </c>
      <c r="CVE2" t="n">
        <v>466</v>
      </c>
      <c r="CVF2" t="n">
        <v>467</v>
      </c>
      <c r="CVG2" t="n">
        <v>468</v>
      </c>
      <c r="CVH2" t="n">
        <v>469</v>
      </c>
      <c r="CVI2" t="n">
        <v>470</v>
      </c>
      <c r="CVJ2" t="n">
        <v>471</v>
      </c>
      <c r="CVK2" t="n">
        <v>472</v>
      </c>
      <c r="CVL2" t="n">
        <v>473</v>
      </c>
      <c r="CVM2" t="n">
        <v>474</v>
      </c>
      <c r="CVN2" t="n">
        <v>475</v>
      </c>
      <c r="CVO2" t="n">
        <v>476</v>
      </c>
      <c r="CVP2" t="n">
        <v>477</v>
      </c>
      <c r="CVQ2" t="n">
        <v>478</v>
      </c>
      <c r="CVR2" t="n">
        <v>479</v>
      </c>
      <c r="CVS2" t="n">
        <v>480</v>
      </c>
      <c r="CVT2" t="n">
        <v>481</v>
      </c>
      <c r="CVU2" t="n">
        <v>482</v>
      </c>
      <c r="CVV2" t="n">
        <v>483</v>
      </c>
      <c r="CVW2" t="n">
        <v>484</v>
      </c>
      <c r="CVX2" t="n">
        <v>485</v>
      </c>
      <c r="CVY2" t="n">
        <v>486</v>
      </c>
      <c r="CVZ2" t="n">
        <v>487</v>
      </c>
      <c r="CWA2" t="n">
        <v>488</v>
      </c>
      <c r="CWB2" t="n">
        <v>489</v>
      </c>
      <c r="CWC2" t="n">
        <v>490</v>
      </c>
      <c r="CWD2" t="n">
        <v>491</v>
      </c>
      <c r="CWE2" t="n">
        <v>492</v>
      </c>
      <c r="CWF2" t="n">
        <v>493</v>
      </c>
      <c r="CWG2" t="n">
        <v>494</v>
      </c>
      <c r="CWH2" t="n">
        <v>495</v>
      </c>
      <c r="CWI2" t="n">
        <v>496</v>
      </c>
      <c r="CWJ2" t="n">
        <v>497</v>
      </c>
      <c r="CWK2" t="n">
        <v>498</v>
      </c>
      <c r="CWL2" t="n">
        <v>499</v>
      </c>
      <c r="CWM2" t="n">
        <v>500</v>
      </c>
      <c r="CWN2" t="n">
        <v>501</v>
      </c>
      <c r="CWO2" t="n">
        <v>502</v>
      </c>
      <c r="CWP2" t="n">
        <v>503</v>
      </c>
      <c r="CWQ2" t="n">
        <v>504</v>
      </c>
      <c r="CWR2" t="n">
        <v>505</v>
      </c>
      <c r="CWS2" t="n">
        <v>506</v>
      </c>
      <c r="CWT2" t="n">
        <v>507</v>
      </c>
      <c r="CWU2" t="n">
        <v>508</v>
      </c>
      <c r="CWV2" t="n">
        <v>509</v>
      </c>
      <c r="CWW2" t="n">
        <v>510</v>
      </c>
      <c r="CWX2" t="n">
        <v>511</v>
      </c>
      <c r="CWY2" t="n">
        <v>512</v>
      </c>
      <c r="CWZ2" t="n">
        <v>513</v>
      </c>
      <c r="CXA2" t="n">
        <v>514</v>
      </c>
      <c r="CXB2" t="n">
        <v>515</v>
      </c>
      <c r="CXC2" t="n">
        <v>516</v>
      </c>
      <c r="CXD2" t="n">
        <v>517</v>
      </c>
      <c r="CXE2" t="n">
        <v>518</v>
      </c>
      <c r="CXF2" t="n">
        <v>519</v>
      </c>
      <c r="CXG2" t="n">
        <v>520</v>
      </c>
      <c r="CXH2" t="n">
        <v>521</v>
      </c>
      <c r="CXI2" t="n">
        <v>522</v>
      </c>
      <c r="CXJ2" t="n">
        <v>523</v>
      </c>
      <c r="CXK2" t="n">
        <v>524</v>
      </c>
      <c r="CXL2" t="n">
        <v>525</v>
      </c>
      <c r="CXM2" t="n">
        <v>526</v>
      </c>
      <c r="CXN2" t="n">
        <v>527</v>
      </c>
      <c r="CXO2" t="n">
        <v>528</v>
      </c>
      <c r="CXP2" t="n">
        <v>529</v>
      </c>
      <c r="CXQ2" t="n">
        <v>530</v>
      </c>
      <c r="CXR2" t="n">
        <v>531</v>
      </c>
      <c r="CXS2" t="n">
        <v>532</v>
      </c>
      <c r="CXT2" t="n">
        <v>533</v>
      </c>
      <c r="CXU2" t="n">
        <v>534</v>
      </c>
      <c r="CXV2" t="n">
        <v>535</v>
      </c>
      <c r="CXW2" t="n">
        <v>536</v>
      </c>
      <c r="CXX2" t="n">
        <v>537</v>
      </c>
      <c r="CXY2" t="n">
        <v>538</v>
      </c>
      <c r="CXZ2" t="n">
        <v>539</v>
      </c>
      <c r="CYA2" t="n">
        <v>540</v>
      </c>
      <c r="CYB2" t="n">
        <v>541</v>
      </c>
      <c r="CYC2" t="n">
        <v>542</v>
      </c>
      <c r="CYD2" t="n">
        <v>543</v>
      </c>
      <c r="CYE2" t="n">
        <v>544</v>
      </c>
      <c r="CYF2" t="n">
        <v>545</v>
      </c>
      <c r="CYG2" t="n">
        <v>546</v>
      </c>
      <c r="CYH2" t="n">
        <v>547</v>
      </c>
      <c r="CYI2" t="n">
        <v>548</v>
      </c>
      <c r="CYJ2" t="n">
        <v>549</v>
      </c>
      <c r="CYK2" t="n">
        <v>550</v>
      </c>
      <c r="CYL2" t="n">
        <v>551</v>
      </c>
      <c r="CYM2" t="n">
        <v>552</v>
      </c>
      <c r="CYN2" t="n">
        <v>553</v>
      </c>
      <c r="CYO2" t="n">
        <v>554</v>
      </c>
      <c r="CYP2" t="n">
        <v>555</v>
      </c>
      <c r="CYQ2" t="n">
        <v>556</v>
      </c>
      <c r="CYR2" t="n">
        <v>557</v>
      </c>
      <c r="CYS2" t="n">
        <v>558</v>
      </c>
      <c r="CYT2" t="n">
        <v>559</v>
      </c>
      <c r="CYU2" t="n">
        <v>560</v>
      </c>
      <c r="CYV2" t="n">
        <v>561</v>
      </c>
      <c r="CYW2" t="n">
        <v>562</v>
      </c>
      <c r="CYX2" t="n">
        <v>563</v>
      </c>
      <c r="CYY2" t="n">
        <v>564</v>
      </c>
      <c r="CYZ2" t="n">
        <v>565</v>
      </c>
      <c r="CZA2" t="n">
        <v>566</v>
      </c>
      <c r="CZB2" t="n">
        <v>567</v>
      </c>
      <c r="CZC2" t="n">
        <v>568</v>
      </c>
      <c r="CZD2" t="n">
        <v>569</v>
      </c>
      <c r="CZE2" t="n">
        <v>570</v>
      </c>
      <c r="CZF2" t="n">
        <v>571</v>
      </c>
      <c r="CZG2" t="n">
        <v>572</v>
      </c>
      <c r="CZH2" t="n">
        <v>573</v>
      </c>
      <c r="CZI2" t="n">
        <v>574</v>
      </c>
      <c r="CZJ2" t="n">
        <v>575</v>
      </c>
      <c r="CZK2" t="n">
        <v>576</v>
      </c>
      <c r="CZL2" t="n">
        <v>577</v>
      </c>
      <c r="CZM2" t="n">
        <v>578</v>
      </c>
      <c r="CZN2" t="n">
        <v>579</v>
      </c>
      <c r="CZO2" t="n">
        <v>580</v>
      </c>
      <c r="CZP2" t="n">
        <v>581</v>
      </c>
      <c r="CZQ2" t="n">
        <v>582</v>
      </c>
      <c r="CZR2" t="n">
        <v>583</v>
      </c>
      <c r="CZS2" t="n">
        <v>584</v>
      </c>
      <c r="CZT2" t="n">
        <v>585</v>
      </c>
      <c r="CZU2" t="n">
        <v>586</v>
      </c>
      <c r="CZV2" t="n">
        <v>587</v>
      </c>
      <c r="CZW2" t="n">
        <v>588</v>
      </c>
      <c r="CZX2" t="n">
        <v>589</v>
      </c>
      <c r="CZY2" t="n">
        <v>590</v>
      </c>
      <c r="CZZ2" t="n">
        <v>591</v>
      </c>
      <c r="DAA2" t="n">
        <v>592</v>
      </c>
      <c r="DAB2" t="n">
        <v>593</v>
      </c>
      <c r="DAC2" t="n">
        <v>594</v>
      </c>
      <c r="DAD2" t="n">
        <v>595</v>
      </c>
      <c r="DAE2" t="n">
        <v>596</v>
      </c>
      <c r="DAF2" t="n">
        <v>597</v>
      </c>
      <c r="DAG2" t="n">
        <v>598</v>
      </c>
      <c r="DAH2" t="n">
        <v>599</v>
      </c>
      <c r="DAI2" t="n">
        <v>600</v>
      </c>
      <c r="DAJ2" t="n">
        <v>601</v>
      </c>
      <c r="DAK2" t="n">
        <v>602</v>
      </c>
      <c r="DAL2" t="n">
        <v>603</v>
      </c>
      <c r="DAM2" t="n">
        <v>604</v>
      </c>
      <c r="DAN2" t="n">
        <v>605</v>
      </c>
      <c r="DAO2" t="n">
        <v>606</v>
      </c>
      <c r="DAP2" t="n">
        <v>607</v>
      </c>
      <c r="DAQ2" t="n">
        <v>608</v>
      </c>
      <c r="DAR2" t="n">
        <v>609</v>
      </c>
      <c r="DAS2" t="n">
        <v>610</v>
      </c>
      <c r="DAT2" t="n">
        <v>611</v>
      </c>
      <c r="DAU2" t="n">
        <v>612</v>
      </c>
      <c r="DAV2" t="n">
        <v>613</v>
      </c>
      <c r="DAW2" t="n">
        <v>614</v>
      </c>
      <c r="DAX2" t="n">
        <v>615</v>
      </c>
      <c r="DAY2" t="n">
        <v>616</v>
      </c>
      <c r="DAZ2" t="n">
        <v>617</v>
      </c>
      <c r="DBA2" t="n">
        <v>618</v>
      </c>
      <c r="DBB2" t="n">
        <v>619</v>
      </c>
      <c r="DBC2" t="n">
        <v>620</v>
      </c>
      <c r="DBD2" t="n">
        <v>621</v>
      </c>
      <c r="DBE2" t="n">
        <v>622</v>
      </c>
      <c r="DBF2" t="n">
        <v>623</v>
      </c>
      <c r="DBG2" t="n">
        <v>624</v>
      </c>
      <c r="DBH2" t="n">
        <v>625</v>
      </c>
      <c r="DBI2" t="n">
        <v>626</v>
      </c>
      <c r="DBJ2" t="n">
        <v>627</v>
      </c>
      <c r="DBK2" t="n">
        <v>628</v>
      </c>
      <c r="DBL2" t="n">
        <v>629</v>
      </c>
      <c r="DBM2" t="n">
        <v>630</v>
      </c>
      <c r="DBN2" t="n">
        <v>631</v>
      </c>
      <c r="DBO2" t="n">
        <v>632</v>
      </c>
      <c r="DBP2" t="n">
        <v>633</v>
      </c>
      <c r="DBQ2" t="n">
        <v>634</v>
      </c>
      <c r="DBR2" t="n">
        <v>635</v>
      </c>
      <c r="DBS2" t="n">
        <v>636</v>
      </c>
      <c r="DBT2" t="n">
        <v>637</v>
      </c>
      <c r="DBU2" t="n">
        <v>638</v>
      </c>
      <c r="DBV2" t="n">
        <v>639</v>
      </c>
      <c r="DBW2" t="n">
        <v>640</v>
      </c>
      <c r="DBX2" t="n">
        <v>641</v>
      </c>
      <c r="DBY2" t="n">
        <v>642</v>
      </c>
      <c r="DBZ2" t="n">
        <v>643</v>
      </c>
      <c r="DCA2" t="n">
        <v>644</v>
      </c>
      <c r="DCB2" t="n">
        <v>645</v>
      </c>
      <c r="DCC2" t="n">
        <v>646</v>
      </c>
      <c r="DCD2" t="n">
        <v>647</v>
      </c>
      <c r="DCE2" t="n">
        <v>648</v>
      </c>
      <c r="DCF2" t="n">
        <v>649</v>
      </c>
      <c r="DCG2" t="n">
        <v>650</v>
      </c>
      <c r="DCH2" t="n">
        <v>651</v>
      </c>
      <c r="DCI2" t="n">
        <v>652</v>
      </c>
      <c r="DCJ2" t="n">
        <v>653</v>
      </c>
      <c r="DCK2" t="n">
        <v>654</v>
      </c>
      <c r="DCL2" t="n">
        <v>655</v>
      </c>
      <c r="DCM2" t="n">
        <v>656</v>
      </c>
      <c r="DCN2" t="n">
        <v>657</v>
      </c>
      <c r="DCO2" t="n">
        <v>658</v>
      </c>
      <c r="DCP2" t="n">
        <v>659</v>
      </c>
      <c r="DCQ2" t="n">
        <v>660</v>
      </c>
      <c r="DCR2" t="n">
        <v>661</v>
      </c>
      <c r="DCS2" t="n">
        <v>662</v>
      </c>
      <c r="DCT2" t="n">
        <v>663</v>
      </c>
      <c r="DCU2" t="n">
        <v>664</v>
      </c>
      <c r="DCV2" t="n">
        <v>665</v>
      </c>
      <c r="DCW2" t="n">
        <v>666</v>
      </c>
      <c r="DCX2" t="n">
        <v>667</v>
      </c>
      <c r="DCY2" t="n">
        <v>668</v>
      </c>
      <c r="DCZ2" t="n">
        <v>669</v>
      </c>
      <c r="DDA2" t="n">
        <v>670</v>
      </c>
      <c r="DDB2" t="n">
        <v>671</v>
      </c>
      <c r="DDC2" t="n">
        <v>672</v>
      </c>
      <c r="DDD2" t="n">
        <v>673</v>
      </c>
      <c r="DDE2" t="n">
        <v>674</v>
      </c>
      <c r="DDF2" t="n">
        <v>675</v>
      </c>
      <c r="DDG2" t="n">
        <v>676</v>
      </c>
      <c r="DDH2" t="n">
        <v>677</v>
      </c>
      <c r="DDI2" t="n">
        <v>678</v>
      </c>
      <c r="DDJ2" t="n">
        <v>679</v>
      </c>
      <c r="DDK2" t="n">
        <v>680</v>
      </c>
      <c r="DDL2" t="n">
        <v>681</v>
      </c>
      <c r="DDM2" t="n">
        <v>682</v>
      </c>
      <c r="DDN2" t="n">
        <v>683</v>
      </c>
      <c r="DDO2" t="n">
        <v>684</v>
      </c>
      <c r="DDP2" t="n">
        <v>685</v>
      </c>
      <c r="DDQ2" t="n">
        <v>686</v>
      </c>
      <c r="DDR2" t="n">
        <v>687</v>
      </c>
      <c r="DDS2" t="n">
        <v>688</v>
      </c>
      <c r="DDT2" t="n">
        <v>689</v>
      </c>
      <c r="DDU2" t="n">
        <v>690</v>
      </c>
      <c r="DDV2" t="n">
        <v>691</v>
      </c>
      <c r="DDW2" t="n">
        <v>692</v>
      </c>
      <c r="DDX2" t="n">
        <v>693</v>
      </c>
      <c r="DDY2" t="n">
        <v>694</v>
      </c>
      <c r="DDZ2" t="n">
        <v>695</v>
      </c>
      <c r="DEA2" t="n">
        <v>696</v>
      </c>
      <c r="DEB2" t="n">
        <v>697</v>
      </c>
      <c r="DEC2" t="n">
        <v>698</v>
      </c>
      <c r="DED2" t="n">
        <v>699</v>
      </c>
      <c r="DEE2" t="n">
        <v>700</v>
      </c>
      <c r="DEF2" t="n">
        <v>701</v>
      </c>
      <c r="DEG2" t="n">
        <v>702</v>
      </c>
      <c r="DEH2" t="n">
        <v>703</v>
      </c>
      <c r="DEI2" t="n">
        <v>704</v>
      </c>
      <c r="DEJ2" t="n">
        <v>705</v>
      </c>
      <c r="DEK2" t="n">
        <v>706</v>
      </c>
      <c r="DEL2" t="n">
        <v>707</v>
      </c>
      <c r="DEM2" t="n">
        <v>708</v>
      </c>
      <c r="DEN2" t="n">
        <v>709</v>
      </c>
      <c r="DEO2" t="n">
        <v>710</v>
      </c>
      <c r="DEP2" t="n">
        <v>711</v>
      </c>
      <c r="DEQ2" t="n">
        <v>712</v>
      </c>
      <c r="DER2" t="n">
        <v>713</v>
      </c>
      <c r="DES2" t="n">
        <v>714</v>
      </c>
      <c r="DET2" t="n">
        <v>715</v>
      </c>
      <c r="DEU2" t="n">
        <v>716</v>
      </c>
      <c r="DEV2" t="n">
        <v>717</v>
      </c>
      <c r="DEW2" t="n">
        <v>718</v>
      </c>
      <c r="DEX2" t="n">
        <v>719</v>
      </c>
      <c r="DEY2" t="n">
        <v>720</v>
      </c>
      <c r="DEZ2" t="n">
        <v>721</v>
      </c>
      <c r="DFA2" t="n">
        <v>722</v>
      </c>
      <c r="DFB2" t="n">
        <v>723</v>
      </c>
      <c r="DFC2" t="n">
        <v>724</v>
      </c>
      <c r="DFD2" t="n">
        <v>725</v>
      </c>
      <c r="DFE2" t="n">
        <v>726</v>
      </c>
      <c r="DFF2" t="n">
        <v>727</v>
      </c>
      <c r="DFG2" t="n">
        <v>728</v>
      </c>
      <c r="DFH2" t="n">
        <v>729</v>
      </c>
      <c r="DFI2" t="n">
        <v>730</v>
      </c>
      <c r="DFJ2" t="n">
        <v>731</v>
      </c>
      <c r="DFK2" t="n">
        <v>732</v>
      </c>
      <c r="DFL2" t="n">
        <v>733</v>
      </c>
      <c r="DFM2" t="n">
        <v>734</v>
      </c>
      <c r="DFN2" t="n">
        <v>735</v>
      </c>
      <c r="DFO2" t="n">
        <v>736</v>
      </c>
      <c r="DFP2" t="n">
        <v>737</v>
      </c>
      <c r="DFQ2" t="n">
        <v>738</v>
      </c>
      <c r="DFR2" t="n">
        <v>739</v>
      </c>
      <c r="DFS2" t="n">
        <v>740</v>
      </c>
      <c r="DFT2" t="n">
        <v>741</v>
      </c>
      <c r="DFU2" t="n">
        <v>742</v>
      </c>
      <c r="DFV2" t="n">
        <v>743</v>
      </c>
      <c r="DFW2" t="n">
        <v>744</v>
      </c>
      <c r="DFX2" t="n">
        <v>745</v>
      </c>
      <c r="DFY2" t="n">
        <v>746</v>
      </c>
      <c r="DFZ2" t="n">
        <v>747</v>
      </c>
      <c r="DGA2" t="n">
        <v>748</v>
      </c>
      <c r="DGB2" t="n">
        <v>749</v>
      </c>
      <c r="DGC2" t="n">
        <v>750</v>
      </c>
      <c r="DGD2" t="n">
        <v>751</v>
      </c>
      <c r="DGE2" t="n">
        <v>752</v>
      </c>
      <c r="DGF2" t="n">
        <v>753</v>
      </c>
      <c r="DGG2" t="n">
        <v>754</v>
      </c>
      <c r="DGH2" t="n">
        <v>755</v>
      </c>
      <c r="DGI2" t="n">
        <v>756</v>
      </c>
      <c r="DGJ2" t="n">
        <v>757</v>
      </c>
      <c r="DGK2" t="n">
        <v>758</v>
      </c>
      <c r="DGL2" t="n">
        <v>759</v>
      </c>
      <c r="DGM2" t="n">
        <v>760</v>
      </c>
      <c r="DGN2" t="n">
        <v>761</v>
      </c>
      <c r="DGO2" t="n">
        <v>762</v>
      </c>
      <c r="DGP2" t="n">
        <v>763</v>
      </c>
      <c r="DGQ2" t="n">
        <v>764</v>
      </c>
      <c r="DGR2" t="n">
        <v>765</v>
      </c>
      <c r="DGS2" t="n">
        <v>766</v>
      </c>
      <c r="DGT2" t="n">
        <v>767</v>
      </c>
      <c r="DGU2" t="n">
        <v>768</v>
      </c>
      <c r="DGV2" t="n">
        <v>769</v>
      </c>
      <c r="DGW2" t="n">
        <v>770</v>
      </c>
      <c r="DGX2" t="n">
        <v>771</v>
      </c>
      <c r="DGY2" t="n">
        <v>772</v>
      </c>
      <c r="DGZ2" t="n">
        <v>773</v>
      </c>
      <c r="DHA2" t="n">
        <v>774</v>
      </c>
      <c r="DHB2" t="n">
        <v>775</v>
      </c>
      <c r="DHC2" t="n">
        <v>776</v>
      </c>
      <c r="DHD2" t="n">
        <v>777</v>
      </c>
      <c r="DHE2" t="n">
        <v>778</v>
      </c>
      <c r="DHF2" t="n">
        <v>779</v>
      </c>
      <c r="DHG2" t="n">
        <v>780</v>
      </c>
      <c r="DHH2" t="n">
        <v>781</v>
      </c>
      <c r="DHI2" t="n">
        <v>782</v>
      </c>
      <c r="DHJ2" t="n">
        <v>783</v>
      </c>
      <c r="DHK2" t="n">
        <v>784</v>
      </c>
      <c r="DHL2" t="n">
        <v>785</v>
      </c>
      <c r="DHM2" t="n">
        <v>786</v>
      </c>
      <c r="DHN2" t="n">
        <v>787</v>
      </c>
      <c r="DHO2" t="n">
        <v>788</v>
      </c>
      <c r="DHP2" t="n">
        <v>789</v>
      </c>
      <c r="DHQ2" t="n">
        <v>790</v>
      </c>
      <c r="DHR2" t="n">
        <v>791</v>
      </c>
      <c r="DHS2" t="n">
        <v>792</v>
      </c>
      <c r="DHT2" t="n">
        <v>793</v>
      </c>
      <c r="DHU2" t="n">
        <v>794</v>
      </c>
      <c r="DHV2" t="n">
        <v>795</v>
      </c>
      <c r="DHW2" t="n">
        <v>796</v>
      </c>
      <c r="DHX2" t="n">
        <v>797</v>
      </c>
      <c r="DHY2" t="n">
        <v>798</v>
      </c>
      <c r="DHZ2" t="n">
        <v>799</v>
      </c>
      <c r="DIA2" t="n">
        <v>800</v>
      </c>
      <c r="DIB2" t="n">
        <v>801</v>
      </c>
      <c r="DIC2" t="n">
        <v>802</v>
      </c>
      <c r="DID2" t="n">
        <v>803</v>
      </c>
      <c r="DIE2" t="n">
        <v>804</v>
      </c>
      <c r="DIF2" t="n">
        <v>805</v>
      </c>
      <c r="DIG2" t="n">
        <v>806</v>
      </c>
      <c r="DIH2" t="n">
        <v>807</v>
      </c>
      <c r="DII2" t="n">
        <v>808</v>
      </c>
      <c r="DIJ2" t="n">
        <v>809</v>
      </c>
      <c r="DIK2" t="n">
        <v>810</v>
      </c>
      <c r="DIL2" t="n">
        <v>811</v>
      </c>
      <c r="DIM2" t="n">
        <v>812</v>
      </c>
      <c r="DIN2" t="n">
        <v>813</v>
      </c>
      <c r="DIO2" t="n">
        <v>814</v>
      </c>
      <c r="DIP2" t="n">
        <v>815</v>
      </c>
      <c r="DIQ2" t="n">
        <v>816</v>
      </c>
      <c r="DIR2" t="n">
        <v>817</v>
      </c>
      <c r="DIS2" t="n">
        <v>818</v>
      </c>
      <c r="DIT2" t="n">
        <v>819</v>
      </c>
      <c r="DIU2" t="n">
        <v>820</v>
      </c>
      <c r="DIV2" t="n">
        <v>821</v>
      </c>
      <c r="DIW2" t="n">
        <v>822</v>
      </c>
      <c r="DIX2" t="n">
        <v>823</v>
      </c>
      <c r="DIY2" t="n">
        <v>824</v>
      </c>
      <c r="DIZ2" t="n">
        <v>825</v>
      </c>
      <c r="DJA2" t="n">
        <v>826</v>
      </c>
      <c r="DJB2" t="n">
        <v>827</v>
      </c>
      <c r="DJC2" t="n">
        <v>828</v>
      </c>
      <c r="DJD2" t="n">
        <v>829</v>
      </c>
      <c r="DJE2" t="n">
        <v>830</v>
      </c>
      <c r="DJF2" t="n">
        <v>831</v>
      </c>
      <c r="DJG2" t="n">
        <v>832</v>
      </c>
      <c r="DJH2" t="n">
        <v>833</v>
      </c>
      <c r="DJI2" t="n">
        <v>834</v>
      </c>
      <c r="DJJ2" t="n">
        <v>835</v>
      </c>
      <c r="DJK2" t="n">
        <v>836</v>
      </c>
      <c r="DJL2" t="n">
        <v>837</v>
      </c>
      <c r="DJM2" t="n">
        <v>838</v>
      </c>
      <c r="DJN2" t="n">
        <v>839</v>
      </c>
      <c r="DJO2" t="n">
        <v>840</v>
      </c>
      <c r="DJP2" t="n">
        <v>841</v>
      </c>
      <c r="DJQ2" t="n">
        <v>842</v>
      </c>
      <c r="DJR2" t="n">
        <v>843</v>
      </c>
      <c r="DJS2" t="n">
        <v>844</v>
      </c>
      <c r="DJT2" t="n">
        <v>845</v>
      </c>
      <c r="DJU2" t="n">
        <v>846</v>
      </c>
      <c r="DJV2" t="n">
        <v>847</v>
      </c>
      <c r="DJW2" t="n">
        <v>848</v>
      </c>
      <c r="DJX2" t="n">
        <v>849</v>
      </c>
      <c r="DJY2" t="n">
        <v>850</v>
      </c>
      <c r="DJZ2" t="n">
        <v>851</v>
      </c>
      <c r="DKA2" t="n">
        <v>852</v>
      </c>
      <c r="DKB2" t="n">
        <v>853</v>
      </c>
      <c r="DKC2" t="n">
        <v>854</v>
      </c>
      <c r="DKD2" t="n">
        <v>855</v>
      </c>
      <c r="DKE2" t="n">
        <v>856</v>
      </c>
      <c r="DKF2" t="n">
        <v>857</v>
      </c>
      <c r="DKG2" t="n">
        <v>858</v>
      </c>
      <c r="DKH2" t="n">
        <v>859</v>
      </c>
      <c r="DKI2" t="n">
        <v>860</v>
      </c>
      <c r="DKJ2" t="n">
        <v>861</v>
      </c>
      <c r="DKK2" t="n">
        <v>862</v>
      </c>
      <c r="DKL2" t="n">
        <v>863</v>
      </c>
      <c r="DKM2" t="n">
        <v>864</v>
      </c>
      <c r="DKN2" t="n">
        <v>865</v>
      </c>
      <c r="DKO2" t="n">
        <v>866</v>
      </c>
      <c r="DKP2" t="n">
        <v>867</v>
      </c>
      <c r="DKQ2" t="n">
        <v>868</v>
      </c>
      <c r="DKR2" t="n">
        <v>869</v>
      </c>
      <c r="DKS2" t="n">
        <v>870</v>
      </c>
      <c r="DKT2" t="n">
        <v>871</v>
      </c>
      <c r="DKU2" t="n">
        <v>872</v>
      </c>
      <c r="DKV2" t="n">
        <v>873</v>
      </c>
      <c r="DKW2" t="n">
        <v>874</v>
      </c>
      <c r="DKX2" t="n">
        <v>875</v>
      </c>
      <c r="DKY2" t="n">
        <v>876</v>
      </c>
      <c r="DKZ2" t="n">
        <v>877</v>
      </c>
      <c r="DLA2" t="n">
        <v>878</v>
      </c>
      <c r="DLB2" t="n">
        <v>879</v>
      </c>
      <c r="DLC2" t="n">
        <v>880</v>
      </c>
      <c r="DLD2" t="n">
        <v>881</v>
      </c>
      <c r="DLE2" t="n">
        <v>882</v>
      </c>
      <c r="DLF2" t="n">
        <v>883</v>
      </c>
      <c r="DLG2" t="n">
        <v>884</v>
      </c>
      <c r="DLH2" t="n">
        <v>885</v>
      </c>
      <c r="DLI2" t="n">
        <v>886</v>
      </c>
      <c r="DLJ2" t="n">
        <v>887</v>
      </c>
      <c r="DLK2" t="n">
        <v>888</v>
      </c>
      <c r="DLL2" t="n">
        <v>889</v>
      </c>
      <c r="DLM2" t="n">
        <v>890</v>
      </c>
      <c r="DLN2" t="n">
        <v>891</v>
      </c>
      <c r="DLO2" t="n">
        <v>892</v>
      </c>
      <c r="DLP2" t="n">
        <v>893</v>
      </c>
      <c r="DLQ2" t="n">
        <v>894</v>
      </c>
      <c r="DLR2" t="n">
        <v>895</v>
      </c>
      <c r="DLS2" t="n">
        <v>896</v>
      </c>
      <c r="DLT2" t="n">
        <v>897</v>
      </c>
      <c r="DLU2" t="n">
        <v>898</v>
      </c>
      <c r="DLV2" t="n">
        <v>899</v>
      </c>
      <c r="DLW2" t="n">
        <v>900</v>
      </c>
      <c r="DLX2" t="n">
        <v>901</v>
      </c>
      <c r="DLY2" t="n">
        <v>902</v>
      </c>
      <c r="DLZ2" t="n">
        <v>903</v>
      </c>
      <c r="DMA2" t="n">
        <v>904</v>
      </c>
      <c r="DMB2" t="n">
        <v>905</v>
      </c>
      <c r="DMC2" t="n">
        <v>906</v>
      </c>
      <c r="DMD2" t="n">
        <v>907</v>
      </c>
      <c r="DME2" t="n">
        <v>908</v>
      </c>
      <c r="DMF2" t="n">
        <v>909</v>
      </c>
      <c r="DMG2" t="n">
        <v>910</v>
      </c>
      <c r="DMH2" t="n">
        <v>911</v>
      </c>
      <c r="DMI2" t="n">
        <v>912</v>
      </c>
      <c r="DMJ2" t="n">
        <v>913</v>
      </c>
      <c r="DMK2" t="n">
        <v>914</v>
      </c>
      <c r="DML2" t="n">
        <v>915</v>
      </c>
      <c r="DMM2" t="n">
        <v>916</v>
      </c>
      <c r="DMN2" t="n">
        <v>917</v>
      </c>
      <c r="DMO2" t="n">
        <v>918</v>
      </c>
      <c r="DMP2" t="n">
        <v>919</v>
      </c>
      <c r="DMQ2" t="n">
        <v>920</v>
      </c>
      <c r="DMR2" t="n">
        <v>921</v>
      </c>
      <c r="DMS2" t="n">
        <v>922</v>
      </c>
      <c r="DMT2" t="n">
        <v>923</v>
      </c>
      <c r="DMU2" t="n">
        <v>924</v>
      </c>
      <c r="DMV2" t="n">
        <v>925</v>
      </c>
      <c r="DMW2" t="n">
        <v>926</v>
      </c>
      <c r="DMX2" t="n">
        <v>927</v>
      </c>
      <c r="DMY2" t="n">
        <v>928</v>
      </c>
      <c r="DMZ2" t="n">
        <v>929</v>
      </c>
      <c r="DNA2" t="n">
        <v>930</v>
      </c>
      <c r="DNB2" t="n">
        <v>931</v>
      </c>
      <c r="DNC2" t="n">
        <v>932</v>
      </c>
      <c r="DND2" t="n">
        <v>933</v>
      </c>
      <c r="DNE2" t="n">
        <v>934</v>
      </c>
      <c r="DNF2" t="n">
        <v>935</v>
      </c>
      <c r="DNG2" t="n">
        <v>936</v>
      </c>
      <c r="DNH2" t="n">
        <v>937</v>
      </c>
      <c r="DNI2" t="n">
        <v>938</v>
      </c>
      <c r="DNJ2" t="n">
        <v>939</v>
      </c>
      <c r="DNK2" t="n">
        <v>940</v>
      </c>
      <c r="DNL2" t="n">
        <v>941</v>
      </c>
      <c r="DNM2" t="n">
        <v>942</v>
      </c>
      <c r="DNN2" t="n">
        <v>943</v>
      </c>
      <c r="DNO2" t="n">
        <v>944</v>
      </c>
      <c r="DNP2" t="n">
        <v>945</v>
      </c>
      <c r="DNQ2" t="n">
        <v>946</v>
      </c>
      <c r="DNR2" t="n">
        <v>947</v>
      </c>
      <c r="DNS2" t="n">
        <v>948</v>
      </c>
      <c r="DNT2" t="n">
        <v>949</v>
      </c>
      <c r="DNU2" t="n">
        <v>950</v>
      </c>
      <c r="DNV2" t="n">
        <v>951</v>
      </c>
      <c r="DNW2" t="n">
        <v>952</v>
      </c>
      <c r="DNX2" t="n">
        <v>953</v>
      </c>
      <c r="DNY2" t="n">
        <v>954</v>
      </c>
      <c r="DNZ2" t="n">
        <v>955</v>
      </c>
      <c r="DOA2" t="n">
        <v>956</v>
      </c>
      <c r="DOB2" t="n">
        <v>957</v>
      </c>
      <c r="DOC2" t="n">
        <v>958</v>
      </c>
      <c r="DOD2" t="n">
        <v>959</v>
      </c>
      <c r="DOE2" t="n">
        <v>960</v>
      </c>
      <c r="DOF2" t="n">
        <v>961</v>
      </c>
      <c r="DOG2" t="n">
        <v>962</v>
      </c>
      <c r="DOH2" t="n">
        <v>963</v>
      </c>
      <c r="DOI2" t="n">
        <v>964</v>
      </c>
      <c r="DOJ2" t="n">
        <v>965</v>
      </c>
      <c r="DOK2" t="n">
        <v>966</v>
      </c>
      <c r="DOL2" t="n">
        <v>967</v>
      </c>
      <c r="DOM2" t="n">
        <v>968</v>
      </c>
      <c r="DON2" t="n">
        <v>969</v>
      </c>
      <c r="DOO2" t="n">
        <v>970</v>
      </c>
      <c r="DOP2" t="n">
        <v>971</v>
      </c>
      <c r="DOQ2" t="n">
        <v>972</v>
      </c>
      <c r="DOR2" t="n">
        <v>973</v>
      </c>
      <c r="DOS2" t="n">
        <v>974</v>
      </c>
      <c r="DOT2" t="n">
        <v>975</v>
      </c>
      <c r="DOU2" t="n">
        <v>976</v>
      </c>
      <c r="DOV2" t="n">
        <v>977</v>
      </c>
      <c r="DOW2" t="n">
        <v>978</v>
      </c>
      <c r="DOX2" t="n">
        <v>979</v>
      </c>
      <c r="DOY2" t="n">
        <v>980</v>
      </c>
      <c r="DOZ2" t="n">
        <v>981</v>
      </c>
      <c r="DPA2" t="n">
        <v>982</v>
      </c>
      <c r="DPB2" t="n">
        <v>983</v>
      </c>
      <c r="DPC2" t="n">
        <v>984</v>
      </c>
      <c r="DPD2" t="n">
        <v>985</v>
      </c>
      <c r="DPE2" t="n">
        <v>986</v>
      </c>
      <c r="DPF2" t="n">
        <v>987</v>
      </c>
      <c r="DPG2" t="n">
        <v>988</v>
      </c>
      <c r="DPH2" t="n">
        <v>989</v>
      </c>
      <c r="DPI2" t="n">
        <v>990</v>
      </c>
      <c r="DPJ2" t="n">
        <v>991</v>
      </c>
      <c r="DPK2" t="n">
        <v>992</v>
      </c>
      <c r="DPL2" t="n">
        <v>993</v>
      </c>
      <c r="DPM2" t="n">
        <v>994</v>
      </c>
      <c r="DPN2" t="n">
        <v>995</v>
      </c>
      <c r="DPO2" t="n">
        <v>996</v>
      </c>
      <c r="DPP2" t="n">
        <v>997</v>
      </c>
      <c r="DPQ2" t="n">
        <v>998</v>
      </c>
      <c r="DPR2" t="n">
        <v>999</v>
      </c>
      <c r="DPS2" t="n">
        <v>1000</v>
      </c>
      <c r="DPT2" t="n">
        <v>1001</v>
      </c>
      <c r="DPU2" t="n">
        <v>1002</v>
      </c>
      <c r="DPV2" t="n">
        <v>1003</v>
      </c>
      <c r="DPW2" t="n">
        <v>1004</v>
      </c>
      <c r="DPX2" t="n">
        <v>1005</v>
      </c>
      <c r="DPY2" t="n">
        <v>1006</v>
      </c>
      <c r="DPZ2" t="n">
        <v>1007</v>
      </c>
      <c r="DQA2" t="n">
        <v>1008</v>
      </c>
      <c r="DQB2" t="n">
        <v>1009</v>
      </c>
      <c r="DQC2" t="n">
        <v>1010</v>
      </c>
      <c r="DQD2" t="n">
        <v>1011</v>
      </c>
      <c r="DQE2" t="n">
        <v>1012</v>
      </c>
      <c r="DQF2" t="n">
        <v>1013</v>
      </c>
      <c r="DQG2" t="n">
        <v>1014</v>
      </c>
      <c r="DQH2" t="n">
        <v>1015</v>
      </c>
      <c r="DQI2" t="n">
        <v>1016</v>
      </c>
      <c r="DQJ2" t="n">
        <v>1017</v>
      </c>
      <c r="DQK2" t="n">
        <v>1018</v>
      </c>
      <c r="DQL2" t="n">
        <v>1019</v>
      </c>
      <c r="DQM2" t="n">
        <v>1020</v>
      </c>
      <c r="DQN2" t="n">
        <v>1021</v>
      </c>
      <c r="DQO2" t="n">
        <v>1022</v>
      </c>
      <c r="DQP2" t="n">
        <v>1023</v>
      </c>
      <c r="DQQ2" t="n">
        <v>1024</v>
      </c>
      <c r="DQR2" t="n">
        <v>1025</v>
      </c>
      <c r="DQS2" t="n">
        <v>1026</v>
      </c>
      <c r="DQT2" t="n">
        <v>1027</v>
      </c>
      <c r="DQU2" t="n">
        <v>1028</v>
      </c>
      <c r="DQV2" t="n">
        <v>1029</v>
      </c>
      <c r="DQW2" t="n">
        <v>1030</v>
      </c>
      <c r="DQX2" t="n">
        <v>1031</v>
      </c>
      <c r="DQY2" t="n">
        <v>1032</v>
      </c>
      <c r="DQZ2" t="n">
        <v>1033</v>
      </c>
      <c r="DRA2" t="n">
        <v>1034</v>
      </c>
      <c r="DRB2" t="n">
        <v>1035</v>
      </c>
      <c r="DRC2" t="n">
        <v>1036</v>
      </c>
      <c r="DRD2" t="n">
        <v>1037</v>
      </c>
      <c r="DRE2" t="n">
        <v>1038</v>
      </c>
      <c r="DRF2" t="n">
        <v>1039</v>
      </c>
      <c r="DRG2" t="n">
        <v>1040</v>
      </c>
      <c r="DRH2" t="n">
        <v>1041</v>
      </c>
      <c r="DRI2" t="n">
        <v>1042</v>
      </c>
      <c r="DRJ2" t="n">
        <v>1043</v>
      </c>
      <c r="DRK2" t="n">
        <v>1044</v>
      </c>
      <c r="DRL2" t="n">
        <v>1045</v>
      </c>
      <c r="DRM2" t="n">
        <v>1046</v>
      </c>
      <c r="DRN2" t="n">
        <v>1047</v>
      </c>
      <c r="DRO2" t="n">
        <v>1048</v>
      </c>
      <c r="DRP2" t="n">
        <v>1049</v>
      </c>
      <c r="DRQ2" t="n">
        <v>1050</v>
      </c>
      <c r="DRR2" t="n">
        <v>1051</v>
      </c>
      <c r="DRS2" t="n">
        <v>1052</v>
      </c>
      <c r="DRT2" t="n">
        <v>1053</v>
      </c>
      <c r="DRU2" t="n">
        <v>1054</v>
      </c>
      <c r="DRV2" t="n">
        <v>1055</v>
      </c>
      <c r="DRW2" t="n">
        <v>1056</v>
      </c>
      <c r="DRX2" t="n">
        <v>1057</v>
      </c>
      <c r="DRY2" t="n">
        <v>1058</v>
      </c>
      <c r="DRZ2" t="n">
        <v>1059</v>
      </c>
      <c r="DSA2" t="n">
        <v>1060</v>
      </c>
      <c r="DSB2" t="n">
        <v>1061</v>
      </c>
      <c r="DSC2" t="n">
        <v>1062</v>
      </c>
      <c r="DSD2" t="n">
        <v>1063</v>
      </c>
      <c r="DSE2" t="n">
        <v>1064</v>
      </c>
      <c r="DSF2" t="n">
        <v>1065</v>
      </c>
      <c r="DSG2" t="n">
        <v>1066</v>
      </c>
      <c r="DSH2" t="n">
        <v>1067</v>
      </c>
      <c r="DSI2" t="n">
        <v>1068</v>
      </c>
      <c r="DSJ2" t="n">
        <v>1069</v>
      </c>
      <c r="DSK2" t="n">
        <v>1070</v>
      </c>
      <c r="DSL2" t="n">
        <v>1071</v>
      </c>
      <c r="DSM2" t="n">
        <v>1072</v>
      </c>
      <c r="DSN2" t="n">
        <v>1073</v>
      </c>
      <c r="DSO2" t="n">
        <v>1074</v>
      </c>
      <c r="DSP2" t="n">
        <v>1075</v>
      </c>
      <c r="DSQ2" t="n">
        <v>1076</v>
      </c>
      <c r="DSR2" t="n">
        <v>1077</v>
      </c>
      <c r="DSS2" t="n">
        <v>1078</v>
      </c>
      <c r="DST2" t="n">
        <v>1079</v>
      </c>
      <c r="DSU2" t="n">
        <v>1080</v>
      </c>
      <c r="DSV2" t="n">
        <v>1081</v>
      </c>
      <c r="DSW2" t="n">
        <v>1082</v>
      </c>
      <c r="DSX2" t="n">
        <v>1083</v>
      </c>
      <c r="DSY2" t="n">
        <v>1084</v>
      </c>
      <c r="DSZ2" t="n">
        <v>1085</v>
      </c>
      <c r="DTA2" t="n">
        <v>1086</v>
      </c>
      <c r="DTB2" t="n">
        <v>1087</v>
      </c>
      <c r="DTC2" t="n">
        <v>1088</v>
      </c>
      <c r="DTD2" t="n">
        <v>1089</v>
      </c>
      <c r="DTE2" t="n">
        <v>1090</v>
      </c>
      <c r="DTF2" t="n">
        <v>1091</v>
      </c>
      <c r="DTG2" t="n">
        <v>1092</v>
      </c>
      <c r="DTH2" t="n">
        <v>1093</v>
      </c>
      <c r="DTI2" t="n">
        <v>1094</v>
      </c>
      <c r="DTJ2" t="n">
        <v>1095</v>
      </c>
      <c r="DTK2" t="n">
        <v>1096</v>
      </c>
      <c r="DTL2" t="n">
        <v>1097</v>
      </c>
      <c r="DTM2" t="n">
        <v>1098</v>
      </c>
      <c r="DTN2" t="n">
        <v>1099</v>
      </c>
      <c r="DTO2" t="n">
        <v>1100</v>
      </c>
      <c r="DTP2" t="n">
        <v>1101</v>
      </c>
      <c r="DTQ2" t="n">
        <v>1102</v>
      </c>
      <c r="DTR2" t="n">
        <v>1103</v>
      </c>
      <c r="DTS2" t="n">
        <v>1104</v>
      </c>
      <c r="DTT2" t="n">
        <v>1105</v>
      </c>
      <c r="DTU2" t="n">
        <v>1106</v>
      </c>
      <c r="DTV2" t="n">
        <v>1107</v>
      </c>
      <c r="DTW2" t="n">
        <v>1108</v>
      </c>
      <c r="DTX2" t="n">
        <v>1109</v>
      </c>
      <c r="DTY2" t="n">
        <v>1110</v>
      </c>
      <c r="DTZ2" t="n">
        <v>1111</v>
      </c>
      <c r="DUA2" t="n">
        <v>1112</v>
      </c>
      <c r="DUB2" t="n">
        <v>1113</v>
      </c>
      <c r="DUC2" t="n">
        <v>1114</v>
      </c>
      <c r="DUD2" t="n">
        <v>1115</v>
      </c>
      <c r="DUE2" t="n">
        <v>1116</v>
      </c>
      <c r="DUF2" t="n">
        <v>1117</v>
      </c>
      <c r="DUG2" t="n">
        <v>1118</v>
      </c>
      <c r="DUH2" t="n">
        <v>1119</v>
      </c>
      <c r="DUI2" t="n">
        <v>1120</v>
      </c>
      <c r="DUJ2" t="n">
        <v>1121</v>
      </c>
      <c r="DUK2" t="n">
        <v>1122</v>
      </c>
      <c r="DUL2" t="n">
        <v>1123</v>
      </c>
      <c r="DUM2" t="n">
        <v>1124</v>
      </c>
      <c r="DUN2" t="n">
        <v>1125</v>
      </c>
      <c r="DUO2" t="n">
        <v>1126</v>
      </c>
      <c r="DUP2" t="n">
        <v>1127</v>
      </c>
      <c r="DUQ2" t="n">
        <v>1128</v>
      </c>
      <c r="DUR2" t="n">
        <v>1129</v>
      </c>
      <c r="DUS2" t="n">
        <v>1130</v>
      </c>
      <c r="DUT2" t="n">
        <v>1131</v>
      </c>
      <c r="DUU2" t="n">
        <v>1132</v>
      </c>
      <c r="DUV2" t="n">
        <v>1133</v>
      </c>
      <c r="DUW2" t="n">
        <v>1134</v>
      </c>
      <c r="DUX2" t="n">
        <v>1135</v>
      </c>
      <c r="DUY2" t="n">
        <v>1136</v>
      </c>
      <c r="DUZ2" t="n">
        <v>1137</v>
      </c>
      <c r="DVA2" t="n">
        <v>1138</v>
      </c>
      <c r="DVB2" t="n">
        <v>1139</v>
      </c>
      <c r="DVC2" t="n">
        <v>1140</v>
      </c>
      <c r="DVD2" t="n">
        <v>1141</v>
      </c>
      <c r="DVE2" t="n">
        <v>1142</v>
      </c>
      <c r="DVF2" t="n">
        <v>1143</v>
      </c>
      <c r="DVG2" t="n">
        <v>1144</v>
      </c>
      <c r="DVH2" t="n">
        <v>1145</v>
      </c>
      <c r="DVI2" t="n">
        <v>1146</v>
      </c>
      <c r="DVJ2" t="n">
        <v>1147</v>
      </c>
      <c r="DVK2" t="n">
        <v>1148</v>
      </c>
      <c r="DVL2" t="n">
        <v>1149</v>
      </c>
      <c r="DVM2" t="n">
        <v>1150</v>
      </c>
      <c r="DVN2" t="n">
        <v>1151</v>
      </c>
      <c r="DVO2" t="n">
        <v>1152</v>
      </c>
      <c r="DVP2" t="n">
        <v>1153</v>
      </c>
      <c r="DVQ2" t="n">
        <v>1154</v>
      </c>
      <c r="DVR2" t="n">
        <v>1155</v>
      </c>
      <c r="DVS2" t="n">
        <v>1156</v>
      </c>
      <c r="DVT2" t="n">
        <v>1157</v>
      </c>
      <c r="DVU2" t="n">
        <v>1158</v>
      </c>
      <c r="DVV2" t="n">
        <v>1159</v>
      </c>
      <c r="DVW2" t="n">
        <v>1160</v>
      </c>
      <c r="DVX2" t="n">
        <v>1161</v>
      </c>
      <c r="DVY2" t="n">
        <v>1162</v>
      </c>
      <c r="DVZ2" t="n">
        <v>1163</v>
      </c>
      <c r="DWA2" t="n">
        <v>1164</v>
      </c>
      <c r="DWB2" t="n">
        <v>1165</v>
      </c>
      <c r="DWC2" t="n">
        <v>1166</v>
      </c>
      <c r="DWD2" t="n">
        <v>1167</v>
      </c>
      <c r="DWE2" t="n">
        <v>1168</v>
      </c>
      <c r="DWF2" t="n">
        <v>1169</v>
      </c>
      <c r="DWG2" t="n">
        <v>1170</v>
      </c>
      <c r="DWH2" t="n">
        <v>1171</v>
      </c>
      <c r="DWI2" t="n">
        <v>1172</v>
      </c>
      <c r="DWJ2" t="n">
        <v>1173</v>
      </c>
      <c r="DWK2" t="n">
        <v>1174</v>
      </c>
      <c r="DWL2" t="n">
        <v>1175</v>
      </c>
      <c r="DWM2" t="n">
        <v>1176</v>
      </c>
      <c r="DWN2" t="n">
        <v>1177</v>
      </c>
      <c r="DWO2" t="n">
        <v>1178</v>
      </c>
      <c r="DWP2" t="n">
        <v>1179</v>
      </c>
      <c r="DWQ2" t="n">
        <v>1180</v>
      </c>
      <c r="DWR2" t="n">
        <v>1181</v>
      </c>
      <c r="DWS2" t="n">
        <v>1182</v>
      </c>
      <c r="DWT2" t="n">
        <v>1183</v>
      </c>
      <c r="DWU2" t="n">
        <v>1184</v>
      </c>
      <c r="DWV2" t="n">
        <v>1185</v>
      </c>
      <c r="DWW2" t="n">
        <v>1186</v>
      </c>
      <c r="DWX2" t="n">
        <v>1187</v>
      </c>
      <c r="DWY2" t="n">
        <v>1188</v>
      </c>
      <c r="DWZ2" t="n">
        <v>1189</v>
      </c>
      <c r="DXA2" t="n">
        <v>1190</v>
      </c>
      <c r="DXB2" t="n">
        <v>1191</v>
      </c>
      <c r="DXC2" t="n">
        <v>1192</v>
      </c>
      <c r="DXD2" t="n">
        <v>1193</v>
      </c>
      <c r="DXE2" t="n">
        <v>1194</v>
      </c>
      <c r="DXF2" t="n">
        <v>1195</v>
      </c>
      <c r="DXG2" t="n">
        <v>1196</v>
      </c>
      <c r="DXH2" t="n">
        <v>1197</v>
      </c>
      <c r="DXI2" t="n">
        <v>1198</v>
      </c>
      <c r="DXJ2" t="n">
        <v>1199</v>
      </c>
      <c r="DXK2" t="n">
        <v>1200</v>
      </c>
      <c r="DXL2" t="n">
        <v>1201</v>
      </c>
      <c r="DXM2" t="n">
        <v>1202</v>
      </c>
      <c r="DXN2" t="n">
        <v>1203</v>
      </c>
      <c r="DXO2" t="n">
        <v>1204</v>
      </c>
      <c r="DXP2" t="n">
        <v>1205</v>
      </c>
      <c r="DXQ2" t="n">
        <v>1206</v>
      </c>
      <c r="DXR2" t="n">
        <v>1207</v>
      </c>
      <c r="DXS2" t="n">
        <v>1208</v>
      </c>
      <c r="DXT2" t="n">
        <v>1209</v>
      </c>
      <c r="DXU2" t="n">
        <v>1210</v>
      </c>
      <c r="DXV2" t="n">
        <v>1211</v>
      </c>
      <c r="DXW2" t="n">
        <v>1212</v>
      </c>
      <c r="DXX2" t="n">
        <v>1213</v>
      </c>
      <c r="DXY2" t="n">
        <v>1214</v>
      </c>
      <c r="DXZ2" t="n">
        <v>1215</v>
      </c>
      <c r="DYA2" t="n">
        <v>1216</v>
      </c>
      <c r="DYB2" t="n">
        <v>1217</v>
      </c>
      <c r="DYC2" t="n">
        <v>1218</v>
      </c>
      <c r="DYD2" t="n">
        <v>1219</v>
      </c>
      <c r="DYE2" t="n">
        <v>1220</v>
      </c>
      <c r="DYF2" t="n">
        <v>1221</v>
      </c>
      <c r="DYG2" t="n">
        <v>1222</v>
      </c>
      <c r="DYH2" t="n">
        <v>1223</v>
      </c>
      <c r="DYI2" t="n">
        <v>1224</v>
      </c>
      <c r="DYJ2" t="n">
        <v>1225</v>
      </c>
      <c r="DYK2" t="n">
        <v>1226</v>
      </c>
      <c r="DYL2" t="n">
        <v>1227</v>
      </c>
      <c r="DYM2" t="n">
        <v>1228</v>
      </c>
      <c r="DYN2" t="n">
        <v>1229</v>
      </c>
      <c r="DYO2" t="n">
        <v>1230</v>
      </c>
      <c r="DYP2" t="n">
        <v>1231</v>
      </c>
      <c r="DYQ2" t="n">
        <v>1232</v>
      </c>
      <c r="DYR2" t="n">
        <v>1233</v>
      </c>
      <c r="DYS2" t="n">
        <v>1234</v>
      </c>
      <c r="DYT2" t="n">
        <v>1235</v>
      </c>
      <c r="DYU2" t="n">
        <v>1236</v>
      </c>
      <c r="DYV2" t="n">
        <v>1237</v>
      </c>
      <c r="DYW2" t="n">
        <v>1238</v>
      </c>
      <c r="DYX2" t="n">
        <v>1239</v>
      </c>
      <c r="DYY2" t="n">
        <v>1240</v>
      </c>
      <c r="DYZ2" t="n">
        <v>1241</v>
      </c>
      <c r="DZA2" t="n">
        <v>1242</v>
      </c>
      <c r="DZB2" t="n">
        <v>1243</v>
      </c>
      <c r="DZC2" t="n">
        <v>1244</v>
      </c>
      <c r="DZD2" t="n">
        <v>1245</v>
      </c>
      <c r="DZE2" t="n">
        <v>1246</v>
      </c>
      <c r="DZF2" t="n">
        <v>1247</v>
      </c>
      <c r="DZG2" t="n">
        <v>1248</v>
      </c>
      <c r="DZH2" t="n">
        <v>1249</v>
      </c>
      <c r="DZI2" t="n">
        <v>1250</v>
      </c>
      <c r="DZJ2" t="n">
        <v>1251</v>
      </c>
      <c r="DZK2" t="n">
        <v>1252</v>
      </c>
      <c r="DZL2" t="n">
        <v>1253</v>
      </c>
      <c r="DZM2" t="n">
        <v>1254</v>
      </c>
      <c r="DZN2" t="n">
        <v>1255</v>
      </c>
      <c r="DZO2" t="n">
        <v>1256</v>
      </c>
      <c r="DZP2" t="n">
        <v>1257</v>
      </c>
      <c r="DZQ2" t="n">
        <v>1258</v>
      </c>
      <c r="DZR2" t="n">
        <v>1259</v>
      </c>
      <c r="DZS2" t="n">
        <v>1260</v>
      </c>
      <c r="DZT2" t="n">
        <v>1261</v>
      </c>
      <c r="DZU2" t="n">
        <v>1262</v>
      </c>
      <c r="DZV2" t="n">
        <v>1263</v>
      </c>
      <c r="DZW2" t="n">
        <v>1264</v>
      </c>
      <c r="DZX2" t="n">
        <v>1265</v>
      </c>
      <c r="DZY2" t="n">
        <v>1266</v>
      </c>
      <c r="DZZ2" t="n">
        <v>1267</v>
      </c>
      <c r="EAA2" t="n">
        <v>1268</v>
      </c>
      <c r="EAB2" t="n">
        <v>1269</v>
      </c>
      <c r="EAC2" t="n">
        <v>1270</v>
      </c>
      <c r="EAD2" t="n">
        <v>1271</v>
      </c>
      <c r="EAE2" t="n">
        <v>1272</v>
      </c>
      <c r="EAF2" t="n">
        <v>1273</v>
      </c>
      <c r="EAG2" t="n">
        <v>1274</v>
      </c>
      <c r="EAH2" t="n">
        <v>1275</v>
      </c>
      <c r="EAI2" t="n">
        <v>1276</v>
      </c>
      <c r="EAJ2" t="n">
        <v>1277</v>
      </c>
      <c r="EAK2" t="n">
        <v>1278</v>
      </c>
      <c r="EAL2" t="n">
        <v>1279</v>
      </c>
      <c r="EAM2" t="n">
        <v>1280</v>
      </c>
      <c r="EAN2" t="n">
        <v>1281</v>
      </c>
      <c r="EAO2" t="n">
        <v>1282</v>
      </c>
      <c r="EAP2" t="n">
        <v>1283</v>
      </c>
      <c r="EAQ2" t="n">
        <v>1284</v>
      </c>
      <c r="EAR2" t="n">
        <v>1285</v>
      </c>
      <c r="EAS2" t="n">
        <v>1286</v>
      </c>
      <c r="EAT2" t="n">
        <v>1287</v>
      </c>
      <c r="EAU2" t="n">
        <v>1288</v>
      </c>
      <c r="EAV2" t="n">
        <v>1289</v>
      </c>
      <c r="EAW2" t="n">
        <v>1290</v>
      </c>
      <c r="EAX2" t="n">
        <v>1291</v>
      </c>
      <c r="EAY2" t="n">
        <v>1292</v>
      </c>
      <c r="EAZ2" t="n">
        <v>1293</v>
      </c>
      <c r="EBA2" t="n">
        <v>1294</v>
      </c>
      <c r="EBB2" t="n">
        <v>1295</v>
      </c>
      <c r="EBC2" t="n">
        <v>1296</v>
      </c>
      <c r="EBD2" t="n">
        <v>1297</v>
      </c>
      <c r="EBE2" t="n">
        <v>1298</v>
      </c>
      <c r="EBF2" t="n">
        <v>1299</v>
      </c>
      <c r="EBG2" t="n">
        <v>1300</v>
      </c>
      <c r="EBH2" t="n">
        <v>1301</v>
      </c>
      <c r="EBI2" t="n">
        <v>1302</v>
      </c>
      <c r="EBJ2" t="n">
        <v>1303</v>
      </c>
      <c r="EBK2" t="n">
        <v>1304</v>
      </c>
      <c r="EBL2" t="n">
        <v>1305</v>
      </c>
      <c r="EBM2" t="n">
        <v>1306</v>
      </c>
      <c r="EBN2" t="n">
        <v>1307</v>
      </c>
      <c r="EBO2" t="n">
        <v>1308</v>
      </c>
      <c r="EBP2" t="n">
        <v>1309</v>
      </c>
      <c r="EBQ2" t="n">
        <v>1310</v>
      </c>
      <c r="EBR2" t="n">
        <v>1311</v>
      </c>
      <c r="EBS2" t="n">
        <v>1312</v>
      </c>
      <c r="EBT2" t="n">
        <v>1313</v>
      </c>
      <c r="EBU2" t="n">
        <v>1314</v>
      </c>
      <c r="EBV2" t="n">
        <v>1315</v>
      </c>
      <c r="EBW2" t="n">
        <v>1316</v>
      </c>
      <c r="EBX2" t="n">
        <v>1317</v>
      </c>
      <c r="EBY2" t="n">
        <v>1318</v>
      </c>
      <c r="EBZ2" t="n">
        <v>1319</v>
      </c>
      <c r="ECA2" t="n">
        <v>1320</v>
      </c>
      <c r="ECB2" t="n">
        <v>1321</v>
      </c>
      <c r="ECC2" t="n">
        <v>1322</v>
      </c>
      <c r="ECD2" t="n">
        <v>1323</v>
      </c>
      <c r="ECE2" t="n">
        <v>1324</v>
      </c>
      <c r="ECF2" t="n">
        <v>1325</v>
      </c>
      <c r="ECG2" t="n">
        <v>1326</v>
      </c>
      <c r="ECH2" t="n">
        <v>1327</v>
      </c>
      <c r="ECI2" t="n">
        <v>1328</v>
      </c>
      <c r="ECJ2" t="n">
        <v>1329</v>
      </c>
      <c r="ECK2" t="n">
        <v>1330</v>
      </c>
      <c r="ECL2" t="n">
        <v>1331</v>
      </c>
      <c r="ECM2" t="n">
        <v>1332</v>
      </c>
      <c r="ECN2" t="n">
        <v>1333</v>
      </c>
      <c r="ECO2" t="n">
        <v>1334</v>
      </c>
      <c r="ECP2" t="n">
        <v>1335</v>
      </c>
      <c r="ECQ2" t="n">
        <v>1336</v>
      </c>
      <c r="ECR2" t="n">
        <v>1337</v>
      </c>
      <c r="ECS2" t="n">
        <v>1338</v>
      </c>
      <c r="ECT2" t="n">
        <v>1339</v>
      </c>
      <c r="ECU2" t="n">
        <v>1340</v>
      </c>
      <c r="ECV2" t="n">
        <v>1341</v>
      </c>
      <c r="ECW2" t="n">
        <v>1342</v>
      </c>
      <c r="ECX2" t="n">
        <v>1343</v>
      </c>
      <c r="ECY2" t="n">
        <v>1344</v>
      </c>
      <c r="ECZ2" t="n">
        <v>1345</v>
      </c>
      <c r="EDA2" t="n">
        <v>1346</v>
      </c>
      <c r="EDB2" t="n">
        <v>1347</v>
      </c>
      <c r="EDC2" t="n">
        <v>1348</v>
      </c>
      <c r="EDD2" t="n">
        <v>1349</v>
      </c>
      <c r="EDE2" t="n">
        <v>1350</v>
      </c>
      <c r="EDF2" t="n">
        <v>1351</v>
      </c>
      <c r="EDG2" t="n">
        <v>1352</v>
      </c>
      <c r="EDH2" t="n">
        <v>1353</v>
      </c>
      <c r="EDI2" t="n">
        <v>1354</v>
      </c>
      <c r="EDJ2" t="n">
        <v>1355</v>
      </c>
      <c r="EDK2" t="n">
        <v>1356</v>
      </c>
      <c r="EDL2" t="n">
        <v>1357</v>
      </c>
      <c r="EDM2" t="n">
        <v>1358</v>
      </c>
      <c r="EDN2" t="n">
        <v>1359</v>
      </c>
      <c r="EDO2" t="n">
        <v>1360</v>
      </c>
      <c r="EDP2" t="n">
        <v>1361</v>
      </c>
      <c r="EDQ2" t="n">
        <v>1362</v>
      </c>
      <c r="EDR2" t="n">
        <v>1363</v>
      </c>
      <c r="EDS2" t="n">
        <v>1364</v>
      </c>
      <c r="EDT2" t="n">
        <v>1365</v>
      </c>
      <c r="EDU2" t="n">
        <v>1366</v>
      </c>
      <c r="EDV2" t="n">
        <v>1367</v>
      </c>
      <c r="EDW2" t="n">
        <v>1368</v>
      </c>
      <c r="EDX2" t="n">
        <v>1369</v>
      </c>
      <c r="EDY2" t="n">
        <v>1370</v>
      </c>
      <c r="EDZ2" t="n">
        <v>1371</v>
      </c>
      <c r="EEA2" t="n">
        <v>1372</v>
      </c>
      <c r="EEB2" t="n">
        <v>1373</v>
      </c>
      <c r="EEC2" t="n">
        <v>1374</v>
      </c>
      <c r="EED2" t="n">
        <v>1375</v>
      </c>
      <c r="EEE2" t="n">
        <v>1376</v>
      </c>
      <c r="EEF2" t="n">
        <v>1377</v>
      </c>
      <c r="EEG2" t="n">
        <v>1378</v>
      </c>
      <c r="EEH2" t="n">
        <v>1379</v>
      </c>
      <c r="EEI2" t="n">
        <v>1380</v>
      </c>
      <c r="EEJ2" t="n">
        <v>1381</v>
      </c>
      <c r="EEK2" t="n">
        <v>1382</v>
      </c>
      <c r="EEL2" t="n">
        <v>1383</v>
      </c>
      <c r="EEM2" t="n">
        <v>1384</v>
      </c>
      <c r="EEN2" t="n">
        <v>1385</v>
      </c>
      <c r="EEO2" t="n">
        <v>1386</v>
      </c>
      <c r="EEP2" t="n">
        <v>1387</v>
      </c>
      <c r="EEQ2" t="n">
        <v>1388</v>
      </c>
      <c r="EER2" t="n">
        <v>1389</v>
      </c>
      <c r="EES2" t="n">
        <v>1390</v>
      </c>
      <c r="EET2" t="n">
        <v>1391</v>
      </c>
      <c r="EEU2" t="n">
        <v>1392</v>
      </c>
      <c r="EEV2" t="n">
        <v>1393</v>
      </c>
      <c r="EEW2" t="n">
        <v>1394</v>
      </c>
      <c r="EEX2" t="n">
        <v>1395</v>
      </c>
      <c r="EEY2" t="n">
        <v>1396</v>
      </c>
      <c r="EEZ2" t="n">
        <v>1397</v>
      </c>
      <c r="EFA2" t="n">
        <v>1398</v>
      </c>
      <c r="EFB2" t="n">
        <v>1399</v>
      </c>
      <c r="EFC2" t="n">
        <v>1400</v>
      </c>
      <c r="EFD2" t="n">
        <v>1401</v>
      </c>
      <c r="EFE2" t="n">
        <v>1402</v>
      </c>
      <c r="EFF2" t="n">
        <v>1403</v>
      </c>
      <c r="EFG2" t="n">
        <v>1404</v>
      </c>
      <c r="EFH2" t="n">
        <v>1405</v>
      </c>
      <c r="EFI2" t="n">
        <v>1406</v>
      </c>
      <c r="EFJ2" t="n">
        <v>1407</v>
      </c>
      <c r="EFK2" t="n">
        <v>1408</v>
      </c>
      <c r="EFL2" t="n">
        <v>1409</v>
      </c>
      <c r="EFM2" t="n">
        <v>1410</v>
      </c>
      <c r="EFN2" t="n">
        <v>1411</v>
      </c>
      <c r="EFO2" t="n">
        <v>1412</v>
      </c>
      <c r="EFP2" t="n">
        <v>1413</v>
      </c>
      <c r="EFQ2" t="n">
        <v>1414</v>
      </c>
      <c r="EFR2" t="n">
        <v>1415</v>
      </c>
      <c r="EFS2" t="n">
        <v>1416</v>
      </c>
      <c r="EFT2" t="n">
        <v>1417</v>
      </c>
      <c r="EFU2" t="n">
        <v>1418</v>
      </c>
      <c r="EFV2" t="n">
        <v>1419</v>
      </c>
      <c r="EFW2" t="n">
        <v>1420</v>
      </c>
      <c r="EFX2" t="n">
        <v>1421</v>
      </c>
      <c r="EFY2" t="n">
        <v>1422</v>
      </c>
      <c r="EFZ2" t="n">
        <v>1423</v>
      </c>
      <c r="EGA2" t="n">
        <v>1424</v>
      </c>
      <c r="EGB2" t="n">
        <v>1425</v>
      </c>
      <c r="EGC2" t="n">
        <v>1426</v>
      </c>
      <c r="EGD2" t="n">
        <v>1427</v>
      </c>
      <c r="EGE2" t="n">
        <v>1428</v>
      </c>
      <c r="EGF2" t="n">
        <v>1429</v>
      </c>
      <c r="EGG2" t="n">
        <v>1430</v>
      </c>
      <c r="EGH2" t="n">
        <v>1431</v>
      </c>
      <c r="EGI2" t="n">
        <v>1432</v>
      </c>
      <c r="EGJ2" t="n">
        <v>1433</v>
      </c>
      <c r="EGK2" t="n">
        <v>1434</v>
      </c>
      <c r="EGL2" t="n">
        <v>1435</v>
      </c>
      <c r="EGM2" t="n">
        <v>1436</v>
      </c>
      <c r="EGN2" t="n">
        <v>1437</v>
      </c>
      <c r="EGO2" t="n">
        <v>1438</v>
      </c>
      <c r="EGP2" t="n">
        <v>1439</v>
      </c>
      <c r="EGQ2" t="n">
        <v>1440</v>
      </c>
      <c r="EGR2" t="n">
        <v>1441</v>
      </c>
      <c r="EGS2" t="n">
        <v>1442</v>
      </c>
      <c r="EGT2" t="n">
        <v>1443</v>
      </c>
      <c r="EGU2" t="n">
        <v>1444</v>
      </c>
      <c r="EGV2" t="n">
        <v>1445</v>
      </c>
      <c r="EGW2" t="n">
        <v>1446</v>
      </c>
      <c r="EGX2" t="n">
        <v>1447</v>
      </c>
      <c r="EGY2" t="n">
        <v>1448</v>
      </c>
      <c r="EGZ2" t="n">
        <v>1449</v>
      </c>
      <c r="EHA2" t="n">
        <v>1450</v>
      </c>
      <c r="EHB2" t="n">
        <v>1451</v>
      </c>
      <c r="EHC2" t="n">
        <v>1452</v>
      </c>
      <c r="EHD2" t="n">
        <v>1453</v>
      </c>
      <c r="EHE2" t="n">
        <v>1454</v>
      </c>
      <c r="EHF2" t="n">
        <v>1455</v>
      </c>
      <c r="EHG2" t="n">
        <v>1456</v>
      </c>
      <c r="EHH2" t="n">
        <v>1457</v>
      </c>
      <c r="EHI2" t="n">
        <v>1458</v>
      </c>
      <c r="EHJ2" t="n">
        <v>1459</v>
      </c>
      <c r="EHK2" t="n">
        <v>1460</v>
      </c>
      <c r="EHL2" t="n">
        <v>1461</v>
      </c>
      <c r="EHM2" t="n">
        <v>1462</v>
      </c>
      <c r="EHN2" t="n">
        <v>1463</v>
      </c>
      <c r="EHO2" t="n">
        <v>1464</v>
      </c>
      <c r="EHP2" t="n">
        <v>1465</v>
      </c>
      <c r="EHQ2" t="n">
        <v>1466</v>
      </c>
      <c r="EHR2" t="n">
        <v>1467</v>
      </c>
      <c r="EHS2" t="n">
        <v>1468</v>
      </c>
      <c r="EHT2" t="n">
        <v>1469</v>
      </c>
      <c r="EHU2" t="n">
        <v>1470</v>
      </c>
      <c r="EHV2" t="n">
        <v>1471</v>
      </c>
      <c r="EHW2" t="n">
        <v>1472</v>
      </c>
      <c r="EHX2" t="n">
        <v>1473</v>
      </c>
      <c r="EHY2" t="n">
        <v>1474</v>
      </c>
      <c r="EHZ2" t="n">
        <v>1475</v>
      </c>
      <c r="EIA2" t="n">
        <v>1476</v>
      </c>
      <c r="EIB2" t="n">
        <v>1477</v>
      </c>
      <c r="EIC2" t="n">
        <v>1478</v>
      </c>
      <c r="EID2" t="n">
        <v>1479</v>
      </c>
      <c r="EIE2" t="n">
        <v>1480</v>
      </c>
      <c r="EIF2" t="n">
        <v>1481</v>
      </c>
      <c r="EIG2" t="n">
        <v>1482</v>
      </c>
      <c r="EIH2" t="n">
        <v>1483</v>
      </c>
      <c r="EII2" t="n">
        <v>1484</v>
      </c>
      <c r="EIJ2" t="n">
        <v>1485</v>
      </c>
      <c r="EIK2" t="n">
        <v>1486</v>
      </c>
      <c r="EIL2" t="n">
        <v>1487</v>
      </c>
      <c r="EIM2" t="n">
        <v>1488</v>
      </c>
      <c r="EIN2" t="n">
        <v>1489</v>
      </c>
      <c r="EIO2" t="n">
        <v>1490</v>
      </c>
      <c r="EIP2" t="n">
        <v>1491</v>
      </c>
      <c r="EIQ2" t="n">
        <v>1492</v>
      </c>
      <c r="EIR2" t="n">
        <v>1493</v>
      </c>
      <c r="EIS2" t="n">
        <v>1494</v>
      </c>
      <c r="EIT2" t="n">
        <v>1495</v>
      </c>
      <c r="EIU2" t="n">
        <v>1496</v>
      </c>
      <c r="EIV2" t="n">
        <v>1497</v>
      </c>
      <c r="EIW2" t="n">
        <v>1498</v>
      </c>
      <c r="EIX2" t="n">
        <v>1499</v>
      </c>
      <c r="EIY2" t="n">
        <v>1500</v>
      </c>
      <c r="EIZ2" t="n">
        <v>1501</v>
      </c>
      <c r="EJA2" t="n">
        <v>1502</v>
      </c>
      <c r="EJB2" t="n">
        <v>1503</v>
      </c>
      <c r="EJC2" t="n">
        <v>1504</v>
      </c>
      <c r="EJD2" t="n">
        <v>1505</v>
      </c>
      <c r="EJE2" t="n">
        <v>1506</v>
      </c>
      <c r="EJF2" t="n">
        <v>1507</v>
      </c>
      <c r="EJG2" t="n">
        <v>1508</v>
      </c>
      <c r="EJH2" t="n">
        <v>1509</v>
      </c>
      <c r="EJI2" t="n">
        <v>1510</v>
      </c>
      <c r="EJJ2" t="n">
        <v>1511</v>
      </c>
      <c r="EJK2" t="n">
        <v>1512</v>
      </c>
      <c r="EJL2" t="n">
        <v>1513</v>
      </c>
      <c r="EJM2" t="n">
        <v>1514</v>
      </c>
      <c r="EJN2" t="n">
        <v>1515</v>
      </c>
      <c r="EJO2" t="n">
        <v>1516</v>
      </c>
      <c r="EJP2" t="n">
        <v>1517</v>
      </c>
      <c r="EJQ2" t="n">
        <v>1518</v>
      </c>
      <c r="EJR2" t="n">
        <v>1519</v>
      </c>
      <c r="EJS2" t="n">
        <v>1520</v>
      </c>
      <c r="EJT2" t="n">
        <v>1521</v>
      </c>
      <c r="EJU2" t="n">
        <v>1522</v>
      </c>
      <c r="EJV2" t="n">
        <v>1523</v>
      </c>
      <c r="EJW2" t="n">
        <v>1524</v>
      </c>
      <c r="EJX2" t="n">
        <v>1525</v>
      </c>
      <c r="EJY2" t="n">
        <v>1526</v>
      </c>
      <c r="EJZ2" t="n">
        <v>1527</v>
      </c>
      <c r="EKA2" t="n">
        <v>1528</v>
      </c>
      <c r="EKB2" t="n">
        <v>1529</v>
      </c>
      <c r="EKC2" t="n">
        <v>1530</v>
      </c>
      <c r="EKD2" t="n">
        <v>1531</v>
      </c>
      <c r="EKE2" t="n">
        <v>1532</v>
      </c>
      <c r="EKF2" t="n">
        <v>1533</v>
      </c>
      <c r="EKG2" t="n">
        <v>1534</v>
      </c>
      <c r="EKH2" t="n">
        <v>1535</v>
      </c>
      <c r="EKI2" t="n">
        <v>1536</v>
      </c>
      <c r="EKJ2" t="n">
        <v>1537</v>
      </c>
      <c r="EKK2" t="n">
        <v>1538</v>
      </c>
      <c r="EKL2" t="n">
        <v>1539</v>
      </c>
      <c r="EKM2" t="n">
        <v>1540</v>
      </c>
      <c r="EKN2" t="n">
        <v>1541</v>
      </c>
      <c r="EKO2" t="n">
        <v>1542</v>
      </c>
      <c r="EKP2" t="n">
        <v>1543</v>
      </c>
      <c r="EKQ2" t="n">
        <v>1544</v>
      </c>
      <c r="EKR2" t="n">
        <v>1545</v>
      </c>
      <c r="EKS2" t="n">
        <v>1546</v>
      </c>
      <c r="EKT2" t="n">
        <v>1547</v>
      </c>
      <c r="EKU2" t="n">
        <v>1548</v>
      </c>
      <c r="EKV2" t="n">
        <v>1549</v>
      </c>
      <c r="EKW2" t="n">
        <v>1550</v>
      </c>
      <c r="EKX2" t="n">
        <v>1551</v>
      </c>
      <c r="EKY2" t="n">
        <v>1552</v>
      </c>
      <c r="EKZ2" t="n">
        <v>1553</v>
      </c>
      <c r="ELA2" t="n">
        <v>1554</v>
      </c>
      <c r="ELB2" t="n">
        <v>1555</v>
      </c>
      <c r="ELC2" t="n">
        <v>1556</v>
      </c>
      <c r="ELD2" t="n">
        <v>1557</v>
      </c>
      <c r="ELE2" t="n">
        <v>1558</v>
      </c>
      <c r="ELF2" t="n">
        <v>1559</v>
      </c>
      <c r="ELG2" t="n">
        <v>1560</v>
      </c>
      <c r="ELH2" t="n">
        <v>1561</v>
      </c>
      <c r="ELI2" t="n">
        <v>1562</v>
      </c>
      <c r="ELJ2" t="n">
        <v>1563</v>
      </c>
      <c r="ELK2" t="n">
        <v>1564</v>
      </c>
      <c r="ELL2" t="n">
        <v>1565</v>
      </c>
      <c r="ELM2" t="n">
        <v>1566</v>
      </c>
      <c r="ELN2" t="n">
        <v>1567</v>
      </c>
      <c r="ELO2" t="n">
        <v>1568</v>
      </c>
      <c r="ELP2" t="n">
        <v>1569</v>
      </c>
      <c r="ELQ2" t="n">
        <v>1570</v>
      </c>
      <c r="ELR2" t="n">
        <v>1571</v>
      </c>
      <c r="ELS2" t="n">
        <v>1572</v>
      </c>
      <c r="ELT2" t="n">
        <v>1573</v>
      </c>
      <c r="ELU2" t="n">
        <v>1574</v>
      </c>
      <c r="ELV2" t="n">
        <v>1575</v>
      </c>
      <c r="ELW2" t="n">
        <v>1576</v>
      </c>
      <c r="ELX2" t="n">
        <v>1577</v>
      </c>
      <c r="ELY2" t="n">
        <v>1578</v>
      </c>
      <c r="ELZ2" t="n">
        <v>1579</v>
      </c>
      <c r="EMA2" t="n">
        <v>1580</v>
      </c>
      <c r="EMB2" t="n">
        <v>1581</v>
      </c>
      <c r="EMC2" t="n">
        <v>1582</v>
      </c>
      <c r="EMD2" t="n">
        <v>1583</v>
      </c>
      <c r="EME2" t="n">
        <v>1584</v>
      </c>
      <c r="EMF2" t="n">
        <v>1585</v>
      </c>
      <c r="EMG2" t="n">
        <v>1586</v>
      </c>
      <c r="EMH2" t="n">
        <v>1587</v>
      </c>
      <c r="EMI2" t="n">
        <v>1588</v>
      </c>
      <c r="EMJ2" t="n">
        <v>1589</v>
      </c>
      <c r="EMK2" t="n">
        <v>1590</v>
      </c>
      <c r="EML2" t="n">
        <v>1591</v>
      </c>
      <c r="EMM2" t="n">
        <v>1592</v>
      </c>
      <c r="EMN2" t="n">
        <v>1593</v>
      </c>
      <c r="EMO2" t="n">
        <v>1594</v>
      </c>
      <c r="EMP2" t="n">
        <v>1595</v>
      </c>
      <c r="EMQ2" t="n">
        <v>1596</v>
      </c>
      <c r="EMR2" t="n">
        <v>1597</v>
      </c>
      <c r="EMS2" t="n">
        <v>1598</v>
      </c>
      <c r="EMT2" t="n">
        <v>1599</v>
      </c>
      <c r="EMU2" t="n">
        <v>1600</v>
      </c>
      <c r="EMV2" t="n">
        <v>1601</v>
      </c>
      <c r="EMW2" t="n">
        <v>1602</v>
      </c>
      <c r="EMX2" t="n">
        <v>1603</v>
      </c>
      <c r="EMY2" t="n">
        <v>1604</v>
      </c>
      <c r="EMZ2" t="n">
        <v>1605</v>
      </c>
      <c r="ENA2" t="n">
        <v>1606</v>
      </c>
      <c r="ENB2" t="n">
        <v>1607</v>
      </c>
      <c r="ENC2" t="n">
        <v>1608</v>
      </c>
      <c r="END2" t="n">
        <v>1609</v>
      </c>
      <c r="ENE2" t="n">
        <v>1610</v>
      </c>
      <c r="ENF2" t="n">
        <v>1611</v>
      </c>
      <c r="ENG2" t="n">
        <v>1612</v>
      </c>
      <c r="ENH2" t="n">
        <v>1613</v>
      </c>
      <c r="ENI2" t="n">
        <v>1614</v>
      </c>
      <c r="ENJ2" t="n">
        <v>1615</v>
      </c>
      <c r="ENK2" t="n">
        <v>1616</v>
      </c>
      <c r="ENL2" t="n">
        <v>1617</v>
      </c>
      <c r="ENM2" t="n">
        <v>1618</v>
      </c>
      <c r="ENN2" t="n">
        <v>1619</v>
      </c>
      <c r="ENO2" t="n">
        <v>1620</v>
      </c>
      <c r="ENP2" t="n">
        <v>1621</v>
      </c>
      <c r="ENQ2" t="n">
        <v>1622</v>
      </c>
      <c r="ENR2" t="n">
        <v>1623</v>
      </c>
      <c r="ENS2" t="n">
        <v>1624</v>
      </c>
      <c r="ENT2" t="n">
        <v>1625</v>
      </c>
      <c r="ENU2" t="n">
        <v>1626</v>
      </c>
      <c r="ENV2" t="n">
        <v>1627</v>
      </c>
      <c r="ENW2" t="n">
        <v>1628</v>
      </c>
      <c r="ENX2" t="n">
        <v>1629</v>
      </c>
      <c r="ENY2" t="n">
        <v>1630</v>
      </c>
      <c r="ENZ2" t="n">
        <v>1631</v>
      </c>
      <c r="EOA2" t="n">
        <v>1632</v>
      </c>
      <c r="EOB2" t="n">
        <v>1633</v>
      </c>
      <c r="EOC2" t="n">
        <v>1634</v>
      </c>
      <c r="EOD2" t="n">
        <v>1635</v>
      </c>
      <c r="EOE2" t="n">
        <v>1636</v>
      </c>
      <c r="EOF2" t="n">
        <v>1637</v>
      </c>
      <c r="EOG2" t="n">
        <v>1638</v>
      </c>
      <c r="EOH2" t="n">
        <v>1639</v>
      </c>
      <c r="EOI2" t="n">
        <v>1640</v>
      </c>
      <c r="EOJ2" t="n">
        <v>1641</v>
      </c>
      <c r="EOK2" t="n">
        <v>1642</v>
      </c>
      <c r="EOL2" t="n">
        <v>1643</v>
      </c>
      <c r="EOM2" t="n">
        <v>1644</v>
      </c>
      <c r="EON2" t="n">
        <v>1645</v>
      </c>
      <c r="EOO2" t="n">
        <v>1646</v>
      </c>
      <c r="EOP2" t="n">
        <v>1647</v>
      </c>
      <c r="EOQ2" t="n">
        <v>1648</v>
      </c>
      <c r="EOR2" t="n">
        <v>1649</v>
      </c>
      <c r="EOS2" t="n">
        <v>1650</v>
      </c>
      <c r="EOT2" t="n">
        <v>1651</v>
      </c>
      <c r="EOU2" t="n">
        <v>1652</v>
      </c>
      <c r="EOV2" t="n">
        <v>1653</v>
      </c>
      <c r="EOW2" t="n">
        <v>1654</v>
      </c>
      <c r="EOX2" t="n">
        <v>1655</v>
      </c>
      <c r="EOY2" t="n">
        <v>1656</v>
      </c>
      <c r="EOZ2" t="n">
        <v>1657</v>
      </c>
      <c r="EPA2" t="n">
        <v>1658</v>
      </c>
      <c r="EPB2" t="n">
        <v>1659</v>
      </c>
      <c r="EPC2" t="n">
        <v>1660</v>
      </c>
      <c r="EPD2" t="n">
        <v>1661</v>
      </c>
      <c r="EPE2" t="n">
        <v>1662</v>
      </c>
      <c r="EPF2" t="n">
        <v>1663</v>
      </c>
      <c r="EPG2" t="n">
        <v>1664</v>
      </c>
      <c r="EPH2" t="n">
        <v>1665</v>
      </c>
      <c r="EPI2" t="n">
        <v>1666</v>
      </c>
      <c r="EPJ2" t="n">
        <v>1667</v>
      </c>
      <c r="EPK2" t="n">
        <v>1668</v>
      </c>
      <c r="EPL2" t="n">
        <v>1669</v>
      </c>
      <c r="EPM2" t="n">
        <v>1670</v>
      </c>
      <c r="EPN2" t="n">
        <v>1671</v>
      </c>
      <c r="EPO2" t="n">
        <v>1672</v>
      </c>
      <c r="EPP2" t="n">
        <v>1673</v>
      </c>
      <c r="EPQ2" t="n">
        <v>1674</v>
      </c>
      <c r="EPR2" t="n">
        <v>1675</v>
      </c>
      <c r="EPS2" t="n">
        <v>1676</v>
      </c>
      <c r="EPT2" t="n">
        <v>1677</v>
      </c>
      <c r="EPU2" t="n">
        <v>1678</v>
      </c>
      <c r="EPV2" t="n">
        <v>1679</v>
      </c>
      <c r="EPW2" t="n">
        <v>1680</v>
      </c>
      <c r="EPX2" t="n">
        <v>1681</v>
      </c>
      <c r="EPY2" t="n">
        <v>1682</v>
      </c>
      <c r="EPZ2" t="n">
        <v>1683</v>
      </c>
      <c r="EQA2" t="n">
        <v>1684</v>
      </c>
      <c r="EQB2" t="n">
        <v>1685</v>
      </c>
      <c r="EQC2" t="n">
        <v>1686</v>
      </c>
      <c r="EQD2" t="n">
        <v>1687</v>
      </c>
      <c r="EQE2" t="n">
        <v>1688</v>
      </c>
      <c r="EQF2" t="n">
        <v>1689</v>
      </c>
      <c r="EQG2" t="n">
        <v>1690</v>
      </c>
      <c r="EQH2" t="n">
        <v>1691</v>
      </c>
      <c r="EQI2" t="n">
        <v>1692</v>
      </c>
      <c r="EQJ2" t="n">
        <v>1693</v>
      </c>
      <c r="EQK2" t="n">
        <v>1694</v>
      </c>
      <c r="EQL2" t="n">
        <v>1695</v>
      </c>
      <c r="EQM2" t="n">
        <v>1696</v>
      </c>
      <c r="EQN2" t="n">
        <v>1697</v>
      </c>
      <c r="EQO2" t="n">
        <v>1698</v>
      </c>
      <c r="EQP2" t="n">
        <v>1699</v>
      </c>
      <c r="EQQ2" t="n">
        <v>1700</v>
      </c>
      <c r="EQR2" t="n">
        <v>1701</v>
      </c>
      <c r="EQS2" t="n">
        <v>1702</v>
      </c>
      <c r="EQT2" t="n">
        <v>1703</v>
      </c>
      <c r="EQU2" t="n">
        <v>1704</v>
      </c>
      <c r="EQV2" t="n">
        <v>1705</v>
      </c>
      <c r="EQW2" t="n">
        <v>1706</v>
      </c>
      <c r="EQX2" t="n">
        <v>1707</v>
      </c>
      <c r="EQY2" t="n">
        <v>1708</v>
      </c>
      <c r="EQZ2" t="n">
        <v>1709</v>
      </c>
      <c r="ERA2" t="n">
        <v>1710</v>
      </c>
      <c r="ERB2" t="n">
        <v>1711</v>
      </c>
      <c r="ERC2" t="n">
        <v>1712</v>
      </c>
      <c r="ERD2" t="n">
        <v>1713</v>
      </c>
      <c r="ERE2" t="n">
        <v>1714</v>
      </c>
      <c r="ERF2" t="n">
        <v>1715</v>
      </c>
      <c r="ERG2" t="n">
        <v>1716</v>
      </c>
      <c r="ERH2" t="n">
        <v>1717</v>
      </c>
      <c r="ERI2" t="n">
        <v>1718</v>
      </c>
      <c r="ERJ2" t="n">
        <v>1719</v>
      </c>
      <c r="ERK2" t="n">
        <v>1720</v>
      </c>
      <c r="ERL2" t="n">
        <v>1721</v>
      </c>
      <c r="ERM2" t="n">
        <v>1722</v>
      </c>
      <c r="ERN2" t="n">
        <v>1723</v>
      </c>
      <c r="ERO2" t="n">
        <v>1724</v>
      </c>
      <c r="ERP2" t="n">
        <v>1725</v>
      </c>
      <c r="ERQ2" t="n">
        <v>1726</v>
      </c>
      <c r="ERR2" t="n">
        <v>1727</v>
      </c>
      <c r="ERS2" t="n">
        <v>1728</v>
      </c>
      <c r="ERT2" t="n">
        <v>1729</v>
      </c>
      <c r="ERU2" t="n">
        <v>1730</v>
      </c>
      <c r="ERV2" t="n">
        <v>1731</v>
      </c>
      <c r="ERW2" t="n">
        <v>1732</v>
      </c>
      <c r="ERX2" t="n">
        <v>1733</v>
      </c>
      <c r="ERY2" t="n">
        <v>1734</v>
      </c>
      <c r="ERZ2" t="n">
        <v>1735</v>
      </c>
      <c r="ESA2" t="n">
        <v>1736</v>
      </c>
      <c r="ESB2" t="n">
        <v>1737</v>
      </c>
      <c r="ESC2" t="n">
        <v>1738</v>
      </c>
      <c r="ESD2" t="n">
        <v>1739</v>
      </c>
      <c r="ESE2" t="n">
        <v>1740</v>
      </c>
      <c r="ESF2" t="n">
        <v>1741</v>
      </c>
      <c r="ESG2" t="n">
        <v>1742</v>
      </c>
      <c r="ESH2" t="n">
        <v>1743</v>
      </c>
      <c r="ESI2" t="n">
        <v>1744</v>
      </c>
      <c r="ESJ2" t="n">
        <v>1745</v>
      </c>
      <c r="ESK2" t="n">
        <v>1746</v>
      </c>
      <c r="ESL2" t="n">
        <v>1747</v>
      </c>
      <c r="ESM2" t="n">
        <v>1748</v>
      </c>
      <c r="ESN2" t="n">
        <v>1749</v>
      </c>
      <c r="ESO2" t="n">
        <v>1750</v>
      </c>
      <c r="ESP2" t="n">
        <v>1751</v>
      </c>
      <c r="ESQ2" t="n">
        <v>1752</v>
      </c>
      <c r="ESR2" t="n">
        <v>1753</v>
      </c>
      <c r="ESS2" t="n">
        <v>1754</v>
      </c>
      <c r="EST2" t="n">
        <v>1755</v>
      </c>
      <c r="ESU2" t="n">
        <v>1756</v>
      </c>
      <c r="ESV2" t="n">
        <v>1757</v>
      </c>
      <c r="ESW2" t="n">
        <v>1758</v>
      </c>
      <c r="ESX2" t="n">
        <v>1759</v>
      </c>
      <c r="ESY2" t="n">
        <v>1760</v>
      </c>
      <c r="ESZ2" t="n">
        <v>1761</v>
      </c>
      <c r="ETA2" t="n">
        <v>1762</v>
      </c>
      <c r="ETB2" t="n">
        <v>1763</v>
      </c>
      <c r="ETC2" t="n">
        <v>1764</v>
      </c>
      <c r="ETD2" t="n">
        <v>1765</v>
      </c>
      <c r="ETE2" t="n">
        <v>1766</v>
      </c>
      <c r="ETF2" t="n">
        <v>1767</v>
      </c>
      <c r="ETG2" t="n">
        <v>1768</v>
      </c>
      <c r="ETH2" t="n">
        <v>1769</v>
      </c>
      <c r="ETI2" t="n">
        <v>1770</v>
      </c>
      <c r="ETJ2" t="n">
        <v>1771</v>
      </c>
      <c r="ETK2" t="n">
        <v>1772</v>
      </c>
      <c r="ETL2" t="n">
        <v>1773</v>
      </c>
      <c r="ETM2" t="n">
        <v>1774</v>
      </c>
      <c r="ETN2" t="n">
        <v>1775</v>
      </c>
      <c r="ETO2" t="n">
        <v>1776</v>
      </c>
      <c r="ETP2" t="n">
        <v>1777</v>
      </c>
      <c r="ETQ2" t="n">
        <v>1778</v>
      </c>
      <c r="ETR2" t="n">
        <v>1779</v>
      </c>
      <c r="ETS2" t="n">
        <v>1780</v>
      </c>
      <c r="ETT2" t="n">
        <v>1781</v>
      </c>
      <c r="ETU2" t="n">
        <v>1782</v>
      </c>
      <c r="ETV2" t="n">
        <v>1783</v>
      </c>
      <c r="ETW2" t="n">
        <v>1784</v>
      </c>
      <c r="ETX2" t="n">
        <v>1785</v>
      </c>
      <c r="ETY2" t="n">
        <v>1786</v>
      </c>
      <c r="ETZ2" t="n">
        <v>1787</v>
      </c>
      <c r="EUA2" t="n">
        <v>1788</v>
      </c>
      <c r="EUB2" t="n">
        <v>1789</v>
      </c>
      <c r="EUC2" t="n">
        <v>1790</v>
      </c>
      <c r="EUD2" t="n">
        <v>1791</v>
      </c>
      <c r="EUE2" t="n">
        <v>1792</v>
      </c>
      <c r="EUF2" t="n">
        <v>1793</v>
      </c>
      <c r="EUG2" t="n">
        <v>1794</v>
      </c>
      <c r="EUH2" t="n">
        <v>1795</v>
      </c>
      <c r="EUI2" t="n">
        <v>1796</v>
      </c>
      <c r="EUJ2" t="n">
        <v>1797</v>
      </c>
      <c r="EUK2" t="n">
        <v>1798</v>
      </c>
      <c r="EUL2" t="n">
        <v>1799</v>
      </c>
      <c r="EUM2" t="n">
        <v>1800</v>
      </c>
      <c r="EUN2" t="n">
        <v>1801</v>
      </c>
      <c r="EUO2" t="n">
        <v>1802</v>
      </c>
      <c r="EUP2" t="n">
        <v>1803</v>
      </c>
      <c r="EUQ2" t="n">
        <v>1804</v>
      </c>
      <c r="EUR2" t="n">
        <v>1805</v>
      </c>
      <c r="EUS2" t="n">
        <v>1806</v>
      </c>
      <c r="EUT2" t="n">
        <v>1807</v>
      </c>
      <c r="EUU2" t="n">
        <v>1808</v>
      </c>
      <c r="EUV2" t="n">
        <v>1809</v>
      </c>
      <c r="EUW2" t="n">
        <v>1810</v>
      </c>
      <c r="EUX2" t="n">
        <v>1811</v>
      </c>
      <c r="EUY2" t="n">
        <v>1812</v>
      </c>
      <c r="EUZ2" t="n">
        <v>1813</v>
      </c>
      <c r="EVA2" t="n">
        <v>1814</v>
      </c>
      <c r="EVB2" t="n">
        <v>1815</v>
      </c>
      <c r="EVC2" t="n">
        <v>1816</v>
      </c>
      <c r="EVD2" t="n">
        <v>1817</v>
      </c>
      <c r="EVE2" t="n">
        <v>1818</v>
      </c>
      <c r="EVF2" t="n">
        <v>1819</v>
      </c>
      <c r="EVG2" t="n">
        <v>1820</v>
      </c>
      <c r="EVH2" t="n">
        <v>1821</v>
      </c>
      <c r="EVI2" t="n">
        <v>1822</v>
      </c>
      <c r="EVJ2" t="n">
        <v>1823</v>
      </c>
      <c r="EVK2" t="n">
        <v>1824</v>
      </c>
      <c r="EVL2" t="n">
        <v>1825</v>
      </c>
      <c r="EVM2" t="n">
        <v>1826</v>
      </c>
      <c r="EVN2" t="n">
        <v>1827</v>
      </c>
      <c r="EVO2" t="n">
        <v>1828</v>
      </c>
      <c r="EVP2" t="n">
        <v>1829</v>
      </c>
      <c r="EVQ2" t="n">
        <v>1830</v>
      </c>
      <c r="EVR2" t="n">
        <v>1831</v>
      </c>
      <c r="EVS2" t="n">
        <v>1832</v>
      </c>
      <c r="EVT2" t="n">
        <v>1833</v>
      </c>
      <c r="EVU2" t="n">
        <v>1834</v>
      </c>
      <c r="EVV2" t="n">
        <v>1835</v>
      </c>
      <c r="EVW2" t="n">
        <v>1836</v>
      </c>
      <c r="EVX2" t="n">
        <v>1837</v>
      </c>
      <c r="EVY2" t="n">
        <v>1838</v>
      </c>
      <c r="EVZ2" t="n">
        <v>1839</v>
      </c>
      <c r="EWA2" t="n">
        <v>1840</v>
      </c>
      <c r="EWB2" t="n">
        <v>1841</v>
      </c>
      <c r="EWC2" t="n">
        <v>1842</v>
      </c>
      <c r="EWD2" t="n">
        <v>1843</v>
      </c>
      <c r="EWE2" t="n">
        <v>1844</v>
      </c>
      <c r="EWF2" t="n">
        <v>1845</v>
      </c>
      <c r="EWG2" t="n">
        <v>1846</v>
      </c>
      <c r="EWH2" t="n">
        <v>1847</v>
      </c>
      <c r="EWI2" t="n">
        <v>1848</v>
      </c>
      <c r="EWJ2" t="n">
        <v>1849</v>
      </c>
      <c r="EWK2" t="n">
        <v>1850</v>
      </c>
      <c r="EWL2" t="n">
        <v>1851</v>
      </c>
      <c r="EWM2" t="n">
        <v>1852</v>
      </c>
      <c r="EWN2" t="n">
        <v>1853</v>
      </c>
      <c r="EWO2" t="n">
        <v>1854</v>
      </c>
      <c r="EWP2" t="n">
        <v>1855</v>
      </c>
      <c r="EWQ2" t="n">
        <v>1856</v>
      </c>
      <c r="EWR2" t="n">
        <v>1857</v>
      </c>
      <c r="EWS2" t="n">
        <v>1858</v>
      </c>
      <c r="EWT2" t="n">
        <v>1859</v>
      </c>
      <c r="EWU2" t="n">
        <v>1860</v>
      </c>
      <c r="EWV2" t="n">
        <v>1861</v>
      </c>
      <c r="EWW2" t="n">
        <v>1862</v>
      </c>
      <c r="EWX2" t="n">
        <v>1863</v>
      </c>
      <c r="EWY2" t="n">
        <v>1864</v>
      </c>
      <c r="EWZ2" t="n">
        <v>1865</v>
      </c>
      <c r="EXA2" t="n">
        <v>1866</v>
      </c>
      <c r="EXB2" t="n">
        <v>1867</v>
      </c>
      <c r="EXC2" t="n">
        <v>1868</v>
      </c>
      <c r="EXD2" t="n">
        <v>1869</v>
      </c>
      <c r="EXE2" t="n">
        <v>1870</v>
      </c>
      <c r="EXF2" t="n">
        <v>1871</v>
      </c>
      <c r="EXG2" t="n">
        <v>1872</v>
      </c>
      <c r="EXH2" t="n">
        <v>1873</v>
      </c>
      <c r="EXI2" t="n">
        <v>1874</v>
      </c>
      <c r="EXJ2" t="n">
        <v>1875</v>
      </c>
      <c r="EXK2" t="n">
        <v>1876</v>
      </c>
      <c r="EXL2" t="n">
        <v>1877</v>
      </c>
      <c r="EXM2" t="n">
        <v>1878</v>
      </c>
      <c r="EXN2" t="n">
        <v>1879</v>
      </c>
      <c r="EXO2" t="n">
        <v>1880</v>
      </c>
      <c r="EXP2" t="n">
        <v>1881</v>
      </c>
      <c r="EXQ2" t="n">
        <v>1882</v>
      </c>
      <c r="EXR2" t="n">
        <v>1883</v>
      </c>
      <c r="EXS2" t="n">
        <v>1884</v>
      </c>
      <c r="EXT2" t="n">
        <v>1885</v>
      </c>
      <c r="EXU2" t="n">
        <v>1886</v>
      </c>
      <c r="EXV2" t="n">
        <v>1887</v>
      </c>
      <c r="EXW2" t="n">
        <v>1888</v>
      </c>
      <c r="EXX2" t="n">
        <v>1889</v>
      </c>
      <c r="EXY2" t="n">
        <v>1890</v>
      </c>
      <c r="EXZ2" t="n">
        <v>1891</v>
      </c>
      <c r="EYA2" t="n">
        <v>1892</v>
      </c>
      <c r="EYB2" t="n">
        <v>1893</v>
      </c>
      <c r="EYC2" t="n">
        <v>1894</v>
      </c>
      <c r="EYD2" t="n">
        <v>1895</v>
      </c>
      <c r="EYE2" t="n">
        <v>1896</v>
      </c>
      <c r="EYF2" t="n">
        <v>1897</v>
      </c>
      <c r="EYG2" t="n">
        <v>1898</v>
      </c>
      <c r="EYH2" t="n">
        <v>1899</v>
      </c>
      <c r="EYI2" t="n">
        <v>1900</v>
      </c>
      <c r="EYJ2" t="n">
        <v>1901</v>
      </c>
      <c r="EYK2" t="n">
        <v>1902</v>
      </c>
      <c r="EYL2" t="n">
        <v>1903</v>
      </c>
      <c r="EYM2" t="n">
        <v>1904</v>
      </c>
      <c r="EYN2" t="n">
        <v>1905</v>
      </c>
      <c r="EYO2" t="n">
        <v>1906</v>
      </c>
      <c r="EYP2" t="n">
        <v>1907</v>
      </c>
      <c r="EYQ2" t="n">
        <v>1908</v>
      </c>
      <c r="EYR2" t="n">
        <v>1909</v>
      </c>
      <c r="EYS2" t="n">
        <v>1910</v>
      </c>
      <c r="EYT2" t="n">
        <v>1911</v>
      </c>
      <c r="EYU2" t="n">
        <v>1912</v>
      </c>
      <c r="EYV2" t="n">
        <v>1913</v>
      </c>
      <c r="EYW2" t="n">
        <v>1914</v>
      </c>
      <c r="EYX2" t="n">
        <v>1915</v>
      </c>
      <c r="EYY2" t="n">
        <v>1916</v>
      </c>
      <c r="EYZ2" t="n">
        <v>1917</v>
      </c>
      <c r="EZA2" t="n">
        <v>1918</v>
      </c>
      <c r="EZB2" t="n">
        <v>1919</v>
      </c>
      <c r="EZC2" t="n">
        <v>1920</v>
      </c>
      <c r="EZD2" t="n">
        <v>1921</v>
      </c>
      <c r="EZE2" t="n">
        <v>1922</v>
      </c>
      <c r="EZF2" t="n">
        <v>1923</v>
      </c>
      <c r="EZG2" t="n">
        <v>1924</v>
      </c>
      <c r="EZH2" t="n">
        <v>1925</v>
      </c>
      <c r="EZI2" t="n">
        <v>1926</v>
      </c>
      <c r="EZJ2" t="n">
        <v>1927</v>
      </c>
      <c r="EZK2" t="n">
        <v>1928</v>
      </c>
      <c r="EZL2" t="n">
        <v>1929</v>
      </c>
      <c r="EZM2" t="n">
        <v>1930</v>
      </c>
      <c r="EZN2" t="n">
        <v>1931</v>
      </c>
      <c r="EZO2" t="n">
        <v>1932</v>
      </c>
      <c r="EZP2" t="n">
        <v>1933</v>
      </c>
      <c r="EZQ2" t="n">
        <v>1934</v>
      </c>
      <c r="EZR2" t="n">
        <v>1935</v>
      </c>
      <c r="EZS2" t="n">
        <v>1936</v>
      </c>
      <c r="EZT2" t="n">
        <v>1937</v>
      </c>
      <c r="EZU2" t="n">
        <v>1938</v>
      </c>
      <c r="EZV2" t="n">
        <v>1939</v>
      </c>
      <c r="EZW2" t="n">
        <v>1940</v>
      </c>
      <c r="EZX2" t="n">
        <v>1941</v>
      </c>
      <c r="EZY2" t="n">
        <v>1942</v>
      </c>
      <c r="EZZ2" t="n">
        <v>1943</v>
      </c>
      <c r="FAA2" t="n">
        <v>1944</v>
      </c>
      <c r="FAB2" t="n">
        <v>1945</v>
      </c>
      <c r="FAC2" t="n">
        <v>1946</v>
      </c>
      <c r="FAD2" t="n">
        <v>1947</v>
      </c>
      <c r="FAE2" t="n">
        <v>1948</v>
      </c>
      <c r="FAF2" t="n">
        <v>1949</v>
      </c>
      <c r="FAG2" t="n">
        <v>1950</v>
      </c>
      <c r="FAH2" t="n">
        <v>1951</v>
      </c>
      <c r="FAI2" t="n">
        <v>1952</v>
      </c>
      <c r="FAJ2" t="n">
        <v>1953</v>
      </c>
      <c r="FAK2" t="n">
        <v>1954</v>
      </c>
      <c r="FAL2" t="n">
        <v>1955</v>
      </c>
      <c r="FAM2" t="n">
        <v>1956</v>
      </c>
      <c r="FAN2" t="n">
        <v>1957</v>
      </c>
      <c r="FAO2" t="n">
        <v>1958</v>
      </c>
      <c r="FAP2" t="n">
        <v>1959</v>
      </c>
      <c r="FAQ2" t="n">
        <v>1960</v>
      </c>
      <c r="FAR2" t="n">
        <v>1961</v>
      </c>
      <c r="FAS2" t="n">
        <v>1962</v>
      </c>
      <c r="FAT2" t="n">
        <v>1963</v>
      </c>
      <c r="FAU2" t="n">
        <v>1964</v>
      </c>
      <c r="FAV2" t="n">
        <v>1965</v>
      </c>
      <c r="FAW2" t="n">
        <v>1966</v>
      </c>
      <c r="FAX2" t="n">
        <v>1967</v>
      </c>
      <c r="FAY2" t="n">
        <v>1968</v>
      </c>
      <c r="FAZ2" t="n">
        <v>1969</v>
      </c>
      <c r="FBA2" t="n">
        <v>1970</v>
      </c>
      <c r="FBB2" t="n">
        <v>1971</v>
      </c>
      <c r="FBC2" t="n">
        <v>1972</v>
      </c>
      <c r="FBD2" t="n">
        <v>1973</v>
      </c>
      <c r="FBE2" t="n">
        <v>1974</v>
      </c>
      <c r="FBF2" t="n">
        <v>1975</v>
      </c>
      <c r="FBG2" t="n">
        <v>1976</v>
      </c>
      <c r="FBH2" t="n">
        <v>1977</v>
      </c>
      <c r="FBI2" t="n">
        <v>1978</v>
      </c>
      <c r="FBJ2" t="n">
        <v>1979</v>
      </c>
      <c r="FBK2" t="n">
        <v>1980</v>
      </c>
      <c r="FBL2" t="n">
        <v>1981</v>
      </c>
      <c r="FBM2" t="n">
        <v>1982</v>
      </c>
      <c r="FBN2" t="n">
        <v>1983</v>
      </c>
      <c r="FBO2" t="n">
        <v>1984</v>
      </c>
      <c r="FBP2" t="n">
        <v>1985</v>
      </c>
      <c r="FBQ2" t="n">
        <v>1986</v>
      </c>
      <c r="FBR2" t="n">
        <v>1987</v>
      </c>
      <c r="FBS2" t="n">
        <v>1988</v>
      </c>
      <c r="FBT2" t="n">
        <v>1989</v>
      </c>
      <c r="FBU2" t="n">
        <v>1990</v>
      </c>
      <c r="FBV2" t="n">
        <v>1991</v>
      </c>
      <c r="FBW2" t="n">
        <v>1992</v>
      </c>
      <c r="FBX2" t="n">
        <v>1993</v>
      </c>
      <c r="FBY2" t="n">
        <v>1994</v>
      </c>
      <c r="FBZ2" t="n">
        <v>1995</v>
      </c>
      <c r="FCA2" t="n">
        <v>1996</v>
      </c>
      <c r="FCB2" t="n">
        <v>1997</v>
      </c>
      <c r="FCC2" t="n">
        <v>1998</v>
      </c>
      <c r="FCD2" t="n">
        <v>1999</v>
      </c>
      <c r="FCE2" t="n">
        <v>2000</v>
      </c>
      <c r="FCF2" t="n">
        <v>2001</v>
      </c>
      <c r="FCG2" t="n">
        <v>2002</v>
      </c>
      <c r="FCH2" t="n">
        <v>2003</v>
      </c>
      <c r="FCI2" t="n">
        <v>2004</v>
      </c>
      <c r="FCJ2" t="n">
        <v>2005</v>
      </c>
      <c r="FCK2" t="n">
        <v>2006</v>
      </c>
      <c r="FCL2" t="n">
        <v>2007</v>
      </c>
      <c r="FCM2" t="n">
        <v>2008</v>
      </c>
      <c r="FCN2" t="n">
        <v>2009</v>
      </c>
      <c r="FCO2" t="n">
        <v>2010</v>
      </c>
      <c r="FCP2" t="n">
        <v>2011</v>
      </c>
      <c r="FCQ2" t="n">
        <v>2012</v>
      </c>
      <c r="FCR2" t="n">
        <v>2013</v>
      </c>
      <c r="FCS2" t="n">
        <v>2014</v>
      </c>
      <c r="FCT2" t="n">
        <v>2015</v>
      </c>
      <c r="FCU2" t="n">
        <v>2016</v>
      </c>
      <c r="FCV2" t="n">
        <v>2017</v>
      </c>
      <c r="FCW2" t="n">
        <v>2018</v>
      </c>
      <c r="FCX2" t="n">
        <v>2019</v>
      </c>
      <c r="FCY2" t="n">
        <v>2020</v>
      </c>
      <c r="FCZ2" t="n">
        <v>2021</v>
      </c>
      <c r="FDA2" t="n">
        <v>2022</v>
      </c>
      <c r="FDB2" t="n">
        <v>2023</v>
      </c>
      <c r="FDC2" t="n">
        <v>2024</v>
      </c>
      <c r="FDD2" t="n">
        <v>2025</v>
      </c>
      <c r="FDE2" t="n">
        <v>2026</v>
      </c>
      <c r="FDF2" t="n">
        <v>2027</v>
      </c>
      <c r="FDG2" t="n">
        <v>2028</v>
      </c>
      <c r="FDH2" t="n">
        <v>2029</v>
      </c>
      <c r="FDI2" t="n">
        <v>2030</v>
      </c>
      <c r="FDJ2" t="n">
        <v>2031</v>
      </c>
      <c r="FDK2" t="n">
        <v>2032</v>
      </c>
      <c r="FDL2" t="n">
        <v>2033</v>
      </c>
      <c r="FDM2" t="n">
        <v>2034</v>
      </c>
      <c r="FDN2" t="n">
        <v>2035</v>
      </c>
      <c r="FDO2" t="n">
        <v>2036</v>
      </c>
      <c r="FDP2" t="n">
        <v>2037</v>
      </c>
      <c r="FDQ2" t="n">
        <v>2038</v>
      </c>
      <c r="FDR2" t="n">
        <v>2039</v>
      </c>
      <c r="FDS2" t="n">
        <v>2040</v>
      </c>
      <c r="FDT2" t="n">
        <v>2041</v>
      </c>
      <c r="FDU2" t="n">
        <v>2042</v>
      </c>
      <c r="FDV2" t="n">
        <v>2043</v>
      </c>
      <c r="FDW2" t="n">
        <v>2044</v>
      </c>
      <c r="FDX2" t="n">
        <v>2045</v>
      </c>
      <c r="FDY2" t="n">
        <v>2046</v>
      </c>
      <c r="FDZ2" t="n">
        <v>2047</v>
      </c>
      <c r="FEA2" t="n">
        <v>2048</v>
      </c>
      <c r="FEB2" t="n">
        <v>2049</v>
      </c>
      <c r="FEC2" t="n">
        <v>2050</v>
      </c>
      <c r="FED2" t="n">
        <v>2051</v>
      </c>
      <c r="FEE2" t="n">
        <v>2052</v>
      </c>
      <c r="FEF2" t="n">
        <v>2053</v>
      </c>
      <c r="FEG2" t="n">
        <v>2054</v>
      </c>
      <c r="FEH2" t="n">
        <v>2055</v>
      </c>
      <c r="FEI2" t="n">
        <v>2056</v>
      </c>
      <c r="FEJ2" t="n">
        <v>2057</v>
      </c>
      <c r="FEK2" t="n">
        <v>2058</v>
      </c>
      <c r="FEL2" t="n">
        <v>2059</v>
      </c>
      <c r="FEM2" t="n">
        <v>2060</v>
      </c>
      <c r="FEN2" t="n">
        <v>2061</v>
      </c>
      <c r="FEO2" t="n">
        <v>2062</v>
      </c>
      <c r="FEP2" t="n">
        <v>2063</v>
      </c>
      <c r="FEQ2" t="n">
        <v>2064</v>
      </c>
      <c r="FER2" t="n">
        <v>2065</v>
      </c>
      <c r="FES2" t="n">
        <v>2066</v>
      </c>
      <c r="FET2" t="n">
        <v>2067</v>
      </c>
      <c r="FEU2" t="n">
        <v>2068</v>
      </c>
      <c r="FEV2" t="n">
        <v>2069</v>
      </c>
      <c r="FEW2" t="n">
        <v>2070</v>
      </c>
      <c r="FEX2" t="n">
        <v>2071</v>
      </c>
      <c r="FEY2" t="n">
        <v>2072</v>
      </c>
      <c r="FEZ2" t="n">
        <v>2073</v>
      </c>
      <c r="FFA2" t="n">
        <v>2074</v>
      </c>
      <c r="FFB2" t="n">
        <v>2075</v>
      </c>
      <c r="FFC2" t="n">
        <v>2076</v>
      </c>
      <c r="FFD2" t="n">
        <v>2077</v>
      </c>
      <c r="FFE2" t="n">
        <v>2078</v>
      </c>
      <c r="FFF2" t="n">
        <v>2079</v>
      </c>
      <c r="FFG2" t="n">
        <v>2080</v>
      </c>
      <c r="FFH2" t="n">
        <v>2081</v>
      </c>
      <c r="FFI2" t="n">
        <v>2082</v>
      </c>
      <c r="FFJ2" t="n">
        <v>2083</v>
      </c>
      <c r="FFK2" t="n">
        <v>2084</v>
      </c>
      <c r="FFL2" t="n">
        <v>2085</v>
      </c>
      <c r="FFM2" t="n">
        <v>2086</v>
      </c>
      <c r="FFN2" t="n">
        <v>2087</v>
      </c>
      <c r="FFO2" t="n">
        <v>2088</v>
      </c>
      <c r="FFP2" t="n">
        <v>2089</v>
      </c>
      <c r="FFQ2" t="n">
        <v>2090</v>
      </c>
      <c r="FFR2" t="n">
        <v>2091</v>
      </c>
      <c r="FFS2" t="n">
        <v>2092</v>
      </c>
      <c r="FFT2" t="n">
        <v>2093</v>
      </c>
      <c r="FFU2" t="n">
        <v>2094</v>
      </c>
      <c r="FFV2" t="n">
        <v>2095</v>
      </c>
      <c r="FFW2" t="n">
        <v>2096</v>
      </c>
      <c r="FFX2" t="n">
        <v>2097</v>
      </c>
      <c r="FFY2" t="n">
        <v>2098</v>
      </c>
      <c r="FFZ2" t="n">
        <v>2099</v>
      </c>
      <c r="FGA2" t="n">
        <v>2100</v>
      </c>
      <c r="FGB2" t="n">
        <v>2101</v>
      </c>
      <c r="FGC2" t="n">
        <v>2102</v>
      </c>
      <c r="FGD2" t="n">
        <v>2103</v>
      </c>
      <c r="FGE2" t="n">
        <v>2104</v>
      </c>
      <c r="FGF2" t="n">
        <v>2105</v>
      </c>
      <c r="FGG2" t="n">
        <v>2106</v>
      </c>
      <c r="FGH2" t="n">
        <v>2107</v>
      </c>
      <c r="FGI2" t="n">
        <v>2108</v>
      </c>
      <c r="FGJ2" t="n">
        <v>2109</v>
      </c>
      <c r="FGK2" t="n">
        <v>2110</v>
      </c>
      <c r="FGL2" t="n">
        <v>2111</v>
      </c>
      <c r="FGM2" t="n">
        <v>2112</v>
      </c>
      <c r="FGN2" t="n">
        <v>2113</v>
      </c>
      <c r="FGO2" t="n">
        <v>2114</v>
      </c>
      <c r="FGP2" t="n">
        <v>2115</v>
      </c>
      <c r="FGQ2" t="n">
        <v>2116</v>
      </c>
      <c r="FGR2" t="n">
        <v>2117</v>
      </c>
      <c r="FGS2" t="n">
        <v>2118</v>
      </c>
      <c r="FGT2" t="n">
        <v>2119</v>
      </c>
      <c r="FGU2" t="n">
        <v>2120</v>
      </c>
      <c r="FGV2" t="n">
        <v>2121</v>
      </c>
      <c r="FGW2" t="n">
        <v>2122</v>
      </c>
      <c r="FGX2" t="n">
        <v>2123</v>
      </c>
      <c r="FGY2" t="n">
        <v>2124</v>
      </c>
      <c r="FGZ2" t="n">
        <v>2125</v>
      </c>
      <c r="FHA2" t="n">
        <v>2126</v>
      </c>
      <c r="FHB2" t="n">
        <v>2127</v>
      </c>
      <c r="FHC2" t="n">
        <v>2128</v>
      </c>
      <c r="FHD2" t="n">
        <v>2129</v>
      </c>
      <c r="FHE2" t="n">
        <v>2130</v>
      </c>
      <c r="FHF2" t="n">
        <v>2131</v>
      </c>
      <c r="FHG2" t="n">
        <v>2132</v>
      </c>
      <c r="FHH2" t="n">
        <v>2133</v>
      </c>
      <c r="FHI2" t="n">
        <v>2134</v>
      </c>
      <c r="FHJ2" t="n">
        <v>2135</v>
      </c>
      <c r="FHK2" t="n">
        <v>2136</v>
      </c>
      <c r="FHL2" t="n">
        <v>2137</v>
      </c>
      <c r="FHM2" t="n">
        <v>2138</v>
      </c>
      <c r="FHN2" t="n">
        <v>2139</v>
      </c>
      <c r="FHO2" t="n">
        <v>2140</v>
      </c>
      <c r="FHP2" t="n">
        <v>2141</v>
      </c>
      <c r="FHQ2" t="n">
        <v>2142</v>
      </c>
      <c r="FHR2" t="n">
        <v>2143</v>
      </c>
      <c r="FHS2" t="n">
        <v>2144</v>
      </c>
      <c r="FHT2" t="n">
        <v>2145</v>
      </c>
      <c r="FHU2" t="n">
        <v>2146</v>
      </c>
      <c r="FHV2" t="n">
        <v>2147</v>
      </c>
      <c r="FHW2" t="n">
        <v>2148</v>
      </c>
      <c r="FHX2" t="n">
        <v>2149</v>
      </c>
      <c r="FHY2" t="n">
        <v>2150</v>
      </c>
      <c r="FHZ2" t="n">
        <v>2151</v>
      </c>
      <c r="FIA2" t="n">
        <v>2152</v>
      </c>
      <c r="FIB2" t="n">
        <v>2153</v>
      </c>
      <c r="FIC2" t="n">
        <v>2154</v>
      </c>
      <c r="FID2" t="n">
        <v>2155</v>
      </c>
      <c r="FIE2" t="n">
        <v>2156</v>
      </c>
      <c r="FIF2" t="n">
        <v>2157</v>
      </c>
      <c r="FIG2" t="n">
        <v>2158</v>
      </c>
      <c r="FIH2" t="n">
        <v>2159</v>
      </c>
      <c r="FII2" t="n">
        <v>2160</v>
      </c>
      <c r="FIJ2" t="n">
        <v>2161</v>
      </c>
      <c r="FIK2" t="n">
        <v>2162</v>
      </c>
      <c r="FIL2" t="n">
        <v>2163</v>
      </c>
      <c r="FIM2" t="n">
        <v>2164</v>
      </c>
      <c r="FIN2" t="n">
        <v>2165</v>
      </c>
      <c r="FIO2" t="n">
        <v>2166</v>
      </c>
      <c r="FIP2" t="n">
        <v>2167</v>
      </c>
      <c r="FIQ2" t="n">
        <v>2168</v>
      </c>
      <c r="FIR2" t="n">
        <v>2169</v>
      </c>
      <c r="FIS2" t="n">
        <v>2170</v>
      </c>
      <c r="FIT2" t="n">
        <v>2171</v>
      </c>
      <c r="FIU2" t="n">
        <v>2172</v>
      </c>
      <c r="FIV2" t="n">
        <v>2173</v>
      </c>
      <c r="FIW2" t="n">
        <v>2174</v>
      </c>
      <c r="FIX2" t="n">
        <v>2175</v>
      </c>
      <c r="FIY2" t="n">
        <v>2176</v>
      </c>
      <c r="FIZ2" t="n">
        <v>2177</v>
      </c>
      <c r="FJA2" t="n">
        <v>2178</v>
      </c>
      <c r="FJB2" t="n">
        <v>2179</v>
      </c>
      <c r="FJC2" t="n">
        <v>2180</v>
      </c>
      <c r="FJD2" t="n">
        <v>2181</v>
      </c>
      <c r="FJE2" t="n">
        <v>2182</v>
      </c>
      <c r="FJF2" t="n">
        <v>2183</v>
      </c>
      <c r="FJG2" t="n">
        <v>2184</v>
      </c>
      <c r="FJH2" t="n">
        <v>2185</v>
      </c>
      <c r="FJI2" t="n">
        <v>2186</v>
      </c>
      <c r="FJJ2" t="n">
        <v>2187</v>
      </c>
      <c r="FJK2" t="n">
        <v>2188</v>
      </c>
      <c r="FJL2" t="n">
        <v>2189</v>
      </c>
      <c r="FJM2" t="n">
        <v>2190</v>
      </c>
      <c r="FJN2" t="n">
        <v>2191</v>
      </c>
      <c r="FJO2" t="n">
        <v>2192</v>
      </c>
      <c r="FJP2" t="n">
        <v>2193</v>
      </c>
      <c r="FJQ2" t="n">
        <v>2194</v>
      </c>
      <c r="FJR2" t="n">
        <v>2195</v>
      </c>
      <c r="FJS2" t="n">
        <v>2196</v>
      </c>
      <c r="FJT2" t="n">
        <v>2197</v>
      </c>
      <c r="FJU2" t="n">
        <v>2198</v>
      </c>
      <c r="FJV2" t="n">
        <v>2199</v>
      </c>
      <c r="FJW2" t="n">
        <v>2200</v>
      </c>
      <c r="FJX2" t="n">
        <v>2201</v>
      </c>
      <c r="FJY2" t="n">
        <v>2202</v>
      </c>
      <c r="FJZ2" t="n">
        <v>2203</v>
      </c>
      <c r="FKA2" t="n">
        <v>2204</v>
      </c>
      <c r="FKB2" t="n">
        <v>2205</v>
      </c>
      <c r="FKC2" t="n">
        <v>2206</v>
      </c>
      <c r="FKD2" t="n">
        <v>2207</v>
      </c>
      <c r="FKE2" t="n">
        <v>2208</v>
      </c>
      <c r="FKF2" t="n">
        <v>2209</v>
      </c>
      <c r="FKG2" t="n">
        <v>2210</v>
      </c>
      <c r="FKH2" t="n">
        <v>2211</v>
      </c>
      <c r="FKI2" t="n">
        <v>2212</v>
      </c>
      <c r="FKJ2" t="n">
        <v>2213</v>
      </c>
      <c r="FKK2" t="n">
        <v>2214</v>
      </c>
      <c r="FKL2" t="n">
        <v>2215</v>
      </c>
      <c r="FKM2" t="n">
        <v>2216</v>
      </c>
      <c r="FKN2" t="n">
        <v>2217</v>
      </c>
      <c r="FKO2" t="n">
        <v>2218</v>
      </c>
      <c r="FKP2" t="n">
        <v>2219</v>
      </c>
      <c r="FKQ2" t="n">
        <v>2220</v>
      </c>
      <c r="FKR2" t="n">
        <v>2221</v>
      </c>
      <c r="FKS2" t="n">
        <v>2222</v>
      </c>
      <c r="FKT2" t="n">
        <v>2223</v>
      </c>
      <c r="FKU2" t="n">
        <v>2224</v>
      </c>
      <c r="FKV2" t="n">
        <v>2225</v>
      </c>
      <c r="FKW2" t="n">
        <v>2226</v>
      </c>
      <c r="FKX2" t="n">
        <v>2227</v>
      </c>
      <c r="FKY2" t="n">
        <v>2228</v>
      </c>
      <c r="FKZ2" t="n">
        <v>2229</v>
      </c>
      <c r="FLA2" t="n">
        <v>2230</v>
      </c>
      <c r="FLB2" t="n">
        <v>2231</v>
      </c>
      <c r="FLC2" t="n">
        <v>2232</v>
      </c>
      <c r="FLD2" t="n">
        <v>2233</v>
      </c>
      <c r="FLE2" t="n">
        <v>2234</v>
      </c>
      <c r="FLF2" t="n">
        <v>2235</v>
      </c>
      <c r="FLG2" t="n">
        <v>2236</v>
      </c>
      <c r="FLH2" t="n">
        <v>2237</v>
      </c>
      <c r="FLI2" t="n">
        <v>2238</v>
      </c>
      <c r="FLJ2" t="n">
        <v>2239</v>
      </c>
      <c r="FLK2" t="n">
        <v>2240</v>
      </c>
      <c r="FLL2" t="n">
        <v>2241</v>
      </c>
      <c r="FLM2" t="n">
        <v>2242</v>
      </c>
      <c r="FLN2" t="n">
        <v>2243</v>
      </c>
      <c r="FLO2" t="n">
        <v>2244</v>
      </c>
      <c r="FLP2" t="n">
        <v>2245</v>
      </c>
      <c r="FLQ2" t="n">
        <v>2246</v>
      </c>
      <c r="FLR2" t="n">
        <v>2247</v>
      </c>
      <c r="FLS2" t="n">
        <v>2248</v>
      </c>
      <c r="FLT2" t="n">
        <v>2249</v>
      </c>
      <c r="FLU2" t="n">
        <v>2250</v>
      </c>
      <c r="FLV2" t="n">
        <v>2251</v>
      </c>
      <c r="FLW2" t="n">
        <v>2252</v>
      </c>
      <c r="FLX2" t="n">
        <v>2253</v>
      </c>
      <c r="FLY2" t="n">
        <v>2254</v>
      </c>
      <c r="FLZ2" t="n">
        <v>2255</v>
      </c>
      <c r="FMA2" t="n">
        <v>2256</v>
      </c>
      <c r="FMB2" t="n">
        <v>2257</v>
      </c>
      <c r="FMC2" t="n">
        <v>2258</v>
      </c>
      <c r="FMD2" t="n">
        <v>2259</v>
      </c>
      <c r="FME2" t="n">
        <v>2260</v>
      </c>
      <c r="FMF2" t="n">
        <v>2261</v>
      </c>
      <c r="FMG2" t="n">
        <v>2262</v>
      </c>
      <c r="FMH2" t="n">
        <v>2263</v>
      </c>
      <c r="FMI2" t="n">
        <v>2264</v>
      </c>
      <c r="FMJ2" t="n">
        <v>2265</v>
      </c>
      <c r="FMK2" t="n">
        <v>2266</v>
      </c>
      <c r="FML2" t="n">
        <v>2267</v>
      </c>
      <c r="FMM2" t="n">
        <v>2268</v>
      </c>
      <c r="FMN2" t="n">
        <v>2269</v>
      </c>
      <c r="FMO2" t="n">
        <v>2270</v>
      </c>
      <c r="FMP2" t="n">
        <v>2271</v>
      </c>
      <c r="FMQ2" t="n">
        <v>2272</v>
      </c>
      <c r="FMR2" t="n">
        <v>2273</v>
      </c>
      <c r="FMS2" t="n">
        <v>2274</v>
      </c>
      <c r="FMT2" t="n">
        <v>2275</v>
      </c>
      <c r="FMU2" t="n">
        <v>2276</v>
      </c>
      <c r="FMV2" t="n">
        <v>2277</v>
      </c>
      <c r="FMW2" t="n">
        <v>2278</v>
      </c>
      <c r="FMX2" t="n">
        <v>2279</v>
      </c>
      <c r="FMY2" t="n">
        <v>2280</v>
      </c>
      <c r="FMZ2" t="n">
        <v>2281</v>
      </c>
      <c r="FNA2" t="n">
        <v>2282</v>
      </c>
      <c r="FNB2" t="n">
        <v>2283</v>
      </c>
      <c r="FNC2" t="n">
        <v>2284</v>
      </c>
      <c r="FND2" t="n">
        <v>2285</v>
      </c>
      <c r="FNE2" t="n">
        <v>2286</v>
      </c>
      <c r="FNF2" t="n">
        <v>2287</v>
      </c>
      <c r="FNG2" t="n">
        <v>2288</v>
      </c>
      <c r="FNH2" t="n">
        <v>2289</v>
      </c>
      <c r="FNI2" t="n">
        <v>2290</v>
      </c>
      <c r="FNJ2" t="n">
        <v>2291</v>
      </c>
      <c r="FNK2" t="n">
        <v>2292</v>
      </c>
      <c r="FNL2" t="n">
        <v>2293</v>
      </c>
      <c r="FNM2" t="n">
        <v>2294</v>
      </c>
      <c r="FNN2" t="n">
        <v>2295</v>
      </c>
      <c r="FNO2" t="n">
        <v>2296</v>
      </c>
      <c r="FNP2" t="n">
        <v>2297</v>
      </c>
      <c r="FNQ2" t="n">
        <v>2298</v>
      </c>
      <c r="FNR2" t="n">
        <v>2299</v>
      </c>
      <c r="FNS2" t="n">
        <v>2300</v>
      </c>
      <c r="FNT2" t="n">
        <v>2301</v>
      </c>
      <c r="FNU2" t="n">
        <v>2302</v>
      </c>
      <c r="FNV2" t="n">
        <v>2303</v>
      </c>
      <c r="FNW2" t="n">
        <v>2304</v>
      </c>
      <c r="FNX2" t="n">
        <v>2305</v>
      </c>
      <c r="FNY2" t="n">
        <v>2306</v>
      </c>
      <c r="FNZ2" t="n">
        <v>2307</v>
      </c>
      <c r="FOA2" t="n">
        <v>2308</v>
      </c>
      <c r="FOB2" t="n">
        <v>2309</v>
      </c>
      <c r="FOC2" t="n">
        <v>2310</v>
      </c>
      <c r="FOD2" t="n">
        <v>2311</v>
      </c>
      <c r="FOE2" t="n">
        <v>2312</v>
      </c>
      <c r="FOF2" t="n">
        <v>2313</v>
      </c>
      <c r="FOG2" t="n">
        <v>2314</v>
      </c>
      <c r="FOH2" t="n">
        <v>2315</v>
      </c>
      <c r="FOI2" t="n">
        <v>2316</v>
      </c>
      <c r="FOJ2" t="n">
        <v>2317</v>
      </c>
      <c r="FOK2" t="n">
        <v>2318</v>
      </c>
      <c r="FOL2" t="n">
        <v>2319</v>
      </c>
      <c r="FOM2" t="n">
        <v>2320</v>
      </c>
      <c r="FON2" t="n">
        <v>2321</v>
      </c>
      <c r="FOO2" t="n">
        <v>2322</v>
      </c>
      <c r="FOP2" t="n">
        <v>2323</v>
      </c>
      <c r="FOQ2" t="n">
        <v>2324</v>
      </c>
      <c r="FOR2" t="n">
        <v>2325</v>
      </c>
      <c r="FOS2" t="n">
        <v>2326</v>
      </c>
      <c r="FOT2" t="n">
        <v>2327</v>
      </c>
      <c r="FOU2" t="n">
        <v>2328</v>
      </c>
      <c r="FOV2" t="n">
        <v>2329</v>
      </c>
      <c r="FOW2" t="n">
        <v>2330</v>
      </c>
      <c r="FOX2" t="n">
        <v>2331</v>
      </c>
      <c r="FOY2" t="n">
        <v>2332</v>
      </c>
      <c r="FOZ2" t="n">
        <v>2333</v>
      </c>
      <c r="FPA2" t="n">
        <v>2334</v>
      </c>
      <c r="FPB2" t="n">
        <v>2335</v>
      </c>
      <c r="FPC2" t="n">
        <v>2336</v>
      </c>
      <c r="FPD2" t="n">
        <v>2337</v>
      </c>
      <c r="FPE2" t="n">
        <v>2338</v>
      </c>
      <c r="FPF2" t="n">
        <v>2339</v>
      </c>
      <c r="FPG2" t="n">
        <v>2340</v>
      </c>
      <c r="FPH2" t="n">
        <v>2341</v>
      </c>
      <c r="FPI2" t="n">
        <v>2342</v>
      </c>
      <c r="FPJ2" t="n">
        <v>2343</v>
      </c>
      <c r="FPK2" t="n">
        <v>2344</v>
      </c>
      <c r="FPL2" t="n">
        <v>2345</v>
      </c>
      <c r="FPM2" t="n">
        <v>2346</v>
      </c>
      <c r="FPN2" t="n">
        <v>2347</v>
      </c>
      <c r="FPO2" t="n">
        <v>2348</v>
      </c>
      <c r="FPP2" t="n">
        <v>2349</v>
      </c>
      <c r="FPQ2" t="n">
        <v>2350</v>
      </c>
      <c r="FPR2" t="n">
        <v>2351</v>
      </c>
      <c r="FPS2" t="n">
        <v>2352</v>
      </c>
      <c r="FPT2" t="n">
        <v>2353</v>
      </c>
      <c r="FPU2" t="n">
        <v>2354</v>
      </c>
      <c r="FPV2" t="n">
        <v>2355</v>
      </c>
      <c r="FPW2" t="n">
        <v>2356</v>
      </c>
      <c r="FPX2" t="n">
        <v>2357</v>
      </c>
      <c r="FPY2" t="n">
        <v>2358</v>
      </c>
      <c r="FPZ2" t="n">
        <v>2359</v>
      </c>
      <c r="FQA2" t="n">
        <v>2360</v>
      </c>
      <c r="FQB2" t="n">
        <v>2361</v>
      </c>
      <c r="FQC2" t="n">
        <v>2362</v>
      </c>
      <c r="FQD2" t="n">
        <v>2363</v>
      </c>
      <c r="FQE2" t="n">
        <v>2364</v>
      </c>
      <c r="FQF2" t="n">
        <v>2365</v>
      </c>
      <c r="FQG2" t="n">
        <v>2366</v>
      </c>
      <c r="FQH2" t="n">
        <v>2367</v>
      </c>
      <c r="FQI2" t="n">
        <v>2368</v>
      </c>
      <c r="FQJ2" t="n">
        <v>2369</v>
      </c>
      <c r="FQK2" t="n">
        <v>2370</v>
      </c>
      <c r="FQL2" t="n">
        <v>2371</v>
      </c>
      <c r="FQM2" t="n">
        <v>2372</v>
      </c>
      <c r="FQN2" t="n">
        <v>2373</v>
      </c>
      <c r="FQO2" t="n">
        <v>2374</v>
      </c>
      <c r="FQP2" t="n">
        <v>2375</v>
      </c>
      <c r="FQQ2" t="n">
        <v>2376</v>
      </c>
      <c r="FQR2" t="n">
        <v>2377</v>
      </c>
      <c r="FQS2" t="n">
        <v>2378</v>
      </c>
      <c r="FQT2" t="n">
        <v>2379</v>
      </c>
      <c r="FQU2" t="n">
        <v>2380</v>
      </c>
      <c r="FQV2" t="n">
        <v>2381</v>
      </c>
      <c r="FQW2" t="n">
        <v>2382</v>
      </c>
      <c r="FQX2" t="n">
        <v>2383</v>
      </c>
      <c r="FQY2" t="n">
        <v>2384</v>
      </c>
      <c r="FQZ2" t="n">
        <v>2385</v>
      </c>
      <c r="FRA2" t="n">
        <v>2386</v>
      </c>
      <c r="FRB2" t="n">
        <v>2387</v>
      </c>
      <c r="FRC2" t="n">
        <v>2388</v>
      </c>
      <c r="FRD2" t="n">
        <v>2389</v>
      </c>
      <c r="FRE2" t="n">
        <v>2390</v>
      </c>
      <c r="FRF2" t="n">
        <v>2391</v>
      </c>
      <c r="FRG2" t="n">
        <v>2392</v>
      </c>
      <c r="FRH2" t="n">
        <v>2393</v>
      </c>
      <c r="FRI2" t="n">
        <v>2394</v>
      </c>
      <c r="FRJ2" t="n">
        <v>2395</v>
      </c>
      <c r="FRK2" t="n">
        <v>2396</v>
      </c>
      <c r="FRL2" t="n">
        <v>2397</v>
      </c>
      <c r="FRM2" t="n">
        <v>2398</v>
      </c>
      <c r="FRN2" t="n">
        <v>2399</v>
      </c>
      <c r="FRO2" t="n">
        <v>2400</v>
      </c>
      <c r="FRP2" t="n">
        <v>2401</v>
      </c>
      <c r="FRQ2" t="n">
        <v>2402</v>
      </c>
      <c r="FRR2" t="n">
        <v>2403</v>
      </c>
      <c r="FRS2" t="n">
        <v>2404</v>
      </c>
      <c r="FRT2" t="n">
        <v>2405</v>
      </c>
      <c r="FRU2" t="n">
        <v>2406</v>
      </c>
      <c r="FRV2" t="n">
        <v>2407</v>
      </c>
      <c r="FRW2" t="n">
        <v>2408</v>
      </c>
      <c r="FRX2" t="n">
        <v>2409</v>
      </c>
      <c r="FRY2" t="n">
        <v>2410</v>
      </c>
      <c r="FRZ2" t="n">
        <v>2411</v>
      </c>
      <c r="FSA2" t="n">
        <v>2412</v>
      </c>
      <c r="FSB2" t="n">
        <v>2413</v>
      </c>
      <c r="FSC2" t="n">
        <v>2414</v>
      </c>
      <c r="FSD2" t="n">
        <v>2415</v>
      </c>
      <c r="FSE2" t="n">
        <v>2416</v>
      </c>
      <c r="FSF2" t="n">
        <v>2417</v>
      </c>
      <c r="FSG2" t="n">
        <v>2418</v>
      </c>
      <c r="FSH2" t="n">
        <v>2419</v>
      </c>
      <c r="FSI2" t="n">
        <v>2420</v>
      </c>
      <c r="FSJ2" t="n">
        <v>2421</v>
      </c>
      <c r="FSK2" t="n">
        <v>2422</v>
      </c>
      <c r="FSL2" t="n">
        <v>2423</v>
      </c>
      <c r="FSM2" t="n">
        <v>2424</v>
      </c>
      <c r="FSN2" t="n">
        <v>2425</v>
      </c>
      <c r="FSO2" t="n">
        <v>2426</v>
      </c>
      <c r="FSP2" t="n">
        <v>2427</v>
      </c>
      <c r="FSQ2" t="n">
        <v>2428</v>
      </c>
      <c r="FSR2" t="n">
        <v>2429</v>
      </c>
      <c r="FSS2" t="n">
        <v>2430</v>
      </c>
      <c r="FST2" t="n">
        <v>2431</v>
      </c>
      <c r="FSU2" t="n">
        <v>2432</v>
      </c>
      <c r="FSV2" t="n">
        <v>2433</v>
      </c>
      <c r="FSW2" t="n">
        <v>2434</v>
      </c>
      <c r="FSX2" t="n">
        <v>2435</v>
      </c>
      <c r="FSY2" t="n">
        <v>2436</v>
      </c>
      <c r="FSZ2" t="n">
        <v>2437</v>
      </c>
      <c r="FTA2" t="n">
        <v>2438</v>
      </c>
      <c r="FTB2" t="n">
        <v>2439</v>
      </c>
      <c r="FTC2" t="n">
        <v>2440</v>
      </c>
      <c r="FTD2" t="n">
        <v>2441</v>
      </c>
      <c r="FTE2" t="n">
        <v>2442</v>
      </c>
      <c r="FTF2" t="n">
        <v>2443</v>
      </c>
      <c r="FTG2" t="n">
        <v>2444</v>
      </c>
      <c r="FTH2" t="n">
        <v>2445</v>
      </c>
      <c r="FTI2" t="n">
        <v>2446</v>
      </c>
      <c r="FTJ2" t="n">
        <v>2447</v>
      </c>
      <c r="FTK2" t="n">
        <v>2448</v>
      </c>
      <c r="FTL2" t="n">
        <v>2449</v>
      </c>
      <c r="FTM2" t="n">
        <v>2450</v>
      </c>
      <c r="FTN2" t="n">
        <v>2451</v>
      </c>
      <c r="FTO2" t="n">
        <v>2452</v>
      </c>
      <c r="FTP2" t="n">
        <v>2453</v>
      </c>
      <c r="FTQ2" t="n">
        <v>2454</v>
      </c>
      <c r="FTR2" t="n">
        <v>2455</v>
      </c>
      <c r="FTS2" t="n">
        <v>2456</v>
      </c>
      <c r="FTT2" t="n">
        <v>2457</v>
      </c>
      <c r="FTU2" t="n">
        <v>2458</v>
      </c>
      <c r="FTV2" t="n">
        <v>2459</v>
      </c>
      <c r="FTW2" t="n">
        <v>2460</v>
      </c>
      <c r="FTX2" t="n">
        <v>2461</v>
      </c>
      <c r="FTY2" t="n">
        <v>2462</v>
      </c>
      <c r="FTZ2" t="n">
        <v>2463</v>
      </c>
      <c r="FUA2" t="n">
        <v>2464</v>
      </c>
      <c r="FUB2" t="n">
        <v>2465</v>
      </c>
      <c r="FUC2" t="n">
        <v>2466</v>
      </c>
      <c r="FUD2" t="n">
        <v>2467</v>
      </c>
      <c r="FUE2" t="n">
        <v>2468</v>
      </c>
      <c r="FUF2" t="n">
        <v>2469</v>
      </c>
      <c r="FUG2" t="n">
        <v>2470</v>
      </c>
      <c r="FUH2" t="n">
        <v>2471</v>
      </c>
      <c r="FUI2" t="n">
        <v>2472</v>
      </c>
      <c r="FUJ2" t="n">
        <v>2473</v>
      </c>
      <c r="FUK2" t="n">
        <v>2474</v>
      </c>
      <c r="FUL2" t="n">
        <v>2475</v>
      </c>
      <c r="FUM2" t="n">
        <v>2476</v>
      </c>
      <c r="FUN2" t="n">
        <v>2477</v>
      </c>
      <c r="FUO2" t="n">
        <v>2478</v>
      </c>
      <c r="FUP2" t="n">
        <v>2479</v>
      </c>
      <c r="FUQ2" t="n">
        <v>2480</v>
      </c>
      <c r="FUR2" t="n">
        <v>2481</v>
      </c>
      <c r="FUS2" t="n">
        <v>2482</v>
      </c>
      <c r="FUT2" t="n">
        <v>2483</v>
      </c>
      <c r="FUU2" t="n">
        <v>2484</v>
      </c>
      <c r="FUV2" t="n">
        <v>2485</v>
      </c>
      <c r="FUW2" t="n">
        <v>2486</v>
      </c>
      <c r="FUX2" t="n">
        <v>2487</v>
      </c>
      <c r="FUY2" t="n">
        <v>2488</v>
      </c>
      <c r="FUZ2" t="n">
        <v>2489</v>
      </c>
      <c r="FVA2" t="n">
        <v>2490</v>
      </c>
      <c r="FVB2" t="n">
        <v>2491</v>
      </c>
      <c r="FVC2" t="n">
        <v>2492</v>
      </c>
      <c r="FVD2" t="n">
        <v>2493</v>
      </c>
      <c r="FVE2" t="n">
        <v>2494</v>
      </c>
      <c r="FVF2" t="n">
        <v>2495</v>
      </c>
      <c r="FVG2" t="n">
        <v>2496</v>
      </c>
      <c r="FVH2" t="n">
        <v>2497</v>
      </c>
      <c r="FVI2" t="n">
        <v>2498</v>
      </c>
      <c r="FVJ2" t="n">
        <v>2499</v>
      </c>
      <c r="FVK2" t="n">
        <v>2500</v>
      </c>
      <c r="FVL2" t="n">
        <v>2501</v>
      </c>
      <c r="FVM2" t="n">
        <v>2502</v>
      </c>
      <c r="FVN2" t="n">
        <v>2503</v>
      </c>
      <c r="FVO2" t="n">
        <v>2504</v>
      </c>
      <c r="FVP2" t="n">
        <v>2505</v>
      </c>
      <c r="FVQ2" t="n">
        <v>2506</v>
      </c>
      <c r="FVR2" t="n">
        <v>2507</v>
      </c>
      <c r="FVS2" t="n">
        <v>2508</v>
      </c>
      <c r="FVT2" t="n">
        <v>2509</v>
      </c>
      <c r="FVU2" t="n">
        <v>2510</v>
      </c>
      <c r="FVV2" t="n">
        <v>2511</v>
      </c>
      <c r="FVW2" t="n">
        <v>2512</v>
      </c>
      <c r="FVX2" t="n">
        <v>2513</v>
      </c>
      <c r="FVY2" t="n">
        <v>2514</v>
      </c>
      <c r="FVZ2" t="n">
        <v>2515</v>
      </c>
      <c r="FWA2" t="n">
        <v>2516</v>
      </c>
      <c r="FWB2" t="n">
        <v>2517</v>
      </c>
      <c r="FWC2" t="n">
        <v>2518</v>
      </c>
      <c r="FWD2" t="n">
        <v>2519</v>
      </c>
      <c r="FWE2" t="n">
        <v>2520</v>
      </c>
      <c r="FWF2" t="n">
        <v>2521</v>
      </c>
      <c r="FWG2" t="n">
        <v>2522</v>
      </c>
      <c r="FWH2" t="n">
        <v>2523</v>
      </c>
      <c r="FWI2" t="n">
        <v>2524</v>
      </c>
      <c r="FWJ2" t="n">
        <v>2525</v>
      </c>
      <c r="FWK2" t="n">
        <v>2526</v>
      </c>
      <c r="FWL2" t="n">
        <v>2527</v>
      </c>
      <c r="FWM2" t="n">
        <v>2528</v>
      </c>
      <c r="FWN2" t="n">
        <v>2529</v>
      </c>
      <c r="FWO2" t="n">
        <v>2530</v>
      </c>
      <c r="FWP2" t="n">
        <v>2531</v>
      </c>
      <c r="FWQ2" t="n">
        <v>2532</v>
      </c>
      <c r="FWR2" t="n">
        <v>2533</v>
      </c>
      <c r="FWS2" t="n">
        <v>2534</v>
      </c>
      <c r="FWT2" t="n">
        <v>2535</v>
      </c>
      <c r="FWU2" t="n">
        <v>2536</v>
      </c>
      <c r="FWV2" t="n">
        <v>2537</v>
      </c>
      <c r="FWW2" t="n">
        <v>2538</v>
      </c>
      <c r="FWX2" t="n">
        <v>2539</v>
      </c>
      <c r="FWY2" t="n">
        <v>2540</v>
      </c>
      <c r="FWZ2" t="n">
        <v>2541</v>
      </c>
      <c r="FXA2" t="n">
        <v>2542</v>
      </c>
      <c r="FXB2" t="n">
        <v>2543</v>
      </c>
      <c r="FXC2" t="n">
        <v>2544</v>
      </c>
      <c r="FXD2" t="n">
        <v>2545</v>
      </c>
      <c r="FXE2" t="n">
        <v>2546</v>
      </c>
      <c r="FXF2" t="n">
        <v>2547</v>
      </c>
      <c r="FXG2" t="n">
        <v>2548</v>
      </c>
      <c r="FXH2" t="n">
        <v>2549</v>
      </c>
      <c r="FXI2" t="n">
        <v>2550</v>
      </c>
      <c r="FXJ2" t="n">
        <v>2551</v>
      </c>
      <c r="FXK2" t="n">
        <v>2552</v>
      </c>
      <c r="FXL2" t="n">
        <v>2553</v>
      </c>
      <c r="FXM2" t="n">
        <v>2554</v>
      </c>
      <c r="FXN2" t="n">
        <v>2555</v>
      </c>
      <c r="FXO2" t="n">
        <v>2556</v>
      </c>
      <c r="FXP2" t="n">
        <v>2557</v>
      </c>
      <c r="FXQ2" t="n">
        <v>2558</v>
      </c>
      <c r="FXR2" t="n">
        <v>2559</v>
      </c>
      <c r="FXS2" t="n">
        <v>2560</v>
      </c>
      <c r="FXT2" t="n">
        <v>2561</v>
      </c>
      <c r="FXU2" t="n">
        <v>2562</v>
      </c>
      <c r="FXV2" t="n">
        <v>2563</v>
      </c>
      <c r="FXW2" t="n">
        <v>2564</v>
      </c>
      <c r="FXX2" t="n">
        <v>2565</v>
      </c>
      <c r="FXY2" t="n">
        <v>2566</v>
      </c>
      <c r="FXZ2" t="n">
        <v>2567</v>
      </c>
      <c r="FYA2" t="n">
        <v>2568</v>
      </c>
      <c r="FYB2" t="n">
        <v>2569</v>
      </c>
      <c r="FYC2" t="n">
        <v>2570</v>
      </c>
      <c r="FYD2" t="n">
        <v>2571</v>
      </c>
      <c r="FYE2" t="n">
        <v>2572</v>
      </c>
      <c r="FYF2" t="n">
        <v>2573</v>
      </c>
      <c r="FYG2" t="n">
        <v>2574</v>
      </c>
      <c r="FYH2" t="n">
        <v>2575</v>
      </c>
      <c r="FYI2" t="n">
        <v>2576</v>
      </c>
      <c r="FYJ2" t="n">
        <v>2577</v>
      </c>
      <c r="FYK2" t="n">
        <v>2578</v>
      </c>
      <c r="FYL2" t="n">
        <v>2579</v>
      </c>
      <c r="FYM2" t="n">
        <v>2580</v>
      </c>
      <c r="FYN2" t="n">
        <v>2581</v>
      </c>
      <c r="FYO2" t="n">
        <v>2582</v>
      </c>
      <c r="FYP2" t="n">
        <v>2583</v>
      </c>
      <c r="FYQ2" t="n">
        <v>2584</v>
      </c>
      <c r="FYR2" t="n">
        <v>2585</v>
      </c>
      <c r="FYS2" t="n">
        <v>2586</v>
      </c>
      <c r="FYT2" t="n">
        <v>2587</v>
      </c>
      <c r="FYU2" t="n">
        <v>2588</v>
      </c>
      <c r="FYV2" t="n">
        <v>2589</v>
      </c>
      <c r="FYW2" t="n">
        <v>2590</v>
      </c>
      <c r="FYX2" t="n">
        <v>2591</v>
      </c>
      <c r="FYY2" t="n">
        <v>2592</v>
      </c>
      <c r="FYZ2" t="n">
        <v>2593</v>
      </c>
      <c r="FZA2" t="n">
        <v>2594</v>
      </c>
      <c r="FZB2" t="n">
        <v>2595</v>
      </c>
      <c r="FZC2" t="n">
        <v>2596</v>
      </c>
      <c r="FZD2" t="n">
        <v>2597</v>
      </c>
      <c r="FZE2" t="n">
        <v>2598</v>
      </c>
      <c r="FZF2" t="n">
        <v>2599</v>
      </c>
      <c r="FZG2" t="n">
        <v>2600</v>
      </c>
      <c r="FZH2" t="n">
        <v>2601</v>
      </c>
      <c r="FZI2" t="n">
        <v>2602</v>
      </c>
      <c r="FZJ2" t="n">
        <v>2603</v>
      </c>
      <c r="FZK2" t="n">
        <v>2604</v>
      </c>
      <c r="FZL2" t="n">
        <v>2605</v>
      </c>
      <c r="FZM2" t="n">
        <v>2606</v>
      </c>
      <c r="FZN2" t="n">
        <v>2607</v>
      </c>
      <c r="FZO2" t="n">
        <v>2608</v>
      </c>
      <c r="FZP2" t="n">
        <v>2609</v>
      </c>
      <c r="FZQ2" t="n">
        <v>2610</v>
      </c>
      <c r="FZR2" t="n">
        <v>2611</v>
      </c>
      <c r="FZS2" t="n">
        <v>2612</v>
      </c>
      <c r="FZT2" t="n">
        <v>2613</v>
      </c>
      <c r="FZU2" t="n">
        <v>2614</v>
      </c>
      <c r="FZV2" t="n">
        <v>2615</v>
      </c>
      <c r="FZW2" t="n">
        <v>2616</v>
      </c>
      <c r="FZX2" t="n">
        <v>2617</v>
      </c>
      <c r="FZY2" t="n">
        <v>2618</v>
      </c>
      <c r="FZZ2" t="n">
        <v>2619</v>
      </c>
      <c r="GAA2" t="n">
        <v>2620</v>
      </c>
      <c r="GAB2" t="n">
        <v>2621</v>
      </c>
      <c r="GAC2" t="n">
        <v>2622</v>
      </c>
      <c r="GAD2" t="n">
        <v>2623</v>
      </c>
      <c r="GAE2" t="n">
        <v>2624</v>
      </c>
      <c r="GAF2" t="n">
        <v>2625</v>
      </c>
      <c r="GAG2" t="n">
        <v>2626</v>
      </c>
      <c r="GAH2" t="n">
        <v>2627</v>
      </c>
      <c r="GAI2" t="n">
        <v>2628</v>
      </c>
      <c r="GAJ2" t="n">
        <v>2629</v>
      </c>
      <c r="GAK2" t="n">
        <v>2630</v>
      </c>
      <c r="GAL2" t="n">
        <v>2631</v>
      </c>
      <c r="GAM2" t="n">
        <v>2632</v>
      </c>
      <c r="GAN2" t="n">
        <v>2633</v>
      </c>
      <c r="GAO2" t="n">
        <v>2634</v>
      </c>
      <c r="GAP2" t="n">
        <v>2635</v>
      </c>
      <c r="GAQ2" t="n">
        <v>2636</v>
      </c>
      <c r="GAR2" t="n">
        <v>2637</v>
      </c>
      <c r="GAS2" t="n">
        <v>2638</v>
      </c>
      <c r="GAT2" t="n">
        <v>2639</v>
      </c>
      <c r="GAU2" t="n">
        <v>2640</v>
      </c>
      <c r="GAV2" t="n">
        <v>2641</v>
      </c>
      <c r="GAW2" t="n">
        <v>2642</v>
      </c>
      <c r="GAX2" t="n">
        <v>2643</v>
      </c>
      <c r="GAY2" t="n">
        <v>2644</v>
      </c>
      <c r="GAZ2" t="n">
        <v>2645</v>
      </c>
      <c r="GBA2" t="n">
        <v>2646</v>
      </c>
      <c r="GBB2" t="n">
        <v>2647</v>
      </c>
      <c r="GBC2" t="n">
        <v>2648</v>
      </c>
      <c r="GBD2" t="n">
        <v>2649</v>
      </c>
      <c r="GBE2" t="n">
        <v>2650</v>
      </c>
      <c r="GBF2" t="n">
        <v>2651</v>
      </c>
      <c r="GBG2" t="n">
        <v>2652</v>
      </c>
      <c r="GBH2" t="n">
        <v>2653</v>
      </c>
      <c r="GBI2" t="n">
        <v>2654</v>
      </c>
      <c r="GBJ2" t="n">
        <v>2655</v>
      </c>
      <c r="GBK2" t="n">
        <v>2656</v>
      </c>
      <c r="GBL2" t="n">
        <v>2657</v>
      </c>
      <c r="GBM2" t="n">
        <v>2658</v>
      </c>
      <c r="GBN2" t="n">
        <v>2659</v>
      </c>
      <c r="GBO2" t="n">
        <v>2660</v>
      </c>
      <c r="GBP2" t="n">
        <v>2661</v>
      </c>
      <c r="GBQ2" t="n">
        <v>2662</v>
      </c>
      <c r="GBR2" t="n">
        <v>2663</v>
      </c>
      <c r="GBS2" t="n">
        <v>2664</v>
      </c>
      <c r="GBT2" t="n">
        <v>2665</v>
      </c>
      <c r="GBU2" t="n">
        <v>2666</v>
      </c>
      <c r="GBV2" t="n">
        <v>2667</v>
      </c>
      <c r="GBW2" t="n">
        <v>2668</v>
      </c>
      <c r="GBX2" t="n">
        <v>2669</v>
      </c>
      <c r="GBY2" t="n">
        <v>2670</v>
      </c>
      <c r="GBZ2" t="n">
        <v>2671</v>
      </c>
      <c r="GCA2" t="n">
        <v>2672</v>
      </c>
      <c r="GCB2" t="n">
        <v>2673</v>
      </c>
      <c r="GCC2" t="n">
        <v>2674</v>
      </c>
      <c r="GCD2" t="n">
        <v>2675</v>
      </c>
      <c r="GCE2" t="n">
        <v>2676</v>
      </c>
      <c r="GCF2" t="n">
        <v>2677</v>
      </c>
      <c r="GCG2" t="n">
        <v>2678</v>
      </c>
      <c r="GCH2" t="n">
        <v>2679</v>
      </c>
      <c r="GCI2" t="n">
        <v>2680</v>
      </c>
      <c r="GCJ2" t="n">
        <v>2681</v>
      </c>
      <c r="GCK2" t="n">
        <v>2682</v>
      </c>
      <c r="GCL2" t="n">
        <v>2683</v>
      </c>
      <c r="GCM2" t="n">
        <v>2684</v>
      </c>
      <c r="GCN2" t="n">
        <v>2685</v>
      </c>
      <c r="GCO2" t="n">
        <v>2686</v>
      </c>
      <c r="GCP2" t="n">
        <v>2687</v>
      </c>
      <c r="GCQ2" t="n">
        <v>2688</v>
      </c>
      <c r="GCR2" t="n">
        <v>2689</v>
      </c>
      <c r="GCS2" t="n">
        <v>2690</v>
      </c>
      <c r="GCT2" t="n">
        <v>2691</v>
      </c>
      <c r="GCU2" t="n">
        <v>2692</v>
      </c>
      <c r="GCV2" t="n">
        <v>2693</v>
      </c>
      <c r="GCW2" t="n">
        <v>2694</v>
      </c>
      <c r="GCX2" t="n">
        <v>2695</v>
      </c>
      <c r="GCY2" t="n">
        <v>2696</v>
      </c>
      <c r="GCZ2" t="n">
        <v>2697</v>
      </c>
      <c r="GDA2" t="n">
        <v>2698</v>
      </c>
      <c r="GDB2" t="n">
        <v>2699</v>
      </c>
      <c r="GDC2" t="n">
        <v>2700</v>
      </c>
      <c r="GDD2" t="n">
        <v>2701</v>
      </c>
      <c r="GDE2" t="n">
        <v>2702</v>
      </c>
      <c r="GDF2" t="n">
        <v>2703</v>
      </c>
      <c r="GDG2" t="n">
        <v>2704</v>
      </c>
      <c r="GDH2" t="n">
        <v>2705</v>
      </c>
      <c r="GDI2" t="n">
        <v>2706</v>
      </c>
      <c r="GDJ2" t="n">
        <v>2707</v>
      </c>
      <c r="GDK2" t="n">
        <v>2708</v>
      </c>
      <c r="GDL2" t="n">
        <v>2709</v>
      </c>
      <c r="GDM2" t="n">
        <v>2710</v>
      </c>
      <c r="GDN2" t="n">
        <v>2711</v>
      </c>
      <c r="GDO2" t="n">
        <v>2712</v>
      </c>
      <c r="GDP2" t="n">
        <v>2713</v>
      </c>
      <c r="GDQ2" t="n">
        <v>2714</v>
      </c>
      <c r="GDR2" t="n">
        <v>2715</v>
      </c>
      <c r="GDS2" t="n">
        <v>2716</v>
      </c>
      <c r="GDT2" t="n">
        <v>2717</v>
      </c>
      <c r="GDU2" t="n">
        <v>2718</v>
      </c>
      <c r="GDV2" t="n">
        <v>2719</v>
      </c>
      <c r="GDW2" t="n">
        <v>2720</v>
      </c>
      <c r="GDX2" t="n">
        <v>2721</v>
      </c>
      <c r="GDY2" t="n">
        <v>2722</v>
      </c>
      <c r="GDZ2" t="n">
        <v>2723</v>
      </c>
      <c r="GEA2" t="n">
        <v>2724</v>
      </c>
      <c r="GEB2" t="n">
        <v>2725</v>
      </c>
      <c r="GEC2" t="n">
        <v>2726</v>
      </c>
      <c r="GED2" t="n">
        <v>2727</v>
      </c>
      <c r="GEE2" t="n">
        <v>2728</v>
      </c>
      <c r="GEF2" t="n">
        <v>2729</v>
      </c>
      <c r="GEG2" t="n">
        <v>2730</v>
      </c>
      <c r="GEH2" t="n">
        <v>2731</v>
      </c>
      <c r="GEI2" t="n">
        <v>2732</v>
      </c>
      <c r="GEJ2" t="n">
        <v>2733</v>
      </c>
      <c r="GEK2" t="n">
        <v>2734</v>
      </c>
      <c r="GEL2" t="n">
        <v>2735</v>
      </c>
      <c r="GEM2" t="n">
        <v>2736</v>
      </c>
      <c r="GEN2" t="n">
        <v>2737</v>
      </c>
      <c r="GEO2" t="n">
        <v>2738</v>
      </c>
      <c r="GEP2" t="n">
        <v>2739</v>
      </c>
      <c r="GEQ2" t="n">
        <v>2740</v>
      </c>
      <c r="GER2" t="n">
        <v>2741</v>
      </c>
      <c r="GES2" t="n">
        <v>2742</v>
      </c>
      <c r="GET2" t="n">
        <v>2743</v>
      </c>
      <c r="GEU2" t="n">
        <v>2744</v>
      </c>
      <c r="GEV2" t="n">
        <v>2745</v>
      </c>
      <c r="GEW2" t="n">
        <v>2746</v>
      </c>
      <c r="GEX2" t="n">
        <v>2747</v>
      </c>
      <c r="GEY2" t="n">
        <v>2748</v>
      </c>
      <c r="GEZ2" t="n">
        <v>2749</v>
      </c>
      <c r="GFA2" t="n">
        <v>2750</v>
      </c>
      <c r="GFB2" t="n">
        <v>2751</v>
      </c>
      <c r="GFC2" t="n">
        <v>2752</v>
      </c>
      <c r="GFD2" t="n">
        <v>2753</v>
      </c>
      <c r="GFE2" t="n">
        <v>2754</v>
      </c>
      <c r="GFF2" t="n">
        <v>2755</v>
      </c>
      <c r="GFG2" t="n">
        <v>2756</v>
      </c>
      <c r="GFH2" t="n">
        <v>2757</v>
      </c>
      <c r="GFI2" t="n">
        <v>2758</v>
      </c>
      <c r="GFJ2" t="n">
        <v>2759</v>
      </c>
      <c r="GFK2" t="n">
        <v>2760</v>
      </c>
      <c r="GFL2" t="n">
        <v>2761</v>
      </c>
      <c r="GFM2" t="n">
        <v>2762</v>
      </c>
      <c r="GFN2" t="n">
        <v>2763</v>
      </c>
      <c r="GFO2" t="n">
        <v>2764</v>
      </c>
      <c r="GFP2" t="n">
        <v>2765</v>
      </c>
      <c r="GFQ2" t="n">
        <v>2766</v>
      </c>
      <c r="GFR2" t="n">
        <v>2767</v>
      </c>
      <c r="GFS2" t="n">
        <v>2768</v>
      </c>
      <c r="GFT2" t="n">
        <v>2769</v>
      </c>
      <c r="GFU2" t="n">
        <v>2770</v>
      </c>
      <c r="GFV2" t="n">
        <v>2771</v>
      </c>
      <c r="GFW2" t="n">
        <v>2772</v>
      </c>
      <c r="GFX2" t="n">
        <v>2773</v>
      </c>
      <c r="GFY2" t="n">
        <v>2774</v>
      </c>
      <c r="GFZ2" t="n">
        <v>2775</v>
      </c>
      <c r="GGA2" t="n">
        <v>2776</v>
      </c>
      <c r="GGB2" t="n">
        <v>2777</v>
      </c>
      <c r="GGC2" t="n">
        <v>2778</v>
      </c>
      <c r="GGD2" t="n">
        <v>2779</v>
      </c>
      <c r="GGE2" t="n">
        <v>2780</v>
      </c>
      <c r="GGF2" t="n">
        <v>2781</v>
      </c>
      <c r="GGG2" t="n">
        <v>2782</v>
      </c>
      <c r="GGH2" t="n">
        <v>2783</v>
      </c>
      <c r="GGI2" t="n">
        <v>2784</v>
      </c>
      <c r="GGJ2" t="n">
        <v>2785</v>
      </c>
      <c r="GGK2" t="n">
        <v>2786</v>
      </c>
      <c r="GGL2" t="n">
        <v>2787</v>
      </c>
      <c r="GGM2" t="n">
        <v>2788</v>
      </c>
      <c r="GGN2" t="n">
        <v>2789</v>
      </c>
      <c r="GGO2" t="n">
        <v>2790</v>
      </c>
      <c r="GGP2" t="n">
        <v>2791</v>
      </c>
      <c r="GGQ2" t="n">
        <v>2792</v>
      </c>
      <c r="GGR2" t="n">
        <v>2793</v>
      </c>
      <c r="GGS2" t="n">
        <v>2794</v>
      </c>
      <c r="GGT2" t="n">
        <v>2795</v>
      </c>
      <c r="GGU2" t="n">
        <v>2796</v>
      </c>
      <c r="GGV2" t="n">
        <v>2797</v>
      </c>
      <c r="GGW2" t="n">
        <v>2798</v>
      </c>
      <c r="GGX2" t="n">
        <v>2799</v>
      </c>
      <c r="GGY2" t="n">
        <v>2800</v>
      </c>
      <c r="GGZ2" t="n">
        <v>2801</v>
      </c>
      <c r="GHA2" t="n">
        <v>2802</v>
      </c>
      <c r="GHB2" t="n">
        <v>2803</v>
      </c>
      <c r="GHC2" t="n">
        <v>2804</v>
      </c>
      <c r="GHD2" t="n">
        <v>2805</v>
      </c>
      <c r="GHE2" t="n">
        <v>2806</v>
      </c>
      <c r="GHF2" t="n">
        <v>2807</v>
      </c>
      <c r="GHG2" t="n">
        <v>2808</v>
      </c>
      <c r="GHH2" t="n">
        <v>2809</v>
      </c>
      <c r="GHI2" t="n">
        <v>2810</v>
      </c>
      <c r="GHJ2" t="n">
        <v>2811</v>
      </c>
      <c r="GHK2" t="n">
        <v>2812</v>
      </c>
      <c r="GHL2" t="n">
        <v>2813</v>
      </c>
      <c r="GHM2" t="n">
        <v>2814</v>
      </c>
      <c r="GHN2" t="n">
        <v>2815</v>
      </c>
      <c r="GHO2" t="n">
        <v>2816</v>
      </c>
      <c r="GHP2" t="n">
        <v>2817</v>
      </c>
      <c r="GHQ2" t="n">
        <v>2818</v>
      </c>
      <c r="GHR2" t="n">
        <v>2819</v>
      </c>
      <c r="GHS2" t="n">
        <v>2820</v>
      </c>
      <c r="GHT2" t="n">
        <v>2821</v>
      </c>
      <c r="GHU2" t="n">
        <v>2822</v>
      </c>
      <c r="GHV2" t="n">
        <v>2823</v>
      </c>
      <c r="GHW2" t="n">
        <v>2824</v>
      </c>
      <c r="GHX2" t="n">
        <v>2825</v>
      </c>
      <c r="GHY2" t="n">
        <v>2826</v>
      </c>
      <c r="GHZ2" t="n">
        <v>2827</v>
      </c>
      <c r="GIA2" t="n">
        <v>2828</v>
      </c>
      <c r="GIB2" t="n">
        <v>2829</v>
      </c>
      <c r="GIC2" t="n">
        <v>2830</v>
      </c>
      <c r="GID2" t="n">
        <v>2831</v>
      </c>
      <c r="GIE2" t="n">
        <v>2832</v>
      </c>
      <c r="GIF2" t="n">
        <v>2833</v>
      </c>
      <c r="GIG2" t="n">
        <v>2834</v>
      </c>
      <c r="GIH2" t="n">
        <v>2835</v>
      </c>
      <c r="GII2" t="n">
        <v>2836</v>
      </c>
      <c r="GIJ2" t="n">
        <v>2837</v>
      </c>
      <c r="GIK2" t="n">
        <v>2838</v>
      </c>
      <c r="GIL2" t="n">
        <v>2839</v>
      </c>
      <c r="GIM2" t="n">
        <v>2840</v>
      </c>
      <c r="GIN2" t="n">
        <v>2841</v>
      </c>
      <c r="GIO2" t="n">
        <v>2842</v>
      </c>
      <c r="GIP2" t="n">
        <v>2843</v>
      </c>
      <c r="GIQ2" t="n">
        <v>2844</v>
      </c>
      <c r="GIR2" t="n">
        <v>2845</v>
      </c>
      <c r="GIS2" t="n">
        <v>2846</v>
      </c>
      <c r="GIT2" t="n">
        <v>2847</v>
      </c>
      <c r="GIU2" t="n">
        <v>2848</v>
      </c>
      <c r="GIV2" t="n">
        <v>2849</v>
      </c>
      <c r="GIW2" t="n">
        <v>2850</v>
      </c>
      <c r="GIX2" t="n">
        <v>2851</v>
      </c>
      <c r="GIY2" t="n">
        <v>2852</v>
      </c>
      <c r="GIZ2" t="n">
        <v>2853</v>
      </c>
      <c r="GJA2" t="n">
        <v>2854</v>
      </c>
      <c r="GJB2" t="n">
        <v>2855</v>
      </c>
      <c r="GJC2" t="n">
        <v>2856</v>
      </c>
      <c r="GJD2" t="n">
        <v>2857</v>
      </c>
      <c r="GJE2" t="n">
        <v>2858</v>
      </c>
      <c r="GJF2" t="n">
        <v>2859</v>
      </c>
      <c r="GJG2" t="n">
        <v>2860</v>
      </c>
      <c r="GJH2" t="n">
        <v>2861</v>
      </c>
      <c r="GJI2" t="n">
        <v>2862</v>
      </c>
      <c r="GJJ2" t="n">
        <v>2863</v>
      </c>
      <c r="GJK2" t="n">
        <v>2864</v>
      </c>
      <c r="GJL2" t="n">
        <v>2865</v>
      </c>
      <c r="GJM2" t="n">
        <v>2866</v>
      </c>
      <c r="GJN2" t="n">
        <v>2867</v>
      </c>
      <c r="GJO2" t="n">
        <v>2868</v>
      </c>
      <c r="GJP2" t="n">
        <v>2869</v>
      </c>
      <c r="GJQ2" t="n">
        <v>2870</v>
      </c>
      <c r="GJR2" t="n">
        <v>2871</v>
      </c>
      <c r="GJS2" t="n">
        <v>2872</v>
      </c>
      <c r="GJT2" t="n">
        <v>2873</v>
      </c>
      <c r="GJU2" t="n">
        <v>2874</v>
      </c>
      <c r="GJV2" t="n">
        <v>2875</v>
      </c>
      <c r="GJW2" t="n">
        <v>2876</v>
      </c>
      <c r="GJX2" t="n">
        <v>2877</v>
      </c>
      <c r="GJY2" t="n">
        <v>2878</v>
      </c>
      <c r="GJZ2" t="n">
        <v>2879</v>
      </c>
      <c r="GKA2" t="n">
        <v>2880</v>
      </c>
      <c r="GKB2" t="n">
        <v>2881</v>
      </c>
      <c r="GKC2" t="n">
        <v>2882</v>
      </c>
      <c r="GKD2" t="n">
        <v>2883</v>
      </c>
      <c r="GKE2" t="n">
        <v>2884</v>
      </c>
      <c r="GKF2" t="n">
        <v>2885</v>
      </c>
      <c r="GKG2" t="n">
        <v>2886</v>
      </c>
      <c r="GKH2" t="n">
        <v>2887</v>
      </c>
      <c r="GKI2" t="n">
        <v>2888</v>
      </c>
      <c r="GKJ2" t="n">
        <v>2889</v>
      </c>
      <c r="GKK2" t="n">
        <v>2890</v>
      </c>
      <c r="GKL2" t="n">
        <v>2891</v>
      </c>
      <c r="GKM2" t="n">
        <v>2892</v>
      </c>
      <c r="GKN2" t="n">
        <v>2893</v>
      </c>
      <c r="GKO2" t="n">
        <v>2894</v>
      </c>
      <c r="GKP2" t="n">
        <v>2895</v>
      </c>
      <c r="GKQ2" t="n">
        <v>2896</v>
      </c>
      <c r="GKR2" t="n">
        <v>2897</v>
      </c>
      <c r="GKS2" t="n">
        <v>2898</v>
      </c>
      <c r="GKT2" t="n">
        <v>2899</v>
      </c>
      <c r="GKU2" t="n">
        <v>2900</v>
      </c>
      <c r="GKV2" t="n">
        <v>2901</v>
      </c>
      <c r="GKW2" t="n">
        <v>2902</v>
      </c>
      <c r="GKX2" t="n">
        <v>2903</v>
      </c>
      <c r="GKY2" t="n">
        <v>2904</v>
      </c>
      <c r="GKZ2" t="n">
        <v>2905</v>
      </c>
      <c r="GLA2" t="n">
        <v>2906</v>
      </c>
      <c r="GLB2" t="n">
        <v>2907</v>
      </c>
      <c r="GLC2" t="n">
        <v>2908</v>
      </c>
      <c r="GLD2" t="n">
        <v>2909</v>
      </c>
      <c r="GLE2" t="n">
        <v>2910</v>
      </c>
      <c r="GLF2" t="n">
        <v>2911</v>
      </c>
      <c r="GLG2" t="n">
        <v>2912</v>
      </c>
      <c r="GLH2" t="n">
        <v>2913</v>
      </c>
      <c r="GLI2" t="n">
        <v>2914</v>
      </c>
      <c r="GLJ2" t="n">
        <v>2915</v>
      </c>
      <c r="GLK2" t="n">
        <v>2916</v>
      </c>
      <c r="GLL2" t="n">
        <v>2917</v>
      </c>
      <c r="GLM2" t="n">
        <v>2918</v>
      </c>
      <c r="GLN2" t="n">
        <v>2919</v>
      </c>
      <c r="GLO2" t="n">
        <v>2920</v>
      </c>
      <c r="GLP2" t="n">
        <v>2921</v>
      </c>
      <c r="GLQ2" t="n">
        <v>2922</v>
      </c>
      <c r="GLR2" t="n">
        <v>2923</v>
      </c>
      <c r="GLS2" t="n">
        <v>2924</v>
      </c>
      <c r="GLT2" t="n">
        <v>2925</v>
      </c>
      <c r="GLU2" t="n">
        <v>2926</v>
      </c>
      <c r="GLV2" t="n">
        <v>2927</v>
      </c>
      <c r="GLW2" t="n">
        <v>2928</v>
      </c>
      <c r="GLX2" t="n">
        <v>2929</v>
      </c>
      <c r="GLY2" t="n">
        <v>2930</v>
      </c>
      <c r="GLZ2" t="n">
        <v>2931</v>
      </c>
      <c r="GMA2" t="n">
        <v>2932</v>
      </c>
      <c r="GMB2" t="n">
        <v>2933</v>
      </c>
      <c r="GMC2" t="n">
        <v>2934</v>
      </c>
      <c r="GMD2" t="n">
        <v>2935</v>
      </c>
      <c r="GME2" t="n">
        <v>2936</v>
      </c>
      <c r="GMF2" t="n">
        <v>2937</v>
      </c>
      <c r="GMG2" t="n">
        <v>2938</v>
      </c>
      <c r="GMH2" t="n">
        <v>2939</v>
      </c>
      <c r="GMI2" t="n">
        <v>2940</v>
      </c>
      <c r="GMJ2" t="n">
        <v>2941</v>
      </c>
      <c r="GMK2" t="n">
        <v>2942</v>
      </c>
      <c r="GML2" t="n">
        <v>2943</v>
      </c>
      <c r="GMM2" t="n">
        <v>2944</v>
      </c>
      <c r="GMN2" t="n">
        <v>2945</v>
      </c>
      <c r="GMO2" t="n">
        <v>2946</v>
      </c>
      <c r="GMP2" t="n">
        <v>2947</v>
      </c>
      <c r="GMQ2" t="n">
        <v>2948</v>
      </c>
      <c r="GMR2" t="n">
        <v>2949</v>
      </c>
      <c r="GMS2" t="n">
        <v>2950</v>
      </c>
      <c r="GMT2" t="n">
        <v>2951</v>
      </c>
      <c r="GMU2" t="n">
        <v>2952</v>
      </c>
      <c r="GMV2" t="n">
        <v>2953</v>
      </c>
      <c r="GMW2" t="n">
        <v>2954</v>
      </c>
      <c r="GMX2" t="n">
        <v>2955</v>
      </c>
      <c r="GMY2" t="n">
        <v>2956</v>
      </c>
      <c r="GMZ2" t="n">
        <v>2957</v>
      </c>
      <c r="GNA2" t="n">
        <v>2958</v>
      </c>
      <c r="GNB2" t="n">
        <v>2959</v>
      </c>
      <c r="GNC2" t="n">
        <v>2960</v>
      </c>
      <c r="GND2" t="n">
        <v>2961</v>
      </c>
      <c r="GNE2" t="n">
        <v>2962</v>
      </c>
      <c r="GNF2" t="n">
        <v>2963</v>
      </c>
      <c r="GNG2" t="n">
        <v>2964</v>
      </c>
      <c r="GNH2" t="n">
        <v>2965</v>
      </c>
      <c r="GNI2" t="n">
        <v>2966</v>
      </c>
      <c r="GNJ2" t="n">
        <v>2967</v>
      </c>
      <c r="GNK2" t="n">
        <v>2968</v>
      </c>
      <c r="GNL2" t="n">
        <v>2969</v>
      </c>
      <c r="GNM2" t="n">
        <v>2970</v>
      </c>
      <c r="GNN2" t="n">
        <v>2971</v>
      </c>
      <c r="GNO2" t="n">
        <v>2972</v>
      </c>
      <c r="GNP2" t="n">
        <v>2973</v>
      </c>
      <c r="GNQ2" t="n">
        <v>2974</v>
      </c>
      <c r="GNR2" t="n">
        <v>2975</v>
      </c>
      <c r="GNS2" t="n">
        <v>2976</v>
      </c>
      <c r="GNT2" t="n">
        <v>2977</v>
      </c>
      <c r="GNU2" t="n">
        <v>2978</v>
      </c>
      <c r="GNV2" t="n">
        <v>2979</v>
      </c>
      <c r="GNW2" t="n">
        <v>2980</v>
      </c>
      <c r="GNX2" t="n">
        <v>2981</v>
      </c>
      <c r="GNY2" t="n">
        <v>2982</v>
      </c>
      <c r="GNZ2" t="n">
        <v>2983</v>
      </c>
      <c r="GOA2" t="n">
        <v>2984</v>
      </c>
      <c r="GOB2" t="n">
        <v>2985</v>
      </c>
      <c r="GOC2" t="n">
        <v>2986</v>
      </c>
      <c r="GOD2" t="n">
        <v>2987</v>
      </c>
      <c r="GOE2" t="n">
        <v>2988</v>
      </c>
      <c r="GOF2" t="n">
        <v>2989</v>
      </c>
      <c r="GOG2" t="n">
        <v>2990</v>
      </c>
      <c r="GOH2" t="n">
        <v>2991</v>
      </c>
      <c r="GOI2" t="n">
        <v>2992</v>
      </c>
      <c r="GOJ2" t="n">
        <v>2993</v>
      </c>
      <c r="GOK2" t="n">
        <v>2994</v>
      </c>
      <c r="GOL2" t="n">
        <v>2995</v>
      </c>
      <c r="GOM2" t="n">
        <v>2996</v>
      </c>
      <c r="GON2" t="n">
        <v>2997</v>
      </c>
      <c r="GOO2" t="n">
        <v>2998</v>
      </c>
      <c r="GOP2" t="n">
        <v>2999</v>
      </c>
      <c r="GOQ2" t="n">
        <v>3000</v>
      </c>
      <c r="GOR2" t="n">
        <v>3001</v>
      </c>
      <c r="GOS2" t="n">
        <v>3002</v>
      </c>
      <c r="GOT2" t="n">
        <v>3003</v>
      </c>
      <c r="GOU2" t="n">
        <v>3004</v>
      </c>
      <c r="GOV2" t="n">
        <v>3005</v>
      </c>
      <c r="GOW2" t="n">
        <v>3006</v>
      </c>
      <c r="GOX2" t="n">
        <v>3007</v>
      </c>
      <c r="GOY2" t="n">
        <v>3008</v>
      </c>
      <c r="GOZ2" t="n">
        <v>3009</v>
      </c>
      <c r="GPA2" t="n">
        <v>3010</v>
      </c>
      <c r="GPB2" t="n">
        <v>3011</v>
      </c>
      <c r="GPC2" t="n">
        <v>3012</v>
      </c>
      <c r="GPD2" t="n">
        <v>3013</v>
      </c>
      <c r="GPE2" t="n">
        <v>3014</v>
      </c>
      <c r="GPF2" t="n">
        <v>3015</v>
      </c>
      <c r="GPG2" t="n">
        <v>3016</v>
      </c>
      <c r="GPH2" t="n">
        <v>3017</v>
      </c>
      <c r="GPI2" t="n">
        <v>3018</v>
      </c>
      <c r="GPJ2" t="n">
        <v>3019</v>
      </c>
      <c r="GPK2" t="n">
        <v>3020</v>
      </c>
      <c r="GPL2" t="n">
        <v>3021</v>
      </c>
      <c r="GPM2" t="n">
        <v>3022</v>
      </c>
      <c r="GPN2" t="n">
        <v>3023</v>
      </c>
      <c r="GPO2" t="n">
        <v>3024</v>
      </c>
      <c r="GPP2" t="n">
        <v>3025</v>
      </c>
      <c r="GPQ2" t="n">
        <v>3026</v>
      </c>
      <c r="GPR2" t="n">
        <v>3027</v>
      </c>
      <c r="GPS2" t="n">
        <v>3028</v>
      </c>
      <c r="GPT2" t="n">
        <v>3029</v>
      </c>
      <c r="GPU2" t="n">
        <v>3030</v>
      </c>
      <c r="GPV2" t="n">
        <v>3031</v>
      </c>
      <c r="GPW2" t="n">
        <v>3032</v>
      </c>
      <c r="GPX2" t="n">
        <v>3033</v>
      </c>
      <c r="GPY2" t="n">
        <v>3034</v>
      </c>
      <c r="GPZ2" t="n">
        <v>3035</v>
      </c>
      <c r="GQA2" t="n">
        <v>3036</v>
      </c>
      <c r="GQB2" t="n">
        <v>3037</v>
      </c>
      <c r="GQC2" t="n">
        <v>3038</v>
      </c>
      <c r="GQD2" t="n">
        <v>3039</v>
      </c>
      <c r="GQE2" t="n">
        <v>3040</v>
      </c>
      <c r="GQF2" t="n">
        <v>3041</v>
      </c>
      <c r="GQG2" t="n">
        <v>3042</v>
      </c>
      <c r="GQH2" t="n">
        <v>3043</v>
      </c>
      <c r="GQI2" t="n">
        <v>3044</v>
      </c>
      <c r="GQJ2" t="n">
        <v>3045</v>
      </c>
      <c r="GQK2" t="n">
        <v>3046</v>
      </c>
      <c r="GQL2" t="n">
        <v>3047</v>
      </c>
      <c r="GQM2" t="n">
        <v>3048</v>
      </c>
      <c r="GQN2" t="n">
        <v>3049</v>
      </c>
      <c r="GQO2" t="n">
        <v>3050</v>
      </c>
      <c r="GQP2" t="n">
        <v>3051</v>
      </c>
      <c r="GQQ2" t="n">
        <v>3052</v>
      </c>
      <c r="GQR2" t="n">
        <v>3053</v>
      </c>
      <c r="GQS2" t="n">
        <v>3054</v>
      </c>
      <c r="GQT2" t="n">
        <v>3055</v>
      </c>
      <c r="GQU2" t="n">
        <v>3056</v>
      </c>
      <c r="GQV2" t="n">
        <v>3057</v>
      </c>
      <c r="GQW2" t="n">
        <v>3058</v>
      </c>
      <c r="GQX2" t="n">
        <v>3059</v>
      </c>
      <c r="GQY2" t="n">
        <v>3060</v>
      </c>
      <c r="GQZ2" t="n">
        <v>3061</v>
      </c>
      <c r="GRA2" t="n">
        <v>3062</v>
      </c>
      <c r="GRB2" t="n">
        <v>3063</v>
      </c>
      <c r="GRC2" t="n">
        <v>3064</v>
      </c>
      <c r="GRD2" t="n">
        <v>3065</v>
      </c>
      <c r="GRE2" t="n">
        <v>3066</v>
      </c>
      <c r="GRF2" t="n">
        <v>3067</v>
      </c>
      <c r="GRG2" t="n">
        <v>3068</v>
      </c>
      <c r="GRH2" t="n">
        <v>3069</v>
      </c>
      <c r="GRI2" t="n">
        <v>3070</v>
      </c>
      <c r="GRJ2" t="n">
        <v>3071</v>
      </c>
      <c r="GRK2" t="n">
        <v>3072</v>
      </c>
      <c r="GRL2" t="n">
        <v>3073</v>
      </c>
      <c r="GRM2" t="n">
        <v>3074</v>
      </c>
      <c r="GRN2" t="n">
        <v>3075</v>
      </c>
      <c r="GRO2" t="n">
        <v>3076</v>
      </c>
      <c r="GRP2" t="n">
        <v>3077</v>
      </c>
      <c r="GRQ2" t="n">
        <v>3078</v>
      </c>
      <c r="GRR2" t="n">
        <v>3079</v>
      </c>
      <c r="GRS2" t="n">
        <v>3080</v>
      </c>
      <c r="GRT2" t="n">
        <v>3081</v>
      </c>
      <c r="GRU2" t="n">
        <v>3082</v>
      </c>
      <c r="GRV2" t="n">
        <v>3083</v>
      </c>
      <c r="GRW2" t="n">
        <v>3084</v>
      </c>
      <c r="GRX2" t="n">
        <v>3085</v>
      </c>
      <c r="GRY2" t="n">
        <v>3086</v>
      </c>
      <c r="GRZ2" t="n">
        <v>3087</v>
      </c>
      <c r="GSA2" t="n">
        <v>3088</v>
      </c>
      <c r="GSB2" t="n">
        <v>3089</v>
      </c>
      <c r="GSC2" t="n">
        <v>3090</v>
      </c>
      <c r="GSD2" t="n">
        <v>3091</v>
      </c>
      <c r="GSE2" t="n">
        <v>3092</v>
      </c>
      <c r="GSF2" t="n">
        <v>3093</v>
      </c>
      <c r="GSG2" t="n">
        <v>3094</v>
      </c>
      <c r="GSH2" t="n">
        <v>3095</v>
      </c>
      <c r="GSI2" t="n">
        <v>3096</v>
      </c>
      <c r="GSJ2" t="n">
        <v>3097</v>
      </c>
      <c r="GSK2" t="n">
        <v>3098</v>
      </c>
      <c r="GSL2" t="n">
        <v>3099</v>
      </c>
      <c r="GSM2" t="n">
        <v>3100</v>
      </c>
      <c r="GSN2" t="n">
        <v>3101</v>
      </c>
      <c r="GSO2" t="n">
        <v>3102</v>
      </c>
      <c r="GSP2" t="n">
        <v>3103</v>
      </c>
      <c r="GSQ2" t="n">
        <v>3104</v>
      </c>
      <c r="GSR2" t="n">
        <v>3105</v>
      </c>
      <c r="GSS2" t="n">
        <v>3106</v>
      </c>
      <c r="GST2" t="n">
        <v>3107</v>
      </c>
      <c r="GSU2" t="n">
        <v>3108</v>
      </c>
      <c r="GSV2" t="n">
        <v>3109</v>
      </c>
      <c r="GSW2" t="n">
        <v>3110</v>
      </c>
      <c r="GSX2" t="n">
        <v>3111</v>
      </c>
      <c r="GSY2" t="n">
        <v>3112</v>
      </c>
      <c r="GSZ2" t="n">
        <v>3113</v>
      </c>
      <c r="GTA2" t="n">
        <v>3114</v>
      </c>
      <c r="GTB2" t="n">
        <v>3115</v>
      </c>
      <c r="GTC2" t="n">
        <v>3116</v>
      </c>
      <c r="GTD2" t="n">
        <v>3117</v>
      </c>
      <c r="GTE2" t="n">
        <v>3118</v>
      </c>
      <c r="GTF2" t="n">
        <v>3119</v>
      </c>
      <c r="GTG2" t="n">
        <v>3120</v>
      </c>
      <c r="GTH2" t="n">
        <v>3121</v>
      </c>
      <c r="GTI2" t="n">
        <v>3122</v>
      </c>
      <c r="GTJ2" t="n">
        <v>3123</v>
      </c>
      <c r="GTK2" t="n">
        <v>3124</v>
      </c>
      <c r="GTL2" t="n">
        <v>3125</v>
      </c>
      <c r="GTM2" t="n">
        <v>3126</v>
      </c>
      <c r="GTN2" t="n">
        <v>3127</v>
      </c>
      <c r="GTO2" t="n">
        <v>3128</v>
      </c>
      <c r="GTP2" t="n">
        <v>3129</v>
      </c>
      <c r="GTQ2" t="n">
        <v>3130</v>
      </c>
      <c r="GTR2" t="n">
        <v>3131</v>
      </c>
      <c r="GTS2" t="n">
        <v>3132</v>
      </c>
      <c r="GTT2" t="n">
        <v>3133</v>
      </c>
      <c r="GTU2" t="n">
        <v>3134</v>
      </c>
      <c r="GTV2" t="n">
        <v>3135</v>
      </c>
      <c r="GTW2" t="n">
        <v>3136</v>
      </c>
      <c r="GTX2" t="n">
        <v>3137</v>
      </c>
      <c r="GTY2" t="n">
        <v>3138</v>
      </c>
      <c r="GTZ2" t="n">
        <v>3139</v>
      </c>
      <c r="GUA2" t="n">
        <v>3140</v>
      </c>
      <c r="GUB2" t="n">
        <v>3141</v>
      </c>
      <c r="GUC2" t="n">
        <v>3142</v>
      </c>
      <c r="GUD2" t="n">
        <v>3143</v>
      </c>
      <c r="GUE2" t="n">
        <v>3144</v>
      </c>
      <c r="GUF2" t="n">
        <v>3145</v>
      </c>
      <c r="GUG2" t="n">
        <v>3146</v>
      </c>
      <c r="GUH2" t="n">
        <v>3147</v>
      </c>
      <c r="GUI2" t="n">
        <v>3148</v>
      </c>
      <c r="GUJ2" t="n">
        <v>3149</v>
      </c>
      <c r="GUK2" t="n">
        <v>3150</v>
      </c>
      <c r="GUL2" t="n">
        <v>3151</v>
      </c>
      <c r="GUM2" t="n">
        <v>3152</v>
      </c>
      <c r="GUN2" t="n">
        <v>3153</v>
      </c>
      <c r="GUO2" t="n">
        <v>3154</v>
      </c>
      <c r="GUP2" t="n">
        <v>3155</v>
      </c>
      <c r="GUQ2" t="n">
        <v>3156</v>
      </c>
      <c r="GUR2" t="n">
        <v>3157</v>
      </c>
      <c r="GUS2" t="n">
        <v>3158</v>
      </c>
      <c r="GUT2" t="n">
        <v>3159</v>
      </c>
      <c r="GUU2" t="n">
        <v>3160</v>
      </c>
      <c r="GUV2" t="n">
        <v>3161</v>
      </c>
      <c r="GUW2" t="n">
        <v>3162</v>
      </c>
      <c r="GUX2" t="n">
        <v>3163</v>
      </c>
      <c r="GUY2" t="n">
        <v>3164</v>
      </c>
      <c r="GUZ2" t="n">
        <v>3165</v>
      </c>
      <c r="GVA2" t="n">
        <v>3166</v>
      </c>
      <c r="GVB2" t="n">
        <v>3167</v>
      </c>
      <c r="GVC2" t="n">
        <v>3168</v>
      </c>
      <c r="GVD2" t="n">
        <v>3169</v>
      </c>
      <c r="GVE2" t="n">
        <v>3170</v>
      </c>
      <c r="GVF2" t="n">
        <v>3171</v>
      </c>
      <c r="GVG2" t="n">
        <v>3172</v>
      </c>
      <c r="GVH2" t="n">
        <v>3173</v>
      </c>
      <c r="GVI2" t="n">
        <v>3174</v>
      </c>
      <c r="GVJ2" t="n">
        <v>3175</v>
      </c>
      <c r="GVK2" t="n">
        <v>3176</v>
      </c>
      <c r="GVL2" t="n">
        <v>3177</v>
      </c>
      <c r="GVM2" t="n">
        <v>3178</v>
      </c>
      <c r="GVN2" t="n">
        <v>3179</v>
      </c>
      <c r="GVO2" t="n">
        <v>3180</v>
      </c>
      <c r="GVP2" t="n">
        <v>3181</v>
      </c>
      <c r="GVQ2" t="n">
        <v>3182</v>
      </c>
      <c r="GVR2" t="n">
        <v>3183</v>
      </c>
      <c r="GVS2" t="n">
        <v>3184</v>
      </c>
      <c r="GVT2" t="n">
        <v>3185</v>
      </c>
      <c r="GVU2" t="n">
        <v>3186</v>
      </c>
      <c r="GVV2" t="n">
        <v>3187</v>
      </c>
      <c r="GVW2" t="n">
        <v>3188</v>
      </c>
      <c r="GVX2" t="n">
        <v>3189</v>
      </c>
      <c r="GVY2" t="n">
        <v>3190</v>
      </c>
      <c r="GVZ2" t="n">
        <v>3191</v>
      </c>
      <c r="GWA2" t="n">
        <v>3192</v>
      </c>
      <c r="GWB2" t="n">
        <v>3193</v>
      </c>
      <c r="GWC2" t="n">
        <v>3194</v>
      </c>
      <c r="GWD2" t="n">
        <v>3195</v>
      </c>
      <c r="GWE2" t="n">
        <v>3196</v>
      </c>
      <c r="GWF2" t="n">
        <v>3197</v>
      </c>
      <c r="GWG2" t="n">
        <v>3198</v>
      </c>
      <c r="GWH2" t="n">
        <v>3199</v>
      </c>
      <c r="GWI2" t="n">
        <v>3200</v>
      </c>
      <c r="GWJ2" t="n">
        <v>3201</v>
      </c>
      <c r="GWK2" t="n">
        <v>3202</v>
      </c>
      <c r="GWL2" t="n">
        <v>3203</v>
      </c>
      <c r="GWM2" t="n">
        <v>3204</v>
      </c>
      <c r="GWN2" t="n">
        <v>3205</v>
      </c>
      <c r="GWO2" t="n">
        <v>3206</v>
      </c>
      <c r="GWP2" t="n">
        <v>3207</v>
      </c>
      <c r="GWQ2" t="n">
        <v>3208</v>
      </c>
      <c r="GWR2" t="n">
        <v>3209</v>
      </c>
      <c r="GWS2" t="n">
        <v>3210</v>
      </c>
      <c r="GWT2" t="n">
        <v>3211</v>
      </c>
      <c r="GWU2" t="n">
        <v>3212</v>
      </c>
      <c r="GWV2" t="n">
        <v>3213</v>
      </c>
      <c r="GWW2" t="n">
        <v>3214</v>
      </c>
      <c r="GWX2" t="n">
        <v>3215</v>
      </c>
      <c r="GWY2" t="n">
        <v>3216</v>
      </c>
      <c r="GWZ2" t="n">
        <v>3217</v>
      </c>
      <c r="GXA2" t="n">
        <v>3218</v>
      </c>
      <c r="GXB2" t="n">
        <v>3219</v>
      </c>
      <c r="GXC2" t="n">
        <v>3220</v>
      </c>
      <c r="GXD2" t="n">
        <v>3221</v>
      </c>
      <c r="GXE2" t="n">
        <v>3222</v>
      </c>
      <c r="GXF2" t="n">
        <v>3223</v>
      </c>
      <c r="GXG2" t="n">
        <v>3224</v>
      </c>
      <c r="GXH2" t="n">
        <v>3225</v>
      </c>
      <c r="GXI2" t="n">
        <v>3226</v>
      </c>
      <c r="GXJ2" t="n">
        <v>3227</v>
      </c>
      <c r="GXK2" t="n">
        <v>3228</v>
      </c>
      <c r="GXL2" t="n">
        <v>3229</v>
      </c>
      <c r="GXM2" t="n">
        <v>3230</v>
      </c>
      <c r="GXN2" t="n">
        <v>3231</v>
      </c>
      <c r="GXO2" t="n">
        <v>3232</v>
      </c>
      <c r="GXP2" t="n">
        <v>3233</v>
      </c>
      <c r="GXQ2" t="n">
        <v>3234</v>
      </c>
      <c r="GXR2" t="n">
        <v>3235</v>
      </c>
      <c r="GXS2" t="n">
        <v>3236</v>
      </c>
      <c r="GXT2" t="n">
        <v>3237</v>
      </c>
      <c r="GXU2" t="n">
        <v>3238</v>
      </c>
      <c r="GXV2" t="n">
        <v>3239</v>
      </c>
      <c r="GXW2" t="n">
        <v>3240</v>
      </c>
      <c r="GXX2" t="n">
        <v>3241</v>
      </c>
      <c r="GXY2" t="n">
        <v>3242</v>
      </c>
      <c r="GXZ2" t="n">
        <v>3243</v>
      </c>
      <c r="GYA2" t="n">
        <v>3244</v>
      </c>
      <c r="GYB2" t="n">
        <v>3245</v>
      </c>
      <c r="GYC2" t="n">
        <v>3246</v>
      </c>
      <c r="GYD2" t="n">
        <v>3247</v>
      </c>
      <c r="GYE2" t="n">
        <v>3248</v>
      </c>
      <c r="GYF2" t="n">
        <v>3249</v>
      </c>
      <c r="GYG2" t="n">
        <v>3250</v>
      </c>
      <c r="GYH2" t="n">
        <v>3251</v>
      </c>
      <c r="GYI2" t="n">
        <v>3252</v>
      </c>
      <c r="GYJ2" t="n">
        <v>3253</v>
      </c>
      <c r="GYK2" t="n">
        <v>3254</v>
      </c>
      <c r="GYL2" t="n">
        <v>3255</v>
      </c>
      <c r="GYM2" t="n">
        <v>3256</v>
      </c>
      <c r="GYN2" t="n">
        <v>3257</v>
      </c>
      <c r="GYO2" t="n">
        <v>3258</v>
      </c>
      <c r="GYP2" t="n">
        <v>3259</v>
      </c>
      <c r="GYQ2" t="n">
        <v>3260</v>
      </c>
      <c r="GYR2" t="n">
        <v>3261</v>
      </c>
      <c r="GYS2" t="n">
        <v>3262</v>
      </c>
      <c r="GYT2" t="n">
        <v>3263</v>
      </c>
      <c r="GYU2" t="n">
        <v>3264</v>
      </c>
      <c r="GYV2" t="n">
        <v>3265</v>
      </c>
      <c r="GYW2" t="n">
        <v>3266</v>
      </c>
      <c r="GYX2" t="n">
        <v>3267</v>
      </c>
      <c r="GYY2" t="n">
        <v>3268</v>
      </c>
      <c r="GYZ2" t="n">
        <v>3269</v>
      </c>
      <c r="GZA2" t="n">
        <v>3270</v>
      </c>
      <c r="GZB2" t="n">
        <v>3271</v>
      </c>
      <c r="GZC2" t="n">
        <v>3272</v>
      </c>
      <c r="GZD2" t="n">
        <v>3273</v>
      </c>
      <c r="GZE2" t="n">
        <v>3274</v>
      </c>
      <c r="GZF2" t="n">
        <v>3275</v>
      </c>
      <c r="GZG2" t="n">
        <v>3276</v>
      </c>
      <c r="GZH2" t="n">
        <v>3277</v>
      </c>
      <c r="GZI2" t="n">
        <v>3278</v>
      </c>
      <c r="GZJ2" t="n">
        <v>3279</v>
      </c>
      <c r="GZK2" t="n">
        <v>3280</v>
      </c>
      <c r="GZL2" t="n">
        <v>3281</v>
      </c>
      <c r="GZM2" t="n">
        <v>3282</v>
      </c>
      <c r="GZN2" t="n">
        <v>3283</v>
      </c>
      <c r="GZO2" t="n">
        <v>3284</v>
      </c>
      <c r="GZP2" t="n">
        <v>3285</v>
      </c>
      <c r="GZQ2" t="n">
        <v>3286</v>
      </c>
      <c r="GZR2" t="n">
        <v>3287</v>
      </c>
      <c r="GZS2" t="n">
        <v>3288</v>
      </c>
      <c r="GZT2" t="n">
        <v>3289</v>
      </c>
      <c r="GZU2" t="n">
        <v>3290</v>
      </c>
      <c r="GZV2" t="n">
        <v>3291</v>
      </c>
      <c r="GZW2" t="n">
        <v>3292</v>
      </c>
      <c r="GZX2" t="n">
        <v>3293</v>
      </c>
      <c r="GZY2" t="n">
        <v>3294</v>
      </c>
      <c r="GZZ2" t="n">
        <v>3295</v>
      </c>
      <c r="HAA2" t="n">
        <v>3296</v>
      </c>
      <c r="HAB2" t="n">
        <v>3297</v>
      </c>
      <c r="HAC2" t="n">
        <v>3298</v>
      </c>
      <c r="HAD2" t="n">
        <v>3299</v>
      </c>
      <c r="HAE2" t="n">
        <v>3300</v>
      </c>
      <c r="HAF2" t="n">
        <v>3301</v>
      </c>
      <c r="HAG2" t="n">
        <v>3302</v>
      </c>
      <c r="HAH2" t="n">
        <v>3303</v>
      </c>
      <c r="HAI2" t="n">
        <v>3304</v>
      </c>
      <c r="HAJ2" t="n">
        <v>3305</v>
      </c>
      <c r="HAK2" t="n">
        <v>3306</v>
      </c>
      <c r="HAL2" t="n">
        <v>3307</v>
      </c>
      <c r="HAM2" t="n">
        <v>3308</v>
      </c>
      <c r="HAN2" t="n">
        <v>3309</v>
      </c>
      <c r="HAO2" t="n">
        <v>3310</v>
      </c>
      <c r="HAP2" t="n">
        <v>3311</v>
      </c>
      <c r="HAQ2" t="n">
        <v>3312</v>
      </c>
      <c r="HAR2" t="n">
        <v>3313</v>
      </c>
      <c r="HAS2" t="n">
        <v>3314</v>
      </c>
      <c r="HAT2" t="n">
        <v>3315</v>
      </c>
      <c r="HAU2" t="n">
        <v>3316</v>
      </c>
      <c r="HAV2" t="n">
        <v>3317</v>
      </c>
      <c r="HAW2" t="n">
        <v>3318</v>
      </c>
      <c r="HAX2" t="n">
        <v>3319</v>
      </c>
      <c r="HAY2" t="n">
        <v>3320</v>
      </c>
      <c r="HAZ2" t="n">
        <v>3321</v>
      </c>
      <c r="HBA2" t="n">
        <v>3322</v>
      </c>
      <c r="HBB2" t="n">
        <v>3323</v>
      </c>
      <c r="HBC2" t="n">
        <v>3324</v>
      </c>
      <c r="HBD2" t="n">
        <v>3325</v>
      </c>
      <c r="HBE2" t="n">
        <v>3326</v>
      </c>
      <c r="HBF2" t="n">
        <v>3327</v>
      </c>
      <c r="HBG2" t="n">
        <v>3328</v>
      </c>
      <c r="HBH2" t="n">
        <v>3329</v>
      </c>
      <c r="HBI2" t="n">
        <v>3330</v>
      </c>
      <c r="HBJ2" t="n">
        <v>3331</v>
      </c>
      <c r="HBK2" t="n">
        <v>3332</v>
      </c>
      <c r="HBL2" t="n">
        <v>3333</v>
      </c>
      <c r="HBM2" t="n">
        <v>3334</v>
      </c>
      <c r="HBN2" t="n">
        <v>3335</v>
      </c>
      <c r="HBO2" t="n">
        <v>3336</v>
      </c>
      <c r="HBP2" t="n">
        <v>3337</v>
      </c>
      <c r="HBQ2" t="n">
        <v>3338</v>
      </c>
      <c r="HBR2" t="n">
        <v>3339</v>
      </c>
      <c r="HBS2" t="n">
        <v>3340</v>
      </c>
      <c r="HBT2" t="n">
        <v>3341</v>
      </c>
      <c r="HBU2" t="n">
        <v>3342</v>
      </c>
      <c r="HBV2" t="n">
        <v>3343</v>
      </c>
      <c r="HBW2" t="n">
        <v>3344</v>
      </c>
      <c r="HBX2" t="n">
        <v>3345</v>
      </c>
      <c r="HBY2" t="n">
        <v>3346</v>
      </c>
      <c r="HBZ2" t="n">
        <v>3347</v>
      </c>
      <c r="HCA2" t="n">
        <v>3348</v>
      </c>
      <c r="HCB2" t="n">
        <v>3349</v>
      </c>
      <c r="HCC2" t="n">
        <v>3350</v>
      </c>
      <c r="HCD2" t="n">
        <v>3351</v>
      </c>
      <c r="HCE2" t="n">
        <v>3352</v>
      </c>
      <c r="HCF2" t="n">
        <v>3353</v>
      </c>
      <c r="HCG2" t="n">
        <v>3354</v>
      </c>
      <c r="HCH2" t="n">
        <v>3355</v>
      </c>
      <c r="HCI2" t="n">
        <v>3356</v>
      </c>
      <c r="HCJ2" t="n">
        <v>3357</v>
      </c>
      <c r="HCK2" t="n">
        <v>3358</v>
      </c>
      <c r="HCL2" t="n">
        <v>3359</v>
      </c>
      <c r="HCM2" t="n">
        <v>3360</v>
      </c>
      <c r="HCN2" t="n">
        <v>3361</v>
      </c>
      <c r="HCO2" t="n">
        <v>3362</v>
      </c>
      <c r="HCP2" t="n">
        <v>3363</v>
      </c>
      <c r="HCQ2" t="n">
        <v>3364</v>
      </c>
      <c r="HCR2" t="n">
        <v>3365</v>
      </c>
      <c r="HCS2" t="n">
        <v>3366</v>
      </c>
      <c r="HCT2" t="n">
        <v>3367</v>
      </c>
      <c r="HCU2" t="n">
        <v>3368</v>
      </c>
      <c r="HCV2" t="n">
        <v>3369</v>
      </c>
      <c r="HCW2" t="n">
        <v>3370</v>
      </c>
      <c r="HCX2" t="n">
        <v>3371</v>
      </c>
      <c r="HCY2" t="n">
        <v>3372</v>
      </c>
      <c r="HCZ2" t="n">
        <v>3373</v>
      </c>
      <c r="HDA2" t="n">
        <v>3374</v>
      </c>
      <c r="HDB2" t="n">
        <v>3375</v>
      </c>
      <c r="HDC2" t="n">
        <v>3376</v>
      </c>
      <c r="HDD2" t="n">
        <v>3377</v>
      </c>
      <c r="HDE2" t="n">
        <v>3378</v>
      </c>
      <c r="HDF2" t="n">
        <v>3379</v>
      </c>
      <c r="HDG2" t="n">
        <v>3380</v>
      </c>
      <c r="HDH2" t="n">
        <v>3381</v>
      </c>
      <c r="HDI2" t="n">
        <v>3382</v>
      </c>
      <c r="HDJ2" t="n">
        <v>3383</v>
      </c>
      <c r="HDK2" t="n">
        <v>3384</v>
      </c>
      <c r="HDL2" t="n">
        <v>3385</v>
      </c>
      <c r="HDM2" t="n">
        <v>3386</v>
      </c>
      <c r="HDN2" t="n">
        <v>3387</v>
      </c>
      <c r="HDO2" t="n">
        <v>3388</v>
      </c>
      <c r="HDP2" t="n">
        <v>3389</v>
      </c>
      <c r="HDQ2" t="n">
        <v>3390</v>
      </c>
      <c r="HDR2" t="n">
        <v>3391</v>
      </c>
      <c r="HDS2" t="n">
        <v>3392</v>
      </c>
      <c r="HDT2" t="n">
        <v>3393</v>
      </c>
      <c r="HDU2" t="n">
        <v>3394</v>
      </c>
      <c r="HDV2" t="n">
        <v>3395</v>
      </c>
      <c r="HDW2" t="n">
        <v>3396</v>
      </c>
      <c r="HDX2" t="n">
        <v>3397</v>
      </c>
      <c r="HDY2" t="n">
        <v>3398</v>
      </c>
      <c r="HDZ2" t="n">
        <v>3399</v>
      </c>
      <c r="HEA2" t="n">
        <v>3400</v>
      </c>
      <c r="HEB2" t="n">
        <v>3401</v>
      </c>
      <c r="HEC2" t="n">
        <v>3402</v>
      </c>
      <c r="HED2" t="n">
        <v>3403</v>
      </c>
      <c r="HEE2" t="n">
        <v>3404</v>
      </c>
      <c r="HEF2" t="n">
        <v>3405</v>
      </c>
      <c r="HEG2" t="n">
        <v>3406</v>
      </c>
      <c r="HEH2" t="n">
        <v>3407</v>
      </c>
      <c r="HEI2" t="n">
        <v>3408</v>
      </c>
      <c r="HEJ2" t="n">
        <v>3409</v>
      </c>
      <c r="HEK2" t="n">
        <v>3410</v>
      </c>
      <c r="HEL2" t="n">
        <v>3411</v>
      </c>
      <c r="HEM2" t="n">
        <v>3412</v>
      </c>
      <c r="HEN2" t="n">
        <v>3413</v>
      </c>
      <c r="HEO2" t="n">
        <v>3414</v>
      </c>
      <c r="HEP2" t="n">
        <v>3415</v>
      </c>
      <c r="HEQ2" t="n">
        <v>3416</v>
      </c>
      <c r="HER2" t="n">
        <v>3417</v>
      </c>
      <c r="HES2" t="n">
        <v>3418</v>
      </c>
      <c r="HET2" t="n">
        <v>3419</v>
      </c>
      <c r="HEU2" t="n">
        <v>3420</v>
      </c>
      <c r="HEV2" t="n">
        <v>3421</v>
      </c>
      <c r="HEW2" t="n">
        <v>3422</v>
      </c>
      <c r="HEX2" t="n">
        <v>3423</v>
      </c>
      <c r="HEY2" t="n">
        <v>3424</v>
      </c>
      <c r="HEZ2" t="n">
        <v>3425</v>
      </c>
      <c r="HFA2" t="n">
        <v>3426</v>
      </c>
      <c r="HFB2" t="n">
        <v>3427</v>
      </c>
      <c r="HFC2" t="n">
        <v>3428</v>
      </c>
      <c r="HFD2" t="n">
        <v>3429</v>
      </c>
      <c r="HFE2" t="n">
        <v>3430</v>
      </c>
      <c r="HFF2" t="n">
        <v>3431</v>
      </c>
      <c r="HFG2" t="n">
        <v>3432</v>
      </c>
      <c r="HFH2" t="n">
        <v>3433</v>
      </c>
      <c r="HFI2" t="n">
        <v>3434</v>
      </c>
      <c r="HFJ2" t="n">
        <v>3435</v>
      </c>
      <c r="HFK2" t="n">
        <v>3436</v>
      </c>
      <c r="HFL2" t="n">
        <v>3437</v>
      </c>
      <c r="HFM2" t="n">
        <v>3438</v>
      </c>
      <c r="HFN2" t="n">
        <v>3439</v>
      </c>
      <c r="HFO2" t="n">
        <v>3440</v>
      </c>
      <c r="HFP2" t="n">
        <v>3441</v>
      </c>
      <c r="HFQ2" t="n">
        <v>3442</v>
      </c>
      <c r="HFR2" t="n">
        <v>3443</v>
      </c>
      <c r="HFS2" t="n">
        <v>3444</v>
      </c>
      <c r="HFT2" t="n">
        <v>3445</v>
      </c>
      <c r="HFU2" t="n">
        <v>3446</v>
      </c>
      <c r="HFV2" t="n">
        <v>3447</v>
      </c>
      <c r="HFW2" t="n">
        <v>3448</v>
      </c>
      <c r="HFX2" t="n">
        <v>3449</v>
      </c>
      <c r="HFY2" t="n">
        <v>3450</v>
      </c>
      <c r="HFZ2" t="n">
        <v>3451</v>
      </c>
      <c r="HGA2" t="n">
        <v>3452</v>
      </c>
      <c r="HGB2" t="n">
        <v>3453</v>
      </c>
      <c r="HGC2" t="n">
        <v>3454</v>
      </c>
      <c r="HGD2" t="n">
        <v>3455</v>
      </c>
      <c r="HGE2" t="n">
        <v>3456</v>
      </c>
      <c r="HGF2" t="n">
        <v>3457</v>
      </c>
      <c r="HGG2" t="n">
        <v>3458</v>
      </c>
      <c r="HGH2" t="n">
        <v>3459</v>
      </c>
      <c r="HGI2" t="n">
        <v>3460</v>
      </c>
      <c r="HGJ2" t="n">
        <v>3461</v>
      </c>
      <c r="HGK2" t="n">
        <v>3462</v>
      </c>
      <c r="HGL2" t="n">
        <v>3463</v>
      </c>
      <c r="HGM2" t="n">
        <v>3464</v>
      </c>
      <c r="HGN2" t="n">
        <v>3465</v>
      </c>
      <c r="HGO2" t="n">
        <v>3466</v>
      </c>
      <c r="HGP2" t="n">
        <v>3467</v>
      </c>
      <c r="HGQ2" t="n">
        <v>3468</v>
      </c>
      <c r="HGR2" t="n">
        <v>3469</v>
      </c>
      <c r="HGS2" t="n">
        <v>3470</v>
      </c>
      <c r="HGT2" t="n">
        <v>3471</v>
      </c>
      <c r="HGU2" t="n">
        <v>3472</v>
      </c>
      <c r="HGV2" t="n">
        <v>3473</v>
      </c>
      <c r="HGW2" t="n">
        <v>3474</v>
      </c>
      <c r="HGX2" t="n">
        <v>3475</v>
      </c>
      <c r="HGY2" t="n">
        <v>3476</v>
      </c>
      <c r="HGZ2" t="n">
        <v>3477</v>
      </c>
      <c r="HHA2" t="n">
        <v>3478</v>
      </c>
      <c r="HHB2" t="n">
        <v>3479</v>
      </c>
      <c r="HHC2" t="n">
        <v>3480</v>
      </c>
      <c r="HHD2" t="n">
        <v>3481</v>
      </c>
      <c r="HHE2" t="n">
        <v>3482</v>
      </c>
      <c r="HHF2" t="n">
        <v>3483</v>
      </c>
      <c r="HHG2" t="n">
        <v>3484</v>
      </c>
      <c r="HHH2" t="n">
        <v>3485</v>
      </c>
      <c r="HHI2" t="n">
        <v>3486</v>
      </c>
      <c r="HHJ2" t="n">
        <v>3487</v>
      </c>
      <c r="HHK2" t="n">
        <v>3488</v>
      </c>
      <c r="HHL2" t="n">
        <v>3489</v>
      </c>
      <c r="HHM2" t="n">
        <v>3490</v>
      </c>
      <c r="HHN2" t="n">
        <v>3491</v>
      </c>
      <c r="HHO2" t="n">
        <v>3492</v>
      </c>
      <c r="HHP2" t="n">
        <v>3493</v>
      </c>
      <c r="HHQ2" t="n">
        <v>3494</v>
      </c>
      <c r="HHR2" t="n">
        <v>3495</v>
      </c>
      <c r="HHS2" t="n">
        <v>3496</v>
      </c>
      <c r="HHT2" t="n">
        <v>3497</v>
      </c>
      <c r="HHU2" t="n">
        <v>3498</v>
      </c>
      <c r="HHV2" t="n">
        <v>3499</v>
      </c>
      <c r="HHW2" t="n">
        <v>3500</v>
      </c>
      <c r="HHX2" t="n">
        <v>3501</v>
      </c>
      <c r="HHY2" t="n">
        <v>3502</v>
      </c>
      <c r="HHZ2" t="n">
        <v>3503</v>
      </c>
      <c r="HIA2" t="n">
        <v>3504</v>
      </c>
      <c r="HIB2" t="n">
        <v>3505</v>
      </c>
      <c r="HIC2" t="n">
        <v>3506</v>
      </c>
      <c r="HID2" t="n">
        <v>3507</v>
      </c>
      <c r="HIE2" t="n">
        <v>3508</v>
      </c>
      <c r="HIF2" t="n">
        <v>3509</v>
      </c>
      <c r="HIG2" t="n">
        <v>3510</v>
      </c>
      <c r="HIH2" t="n">
        <v>3511</v>
      </c>
      <c r="HII2" t="n">
        <v>3512</v>
      </c>
      <c r="HIJ2" t="n">
        <v>3513</v>
      </c>
      <c r="HIK2" t="n">
        <v>3514</v>
      </c>
      <c r="HIL2" t="n">
        <v>3515</v>
      </c>
      <c r="HIM2" t="n">
        <v>3516</v>
      </c>
      <c r="HIN2" t="n">
        <v>3517</v>
      </c>
      <c r="HIO2" t="n">
        <v>3518</v>
      </c>
      <c r="HIP2" t="n">
        <v>3519</v>
      </c>
      <c r="HIQ2" t="n">
        <v>3520</v>
      </c>
      <c r="HIR2" t="n">
        <v>3521</v>
      </c>
      <c r="HIS2" t="n">
        <v>3522</v>
      </c>
      <c r="HIT2" t="n">
        <v>3523</v>
      </c>
      <c r="HIU2" t="n">
        <v>3524</v>
      </c>
      <c r="HIV2" t="n">
        <v>3525</v>
      </c>
      <c r="HIW2" t="n">
        <v>3526</v>
      </c>
      <c r="HIX2" t="n">
        <v>3527</v>
      </c>
      <c r="HIY2" t="n">
        <v>3528</v>
      </c>
      <c r="HIZ2" t="n">
        <v>3529</v>
      </c>
      <c r="HJA2" t="n">
        <v>3530</v>
      </c>
      <c r="HJB2" t="n">
        <v>3531</v>
      </c>
      <c r="HJC2" t="n">
        <v>3532</v>
      </c>
      <c r="HJD2" t="n">
        <v>3533</v>
      </c>
      <c r="HJE2" t="n">
        <v>3534</v>
      </c>
      <c r="HJF2" t="n">
        <v>3535</v>
      </c>
      <c r="HJG2" t="n">
        <v>3536</v>
      </c>
      <c r="HJH2" t="n">
        <v>3537</v>
      </c>
      <c r="HJI2" t="n">
        <v>3538</v>
      </c>
      <c r="HJJ2" t="n">
        <v>3539</v>
      </c>
      <c r="HJK2" t="n">
        <v>3540</v>
      </c>
      <c r="HJL2" t="n">
        <v>3541</v>
      </c>
      <c r="HJM2" t="n">
        <v>3542</v>
      </c>
      <c r="HJN2" t="n">
        <v>3543</v>
      </c>
      <c r="HJO2" t="n">
        <v>3544</v>
      </c>
      <c r="HJP2" t="n">
        <v>3545</v>
      </c>
      <c r="HJQ2" t="n">
        <v>3546</v>
      </c>
      <c r="HJR2" t="n">
        <v>3547</v>
      </c>
      <c r="HJS2" t="n">
        <v>3548</v>
      </c>
      <c r="HJT2" t="n">
        <v>3549</v>
      </c>
      <c r="HJU2" t="n">
        <v>3550</v>
      </c>
      <c r="HJV2" t="n">
        <v>3551</v>
      </c>
      <c r="HJW2" t="n">
        <v>3552</v>
      </c>
      <c r="HJX2" t="n">
        <v>3553</v>
      </c>
      <c r="HJY2" t="n">
        <v>3554</v>
      </c>
      <c r="HJZ2" t="n">
        <v>3555</v>
      </c>
      <c r="HKA2" t="n">
        <v>3556</v>
      </c>
      <c r="HKB2" t="n">
        <v>3557</v>
      </c>
      <c r="HKC2" t="n">
        <v>3558</v>
      </c>
      <c r="HKD2" t="n">
        <v>3559</v>
      </c>
      <c r="HKE2" t="n">
        <v>3560</v>
      </c>
      <c r="HKF2" t="n">
        <v>3561</v>
      </c>
      <c r="HKG2" t="n">
        <v>3562</v>
      </c>
      <c r="HKH2" t="n">
        <v>3563</v>
      </c>
      <c r="HKI2" t="n">
        <v>3564</v>
      </c>
      <c r="HKJ2" t="n">
        <v>3565</v>
      </c>
      <c r="HKK2" t="n">
        <v>3566</v>
      </c>
      <c r="HKL2" t="n">
        <v>3567</v>
      </c>
      <c r="HKM2" t="n">
        <v>3568</v>
      </c>
      <c r="HKN2" t="n">
        <v>3569</v>
      </c>
      <c r="HKO2" t="n">
        <v>3570</v>
      </c>
      <c r="HKP2" t="n">
        <v>3571</v>
      </c>
      <c r="HKQ2" t="n">
        <v>3572</v>
      </c>
      <c r="HKR2" t="n">
        <v>3573</v>
      </c>
      <c r="HKS2" t="n">
        <v>3574</v>
      </c>
      <c r="HKT2" t="n">
        <v>3575</v>
      </c>
      <c r="HKU2" t="n">
        <v>3576</v>
      </c>
      <c r="HKV2" t="n">
        <v>3577</v>
      </c>
      <c r="HKW2" t="n">
        <v>3578</v>
      </c>
      <c r="HKX2" t="n">
        <v>3579</v>
      </c>
      <c r="HKY2" t="n">
        <v>3580</v>
      </c>
      <c r="HKZ2" t="n">
        <v>3581</v>
      </c>
      <c r="HLA2" t="n">
        <v>3582</v>
      </c>
      <c r="HLB2" t="n">
        <v>3583</v>
      </c>
      <c r="HLC2" t="n">
        <v>3584</v>
      </c>
      <c r="HLD2" t="n">
        <v>3585</v>
      </c>
      <c r="HLE2" t="n">
        <v>3586</v>
      </c>
      <c r="HLF2" t="n">
        <v>3587</v>
      </c>
      <c r="HLG2" t="n">
        <v>3588</v>
      </c>
      <c r="HLH2" t="n">
        <v>3589</v>
      </c>
      <c r="HLI2" t="n">
        <v>3590</v>
      </c>
      <c r="HLJ2" t="n">
        <v>3591</v>
      </c>
      <c r="HLK2" t="n">
        <v>3592</v>
      </c>
      <c r="HLL2" t="n">
        <v>3593</v>
      </c>
      <c r="HLM2" t="n">
        <v>3594</v>
      </c>
      <c r="HLN2" t="n">
        <v>3595</v>
      </c>
      <c r="HLO2" t="n">
        <v>3596</v>
      </c>
      <c r="HLP2" t="n">
        <v>3597</v>
      </c>
      <c r="HLQ2" t="n">
        <v>3598</v>
      </c>
      <c r="HLR2" t="n">
        <v>3599</v>
      </c>
      <c r="HLS2" t="n">
        <v>3600</v>
      </c>
      <c r="HLT2" t="n">
        <v>3601</v>
      </c>
      <c r="HLU2" t="n">
        <v>3602</v>
      </c>
      <c r="HLV2" t="n">
        <v>3603</v>
      </c>
      <c r="HLW2" t="n">
        <v>3604</v>
      </c>
      <c r="HLX2" t="n">
        <v>3605</v>
      </c>
      <c r="HLY2" t="n">
        <v>3606</v>
      </c>
      <c r="HLZ2" t="n">
        <v>3607</v>
      </c>
      <c r="HMA2" t="n">
        <v>3608</v>
      </c>
      <c r="HMB2" t="n">
        <v>3609</v>
      </c>
      <c r="HMC2" t="n">
        <v>3610</v>
      </c>
      <c r="HMD2" t="n">
        <v>3611</v>
      </c>
      <c r="HME2" t="n">
        <v>3612</v>
      </c>
      <c r="HMF2" t="n">
        <v>3613</v>
      </c>
      <c r="HMG2" t="n">
        <v>3614</v>
      </c>
      <c r="HMH2" t="n">
        <v>3615</v>
      </c>
      <c r="HMI2" t="n">
        <v>3616</v>
      </c>
      <c r="HMJ2" t="n">
        <v>3617</v>
      </c>
      <c r="HMK2" t="n">
        <v>3618</v>
      </c>
      <c r="HML2" t="n">
        <v>3619</v>
      </c>
      <c r="HMM2" t="n">
        <v>3620</v>
      </c>
      <c r="HMN2" t="n">
        <v>3621</v>
      </c>
      <c r="HMO2" t="n">
        <v>3622</v>
      </c>
      <c r="HMP2" t="n">
        <v>3623</v>
      </c>
      <c r="HMQ2" t="n">
        <v>3624</v>
      </c>
      <c r="HMR2" t="n">
        <v>3625</v>
      </c>
      <c r="HMS2" t="n">
        <v>3626</v>
      </c>
      <c r="HMT2" t="n">
        <v>3627</v>
      </c>
      <c r="HMU2" t="n">
        <v>3628</v>
      </c>
      <c r="HMV2" t="n">
        <v>3629</v>
      </c>
      <c r="HMW2" t="n">
        <v>3630</v>
      </c>
      <c r="HMX2" t="n">
        <v>3631</v>
      </c>
      <c r="HMY2" t="n">
        <v>3632</v>
      </c>
      <c r="HMZ2" t="n">
        <v>3633</v>
      </c>
      <c r="HNA2" t="n">
        <v>3634</v>
      </c>
      <c r="HNB2" t="n">
        <v>3635</v>
      </c>
      <c r="HNC2" t="n">
        <v>3636</v>
      </c>
      <c r="HND2" t="n">
        <v>3637</v>
      </c>
      <c r="HNE2" t="n">
        <v>3638</v>
      </c>
      <c r="HNF2" t="n">
        <v>3639</v>
      </c>
      <c r="HNG2" t="n">
        <v>3640</v>
      </c>
      <c r="HNH2" t="n">
        <v>3641</v>
      </c>
      <c r="HNI2" t="n">
        <v>3642</v>
      </c>
      <c r="HNJ2" t="n">
        <v>3643</v>
      </c>
      <c r="HNK2" t="n">
        <v>3644</v>
      </c>
      <c r="HNL2" t="n">
        <v>3645</v>
      </c>
      <c r="HNM2" t="n">
        <v>3646</v>
      </c>
      <c r="HNN2" t="n">
        <v>3647</v>
      </c>
      <c r="HNO2" t="n">
        <v>3648</v>
      </c>
      <c r="HNP2" t="n">
        <v>3649</v>
      </c>
      <c r="HNQ2" t="n">
        <v>3650</v>
      </c>
      <c r="HNR2" t="n">
        <v>3651</v>
      </c>
      <c r="HNS2" t="n">
        <v>3652</v>
      </c>
      <c r="HNT2" t="n">
        <v>3653</v>
      </c>
      <c r="HNU2" t="n">
        <v>3654</v>
      </c>
      <c r="HNV2" t="n">
        <v>3655</v>
      </c>
      <c r="HNW2" t="n">
        <v>3656</v>
      </c>
      <c r="HNX2" t="n">
        <v>3657</v>
      </c>
      <c r="HNY2" t="n">
        <v>3658</v>
      </c>
      <c r="HNZ2" t="n">
        <v>3659</v>
      </c>
      <c r="HOA2" t="n">
        <v>3660</v>
      </c>
      <c r="HOB2" t="n">
        <v>3661</v>
      </c>
      <c r="HOC2" t="n">
        <v>3662</v>
      </c>
      <c r="HOD2" t="n">
        <v>3663</v>
      </c>
      <c r="HOE2" t="n">
        <v>3664</v>
      </c>
      <c r="HOF2" t="n">
        <v>3665</v>
      </c>
      <c r="HOG2" t="n">
        <v>3666</v>
      </c>
      <c r="HOH2" t="n">
        <v>3667</v>
      </c>
      <c r="HOI2" t="n">
        <v>3668</v>
      </c>
      <c r="HOJ2" t="n">
        <v>3669</v>
      </c>
      <c r="HOK2" t="n">
        <v>3670</v>
      </c>
      <c r="HOL2" t="n">
        <v>3671</v>
      </c>
      <c r="HOM2" t="n">
        <v>3672</v>
      </c>
      <c r="HON2" t="n">
        <v>3673</v>
      </c>
      <c r="HOO2" t="n">
        <v>3674</v>
      </c>
      <c r="HOP2" t="n">
        <v>3675</v>
      </c>
      <c r="HOQ2" t="n">
        <v>3676</v>
      </c>
      <c r="HOR2" t="n">
        <v>3677</v>
      </c>
      <c r="HOS2" t="n">
        <v>3678</v>
      </c>
      <c r="HOT2" t="n">
        <v>3679</v>
      </c>
      <c r="HOU2" t="n">
        <v>3680</v>
      </c>
      <c r="HOV2" t="n">
        <v>3681</v>
      </c>
      <c r="HOW2" t="n">
        <v>3682</v>
      </c>
      <c r="HOX2" t="n">
        <v>3683</v>
      </c>
      <c r="HOY2" t="n">
        <v>3684</v>
      </c>
      <c r="HOZ2" t="n">
        <v>3685</v>
      </c>
      <c r="HPA2" t="n">
        <v>3686</v>
      </c>
      <c r="HPB2" t="n">
        <v>3687</v>
      </c>
      <c r="HPC2" t="n">
        <v>3688</v>
      </c>
      <c r="HPD2" t="n">
        <v>3689</v>
      </c>
      <c r="HPE2" t="n">
        <v>3690</v>
      </c>
      <c r="HPF2" t="n">
        <v>3691</v>
      </c>
      <c r="HPG2" t="n">
        <v>3692</v>
      </c>
      <c r="HPH2" t="n">
        <v>3693</v>
      </c>
      <c r="HPI2" t="n">
        <v>3694</v>
      </c>
      <c r="HPJ2" t="n">
        <v>3695</v>
      </c>
      <c r="HPK2" t="n">
        <v>3696</v>
      </c>
      <c r="HPL2" t="n">
        <v>3697</v>
      </c>
      <c r="HPM2" t="n">
        <v>3698</v>
      </c>
      <c r="HPN2" t="n">
        <v>3699</v>
      </c>
      <c r="HPO2" t="n">
        <v>3700</v>
      </c>
      <c r="HPP2" t="n">
        <v>3701</v>
      </c>
      <c r="HPQ2" t="n">
        <v>3702</v>
      </c>
      <c r="HPR2" t="n">
        <v>3703</v>
      </c>
      <c r="HPS2" t="n">
        <v>3704</v>
      </c>
      <c r="HPT2" t="n">
        <v>3705</v>
      </c>
      <c r="HPU2" t="n">
        <v>3706</v>
      </c>
      <c r="HPV2" t="n">
        <v>3707</v>
      </c>
      <c r="HPW2" t="n">
        <v>3708</v>
      </c>
      <c r="HPX2" t="n">
        <v>3709</v>
      </c>
      <c r="HPY2" t="n">
        <v>3710</v>
      </c>
      <c r="HPZ2" t="n">
        <v>3711</v>
      </c>
      <c r="HQA2" t="n">
        <v>3712</v>
      </c>
      <c r="HQB2" t="n">
        <v>3713</v>
      </c>
      <c r="HQC2" t="n">
        <v>3714</v>
      </c>
      <c r="HQD2" t="n">
        <v>3715</v>
      </c>
      <c r="HQE2" t="n">
        <v>3716</v>
      </c>
      <c r="HQF2" t="n">
        <v>3717</v>
      </c>
      <c r="HQG2" t="n">
        <v>3718</v>
      </c>
      <c r="HQH2" t="n">
        <v>3719</v>
      </c>
      <c r="HQI2" t="n">
        <v>3720</v>
      </c>
      <c r="HQJ2" t="n">
        <v>3721</v>
      </c>
      <c r="HQK2" t="n">
        <v>3722</v>
      </c>
      <c r="HQL2" t="n">
        <v>3723</v>
      </c>
      <c r="HQM2" t="n">
        <v>3724</v>
      </c>
      <c r="HQN2" t="n">
        <v>3725</v>
      </c>
      <c r="HQO2" t="n">
        <v>3726</v>
      </c>
      <c r="HQP2" t="n">
        <v>3727</v>
      </c>
      <c r="HQQ2" t="n">
        <v>3728</v>
      </c>
      <c r="HQR2" t="n">
        <v>3729</v>
      </c>
      <c r="HQS2" t="n">
        <v>3730</v>
      </c>
      <c r="HQT2" t="n">
        <v>3731</v>
      </c>
      <c r="HQU2" t="n">
        <v>3732</v>
      </c>
      <c r="HQV2" t="n">
        <v>3733</v>
      </c>
      <c r="HQW2" t="n">
        <v>3734</v>
      </c>
      <c r="HQX2" t="n">
        <v>3735</v>
      </c>
      <c r="HQY2" t="n">
        <v>3736</v>
      </c>
      <c r="HQZ2" t="n">
        <v>3737</v>
      </c>
      <c r="HRA2" t="n">
        <v>3738</v>
      </c>
      <c r="HRB2" t="n">
        <v>3739</v>
      </c>
      <c r="HRC2" t="n">
        <v>3740</v>
      </c>
      <c r="HRD2" t="n">
        <v>3741</v>
      </c>
      <c r="HRE2" t="n">
        <v>3742</v>
      </c>
      <c r="HRF2" t="n">
        <v>3743</v>
      </c>
      <c r="HRG2" t="n">
        <v>3744</v>
      </c>
      <c r="HRH2" t="n">
        <v>3745</v>
      </c>
      <c r="HRI2" t="n">
        <v>3746</v>
      </c>
      <c r="HRJ2" t="n">
        <v>3747</v>
      </c>
      <c r="HRK2" t="n">
        <v>3748</v>
      </c>
      <c r="HRL2" t="n">
        <v>3749</v>
      </c>
      <c r="HRM2" t="n">
        <v>3750</v>
      </c>
      <c r="HRN2" t="n">
        <v>3751</v>
      </c>
      <c r="HRO2" t="n">
        <v>3752</v>
      </c>
      <c r="HRP2" t="n">
        <v>3753</v>
      </c>
      <c r="HRQ2" t="n">
        <v>3754</v>
      </c>
      <c r="HRR2" t="n">
        <v>3755</v>
      </c>
      <c r="HRS2" t="n">
        <v>3756</v>
      </c>
      <c r="HRT2" t="n">
        <v>3757</v>
      </c>
      <c r="HRU2" t="n">
        <v>3758</v>
      </c>
      <c r="HRV2" t="n">
        <v>3759</v>
      </c>
      <c r="HRW2" t="n">
        <v>3760</v>
      </c>
      <c r="HRX2" t="n">
        <v>3761</v>
      </c>
      <c r="HRY2" t="n">
        <v>3762</v>
      </c>
      <c r="HRZ2" t="n">
        <v>3763</v>
      </c>
      <c r="HSA2" t="n">
        <v>3764</v>
      </c>
      <c r="HSB2" t="n">
        <v>3765</v>
      </c>
      <c r="HSC2" t="n">
        <v>3766</v>
      </c>
      <c r="HSD2" t="n">
        <v>3767</v>
      </c>
      <c r="HSE2" t="n">
        <v>3768</v>
      </c>
      <c r="HSF2" t="n">
        <v>3769</v>
      </c>
      <c r="HSG2" t="n">
        <v>3770</v>
      </c>
      <c r="HSH2" t="n">
        <v>3771</v>
      </c>
      <c r="HSI2" t="n">
        <v>3772</v>
      </c>
      <c r="HSJ2" t="n">
        <v>3773</v>
      </c>
      <c r="HSK2" t="n">
        <v>3774</v>
      </c>
      <c r="HSL2" t="n">
        <v>3775</v>
      </c>
      <c r="HSM2" t="n">
        <v>3776</v>
      </c>
      <c r="HSN2" t="n">
        <v>3777</v>
      </c>
      <c r="HSO2" t="n">
        <v>3778</v>
      </c>
      <c r="HSP2" t="n">
        <v>3779</v>
      </c>
      <c r="HSQ2" t="n">
        <v>3780</v>
      </c>
      <c r="HSR2" t="n">
        <v>3781</v>
      </c>
      <c r="HSS2" t="n">
        <v>3782</v>
      </c>
      <c r="HST2" t="n">
        <v>3783</v>
      </c>
      <c r="HSU2" t="n">
        <v>3784</v>
      </c>
      <c r="HSV2" t="n">
        <v>3785</v>
      </c>
      <c r="HSW2" t="n">
        <v>3786</v>
      </c>
      <c r="HSX2" t="n">
        <v>3787</v>
      </c>
      <c r="HSY2" t="n">
        <v>3788</v>
      </c>
      <c r="HSZ2" t="n">
        <v>3789</v>
      </c>
      <c r="HTA2" t="n">
        <v>3790</v>
      </c>
      <c r="HTB2" t="n">
        <v>3791</v>
      </c>
      <c r="HTC2" t="n">
        <v>3792</v>
      </c>
      <c r="HTD2" t="n">
        <v>3793</v>
      </c>
      <c r="HTE2" t="n">
        <v>3794</v>
      </c>
      <c r="HTF2" t="n">
        <v>3795</v>
      </c>
      <c r="HTG2" t="n">
        <v>3796</v>
      </c>
      <c r="HTH2" t="n">
        <v>3797</v>
      </c>
      <c r="HTI2" t="n">
        <v>3798</v>
      </c>
      <c r="HTJ2" t="n">
        <v>3799</v>
      </c>
      <c r="HTK2" t="n">
        <v>3800</v>
      </c>
      <c r="HTL2" t="n">
        <v>3801</v>
      </c>
      <c r="HTM2" t="n">
        <v>3802</v>
      </c>
      <c r="HTN2" t="n">
        <v>3803</v>
      </c>
      <c r="HTO2" t="n">
        <v>3804</v>
      </c>
      <c r="HTP2" t="n">
        <v>3805</v>
      </c>
      <c r="HTQ2" t="n">
        <v>3806</v>
      </c>
      <c r="HTR2" t="n">
        <v>3807</v>
      </c>
      <c r="HTS2" t="n">
        <v>3808</v>
      </c>
      <c r="HTT2" t="n">
        <v>3809</v>
      </c>
      <c r="HTU2" t="n">
        <v>3810</v>
      </c>
      <c r="HTV2" t="n">
        <v>3811</v>
      </c>
      <c r="HTW2" t="n">
        <v>3812</v>
      </c>
      <c r="HTX2" t="n">
        <v>3813</v>
      </c>
      <c r="HTY2" t="n">
        <v>3814</v>
      </c>
      <c r="HTZ2" t="n">
        <v>3815</v>
      </c>
      <c r="HUA2" t="n">
        <v>3816</v>
      </c>
      <c r="HUB2" t="n">
        <v>3817</v>
      </c>
      <c r="HUC2" t="n">
        <v>3818</v>
      </c>
      <c r="HUD2" t="n">
        <v>3819</v>
      </c>
      <c r="HUE2" t="n">
        <v>3820</v>
      </c>
      <c r="HUF2" t="n">
        <v>3821</v>
      </c>
      <c r="HUG2" t="n">
        <v>3822</v>
      </c>
      <c r="HUH2" t="n">
        <v>3823</v>
      </c>
      <c r="HUI2" t="n">
        <v>3824</v>
      </c>
      <c r="HUJ2" t="n">
        <v>3825</v>
      </c>
      <c r="HUK2" t="n">
        <v>3826</v>
      </c>
      <c r="HUL2" t="n">
        <v>3827</v>
      </c>
      <c r="HUM2" t="n">
        <v>3828</v>
      </c>
      <c r="HUN2" t="n">
        <v>3829</v>
      </c>
      <c r="HUO2" t="n">
        <v>3830</v>
      </c>
      <c r="HUP2" t="n">
        <v>3831</v>
      </c>
      <c r="HUQ2" t="n">
        <v>3832</v>
      </c>
      <c r="HUR2" t="n">
        <v>3833</v>
      </c>
      <c r="HUS2" t="n">
        <v>3834</v>
      </c>
      <c r="HUT2" t="n">
        <v>3835</v>
      </c>
      <c r="HUU2" t="n">
        <v>3836</v>
      </c>
      <c r="HUV2" t="n">
        <v>3837</v>
      </c>
      <c r="HUW2" t="n">
        <v>3838</v>
      </c>
      <c r="HUX2" t="n">
        <v>3839</v>
      </c>
      <c r="HUY2" t="n">
        <v>3840</v>
      </c>
      <c r="HUZ2" t="n">
        <v>3841</v>
      </c>
      <c r="HVA2" t="n">
        <v>3842</v>
      </c>
      <c r="HVB2" t="n">
        <v>3843</v>
      </c>
      <c r="HVC2" t="n">
        <v>3844</v>
      </c>
      <c r="HVD2" t="n">
        <v>3845</v>
      </c>
      <c r="HVE2" t="n">
        <v>3846</v>
      </c>
      <c r="HVF2" t="n">
        <v>3847</v>
      </c>
      <c r="HVG2" t="n">
        <v>3848</v>
      </c>
      <c r="HVH2" t="n">
        <v>3849</v>
      </c>
      <c r="HVI2" t="n">
        <v>3850</v>
      </c>
      <c r="HVJ2" t="n">
        <v>3851</v>
      </c>
      <c r="HVK2" t="n">
        <v>3852</v>
      </c>
      <c r="HVL2" t="n">
        <v>3853</v>
      </c>
      <c r="HVM2" t="n">
        <v>3854</v>
      </c>
      <c r="HVN2" t="n">
        <v>3855</v>
      </c>
      <c r="HVO2" t="n">
        <v>3856</v>
      </c>
      <c r="HVP2" t="n">
        <v>3857</v>
      </c>
      <c r="HVQ2" t="n">
        <v>3858</v>
      </c>
      <c r="HVR2" t="n">
        <v>3859</v>
      </c>
      <c r="HVS2" t="n">
        <v>3860</v>
      </c>
      <c r="HVT2" t="n">
        <v>3861</v>
      </c>
      <c r="HVU2" t="n">
        <v>3862</v>
      </c>
      <c r="HVV2" t="n">
        <v>3863</v>
      </c>
      <c r="HVW2" t="n">
        <v>3864</v>
      </c>
      <c r="HVX2" t="n">
        <v>3865</v>
      </c>
      <c r="HVY2" t="n">
        <v>3866</v>
      </c>
      <c r="HVZ2" t="n">
        <v>3867</v>
      </c>
      <c r="HWA2" t="n">
        <v>3868</v>
      </c>
      <c r="HWB2" t="n">
        <v>3869</v>
      </c>
      <c r="HWC2" t="n">
        <v>3870</v>
      </c>
      <c r="HWD2" t="n">
        <v>3871</v>
      </c>
      <c r="HWE2" t="n">
        <v>3872</v>
      </c>
      <c r="HWF2" t="n">
        <v>3873</v>
      </c>
      <c r="HWG2" t="n">
        <v>3874</v>
      </c>
      <c r="HWH2" t="n">
        <v>3875</v>
      </c>
      <c r="HWI2" t="n">
        <v>3876</v>
      </c>
      <c r="HWJ2" t="n">
        <v>3877</v>
      </c>
      <c r="HWK2" t="n">
        <v>3878</v>
      </c>
      <c r="HWL2" t="n">
        <v>3879</v>
      </c>
      <c r="HWM2" t="n">
        <v>3880</v>
      </c>
      <c r="HWN2" t="n">
        <v>3881</v>
      </c>
      <c r="HWO2" t="n">
        <v>3882</v>
      </c>
      <c r="HWP2" t="n">
        <v>3883</v>
      </c>
      <c r="HWQ2" t="n">
        <v>3884</v>
      </c>
      <c r="HWR2" t="n">
        <v>3885</v>
      </c>
      <c r="HWS2" t="n">
        <v>3886</v>
      </c>
      <c r="HWT2" t="n">
        <v>3887</v>
      </c>
      <c r="HWU2" t="n">
        <v>3888</v>
      </c>
      <c r="HWV2" t="n">
        <v>3889</v>
      </c>
      <c r="HWW2" t="n">
        <v>3890</v>
      </c>
      <c r="HWX2" t="n">
        <v>3891</v>
      </c>
      <c r="HWY2" t="n">
        <v>3892</v>
      </c>
      <c r="HWZ2" t="n">
        <v>3893</v>
      </c>
      <c r="HXA2" t="n">
        <v>3894</v>
      </c>
      <c r="HXB2" t="n">
        <v>3895</v>
      </c>
      <c r="HXC2" t="n">
        <v>3896</v>
      </c>
      <c r="HXD2" t="n">
        <v>3897</v>
      </c>
      <c r="HXE2" t="n">
        <v>3898</v>
      </c>
      <c r="HXF2" t="n">
        <v>3899</v>
      </c>
      <c r="HXG2" t="n">
        <v>3900</v>
      </c>
      <c r="HXH2" t="n">
        <v>3901</v>
      </c>
      <c r="HXI2" t="n">
        <v>3902</v>
      </c>
      <c r="HXJ2" t="n">
        <v>3903</v>
      </c>
      <c r="HXK2" t="n">
        <v>3904</v>
      </c>
      <c r="HXL2" t="n">
        <v>3905</v>
      </c>
      <c r="HXM2" t="n">
        <v>3906</v>
      </c>
      <c r="HXN2" t="n">
        <v>3907</v>
      </c>
      <c r="HXO2" t="n">
        <v>3908</v>
      </c>
      <c r="HXP2" t="n">
        <v>3909</v>
      </c>
      <c r="HXQ2" t="n">
        <v>3910</v>
      </c>
      <c r="HXR2" t="n">
        <v>3911</v>
      </c>
      <c r="HXS2" t="n">
        <v>3912</v>
      </c>
      <c r="HXT2" t="n">
        <v>3913</v>
      </c>
      <c r="HXU2" t="n">
        <v>3914</v>
      </c>
      <c r="HXV2" t="n">
        <v>3915</v>
      </c>
      <c r="HXW2" t="n">
        <v>3916</v>
      </c>
      <c r="HXX2" t="n">
        <v>3917</v>
      </c>
      <c r="HXY2" t="n">
        <v>3918</v>
      </c>
      <c r="HXZ2" t="n">
        <v>3919</v>
      </c>
      <c r="HYA2" t="n">
        <v>3920</v>
      </c>
      <c r="HYB2" t="n">
        <v>3921</v>
      </c>
      <c r="HYC2" t="n">
        <v>3922</v>
      </c>
      <c r="HYD2" t="n">
        <v>3923</v>
      </c>
      <c r="HYE2" t="n">
        <v>3924</v>
      </c>
      <c r="HYF2" t="n">
        <v>3925</v>
      </c>
      <c r="HYG2" t="n">
        <v>3926</v>
      </c>
      <c r="HYH2" t="n">
        <v>3927</v>
      </c>
      <c r="HYI2" t="n">
        <v>3928</v>
      </c>
      <c r="HYJ2" t="n">
        <v>3929</v>
      </c>
      <c r="HYK2" t="n">
        <v>3930</v>
      </c>
      <c r="HYL2" t="n">
        <v>3931</v>
      </c>
      <c r="HYM2" t="n">
        <v>3932</v>
      </c>
      <c r="HYN2" t="n">
        <v>3933</v>
      </c>
      <c r="HYO2" t="n">
        <v>3934</v>
      </c>
      <c r="HYP2" t="n">
        <v>3935</v>
      </c>
      <c r="HYQ2" t="n">
        <v>3936</v>
      </c>
      <c r="HYR2" t="n">
        <v>3937</v>
      </c>
      <c r="HYS2" t="n">
        <v>3938</v>
      </c>
      <c r="HYT2" t="n">
        <v>3939</v>
      </c>
      <c r="HYU2" t="n">
        <v>3940</v>
      </c>
      <c r="HYV2" t="n">
        <v>3941</v>
      </c>
      <c r="HYW2" t="n">
        <v>3942</v>
      </c>
      <c r="HYX2" t="n">
        <v>3943</v>
      </c>
      <c r="HYY2" t="n">
        <v>3944</v>
      </c>
      <c r="HYZ2" t="n">
        <v>3945</v>
      </c>
      <c r="HZA2" t="n">
        <v>3946</v>
      </c>
      <c r="HZB2" t="n">
        <v>3947</v>
      </c>
      <c r="HZC2" t="n">
        <v>3948</v>
      </c>
      <c r="HZD2" t="n">
        <v>3949</v>
      </c>
      <c r="HZE2" t="n">
        <v>3950</v>
      </c>
      <c r="HZF2" t="n">
        <v>3951</v>
      </c>
      <c r="HZG2" t="n">
        <v>3952</v>
      </c>
      <c r="HZH2" t="n">
        <v>3953</v>
      </c>
      <c r="HZI2" t="n">
        <v>3954</v>
      </c>
      <c r="HZJ2" t="n">
        <v>3955</v>
      </c>
      <c r="HZK2" t="n">
        <v>3956</v>
      </c>
      <c r="HZL2" t="n">
        <v>3957</v>
      </c>
      <c r="HZM2" t="n">
        <v>3958</v>
      </c>
      <c r="HZN2" t="n">
        <v>3959</v>
      </c>
      <c r="HZO2" t="n">
        <v>3960</v>
      </c>
      <c r="HZP2" t="n">
        <v>3961</v>
      </c>
      <c r="HZQ2" t="n">
        <v>3962</v>
      </c>
      <c r="HZR2" t="n">
        <v>3963</v>
      </c>
      <c r="HZS2" t="n">
        <v>3964</v>
      </c>
      <c r="HZT2" t="n">
        <v>3965</v>
      </c>
      <c r="HZU2" t="n">
        <v>3966</v>
      </c>
      <c r="HZV2" t="n">
        <v>3967</v>
      </c>
      <c r="HZW2" t="n">
        <v>3968</v>
      </c>
      <c r="HZX2" t="n">
        <v>3969</v>
      </c>
      <c r="HZY2" t="n">
        <v>3970</v>
      </c>
      <c r="HZZ2" t="n">
        <v>3971</v>
      </c>
      <c r="IAA2" t="n">
        <v>3972</v>
      </c>
      <c r="IAB2" t="n">
        <v>3973</v>
      </c>
      <c r="IAC2" t="n">
        <v>3974</v>
      </c>
      <c r="IAD2" t="n">
        <v>3975</v>
      </c>
      <c r="IAE2" t="n">
        <v>3976</v>
      </c>
      <c r="IAF2" t="n">
        <v>3977</v>
      </c>
      <c r="IAG2" t="n">
        <v>3978</v>
      </c>
      <c r="IAH2" t="n">
        <v>3979</v>
      </c>
      <c r="IAI2" t="n">
        <v>3980</v>
      </c>
      <c r="IAJ2" t="n">
        <v>3981</v>
      </c>
      <c r="IAK2" t="n">
        <v>3982</v>
      </c>
      <c r="IAL2" t="n">
        <v>3983</v>
      </c>
      <c r="IAM2" t="n">
        <v>3984</v>
      </c>
      <c r="IAN2" t="n">
        <v>3985</v>
      </c>
      <c r="IAO2" t="n">
        <v>3986</v>
      </c>
      <c r="IAP2" t="n">
        <v>3987</v>
      </c>
      <c r="IAQ2" t="n">
        <v>3988</v>
      </c>
      <c r="IAR2" t="n">
        <v>3989</v>
      </c>
      <c r="IAS2" t="n">
        <v>3990</v>
      </c>
      <c r="IAT2" t="n">
        <v>3991</v>
      </c>
      <c r="IAU2" t="n">
        <v>3992</v>
      </c>
      <c r="IAV2" t="n">
        <v>3993</v>
      </c>
      <c r="IAW2" t="n">
        <v>3994</v>
      </c>
      <c r="IAX2" t="n">
        <v>3995</v>
      </c>
      <c r="IAY2" t="n">
        <v>3996</v>
      </c>
      <c r="IAZ2" t="n">
        <v>3997</v>
      </c>
      <c r="IBA2" t="n">
        <v>3998</v>
      </c>
      <c r="IBB2" t="n">
        <v>3999</v>
      </c>
      <c r="IBC2" t="n">
        <v>4000</v>
      </c>
      <c r="IBD2" t="n">
        <v>4001</v>
      </c>
      <c r="IBE2" t="n">
        <v>4002</v>
      </c>
      <c r="IBF2" t="n">
        <v>4003</v>
      </c>
      <c r="IBG2" t="n">
        <v>4004</v>
      </c>
      <c r="IBH2" t="n">
        <v>4005</v>
      </c>
      <c r="IBI2" t="n">
        <v>4006</v>
      </c>
      <c r="IBJ2" t="n">
        <v>4007</v>
      </c>
      <c r="IBK2" t="n">
        <v>4008</v>
      </c>
      <c r="IBL2" t="n">
        <v>4009</v>
      </c>
      <c r="IBM2" t="n">
        <v>4010</v>
      </c>
      <c r="IBN2" t="n">
        <v>4011</v>
      </c>
      <c r="IBO2" t="n">
        <v>4012</v>
      </c>
      <c r="IBP2" t="n">
        <v>4013</v>
      </c>
      <c r="IBQ2" t="n">
        <v>4014</v>
      </c>
      <c r="IBR2" t="n">
        <v>4015</v>
      </c>
      <c r="IBS2" t="n">
        <v>4016</v>
      </c>
      <c r="IBT2" t="n">
        <v>4017</v>
      </c>
      <c r="IBU2" t="n">
        <v>4018</v>
      </c>
      <c r="IBV2" t="n">
        <v>4019</v>
      </c>
      <c r="IBW2" t="n">
        <v>4020</v>
      </c>
      <c r="IBX2" t="n">
        <v>4021</v>
      </c>
      <c r="IBY2" t="n">
        <v>4022</v>
      </c>
      <c r="IBZ2" t="n">
        <v>4023</v>
      </c>
      <c r="ICA2" t="n">
        <v>4024</v>
      </c>
      <c r="ICB2" t="n">
        <v>4025</v>
      </c>
      <c r="ICC2" t="n">
        <v>4026</v>
      </c>
      <c r="ICD2" t="n">
        <v>4027</v>
      </c>
      <c r="ICE2" t="n">
        <v>4028</v>
      </c>
      <c r="ICF2" t="n">
        <v>4029</v>
      </c>
      <c r="ICG2" t="n">
        <v>4030</v>
      </c>
      <c r="ICH2" t="n">
        <v>4031</v>
      </c>
      <c r="ICI2" t="n">
        <v>4032</v>
      </c>
      <c r="ICJ2" t="n">
        <v>4033</v>
      </c>
      <c r="ICK2" t="n">
        <v>4034</v>
      </c>
      <c r="ICL2" t="n">
        <v>4035</v>
      </c>
      <c r="ICM2" t="n">
        <v>4036</v>
      </c>
      <c r="ICN2" t="n">
        <v>4037</v>
      </c>
      <c r="ICO2" t="n">
        <v>4038</v>
      </c>
      <c r="ICP2" t="n">
        <v>4039</v>
      </c>
      <c r="ICQ2" t="n">
        <v>4040</v>
      </c>
      <c r="ICR2" t="n">
        <v>4041</v>
      </c>
      <c r="ICS2" t="n">
        <v>4042</v>
      </c>
      <c r="ICT2" t="n">
        <v>4043</v>
      </c>
      <c r="ICU2" t="n">
        <v>4044</v>
      </c>
      <c r="ICV2" t="n">
        <v>4045</v>
      </c>
      <c r="ICW2" t="n">
        <v>4046</v>
      </c>
      <c r="ICX2" t="n">
        <v>4047</v>
      </c>
      <c r="ICY2" t="n">
        <v>4048</v>
      </c>
      <c r="ICZ2" t="n">
        <v>4049</v>
      </c>
      <c r="IDA2" t="n">
        <v>4050</v>
      </c>
      <c r="IDB2" t="n">
        <v>4051</v>
      </c>
      <c r="IDC2" t="n">
        <v>4052</v>
      </c>
      <c r="IDD2" t="n">
        <v>4053</v>
      </c>
      <c r="IDE2" t="n">
        <v>4054</v>
      </c>
      <c r="IDF2" t="n">
        <v>4055</v>
      </c>
      <c r="IDG2" t="n">
        <v>4056</v>
      </c>
      <c r="IDH2" t="n">
        <v>4057</v>
      </c>
      <c r="IDI2" t="n">
        <v>4058</v>
      </c>
      <c r="IDJ2" t="n">
        <v>4059</v>
      </c>
      <c r="IDK2" t="n">
        <v>4060</v>
      </c>
      <c r="IDL2" t="n">
        <v>4061</v>
      </c>
      <c r="IDM2" t="n">
        <v>4062</v>
      </c>
      <c r="IDN2" t="n">
        <v>4063</v>
      </c>
      <c r="IDO2" t="n">
        <v>4064</v>
      </c>
      <c r="IDP2" t="n">
        <v>4065</v>
      </c>
      <c r="IDQ2" t="n">
        <v>4066</v>
      </c>
      <c r="IDR2" t="n">
        <v>4067</v>
      </c>
      <c r="IDS2" t="n">
        <v>4068</v>
      </c>
      <c r="IDT2" t="n">
        <v>4069</v>
      </c>
      <c r="IDU2" t="n">
        <v>4070</v>
      </c>
      <c r="IDV2" t="n">
        <v>4071</v>
      </c>
      <c r="IDW2" t="n">
        <v>4072</v>
      </c>
      <c r="IDX2" t="n">
        <v>4073</v>
      </c>
      <c r="IDY2" t="n">
        <v>4074</v>
      </c>
      <c r="IDZ2" t="n">
        <v>4075</v>
      </c>
      <c r="IEA2" t="n">
        <v>4076</v>
      </c>
      <c r="IEB2" t="n">
        <v>4077</v>
      </c>
      <c r="IEC2" t="n">
        <v>4078</v>
      </c>
      <c r="IED2" t="n">
        <v>4079</v>
      </c>
      <c r="IEE2" t="n">
        <v>4080</v>
      </c>
      <c r="IEF2" t="n">
        <v>4081</v>
      </c>
      <c r="IEG2" t="n">
        <v>4082</v>
      </c>
      <c r="IEH2" t="n">
        <v>4083</v>
      </c>
      <c r="IEI2" t="n">
        <v>4084</v>
      </c>
      <c r="IEJ2" t="n">
        <v>4085</v>
      </c>
      <c r="IEK2" t="n">
        <v>4086</v>
      </c>
      <c r="IEL2" t="n">
        <v>4087</v>
      </c>
      <c r="IEM2" t="n">
        <v>4088</v>
      </c>
      <c r="IEN2" t="n">
        <v>4089</v>
      </c>
      <c r="IEO2" t="n">
        <v>4090</v>
      </c>
      <c r="IEP2" t="n">
        <v>4091</v>
      </c>
      <c r="IEQ2" t="n">
        <v>4092</v>
      </c>
      <c r="IER2" t="n">
        <v>4093</v>
      </c>
      <c r="IES2" t="n">
        <v>4094</v>
      </c>
      <c r="IET2" t="n">
        <v>4095</v>
      </c>
      <c r="IEU2" t="n">
        <v>4096</v>
      </c>
      <c r="IEV2" t="n">
        <v>4097</v>
      </c>
      <c r="IEW2" t="n">
        <v>4098</v>
      </c>
      <c r="IEX2" t="n">
        <v>4099</v>
      </c>
      <c r="IEY2" t="n">
        <v>4100</v>
      </c>
      <c r="IEZ2" t="n">
        <v>4101</v>
      </c>
      <c r="IFA2" t="n">
        <v>4102</v>
      </c>
      <c r="IFB2" t="n">
        <v>4103</v>
      </c>
      <c r="IFC2" t="n">
        <v>4104</v>
      </c>
      <c r="IFD2" t="n">
        <v>4105</v>
      </c>
      <c r="IFE2" t="n">
        <v>4106</v>
      </c>
      <c r="IFF2" t="n">
        <v>4107</v>
      </c>
      <c r="IFG2" t="n">
        <v>4108</v>
      </c>
      <c r="IFH2" t="n">
        <v>4109</v>
      </c>
      <c r="IFI2" t="n">
        <v>4110</v>
      </c>
      <c r="IFJ2" t="n">
        <v>4111</v>
      </c>
      <c r="IFK2" t="n">
        <v>4112</v>
      </c>
      <c r="IFL2" t="n">
        <v>4113</v>
      </c>
      <c r="IFM2" t="n">
        <v>4114</v>
      </c>
      <c r="IFN2" t="n">
        <v>4115</v>
      </c>
      <c r="IFO2" t="n">
        <v>4116</v>
      </c>
      <c r="IFP2" t="n">
        <v>4117</v>
      </c>
      <c r="IFQ2" t="n">
        <v>4118</v>
      </c>
      <c r="IFR2" t="n">
        <v>4119</v>
      </c>
      <c r="IFS2" t="n">
        <v>4120</v>
      </c>
      <c r="IFT2" t="n">
        <v>4121</v>
      </c>
      <c r="IFU2" t="n">
        <v>4122</v>
      </c>
      <c r="IFV2" t="n">
        <v>4123</v>
      </c>
      <c r="IFW2" t="n">
        <v>4124</v>
      </c>
      <c r="IFX2" t="n">
        <v>4125</v>
      </c>
      <c r="IFY2" t="n">
        <v>4126</v>
      </c>
      <c r="IFZ2" t="n">
        <v>4127</v>
      </c>
      <c r="IGA2" t="n">
        <v>4128</v>
      </c>
      <c r="IGB2" t="n">
        <v>4129</v>
      </c>
      <c r="IGC2" t="n">
        <v>4130</v>
      </c>
      <c r="IGD2" t="n">
        <v>4131</v>
      </c>
      <c r="IGE2" t="n">
        <v>4132</v>
      </c>
      <c r="IGF2" t="n">
        <v>4133</v>
      </c>
      <c r="IGG2" t="n">
        <v>4134</v>
      </c>
      <c r="IGH2" t="n">
        <v>4135</v>
      </c>
      <c r="IGI2" t="n">
        <v>4136</v>
      </c>
      <c r="IGJ2" t="n">
        <v>4137</v>
      </c>
      <c r="IGK2" t="n">
        <v>4138</v>
      </c>
      <c r="IGL2" t="n">
        <v>4139</v>
      </c>
      <c r="IGM2" t="n">
        <v>4140</v>
      </c>
      <c r="IGN2" t="n">
        <v>4141</v>
      </c>
      <c r="IGO2" t="n">
        <v>4142</v>
      </c>
      <c r="IGP2" t="n">
        <v>4143</v>
      </c>
      <c r="IGQ2" t="n">
        <v>4144</v>
      </c>
      <c r="IGR2" t="n">
        <v>4145</v>
      </c>
      <c r="IGS2" t="n">
        <v>4146</v>
      </c>
      <c r="IGT2" t="n">
        <v>4147</v>
      </c>
      <c r="IGU2" t="n">
        <v>4148</v>
      </c>
      <c r="IGV2" t="n">
        <v>4149</v>
      </c>
      <c r="IGW2" t="n">
        <v>4150</v>
      </c>
      <c r="IGX2" t="n">
        <v>4151</v>
      </c>
      <c r="IGY2" t="n">
        <v>4152</v>
      </c>
      <c r="IGZ2" t="n">
        <v>4153</v>
      </c>
      <c r="IHA2" t="n">
        <v>4154</v>
      </c>
      <c r="IHB2" t="n">
        <v>4155</v>
      </c>
      <c r="IHC2" t="n">
        <v>4156</v>
      </c>
      <c r="IHD2" t="n">
        <v>4157</v>
      </c>
      <c r="IHE2" t="n">
        <v>4158</v>
      </c>
      <c r="IHF2" t="n">
        <v>4159</v>
      </c>
      <c r="IHG2" t="n">
        <v>4160</v>
      </c>
      <c r="IHH2" t="n">
        <v>4161</v>
      </c>
      <c r="IHI2" t="n">
        <v>4162</v>
      </c>
      <c r="IHJ2" t="n">
        <v>4163</v>
      </c>
      <c r="IHK2" t="n">
        <v>4164</v>
      </c>
      <c r="IHL2" t="n">
        <v>4165</v>
      </c>
      <c r="IHM2" t="n">
        <v>4166</v>
      </c>
      <c r="IHN2" t="n">
        <v>4167</v>
      </c>
      <c r="IHO2" t="n">
        <v>4168</v>
      </c>
      <c r="IHP2" t="n">
        <v>4169</v>
      </c>
      <c r="IHQ2" t="n">
        <v>4170</v>
      </c>
      <c r="IHR2" t="n">
        <v>4171</v>
      </c>
      <c r="IHS2" t="n">
        <v>4172</v>
      </c>
      <c r="IHT2" t="n">
        <v>4173</v>
      </c>
      <c r="IHU2" t="n">
        <v>4174</v>
      </c>
      <c r="IHV2" t="n">
        <v>4175</v>
      </c>
      <c r="IHW2" t="n">
        <v>4176</v>
      </c>
      <c r="IHX2" t="n">
        <v>4177</v>
      </c>
      <c r="IHY2" t="n">
        <v>4178</v>
      </c>
      <c r="IHZ2" t="n">
        <v>4179</v>
      </c>
      <c r="IIA2" t="n">
        <v>4180</v>
      </c>
      <c r="IIB2" t="n">
        <v>4181</v>
      </c>
      <c r="IIC2" t="n">
        <v>4182</v>
      </c>
      <c r="IID2" t="n">
        <v>4183</v>
      </c>
      <c r="IIE2" t="n">
        <v>4184</v>
      </c>
      <c r="IIF2" t="n">
        <v>4185</v>
      </c>
      <c r="IIG2" t="n">
        <v>4186</v>
      </c>
      <c r="IIH2" t="n">
        <v>4187</v>
      </c>
      <c r="III2" t="n">
        <v>4188</v>
      </c>
      <c r="IIJ2" t="n">
        <v>4189</v>
      </c>
      <c r="IIK2" t="n">
        <v>4190</v>
      </c>
      <c r="IIL2" t="n">
        <v>4191</v>
      </c>
      <c r="IIM2" t="n">
        <v>4192</v>
      </c>
      <c r="IIN2" t="n">
        <v>4193</v>
      </c>
      <c r="IIO2" t="n">
        <v>4194</v>
      </c>
      <c r="IIP2" t="n">
        <v>4195</v>
      </c>
      <c r="IIQ2" t="n">
        <v>4196</v>
      </c>
      <c r="IIR2" t="n">
        <v>4197</v>
      </c>
      <c r="IIS2" t="n">
        <v>4198</v>
      </c>
      <c r="IIT2" t="n">
        <v>4199</v>
      </c>
      <c r="IIU2" t="n">
        <v>4200</v>
      </c>
      <c r="IIV2" t="n">
        <v>4201</v>
      </c>
      <c r="IIW2" t="n">
        <v>4202</v>
      </c>
      <c r="IIX2" t="n">
        <v>4203</v>
      </c>
      <c r="IIY2" t="n">
        <v>4204</v>
      </c>
      <c r="IIZ2" t="n">
        <v>4205</v>
      </c>
      <c r="IJA2" t="n">
        <v>4206</v>
      </c>
      <c r="IJB2" t="n">
        <v>4207</v>
      </c>
      <c r="IJC2" t="n">
        <v>4208</v>
      </c>
      <c r="IJD2" t="n">
        <v>4209</v>
      </c>
      <c r="IJE2" t="n">
        <v>4210</v>
      </c>
      <c r="IJF2" t="n">
        <v>4211</v>
      </c>
      <c r="IJG2" t="n">
        <v>4212</v>
      </c>
      <c r="IJH2" t="n">
        <v>4213</v>
      </c>
      <c r="IJI2" t="n">
        <v>4214</v>
      </c>
      <c r="IJJ2" t="n">
        <v>4215</v>
      </c>
      <c r="IJK2" t="n">
        <v>4216</v>
      </c>
      <c r="IJL2" t="n">
        <v>4217</v>
      </c>
      <c r="IJM2" t="n">
        <v>4218</v>
      </c>
      <c r="IJN2" t="n">
        <v>4219</v>
      </c>
      <c r="IJO2" t="n">
        <v>4220</v>
      </c>
      <c r="IJP2" t="n">
        <v>4221</v>
      </c>
      <c r="IJQ2" t="n">
        <v>4222</v>
      </c>
      <c r="IJR2" t="n">
        <v>4223</v>
      </c>
      <c r="IJS2" t="n">
        <v>4224</v>
      </c>
      <c r="IJT2" t="n">
        <v>4225</v>
      </c>
      <c r="IJU2" t="n">
        <v>4226</v>
      </c>
      <c r="IJV2" t="n">
        <v>4227</v>
      </c>
      <c r="IJW2" t="n">
        <v>4228</v>
      </c>
      <c r="IJX2" t="n">
        <v>4229</v>
      </c>
      <c r="IJY2" t="n">
        <v>4230</v>
      </c>
      <c r="IJZ2" t="n">
        <v>4231</v>
      </c>
      <c r="IKA2" t="n">
        <v>4232</v>
      </c>
      <c r="IKB2" t="n">
        <v>4233</v>
      </c>
      <c r="IKC2" t="n">
        <v>4234</v>
      </c>
      <c r="IKD2" t="n">
        <v>4235</v>
      </c>
      <c r="IKE2" t="n">
        <v>4236</v>
      </c>
      <c r="IKF2" t="n">
        <v>4237</v>
      </c>
      <c r="IKG2" t="n">
        <v>4238</v>
      </c>
      <c r="IKH2" t="n">
        <v>4239</v>
      </c>
      <c r="IKI2" t="n">
        <v>4240</v>
      </c>
      <c r="IKJ2" t="n">
        <v>4241</v>
      </c>
      <c r="IKK2" t="n">
        <v>4242</v>
      </c>
      <c r="IKL2" t="n">
        <v>4243</v>
      </c>
      <c r="IKM2" t="n">
        <v>4244</v>
      </c>
      <c r="IKN2" t="n">
        <v>4245</v>
      </c>
      <c r="IKO2" t="n">
        <v>4246</v>
      </c>
      <c r="IKP2" t="n">
        <v>4247</v>
      </c>
      <c r="IKQ2" t="n">
        <v>4248</v>
      </c>
      <c r="IKR2" t="n">
        <v>4249</v>
      </c>
      <c r="IKS2" t="n">
        <v>4250</v>
      </c>
      <c r="IKT2" t="n">
        <v>4251</v>
      </c>
      <c r="IKU2" t="n">
        <v>4252</v>
      </c>
      <c r="IKV2" t="n">
        <v>4253</v>
      </c>
      <c r="IKW2" t="n">
        <v>4254</v>
      </c>
      <c r="IKX2" t="n">
        <v>4255</v>
      </c>
      <c r="IKY2" t="n">
        <v>4256</v>
      </c>
      <c r="IKZ2" t="n">
        <v>4257</v>
      </c>
      <c r="ILA2" t="n">
        <v>4258</v>
      </c>
      <c r="ILB2" t="n">
        <v>4259</v>
      </c>
      <c r="ILC2" t="n">
        <v>4260</v>
      </c>
      <c r="ILD2" t="n">
        <v>4261</v>
      </c>
      <c r="ILE2" t="n">
        <v>4262</v>
      </c>
      <c r="ILF2" t="n">
        <v>4263</v>
      </c>
      <c r="ILG2" t="n">
        <v>4264</v>
      </c>
      <c r="ILH2" t="n">
        <v>4265</v>
      </c>
      <c r="ILI2" t="n">
        <v>4266</v>
      </c>
      <c r="ILJ2" t="n">
        <v>4267</v>
      </c>
      <c r="ILK2" t="n">
        <v>4268</v>
      </c>
      <c r="ILL2" t="n">
        <v>4269</v>
      </c>
      <c r="ILM2" t="n">
        <v>4270</v>
      </c>
      <c r="ILN2" t="n">
        <v>4271</v>
      </c>
      <c r="ILO2" t="n">
        <v>4272</v>
      </c>
      <c r="ILP2" t="n">
        <v>4273</v>
      </c>
      <c r="ILQ2" t="n">
        <v>4274</v>
      </c>
      <c r="ILR2" t="n">
        <v>4275</v>
      </c>
      <c r="ILS2" t="n">
        <v>4276</v>
      </c>
      <c r="ILT2" t="n">
        <v>4277</v>
      </c>
      <c r="ILU2" t="n">
        <v>4278</v>
      </c>
      <c r="ILV2" t="n">
        <v>4279</v>
      </c>
      <c r="ILW2" t="n">
        <v>4280</v>
      </c>
      <c r="ILX2" t="n">
        <v>4281</v>
      </c>
      <c r="ILY2" t="n">
        <v>4282</v>
      </c>
      <c r="ILZ2" t="n">
        <v>4283</v>
      </c>
      <c r="IMA2" t="n">
        <v>4284</v>
      </c>
      <c r="IMB2" t="n">
        <v>4285</v>
      </c>
      <c r="IMC2" t="n">
        <v>4286</v>
      </c>
      <c r="IMD2" t="n">
        <v>4287</v>
      </c>
      <c r="IME2" t="n">
        <v>4288</v>
      </c>
      <c r="IMF2" t="n">
        <v>4289</v>
      </c>
      <c r="IMG2" t="n">
        <v>4290</v>
      </c>
      <c r="IMH2" t="n">
        <v>4291</v>
      </c>
      <c r="IMI2" t="n">
        <v>4292</v>
      </c>
      <c r="IMJ2" t="n">
        <v>4293</v>
      </c>
      <c r="IMK2" t="n">
        <v>4294</v>
      </c>
      <c r="IML2" t="n">
        <v>4295</v>
      </c>
      <c r="IMM2" t="n">
        <v>4296</v>
      </c>
      <c r="IMN2" t="n">
        <v>4297</v>
      </c>
      <c r="IMO2" t="n">
        <v>4298</v>
      </c>
      <c r="IMP2" t="n">
        <v>4299</v>
      </c>
      <c r="IMQ2" t="n">
        <v>4300</v>
      </c>
      <c r="IMR2" t="n">
        <v>4301</v>
      </c>
      <c r="IMS2" t="n">
        <v>4302</v>
      </c>
      <c r="IMT2" t="n">
        <v>4303</v>
      </c>
      <c r="IMU2" t="n">
        <v>4304</v>
      </c>
      <c r="IMV2" t="n">
        <v>4305</v>
      </c>
      <c r="IMW2" t="n">
        <v>4306</v>
      </c>
      <c r="IMX2" t="n">
        <v>4307</v>
      </c>
      <c r="IMY2" t="n">
        <v>4308</v>
      </c>
      <c r="IMZ2" t="n">
        <v>4309</v>
      </c>
      <c r="INA2" t="n">
        <v>4310</v>
      </c>
      <c r="INB2" t="n">
        <v>4311</v>
      </c>
      <c r="INC2" t="n">
        <v>4312</v>
      </c>
      <c r="IND2" t="n">
        <v>4313</v>
      </c>
      <c r="INE2" t="n">
        <v>4314</v>
      </c>
      <c r="INF2" t="n">
        <v>4315</v>
      </c>
      <c r="ING2" t="n">
        <v>4316</v>
      </c>
      <c r="INH2" t="n">
        <v>4317</v>
      </c>
      <c r="INI2" t="n">
        <v>4318</v>
      </c>
      <c r="INJ2" t="n">
        <v>4319</v>
      </c>
      <c r="INK2" t="n">
        <v>4320</v>
      </c>
      <c r="INL2" t="n">
        <v>4321</v>
      </c>
      <c r="INM2" t="n">
        <v>4322</v>
      </c>
      <c r="INN2" t="n">
        <v>4323</v>
      </c>
      <c r="INO2" t="n">
        <v>4324</v>
      </c>
      <c r="INP2" t="n">
        <v>4325</v>
      </c>
      <c r="INQ2" t="n">
        <v>4326</v>
      </c>
      <c r="INR2" t="n">
        <v>4327</v>
      </c>
      <c r="INS2" t="n">
        <v>4328</v>
      </c>
      <c r="INT2" t="n">
        <v>4329</v>
      </c>
      <c r="INU2" t="n">
        <v>4330</v>
      </c>
      <c r="INV2" t="n">
        <v>4331</v>
      </c>
      <c r="INW2" t="n">
        <v>4332</v>
      </c>
      <c r="INX2" t="n">
        <v>4333</v>
      </c>
      <c r="INY2" t="n">
        <v>4334</v>
      </c>
      <c r="INZ2" t="n">
        <v>4335</v>
      </c>
      <c r="IOA2" t="n">
        <v>4336</v>
      </c>
      <c r="IOB2" t="n">
        <v>4337</v>
      </c>
      <c r="IOC2" t="n">
        <v>4338</v>
      </c>
      <c r="IOD2" t="n">
        <v>4339</v>
      </c>
      <c r="IOE2" t="n">
        <v>4340</v>
      </c>
      <c r="IOF2" t="n">
        <v>4341</v>
      </c>
      <c r="IOG2" t="n">
        <v>4342</v>
      </c>
      <c r="IOH2" t="n">
        <v>4343</v>
      </c>
      <c r="IOI2" t="n">
        <v>4344</v>
      </c>
      <c r="IOJ2" t="n">
        <v>4345</v>
      </c>
      <c r="IOK2" t="n">
        <v>4346</v>
      </c>
      <c r="IOL2" t="n">
        <v>4347</v>
      </c>
      <c r="IOM2" t="n">
        <v>4348</v>
      </c>
      <c r="ION2" t="n">
        <v>4349</v>
      </c>
      <c r="IOO2" t="n">
        <v>4350</v>
      </c>
      <c r="IOP2" t="n">
        <v>4351</v>
      </c>
      <c r="IOQ2" t="n">
        <v>4352</v>
      </c>
      <c r="IOR2" t="n">
        <v>4353</v>
      </c>
      <c r="IOS2" t="n">
        <v>4354</v>
      </c>
      <c r="IOT2" t="n">
        <v>4355</v>
      </c>
      <c r="IOU2" t="n">
        <v>4356</v>
      </c>
      <c r="IOV2" t="n">
        <v>4357</v>
      </c>
      <c r="IOW2" t="n">
        <v>4358</v>
      </c>
      <c r="IOX2" t="n">
        <v>4359</v>
      </c>
      <c r="IOY2" t="n">
        <v>4360</v>
      </c>
      <c r="IOZ2" t="n">
        <v>4361</v>
      </c>
      <c r="IPA2" t="n">
        <v>4362</v>
      </c>
      <c r="IPB2" t="n">
        <v>4363</v>
      </c>
      <c r="IPC2" t="n">
        <v>4364</v>
      </c>
      <c r="IPD2" t="n">
        <v>4365</v>
      </c>
      <c r="IPE2" t="n">
        <v>4366</v>
      </c>
      <c r="IPF2" t="n">
        <v>4367</v>
      </c>
      <c r="IPG2" t="n">
        <v>4368</v>
      </c>
      <c r="IPH2" t="n">
        <v>4369</v>
      </c>
      <c r="IPI2" t="n">
        <v>4370</v>
      </c>
      <c r="IPJ2" t="n">
        <v>4371</v>
      </c>
      <c r="IPK2" t="n">
        <v>4372</v>
      </c>
      <c r="IPL2" t="n">
        <v>4373</v>
      </c>
      <c r="IPM2" t="n">
        <v>4374</v>
      </c>
      <c r="IPN2" t="n">
        <v>4375</v>
      </c>
      <c r="IPO2" t="n">
        <v>4376</v>
      </c>
      <c r="IPP2" t="n">
        <v>4377</v>
      </c>
      <c r="IPQ2" t="n">
        <v>4378</v>
      </c>
      <c r="IPR2" t="n">
        <v>4379</v>
      </c>
      <c r="IPS2" t="n">
        <v>4380</v>
      </c>
      <c r="IPT2" t="n">
        <v>4381</v>
      </c>
      <c r="IPU2" t="n">
        <v>4382</v>
      </c>
      <c r="IPV2" t="n">
        <v>4383</v>
      </c>
      <c r="IPW2" t="n">
        <v>4384</v>
      </c>
      <c r="IPX2" t="n">
        <v>4385</v>
      </c>
      <c r="IPY2" t="n">
        <v>4386</v>
      </c>
      <c r="IPZ2" t="n">
        <v>4387</v>
      </c>
      <c r="IQA2" t="n">
        <v>4388</v>
      </c>
      <c r="IQB2" t="n">
        <v>4389</v>
      </c>
      <c r="IQC2" t="n">
        <v>4390</v>
      </c>
      <c r="IQD2" t="n">
        <v>4391</v>
      </c>
      <c r="IQE2" t="n">
        <v>4392</v>
      </c>
      <c r="IQF2" t="n">
        <v>4393</v>
      </c>
      <c r="IQG2" t="n">
        <v>4394</v>
      </c>
      <c r="IQH2" t="n">
        <v>4395</v>
      </c>
      <c r="IQI2" t="n">
        <v>4396</v>
      </c>
      <c r="IQJ2" t="n">
        <v>4397</v>
      </c>
      <c r="IQK2" t="n">
        <v>4398</v>
      </c>
      <c r="IQL2" t="n">
        <v>4399</v>
      </c>
      <c r="IQM2" t="n">
        <v>4400</v>
      </c>
      <c r="IQN2" t="n">
        <v>4401</v>
      </c>
      <c r="IQO2" t="n">
        <v>4402</v>
      </c>
      <c r="IQP2" t="n">
        <v>4403</v>
      </c>
      <c r="IQQ2" t="n">
        <v>4404</v>
      </c>
      <c r="IQR2" t="n">
        <v>4405</v>
      </c>
      <c r="IQS2" t="n">
        <v>4406</v>
      </c>
      <c r="IQT2" t="n">
        <v>4407</v>
      </c>
      <c r="IQU2" t="n">
        <v>4408</v>
      </c>
      <c r="IQV2" t="n">
        <v>4409</v>
      </c>
      <c r="IQW2" t="n">
        <v>4410</v>
      </c>
      <c r="IQX2" t="n">
        <v>4411</v>
      </c>
      <c r="IQY2" t="n">
        <v>4412</v>
      </c>
      <c r="IQZ2" t="n">
        <v>4413</v>
      </c>
      <c r="IRA2" t="n">
        <v>4414</v>
      </c>
      <c r="IRB2" t="n">
        <v>4415</v>
      </c>
      <c r="IRC2" t="n">
        <v>4416</v>
      </c>
      <c r="IRD2" t="n">
        <v>4417</v>
      </c>
      <c r="IRE2" t="n">
        <v>4418</v>
      </c>
      <c r="IRF2" t="n">
        <v>4419</v>
      </c>
      <c r="IRG2" t="n">
        <v>4420</v>
      </c>
      <c r="IRH2" t="n">
        <v>4421</v>
      </c>
      <c r="IRI2" t="n">
        <v>4422</v>
      </c>
      <c r="IRJ2" t="n">
        <v>4423</v>
      </c>
      <c r="IRK2" t="n">
        <v>4424</v>
      </c>
      <c r="IRL2" t="n">
        <v>4425</v>
      </c>
      <c r="IRM2" t="n">
        <v>4426</v>
      </c>
      <c r="IRN2" t="n">
        <v>4427</v>
      </c>
      <c r="IRO2" t="n">
        <v>4428</v>
      </c>
      <c r="IRP2" t="n">
        <v>4429</v>
      </c>
      <c r="IRQ2" t="n">
        <v>4430</v>
      </c>
      <c r="IRR2" t="n">
        <v>4431</v>
      </c>
      <c r="IRS2" t="n">
        <v>4432</v>
      </c>
      <c r="IRT2" t="n">
        <v>4433</v>
      </c>
      <c r="IRU2" t="n">
        <v>4434</v>
      </c>
      <c r="IRV2" t="n">
        <v>4435</v>
      </c>
      <c r="IRW2" t="n">
        <v>4436</v>
      </c>
      <c r="IRX2" t="n">
        <v>4437</v>
      </c>
      <c r="IRY2" t="n">
        <v>4438</v>
      </c>
      <c r="IRZ2" t="n">
        <v>4439</v>
      </c>
      <c r="ISA2" t="n">
        <v>4440</v>
      </c>
      <c r="ISB2" t="n">
        <v>4441</v>
      </c>
      <c r="ISC2" t="n">
        <v>4442</v>
      </c>
      <c r="ISD2" t="n">
        <v>4443</v>
      </c>
      <c r="ISE2" t="n">
        <v>4444</v>
      </c>
      <c r="ISF2" t="n">
        <v>4445</v>
      </c>
      <c r="ISG2" t="n">
        <v>4446</v>
      </c>
      <c r="ISH2" t="n">
        <v>4447</v>
      </c>
      <c r="ISI2" t="n">
        <v>4448</v>
      </c>
      <c r="ISJ2" t="n">
        <v>4449</v>
      </c>
      <c r="ISK2" t="n">
        <v>4450</v>
      </c>
      <c r="ISL2" t="n">
        <v>4451</v>
      </c>
      <c r="ISM2" t="n">
        <v>4452</v>
      </c>
      <c r="ISN2" t="n">
        <v>4453</v>
      </c>
      <c r="ISO2" t="n">
        <v>4454</v>
      </c>
      <c r="ISP2" t="n">
        <v>4455</v>
      </c>
      <c r="ISQ2" t="n">
        <v>4456</v>
      </c>
      <c r="ISR2" t="n">
        <v>4457</v>
      </c>
      <c r="ISS2" t="n">
        <v>4458</v>
      </c>
      <c r="IST2" t="n">
        <v>4459</v>
      </c>
      <c r="ISU2" t="n">
        <v>4460</v>
      </c>
      <c r="ISV2" t="n">
        <v>4461</v>
      </c>
      <c r="ISW2" t="n">
        <v>4462</v>
      </c>
      <c r="ISX2" t="n">
        <v>4463</v>
      </c>
      <c r="ISY2" t="n">
        <v>4464</v>
      </c>
      <c r="ISZ2" t="n">
        <v>4465</v>
      </c>
      <c r="ITA2" t="n">
        <v>4466</v>
      </c>
      <c r="ITB2" t="n">
        <v>4467</v>
      </c>
      <c r="ITC2" t="n">
        <v>4468</v>
      </c>
      <c r="ITD2" t="n">
        <v>4469</v>
      </c>
      <c r="ITE2" t="n">
        <v>4470</v>
      </c>
      <c r="ITF2" t="n">
        <v>4471</v>
      </c>
      <c r="ITG2" t="n">
        <v>4472</v>
      </c>
      <c r="ITH2" t="n">
        <v>4473</v>
      </c>
      <c r="ITI2" t="n">
        <v>4474</v>
      </c>
      <c r="ITJ2" t="n">
        <v>4475</v>
      </c>
      <c r="ITK2" t="n">
        <v>4476</v>
      </c>
      <c r="ITL2" t="n">
        <v>4477</v>
      </c>
      <c r="ITM2" t="n">
        <v>4478</v>
      </c>
      <c r="ITN2" t="n">
        <v>4479</v>
      </c>
      <c r="ITO2" t="n">
        <v>4480</v>
      </c>
      <c r="ITP2" t="n">
        <v>4481</v>
      </c>
      <c r="ITQ2" t="n">
        <v>4482</v>
      </c>
      <c r="ITR2" t="n">
        <v>4483</v>
      </c>
      <c r="ITS2" t="n">
        <v>4484</v>
      </c>
      <c r="ITT2" t="n">
        <v>4485</v>
      </c>
      <c r="ITU2" t="n">
        <v>4486</v>
      </c>
      <c r="ITV2" t="n">
        <v>4487</v>
      </c>
      <c r="ITW2" t="n">
        <v>4488</v>
      </c>
      <c r="ITX2" t="n">
        <v>4489</v>
      </c>
      <c r="ITY2" t="n">
        <v>4490</v>
      </c>
      <c r="ITZ2" t="n">
        <v>4491</v>
      </c>
      <c r="IUA2" t="n">
        <v>4492</v>
      </c>
      <c r="IUB2" t="n">
        <v>4493</v>
      </c>
      <c r="IUC2" t="n">
        <v>4494</v>
      </c>
      <c r="IUD2" t="n">
        <v>4495</v>
      </c>
      <c r="IUE2" t="n">
        <v>4496</v>
      </c>
      <c r="IUF2" t="n">
        <v>4497</v>
      </c>
      <c r="IUG2" t="n">
        <v>4498</v>
      </c>
      <c r="IUH2" t="n">
        <v>4499</v>
      </c>
      <c r="IUI2" t="n">
        <v>4500</v>
      </c>
      <c r="IUJ2" t="n">
        <v>4501</v>
      </c>
      <c r="IUK2" t="n">
        <v>4502</v>
      </c>
      <c r="IUL2" t="n">
        <v>4503</v>
      </c>
      <c r="IUM2" t="n">
        <v>4504</v>
      </c>
      <c r="IUN2" t="n">
        <v>4505</v>
      </c>
      <c r="IUO2" t="n">
        <v>4506</v>
      </c>
      <c r="IUP2" t="n">
        <v>4507</v>
      </c>
      <c r="IUQ2" t="n">
        <v>4508</v>
      </c>
      <c r="IUR2" t="n">
        <v>4509</v>
      </c>
      <c r="IUS2" t="n">
        <v>4510</v>
      </c>
      <c r="IUT2" t="n">
        <v>4511</v>
      </c>
      <c r="IUU2" t="n">
        <v>4512</v>
      </c>
      <c r="IUV2" t="n">
        <v>4513</v>
      </c>
      <c r="IUW2" t="n">
        <v>4514</v>
      </c>
      <c r="IUX2" t="n">
        <v>4515</v>
      </c>
      <c r="IUY2" t="n">
        <v>4516</v>
      </c>
      <c r="IUZ2" t="n">
        <v>4517</v>
      </c>
      <c r="IVA2" t="n">
        <v>4518</v>
      </c>
      <c r="IVB2" t="n">
        <v>4519</v>
      </c>
      <c r="IVC2" t="n">
        <v>4520</v>
      </c>
      <c r="IVD2" t="n">
        <v>4521</v>
      </c>
      <c r="IVE2" t="n">
        <v>4522</v>
      </c>
      <c r="IVF2" t="n">
        <v>4523</v>
      </c>
      <c r="IVG2" t="n">
        <v>4524</v>
      </c>
      <c r="IVH2" t="n">
        <v>4525</v>
      </c>
      <c r="IVI2" t="n">
        <v>4526</v>
      </c>
      <c r="IVJ2" t="n">
        <v>4527</v>
      </c>
      <c r="IVK2" t="n">
        <v>4528</v>
      </c>
      <c r="IVL2" t="n">
        <v>4529</v>
      </c>
      <c r="IVM2" t="n">
        <v>4530</v>
      </c>
      <c r="IVN2" t="n">
        <v>4531</v>
      </c>
      <c r="IVO2" t="n">
        <v>4532</v>
      </c>
      <c r="IVP2" t="n">
        <v>4533</v>
      </c>
      <c r="IVQ2" t="n">
        <v>4534</v>
      </c>
      <c r="IVR2" t="n">
        <v>4535</v>
      </c>
      <c r="IVS2" t="n">
        <v>4536</v>
      </c>
      <c r="IVT2" t="n">
        <v>4537</v>
      </c>
      <c r="IVU2" t="n">
        <v>4538</v>
      </c>
      <c r="IVV2" t="n">
        <v>4539</v>
      </c>
      <c r="IVW2" t="n">
        <v>4540</v>
      </c>
      <c r="IVX2" t="n">
        <v>4541</v>
      </c>
      <c r="IVY2" t="n">
        <v>4542</v>
      </c>
      <c r="IVZ2" t="n">
        <v>4543</v>
      </c>
      <c r="IWA2" t="n">
        <v>4544</v>
      </c>
      <c r="IWB2" t="n">
        <v>4545</v>
      </c>
      <c r="IWC2" t="n">
        <v>4546</v>
      </c>
      <c r="IWD2" t="n">
        <v>4547</v>
      </c>
      <c r="IWE2" t="n">
        <v>4548</v>
      </c>
      <c r="IWF2" t="n">
        <v>4549</v>
      </c>
      <c r="IWG2" t="n">
        <v>4550</v>
      </c>
      <c r="IWH2" t="n">
        <v>4551</v>
      </c>
      <c r="IWI2" t="n">
        <v>4552</v>
      </c>
      <c r="IWJ2" t="n">
        <v>4553</v>
      </c>
      <c r="IWK2" t="n">
        <v>4554</v>
      </c>
      <c r="IWL2" t="n">
        <v>4555</v>
      </c>
      <c r="IWM2" t="n">
        <v>4556</v>
      </c>
      <c r="IWN2" t="n">
        <v>4557</v>
      </c>
      <c r="IWO2" t="n">
        <v>4558</v>
      </c>
      <c r="IWP2" t="n">
        <v>4559</v>
      </c>
      <c r="IWQ2" t="n">
        <v>4560</v>
      </c>
      <c r="IWR2" t="n">
        <v>4561</v>
      </c>
      <c r="IWS2" t="n">
        <v>4562</v>
      </c>
      <c r="IWT2" t="n">
        <v>4563</v>
      </c>
      <c r="IWU2" t="n">
        <v>4564</v>
      </c>
      <c r="IWV2" t="n">
        <v>4565</v>
      </c>
      <c r="IWW2" t="n">
        <v>4566</v>
      </c>
      <c r="IWX2" t="n">
        <v>4567</v>
      </c>
      <c r="IWY2" t="n">
        <v>4568</v>
      </c>
      <c r="IWZ2" t="n">
        <v>4569</v>
      </c>
      <c r="IXA2" t="n">
        <v>4570</v>
      </c>
      <c r="IXB2" t="n">
        <v>4571</v>
      </c>
      <c r="IXC2" t="n">
        <v>4572</v>
      </c>
      <c r="IXD2" t="n">
        <v>4573</v>
      </c>
      <c r="IXE2" t="n">
        <v>4574</v>
      </c>
      <c r="IXF2" t="n">
        <v>4575</v>
      </c>
      <c r="IXG2" t="n">
        <v>4576</v>
      </c>
      <c r="IXH2" t="n">
        <v>4577</v>
      </c>
      <c r="IXI2" t="n">
        <v>4578</v>
      </c>
      <c r="IXJ2" t="n">
        <v>4579</v>
      </c>
      <c r="IXK2" t="n">
        <v>4580</v>
      </c>
      <c r="IXL2" t="n">
        <v>4581</v>
      </c>
      <c r="IXM2" t="n">
        <v>4582</v>
      </c>
      <c r="IXN2" t="n">
        <v>4583</v>
      </c>
      <c r="IXO2" t="n">
        <v>4584</v>
      </c>
      <c r="IXP2" t="n">
        <v>4585</v>
      </c>
      <c r="IXQ2" t="n">
        <v>4586</v>
      </c>
      <c r="IXR2" t="n">
        <v>4587</v>
      </c>
      <c r="IXS2" t="n">
        <v>4588</v>
      </c>
      <c r="IXT2" t="n">
        <v>4589</v>
      </c>
      <c r="IXU2" t="n">
        <v>4590</v>
      </c>
      <c r="IXV2" t="n">
        <v>4591</v>
      </c>
      <c r="IXW2" t="n">
        <v>4592</v>
      </c>
      <c r="IXX2" t="n">
        <v>4593</v>
      </c>
      <c r="IXY2" t="n">
        <v>4594</v>
      </c>
      <c r="IXZ2" t="n">
        <v>4595</v>
      </c>
      <c r="IYA2" t="n">
        <v>4596</v>
      </c>
      <c r="IYB2" t="n">
        <v>4597</v>
      </c>
      <c r="IYC2" t="n">
        <v>4598</v>
      </c>
      <c r="IYD2" t="n">
        <v>4599</v>
      </c>
      <c r="IYE2" t="n">
        <v>4600</v>
      </c>
      <c r="IYF2" t="n">
        <v>4601</v>
      </c>
      <c r="IYG2" t="n">
        <v>4602</v>
      </c>
      <c r="IYH2" t="n">
        <v>4603</v>
      </c>
      <c r="IYI2" t="n">
        <v>4604</v>
      </c>
      <c r="IYJ2" t="n">
        <v>4605</v>
      </c>
      <c r="IYK2" t="n">
        <v>4606</v>
      </c>
      <c r="IYL2" t="n">
        <v>4607</v>
      </c>
      <c r="IYM2" t="n">
        <v>4608</v>
      </c>
      <c r="IYN2" t="n">
        <v>4609</v>
      </c>
      <c r="IYO2" t="n">
        <v>4610</v>
      </c>
      <c r="IYP2" t="n">
        <v>4611</v>
      </c>
      <c r="IYQ2" t="n">
        <v>4612</v>
      </c>
      <c r="IYR2" t="n">
        <v>4613</v>
      </c>
      <c r="IYS2" t="n">
        <v>4614</v>
      </c>
      <c r="IYT2" t="n">
        <v>4615</v>
      </c>
      <c r="IYU2" t="n">
        <v>4616</v>
      </c>
      <c r="IYV2" t="n">
        <v>4617</v>
      </c>
      <c r="IYW2" t="n">
        <v>4618</v>
      </c>
      <c r="IYX2" t="n">
        <v>4619</v>
      </c>
      <c r="IYY2" t="n">
        <v>4620</v>
      </c>
      <c r="IYZ2" t="n">
        <v>4621</v>
      </c>
      <c r="IZA2" t="n">
        <v>4622</v>
      </c>
      <c r="IZB2" t="n">
        <v>4623</v>
      </c>
      <c r="IZC2" t="n">
        <v>4624</v>
      </c>
      <c r="IZD2" t="n">
        <v>4625</v>
      </c>
      <c r="IZE2" t="n">
        <v>4626</v>
      </c>
      <c r="IZF2" t="n">
        <v>4627</v>
      </c>
      <c r="IZG2" t="n">
        <v>4628</v>
      </c>
      <c r="IZH2" t="n">
        <v>4629</v>
      </c>
      <c r="IZI2" t="n">
        <v>4630</v>
      </c>
      <c r="IZJ2" t="n">
        <v>4631</v>
      </c>
      <c r="IZK2" t="n">
        <v>4632</v>
      </c>
      <c r="IZL2" t="n">
        <v>4633</v>
      </c>
      <c r="IZM2" t="n">
        <v>4634</v>
      </c>
      <c r="IZN2" t="n">
        <v>4635</v>
      </c>
      <c r="IZO2" t="n">
        <v>4636</v>
      </c>
      <c r="IZP2" t="n">
        <v>4637</v>
      </c>
      <c r="IZQ2" t="n">
        <v>4638</v>
      </c>
      <c r="IZR2" t="n">
        <v>4639</v>
      </c>
      <c r="IZS2" t="n">
        <v>4640</v>
      </c>
      <c r="IZT2" t="n">
        <v>4641</v>
      </c>
      <c r="IZU2" t="n">
        <v>4642</v>
      </c>
      <c r="IZV2" t="n">
        <v>4643</v>
      </c>
      <c r="IZW2" t="n">
        <v>4644</v>
      </c>
      <c r="IZX2" t="n">
        <v>4645</v>
      </c>
      <c r="IZY2" t="n">
        <v>4646</v>
      </c>
      <c r="IZZ2" t="n">
        <v>4647</v>
      </c>
      <c r="JAA2" t="n">
        <v>4648</v>
      </c>
      <c r="JAB2" t="n">
        <v>4649</v>
      </c>
      <c r="JAC2" t="n">
        <v>4650</v>
      </c>
      <c r="JAD2" t="n">
        <v>4651</v>
      </c>
      <c r="JAE2" t="n">
        <v>4652</v>
      </c>
      <c r="JAF2" t="n">
        <v>4653</v>
      </c>
      <c r="JAG2" t="n">
        <v>4654</v>
      </c>
      <c r="JAH2" t="n">
        <v>4655</v>
      </c>
      <c r="JAI2" t="n">
        <v>4656</v>
      </c>
      <c r="JAJ2" t="n">
        <v>4657</v>
      </c>
      <c r="JAK2" t="n">
        <v>4658</v>
      </c>
      <c r="JAL2" t="n">
        <v>4659</v>
      </c>
      <c r="JAM2" t="n">
        <v>4660</v>
      </c>
      <c r="JAN2" t="n">
        <v>4661</v>
      </c>
      <c r="JAO2" t="n">
        <v>4662</v>
      </c>
      <c r="JAP2" t="n">
        <v>4663</v>
      </c>
      <c r="JAQ2" t="n">
        <v>4664</v>
      </c>
      <c r="JAR2" t="n">
        <v>4665</v>
      </c>
      <c r="JAS2" t="n">
        <v>4666</v>
      </c>
      <c r="JAT2" t="n">
        <v>4667</v>
      </c>
      <c r="JAU2" t="n">
        <v>4668</v>
      </c>
      <c r="JAV2" t="n">
        <v>4669</v>
      </c>
      <c r="JAW2" t="n">
        <v>4670</v>
      </c>
      <c r="JAX2" t="n">
        <v>4671</v>
      </c>
      <c r="JAY2" t="n">
        <v>4672</v>
      </c>
      <c r="JAZ2" t="n">
        <v>4673</v>
      </c>
      <c r="JBA2" t="n">
        <v>4674</v>
      </c>
      <c r="JBB2" t="n">
        <v>4675</v>
      </c>
      <c r="JBC2" t="n">
        <v>4676</v>
      </c>
      <c r="JBD2" t="n">
        <v>4677</v>
      </c>
      <c r="JBE2" t="n">
        <v>4678</v>
      </c>
      <c r="JBF2" t="n">
        <v>4679</v>
      </c>
      <c r="JBG2" t="n">
        <v>4680</v>
      </c>
      <c r="JBH2" t="n">
        <v>4681</v>
      </c>
      <c r="JBI2" t="n">
        <v>4682</v>
      </c>
      <c r="JBJ2" t="n">
        <v>4683</v>
      </c>
      <c r="JBK2" t="n">
        <v>4684</v>
      </c>
      <c r="JBL2" t="n">
        <v>4685</v>
      </c>
      <c r="JBM2" t="n">
        <v>4686</v>
      </c>
      <c r="JBN2" t="n">
        <v>4687</v>
      </c>
      <c r="JBO2" t="n">
        <v>4688</v>
      </c>
      <c r="JBP2" t="n">
        <v>4689</v>
      </c>
      <c r="JBQ2" t="n">
        <v>4690</v>
      </c>
      <c r="JBR2" t="n">
        <v>4691</v>
      </c>
      <c r="JBS2" t="n">
        <v>4692</v>
      </c>
      <c r="JBT2" t="n">
        <v>4693</v>
      </c>
      <c r="JBU2" t="n">
        <v>4694</v>
      </c>
      <c r="JBV2" t="n">
        <v>4695</v>
      </c>
      <c r="JBW2" t="n">
        <v>4696</v>
      </c>
      <c r="JBX2" t="n">
        <v>4697</v>
      </c>
      <c r="JBY2" t="n">
        <v>4698</v>
      </c>
      <c r="JBZ2" t="n">
        <v>4699</v>
      </c>
      <c r="JCA2" t="n">
        <v>4700</v>
      </c>
      <c r="JCB2" t="n">
        <v>4701</v>
      </c>
      <c r="JCC2" t="n">
        <v>4702</v>
      </c>
      <c r="JCD2" t="n">
        <v>4703</v>
      </c>
      <c r="JCE2" t="n">
        <v>4704</v>
      </c>
      <c r="JCF2" t="n">
        <v>4705</v>
      </c>
      <c r="JCG2" t="n">
        <v>4706</v>
      </c>
      <c r="JCH2" t="n">
        <v>4707</v>
      </c>
      <c r="JCI2" t="n">
        <v>4708</v>
      </c>
      <c r="JCJ2" t="n">
        <v>4709</v>
      </c>
      <c r="JCK2" t="n">
        <v>4710</v>
      </c>
      <c r="JCL2" t="n">
        <v>4711</v>
      </c>
      <c r="JCM2" t="n">
        <v>4712</v>
      </c>
      <c r="JCN2" t="n">
        <v>4713</v>
      </c>
      <c r="JCO2" t="n">
        <v>4714</v>
      </c>
      <c r="JCP2" t="n">
        <v>4715</v>
      </c>
      <c r="JCQ2" t="n">
        <v>4716</v>
      </c>
      <c r="JCR2" t="n">
        <v>4717</v>
      </c>
      <c r="JCS2" t="n">
        <v>4718</v>
      </c>
      <c r="JCT2" t="n">
        <v>4719</v>
      </c>
      <c r="JCU2" t="n">
        <v>4720</v>
      </c>
      <c r="JCV2" t="n">
        <v>4721</v>
      </c>
      <c r="JCW2" t="n">
        <v>4722</v>
      </c>
      <c r="JCX2" t="n">
        <v>4723</v>
      </c>
      <c r="JCY2" t="n">
        <v>4724</v>
      </c>
      <c r="JCZ2" t="n">
        <v>4725</v>
      </c>
      <c r="JDA2" t="n">
        <v>4726</v>
      </c>
      <c r="JDB2" t="n">
        <v>4727</v>
      </c>
      <c r="JDC2" t="n">
        <v>4728</v>
      </c>
      <c r="JDD2" t="n">
        <v>4729</v>
      </c>
      <c r="JDE2" t="n">
        <v>4730</v>
      </c>
      <c r="JDF2" t="n">
        <v>4731</v>
      </c>
      <c r="JDG2" t="n">
        <v>4732</v>
      </c>
      <c r="JDH2" t="n">
        <v>4733</v>
      </c>
      <c r="JDI2" t="n">
        <v>4734</v>
      </c>
      <c r="JDJ2" t="n">
        <v>4735</v>
      </c>
      <c r="JDK2" t="n">
        <v>4736</v>
      </c>
      <c r="JDL2" t="n">
        <v>4737</v>
      </c>
      <c r="JDM2" t="n">
        <v>4738</v>
      </c>
      <c r="JDN2" t="n">
        <v>4739</v>
      </c>
      <c r="JDO2" t="n">
        <v>4740</v>
      </c>
      <c r="JDP2" t="n">
        <v>4741</v>
      </c>
      <c r="JDQ2" t="n">
        <v>4742</v>
      </c>
      <c r="JDR2" t="n">
        <v>4743</v>
      </c>
      <c r="JDS2" t="n">
        <v>4744</v>
      </c>
      <c r="JDT2" t="n">
        <v>4745</v>
      </c>
      <c r="JDU2" t="n">
        <v>4746</v>
      </c>
      <c r="JDV2" t="n">
        <v>4747</v>
      </c>
      <c r="JDW2" t="n">
        <v>4748</v>
      </c>
      <c r="JDX2" t="n">
        <v>4749</v>
      </c>
      <c r="JDY2" t="n">
        <v>4750</v>
      </c>
      <c r="JDZ2" t="n">
        <v>4751</v>
      </c>
      <c r="JEA2" t="n">
        <v>4752</v>
      </c>
      <c r="JEB2" t="n">
        <v>4753</v>
      </c>
      <c r="JEC2" t="n">
        <v>4754</v>
      </c>
      <c r="JED2" t="n">
        <v>4755</v>
      </c>
      <c r="JEE2" t="n">
        <v>4756</v>
      </c>
      <c r="JEF2" t="n">
        <v>4757</v>
      </c>
      <c r="JEG2" t="n">
        <v>4758</v>
      </c>
      <c r="JEH2" t="n">
        <v>4759</v>
      </c>
      <c r="JEI2" t="n">
        <v>4760</v>
      </c>
      <c r="JEJ2" t="n">
        <v>4761</v>
      </c>
      <c r="JEK2" t="n">
        <v>4762</v>
      </c>
      <c r="JEL2" t="n">
        <v>4763</v>
      </c>
      <c r="JEM2" t="n">
        <v>4764</v>
      </c>
      <c r="JEN2" t="n">
        <v>4765</v>
      </c>
      <c r="JEO2" t="n">
        <v>4766</v>
      </c>
      <c r="JEP2" t="n">
        <v>4767</v>
      </c>
      <c r="JEQ2" t="n">
        <v>4768</v>
      </c>
      <c r="JER2" t="n">
        <v>4769</v>
      </c>
      <c r="JES2" t="n">
        <v>4770</v>
      </c>
      <c r="JET2" t="n">
        <v>4771</v>
      </c>
      <c r="JEU2" t="n">
        <v>4772</v>
      </c>
      <c r="JEV2" t="n">
        <v>4773</v>
      </c>
      <c r="JEW2" t="n">
        <v>4774</v>
      </c>
      <c r="JEX2" t="n">
        <v>4775</v>
      </c>
      <c r="JEY2" t="n">
        <v>4776</v>
      </c>
      <c r="JEZ2" t="n">
        <v>4777</v>
      </c>
      <c r="JFA2" t="n">
        <v>4778</v>
      </c>
      <c r="JFB2" t="n">
        <v>4779</v>
      </c>
      <c r="JFC2" t="n">
        <v>4780</v>
      </c>
      <c r="JFD2" t="n">
        <v>4781</v>
      </c>
      <c r="JFE2" t="n">
        <v>4782</v>
      </c>
      <c r="JFF2" t="n">
        <v>4783</v>
      </c>
      <c r="JFG2" t="n">
        <v>4784</v>
      </c>
      <c r="JFH2" t="n">
        <v>4785</v>
      </c>
      <c r="JFI2" t="n">
        <v>4786</v>
      </c>
      <c r="JFJ2" t="n">
        <v>4787</v>
      </c>
      <c r="JFK2" t="n">
        <v>4788</v>
      </c>
      <c r="JFL2" t="n">
        <v>4789</v>
      </c>
      <c r="JFM2" t="n">
        <v>4790</v>
      </c>
      <c r="JFN2" t="n">
        <v>4791</v>
      </c>
      <c r="JFO2" t="n">
        <v>4792</v>
      </c>
      <c r="JFP2" t="n">
        <v>4793</v>
      </c>
      <c r="JFQ2" t="n">
        <v>4794</v>
      </c>
      <c r="JFR2" t="n">
        <v>4795</v>
      </c>
      <c r="JFS2" t="n">
        <v>4796</v>
      </c>
      <c r="JFT2" t="n">
        <v>4797</v>
      </c>
      <c r="JFU2" t="n">
        <v>4798</v>
      </c>
      <c r="JFV2" t="n">
        <v>4799</v>
      </c>
      <c r="JFW2" t="n">
        <v>4800</v>
      </c>
      <c r="JFX2" t="n">
        <v>4801</v>
      </c>
      <c r="JFY2" t="n">
        <v>4802</v>
      </c>
      <c r="JFZ2" t="n">
        <v>4803</v>
      </c>
      <c r="JGA2" t="n">
        <v>4804</v>
      </c>
      <c r="JGB2" t="n">
        <v>4805</v>
      </c>
      <c r="JGC2" t="n">
        <v>4806</v>
      </c>
      <c r="JGD2" t="n">
        <v>4807</v>
      </c>
      <c r="JGE2" t="n">
        <v>4808</v>
      </c>
      <c r="JGF2" t="n">
        <v>4809</v>
      </c>
      <c r="JGG2" t="n">
        <v>4810</v>
      </c>
      <c r="JGH2" t="n">
        <v>4811</v>
      </c>
      <c r="JGI2" t="n">
        <v>4812</v>
      </c>
      <c r="JGJ2" t="n">
        <v>4813</v>
      </c>
      <c r="JGK2" t="n">
        <v>4814</v>
      </c>
      <c r="JGL2" t="n">
        <v>4815</v>
      </c>
      <c r="JGM2" t="n">
        <v>4816</v>
      </c>
      <c r="JGN2" t="n">
        <v>4817</v>
      </c>
      <c r="JGO2" t="n">
        <v>4818</v>
      </c>
      <c r="JGP2" t="n">
        <v>4819</v>
      </c>
      <c r="JGQ2" t="n">
        <v>4820</v>
      </c>
      <c r="JGR2" t="n">
        <v>4821</v>
      </c>
      <c r="JGS2" t="n">
        <v>4822</v>
      </c>
      <c r="JGT2" t="n">
        <v>4823</v>
      </c>
      <c r="JGU2" t="n">
        <v>4824</v>
      </c>
      <c r="JGV2" t="n">
        <v>4825</v>
      </c>
      <c r="JGW2" t="n">
        <v>4826</v>
      </c>
      <c r="JGX2" t="n">
        <v>4827</v>
      </c>
      <c r="JGY2" t="n">
        <v>4828</v>
      </c>
      <c r="JGZ2" t="n">
        <v>4829</v>
      </c>
      <c r="JHA2" t="n">
        <v>4830</v>
      </c>
      <c r="JHB2" t="n">
        <v>4831</v>
      </c>
      <c r="JHC2" t="n">
        <v>4832</v>
      </c>
      <c r="JHD2" t="n">
        <v>4833</v>
      </c>
      <c r="JHE2" t="n">
        <v>4834</v>
      </c>
      <c r="JHF2" t="n">
        <v>4835</v>
      </c>
      <c r="JHG2" t="n">
        <v>4836</v>
      </c>
      <c r="JHH2" t="n">
        <v>4837</v>
      </c>
      <c r="JHI2" t="n">
        <v>4838</v>
      </c>
      <c r="JHJ2" t="n">
        <v>4839</v>
      </c>
      <c r="JHK2" t="n">
        <v>4840</v>
      </c>
      <c r="JHL2" t="n">
        <v>4841</v>
      </c>
      <c r="JHM2" t="n">
        <v>4842</v>
      </c>
      <c r="JHN2" t="n">
        <v>4843</v>
      </c>
      <c r="JHO2" t="n">
        <v>4844</v>
      </c>
      <c r="JHP2" t="n">
        <v>4845</v>
      </c>
      <c r="JHQ2" t="n">
        <v>4846</v>
      </c>
      <c r="JHR2" t="n">
        <v>4847</v>
      </c>
      <c r="JHS2" t="n">
        <v>4848</v>
      </c>
      <c r="JHT2" t="n">
        <v>4849</v>
      </c>
      <c r="JHU2" t="n">
        <v>4850</v>
      </c>
      <c r="JHV2" t="n">
        <v>4851</v>
      </c>
      <c r="JHW2" t="n">
        <v>4852</v>
      </c>
      <c r="JHX2" t="n">
        <v>4853</v>
      </c>
      <c r="JHY2" t="n">
        <v>4854</v>
      </c>
      <c r="JHZ2" t="n">
        <v>4855</v>
      </c>
      <c r="JIA2" t="n">
        <v>4856</v>
      </c>
      <c r="JIB2" t="n">
        <v>4857</v>
      </c>
      <c r="JIC2" t="n">
        <v>4858</v>
      </c>
      <c r="JID2" t="n">
        <v>4859</v>
      </c>
      <c r="JIE2" t="n">
        <v>4860</v>
      </c>
      <c r="JIF2" t="n">
        <v>4861</v>
      </c>
      <c r="JIG2" t="n">
        <v>4862</v>
      </c>
      <c r="JIH2" t="n">
        <v>4863</v>
      </c>
      <c r="JII2" t="n">
        <v>4864</v>
      </c>
      <c r="JIJ2" t="n">
        <v>4865</v>
      </c>
      <c r="JIK2" t="n">
        <v>4866</v>
      </c>
      <c r="JIL2" t="n">
        <v>4867</v>
      </c>
      <c r="JIM2" t="n">
        <v>4868</v>
      </c>
      <c r="JIN2" t="n">
        <v>4869</v>
      </c>
      <c r="JIO2" t="n">
        <v>4870</v>
      </c>
      <c r="JIP2" t="n">
        <v>4871</v>
      </c>
      <c r="JIQ2" t="n">
        <v>4872</v>
      </c>
      <c r="JIR2" t="n">
        <v>4873</v>
      </c>
      <c r="JIS2" t="n">
        <v>4874</v>
      </c>
      <c r="JIT2" t="n">
        <v>4875</v>
      </c>
      <c r="JIU2" t="n">
        <v>4876</v>
      </c>
      <c r="JIV2" t="n">
        <v>4877</v>
      </c>
      <c r="JIW2" t="n">
        <v>4878</v>
      </c>
      <c r="JIX2" t="n">
        <v>4879</v>
      </c>
      <c r="JIY2" t="n">
        <v>4880</v>
      </c>
      <c r="JIZ2" t="n">
        <v>4881</v>
      </c>
      <c r="JJA2" t="n">
        <v>4882</v>
      </c>
      <c r="JJB2" t="n">
        <v>4883</v>
      </c>
      <c r="JJC2" t="n">
        <v>4884</v>
      </c>
      <c r="JJD2" t="n">
        <v>4885</v>
      </c>
      <c r="JJE2" t="n">
        <v>4886</v>
      </c>
      <c r="JJF2" t="n">
        <v>4887</v>
      </c>
      <c r="JJG2" t="n">
        <v>4888</v>
      </c>
      <c r="JJH2" t="n">
        <v>4889</v>
      </c>
      <c r="JJI2" t="n">
        <v>4890</v>
      </c>
      <c r="JJJ2" t="n">
        <v>4891</v>
      </c>
      <c r="JJK2" t="n">
        <v>4892</v>
      </c>
      <c r="JJL2" t="n">
        <v>4893</v>
      </c>
      <c r="JJM2" t="n">
        <v>4894</v>
      </c>
      <c r="JJN2" t="n">
        <v>4895</v>
      </c>
      <c r="JJO2" t="n">
        <v>4896</v>
      </c>
      <c r="JJP2" t="n">
        <v>4897</v>
      </c>
      <c r="JJQ2" t="n">
        <v>4898</v>
      </c>
      <c r="JJR2" t="n">
        <v>4899</v>
      </c>
      <c r="JJS2" t="n">
        <v>4900</v>
      </c>
      <c r="JJT2" t="n">
        <v>4901</v>
      </c>
      <c r="JJU2" t="n">
        <v>4902</v>
      </c>
      <c r="JJV2" t="n">
        <v>4903</v>
      </c>
      <c r="JJW2" t="n">
        <v>4904</v>
      </c>
      <c r="JJX2" t="n">
        <v>4905</v>
      </c>
      <c r="JJY2" t="n">
        <v>4906</v>
      </c>
      <c r="JJZ2" t="n">
        <v>4907</v>
      </c>
      <c r="JKA2" t="n">
        <v>4908</v>
      </c>
      <c r="JKB2" t="n">
        <v>4909</v>
      </c>
      <c r="JKC2" t="n">
        <v>4910</v>
      </c>
      <c r="JKD2" t="n">
        <v>4911</v>
      </c>
      <c r="JKE2" t="n">
        <v>4912</v>
      </c>
      <c r="JKF2" t="n">
        <v>4913</v>
      </c>
      <c r="JKG2" t="n">
        <v>4914</v>
      </c>
      <c r="JKH2" t="n">
        <v>4915</v>
      </c>
      <c r="JKI2" t="n">
        <v>4916</v>
      </c>
      <c r="JKJ2" t="n">
        <v>4917</v>
      </c>
      <c r="JKK2" t="n">
        <v>4918</v>
      </c>
      <c r="JKL2" t="n">
        <v>4919</v>
      </c>
      <c r="JKM2" t="n">
        <v>4920</v>
      </c>
      <c r="JKN2" t="n">
        <v>4921</v>
      </c>
      <c r="JKO2" t="n">
        <v>4922</v>
      </c>
      <c r="JKP2" t="n">
        <v>4923</v>
      </c>
      <c r="JKQ2" t="n">
        <v>4924</v>
      </c>
      <c r="JKR2" t="n">
        <v>4925</v>
      </c>
      <c r="JKS2" t="n">
        <v>4926</v>
      </c>
      <c r="JKT2" t="n">
        <v>4927</v>
      </c>
      <c r="JKU2" t="n">
        <v>4928</v>
      </c>
      <c r="JKV2" t="n">
        <v>4929</v>
      </c>
      <c r="JKW2" t="n">
        <v>4930</v>
      </c>
      <c r="JKX2" t="n">
        <v>4931</v>
      </c>
      <c r="JKY2" t="n">
        <v>4932</v>
      </c>
      <c r="JKZ2" t="n">
        <v>4933</v>
      </c>
      <c r="JLA2" t="n">
        <v>4934</v>
      </c>
      <c r="JLB2" t="n">
        <v>4935</v>
      </c>
      <c r="JLC2" t="n">
        <v>4936</v>
      </c>
      <c r="JLD2" t="n">
        <v>4937</v>
      </c>
      <c r="JLE2" t="n">
        <v>4938</v>
      </c>
      <c r="JLF2" t="n">
        <v>4939</v>
      </c>
      <c r="JLG2" t="n">
        <v>4940</v>
      </c>
      <c r="JLH2" t="n">
        <v>4941</v>
      </c>
      <c r="JLI2" t="n">
        <v>4942</v>
      </c>
      <c r="JLJ2" t="n">
        <v>4943</v>
      </c>
      <c r="JLK2" t="n">
        <v>4944</v>
      </c>
      <c r="JLL2" t="n">
        <v>4945</v>
      </c>
      <c r="JLM2" t="n">
        <v>4946</v>
      </c>
      <c r="JLN2" t="n">
        <v>4947</v>
      </c>
      <c r="JLO2" t="n">
        <v>4948</v>
      </c>
      <c r="JLP2" t="n">
        <v>4949</v>
      </c>
      <c r="JLQ2" t="n">
        <v>4950</v>
      </c>
      <c r="JLR2" t="n">
        <v>4951</v>
      </c>
      <c r="JLS2" t="n">
        <v>4952</v>
      </c>
      <c r="JLT2" t="n">
        <v>4953</v>
      </c>
      <c r="JLU2" t="n">
        <v>4954</v>
      </c>
      <c r="JLV2" t="n">
        <v>4955</v>
      </c>
      <c r="JLW2" t="n">
        <v>4956</v>
      </c>
      <c r="JLX2" t="n">
        <v>4957</v>
      </c>
      <c r="JLY2" t="n">
        <v>4958</v>
      </c>
      <c r="JLZ2" t="n">
        <v>4959</v>
      </c>
      <c r="JMA2" t="n">
        <v>4960</v>
      </c>
      <c r="JMB2" t="n">
        <v>4961</v>
      </c>
      <c r="JMC2" t="n">
        <v>4962</v>
      </c>
      <c r="JMD2" t="n">
        <v>4963</v>
      </c>
      <c r="JME2" t="n">
        <v>4964</v>
      </c>
      <c r="JMF2" t="n">
        <v>4965</v>
      </c>
      <c r="JMG2" t="n">
        <v>4966</v>
      </c>
      <c r="JMH2" t="n">
        <v>4967</v>
      </c>
      <c r="JMI2" t="n">
        <v>4968</v>
      </c>
      <c r="JMJ2" t="n">
        <v>4969</v>
      </c>
      <c r="JMK2" t="n">
        <v>4970</v>
      </c>
      <c r="JML2" t="n">
        <v>4971</v>
      </c>
      <c r="JMM2" t="n">
        <v>4972</v>
      </c>
      <c r="JMN2" t="n">
        <v>4973</v>
      </c>
      <c r="JMO2" t="n">
        <v>4974</v>
      </c>
      <c r="JMP2" t="n">
        <v>4975</v>
      </c>
      <c r="JMQ2" t="n">
        <v>4976</v>
      </c>
      <c r="JMR2" t="n">
        <v>4977</v>
      </c>
      <c r="JMS2" t="n">
        <v>4978</v>
      </c>
      <c r="JMT2" t="n">
        <v>4979</v>
      </c>
      <c r="JMU2" t="n">
        <v>4980</v>
      </c>
      <c r="JMV2" t="n">
        <v>4981</v>
      </c>
      <c r="JMW2" t="n">
        <v>4982</v>
      </c>
      <c r="JMX2" t="n">
        <v>4983</v>
      </c>
      <c r="JMY2" t="n">
        <v>4984</v>
      </c>
      <c r="JMZ2" t="n">
        <v>4985</v>
      </c>
      <c r="JNA2" t="n">
        <v>4986</v>
      </c>
      <c r="JNB2" t="n">
        <v>4987</v>
      </c>
      <c r="JNC2" t="n">
        <v>4988</v>
      </c>
      <c r="JND2" t="n">
        <v>4989</v>
      </c>
      <c r="JNE2" t="n">
        <v>4990</v>
      </c>
      <c r="JNF2" t="n">
        <v>4991</v>
      </c>
      <c r="JNG2" t="n">
        <v>4992</v>
      </c>
      <c r="JNH2" t="n">
        <v>4993</v>
      </c>
      <c r="JNI2" t="n">
        <v>4994</v>
      </c>
      <c r="JNJ2" t="n">
        <v>4995</v>
      </c>
      <c r="JNK2" t="n">
        <v>4996</v>
      </c>
      <c r="JNL2" t="n">
        <v>4997</v>
      </c>
      <c r="JNM2" t="n">
        <v>4998</v>
      </c>
      <c r="JNN2" t="n">
        <v>4999</v>
      </c>
      <c r="JNO2" t="n">
        <v>5000</v>
      </c>
      <c r="JNP2" t="n">
        <v>5001</v>
      </c>
      <c r="JNQ2" t="n">
        <v>5002</v>
      </c>
      <c r="JNR2" t="n">
        <v>5003</v>
      </c>
      <c r="JNS2" t="n">
        <v>5004</v>
      </c>
      <c r="JNT2" t="n">
        <v>5005</v>
      </c>
      <c r="JNU2" t="n">
        <v>5006</v>
      </c>
      <c r="JNV2" t="n">
        <v>5007</v>
      </c>
      <c r="JNW2" t="n">
        <v>5008</v>
      </c>
      <c r="JNX2" t="n">
        <v>5009</v>
      </c>
      <c r="JNY2" t="n">
        <v>5010</v>
      </c>
      <c r="JNZ2" t="n">
        <v>5011</v>
      </c>
      <c r="JOA2" t="n">
        <v>5012</v>
      </c>
      <c r="JOB2" t="n">
        <v>5013</v>
      </c>
      <c r="JOC2" t="n">
        <v>5014</v>
      </c>
      <c r="JOD2" t="n">
        <v>5015</v>
      </c>
      <c r="JOE2" t="n">
        <v>5016</v>
      </c>
      <c r="JOF2" t="n">
        <v>5017</v>
      </c>
      <c r="JOG2" t="n">
        <v>5018</v>
      </c>
      <c r="JOH2" t="n">
        <v>5019</v>
      </c>
      <c r="JOI2" t="n">
        <v>5020</v>
      </c>
      <c r="JOJ2" t="n">
        <v>5021</v>
      </c>
      <c r="JOK2" t="n">
        <v>5022</v>
      </c>
      <c r="JOL2" t="n">
        <v>5023</v>
      </c>
      <c r="JOM2" t="n">
        <v>5024</v>
      </c>
      <c r="JON2" t="n">
        <v>5025</v>
      </c>
      <c r="JOO2" t="n">
        <v>5026</v>
      </c>
      <c r="JOP2" t="n">
        <v>5027</v>
      </c>
      <c r="JOQ2" t="n">
        <v>5028</v>
      </c>
      <c r="JOR2" t="n">
        <v>5029</v>
      </c>
      <c r="JOS2" t="n">
        <v>5030</v>
      </c>
      <c r="JOT2" t="n">
        <v>5031</v>
      </c>
      <c r="JOU2" t="n">
        <v>5032</v>
      </c>
      <c r="JOV2" t="n">
        <v>5033</v>
      </c>
      <c r="JOW2" t="n">
        <v>5034</v>
      </c>
      <c r="JOX2" t="n">
        <v>5035</v>
      </c>
      <c r="JOY2" t="n">
        <v>5036</v>
      </c>
      <c r="JOZ2" t="n">
        <v>5037</v>
      </c>
      <c r="JPA2" t="n">
        <v>5038</v>
      </c>
      <c r="JPB2" t="n">
        <v>5039</v>
      </c>
      <c r="JPC2" t="n">
        <v>5040</v>
      </c>
      <c r="JPD2" t="n">
        <v>5041</v>
      </c>
      <c r="JPE2" t="n">
        <v>5042</v>
      </c>
      <c r="JPF2" t="n">
        <v>5043</v>
      </c>
      <c r="JPG2" t="n">
        <v>5044</v>
      </c>
      <c r="JPH2" t="n">
        <v>5045</v>
      </c>
      <c r="JPI2" t="n">
        <v>5046</v>
      </c>
      <c r="JPJ2" t="n">
        <v>5047</v>
      </c>
      <c r="JPK2" t="n">
        <v>5048</v>
      </c>
      <c r="JPL2" t="n">
        <v>5049</v>
      </c>
      <c r="JPM2" t="n">
        <v>5050</v>
      </c>
      <c r="JPN2" t="n">
        <v>5051</v>
      </c>
      <c r="JPO2" t="n">
        <v>5052</v>
      </c>
      <c r="JPP2" t="n">
        <v>5053</v>
      </c>
      <c r="JPQ2" t="n">
        <v>5054</v>
      </c>
      <c r="JPR2" t="n">
        <v>5055</v>
      </c>
      <c r="JPS2" t="n">
        <v>5056</v>
      </c>
      <c r="JPT2" t="n">
        <v>5057</v>
      </c>
      <c r="JPU2" t="n">
        <v>5058</v>
      </c>
      <c r="JPV2" t="n">
        <v>5059</v>
      </c>
      <c r="JPW2" t="n">
        <v>5060</v>
      </c>
      <c r="JPX2" t="n">
        <v>5061</v>
      </c>
      <c r="JPY2" t="n">
        <v>5062</v>
      </c>
      <c r="JPZ2" t="n">
        <v>5063</v>
      </c>
      <c r="JQA2" t="n">
        <v>5064</v>
      </c>
      <c r="JQB2" t="n">
        <v>5065</v>
      </c>
      <c r="JQC2" t="n">
        <v>5066</v>
      </c>
      <c r="JQD2" t="n">
        <v>5067</v>
      </c>
      <c r="JQE2" t="n">
        <v>5068</v>
      </c>
      <c r="JQF2" t="n">
        <v>5069</v>
      </c>
      <c r="JQG2" t="n">
        <v>5070</v>
      </c>
      <c r="JQH2" t="n">
        <v>5071</v>
      </c>
      <c r="JQI2" t="n">
        <v>5072</v>
      </c>
      <c r="JQJ2" t="n">
        <v>5073</v>
      </c>
      <c r="JQK2" t="n">
        <v>5074</v>
      </c>
      <c r="JQL2" t="n">
        <v>5075</v>
      </c>
      <c r="JQM2" t="n">
        <v>5076</v>
      </c>
      <c r="JQN2" t="n">
        <v>5077</v>
      </c>
      <c r="JQO2" t="n">
        <v>5078</v>
      </c>
      <c r="JQP2" t="n">
        <v>5079</v>
      </c>
      <c r="JQQ2" t="n">
        <v>5080</v>
      </c>
      <c r="JQR2" t="n">
        <v>5081</v>
      </c>
      <c r="JQS2" t="n">
        <v>5082</v>
      </c>
      <c r="JQT2" t="n">
        <v>5083</v>
      </c>
      <c r="JQU2" t="n">
        <v>5084</v>
      </c>
      <c r="JQV2" t="n">
        <v>5085</v>
      </c>
      <c r="JQW2" t="n">
        <v>5086</v>
      </c>
      <c r="JQX2" t="n">
        <v>5087</v>
      </c>
      <c r="JQY2" t="n">
        <v>5088</v>
      </c>
      <c r="JQZ2" t="n">
        <v>5089</v>
      </c>
      <c r="JRA2" t="n">
        <v>5090</v>
      </c>
      <c r="JRB2" t="n">
        <v>5091</v>
      </c>
      <c r="JRC2" t="n">
        <v>5092</v>
      </c>
      <c r="JRD2" t="n">
        <v>5093</v>
      </c>
      <c r="JRE2" t="n">
        <v>5094</v>
      </c>
      <c r="JRF2" t="n">
        <v>5095</v>
      </c>
      <c r="JRG2" t="n">
        <v>5096</v>
      </c>
      <c r="JRH2" t="n">
        <v>5097</v>
      </c>
      <c r="JRI2" t="n">
        <v>5098</v>
      </c>
      <c r="JRJ2" t="n">
        <v>5099</v>
      </c>
      <c r="JRK2" t="n">
        <v>5100</v>
      </c>
      <c r="JRL2" t="n">
        <v>5101</v>
      </c>
      <c r="JRM2" t="n">
        <v>5102</v>
      </c>
      <c r="JRN2" t="n">
        <v>5103</v>
      </c>
      <c r="JRO2" t="n">
        <v>5104</v>
      </c>
      <c r="JRP2" t="n">
        <v>5105</v>
      </c>
      <c r="JRQ2" t="n">
        <v>5106</v>
      </c>
      <c r="JRR2" t="n">
        <v>5107</v>
      </c>
      <c r="JRS2" t="n">
        <v>5108</v>
      </c>
      <c r="JRT2" t="n">
        <v>5109</v>
      </c>
      <c r="JRU2" t="n">
        <v>5110</v>
      </c>
      <c r="JRV2" t="n">
        <v>5111</v>
      </c>
      <c r="JRW2" t="n">
        <v>5112</v>
      </c>
      <c r="JRX2" t="n">
        <v>5113</v>
      </c>
      <c r="JRY2" t="n">
        <v>5114</v>
      </c>
      <c r="JRZ2" t="n">
        <v>5115</v>
      </c>
      <c r="JSA2" t="n">
        <v>5116</v>
      </c>
      <c r="JSB2" t="n">
        <v>5117</v>
      </c>
      <c r="JSC2" t="n">
        <v>5118</v>
      </c>
      <c r="JSD2" t="n">
        <v>5119</v>
      </c>
      <c r="JSE2" t="n">
        <v>5120</v>
      </c>
      <c r="JSF2" t="n">
        <v>5121</v>
      </c>
      <c r="JSG2" t="n">
        <v>5122</v>
      </c>
      <c r="JSH2" t="n">
        <v>5123</v>
      </c>
      <c r="JSI2" t="n">
        <v>5124</v>
      </c>
      <c r="JSJ2" t="n">
        <v>5125</v>
      </c>
      <c r="JSK2" t="n">
        <v>5126</v>
      </c>
      <c r="JSL2" t="n">
        <v>5127</v>
      </c>
      <c r="JSM2" t="n">
        <v>5128</v>
      </c>
      <c r="JSN2" t="n">
        <v>5129</v>
      </c>
      <c r="JSO2" t="n">
        <v>5130</v>
      </c>
      <c r="JSP2" t="n">
        <v>5131</v>
      </c>
      <c r="JSQ2" t="n">
        <v>5132</v>
      </c>
      <c r="JSR2" t="n">
        <v>5133</v>
      </c>
      <c r="JSS2" t="n">
        <v>5134</v>
      </c>
      <c r="JST2" t="n">
        <v>5135</v>
      </c>
      <c r="JSU2" t="n">
        <v>5136</v>
      </c>
      <c r="JSV2" t="n">
        <v>5137</v>
      </c>
      <c r="JSW2" t="n">
        <v>5138</v>
      </c>
      <c r="JSX2" t="n">
        <v>5139</v>
      </c>
      <c r="JSY2" t="n">
        <v>5140</v>
      </c>
      <c r="JSZ2" t="n">
        <v>5141</v>
      </c>
      <c r="JTA2" t="n">
        <v>5142</v>
      </c>
      <c r="JTB2" t="n">
        <v>5143</v>
      </c>
      <c r="JTC2" t="n">
        <v>5144</v>
      </c>
      <c r="JTD2" t="n">
        <v>5145</v>
      </c>
      <c r="JTE2" t="n">
        <v>5146</v>
      </c>
      <c r="JTF2" t="n">
        <v>5147</v>
      </c>
      <c r="JTG2" t="n">
        <v>5148</v>
      </c>
      <c r="JTH2" t="n">
        <v>5149</v>
      </c>
      <c r="JTI2" t="n">
        <v>5150</v>
      </c>
      <c r="JTJ2" t="n">
        <v>5151</v>
      </c>
      <c r="JTK2" t="n">
        <v>5152</v>
      </c>
      <c r="JTL2" t="n">
        <v>5153</v>
      </c>
      <c r="JTM2" t="n">
        <v>5154</v>
      </c>
      <c r="JTN2" t="n">
        <v>5155</v>
      </c>
      <c r="JTO2" t="n">
        <v>5156</v>
      </c>
      <c r="JTP2" t="n">
        <v>5157</v>
      </c>
      <c r="JTQ2" t="n">
        <v>5158</v>
      </c>
      <c r="JTR2" t="n">
        <v>5159</v>
      </c>
      <c r="JTS2" t="n">
        <v>5160</v>
      </c>
      <c r="JTT2" t="n">
        <v>5161</v>
      </c>
      <c r="JTU2" t="n">
        <v>5162</v>
      </c>
      <c r="JTV2" t="n">
        <v>5163</v>
      </c>
      <c r="JTW2" t="n">
        <v>5164</v>
      </c>
      <c r="JTX2" t="n">
        <v>5165</v>
      </c>
      <c r="JTY2" t="n">
        <v>5166</v>
      </c>
      <c r="JTZ2" t="n">
        <v>5167</v>
      </c>
      <c r="JUA2" t="n">
        <v>5168</v>
      </c>
      <c r="JUB2" t="n">
        <v>5169</v>
      </c>
      <c r="JUC2" t="n">
        <v>5170</v>
      </c>
      <c r="JUD2" t="n">
        <v>5171</v>
      </c>
      <c r="JUE2" t="n">
        <v>5172</v>
      </c>
      <c r="JUF2" t="n">
        <v>5173</v>
      </c>
      <c r="JUG2" t="n">
        <v>5174</v>
      </c>
      <c r="JUH2" t="n">
        <v>5175</v>
      </c>
      <c r="JUI2" t="n">
        <v>5176</v>
      </c>
      <c r="JUJ2" t="n">
        <v>5177</v>
      </c>
      <c r="JUK2" t="n">
        <v>5178</v>
      </c>
      <c r="JUL2" t="n">
        <v>5179</v>
      </c>
      <c r="JUM2" t="n">
        <v>5180</v>
      </c>
      <c r="JUN2" t="n">
        <v>5181</v>
      </c>
      <c r="JUO2" t="n">
        <v>5182</v>
      </c>
      <c r="JUP2" t="n">
        <v>5183</v>
      </c>
      <c r="JUQ2" t="n">
        <v>5184</v>
      </c>
      <c r="JUR2" t="n">
        <v>5185</v>
      </c>
      <c r="JUS2" t="n">
        <v>5186</v>
      </c>
      <c r="JUT2" t="n">
        <v>5187</v>
      </c>
      <c r="JUU2" t="n">
        <v>5188</v>
      </c>
      <c r="JUV2" t="n">
        <v>5189</v>
      </c>
      <c r="JUW2" t="n">
        <v>5190</v>
      </c>
      <c r="JUX2" t="n">
        <v>5191</v>
      </c>
      <c r="JUY2" t="n">
        <v>5192</v>
      </c>
      <c r="JUZ2" t="n">
        <v>5193</v>
      </c>
      <c r="JVA2" t="n">
        <v>5194</v>
      </c>
      <c r="JVB2" t="n">
        <v>5195</v>
      </c>
      <c r="JVC2" t="n">
        <v>5196</v>
      </c>
      <c r="JVD2" t="n">
        <v>5197</v>
      </c>
      <c r="JVE2" t="n">
        <v>5198</v>
      </c>
      <c r="JVF2" t="n">
        <v>5199</v>
      </c>
      <c r="JVG2" t="n">
        <v>5200</v>
      </c>
      <c r="JVH2" t="n">
        <v>5201</v>
      </c>
      <c r="JVI2" t="n">
        <v>5202</v>
      </c>
      <c r="JVJ2" t="n">
        <v>5203</v>
      </c>
      <c r="JVK2" t="n">
        <v>5204</v>
      </c>
      <c r="JVL2" t="n">
        <v>5205</v>
      </c>
      <c r="JVM2" t="n">
        <v>5206</v>
      </c>
      <c r="JVN2" t="n">
        <v>5207</v>
      </c>
      <c r="JVO2" t="n">
        <v>5208</v>
      </c>
      <c r="JVP2" t="n">
        <v>5209</v>
      </c>
      <c r="JVQ2" t="n">
        <v>5210</v>
      </c>
      <c r="JVR2" t="n">
        <v>5211</v>
      </c>
      <c r="JVS2" t="n">
        <v>5212</v>
      </c>
      <c r="JVT2" t="n">
        <v>5213</v>
      </c>
      <c r="JVU2" t="n">
        <v>5214</v>
      </c>
      <c r="JVV2" t="n">
        <v>5215</v>
      </c>
      <c r="JVW2" t="n">
        <v>5216</v>
      </c>
      <c r="JVX2" t="n">
        <v>5217</v>
      </c>
      <c r="JVY2" t="n">
        <v>5218</v>
      </c>
      <c r="JVZ2" t="n">
        <v>5219</v>
      </c>
      <c r="JWA2" t="n">
        <v>5220</v>
      </c>
      <c r="JWB2" t="n">
        <v>5221</v>
      </c>
      <c r="JWC2" t="n">
        <v>5222</v>
      </c>
      <c r="JWD2" t="n">
        <v>5223</v>
      </c>
      <c r="JWE2" t="n">
        <v>5224</v>
      </c>
      <c r="JWF2" t="n">
        <v>5225</v>
      </c>
      <c r="JWG2" t="n">
        <v>5226</v>
      </c>
      <c r="JWH2" t="n">
        <v>5227</v>
      </c>
      <c r="JWI2" t="n">
        <v>5228</v>
      </c>
      <c r="JWJ2" t="n">
        <v>5229</v>
      </c>
      <c r="JWK2" t="n">
        <v>5230</v>
      </c>
      <c r="JWL2" t="n">
        <v>5231</v>
      </c>
      <c r="JWM2" t="n">
        <v>5232</v>
      </c>
      <c r="JWN2" t="n">
        <v>5233</v>
      </c>
      <c r="JWO2" t="n">
        <v>5234</v>
      </c>
      <c r="JWP2" t="n">
        <v>5235</v>
      </c>
      <c r="JWQ2" t="n">
        <v>5236</v>
      </c>
      <c r="JWR2" t="n">
        <v>5237</v>
      </c>
      <c r="JWS2" t="n">
        <v>5238</v>
      </c>
      <c r="JWT2" t="n">
        <v>5239</v>
      </c>
      <c r="JWU2" t="n">
        <v>5240</v>
      </c>
      <c r="JWV2" t="n">
        <v>5241</v>
      </c>
      <c r="JWW2" t="n">
        <v>5242</v>
      </c>
      <c r="JWX2" t="n">
        <v>5243</v>
      </c>
      <c r="JWY2" t="n">
        <v>5244</v>
      </c>
      <c r="JWZ2" t="n">
        <v>5245</v>
      </c>
      <c r="JXA2" t="n">
        <v>5246</v>
      </c>
      <c r="JXB2" t="n">
        <v>5247</v>
      </c>
      <c r="JXC2" t="n">
        <v>5248</v>
      </c>
      <c r="JXD2" t="n">
        <v>5249</v>
      </c>
      <c r="JXE2" t="n">
        <v>5250</v>
      </c>
      <c r="JXF2" t="n">
        <v>5251</v>
      </c>
      <c r="JXG2" t="n">
        <v>5252</v>
      </c>
      <c r="JXH2" t="n">
        <v>5253</v>
      </c>
      <c r="JXI2" t="n">
        <v>5254</v>
      </c>
      <c r="JXJ2" t="n">
        <v>5255</v>
      </c>
      <c r="JXK2" t="n">
        <v>5256</v>
      </c>
      <c r="JXL2" t="n">
        <v>5257</v>
      </c>
      <c r="JXM2" t="n">
        <v>5258</v>
      </c>
      <c r="JXN2" t="n">
        <v>5259</v>
      </c>
      <c r="JXO2" t="n">
        <v>5260</v>
      </c>
      <c r="JXP2" t="n">
        <v>5261</v>
      </c>
      <c r="JXQ2" t="n">
        <v>5262</v>
      </c>
      <c r="JXR2" t="n">
        <v>5263</v>
      </c>
      <c r="JXS2" t="n">
        <v>5264</v>
      </c>
      <c r="JXT2" t="n">
        <v>5265</v>
      </c>
      <c r="JXU2" t="n">
        <v>5266</v>
      </c>
      <c r="JXV2" t="n">
        <v>5267</v>
      </c>
      <c r="JXW2" t="n">
        <v>5268</v>
      </c>
      <c r="JXX2" t="n">
        <v>5269</v>
      </c>
      <c r="JXY2" t="n">
        <v>5270</v>
      </c>
      <c r="JXZ2" t="n">
        <v>5271</v>
      </c>
      <c r="JYA2" t="n">
        <v>5272</v>
      </c>
      <c r="JYB2" t="n">
        <v>5273</v>
      </c>
      <c r="JYC2" t="n">
        <v>5274</v>
      </c>
      <c r="JYD2" t="n">
        <v>5275</v>
      </c>
      <c r="JYE2" t="n">
        <v>5276</v>
      </c>
      <c r="JYF2" t="n">
        <v>5277</v>
      </c>
      <c r="JYG2" t="n">
        <v>5278</v>
      </c>
      <c r="JYH2" t="n">
        <v>5279</v>
      </c>
      <c r="JYI2" t="n">
        <v>5280</v>
      </c>
      <c r="JYJ2" t="n">
        <v>5281</v>
      </c>
      <c r="JYK2" t="n">
        <v>5282</v>
      </c>
      <c r="JYL2" t="n">
        <v>5283</v>
      </c>
      <c r="JYM2" t="n">
        <v>5284</v>
      </c>
      <c r="JYN2" t="n">
        <v>5285</v>
      </c>
      <c r="JYO2" t="n">
        <v>5286</v>
      </c>
      <c r="JYP2" t="n">
        <v>5287</v>
      </c>
      <c r="JYQ2" t="n">
        <v>5288</v>
      </c>
      <c r="JYR2" t="n">
        <v>5289</v>
      </c>
      <c r="JYS2" t="n">
        <v>5290</v>
      </c>
      <c r="JYT2" t="n">
        <v>5291</v>
      </c>
      <c r="JYU2" t="n">
        <v>5292</v>
      </c>
      <c r="JYV2" t="n">
        <v>5293</v>
      </c>
      <c r="JYW2" t="n">
        <v>5294</v>
      </c>
      <c r="JYX2" t="n">
        <v>5295</v>
      </c>
      <c r="JYY2" t="n">
        <v>5296</v>
      </c>
      <c r="JYZ2" t="n">
        <v>5297</v>
      </c>
      <c r="JZA2" t="n">
        <v>5298</v>
      </c>
      <c r="JZB2" t="n">
        <v>5299</v>
      </c>
      <c r="JZC2" t="n">
        <v>5300</v>
      </c>
      <c r="JZD2" t="n">
        <v>5301</v>
      </c>
      <c r="JZE2" t="n">
        <v>5302</v>
      </c>
      <c r="JZF2" t="n">
        <v>5303</v>
      </c>
      <c r="JZG2" t="n">
        <v>5304</v>
      </c>
      <c r="JZH2" t="n">
        <v>5305</v>
      </c>
      <c r="JZI2" t="n">
        <v>5306</v>
      </c>
      <c r="JZJ2" t="n">
        <v>5307</v>
      </c>
      <c r="JZK2" t="n">
        <v>5308</v>
      </c>
      <c r="JZL2" t="n">
        <v>5309</v>
      </c>
      <c r="JZM2" t="n">
        <v>5310</v>
      </c>
      <c r="JZN2" t="n">
        <v>5311</v>
      </c>
      <c r="JZO2" t="n">
        <v>5312</v>
      </c>
      <c r="JZP2" t="n">
        <v>5313</v>
      </c>
      <c r="JZQ2" t="n">
        <v>5314</v>
      </c>
      <c r="JZR2" t="n">
        <v>5315</v>
      </c>
      <c r="JZS2" t="n">
        <v>5316</v>
      </c>
      <c r="JZT2" t="n">
        <v>5317</v>
      </c>
      <c r="JZU2" t="n">
        <v>5318</v>
      </c>
      <c r="JZV2" t="n">
        <v>5319</v>
      </c>
      <c r="JZW2" t="n">
        <v>5320</v>
      </c>
      <c r="JZX2" t="n">
        <v>5321</v>
      </c>
      <c r="JZY2" t="n">
        <v>5322</v>
      </c>
      <c r="JZZ2" t="n">
        <v>5323</v>
      </c>
      <c r="KAA2" t="n">
        <v>5324</v>
      </c>
      <c r="KAB2" t="n">
        <v>5325</v>
      </c>
      <c r="KAC2" t="n">
        <v>5326</v>
      </c>
      <c r="KAD2" t="n">
        <v>5327</v>
      </c>
      <c r="KAE2" t="n">
        <v>5328</v>
      </c>
      <c r="KAF2" t="n">
        <v>5329</v>
      </c>
      <c r="KAG2" t="n">
        <v>5330</v>
      </c>
      <c r="KAH2" t="n">
        <v>5331</v>
      </c>
      <c r="KAI2" t="n">
        <v>5332</v>
      </c>
      <c r="KAJ2" t="n">
        <v>5333</v>
      </c>
      <c r="KAK2" t="n">
        <v>5334</v>
      </c>
      <c r="KAL2" t="n">
        <v>5335</v>
      </c>
      <c r="KAM2" t="n">
        <v>5336</v>
      </c>
      <c r="KAN2" t="n">
        <v>5337</v>
      </c>
      <c r="KAO2" t="n">
        <v>5338</v>
      </c>
      <c r="KAP2" t="n">
        <v>5339</v>
      </c>
      <c r="KAQ2" t="n">
        <v>5340</v>
      </c>
      <c r="KAR2" t="n">
        <v>5341</v>
      </c>
      <c r="KAS2" t="n">
        <v>5342</v>
      </c>
      <c r="KAT2" t="n">
        <v>5343</v>
      </c>
      <c r="KAU2" t="n">
        <v>5344</v>
      </c>
      <c r="KAV2" t="n">
        <v>5345</v>
      </c>
      <c r="KAW2" t="n">
        <v>5346</v>
      </c>
      <c r="KAX2" t="n">
        <v>5347</v>
      </c>
      <c r="KAY2" t="n">
        <v>5348</v>
      </c>
      <c r="KAZ2" t="n">
        <v>5349</v>
      </c>
      <c r="KBA2" t="n">
        <v>5350</v>
      </c>
      <c r="KBB2" t="n">
        <v>5351</v>
      </c>
      <c r="KBC2" t="n">
        <v>5352</v>
      </c>
      <c r="KBD2" t="n">
        <v>5353</v>
      </c>
      <c r="KBE2" t="n">
        <v>5354</v>
      </c>
      <c r="KBF2" t="n">
        <v>5355</v>
      </c>
      <c r="KBG2" t="n">
        <v>5356</v>
      </c>
      <c r="KBH2" t="n">
        <v>5357</v>
      </c>
      <c r="KBI2" t="n">
        <v>5358</v>
      </c>
      <c r="KBJ2" t="n">
        <v>5359</v>
      </c>
      <c r="KBK2" t="n">
        <v>5360</v>
      </c>
      <c r="KBL2" t="n">
        <v>5361</v>
      </c>
      <c r="KBM2" t="n">
        <v>5362</v>
      </c>
      <c r="KBN2" t="n">
        <v>5363</v>
      </c>
      <c r="KBO2" t="n">
        <v>5364</v>
      </c>
      <c r="KBP2" t="n">
        <v>5365</v>
      </c>
      <c r="KBQ2" t="n">
        <v>5366</v>
      </c>
      <c r="KBR2" t="n">
        <v>5367</v>
      </c>
      <c r="KBS2" t="n">
        <v>5368</v>
      </c>
      <c r="KBT2" t="n">
        <v>5369</v>
      </c>
      <c r="KBU2" t="n">
        <v>5370</v>
      </c>
      <c r="KBV2" t="n">
        <v>5371</v>
      </c>
      <c r="KBW2" t="n">
        <v>5372</v>
      </c>
      <c r="KBX2" t="n">
        <v>5373</v>
      </c>
      <c r="KBY2" t="n">
        <v>5374</v>
      </c>
      <c r="KBZ2" t="n">
        <v>5375</v>
      </c>
      <c r="KCA2" t="n">
        <v>5376</v>
      </c>
      <c r="KCB2" t="n">
        <v>5377</v>
      </c>
      <c r="KCC2" t="n">
        <v>5378</v>
      </c>
      <c r="KCD2" t="n">
        <v>5379</v>
      </c>
      <c r="KCE2" t="n">
        <v>5380</v>
      </c>
      <c r="KCF2" t="n">
        <v>5381</v>
      </c>
      <c r="KCG2" t="n">
        <v>5382</v>
      </c>
      <c r="KCH2" t="n">
        <v>5383</v>
      </c>
      <c r="KCI2" t="n">
        <v>5384</v>
      </c>
      <c r="KCJ2" t="n">
        <v>5385</v>
      </c>
      <c r="KCK2" t="n">
        <v>5386</v>
      </c>
      <c r="KCL2" t="n">
        <v>5387</v>
      </c>
      <c r="KCM2" t="n">
        <v>5388</v>
      </c>
      <c r="KCN2" t="n">
        <v>5389</v>
      </c>
      <c r="KCO2" t="n">
        <v>5390</v>
      </c>
      <c r="KCP2" t="n">
        <v>5391</v>
      </c>
      <c r="KCQ2" t="n">
        <v>5392</v>
      </c>
      <c r="KCR2" t="n">
        <v>5393</v>
      </c>
      <c r="KCS2" t="n">
        <v>5394</v>
      </c>
      <c r="KCT2" t="n">
        <v>5395</v>
      </c>
      <c r="KCU2" t="n">
        <v>5396</v>
      </c>
      <c r="KCV2" t="n">
        <v>5397</v>
      </c>
      <c r="KCW2" t="n">
        <v>5398</v>
      </c>
      <c r="KCX2" t="n">
        <v>5399</v>
      </c>
      <c r="KCY2" t="n">
        <v>5400</v>
      </c>
      <c r="KCZ2" t="n">
        <v>5401</v>
      </c>
      <c r="KDA2" t="n">
        <v>5402</v>
      </c>
      <c r="KDB2" t="n">
        <v>5403</v>
      </c>
      <c r="KDC2" t="n">
        <v>5404</v>
      </c>
      <c r="KDD2" t="n">
        <v>5405</v>
      </c>
      <c r="KDE2" t="n">
        <v>5406</v>
      </c>
      <c r="KDF2" t="n">
        <v>5407</v>
      </c>
      <c r="KDG2" t="n">
        <v>5408</v>
      </c>
      <c r="KDH2" t="n">
        <v>5409</v>
      </c>
      <c r="KDI2" t="n">
        <v>5410</v>
      </c>
      <c r="KDJ2" t="n">
        <v>5411</v>
      </c>
      <c r="KDK2" t="n">
        <v>5412</v>
      </c>
      <c r="KDL2" t="n">
        <v>5413</v>
      </c>
      <c r="KDM2" t="n">
        <v>5414</v>
      </c>
      <c r="KDN2" t="n">
        <v>5415</v>
      </c>
      <c r="KDO2" t="n">
        <v>5416</v>
      </c>
      <c r="KDP2" t="n">
        <v>5417</v>
      </c>
      <c r="KDQ2" t="n">
        <v>5418</v>
      </c>
      <c r="KDR2" t="n">
        <v>5419</v>
      </c>
      <c r="KDS2" t="n">
        <v>5420</v>
      </c>
      <c r="KDT2" t="n">
        <v>5421</v>
      </c>
      <c r="KDU2" t="n">
        <v>5422</v>
      </c>
      <c r="KDV2" t="n">
        <v>5423</v>
      </c>
      <c r="KDW2" t="n">
        <v>5424</v>
      </c>
      <c r="KDX2" t="n">
        <v>5425</v>
      </c>
      <c r="KDY2" t="n">
        <v>5426</v>
      </c>
      <c r="KDZ2" t="n">
        <v>5427</v>
      </c>
      <c r="KEA2" t="n">
        <v>5428</v>
      </c>
      <c r="KEB2" t="n">
        <v>5429</v>
      </c>
      <c r="KEC2" t="n">
        <v>5430</v>
      </c>
      <c r="KED2" t="n">
        <v>5431</v>
      </c>
      <c r="KEE2" t="n">
        <v>5432</v>
      </c>
      <c r="KEF2" t="n">
        <v>5433</v>
      </c>
      <c r="KEG2" t="n">
        <v>5434</v>
      </c>
      <c r="KEH2" t="n">
        <v>5435</v>
      </c>
      <c r="KEI2" t="n">
        <v>5436</v>
      </c>
      <c r="KEJ2" t="n">
        <v>5437</v>
      </c>
      <c r="KEK2" t="n">
        <v>5438</v>
      </c>
      <c r="KEL2" t="n">
        <v>5439</v>
      </c>
      <c r="KEM2" t="n">
        <v>5440</v>
      </c>
      <c r="KEN2" t="n">
        <v>5441</v>
      </c>
      <c r="KEO2" t="n">
        <v>5442</v>
      </c>
      <c r="KEP2" t="n">
        <v>5443</v>
      </c>
      <c r="KEQ2" t="n">
        <v>5444</v>
      </c>
      <c r="KER2" t="n">
        <v>5445</v>
      </c>
      <c r="KES2" t="n">
        <v>5446</v>
      </c>
      <c r="KET2" t="n">
        <v>5447</v>
      </c>
      <c r="KEU2" t="n">
        <v>5448</v>
      </c>
      <c r="KEV2" t="n">
        <v>5449</v>
      </c>
      <c r="KEW2" t="n">
        <v>5450</v>
      </c>
      <c r="KEX2" t="n">
        <v>5451</v>
      </c>
      <c r="KEY2" t="n">
        <v>5452</v>
      </c>
      <c r="KEZ2" t="n">
        <v>5453</v>
      </c>
      <c r="KFA2" t="n">
        <v>5454</v>
      </c>
      <c r="KFB2" t="n">
        <v>5455</v>
      </c>
      <c r="KFC2" t="n">
        <v>5456</v>
      </c>
      <c r="KFD2" t="n">
        <v>5457</v>
      </c>
      <c r="KFE2" t="n">
        <v>5458</v>
      </c>
      <c r="KFF2" t="n">
        <v>5459</v>
      </c>
      <c r="KFG2" t="n">
        <v>5460</v>
      </c>
      <c r="KFH2" t="n">
        <v>5461</v>
      </c>
      <c r="KFI2" t="n">
        <v>5462</v>
      </c>
    </row>
    <row r="3" ht="15.75" customFormat="1" customHeight="1" s="668">
      <c r="B3" s="344" t="n"/>
      <c r="C3" s="345" t="n"/>
      <c r="D3" s="112" t="n"/>
      <c r="E3" s="112" t="n"/>
      <c r="F3" s="112" t="n"/>
      <c r="G3" s="112" t="n"/>
      <c r="H3" s="112" t="n"/>
      <c r="I3" s="112" t="n"/>
      <c r="J3" s="112" t="n"/>
      <c r="K3" s="112" t="n"/>
      <c r="L3" s="112" t="n"/>
      <c r="M3" s="112" t="n"/>
      <c r="N3" s="112" t="n"/>
      <c r="O3" s="112" t="n"/>
      <c r="P3" s="112" t="n"/>
      <c r="Q3" s="112" t="n"/>
      <c r="R3" s="112" t="n"/>
      <c r="S3" s="112" t="n"/>
      <c r="T3" s="112" t="n"/>
      <c r="U3" s="112" t="n"/>
      <c r="V3" s="112" t="n"/>
      <c r="W3" s="112" t="n"/>
      <c r="X3" s="112" t="n"/>
      <c r="Y3" s="112" t="n"/>
      <c r="Z3" s="112" t="n"/>
      <c r="AA3" s="112" t="n"/>
      <c r="AB3" s="112" t="n"/>
      <c r="AC3" s="112" t="n"/>
      <c r="AD3" s="112" t="n"/>
      <c r="AE3" s="112" t="n"/>
      <c r="AF3" s="112" t="n"/>
      <c r="AG3" s="112" t="n"/>
      <c r="AH3" s="112" t="n"/>
      <c r="AI3" s="112" t="n"/>
      <c r="AJ3" s="112" t="n"/>
      <c r="AK3" s="112" t="n"/>
      <c r="AL3" s="112" t="n"/>
      <c r="AM3" s="112" t="n"/>
      <c r="AN3" s="112" t="n"/>
      <c r="AO3" s="112" t="n"/>
      <c r="AP3" s="112" t="n"/>
      <c r="AQ3" s="112" t="n"/>
      <c r="AR3" s="112" t="n"/>
      <c r="AS3" s="112" t="n"/>
      <c r="AT3" s="268" t="n"/>
      <c r="AU3" s="268" t="n"/>
      <c r="AV3" s="273" t="n"/>
      <c r="AW3" s="112" t="n"/>
      <c r="AX3" s="112" t="n"/>
      <c r="AY3" s="112" t="n"/>
      <c r="AZ3" s="112" t="n"/>
      <c r="BA3" s="112" t="n"/>
      <c r="BB3" s="112" t="n"/>
      <c r="BC3" s="112" t="n"/>
      <c r="BD3" s="112" t="n"/>
      <c r="BE3" s="112" t="n"/>
      <c r="BF3" s="112" t="n"/>
      <c r="BG3" s="112" t="n"/>
      <c r="BH3" s="112" t="n"/>
      <c r="BI3" s="112" t="n"/>
      <c r="BJ3" s="112" t="n"/>
      <c r="BK3" s="112" t="n"/>
      <c r="BL3" s="112" t="n"/>
      <c r="BM3" s="112" t="n"/>
      <c r="BN3" s="112" t="n"/>
      <c r="BO3" s="112" t="n"/>
      <c r="BP3" s="112" t="n"/>
      <c r="BQ3" s="112" t="n"/>
      <c r="BR3" s="112" t="n"/>
      <c r="BS3" s="112" t="n"/>
      <c r="BT3" s="112" t="n"/>
      <c r="BU3" s="112" t="n"/>
      <c r="BV3" s="112" t="n"/>
      <c r="BW3" s="112" t="n"/>
      <c r="BX3" s="112" t="n"/>
      <c r="BY3" s="112" t="n"/>
      <c r="BZ3" s="112" t="n"/>
      <c r="CA3" s="112" t="n"/>
      <c r="CB3" s="112" t="n"/>
      <c r="CC3" s="112" t="n"/>
      <c r="CD3" s="112" t="n"/>
      <c r="CE3" s="112" t="n"/>
      <c r="CF3" s="112" t="n"/>
      <c r="CG3" s="112" t="n"/>
      <c r="CH3" s="112" t="n"/>
      <c r="CI3" s="112" t="n"/>
      <c r="CJ3" s="112" t="n"/>
      <c r="CK3" s="112" t="n"/>
      <c r="CL3" s="112" t="n"/>
      <c r="CM3" s="112" t="n"/>
      <c r="CN3" s="112" t="n"/>
      <c r="CO3" s="112" t="n"/>
      <c r="CP3" s="112" t="n"/>
      <c r="CQ3" s="112" t="n"/>
      <c r="CR3" s="112" t="n"/>
      <c r="CS3" s="112" t="n"/>
      <c r="CT3" s="112" t="n"/>
      <c r="CU3" s="112" t="n"/>
      <c r="CV3" s="112" t="n"/>
      <c r="CW3" s="112" t="n"/>
      <c r="CX3" s="112" t="n"/>
      <c r="CY3" s="112" t="n"/>
      <c r="CZ3" s="112" t="n"/>
      <c r="DA3" s="112" t="n"/>
      <c r="DB3" s="112" t="n"/>
      <c r="DC3" s="112" t="n"/>
      <c r="DD3" s="112" t="n"/>
      <c r="DE3" s="112" t="n"/>
      <c r="DF3" s="112" t="n"/>
      <c r="DG3" s="112" t="n"/>
      <c r="DH3" s="112" t="n"/>
      <c r="DI3" s="112" t="n"/>
      <c r="DJ3" s="112" t="n"/>
      <c r="DK3" s="112" t="n"/>
      <c r="DL3" s="112" t="n"/>
      <c r="DM3" s="112" t="n"/>
      <c r="DN3" s="112" t="n"/>
      <c r="DO3" s="112" t="n"/>
      <c r="DP3" s="112" t="n"/>
      <c r="DQ3" s="112" t="n"/>
      <c r="DR3" s="112" t="n"/>
      <c r="DS3" s="112" t="n"/>
      <c r="DT3" s="112" t="n"/>
      <c r="DU3" s="112" t="n"/>
      <c r="DV3" s="112" t="n"/>
      <c r="DW3" s="112" t="n"/>
      <c r="DX3" s="112" t="n"/>
      <c r="DY3" s="112" t="n"/>
      <c r="DZ3" s="112" t="n"/>
      <c r="EA3" s="112" t="n"/>
      <c r="EB3" s="112" t="n"/>
      <c r="EC3" s="112" t="n"/>
      <c r="ED3" s="112" t="n"/>
      <c r="EE3" s="112" t="n"/>
      <c r="EF3" s="112" t="n"/>
      <c r="EG3" s="112" t="n"/>
      <c r="EH3" s="112" t="n"/>
      <c r="EI3" s="112" t="n"/>
      <c r="EJ3" s="112" t="n"/>
      <c r="EK3" s="112" t="n"/>
      <c r="EL3" s="112" t="n"/>
      <c r="EM3" s="112" t="n"/>
      <c r="EN3" s="112" t="n"/>
      <c r="EO3" s="112" t="n"/>
      <c r="EP3" s="112" t="n"/>
      <c r="EQ3" s="112" t="n"/>
      <c r="ER3" s="112" t="n"/>
      <c r="ES3" s="112" t="n"/>
      <c r="ET3" s="112" t="n"/>
      <c r="EU3" s="112" t="n"/>
      <c r="EV3" s="112" t="n"/>
      <c r="EW3" s="112" t="n"/>
      <c r="EX3" s="112" t="n"/>
      <c r="EY3" s="112" t="n"/>
      <c r="EZ3" s="112" t="n"/>
      <c r="FA3" s="112" t="n"/>
      <c r="FB3" s="112" t="n"/>
      <c r="FC3" s="112" t="n"/>
      <c r="FD3" s="112" t="n"/>
      <c r="FE3" s="112" t="n"/>
      <c r="FF3" s="112" t="n"/>
      <c r="FG3" s="112" t="n"/>
      <c r="FH3" s="112" t="n"/>
      <c r="FI3" s="112" t="n"/>
      <c r="FJ3" s="112" t="n"/>
      <c r="FK3" s="112" t="n"/>
      <c r="FL3" s="112" t="n"/>
      <c r="FM3" s="112" t="n"/>
      <c r="FN3" s="112" t="n"/>
      <c r="FO3" s="112" t="n"/>
      <c r="FP3" s="112" t="n"/>
      <c r="FQ3" s="112" t="n"/>
      <c r="FR3" s="112" t="n"/>
      <c r="FS3" s="112" t="n"/>
      <c r="FT3" s="112" t="n"/>
      <c r="FU3" s="112" t="n"/>
      <c r="FV3" s="112" t="n"/>
      <c r="FW3" s="112" t="n"/>
      <c r="FX3" s="112" t="n"/>
      <c r="FY3" s="112" t="n"/>
      <c r="FZ3" s="112" t="n"/>
      <c r="GA3" s="112" t="n"/>
      <c r="GB3" s="112" t="n"/>
      <c r="GC3" s="112" t="n"/>
      <c r="GD3" s="112" t="n"/>
      <c r="GE3" s="112" t="n"/>
      <c r="GF3" s="112" t="n"/>
      <c r="GG3" s="112" t="n"/>
      <c r="GH3" s="112" t="n"/>
      <c r="GI3" s="112" t="n"/>
      <c r="GJ3" s="112" t="n"/>
      <c r="GK3" s="112" t="n"/>
      <c r="GL3" s="112" t="n"/>
      <c r="GM3" s="112" t="n"/>
      <c r="GN3" s="112" t="n"/>
      <c r="GO3" s="112" t="n"/>
      <c r="GP3" s="112" t="n"/>
      <c r="GQ3" s="112" t="n"/>
      <c r="GR3" s="112" t="n"/>
      <c r="GS3" s="112" t="n"/>
      <c r="GT3" s="112" t="n"/>
      <c r="GU3" s="112" t="n"/>
      <c r="GV3" s="112" t="n"/>
      <c r="GW3" s="112" t="n"/>
      <c r="GX3" s="112" t="n"/>
      <c r="GY3" s="112" t="n"/>
      <c r="GZ3" s="112" t="n"/>
      <c r="HA3" s="112" t="n"/>
      <c r="HB3" s="112" t="n"/>
      <c r="HC3" s="112" t="n"/>
      <c r="HD3" s="112" t="n"/>
      <c r="HE3" s="112" t="n"/>
      <c r="HF3" s="112" t="n"/>
      <c r="HG3" s="112" t="n"/>
      <c r="HH3" s="112" t="n"/>
      <c r="HI3" s="112" t="n"/>
      <c r="HJ3" s="112" t="n"/>
      <c r="HK3" s="112" t="n"/>
      <c r="HL3" s="112" t="n"/>
      <c r="HM3" s="112" t="n"/>
      <c r="HN3" s="112" t="n"/>
      <c r="HO3" s="112" t="n"/>
      <c r="HP3" s="112" t="n"/>
      <c r="HQ3" s="112" t="n"/>
      <c r="HR3" s="112" t="n"/>
      <c r="HS3" s="112" t="n"/>
      <c r="HT3" s="112" t="n"/>
      <c r="HU3" s="112" t="n"/>
      <c r="HV3" s="112" t="n"/>
      <c r="HW3" s="112" t="n"/>
      <c r="HX3" s="112" t="n"/>
      <c r="HY3" s="112" t="n"/>
      <c r="HZ3" s="112" t="n"/>
      <c r="IA3" s="112" t="n"/>
      <c r="IB3" s="112" t="n"/>
      <c r="IC3" s="112" t="n"/>
      <c r="ID3" s="112" t="n"/>
      <c r="IE3" s="112" t="n"/>
      <c r="IF3" s="112" t="n"/>
      <c r="IG3" s="112" t="n"/>
      <c r="IH3" s="112" t="n"/>
      <c r="II3" s="112" t="n"/>
      <c r="IJ3" s="112" t="n"/>
      <c r="IK3" s="112" t="n"/>
      <c r="IL3" s="112" t="n"/>
      <c r="IM3" s="112" t="n"/>
      <c r="IN3" s="112" t="n"/>
      <c r="IO3" s="112" t="n"/>
      <c r="IP3" s="112" t="n"/>
      <c r="IQ3" s="112" t="n"/>
      <c r="IR3" s="112" t="n"/>
      <c r="IS3" s="112" t="n"/>
      <c r="IT3" s="112" t="n"/>
      <c r="IU3" s="112" t="n"/>
      <c r="IV3" s="112" t="n"/>
      <c r="IW3" s="112" t="n"/>
      <c r="IX3" s="112" t="n"/>
      <c r="IY3" s="112" t="n"/>
      <c r="IZ3" s="112" t="n"/>
      <c r="JA3" s="112" t="n"/>
      <c r="JB3" s="112" t="n"/>
      <c r="JC3" s="112" t="n"/>
      <c r="JD3" s="112" t="n"/>
      <c r="JE3" s="112" t="n"/>
      <c r="JF3" s="112" t="n"/>
      <c r="JG3" s="112" t="n"/>
      <c r="JH3" s="112" t="n"/>
      <c r="JI3" s="112" t="n"/>
      <c r="JJ3" s="112" t="n"/>
      <c r="JK3" s="112" t="n"/>
      <c r="JL3" s="112" t="n"/>
      <c r="JM3" s="112" t="n"/>
      <c r="JN3" s="112" t="n"/>
      <c r="JO3" s="112" t="n"/>
      <c r="JP3" s="112" t="n"/>
      <c r="JQ3" s="112" t="n"/>
      <c r="JR3" s="112" t="n"/>
      <c r="JS3" s="112" t="n"/>
      <c r="JT3" s="112" t="n"/>
      <c r="JU3" s="112" t="n"/>
      <c r="JV3" s="112" t="n"/>
      <c r="JW3" s="112" t="n"/>
      <c r="JX3" s="112" t="n"/>
      <c r="JY3" s="112" t="n"/>
      <c r="JZ3" s="112" t="n"/>
      <c r="KA3" s="112" t="n"/>
      <c r="KB3" s="112" t="n"/>
      <c r="KC3" s="112" t="n"/>
      <c r="KD3" s="112" t="n"/>
      <c r="KE3" s="112" t="n"/>
      <c r="KF3" s="112" t="n"/>
      <c r="KG3" s="112" t="n"/>
      <c r="KH3" s="112" t="n"/>
      <c r="KI3" s="112" t="n"/>
      <c r="KJ3" s="112" t="n"/>
      <c r="KK3" s="112" t="n"/>
      <c r="KL3" s="112" t="n"/>
      <c r="KM3" s="112" t="n"/>
      <c r="KN3" s="112" t="n"/>
      <c r="KO3" s="112" t="n"/>
      <c r="KP3" s="112" t="n"/>
      <c r="KQ3" s="112" t="n"/>
      <c r="KR3" s="112" t="n"/>
      <c r="KS3" s="112" t="n"/>
      <c r="KT3" s="112" t="n"/>
      <c r="KU3" s="112" t="n"/>
      <c r="KV3" s="112" t="n"/>
      <c r="KW3" s="112" t="n"/>
      <c r="KX3" s="112" t="n"/>
      <c r="KY3" s="112" t="n"/>
      <c r="KZ3" s="112" t="n"/>
      <c r="LA3" s="112" t="n"/>
      <c r="LB3" s="112" t="n"/>
      <c r="LC3" s="112" t="n"/>
      <c r="LD3" s="112" t="n"/>
      <c r="LE3" s="112" t="n"/>
      <c r="LF3" s="112" t="n"/>
      <c r="LG3" s="112" t="n"/>
      <c r="LH3" s="112" t="n"/>
      <c r="LI3" s="112" t="n"/>
      <c r="LJ3" s="112" t="n"/>
      <c r="LK3" s="112" t="n"/>
      <c r="LL3" s="112" t="n"/>
      <c r="LM3" s="112" t="n"/>
      <c r="LN3" s="112" t="n"/>
      <c r="LO3" s="112" t="n"/>
      <c r="LP3" s="112" t="n"/>
      <c r="LQ3" s="112" t="n"/>
      <c r="LR3" s="112" t="n"/>
      <c r="LS3" s="112" t="n"/>
      <c r="LT3" s="112" t="n"/>
      <c r="LU3" s="112" t="n"/>
      <c r="LV3" s="112" t="n"/>
      <c r="LW3" s="112" t="n"/>
      <c r="LX3" s="112" t="n"/>
      <c r="LY3" s="112" t="n"/>
      <c r="LZ3" s="112" t="n"/>
      <c r="MA3" s="112" t="n"/>
      <c r="MB3" s="112" t="n"/>
      <c r="MC3" s="112" t="n"/>
      <c r="MD3" s="112" t="n"/>
      <c r="ME3" s="112" t="n"/>
      <c r="MF3" s="112" t="n"/>
      <c r="MG3" s="112" t="n"/>
      <c r="MH3" s="112" t="n"/>
      <c r="MI3" s="112" t="n"/>
      <c r="MJ3" s="112" t="n"/>
      <c r="MK3" s="112" t="n"/>
      <c r="ML3" s="112" t="n"/>
      <c r="MM3" s="112" t="n"/>
      <c r="MN3" s="112" t="n"/>
      <c r="MO3" s="112" t="n"/>
      <c r="MP3" s="112" t="n"/>
      <c r="MQ3" s="112" t="n"/>
      <c r="MR3" s="112" t="n"/>
      <c r="MS3" s="112" t="n"/>
      <c r="MT3" s="112" t="n"/>
      <c r="MU3" s="112" t="n"/>
      <c r="MV3" s="112" t="n"/>
      <c r="MW3" s="112" t="n"/>
      <c r="MX3" s="112" t="n"/>
      <c r="MY3" s="112" t="n"/>
      <c r="MZ3" s="112" t="n"/>
      <c r="NA3" s="112" t="n"/>
      <c r="NB3" s="112" t="n"/>
      <c r="NC3" s="112" t="n"/>
      <c r="ND3" s="112" t="n"/>
      <c r="NE3" s="112" t="n"/>
      <c r="NF3" s="112" t="n"/>
      <c r="NG3" s="112" t="n"/>
      <c r="NH3" s="112" t="n"/>
      <c r="NI3" s="112" t="n"/>
      <c r="NJ3" s="112" t="n"/>
      <c r="NK3" s="112" t="n"/>
      <c r="NL3" s="112" t="n"/>
      <c r="NM3" s="112" t="n"/>
      <c r="NN3" s="112" t="n"/>
      <c r="NO3" s="112" t="n"/>
      <c r="NP3" s="112" t="n"/>
      <c r="NQ3" s="112" t="n"/>
      <c r="NR3" s="112" t="n"/>
    </row>
    <row r="4">
      <c r="AT4" s="267" t="n"/>
      <c r="AU4" s="267" t="n"/>
    </row>
    <row r="5">
      <c r="M5" s="263" t="n"/>
      <c r="N5" s="263" t="n"/>
      <c r="O5" s="263" t="n"/>
      <c r="P5" s="263" t="n"/>
      <c r="Q5" s="263" t="n"/>
      <c r="R5" s="263" t="n"/>
      <c r="S5" s="263" t="n"/>
      <c r="T5" s="263" t="n"/>
      <c r="U5" s="263" t="n"/>
      <c r="V5" s="263" t="n"/>
      <c r="W5" s="263" t="n"/>
      <c r="X5" s="263" t="n"/>
      <c r="Y5" s="263" t="n"/>
      <c r="Z5" s="263" t="n"/>
      <c r="AA5" s="263" t="n"/>
      <c r="AB5" s="263" t="n"/>
      <c r="AC5" s="263" t="n"/>
      <c r="AD5" s="263" t="n"/>
      <c r="AE5" s="263" t="n"/>
      <c r="AF5" s="263" t="n"/>
      <c r="AG5" s="263" t="n"/>
      <c r="AH5" s="263" t="n"/>
      <c r="AI5" s="263" t="n"/>
      <c r="AJ5" s="263" t="n"/>
      <c r="AK5" s="263" t="n"/>
      <c r="AL5" s="263" t="n"/>
      <c r="AM5" s="263" t="n"/>
      <c r="AN5" s="263" t="n"/>
      <c r="AO5" s="263" t="n"/>
      <c r="AP5" s="263" t="n"/>
      <c r="AQ5" s="263" t="n"/>
      <c r="AR5" s="263" t="n"/>
      <c r="AS5" s="263" t="n"/>
      <c r="AT5" s="270" t="n"/>
      <c r="AU5" s="270" t="n"/>
      <c r="AW5" t="n">
        <v>2023</v>
      </c>
      <c r="ABR5" t="n">
        <v>2022</v>
      </c>
      <c r="BCM5" t="n">
        <v>2021</v>
      </c>
      <c r="CDH5" t="n">
        <v>2020</v>
      </c>
      <c r="DEC5" t="n">
        <v>2019</v>
      </c>
      <c r="EEX5" s="87" t="n">
        <v>2018</v>
      </c>
      <c r="FEZ5" s="87" t="n">
        <v>2017</v>
      </c>
      <c r="GFB5" s="87" t="n">
        <v>2016</v>
      </c>
      <c r="HFD5" s="87" t="n">
        <v>2015</v>
      </c>
      <c r="IFF5" s="87" t="n">
        <v>2014</v>
      </c>
      <c r="JFH5" s="87" t="n">
        <v>2013</v>
      </c>
    </row>
    <row r="6">
      <c r="AT6" s="267" t="n"/>
      <c r="AU6" s="267" t="n"/>
      <c r="AW6" t="n">
        <v>2023</v>
      </c>
      <c r="AX6" t="n">
        <v>2023</v>
      </c>
      <c r="AY6" t="n">
        <v>2023</v>
      </c>
      <c r="AZ6" t="n">
        <v>2023</v>
      </c>
      <c r="BA6" t="n">
        <v>2023</v>
      </c>
      <c r="BB6" t="n">
        <v>2023</v>
      </c>
      <c r="BC6" t="n">
        <v>2023</v>
      </c>
      <c r="BD6" t="n">
        <v>2023</v>
      </c>
      <c r="BE6" t="n">
        <v>2023</v>
      </c>
      <c r="BF6" t="n">
        <v>2023</v>
      </c>
      <c r="BG6" t="n">
        <v>2023</v>
      </c>
      <c r="BH6" t="n">
        <v>2023</v>
      </c>
      <c r="BI6" t="n">
        <v>2023</v>
      </c>
      <c r="BJ6" t="n">
        <v>2023</v>
      </c>
      <c r="BK6" t="n">
        <v>2023</v>
      </c>
      <c r="BL6" t="n">
        <v>2023</v>
      </c>
      <c r="BM6" t="n">
        <v>2023</v>
      </c>
      <c r="BN6" t="n">
        <v>2023</v>
      </c>
      <c r="BO6" t="n">
        <v>2023</v>
      </c>
      <c r="BP6" t="n">
        <v>2023</v>
      </c>
      <c r="BQ6" t="n">
        <v>2023</v>
      </c>
      <c r="BR6" t="n">
        <v>2023</v>
      </c>
      <c r="BS6" t="n">
        <v>2023</v>
      </c>
      <c r="BT6" t="n">
        <v>2023</v>
      </c>
      <c r="BU6" t="n">
        <v>2023</v>
      </c>
      <c r="BV6" t="n">
        <v>2023</v>
      </c>
      <c r="BW6" t="n">
        <v>2023</v>
      </c>
      <c r="BX6" t="n">
        <v>2023</v>
      </c>
      <c r="BY6" t="n">
        <v>2023</v>
      </c>
      <c r="BZ6" t="n">
        <v>2023</v>
      </c>
      <c r="CA6" t="n">
        <v>2023</v>
      </c>
      <c r="CB6" t="n">
        <v>2023</v>
      </c>
      <c r="CC6" t="n">
        <v>2023</v>
      </c>
      <c r="CD6" t="n">
        <v>2023</v>
      </c>
      <c r="CE6" t="n">
        <v>2023</v>
      </c>
      <c r="CF6" t="n">
        <v>2023</v>
      </c>
      <c r="CG6" t="n">
        <v>2023</v>
      </c>
      <c r="CH6" t="n">
        <v>2023</v>
      </c>
      <c r="CI6" t="n">
        <v>2023</v>
      </c>
      <c r="CJ6" t="n">
        <v>2023</v>
      </c>
      <c r="CK6" t="n">
        <v>2023</v>
      </c>
      <c r="CL6" t="n">
        <v>2023</v>
      </c>
      <c r="CM6" t="n">
        <v>2023</v>
      </c>
      <c r="CN6" t="n">
        <v>2023</v>
      </c>
      <c r="CO6" t="n">
        <v>2023</v>
      </c>
      <c r="CP6" t="n">
        <v>2023</v>
      </c>
      <c r="CQ6" t="n">
        <v>2023</v>
      </c>
      <c r="CR6" t="n">
        <v>2023</v>
      </c>
      <c r="CS6" t="n">
        <v>2023</v>
      </c>
      <c r="CT6" t="n">
        <v>2023</v>
      </c>
      <c r="CU6" t="n">
        <v>2023</v>
      </c>
      <c r="CV6" t="n">
        <v>2023</v>
      </c>
      <c r="CW6" t="n">
        <v>2023</v>
      </c>
      <c r="CX6" t="n">
        <v>2023</v>
      </c>
      <c r="CY6" t="n">
        <v>2023</v>
      </c>
      <c r="CZ6" t="n">
        <v>2023</v>
      </c>
      <c r="DA6" t="n">
        <v>2023</v>
      </c>
      <c r="DB6" t="n">
        <v>2023</v>
      </c>
      <c r="DC6" t="n">
        <v>2023</v>
      </c>
      <c r="DD6" t="n">
        <v>2023</v>
      </c>
      <c r="DE6" t="n">
        <v>2023</v>
      </c>
      <c r="DF6" t="n">
        <v>2023</v>
      </c>
      <c r="DG6" t="n">
        <v>2023</v>
      </c>
      <c r="DH6" t="n">
        <v>2023</v>
      </c>
      <c r="DI6" t="n">
        <v>2023</v>
      </c>
      <c r="DJ6" t="n">
        <v>2023</v>
      </c>
      <c r="DK6" t="n">
        <v>2023</v>
      </c>
      <c r="DL6" t="n">
        <v>2023</v>
      </c>
      <c r="DM6" t="n">
        <v>2023</v>
      </c>
      <c r="DN6" t="n">
        <v>2023</v>
      </c>
      <c r="DO6" t="n">
        <v>2023</v>
      </c>
      <c r="DP6" t="n">
        <v>2023</v>
      </c>
      <c r="DQ6" t="n">
        <v>2023</v>
      </c>
      <c r="DR6" t="n">
        <v>2023</v>
      </c>
      <c r="DS6" t="n">
        <v>2023</v>
      </c>
      <c r="DT6" t="n">
        <v>2023</v>
      </c>
      <c r="DU6" t="n">
        <v>2023</v>
      </c>
      <c r="DV6" t="n">
        <v>2023</v>
      </c>
      <c r="DW6" t="n">
        <v>2023</v>
      </c>
      <c r="DX6" t="n">
        <v>2023</v>
      </c>
      <c r="DY6" t="n">
        <v>2023</v>
      </c>
      <c r="DZ6" t="n">
        <v>2023</v>
      </c>
      <c r="EA6" t="n">
        <v>2023</v>
      </c>
      <c r="EB6" t="n">
        <v>2023</v>
      </c>
      <c r="EC6" t="n">
        <v>2023</v>
      </c>
      <c r="ED6" t="n">
        <v>2023</v>
      </c>
      <c r="EE6" t="n">
        <v>2023</v>
      </c>
      <c r="EF6" t="n">
        <v>2023</v>
      </c>
      <c r="EG6" t="n">
        <v>2023</v>
      </c>
      <c r="EH6" t="n">
        <v>2023</v>
      </c>
      <c r="EI6" t="n">
        <v>2023</v>
      </c>
      <c r="EJ6" t="n">
        <v>2023</v>
      </c>
      <c r="EK6" t="n">
        <v>2023</v>
      </c>
      <c r="EL6" t="n">
        <v>2023</v>
      </c>
      <c r="EM6" t="n">
        <v>2023</v>
      </c>
      <c r="EN6" t="n">
        <v>2023</v>
      </c>
      <c r="EO6" t="n">
        <v>2023</v>
      </c>
      <c r="EP6" t="n">
        <v>2023</v>
      </c>
      <c r="EQ6" t="n">
        <v>2023</v>
      </c>
      <c r="ER6" t="n">
        <v>2023</v>
      </c>
      <c r="ES6" t="n">
        <v>2023</v>
      </c>
      <c r="ET6" t="n">
        <v>2023</v>
      </c>
      <c r="EU6" t="n">
        <v>2023</v>
      </c>
      <c r="EV6" t="n">
        <v>2023</v>
      </c>
      <c r="EW6" t="n">
        <v>2023</v>
      </c>
      <c r="EX6" t="n">
        <v>2023</v>
      </c>
      <c r="EY6" t="n">
        <v>2023</v>
      </c>
      <c r="EZ6" t="n">
        <v>2023</v>
      </c>
      <c r="FA6" t="n">
        <v>2023</v>
      </c>
      <c r="FB6" t="n">
        <v>2023</v>
      </c>
      <c r="FC6" t="n">
        <v>2023</v>
      </c>
      <c r="FD6" t="n">
        <v>2023</v>
      </c>
      <c r="FE6" t="n">
        <v>2023</v>
      </c>
      <c r="FF6" t="n">
        <v>2023</v>
      </c>
      <c r="FG6" t="n">
        <v>2023</v>
      </c>
      <c r="FH6" t="n">
        <v>2023</v>
      </c>
      <c r="FI6" t="n">
        <v>2023</v>
      </c>
      <c r="FJ6" t="n">
        <v>2023</v>
      </c>
      <c r="FK6" t="n">
        <v>2023</v>
      </c>
      <c r="FL6" t="n">
        <v>2023</v>
      </c>
      <c r="FM6" t="n">
        <v>2023</v>
      </c>
      <c r="FN6" t="n">
        <v>2023</v>
      </c>
      <c r="FO6" t="n">
        <v>2023</v>
      </c>
      <c r="FP6" t="n">
        <v>2023</v>
      </c>
      <c r="FQ6" t="n">
        <v>2023</v>
      </c>
      <c r="FR6" t="n">
        <v>2023</v>
      </c>
      <c r="FS6" t="n">
        <v>2023</v>
      </c>
      <c r="FT6" t="n">
        <v>2023</v>
      </c>
      <c r="FU6" t="n">
        <v>2023</v>
      </c>
      <c r="FV6" t="n">
        <v>2023</v>
      </c>
      <c r="FW6" t="n">
        <v>2023</v>
      </c>
      <c r="FX6" t="n">
        <v>2023</v>
      </c>
      <c r="FY6" t="n">
        <v>2023</v>
      </c>
      <c r="FZ6" t="n">
        <v>2023</v>
      </c>
      <c r="GA6" t="n">
        <v>2023</v>
      </c>
      <c r="GB6" t="n">
        <v>2023</v>
      </c>
      <c r="GC6" t="n">
        <v>2023</v>
      </c>
      <c r="GD6" t="n">
        <v>2023</v>
      </c>
      <c r="GE6" t="n">
        <v>2023</v>
      </c>
      <c r="GF6" t="n">
        <v>2023</v>
      </c>
      <c r="GG6" t="n">
        <v>2023</v>
      </c>
      <c r="GH6" t="n">
        <v>2023</v>
      </c>
      <c r="GI6" t="n">
        <v>2023</v>
      </c>
      <c r="GJ6" t="n">
        <v>2023</v>
      </c>
      <c r="GK6" t="n">
        <v>2023</v>
      </c>
      <c r="GL6" t="n">
        <v>2023</v>
      </c>
      <c r="GM6" t="n">
        <v>2023</v>
      </c>
      <c r="GN6" t="n">
        <v>2023</v>
      </c>
      <c r="GO6" t="n">
        <v>2023</v>
      </c>
      <c r="GP6" t="n">
        <v>2023</v>
      </c>
      <c r="GQ6" t="n">
        <v>2023</v>
      </c>
      <c r="GR6" t="n">
        <v>2023</v>
      </c>
      <c r="GS6" t="n">
        <v>2023</v>
      </c>
      <c r="GT6" t="n">
        <v>2023</v>
      </c>
      <c r="GU6" t="n">
        <v>2023</v>
      </c>
      <c r="GV6" t="n">
        <v>2023</v>
      </c>
      <c r="GW6" t="n">
        <v>2023</v>
      </c>
      <c r="GX6" t="n">
        <v>2023</v>
      </c>
      <c r="GY6" t="n">
        <v>2023</v>
      </c>
      <c r="GZ6" t="n">
        <v>2023</v>
      </c>
      <c r="HA6" t="n">
        <v>2023</v>
      </c>
      <c r="HB6" t="n">
        <v>2023</v>
      </c>
      <c r="HC6" t="n">
        <v>2023</v>
      </c>
      <c r="HD6" t="n">
        <v>2023</v>
      </c>
      <c r="HE6" t="n">
        <v>2023</v>
      </c>
      <c r="HF6" t="n">
        <v>2023</v>
      </c>
      <c r="HG6" t="n">
        <v>2023</v>
      </c>
      <c r="HH6" t="n">
        <v>2023</v>
      </c>
      <c r="HI6" t="n">
        <v>2023</v>
      </c>
      <c r="HJ6" t="n">
        <v>2023</v>
      </c>
      <c r="HK6" t="n">
        <v>2023</v>
      </c>
      <c r="HL6" t="n">
        <v>2023</v>
      </c>
      <c r="HM6" t="n">
        <v>2023</v>
      </c>
      <c r="HN6" t="n">
        <v>2023</v>
      </c>
      <c r="HO6" t="n">
        <v>2023</v>
      </c>
      <c r="HP6" t="n">
        <v>2023</v>
      </c>
      <c r="HQ6" t="n">
        <v>2023</v>
      </c>
      <c r="HR6" t="n">
        <v>2023</v>
      </c>
      <c r="HS6" t="n">
        <v>2023</v>
      </c>
      <c r="HT6" t="n">
        <v>2023</v>
      </c>
      <c r="HU6" t="n">
        <v>2023</v>
      </c>
      <c r="HV6" t="n">
        <v>2023</v>
      </c>
      <c r="HW6" t="n">
        <v>2023</v>
      </c>
      <c r="HX6" t="n">
        <v>2023</v>
      </c>
      <c r="HY6" t="n">
        <v>2023</v>
      </c>
      <c r="HZ6" t="n">
        <v>2023</v>
      </c>
      <c r="IA6" t="n">
        <v>2023</v>
      </c>
      <c r="IB6" t="n">
        <v>2023</v>
      </c>
      <c r="IC6" t="n">
        <v>2023</v>
      </c>
      <c r="ID6" t="n">
        <v>2023</v>
      </c>
      <c r="IE6" t="n">
        <v>2023</v>
      </c>
      <c r="IF6" t="n">
        <v>2023</v>
      </c>
      <c r="IG6" t="n">
        <v>2023</v>
      </c>
      <c r="IH6" t="n">
        <v>2023</v>
      </c>
      <c r="II6" t="n">
        <v>2023</v>
      </c>
      <c r="IJ6" t="n">
        <v>2023</v>
      </c>
      <c r="IK6" t="n">
        <v>2023</v>
      </c>
      <c r="IL6" t="n">
        <v>2023</v>
      </c>
      <c r="IM6" t="n">
        <v>2023</v>
      </c>
      <c r="IN6" t="n">
        <v>2023</v>
      </c>
      <c r="IO6" t="n">
        <v>2023</v>
      </c>
      <c r="IP6" t="n">
        <v>2023</v>
      </c>
      <c r="IQ6" t="n">
        <v>2023</v>
      </c>
      <c r="IR6" t="n">
        <v>2023</v>
      </c>
      <c r="IS6" t="n">
        <v>2023</v>
      </c>
      <c r="IT6" t="n">
        <v>2023</v>
      </c>
      <c r="IU6" t="n">
        <v>2023</v>
      </c>
      <c r="IV6" t="n">
        <v>2023</v>
      </c>
      <c r="IW6" t="n">
        <v>2023</v>
      </c>
      <c r="IX6" t="n">
        <v>2023</v>
      </c>
      <c r="IY6" t="n">
        <v>2023</v>
      </c>
      <c r="IZ6" t="n">
        <v>2023</v>
      </c>
      <c r="JA6" t="n">
        <v>2023</v>
      </c>
      <c r="JB6" t="n">
        <v>2023</v>
      </c>
      <c r="JC6" t="n">
        <v>2023</v>
      </c>
      <c r="JD6" t="n">
        <v>2023</v>
      </c>
      <c r="JE6" t="n">
        <v>2023</v>
      </c>
      <c r="JF6" t="n">
        <v>2023</v>
      </c>
      <c r="JG6" t="n">
        <v>2023</v>
      </c>
      <c r="JH6" t="n">
        <v>2023</v>
      </c>
      <c r="JI6" t="n">
        <v>2023</v>
      </c>
      <c r="JJ6" t="n">
        <v>2023</v>
      </c>
      <c r="JK6" t="n">
        <v>2023</v>
      </c>
      <c r="JL6" t="n">
        <v>2023</v>
      </c>
      <c r="JM6" t="n">
        <v>2023</v>
      </c>
      <c r="JN6" t="n">
        <v>2023</v>
      </c>
      <c r="JO6" t="n">
        <v>2023</v>
      </c>
      <c r="JP6" t="n">
        <v>2023</v>
      </c>
      <c r="JQ6" t="n">
        <v>2023</v>
      </c>
      <c r="JR6" t="n">
        <v>2023</v>
      </c>
      <c r="JS6" t="n">
        <v>2023</v>
      </c>
      <c r="JT6" t="n">
        <v>2023</v>
      </c>
      <c r="JU6" t="n">
        <v>2023</v>
      </c>
      <c r="JV6" t="n">
        <v>2023</v>
      </c>
      <c r="JW6" t="n">
        <v>2023</v>
      </c>
      <c r="JX6" t="n">
        <v>2023</v>
      </c>
      <c r="JY6" t="n">
        <v>2023</v>
      </c>
      <c r="JZ6" t="n">
        <v>2023</v>
      </c>
      <c r="KA6" t="n">
        <v>2023</v>
      </c>
      <c r="KB6" t="n">
        <v>2023</v>
      </c>
      <c r="KC6" t="n">
        <v>2023</v>
      </c>
      <c r="KD6" t="n">
        <v>2023</v>
      </c>
      <c r="KE6" t="n">
        <v>2023</v>
      </c>
      <c r="KF6" t="n">
        <v>2023</v>
      </c>
      <c r="KG6" t="n">
        <v>2023</v>
      </c>
      <c r="KH6" t="n">
        <v>2023</v>
      </c>
      <c r="KI6" t="n">
        <v>2023</v>
      </c>
      <c r="KJ6" t="n">
        <v>2023</v>
      </c>
      <c r="KK6" t="n">
        <v>2023</v>
      </c>
      <c r="KL6" t="n">
        <v>2023</v>
      </c>
      <c r="KM6" t="n">
        <v>2023</v>
      </c>
      <c r="KN6" t="n">
        <v>2023</v>
      </c>
      <c r="KO6" t="n">
        <v>2023</v>
      </c>
      <c r="KP6" t="n">
        <v>2023</v>
      </c>
      <c r="KQ6" t="n">
        <v>2023</v>
      </c>
      <c r="KR6" t="n">
        <v>2023</v>
      </c>
      <c r="KS6" t="n">
        <v>2023</v>
      </c>
      <c r="KT6" t="n">
        <v>2023</v>
      </c>
      <c r="KU6" t="n">
        <v>2023</v>
      </c>
      <c r="KV6" t="n">
        <v>2023</v>
      </c>
      <c r="KW6" t="n">
        <v>2023</v>
      </c>
      <c r="KX6" t="n">
        <v>2023</v>
      </c>
      <c r="KY6" t="n">
        <v>2023</v>
      </c>
      <c r="KZ6" t="n">
        <v>2023</v>
      </c>
      <c r="LA6" t="n">
        <v>2023</v>
      </c>
      <c r="LB6" t="n">
        <v>2023</v>
      </c>
      <c r="LC6" t="n">
        <v>2023</v>
      </c>
      <c r="LD6" t="n">
        <v>2023</v>
      </c>
      <c r="LE6" t="n">
        <v>2023</v>
      </c>
      <c r="LF6" t="n">
        <v>2023</v>
      </c>
      <c r="LG6" t="n">
        <v>2023</v>
      </c>
      <c r="LH6" t="n">
        <v>2023</v>
      </c>
      <c r="LI6" t="n">
        <v>2023</v>
      </c>
      <c r="LJ6" t="n">
        <v>2023</v>
      </c>
      <c r="LK6" t="n">
        <v>2023</v>
      </c>
      <c r="LL6" t="n">
        <v>2023</v>
      </c>
      <c r="LM6" t="n">
        <v>2023</v>
      </c>
      <c r="LN6" t="n">
        <v>2023</v>
      </c>
      <c r="LO6" t="n">
        <v>2023</v>
      </c>
      <c r="LP6" t="n">
        <v>2023</v>
      </c>
      <c r="LQ6" t="n">
        <v>2023</v>
      </c>
      <c r="LR6" t="n">
        <v>2023</v>
      </c>
      <c r="LS6" t="n">
        <v>2023</v>
      </c>
      <c r="LT6" t="n">
        <v>2023</v>
      </c>
      <c r="LU6" t="n">
        <v>2023</v>
      </c>
      <c r="LV6" t="n">
        <v>2023</v>
      </c>
      <c r="LW6" t="n">
        <v>2023</v>
      </c>
      <c r="LX6" t="n">
        <v>2023</v>
      </c>
      <c r="LY6" t="n">
        <v>2023</v>
      </c>
      <c r="LZ6" t="n">
        <v>2023</v>
      </c>
      <c r="MA6" t="n">
        <v>2023</v>
      </c>
      <c r="MB6" t="n">
        <v>2023</v>
      </c>
      <c r="MC6" t="n">
        <v>2023</v>
      </c>
      <c r="MD6" t="n">
        <v>2023</v>
      </c>
      <c r="ME6" t="n">
        <v>2023</v>
      </c>
      <c r="MF6" t="n">
        <v>2023</v>
      </c>
      <c r="MG6" t="n">
        <v>2023</v>
      </c>
      <c r="MH6" t="n">
        <v>2023</v>
      </c>
      <c r="MI6" t="n">
        <v>2023</v>
      </c>
      <c r="MJ6" t="n">
        <v>2023</v>
      </c>
      <c r="MK6" t="n">
        <v>2023</v>
      </c>
      <c r="ML6" t="n">
        <v>2023</v>
      </c>
      <c r="MM6" t="n">
        <v>2023</v>
      </c>
      <c r="MN6" t="n">
        <v>2023</v>
      </c>
      <c r="MO6" t="n">
        <v>2023</v>
      </c>
      <c r="MP6" t="n">
        <v>2023</v>
      </c>
      <c r="MQ6" t="n">
        <v>2023</v>
      </c>
      <c r="MR6" t="n">
        <v>2023</v>
      </c>
      <c r="MS6" t="n">
        <v>2023</v>
      </c>
      <c r="MT6" t="n">
        <v>2023</v>
      </c>
      <c r="MU6" t="n">
        <v>2023</v>
      </c>
      <c r="MV6" t="n">
        <v>2023</v>
      </c>
      <c r="MW6" t="n">
        <v>2023</v>
      </c>
      <c r="MX6" t="n">
        <v>2023</v>
      </c>
      <c r="MY6" t="n">
        <v>2023</v>
      </c>
      <c r="MZ6" t="n">
        <v>2023</v>
      </c>
      <c r="NA6" t="n">
        <v>2023</v>
      </c>
      <c r="NB6" t="n">
        <v>2023</v>
      </c>
      <c r="NC6" t="n">
        <v>2023</v>
      </c>
      <c r="ND6" t="n">
        <v>2023</v>
      </c>
      <c r="NE6" t="n">
        <v>2023</v>
      </c>
      <c r="NF6" t="n">
        <v>2023</v>
      </c>
      <c r="NG6" t="n">
        <v>2023</v>
      </c>
      <c r="NH6" t="n">
        <v>2023</v>
      </c>
      <c r="NI6" t="n">
        <v>2023</v>
      </c>
      <c r="NJ6" t="n">
        <v>2023</v>
      </c>
      <c r="NK6" t="n">
        <v>2023</v>
      </c>
      <c r="NL6" t="n">
        <v>2023</v>
      </c>
      <c r="NM6" t="n">
        <v>2023</v>
      </c>
      <c r="NN6" t="n">
        <v>2023</v>
      </c>
      <c r="NO6" t="n">
        <v>2023</v>
      </c>
      <c r="NP6" t="n">
        <v>2023</v>
      </c>
      <c r="NQ6" t="n">
        <v>2023</v>
      </c>
      <c r="NR6" t="n">
        <v>2023</v>
      </c>
      <c r="NS6" t="n">
        <v>2023</v>
      </c>
      <c r="NT6" t="n">
        <v>2023</v>
      </c>
      <c r="NU6" t="n">
        <v>2023</v>
      </c>
      <c r="NV6" t="n">
        <v>2023</v>
      </c>
      <c r="NW6" t="n">
        <v>2023</v>
      </c>
      <c r="NX6" t="n">
        <v>2023</v>
      </c>
      <c r="NY6" t="n">
        <v>2023</v>
      </c>
      <c r="NZ6" t="n">
        <v>2023</v>
      </c>
      <c r="OA6" t="n">
        <v>2023</v>
      </c>
      <c r="OB6" t="n">
        <v>2023</v>
      </c>
      <c r="OC6" t="n">
        <v>2023</v>
      </c>
      <c r="OD6" t="n">
        <v>2023</v>
      </c>
      <c r="OE6" t="n">
        <v>2023</v>
      </c>
      <c r="OF6" t="n">
        <v>2023</v>
      </c>
      <c r="OG6" t="n">
        <v>2023</v>
      </c>
      <c r="OH6" t="n">
        <v>2023</v>
      </c>
      <c r="OI6" t="n">
        <v>2023</v>
      </c>
      <c r="OJ6" t="n">
        <v>2023</v>
      </c>
      <c r="OK6" t="n">
        <v>2023</v>
      </c>
      <c r="OL6" t="n">
        <v>2023</v>
      </c>
      <c r="OM6" t="n">
        <v>2023</v>
      </c>
      <c r="ON6" t="n">
        <v>2023</v>
      </c>
      <c r="OO6" t="n">
        <v>2023</v>
      </c>
      <c r="OP6" t="n">
        <v>2023</v>
      </c>
      <c r="OQ6" t="n">
        <v>2023</v>
      </c>
      <c r="OR6" t="n">
        <v>2023</v>
      </c>
      <c r="OS6" t="n">
        <v>2023</v>
      </c>
      <c r="OT6" t="n">
        <v>2023</v>
      </c>
      <c r="OU6" t="n">
        <v>2023</v>
      </c>
      <c r="OV6" t="n">
        <v>2023</v>
      </c>
      <c r="OW6" t="n">
        <v>2023</v>
      </c>
      <c r="OX6" t="n">
        <v>2023</v>
      </c>
      <c r="OY6" t="n">
        <v>2023</v>
      </c>
      <c r="OZ6" t="n">
        <v>2023</v>
      </c>
      <c r="PA6" t="n">
        <v>2023</v>
      </c>
      <c r="PB6" t="n">
        <v>2023</v>
      </c>
      <c r="PC6" t="n">
        <v>2023</v>
      </c>
      <c r="PD6" t="n">
        <v>2023</v>
      </c>
      <c r="PE6" t="n">
        <v>2023</v>
      </c>
      <c r="PF6" t="n">
        <v>2023</v>
      </c>
      <c r="PG6" t="n">
        <v>2023</v>
      </c>
      <c r="PH6" t="n">
        <v>2023</v>
      </c>
      <c r="PI6" t="n">
        <v>2023</v>
      </c>
      <c r="PJ6" t="n">
        <v>2023</v>
      </c>
      <c r="PK6" t="n">
        <v>2023</v>
      </c>
      <c r="PL6" t="n">
        <v>2023</v>
      </c>
      <c r="PM6" t="n">
        <v>2023</v>
      </c>
      <c r="PN6" t="n">
        <v>2023</v>
      </c>
      <c r="PO6" t="n">
        <v>2023</v>
      </c>
      <c r="PP6" t="n">
        <v>2023</v>
      </c>
      <c r="PQ6" t="n">
        <v>2023</v>
      </c>
      <c r="PR6" t="n">
        <v>2023</v>
      </c>
      <c r="PS6" t="n">
        <v>2023</v>
      </c>
      <c r="PT6" t="n">
        <v>2023</v>
      </c>
      <c r="PU6" t="n">
        <v>2023</v>
      </c>
      <c r="PV6" t="n">
        <v>2023</v>
      </c>
      <c r="PW6" t="n">
        <v>2023</v>
      </c>
      <c r="PX6" t="n">
        <v>2023</v>
      </c>
      <c r="PY6" t="n">
        <v>2023</v>
      </c>
      <c r="PZ6" t="n">
        <v>2023</v>
      </c>
      <c r="QA6" t="n">
        <v>2023</v>
      </c>
      <c r="QB6" t="n">
        <v>2023</v>
      </c>
      <c r="QC6" t="n">
        <v>2023</v>
      </c>
      <c r="QD6" t="n">
        <v>2023</v>
      </c>
      <c r="QE6" t="n">
        <v>2023</v>
      </c>
      <c r="QF6" t="n">
        <v>2023</v>
      </c>
      <c r="QG6" t="n">
        <v>2023</v>
      </c>
      <c r="QH6" t="n">
        <v>2023</v>
      </c>
      <c r="QI6" t="n">
        <v>2023</v>
      </c>
      <c r="QJ6" t="n">
        <v>2023</v>
      </c>
      <c r="QK6" t="n">
        <v>2023</v>
      </c>
      <c r="QL6" t="n">
        <v>2023</v>
      </c>
      <c r="QM6" t="n">
        <v>2023</v>
      </c>
      <c r="QN6" t="n">
        <v>2023</v>
      </c>
      <c r="QO6" t="n">
        <v>2023</v>
      </c>
      <c r="QP6" t="n">
        <v>2023</v>
      </c>
      <c r="QQ6" t="n">
        <v>2023</v>
      </c>
      <c r="QR6" t="n">
        <v>2023</v>
      </c>
      <c r="QS6" t="n">
        <v>2023</v>
      </c>
      <c r="QT6" t="n">
        <v>2023</v>
      </c>
      <c r="QU6" t="n">
        <v>2023</v>
      </c>
      <c r="QV6" t="n">
        <v>2023</v>
      </c>
      <c r="QW6" t="n">
        <v>2023</v>
      </c>
      <c r="QX6" t="n">
        <v>2023</v>
      </c>
      <c r="QY6" t="n">
        <v>2023</v>
      </c>
      <c r="QZ6" t="n">
        <v>2023</v>
      </c>
      <c r="RA6" t="n">
        <v>2023</v>
      </c>
      <c r="RB6" t="n">
        <v>2023</v>
      </c>
      <c r="RC6" t="n">
        <v>2023</v>
      </c>
      <c r="RD6" t="n">
        <v>2023</v>
      </c>
      <c r="RE6" t="n">
        <v>2023</v>
      </c>
      <c r="RF6" t="n">
        <v>2023</v>
      </c>
      <c r="RG6" t="n">
        <v>2023</v>
      </c>
      <c r="RH6" t="n">
        <v>2023</v>
      </c>
      <c r="RI6" t="n">
        <v>2023</v>
      </c>
      <c r="RJ6" t="n">
        <v>2023</v>
      </c>
      <c r="RK6" t="n">
        <v>2023</v>
      </c>
      <c r="RL6" t="n">
        <v>2023</v>
      </c>
      <c r="RM6" t="n">
        <v>2023</v>
      </c>
      <c r="RN6" t="n">
        <v>2023</v>
      </c>
      <c r="RO6" t="n">
        <v>2023</v>
      </c>
      <c r="RP6" t="n">
        <v>2023</v>
      </c>
      <c r="RQ6" t="n">
        <v>2023</v>
      </c>
      <c r="RR6" t="n">
        <v>2023</v>
      </c>
      <c r="RS6" t="n">
        <v>2023</v>
      </c>
      <c r="RT6" t="n">
        <v>2023</v>
      </c>
      <c r="RU6" t="n">
        <v>2023</v>
      </c>
      <c r="RV6" t="n">
        <v>2023</v>
      </c>
      <c r="RW6" t="n">
        <v>2023</v>
      </c>
      <c r="RX6" t="n">
        <v>2023</v>
      </c>
      <c r="RY6" t="n">
        <v>2023</v>
      </c>
      <c r="RZ6" t="n">
        <v>2023</v>
      </c>
      <c r="SA6" t="n">
        <v>2023</v>
      </c>
      <c r="SB6" t="n">
        <v>2023</v>
      </c>
      <c r="SC6" t="n">
        <v>2023</v>
      </c>
      <c r="SD6" t="n">
        <v>2023</v>
      </c>
      <c r="SE6" t="n">
        <v>2023</v>
      </c>
      <c r="SF6" t="n">
        <v>2023</v>
      </c>
      <c r="SG6" t="n">
        <v>2023</v>
      </c>
      <c r="SH6" t="n">
        <v>2023</v>
      </c>
      <c r="SI6" t="n">
        <v>2023</v>
      </c>
      <c r="SJ6" t="n">
        <v>2023</v>
      </c>
      <c r="SK6" t="n">
        <v>2023</v>
      </c>
      <c r="SL6" t="n">
        <v>2023</v>
      </c>
      <c r="SM6" t="n">
        <v>2023</v>
      </c>
      <c r="SN6" t="n">
        <v>2023</v>
      </c>
      <c r="SO6" t="n">
        <v>2023</v>
      </c>
      <c r="SP6" t="n">
        <v>2023</v>
      </c>
      <c r="SQ6" t="n">
        <v>2023</v>
      </c>
      <c r="SR6" t="n">
        <v>2023</v>
      </c>
      <c r="SS6" t="n">
        <v>2023</v>
      </c>
      <c r="ST6" t="n">
        <v>2023</v>
      </c>
      <c r="SU6" t="n">
        <v>2023</v>
      </c>
      <c r="SV6" t="n">
        <v>2023</v>
      </c>
      <c r="SW6" t="n">
        <v>2023</v>
      </c>
      <c r="SX6" t="n">
        <v>2023</v>
      </c>
      <c r="SY6" t="n">
        <v>2023</v>
      </c>
      <c r="SZ6" t="n">
        <v>2023</v>
      </c>
      <c r="TA6" t="n">
        <v>2023</v>
      </c>
      <c r="TB6" t="n">
        <v>2023</v>
      </c>
      <c r="TC6" t="n">
        <v>2023</v>
      </c>
      <c r="TD6" t="n">
        <v>2023</v>
      </c>
      <c r="TE6" t="n">
        <v>2023</v>
      </c>
      <c r="TF6" t="n">
        <v>2023</v>
      </c>
      <c r="TG6" t="n">
        <v>2023</v>
      </c>
      <c r="TH6" t="n">
        <v>2023</v>
      </c>
      <c r="TI6" t="n">
        <v>2023</v>
      </c>
      <c r="TJ6" t="n">
        <v>2023</v>
      </c>
      <c r="TK6" t="n">
        <v>2023</v>
      </c>
      <c r="TL6" t="n">
        <v>2023</v>
      </c>
      <c r="TM6" t="n">
        <v>2023</v>
      </c>
      <c r="TN6" t="n">
        <v>2023</v>
      </c>
      <c r="TO6" t="n">
        <v>2023</v>
      </c>
      <c r="TP6" t="n">
        <v>2023</v>
      </c>
      <c r="TQ6" t="n">
        <v>2023</v>
      </c>
      <c r="TR6" t="n">
        <v>2023</v>
      </c>
      <c r="TS6" t="n">
        <v>2023</v>
      </c>
      <c r="TT6" t="n">
        <v>2023</v>
      </c>
      <c r="TU6" t="n">
        <v>2023</v>
      </c>
      <c r="TV6" t="n">
        <v>2023</v>
      </c>
      <c r="TW6" t="n">
        <v>2023</v>
      </c>
      <c r="TX6" t="n">
        <v>2023</v>
      </c>
      <c r="TY6" t="n">
        <v>2023</v>
      </c>
      <c r="TZ6" t="n">
        <v>2023</v>
      </c>
      <c r="UA6" t="n">
        <v>2023</v>
      </c>
      <c r="UB6" t="n">
        <v>2023</v>
      </c>
      <c r="UC6" t="n">
        <v>2023</v>
      </c>
      <c r="UD6" t="n">
        <v>2023</v>
      </c>
      <c r="UE6" t="n">
        <v>2023</v>
      </c>
      <c r="UF6" t="n">
        <v>2023</v>
      </c>
      <c r="UG6" t="n">
        <v>2023</v>
      </c>
      <c r="UH6" t="n">
        <v>2023</v>
      </c>
      <c r="UI6" t="n">
        <v>2023</v>
      </c>
      <c r="UJ6" t="n">
        <v>2023</v>
      </c>
      <c r="UK6" t="n">
        <v>2023</v>
      </c>
      <c r="UL6" t="n">
        <v>2023</v>
      </c>
      <c r="UM6" t="n">
        <v>2023</v>
      </c>
      <c r="UN6" t="n">
        <v>2023</v>
      </c>
      <c r="UO6" t="n">
        <v>2023</v>
      </c>
      <c r="UP6" t="n">
        <v>2023</v>
      </c>
      <c r="UQ6" t="n">
        <v>2023</v>
      </c>
      <c r="UR6" t="n">
        <v>2023</v>
      </c>
      <c r="US6" t="n">
        <v>2023</v>
      </c>
      <c r="UT6" t="n">
        <v>2023</v>
      </c>
      <c r="UU6" t="n">
        <v>2023</v>
      </c>
      <c r="UV6" t="n">
        <v>2023</v>
      </c>
      <c r="UW6" t="n">
        <v>2023</v>
      </c>
      <c r="UX6" t="n">
        <v>2023</v>
      </c>
      <c r="UY6" t="n">
        <v>2023</v>
      </c>
      <c r="UZ6" t="n">
        <v>2023</v>
      </c>
      <c r="VA6" t="n">
        <v>2023</v>
      </c>
      <c r="VB6" t="n">
        <v>2023</v>
      </c>
      <c r="VC6" t="n">
        <v>2023</v>
      </c>
      <c r="VD6" t="n">
        <v>2023</v>
      </c>
      <c r="VE6" t="n">
        <v>2023</v>
      </c>
      <c r="VF6" t="n">
        <v>2023</v>
      </c>
      <c r="VG6" t="n">
        <v>2023</v>
      </c>
      <c r="VH6" t="n">
        <v>2023</v>
      </c>
      <c r="VI6" t="n">
        <v>2023</v>
      </c>
      <c r="VJ6" t="n">
        <v>2023</v>
      </c>
      <c r="VK6" t="n">
        <v>2023</v>
      </c>
      <c r="VL6" t="n">
        <v>2023</v>
      </c>
      <c r="VM6" t="n">
        <v>2023</v>
      </c>
      <c r="VN6" t="n">
        <v>2023</v>
      </c>
      <c r="VO6" t="n">
        <v>2023</v>
      </c>
      <c r="VP6" t="n">
        <v>2023</v>
      </c>
      <c r="VQ6" t="n">
        <v>2023</v>
      </c>
      <c r="VR6" t="n">
        <v>2023</v>
      </c>
      <c r="VS6" t="n">
        <v>2023</v>
      </c>
      <c r="VT6" t="n">
        <v>2023</v>
      </c>
      <c r="VU6" t="n">
        <v>2023</v>
      </c>
      <c r="VV6" t="n">
        <v>2023</v>
      </c>
      <c r="VW6" t="n">
        <v>2023</v>
      </c>
      <c r="VX6" t="n">
        <v>2023</v>
      </c>
      <c r="VY6" t="n">
        <v>2023</v>
      </c>
      <c r="VZ6" t="n">
        <v>2023</v>
      </c>
      <c r="WA6" t="n">
        <v>2023</v>
      </c>
      <c r="WB6" t="n">
        <v>2023</v>
      </c>
      <c r="WC6" t="n">
        <v>2023</v>
      </c>
      <c r="WD6" t="n">
        <v>2023</v>
      </c>
      <c r="WE6" t="n">
        <v>2023</v>
      </c>
      <c r="WF6" t="n">
        <v>2023</v>
      </c>
      <c r="WG6" t="n">
        <v>2023</v>
      </c>
      <c r="WH6" t="n">
        <v>2023</v>
      </c>
      <c r="WI6" t="n">
        <v>2023</v>
      </c>
      <c r="WJ6" t="n">
        <v>2023</v>
      </c>
      <c r="WK6" t="n">
        <v>2023</v>
      </c>
      <c r="WL6" t="n">
        <v>2023</v>
      </c>
      <c r="WM6" t="n">
        <v>2023</v>
      </c>
      <c r="WN6" t="n">
        <v>2023</v>
      </c>
      <c r="WO6" t="n">
        <v>2023</v>
      </c>
      <c r="WP6" t="n">
        <v>2023</v>
      </c>
      <c r="WQ6" t="n">
        <v>2023</v>
      </c>
      <c r="WR6" t="n">
        <v>2023</v>
      </c>
      <c r="WS6" t="n">
        <v>2023</v>
      </c>
      <c r="WT6" t="n">
        <v>2023</v>
      </c>
      <c r="WU6" t="n">
        <v>2023</v>
      </c>
      <c r="WV6" t="n">
        <v>2023</v>
      </c>
      <c r="WW6" t="n">
        <v>2023</v>
      </c>
      <c r="WX6" t="n">
        <v>2023</v>
      </c>
      <c r="WY6" t="n">
        <v>2023</v>
      </c>
      <c r="WZ6" t="n">
        <v>2023</v>
      </c>
      <c r="XA6" t="n">
        <v>2023</v>
      </c>
      <c r="XB6" t="n">
        <v>2023</v>
      </c>
      <c r="XC6" t="n">
        <v>2023</v>
      </c>
      <c r="XD6" t="n">
        <v>2023</v>
      </c>
      <c r="XE6" t="n">
        <v>2023</v>
      </c>
      <c r="XF6" t="n">
        <v>2023</v>
      </c>
      <c r="XG6" t="n">
        <v>2023</v>
      </c>
      <c r="XH6" t="n">
        <v>2023</v>
      </c>
      <c r="XI6" t="n">
        <v>2023</v>
      </c>
      <c r="XJ6" t="n">
        <v>2023</v>
      </c>
      <c r="XK6" t="n">
        <v>2023</v>
      </c>
      <c r="XL6" t="n">
        <v>2023</v>
      </c>
      <c r="XM6" t="n">
        <v>2023</v>
      </c>
      <c r="XN6" t="n">
        <v>2023</v>
      </c>
      <c r="XO6" t="n">
        <v>2023</v>
      </c>
      <c r="XP6" t="n">
        <v>2023</v>
      </c>
      <c r="XQ6" t="n">
        <v>2023</v>
      </c>
      <c r="XR6" t="n">
        <v>2023</v>
      </c>
      <c r="XS6" t="n">
        <v>2023</v>
      </c>
      <c r="XT6" t="n">
        <v>2023</v>
      </c>
      <c r="XU6" t="n">
        <v>2023</v>
      </c>
      <c r="XV6" t="n">
        <v>2023</v>
      </c>
      <c r="XW6" t="n">
        <v>2023</v>
      </c>
      <c r="XX6" t="n">
        <v>2023</v>
      </c>
      <c r="XY6" t="n">
        <v>2023</v>
      </c>
      <c r="XZ6" t="n">
        <v>2023</v>
      </c>
      <c r="YA6" t="n">
        <v>2023</v>
      </c>
      <c r="YB6" t="n">
        <v>2023</v>
      </c>
      <c r="YC6" t="n">
        <v>2023</v>
      </c>
      <c r="YD6" t="n">
        <v>2023</v>
      </c>
      <c r="YE6" t="n">
        <v>2023</v>
      </c>
      <c r="YF6" t="n">
        <v>2023</v>
      </c>
      <c r="YG6" t="n">
        <v>2023</v>
      </c>
      <c r="YH6" t="n">
        <v>2023</v>
      </c>
      <c r="YI6" t="n">
        <v>2023</v>
      </c>
      <c r="YJ6" t="n">
        <v>2023</v>
      </c>
      <c r="YK6" t="n">
        <v>2023</v>
      </c>
      <c r="YL6" t="n">
        <v>2023</v>
      </c>
      <c r="YM6" t="n">
        <v>2023</v>
      </c>
      <c r="YN6" t="n">
        <v>2023</v>
      </c>
      <c r="YO6" t="n">
        <v>2023</v>
      </c>
      <c r="YP6" t="n">
        <v>2023</v>
      </c>
      <c r="YQ6" t="n">
        <v>2023</v>
      </c>
      <c r="YR6" t="n">
        <v>2023</v>
      </c>
      <c r="YS6" t="n">
        <v>2023</v>
      </c>
      <c r="YT6" t="n">
        <v>2023</v>
      </c>
      <c r="YU6" t="n">
        <v>2023</v>
      </c>
      <c r="YV6" t="n">
        <v>2023</v>
      </c>
      <c r="YW6" t="n">
        <v>2023</v>
      </c>
      <c r="YX6" t="n">
        <v>2023</v>
      </c>
      <c r="YY6" t="n">
        <v>2023</v>
      </c>
      <c r="YZ6" t="n">
        <v>2023</v>
      </c>
      <c r="ZA6" t="n">
        <v>2023</v>
      </c>
      <c r="ZB6" t="n">
        <v>2023</v>
      </c>
      <c r="ZC6" t="n">
        <v>2023</v>
      </c>
      <c r="ZD6" t="n">
        <v>2023</v>
      </c>
      <c r="ZE6" t="n">
        <v>2023</v>
      </c>
      <c r="ZF6" t="n">
        <v>2023</v>
      </c>
      <c r="ZG6" t="n">
        <v>2023</v>
      </c>
      <c r="ZH6" t="n">
        <v>2023</v>
      </c>
      <c r="ZI6" t="n">
        <v>2023</v>
      </c>
      <c r="ZJ6" t="n">
        <v>2023</v>
      </c>
      <c r="ZK6" t="n">
        <v>2023</v>
      </c>
      <c r="ZL6" t="n">
        <v>2023</v>
      </c>
      <c r="ZM6" t="n">
        <v>2023</v>
      </c>
      <c r="ZN6" t="n">
        <v>2023</v>
      </c>
      <c r="ZO6" t="n">
        <v>2023</v>
      </c>
      <c r="ZP6" t="n">
        <v>2023</v>
      </c>
      <c r="ZQ6" t="n">
        <v>2023</v>
      </c>
      <c r="ZR6" t="n">
        <v>2023</v>
      </c>
      <c r="ZS6" t="n">
        <v>2023</v>
      </c>
      <c r="ZT6" t="n">
        <v>2023</v>
      </c>
      <c r="ZU6" t="n">
        <v>2023</v>
      </c>
      <c r="ZV6" t="n">
        <v>2023</v>
      </c>
      <c r="ZW6" t="n">
        <v>2023</v>
      </c>
      <c r="ZX6" t="n">
        <v>2023</v>
      </c>
      <c r="ZY6" t="n">
        <v>2023</v>
      </c>
      <c r="ZZ6" t="n">
        <v>2023</v>
      </c>
      <c r="AAA6" t="n">
        <v>2023</v>
      </c>
      <c r="AAB6" t="n">
        <v>2023</v>
      </c>
      <c r="AAC6" t="n">
        <v>2023</v>
      </c>
      <c r="AAD6" t="n">
        <v>2023</v>
      </c>
      <c r="AAE6" t="n">
        <v>2023</v>
      </c>
      <c r="AAF6" t="n">
        <v>2023</v>
      </c>
      <c r="AAG6" t="n">
        <v>2023</v>
      </c>
      <c r="AAH6" t="n">
        <v>2023</v>
      </c>
      <c r="AAI6" t="n">
        <v>2023</v>
      </c>
      <c r="AAJ6" t="n">
        <v>2023</v>
      </c>
      <c r="AAK6" t="n">
        <v>2023</v>
      </c>
      <c r="AAL6" t="n">
        <v>2023</v>
      </c>
      <c r="AAM6" t="n">
        <v>2023</v>
      </c>
      <c r="AAN6" t="n">
        <v>2023</v>
      </c>
      <c r="AAO6" t="n">
        <v>2023</v>
      </c>
      <c r="AAP6" t="n">
        <v>2023</v>
      </c>
      <c r="AAQ6" t="n">
        <v>2023</v>
      </c>
      <c r="AAR6" t="n">
        <v>2023</v>
      </c>
      <c r="AAS6" t="n">
        <v>2023</v>
      </c>
      <c r="AAT6" t="n">
        <v>2023</v>
      </c>
      <c r="AAU6" t="n">
        <v>2023</v>
      </c>
      <c r="AAV6" t="n">
        <v>2023</v>
      </c>
      <c r="AAW6" t="n">
        <v>2023</v>
      </c>
      <c r="AAX6" t="n">
        <v>2023</v>
      </c>
      <c r="AAY6" t="n">
        <v>2023</v>
      </c>
      <c r="AAZ6" t="n">
        <v>2023</v>
      </c>
      <c r="ABA6" t="n">
        <v>2023</v>
      </c>
      <c r="ABB6" t="n">
        <v>2023</v>
      </c>
      <c r="ABC6" t="n">
        <v>2023</v>
      </c>
      <c r="ABD6" t="n">
        <v>2023</v>
      </c>
      <c r="ABE6" t="n">
        <v>2023</v>
      </c>
      <c r="ABF6" t="n">
        <v>2023</v>
      </c>
      <c r="ABG6" t="n">
        <v>2023</v>
      </c>
      <c r="ABH6" t="n">
        <v>2023</v>
      </c>
      <c r="ABI6" t="n">
        <v>2023</v>
      </c>
      <c r="ABJ6" t="n">
        <v>2023</v>
      </c>
      <c r="ABK6" t="n">
        <v>2023</v>
      </c>
      <c r="ABL6" t="n">
        <v>2023</v>
      </c>
      <c r="ABM6" t="n">
        <v>2023</v>
      </c>
      <c r="ABN6" t="n">
        <v>2023</v>
      </c>
      <c r="ABO6" t="n">
        <v>2023</v>
      </c>
      <c r="ABP6" t="n">
        <v>2023</v>
      </c>
      <c r="ABQ6" t="n">
        <v>2023</v>
      </c>
      <c r="ABR6" t="n">
        <v>2022</v>
      </c>
      <c r="ABS6" t="n">
        <v>2022</v>
      </c>
      <c r="ABT6" t="n">
        <v>2022</v>
      </c>
      <c r="ABU6" t="n">
        <v>2022</v>
      </c>
      <c r="ABV6" t="n">
        <v>2022</v>
      </c>
      <c r="ABW6" t="n">
        <v>2022</v>
      </c>
      <c r="ABX6" t="n">
        <v>2022</v>
      </c>
      <c r="ABY6" t="n">
        <v>2022</v>
      </c>
      <c r="ABZ6" t="n">
        <v>2022</v>
      </c>
      <c r="ACA6" t="n">
        <v>2022</v>
      </c>
      <c r="ACB6" t="n">
        <v>2022</v>
      </c>
      <c r="ACC6" t="n">
        <v>2022</v>
      </c>
      <c r="ACD6" t="n">
        <v>2022</v>
      </c>
      <c r="ACE6" t="n">
        <v>2022</v>
      </c>
      <c r="ACF6" t="n">
        <v>2022</v>
      </c>
      <c r="ACG6" t="n">
        <v>2022</v>
      </c>
      <c r="ACH6" t="n">
        <v>2022</v>
      </c>
      <c r="ACI6" t="n">
        <v>2022</v>
      </c>
      <c r="ACJ6" t="n">
        <v>2022</v>
      </c>
      <c r="ACK6" t="n">
        <v>2022</v>
      </c>
      <c r="ACL6" t="n">
        <v>2022</v>
      </c>
      <c r="ACM6" t="n">
        <v>2022</v>
      </c>
      <c r="ACN6" t="n">
        <v>2022</v>
      </c>
      <c r="ACO6" t="n">
        <v>2022</v>
      </c>
      <c r="ACP6" t="n">
        <v>2022</v>
      </c>
      <c r="ACQ6" t="n">
        <v>2022</v>
      </c>
      <c r="ACR6" t="n">
        <v>2022</v>
      </c>
      <c r="ACS6" t="n">
        <v>2022</v>
      </c>
      <c r="ACT6" t="n">
        <v>2022</v>
      </c>
      <c r="ACU6" t="n">
        <v>2022</v>
      </c>
      <c r="ACV6" t="n">
        <v>2022</v>
      </c>
      <c r="ACW6" t="n">
        <v>2022</v>
      </c>
      <c r="ACX6" t="n">
        <v>2022</v>
      </c>
      <c r="ACY6" t="n">
        <v>2022</v>
      </c>
      <c r="ACZ6" t="n">
        <v>2022</v>
      </c>
      <c r="ADA6" t="n">
        <v>2022</v>
      </c>
      <c r="ADB6" t="n">
        <v>2022</v>
      </c>
      <c r="ADC6" t="n">
        <v>2022</v>
      </c>
      <c r="ADD6" t="n">
        <v>2022</v>
      </c>
      <c r="ADE6" t="n">
        <v>2022</v>
      </c>
      <c r="ADF6" t="n">
        <v>2022</v>
      </c>
      <c r="ADG6" t="n">
        <v>2022</v>
      </c>
      <c r="ADH6" t="n">
        <v>2022</v>
      </c>
      <c r="ADI6" t="n">
        <v>2022</v>
      </c>
      <c r="ADJ6" t="n">
        <v>2022</v>
      </c>
      <c r="ADK6" t="n">
        <v>2022</v>
      </c>
      <c r="ADL6" t="n">
        <v>2022</v>
      </c>
      <c r="ADM6" t="n">
        <v>2022</v>
      </c>
      <c r="ADN6" t="n">
        <v>2022</v>
      </c>
      <c r="ADO6" t="n">
        <v>2022</v>
      </c>
      <c r="ADP6" t="n">
        <v>2022</v>
      </c>
      <c r="ADQ6" t="n">
        <v>2022</v>
      </c>
      <c r="ADR6" t="n">
        <v>2022</v>
      </c>
      <c r="ADS6" t="n">
        <v>2022</v>
      </c>
      <c r="ADT6" t="n">
        <v>2022</v>
      </c>
      <c r="ADU6" t="n">
        <v>2022</v>
      </c>
      <c r="ADV6" t="n">
        <v>2022</v>
      </c>
      <c r="ADW6" t="n">
        <v>2022</v>
      </c>
      <c r="ADX6" t="n">
        <v>2022</v>
      </c>
      <c r="ADY6" t="n">
        <v>2022</v>
      </c>
      <c r="ADZ6" t="n">
        <v>2022</v>
      </c>
      <c r="AEA6" t="n">
        <v>2022</v>
      </c>
      <c r="AEB6" t="n">
        <v>2022</v>
      </c>
      <c r="AEC6" t="n">
        <v>2022</v>
      </c>
      <c r="AED6" t="n">
        <v>2022</v>
      </c>
      <c r="AEE6" t="n">
        <v>2022</v>
      </c>
      <c r="AEF6" t="n">
        <v>2022</v>
      </c>
      <c r="AEG6" t="n">
        <v>2022</v>
      </c>
      <c r="AEH6" t="n">
        <v>2022</v>
      </c>
      <c r="AEI6" t="n">
        <v>2022</v>
      </c>
      <c r="AEJ6" t="n">
        <v>2022</v>
      </c>
      <c r="AEK6" t="n">
        <v>2022</v>
      </c>
      <c r="AEL6" t="n">
        <v>2022</v>
      </c>
      <c r="AEM6" t="n">
        <v>2022</v>
      </c>
      <c r="AEN6" t="n">
        <v>2022</v>
      </c>
      <c r="AEO6" t="n">
        <v>2022</v>
      </c>
      <c r="AEP6" t="n">
        <v>2022</v>
      </c>
      <c r="AEQ6" t="n">
        <v>2022</v>
      </c>
      <c r="AER6" t="n">
        <v>2022</v>
      </c>
      <c r="AES6" t="n">
        <v>2022</v>
      </c>
      <c r="AET6" t="n">
        <v>2022</v>
      </c>
      <c r="AEU6" t="n">
        <v>2022</v>
      </c>
      <c r="AEV6" t="n">
        <v>2022</v>
      </c>
      <c r="AEW6" t="n">
        <v>2022</v>
      </c>
      <c r="AEX6" t="n">
        <v>2022</v>
      </c>
      <c r="AEY6" t="n">
        <v>2022</v>
      </c>
      <c r="AEZ6" t="n">
        <v>2022</v>
      </c>
      <c r="AFA6" t="n">
        <v>2022</v>
      </c>
      <c r="AFB6" t="n">
        <v>2022</v>
      </c>
      <c r="AFC6" t="n">
        <v>2022</v>
      </c>
      <c r="AFD6" t="n">
        <v>2022</v>
      </c>
      <c r="AFE6" t="n">
        <v>2022</v>
      </c>
      <c r="AFF6" t="n">
        <v>2022</v>
      </c>
      <c r="AFG6" t="n">
        <v>2022</v>
      </c>
      <c r="AFH6" t="n">
        <v>2022</v>
      </c>
      <c r="AFI6" t="n">
        <v>2022</v>
      </c>
      <c r="AFJ6" t="n">
        <v>2022</v>
      </c>
      <c r="AFK6" t="n">
        <v>2022</v>
      </c>
      <c r="AFL6" t="n">
        <v>2022</v>
      </c>
      <c r="AFM6" t="n">
        <v>2022</v>
      </c>
      <c r="AFN6" t="n">
        <v>2022</v>
      </c>
      <c r="AFO6" t="n">
        <v>2022</v>
      </c>
      <c r="AFP6" t="n">
        <v>2022</v>
      </c>
      <c r="AFQ6" t="n">
        <v>2022</v>
      </c>
      <c r="AFR6" t="n">
        <v>2022</v>
      </c>
      <c r="AFS6" t="n">
        <v>2022</v>
      </c>
      <c r="AFT6" t="n">
        <v>2022</v>
      </c>
      <c r="AFU6" t="n">
        <v>2022</v>
      </c>
      <c r="AFV6" t="n">
        <v>2022</v>
      </c>
      <c r="AFW6" t="n">
        <v>2022</v>
      </c>
      <c r="AFX6" t="n">
        <v>2022</v>
      </c>
      <c r="AFY6" t="n">
        <v>2022</v>
      </c>
      <c r="AFZ6" t="n">
        <v>2022</v>
      </c>
      <c r="AGA6" t="n">
        <v>2022</v>
      </c>
      <c r="AGB6" t="n">
        <v>2022</v>
      </c>
      <c r="AGC6" t="n">
        <v>2022</v>
      </c>
      <c r="AGD6" t="n">
        <v>2022</v>
      </c>
      <c r="AGE6" t="n">
        <v>2022</v>
      </c>
      <c r="AGF6" t="n">
        <v>2022</v>
      </c>
      <c r="AGG6" t="n">
        <v>2022</v>
      </c>
      <c r="AGH6" t="n">
        <v>2022</v>
      </c>
      <c r="AGI6" t="n">
        <v>2022</v>
      </c>
      <c r="AGJ6" t="n">
        <v>2022</v>
      </c>
      <c r="AGK6" t="n">
        <v>2022</v>
      </c>
      <c r="AGL6" t="n">
        <v>2022</v>
      </c>
      <c r="AGM6" t="n">
        <v>2022</v>
      </c>
      <c r="AGN6" t="n">
        <v>2022</v>
      </c>
      <c r="AGO6" t="n">
        <v>2022</v>
      </c>
      <c r="AGP6" t="n">
        <v>2022</v>
      </c>
      <c r="AGQ6" t="n">
        <v>2022</v>
      </c>
      <c r="AGR6" t="n">
        <v>2022</v>
      </c>
      <c r="AGS6" t="n">
        <v>2022</v>
      </c>
      <c r="AGT6" t="n">
        <v>2022</v>
      </c>
      <c r="AGU6" t="n">
        <v>2022</v>
      </c>
      <c r="AGV6" t="n">
        <v>2022</v>
      </c>
      <c r="AGW6" t="n">
        <v>2022</v>
      </c>
      <c r="AGX6" t="n">
        <v>2022</v>
      </c>
      <c r="AGY6" t="n">
        <v>2022</v>
      </c>
      <c r="AGZ6" t="n">
        <v>2022</v>
      </c>
      <c r="AHA6" t="n">
        <v>2022</v>
      </c>
      <c r="AHB6" t="n">
        <v>2022</v>
      </c>
      <c r="AHC6" t="n">
        <v>2022</v>
      </c>
      <c r="AHD6" t="n">
        <v>2022</v>
      </c>
      <c r="AHE6" t="n">
        <v>2022</v>
      </c>
      <c r="AHF6" t="n">
        <v>2022</v>
      </c>
      <c r="AHG6" t="n">
        <v>2022</v>
      </c>
      <c r="AHH6" t="n">
        <v>2022</v>
      </c>
      <c r="AHI6" t="n">
        <v>2022</v>
      </c>
      <c r="AHJ6" t="n">
        <v>2022</v>
      </c>
      <c r="AHK6" t="n">
        <v>2022</v>
      </c>
      <c r="AHL6" t="n">
        <v>2022</v>
      </c>
      <c r="AHM6" t="n">
        <v>2022</v>
      </c>
      <c r="AHN6" t="n">
        <v>2022</v>
      </c>
      <c r="AHO6" t="n">
        <v>2022</v>
      </c>
      <c r="AHP6" t="n">
        <v>2022</v>
      </c>
      <c r="AHQ6" t="n">
        <v>2022</v>
      </c>
      <c r="AHR6" t="n">
        <v>2022</v>
      </c>
      <c r="AHS6" t="n">
        <v>2022</v>
      </c>
      <c r="AHT6" t="n">
        <v>2022</v>
      </c>
      <c r="AHU6" t="n">
        <v>2022</v>
      </c>
      <c r="AHV6" t="n">
        <v>2022</v>
      </c>
      <c r="AHW6" t="n">
        <v>2022</v>
      </c>
      <c r="AHX6" t="n">
        <v>2022</v>
      </c>
      <c r="AHY6" t="n">
        <v>2022</v>
      </c>
      <c r="AHZ6" t="n">
        <v>2022</v>
      </c>
      <c r="AIA6" t="n">
        <v>2022</v>
      </c>
      <c r="AIB6" t="n">
        <v>2022</v>
      </c>
      <c r="AIC6" t="n">
        <v>2022</v>
      </c>
      <c r="AID6" t="n">
        <v>2022</v>
      </c>
      <c r="AIE6" t="n">
        <v>2022</v>
      </c>
      <c r="AIF6" t="n">
        <v>2022</v>
      </c>
      <c r="AIG6" t="n">
        <v>2022</v>
      </c>
      <c r="AIH6" t="n">
        <v>2022</v>
      </c>
      <c r="AII6" t="n">
        <v>2022</v>
      </c>
      <c r="AIJ6" t="n">
        <v>2022</v>
      </c>
      <c r="AIK6" t="n">
        <v>2022</v>
      </c>
      <c r="AIL6" t="n">
        <v>2022</v>
      </c>
      <c r="AIM6" t="n">
        <v>2022</v>
      </c>
      <c r="AIN6" t="n">
        <v>2022</v>
      </c>
      <c r="AIO6" t="n">
        <v>2022</v>
      </c>
      <c r="AIP6" t="n">
        <v>2022</v>
      </c>
      <c r="AIQ6" t="n">
        <v>2022</v>
      </c>
      <c r="AIR6" t="n">
        <v>2022</v>
      </c>
      <c r="AIS6" t="n">
        <v>2022</v>
      </c>
      <c r="AIT6" t="n">
        <v>2022</v>
      </c>
      <c r="AIU6" t="n">
        <v>2022</v>
      </c>
      <c r="AIV6" t="n">
        <v>2022</v>
      </c>
      <c r="AIW6" t="n">
        <v>2022</v>
      </c>
      <c r="AIX6" t="n">
        <v>2022</v>
      </c>
      <c r="AIY6" t="n">
        <v>2022</v>
      </c>
      <c r="AIZ6" t="n">
        <v>2022</v>
      </c>
      <c r="AJA6" t="n">
        <v>2022</v>
      </c>
      <c r="AJB6" t="n">
        <v>2022</v>
      </c>
      <c r="AJC6" t="n">
        <v>2022</v>
      </c>
      <c r="AJD6" t="n">
        <v>2022</v>
      </c>
      <c r="AJE6" t="n">
        <v>2022</v>
      </c>
      <c r="AJF6" t="n">
        <v>2022</v>
      </c>
      <c r="AJG6" t="n">
        <v>2022</v>
      </c>
      <c r="AJH6" t="n">
        <v>2022</v>
      </c>
      <c r="AJI6" t="n">
        <v>2022</v>
      </c>
      <c r="AJJ6" t="n">
        <v>2022</v>
      </c>
      <c r="AJK6" t="n">
        <v>2022</v>
      </c>
      <c r="AJL6" t="n">
        <v>2022</v>
      </c>
      <c r="AJM6" t="n">
        <v>2022</v>
      </c>
      <c r="AJN6" t="n">
        <v>2022</v>
      </c>
      <c r="AJO6" t="n">
        <v>2022</v>
      </c>
      <c r="AJP6" t="n">
        <v>2022</v>
      </c>
      <c r="AJQ6" t="n">
        <v>2022</v>
      </c>
      <c r="AJR6" t="n">
        <v>2022</v>
      </c>
      <c r="AJS6" t="n">
        <v>2022</v>
      </c>
      <c r="AJT6" t="n">
        <v>2022</v>
      </c>
      <c r="AJU6" t="n">
        <v>2022</v>
      </c>
      <c r="AJV6" t="n">
        <v>2022</v>
      </c>
      <c r="AJW6" t="n">
        <v>2022</v>
      </c>
      <c r="AJX6" t="n">
        <v>2022</v>
      </c>
      <c r="AJY6" t="n">
        <v>2022</v>
      </c>
      <c r="AJZ6" t="n">
        <v>2022</v>
      </c>
      <c r="AKA6" t="n">
        <v>2022</v>
      </c>
      <c r="AKB6" t="n">
        <v>2022</v>
      </c>
      <c r="AKC6" t="n">
        <v>2022</v>
      </c>
      <c r="AKD6" t="n">
        <v>2022</v>
      </c>
      <c r="AKE6" t="n">
        <v>2022</v>
      </c>
      <c r="AKF6" t="n">
        <v>2022</v>
      </c>
      <c r="AKG6" t="n">
        <v>2022</v>
      </c>
      <c r="AKH6" t="n">
        <v>2022</v>
      </c>
      <c r="AKI6" t="n">
        <v>2022</v>
      </c>
      <c r="AKJ6" t="n">
        <v>2022</v>
      </c>
      <c r="AKK6" t="n">
        <v>2022</v>
      </c>
      <c r="AKL6" t="n">
        <v>2022</v>
      </c>
      <c r="AKM6" t="n">
        <v>2022</v>
      </c>
      <c r="AKN6" t="n">
        <v>2022</v>
      </c>
      <c r="AKO6" t="n">
        <v>2022</v>
      </c>
      <c r="AKP6" t="n">
        <v>2022</v>
      </c>
      <c r="AKQ6" t="n">
        <v>2022</v>
      </c>
      <c r="AKR6" t="n">
        <v>2022</v>
      </c>
      <c r="AKS6" t="n">
        <v>2022</v>
      </c>
      <c r="AKT6" t="n">
        <v>2022</v>
      </c>
      <c r="AKU6" t="n">
        <v>2022</v>
      </c>
      <c r="AKV6" t="n">
        <v>2022</v>
      </c>
      <c r="AKW6" t="n">
        <v>2022</v>
      </c>
      <c r="AKX6" t="n">
        <v>2022</v>
      </c>
      <c r="AKY6" t="n">
        <v>2022</v>
      </c>
      <c r="AKZ6" t="n">
        <v>2022</v>
      </c>
      <c r="ALA6" t="n">
        <v>2022</v>
      </c>
      <c r="ALB6" t="n">
        <v>2022</v>
      </c>
      <c r="ALC6" t="n">
        <v>2022</v>
      </c>
      <c r="ALD6" t="n">
        <v>2022</v>
      </c>
      <c r="ALE6" t="n">
        <v>2022</v>
      </c>
      <c r="ALF6" t="n">
        <v>2022</v>
      </c>
      <c r="ALG6" t="n">
        <v>2022</v>
      </c>
      <c r="ALH6" t="n">
        <v>2022</v>
      </c>
      <c r="ALI6" t="n">
        <v>2022</v>
      </c>
      <c r="ALJ6" t="n">
        <v>2022</v>
      </c>
      <c r="ALK6" t="n">
        <v>2022</v>
      </c>
      <c r="ALL6" t="n">
        <v>2022</v>
      </c>
      <c r="ALM6" t="n">
        <v>2022</v>
      </c>
      <c r="ALN6" t="n">
        <v>2022</v>
      </c>
      <c r="ALO6" t="n">
        <v>2022</v>
      </c>
      <c r="ALP6" t="n">
        <v>2022</v>
      </c>
      <c r="ALQ6" t="n">
        <v>2022</v>
      </c>
      <c r="ALR6" t="n">
        <v>2022</v>
      </c>
      <c r="ALS6" t="n">
        <v>2022</v>
      </c>
      <c r="ALT6" t="n">
        <v>2022</v>
      </c>
      <c r="ALU6" t="n">
        <v>2022</v>
      </c>
      <c r="ALV6" t="n">
        <v>2022</v>
      </c>
      <c r="ALW6" t="n">
        <v>2022</v>
      </c>
      <c r="ALX6" t="n">
        <v>2022</v>
      </c>
      <c r="ALY6" t="n">
        <v>2022</v>
      </c>
      <c r="ALZ6" t="n">
        <v>2022</v>
      </c>
      <c r="AMA6" t="n">
        <v>2022</v>
      </c>
      <c r="AMB6" t="n">
        <v>2022</v>
      </c>
      <c r="AMC6" t="n">
        <v>2022</v>
      </c>
      <c r="AMD6" t="n">
        <v>2022</v>
      </c>
      <c r="AME6" t="n">
        <v>2022</v>
      </c>
      <c r="AMF6" t="n">
        <v>2022</v>
      </c>
      <c r="AMG6" t="n">
        <v>2022</v>
      </c>
      <c r="AMH6" t="n">
        <v>2022</v>
      </c>
      <c r="AMI6" t="n">
        <v>2022</v>
      </c>
      <c r="AMJ6" t="n">
        <v>2022</v>
      </c>
      <c r="AMK6" t="n">
        <v>2022</v>
      </c>
      <c r="AML6" t="n">
        <v>2022</v>
      </c>
      <c r="AMM6" t="n">
        <v>2022</v>
      </c>
      <c r="AMN6" t="n">
        <v>2022</v>
      </c>
      <c r="AMO6" t="n">
        <v>2022</v>
      </c>
      <c r="AMP6" t="n">
        <v>2022</v>
      </c>
      <c r="AMQ6" t="n">
        <v>2022</v>
      </c>
      <c r="AMR6" t="n">
        <v>2022</v>
      </c>
      <c r="AMS6" t="n">
        <v>2022</v>
      </c>
      <c r="AMT6" t="n">
        <v>2022</v>
      </c>
      <c r="AMU6" t="n">
        <v>2022</v>
      </c>
      <c r="AMV6" t="n">
        <v>2022</v>
      </c>
      <c r="AMW6" t="n">
        <v>2022</v>
      </c>
      <c r="AMX6" t="n">
        <v>2022</v>
      </c>
      <c r="AMY6" t="n">
        <v>2022</v>
      </c>
      <c r="AMZ6" t="n">
        <v>2022</v>
      </c>
      <c r="ANA6" t="n">
        <v>2022</v>
      </c>
      <c r="ANB6" t="n">
        <v>2022</v>
      </c>
      <c r="ANC6" t="n">
        <v>2022</v>
      </c>
      <c r="AND6" t="n">
        <v>2022</v>
      </c>
      <c r="ANE6" t="n">
        <v>2022</v>
      </c>
      <c r="ANF6" t="n">
        <v>2022</v>
      </c>
      <c r="ANG6" t="n">
        <v>2022</v>
      </c>
      <c r="ANH6" t="n">
        <v>2022</v>
      </c>
      <c r="ANI6" t="n">
        <v>2022</v>
      </c>
      <c r="ANJ6" t="n">
        <v>2022</v>
      </c>
      <c r="ANK6" t="n">
        <v>2022</v>
      </c>
      <c r="ANL6" t="n">
        <v>2022</v>
      </c>
      <c r="ANM6" t="n">
        <v>2022</v>
      </c>
      <c r="ANN6" t="n">
        <v>2022</v>
      </c>
      <c r="ANO6" t="n">
        <v>2022</v>
      </c>
      <c r="ANP6" t="n">
        <v>2022</v>
      </c>
      <c r="ANQ6" t="n">
        <v>2022</v>
      </c>
      <c r="ANR6" t="n">
        <v>2022</v>
      </c>
      <c r="ANS6" t="n">
        <v>2022</v>
      </c>
      <c r="ANT6" t="n">
        <v>2022</v>
      </c>
      <c r="ANU6" t="n">
        <v>2022</v>
      </c>
      <c r="ANV6" t="n">
        <v>2022</v>
      </c>
      <c r="ANW6" t="n">
        <v>2022</v>
      </c>
      <c r="ANX6" t="n">
        <v>2022</v>
      </c>
      <c r="ANY6" t="n">
        <v>2022</v>
      </c>
      <c r="ANZ6" t="n">
        <v>2022</v>
      </c>
      <c r="AOA6" t="n">
        <v>2022</v>
      </c>
      <c r="AOB6" t="n">
        <v>2022</v>
      </c>
      <c r="AOC6" t="n">
        <v>2022</v>
      </c>
      <c r="AOD6" t="n">
        <v>2022</v>
      </c>
      <c r="AOE6" t="n">
        <v>2022</v>
      </c>
      <c r="AOF6" t="n">
        <v>2022</v>
      </c>
      <c r="AOG6" t="n">
        <v>2022</v>
      </c>
      <c r="AOH6" t="n">
        <v>2022</v>
      </c>
      <c r="AOI6" t="n">
        <v>2022</v>
      </c>
      <c r="AOJ6" t="n">
        <v>2022</v>
      </c>
      <c r="AOK6" t="n">
        <v>2022</v>
      </c>
      <c r="AOL6" t="n">
        <v>2022</v>
      </c>
      <c r="AOM6" t="n">
        <v>2022</v>
      </c>
      <c r="AON6" t="n">
        <v>2022</v>
      </c>
      <c r="AOO6" t="n">
        <v>2022</v>
      </c>
      <c r="AOP6" t="n">
        <v>2022</v>
      </c>
      <c r="AOQ6" t="n">
        <v>2022</v>
      </c>
      <c r="AOR6" t="n">
        <v>2022</v>
      </c>
      <c r="AOS6" t="n">
        <v>2022</v>
      </c>
      <c r="AOT6" t="n">
        <v>2022</v>
      </c>
      <c r="AOU6" t="n">
        <v>2022</v>
      </c>
      <c r="AOV6" t="n">
        <v>2022</v>
      </c>
      <c r="AOW6" t="n">
        <v>2022</v>
      </c>
      <c r="AOX6" t="n">
        <v>2022</v>
      </c>
      <c r="AOY6" t="n">
        <v>2022</v>
      </c>
      <c r="AOZ6" t="n">
        <v>2022</v>
      </c>
      <c r="APA6" t="n">
        <v>2022</v>
      </c>
      <c r="APB6" t="n">
        <v>2022</v>
      </c>
      <c r="APC6" t="n">
        <v>2022</v>
      </c>
      <c r="APD6" t="n">
        <v>2022</v>
      </c>
      <c r="APE6" t="n">
        <v>2022</v>
      </c>
      <c r="APF6" t="n">
        <v>2022</v>
      </c>
      <c r="APG6" t="n">
        <v>2022</v>
      </c>
      <c r="APH6" t="n">
        <v>2022</v>
      </c>
      <c r="API6" t="n">
        <v>2022</v>
      </c>
      <c r="APJ6" t="n">
        <v>2022</v>
      </c>
      <c r="APK6" t="n">
        <v>2022</v>
      </c>
      <c r="APL6" t="n">
        <v>2022</v>
      </c>
      <c r="APM6" t="n">
        <v>2022</v>
      </c>
      <c r="APN6" t="n">
        <v>2022</v>
      </c>
      <c r="APO6" t="n">
        <v>2022</v>
      </c>
      <c r="APP6" t="n">
        <v>2022</v>
      </c>
      <c r="APQ6" t="n">
        <v>2022</v>
      </c>
      <c r="APR6" t="n">
        <v>2022</v>
      </c>
      <c r="APS6" t="n">
        <v>2022</v>
      </c>
      <c r="APT6" t="n">
        <v>2022</v>
      </c>
      <c r="APU6" t="n">
        <v>2022</v>
      </c>
      <c r="APV6" t="n">
        <v>2022</v>
      </c>
      <c r="APW6" t="n">
        <v>2022</v>
      </c>
      <c r="APX6" t="n">
        <v>2022</v>
      </c>
      <c r="APY6" t="n">
        <v>2022</v>
      </c>
      <c r="APZ6" t="n">
        <v>2022</v>
      </c>
      <c r="AQA6" t="n">
        <v>2022</v>
      </c>
      <c r="AQB6" t="n">
        <v>2022</v>
      </c>
      <c r="AQC6" t="n">
        <v>2022</v>
      </c>
      <c r="AQD6" t="n">
        <v>2022</v>
      </c>
      <c r="AQE6" t="n">
        <v>2022</v>
      </c>
      <c r="AQF6" t="n">
        <v>2022</v>
      </c>
      <c r="AQG6" t="n">
        <v>2022</v>
      </c>
      <c r="AQH6" t="n">
        <v>2022</v>
      </c>
      <c r="AQI6" t="n">
        <v>2022</v>
      </c>
      <c r="AQJ6" t="n">
        <v>2022</v>
      </c>
      <c r="AQK6" t="n">
        <v>2022</v>
      </c>
      <c r="AQL6" t="n">
        <v>2022</v>
      </c>
      <c r="AQM6" t="n">
        <v>2022</v>
      </c>
      <c r="AQN6" t="n">
        <v>2022</v>
      </c>
      <c r="AQO6" t="n">
        <v>2022</v>
      </c>
      <c r="AQP6" t="n">
        <v>2022</v>
      </c>
      <c r="AQQ6" t="n">
        <v>2022</v>
      </c>
      <c r="AQR6" t="n">
        <v>2022</v>
      </c>
      <c r="AQS6" t="n">
        <v>2022</v>
      </c>
      <c r="AQT6" t="n">
        <v>2022</v>
      </c>
      <c r="AQU6" t="n">
        <v>2022</v>
      </c>
      <c r="AQV6" t="n">
        <v>2022</v>
      </c>
      <c r="AQW6" t="n">
        <v>2022</v>
      </c>
      <c r="AQX6" t="n">
        <v>2022</v>
      </c>
      <c r="AQY6" t="n">
        <v>2022</v>
      </c>
      <c r="AQZ6" t="n">
        <v>2022</v>
      </c>
      <c r="ARA6" t="n">
        <v>2022</v>
      </c>
      <c r="ARB6" t="n">
        <v>2022</v>
      </c>
      <c r="ARC6" t="n">
        <v>2022</v>
      </c>
      <c r="ARD6" t="n">
        <v>2022</v>
      </c>
      <c r="ARE6" t="n">
        <v>2022</v>
      </c>
      <c r="ARF6" t="n">
        <v>2022</v>
      </c>
      <c r="ARG6" t="n">
        <v>2022</v>
      </c>
      <c r="ARH6" t="n">
        <v>2022</v>
      </c>
      <c r="ARI6" t="n">
        <v>2022</v>
      </c>
      <c r="ARJ6" t="n">
        <v>2022</v>
      </c>
      <c r="ARK6" t="n">
        <v>2022</v>
      </c>
      <c r="ARL6" t="n">
        <v>2022</v>
      </c>
      <c r="ARM6" t="n">
        <v>2022</v>
      </c>
      <c r="ARN6" t="n">
        <v>2022</v>
      </c>
      <c r="ARO6" t="n">
        <v>2022</v>
      </c>
      <c r="ARP6" t="n">
        <v>2022</v>
      </c>
      <c r="ARQ6" t="n">
        <v>2022</v>
      </c>
      <c r="ARR6" t="n">
        <v>2022</v>
      </c>
      <c r="ARS6" t="n">
        <v>2022</v>
      </c>
      <c r="ART6" t="n">
        <v>2022</v>
      </c>
      <c r="ARU6" t="n">
        <v>2022</v>
      </c>
      <c r="ARV6" t="n">
        <v>2022</v>
      </c>
      <c r="ARW6" t="n">
        <v>2022</v>
      </c>
      <c r="ARX6" t="n">
        <v>2022</v>
      </c>
      <c r="ARY6" t="n">
        <v>2022</v>
      </c>
      <c r="ARZ6" t="n">
        <v>2022</v>
      </c>
      <c r="ASA6" t="n">
        <v>2022</v>
      </c>
      <c r="ASB6" t="n">
        <v>2022</v>
      </c>
      <c r="ASC6" t="n">
        <v>2022</v>
      </c>
      <c r="ASD6" t="n">
        <v>2022</v>
      </c>
      <c r="ASE6" t="n">
        <v>2022</v>
      </c>
      <c r="ASF6" t="n">
        <v>2022</v>
      </c>
      <c r="ASG6" t="n">
        <v>2022</v>
      </c>
      <c r="ASH6" t="n">
        <v>2022</v>
      </c>
      <c r="ASI6" t="n">
        <v>2022</v>
      </c>
      <c r="ASJ6" t="n">
        <v>2022</v>
      </c>
      <c r="ASK6" t="n">
        <v>2022</v>
      </c>
      <c r="ASL6" t="n">
        <v>2022</v>
      </c>
      <c r="ASM6" t="n">
        <v>2022</v>
      </c>
      <c r="ASN6" t="n">
        <v>2022</v>
      </c>
      <c r="ASO6" t="n">
        <v>2022</v>
      </c>
      <c r="ASP6" t="n">
        <v>2022</v>
      </c>
      <c r="ASQ6" t="n">
        <v>2022</v>
      </c>
      <c r="ASR6" t="n">
        <v>2022</v>
      </c>
      <c r="ASS6" t="n">
        <v>2022</v>
      </c>
      <c r="AST6" t="n">
        <v>2022</v>
      </c>
      <c r="ASU6" t="n">
        <v>2022</v>
      </c>
      <c r="ASV6" t="n">
        <v>2022</v>
      </c>
      <c r="ASW6" t="n">
        <v>2022</v>
      </c>
      <c r="ASX6" t="n">
        <v>2022</v>
      </c>
      <c r="ASY6" t="n">
        <v>2022</v>
      </c>
      <c r="ASZ6" t="n">
        <v>2022</v>
      </c>
      <c r="ATA6" t="n">
        <v>2022</v>
      </c>
      <c r="ATB6" t="n">
        <v>2022</v>
      </c>
      <c r="ATC6" t="n">
        <v>2022</v>
      </c>
      <c r="ATD6" t="n">
        <v>2022</v>
      </c>
      <c r="ATE6" t="n">
        <v>2022</v>
      </c>
      <c r="ATF6" t="n">
        <v>2022</v>
      </c>
      <c r="ATG6" t="n">
        <v>2022</v>
      </c>
      <c r="ATH6" t="n">
        <v>2022</v>
      </c>
      <c r="ATI6" t="n">
        <v>2022</v>
      </c>
      <c r="ATJ6" t="n">
        <v>2022</v>
      </c>
      <c r="ATK6" t="n">
        <v>2022</v>
      </c>
      <c r="ATL6" t="n">
        <v>2022</v>
      </c>
      <c r="ATM6" t="n">
        <v>2022</v>
      </c>
      <c r="ATN6" t="n">
        <v>2022</v>
      </c>
      <c r="ATO6" t="n">
        <v>2022</v>
      </c>
      <c r="ATP6" t="n">
        <v>2022</v>
      </c>
      <c r="ATQ6" t="n">
        <v>2022</v>
      </c>
      <c r="ATR6" t="n">
        <v>2022</v>
      </c>
      <c r="ATS6" t="n">
        <v>2022</v>
      </c>
      <c r="ATT6" t="n">
        <v>2022</v>
      </c>
      <c r="ATU6" t="n">
        <v>2022</v>
      </c>
      <c r="ATV6" t="n">
        <v>2022</v>
      </c>
      <c r="ATW6" t="n">
        <v>2022</v>
      </c>
      <c r="ATX6" t="n">
        <v>2022</v>
      </c>
      <c r="ATY6" t="n">
        <v>2022</v>
      </c>
      <c r="ATZ6" t="n">
        <v>2022</v>
      </c>
      <c r="AUA6" t="n">
        <v>2022</v>
      </c>
      <c r="AUB6" t="n">
        <v>2022</v>
      </c>
      <c r="AUC6" t="n">
        <v>2022</v>
      </c>
      <c r="AUD6" t="n">
        <v>2022</v>
      </c>
      <c r="AUE6" t="n">
        <v>2022</v>
      </c>
      <c r="AUF6" t="n">
        <v>2022</v>
      </c>
      <c r="AUG6" t="n">
        <v>2022</v>
      </c>
      <c r="AUH6" t="n">
        <v>2022</v>
      </c>
      <c r="AUI6" t="n">
        <v>2022</v>
      </c>
      <c r="AUJ6" t="n">
        <v>2022</v>
      </c>
      <c r="AUK6" t="n">
        <v>2022</v>
      </c>
      <c r="AUL6" t="n">
        <v>2022</v>
      </c>
      <c r="AUM6" t="n">
        <v>2022</v>
      </c>
      <c r="AUN6" t="n">
        <v>2022</v>
      </c>
      <c r="AUO6" t="n">
        <v>2022</v>
      </c>
      <c r="AUP6" t="n">
        <v>2022</v>
      </c>
      <c r="AUQ6" t="n">
        <v>2022</v>
      </c>
      <c r="AUR6" t="n">
        <v>2022</v>
      </c>
      <c r="AUS6" t="n">
        <v>2022</v>
      </c>
      <c r="AUT6" t="n">
        <v>2022</v>
      </c>
      <c r="AUU6" t="n">
        <v>2022</v>
      </c>
      <c r="AUV6" t="n">
        <v>2022</v>
      </c>
      <c r="AUW6" t="n">
        <v>2022</v>
      </c>
      <c r="AUX6" t="n">
        <v>2022</v>
      </c>
      <c r="AUY6" t="n">
        <v>2022</v>
      </c>
      <c r="AUZ6" t="n">
        <v>2022</v>
      </c>
      <c r="AVA6" t="n">
        <v>2022</v>
      </c>
      <c r="AVB6" t="n">
        <v>2022</v>
      </c>
      <c r="AVC6" t="n">
        <v>2022</v>
      </c>
      <c r="AVD6" t="n">
        <v>2022</v>
      </c>
      <c r="AVE6" t="n">
        <v>2022</v>
      </c>
      <c r="AVF6" t="n">
        <v>2022</v>
      </c>
      <c r="AVG6" t="n">
        <v>2022</v>
      </c>
      <c r="AVH6" t="n">
        <v>2022</v>
      </c>
      <c r="AVI6" t="n">
        <v>2022</v>
      </c>
      <c r="AVJ6" t="n">
        <v>2022</v>
      </c>
      <c r="AVK6" t="n">
        <v>2022</v>
      </c>
      <c r="AVL6" t="n">
        <v>2022</v>
      </c>
      <c r="AVM6" t="n">
        <v>2022</v>
      </c>
      <c r="AVN6" t="n">
        <v>2022</v>
      </c>
      <c r="AVO6" t="n">
        <v>2022</v>
      </c>
      <c r="AVP6" t="n">
        <v>2022</v>
      </c>
      <c r="AVQ6" t="n">
        <v>2022</v>
      </c>
      <c r="AVR6" t="n">
        <v>2022</v>
      </c>
      <c r="AVS6" t="n">
        <v>2022</v>
      </c>
      <c r="AVT6" t="n">
        <v>2022</v>
      </c>
      <c r="AVU6" t="n">
        <v>2022</v>
      </c>
      <c r="AVV6" t="n">
        <v>2022</v>
      </c>
      <c r="AVW6" t="n">
        <v>2022</v>
      </c>
      <c r="AVX6" t="n">
        <v>2022</v>
      </c>
      <c r="AVY6" t="n">
        <v>2022</v>
      </c>
      <c r="AVZ6" t="n">
        <v>2022</v>
      </c>
      <c r="AWA6" t="n">
        <v>2022</v>
      </c>
      <c r="AWB6" t="n">
        <v>2022</v>
      </c>
      <c r="AWC6" t="n">
        <v>2022</v>
      </c>
      <c r="AWD6" t="n">
        <v>2022</v>
      </c>
      <c r="AWE6" t="n">
        <v>2022</v>
      </c>
      <c r="AWF6" t="n">
        <v>2022</v>
      </c>
      <c r="AWG6" t="n">
        <v>2022</v>
      </c>
      <c r="AWH6" t="n">
        <v>2022</v>
      </c>
      <c r="AWI6" t="n">
        <v>2022</v>
      </c>
      <c r="AWJ6" t="n">
        <v>2022</v>
      </c>
      <c r="AWK6" t="n">
        <v>2022</v>
      </c>
      <c r="AWL6" t="n">
        <v>2022</v>
      </c>
      <c r="AWM6" t="n">
        <v>2022</v>
      </c>
      <c r="AWN6" t="n">
        <v>2022</v>
      </c>
      <c r="AWO6" t="n">
        <v>2022</v>
      </c>
      <c r="AWP6" t="n">
        <v>2022</v>
      </c>
      <c r="AWQ6" t="n">
        <v>2022</v>
      </c>
      <c r="AWR6" t="n">
        <v>2022</v>
      </c>
      <c r="AWS6" t="n">
        <v>2022</v>
      </c>
      <c r="AWT6" t="n">
        <v>2022</v>
      </c>
      <c r="AWU6" t="n">
        <v>2022</v>
      </c>
      <c r="AWV6" t="n">
        <v>2022</v>
      </c>
      <c r="AWW6" t="n">
        <v>2022</v>
      </c>
      <c r="AWX6" t="n">
        <v>2022</v>
      </c>
      <c r="AWY6" t="n">
        <v>2022</v>
      </c>
      <c r="AWZ6" t="n">
        <v>2022</v>
      </c>
      <c r="AXA6" t="n">
        <v>2022</v>
      </c>
      <c r="AXB6" t="n">
        <v>2022</v>
      </c>
      <c r="AXC6" t="n">
        <v>2022</v>
      </c>
      <c r="AXD6" t="n">
        <v>2022</v>
      </c>
      <c r="AXE6" t="n">
        <v>2022</v>
      </c>
      <c r="AXF6" t="n">
        <v>2022</v>
      </c>
      <c r="AXG6" t="n">
        <v>2022</v>
      </c>
      <c r="AXH6" t="n">
        <v>2022</v>
      </c>
      <c r="AXI6" t="n">
        <v>2022</v>
      </c>
      <c r="AXJ6" t="n">
        <v>2022</v>
      </c>
      <c r="AXK6" t="n">
        <v>2022</v>
      </c>
      <c r="AXL6" t="n">
        <v>2022</v>
      </c>
      <c r="AXM6" t="n">
        <v>2022</v>
      </c>
      <c r="AXN6" t="n">
        <v>2022</v>
      </c>
      <c r="AXO6" t="n">
        <v>2022</v>
      </c>
      <c r="AXP6" t="n">
        <v>2022</v>
      </c>
      <c r="AXQ6" t="n">
        <v>2022</v>
      </c>
      <c r="AXR6" t="n">
        <v>2022</v>
      </c>
      <c r="AXS6" t="n">
        <v>2022</v>
      </c>
      <c r="AXT6" t="n">
        <v>2022</v>
      </c>
      <c r="AXU6" t="n">
        <v>2022</v>
      </c>
      <c r="AXV6" t="n">
        <v>2022</v>
      </c>
      <c r="AXW6" t="n">
        <v>2022</v>
      </c>
      <c r="AXX6" t="n">
        <v>2022</v>
      </c>
      <c r="AXY6" t="n">
        <v>2022</v>
      </c>
      <c r="AXZ6" t="n">
        <v>2022</v>
      </c>
      <c r="AYA6" t="n">
        <v>2022</v>
      </c>
      <c r="AYB6" t="n">
        <v>2022</v>
      </c>
      <c r="AYC6" t="n">
        <v>2022</v>
      </c>
      <c r="AYD6" t="n">
        <v>2022</v>
      </c>
      <c r="AYE6" t="n">
        <v>2022</v>
      </c>
      <c r="AYF6" t="n">
        <v>2022</v>
      </c>
      <c r="AYG6" t="n">
        <v>2022</v>
      </c>
      <c r="AYH6" t="n">
        <v>2022</v>
      </c>
      <c r="AYI6" t="n">
        <v>2022</v>
      </c>
      <c r="AYJ6" t="n">
        <v>2022</v>
      </c>
      <c r="AYK6" t="n">
        <v>2022</v>
      </c>
      <c r="AYL6" t="n">
        <v>2022</v>
      </c>
      <c r="AYM6" t="n">
        <v>2022</v>
      </c>
      <c r="AYN6" t="n">
        <v>2022</v>
      </c>
      <c r="AYO6" t="n">
        <v>2022</v>
      </c>
      <c r="AYP6" t="n">
        <v>2022</v>
      </c>
      <c r="AYQ6" t="n">
        <v>2022</v>
      </c>
      <c r="AYR6" t="n">
        <v>2022</v>
      </c>
      <c r="AYS6" t="n">
        <v>2022</v>
      </c>
      <c r="AYT6" t="n">
        <v>2022</v>
      </c>
      <c r="AYU6" t="n">
        <v>2022</v>
      </c>
      <c r="AYV6" t="n">
        <v>2022</v>
      </c>
      <c r="AYW6" t="n">
        <v>2022</v>
      </c>
      <c r="AYX6" t="n">
        <v>2022</v>
      </c>
      <c r="AYY6" t="n">
        <v>2022</v>
      </c>
      <c r="AYZ6" t="n">
        <v>2022</v>
      </c>
      <c r="AZA6" t="n">
        <v>2022</v>
      </c>
      <c r="AZB6" t="n">
        <v>2022</v>
      </c>
      <c r="AZC6" t="n">
        <v>2022</v>
      </c>
      <c r="AZD6" t="n">
        <v>2022</v>
      </c>
      <c r="AZE6" t="n">
        <v>2022</v>
      </c>
      <c r="AZF6" t="n">
        <v>2022</v>
      </c>
      <c r="AZG6" t="n">
        <v>2022</v>
      </c>
      <c r="AZH6" t="n">
        <v>2022</v>
      </c>
      <c r="AZI6" t="n">
        <v>2022</v>
      </c>
      <c r="AZJ6" t="n">
        <v>2022</v>
      </c>
      <c r="AZK6" t="n">
        <v>2022</v>
      </c>
      <c r="AZL6" t="n">
        <v>2022</v>
      </c>
      <c r="AZM6" t="n">
        <v>2022</v>
      </c>
      <c r="AZN6" t="n">
        <v>2022</v>
      </c>
      <c r="AZO6" t="n">
        <v>2022</v>
      </c>
      <c r="AZP6" t="n">
        <v>2022</v>
      </c>
      <c r="AZQ6" t="n">
        <v>2022</v>
      </c>
      <c r="AZR6" t="n">
        <v>2022</v>
      </c>
      <c r="AZS6" t="n">
        <v>2022</v>
      </c>
      <c r="AZT6" t="n">
        <v>2022</v>
      </c>
      <c r="AZU6" t="n">
        <v>2022</v>
      </c>
      <c r="AZV6" t="n">
        <v>2022</v>
      </c>
      <c r="AZW6" t="n">
        <v>2022</v>
      </c>
      <c r="AZX6" t="n">
        <v>2022</v>
      </c>
      <c r="AZY6" t="n">
        <v>2022</v>
      </c>
      <c r="AZZ6" t="n">
        <v>2022</v>
      </c>
      <c r="BAA6" t="n">
        <v>2022</v>
      </c>
      <c r="BAB6" t="n">
        <v>2022</v>
      </c>
      <c r="BAC6" t="n">
        <v>2022</v>
      </c>
      <c r="BAD6" t="n">
        <v>2022</v>
      </c>
      <c r="BAE6" t="n">
        <v>2022</v>
      </c>
      <c r="BAF6" t="n">
        <v>2022</v>
      </c>
      <c r="BAG6" t="n">
        <v>2022</v>
      </c>
      <c r="BAH6" t="n">
        <v>2022</v>
      </c>
      <c r="BAI6" t="n">
        <v>2022</v>
      </c>
      <c r="BAJ6" t="n">
        <v>2022</v>
      </c>
      <c r="BAK6" t="n">
        <v>2022</v>
      </c>
      <c r="BAL6" t="n">
        <v>2022</v>
      </c>
      <c r="BAM6" t="n">
        <v>2022</v>
      </c>
      <c r="BAN6" t="n">
        <v>2022</v>
      </c>
      <c r="BAO6" t="n">
        <v>2022</v>
      </c>
      <c r="BAP6" t="n">
        <v>2022</v>
      </c>
      <c r="BAQ6" t="n">
        <v>2022</v>
      </c>
      <c r="BAR6" t="n">
        <v>2022</v>
      </c>
      <c r="BAS6" t="n">
        <v>2022</v>
      </c>
      <c r="BAT6" t="n">
        <v>2022</v>
      </c>
      <c r="BAU6" t="n">
        <v>2022</v>
      </c>
      <c r="BAV6" t="n">
        <v>2022</v>
      </c>
      <c r="BAW6" t="n">
        <v>2022</v>
      </c>
      <c r="BAX6" t="n">
        <v>2022</v>
      </c>
      <c r="BAY6" t="n">
        <v>2022</v>
      </c>
      <c r="BAZ6" t="n">
        <v>2022</v>
      </c>
      <c r="BBA6" t="n">
        <v>2022</v>
      </c>
      <c r="BBB6" t="n">
        <v>2022</v>
      </c>
      <c r="BBC6" t="n">
        <v>2022</v>
      </c>
      <c r="BBD6" t="n">
        <v>2022</v>
      </c>
      <c r="BBE6" t="n">
        <v>2022</v>
      </c>
      <c r="BBF6" t="n">
        <v>2022</v>
      </c>
      <c r="BBG6" t="n">
        <v>2022</v>
      </c>
      <c r="BBH6" t="n">
        <v>2022</v>
      </c>
      <c r="BBI6" t="n">
        <v>2022</v>
      </c>
      <c r="BBJ6" t="n">
        <v>2022</v>
      </c>
      <c r="BBK6" t="n">
        <v>2022</v>
      </c>
      <c r="BBL6" t="n">
        <v>2022</v>
      </c>
      <c r="BBM6" t="n">
        <v>2022</v>
      </c>
      <c r="BBN6" t="n">
        <v>2022</v>
      </c>
      <c r="BBO6" t="n">
        <v>2022</v>
      </c>
      <c r="BBP6" t="n">
        <v>2022</v>
      </c>
      <c r="BBQ6" t="n">
        <v>2022</v>
      </c>
      <c r="BBR6" t="n">
        <v>2022</v>
      </c>
      <c r="BBS6" t="n">
        <v>2022</v>
      </c>
      <c r="BBT6" t="n">
        <v>2022</v>
      </c>
      <c r="BBU6" t="n">
        <v>2022</v>
      </c>
      <c r="BBV6" t="n">
        <v>2022</v>
      </c>
      <c r="BBW6" t="n">
        <v>2022</v>
      </c>
      <c r="BBX6" t="n">
        <v>2022</v>
      </c>
      <c r="BBY6" t="n">
        <v>2022</v>
      </c>
      <c r="BBZ6" t="n">
        <v>2022</v>
      </c>
      <c r="BCA6" t="n">
        <v>2022</v>
      </c>
      <c r="BCB6" t="n">
        <v>2022</v>
      </c>
      <c r="BCC6" t="n">
        <v>2022</v>
      </c>
      <c r="BCD6" t="n">
        <v>2022</v>
      </c>
      <c r="BCE6" t="n">
        <v>2022</v>
      </c>
      <c r="BCF6" t="n">
        <v>2022</v>
      </c>
      <c r="BCG6" t="n">
        <v>2022</v>
      </c>
      <c r="BCH6" t="n">
        <v>2022</v>
      </c>
      <c r="BCI6" t="n">
        <v>2022</v>
      </c>
      <c r="BCJ6" t="n">
        <v>2022</v>
      </c>
      <c r="BCK6" t="n">
        <v>2022</v>
      </c>
      <c r="BCL6" t="n">
        <v>2022</v>
      </c>
      <c r="BCM6" t="n">
        <v>2021</v>
      </c>
      <c r="BCN6" t="n">
        <v>2021</v>
      </c>
      <c r="BCO6" t="n">
        <v>2021</v>
      </c>
      <c r="BCP6" t="n">
        <v>2021</v>
      </c>
      <c r="BCQ6" t="n">
        <v>2021</v>
      </c>
      <c r="BCR6" t="n">
        <v>2021</v>
      </c>
      <c r="BCS6" t="n">
        <v>2021</v>
      </c>
      <c r="BCT6" t="n">
        <v>2021</v>
      </c>
      <c r="BCU6" t="n">
        <v>2021</v>
      </c>
      <c r="BCV6" t="n">
        <v>2021</v>
      </c>
      <c r="BCW6" t="n">
        <v>2021</v>
      </c>
      <c r="BCX6" t="n">
        <v>2021</v>
      </c>
      <c r="BCY6" t="n">
        <v>2021</v>
      </c>
      <c r="BCZ6" t="n">
        <v>2021</v>
      </c>
      <c r="BDA6" t="n">
        <v>2021</v>
      </c>
      <c r="BDB6" t="n">
        <v>2021</v>
      </c>
      <c r="BDC6" t="n">
        <v>2021</v>
      </c>
      <c r="BDD6" t="n">
        <v>2021</v>
      </c>
      <c r="BDE6" t="n">
        <v>2021</v>
      </c>
      <c r="BDF6" t="n">
        <v>2021</v>
      </c>
      <c r="BDG6" t="n">
        <v>2021</v>
      </c>
      <c r="BDH6" t="n">
        <v>2021</v>
      </c>
      <c r="BDI6" t="n">
        <v>2021</v>
      </c>
      <c r="BDJ6" t="n">
        <v>2021</v>
      </c>
      <c r="BDK6" t="n">
        <v>2021</v>
      </c>
      <c r="BDL6" t="n">
        <v>2021</v>
      </c>
      <c r="BDM6" t="n">
        <v>2021</v>
      </c>
      <c r="BDN6" t="n">
        <v>2021</v>
      </c>
      <c r="BDO6" t="n">
        <v>2021</v>
      </c>
      <c r="BDP6" t="n">
        <v>2021</v>
      </c>
      <c r="BDQ6" t="n">
        <v>2021</v>
      </c>
      <c r="BDR6" t="n">
        <v>2021</v>
      </c>
      <c r="BDS6" t="n">
        <v>2021</v>
      </c>
      <c r="BDT6" t="n">
        <v>2021</v>
      </c>
      <c r="BDU6" t="n">
        <v>2021</v>
      </c>
      <c r="BDV6" t="n">
        <v>2021</v>
      </c>
      <c r="BDW6" t="n">
        <v>2021</v>
      </c>
      <c r="BDX6" t="n">
        <v>2021</v>
      </c>
      <c r="BDY6" t="n">
        <v>2021</v>
      </c>
      <c r="BDZ6" t="n">
        <v>2021</v>
      </c>
      <c r="BEA6" t="n">
        <v>2021</v>
      </c>
      <c r="BEB6" t="n">
        <v>2021</v>
      </c>
      <c r="BEC6" t="n">
        <v>2021</v>
      </c>
      <c r="BED6" t="n">
        <v>2021</v>
      </c>
      <c r="BEE6" t="n">
        <v>2021</v>
      </c>
      <c r="BEF6" t="n">
        <v>2021</v>
      </c>
      <c r="BEG6" t="n">
        <v>2021</v>
      </c>
      <c r="BEH6" t="n">
        <v>2021</v>
      </c>
      <c r="BEI6" t="n">
        <v>2021</v>
      </c>
      <c r="BEJ6" t="n">
        <v>2021</v>
      </c>
      <c r="BEK6" t="n">
        <v>2021</v>
      </c>
      <c r="BEL6" t="n">
        <v>2021</v>
      </c>
      <c r="BEM6" t="n">
        <v>2021</v>
      </c>
      <c r="BEN6" t="n">
        <v>2021</v>
      </c>
      <c r="BEO6" t="n">
        <v>2021</v>
      </c>
      <c r="BEP6" t="n">
        <v>2021</v>
      </c>
      <c r="BEQ6" t="n">
        <v>2021</v>
      </c>
      <c r="BER6" t="n">
        <v>2021</v>
      </c>
      <c r="BES6" t="n">
        <v>2021</v>
      </c>
      <c r="BET6" t="n">
        <v>2021</v>
      </c>
      <c r="BEU6" t="n">
        <v>2021</v>
      </c>
      <c r="BEV6" t="n">
        <v>2021</v>
      </c>
      <c r="BEW6" t="n">
        <v>2021</v>
      </c>
      <c r="BEX6" t="n">
        <v>2021</v>
      </c>
      <c r="BEY6" t="n">
        <v>2021</v>
      </c>
      <c r="BEZ6" t="n">
        <v>2021</v>
      </c>
      <c r="BFA6" t="n">
        <v>2021</v>
      </c>
      <c r="BFB6" t="n">
        <v>2021</v>
      </c>
      <c r="BFC6" t="n">
        <v>2021</v>
      </c>
      <c r="BFD6" t="n">
        <v>2021</v>
      </c>
      <c r="BFE6" t="n">
        <v>2021</v>
      </c>
      <c r="BFF6" t="n">
        <v>2021</v>
      </c>
      <c r="BFG6" t="n">
        <v>2021</v>
      </c>
      <c r="BFH6" t="n">
        <v>2021</v>
      </c>
      <c r="BFI6" t="n">
        <v>2021</v>
      </c>
      <c r="BFJ6" t="n">
        <v>2021</v>
      </c>
      <c r="BFK6" t="n">
        <v>2021</v>
      </c>
      <c r="BFL6" t="n">
        <v>2021</v>
      </c>
      <c r="BFM6" t="n">
        <v>2021</v>
      </c>
      <c r="BFN6" t="n">
        <v>2021</v>
      </c>
      <c r="BFO6" t="n">
        <v>2021</v>
      </c>
      <c r="BFP6" t="n">
        <v>2021</v>
      </c>
      <c r="BFQ6" t="n">
        <v>2021</v>
      </c>
      <c r="BFR6" t="n">
        <v>2021</v>
      </c>
      <c r="BFS6" t="n">
        <v>2021</v>
      </c>
      <c r="BFT6" t="n">
        <v>2021</v>
      </c>
      <c r="BFU6" t="n">
        <v>2021</v>
      </c>
      <c r="BFV6" t="n">
        <v>2021</v>
      </c>
      <c r="BFW6" t="n">
        <v>2021</v>
      </c>
      <c r="BFX6" t="n">
        <v>2021</v>
      </c>
      <c r="BFY6" t="n">
        <v>2021</v>
      </c>
      <c r="BFZ6" t="n">
        <v>2021</v>
      </c>
      <c r="BGA6" t="n">
        <v>2021</v>
      </c>
      <c r="BGB6" t="n">
        <v>2021</v>
      </c>
      <c r="BGC6" t="n">
        <v>2021</v>
      </c>
      <c r="BGD6" t="n">
        <v>2021</v>
      </c>
      <c r="BGE6" t="n">
        <v>2021</v>
      </c>
      <c r="BGF6" t="n">
        <v>2021</v>
      </c>
      <c r="BGG6" t="n">
        <v>2021</v>
      </c>
      <c r="BGH6" t="n">
        <v>2021</v>
      </c>
      <c r="BGI6" t="n">
        <v>2021</v>
      </c>
      <c r="BGJ6" t="n">
        <v>2021</v>
      </c>
      <c r="BGK6" t="n">
        <v>2021</v>
      </c>
      <c r="BGL6" t="n">
        <v>2021</v>
      </c>
      <c r="BGM6" t="n">
        <v>2021</v>
      </c>
      <c r="BGN6" t="n">
        <v>2021</v>
      </c>
      <c r="BGO6" t="n">
        <v>2021</v>
      </c>
      <c r="BGP6" t="n">
        <v>2021</v>
      </c>
      <c r="BGQ6" t="n">
        <v>2021</v>
      </c>
      <c r="BGR6" t="n">
        <v>2021</v>
      </c>
      <c r="BGS6" t="n">
        <v>2021</v>
      </c>
      <c r="BGT6" t="n">
        <v>2021</v>
      </c>
      <c r="BGU6" t="n">
        <v>2021</v>
      </c>
      <c r="BGV6" t="n">
        <v>2021</v>
      </c>
      <c r="BGW6" t="n">
        <v>2021</v>
      </c>
      <c r="BGX6" t="n">
        <v>2021</v>
      </c>
      <c r="BGY6" t="n">
        <v>2021</v>
      </c>
      <c r="BGZ6" t="n">
        <v>2021</v>
      </c>
      <c r="BHA6" t="n">
        <v>2021</v>
      </c>
      <c r="BHB6" t="n">
        <v>2021</v>
      </c>
      <c r="BHC6" t="n">
        <v>2021</v>
      </c>
      <c r="BHD6" t="n">
        <v>2021</v>
      </c>
      <c r="BHE6" t="n">
        <v>2021</v>
      </c>
      <c r="BHF6" t="n">
        <v>2021</v>
      </c>
      <c r="BHG6" t="n">
        <v>2021</v>
      </c>
      <c r="BHH6" t="n">
        <v>2021</v>
      </c>
      <c r="BHI6" t="n">
        <v>2021</v>
      </c>
      <c r="BHJ6" t="n">
        <v>2021</v>
      </c>
      <c r="BHK6" t="n">
        <v>2021</v>
      </c>
      <c r="BHL6" t="n">
        <v>2021</v>
      </c>
      <c r="BHM6" t="n">
        <v>2021</v>
      </c>
      <c r="BHN6" t="n">
        <v>2021</v>
      </c>
      <c r="BHO6" t="n">
        <v>2021</v>
      </c>
      <c r="BHP6" t="n">
        <v>2021</v>
      </c>
      <c r="BHQ6" t="n">
        <v>2021</v>
      </c>
      <c r="BHR6" t="n">
        <v>2021</v>
      </c>
      <c r="BHS6" t="n">
        <v>2021</v>
      </c>
      <c r="BHT6" t="n">
        <v>2021</v>
      </c>
      <c r="BHU6" t="n">
        <v>2021</v>
      </c>
      <c r="BHV6" t="n">
        <v>2021</v>
      </c>
      <c r="BHW6" t="n">
        <v>2021</v>
      </c>
      <c r="BHX6" t="n">
        <v>2021</v>
      </c>
      <c r="BHY6" t="n">
        <v>2021</v>
      </c>
      <c r="BHZ6" t="n">
        <v>2021</v>
      </c>
      <c r="BIA6" t="n">
        <v>2021</v>
      </c>
      <c r="BIB6" t="n">
        <v>2021</v>
      </c>
      <c r="BIC6" t="n">
        <v>2021</v>
      </c>
      <c r="BID6" t="n">
        <v>2021</v>
      </c>
      <c r="BIE6" t="n">
        <v>2021</v>
      </c>
      <c r="BIF6" t="n">
        <v>2021</v>
      </c>
      <c r="BIG6" t="n">
        <v>2021</v>
      </c>
      <c r="BIH6" t="n">
        <v>2021</v>
      </c>
      <c r="BII6" t="n">
        <v>2021</v>
      </c>
      <c r="BIJ6" t="n">
        <v>2021</v>
      </c>
      <c r="BIK6" t="n">
        <v>2021</v>
      </c>
      <c r="BIL6" t="n">
        <v>2021</v>
      </c>
      <c r="BIM6" t="n">
        <v>2021</v>
      </c>
      <c r="BIN6" t="n">
        <v>2021</v>
      </c>
      <c r="BIO6" t="n">
        <v>2021</v>
      </c>
      <c r="BIP6" t="n">
        <v>2021</v>
      </c>
      <c r="BIQ6" t="n">
        <v>2021</v>
      </c>
      <c r="BIR6" t="n">
        <v>2021</v>
      </c>
      <c r="BIS6" t="n">
        <v>2021</v>
      </c>
      <c r="BIT6" t="n">
        <v>2021</v>
      </c>
      <c r="BIU6" t="n">
        <v>2021</v>
      </c>
      <c r="BIV6" t="n">
        <v>2021</v>
      </c>
      <c r="BIW6" t="n">
        <v>2021</v>
      </c>
      <c r="BIX6" t="n">
        <v>2021</v>
      </c>
      <c r="BIY6" t="n">
        <v>2021</v>
      </c>
      <c r="BIZ6" t="n">
        <v>2021</v>
      </c>
      <c r="BJA6" t="n">
        <v>2021</v>
      </c>
      <c r="BJB6" t="n">
        <v>2021</v>
      </c>
      <c r="BJC6" t="n">
        <v>2021</v>
      </c>
      <c r="BJD6" t="n">
        <v>2021</v>
      </c>
      <c r="BJE6" t="n">
        <v>2021</v>
      </c>
      <c r="BJF6" t="n">
        <v>2021</v>
      </c>
      <c r="BJG6" t="n">
        <v>2021</v>
      </c>
      <c r="BJH6" t="n">
        <v>2021</v>
      </c>
      <c r="BJI6" t="n">
        <v>2021</v>
      </c>
      <c r="BJJ6" t="n">
        <v>2021</v>
      </c>
      <c r="BJK6" t="n">
        <v>2021</v>
      </c>
      <c r="BJL6" t="n">
        <v>2021</v>
      </c>
      <c r="BJM6" t="n">
        <v>2021</v>
      </c>
      <c r="BJN6" t="n">
        <v>2021</v>
      </c>
      <c r="BJO6" t="n">
        <v>2021</v>
      </c>
      <c r="BJP6" t="n">
        <v>2021</v>
      </c>
      <c r="BJQ6" t="n">
        <v>2021</v>
      </c>
      <c r="BJR6" t="n">
        <v>2021</v>
      </c>
      <c r="BJS6" t="n">
        <v>2021</v>
      </c>
      <c r="BJT6" t="n">
        <v>2021</v>
      </c>
      <c r="BJU6" t="n">
        <v>2021</v>
      </c>
      <c r="BJV6" t="n">
        <v>2021</v>
      </c>
      <c r="BJW6" t="n">
        <v>2021</v>
      </c>
      <c r="BJX6" t="n">
        <v>2021</v>
      </c>
      <c r="BJY6" t="n">
        <v>2021</v>
      </c>
      <c r="BJZ6" t="n">
        <v>2021</v>
      </c>
      <c r="BKA6" t="n">
        <v>2021</v>
      </c>
      <c r="BKB6" t="n">
        <v>2021</v>
      </c>
      <c r="BKC6" t="n">
        <v>2021</v>
      </c>
      <c r="BKD6" t="n">
        <v>2021</v>
      </c>
      <c r="BKE6" t="n">
        <v>2021</v>
      </c>
      <c r="BKF6" t="n">
        <v>2021</v>
      </c>
      <c r="BKG6" t="n">
        <v>2021</v>
      </c>
      <c r="BKH6" t="n">
        <v>2021</v>
      </c>
      <c r="BKI6" t="n">
        <v>2021</v>
      </c>
      <c r="BKJ6" t="n">
        <v>2021</v>
      </c>
      <c r="BKK6" t="n">
        <v>2021</v>
      </c>
      <c r="BKL6" t="n">
        <v>2021</v>
      </c>
      <c r="BKM6" t="n">
        <v>2021</v>
      </c>
      <c r="BKN6" t="n">
        <v>2021</v>
      </c>
      <c r="BKO6" t="n">
        <v>2021</v>
      </c>
      <c r="BKP6" t="n">
        <v>2021</v>
      </c>
      <c r="BKQ6" t="n">
        <v>2021</v>
      </c>
      <c r="BKR6" t="n">
        <v>2021</v>
      </c>
      <c r="BKS6" t="n">
        <v>2021</v>
      </c>
      <c r="BKT6" t="n">
        <v>2021</v>
      </c>
      <c r="BKU6" t="n">
        <v>2021</v>
      </c>
      <c r="BKV6" t="n">
        <v>2021</v>
      </c>
      <c r="BKW6" t="n">
        <v>2021</v>
      </c>
      <c r="BKX6" t="n">
        <v>2021</v>
      </c>
      <c r="BKY6" t="n">
        <v>2021</v>
      </c>
      <c r="BKZ6" t="n">
        <v>2021</v>
      </c>
      <c r="BLA6" t="n">
        <v>2021</v>
      </c>
      <c r="BLB6" t="n">
        <v>2021</v>
      </c>
      <c r="BLC6" t="n">
        <v>2021</v>
      </c>
      <c r="BLD6" t="n">
        <v>2021</v>
      </c>
      <c r="BLE6" t="n">
        <v>2021</v>
      </c>
      <c r="BLF6" t="n">
        <v>2021</v>
      </c>
      <c r="BLG6" t="n">
        <v>2021</v>
      </c>
      <c r="BLH6" t="n">
        <v>2021</v>
      </c>
      <c r="BLI6" t="n">
        <v>2021</v>
      </c>
      <c r="BLJ6" t="n">
        <v>2021</v>
      </c>
      <c r="BLK6" t="n">
        <v>2021</v>
      </c>
      <c r="BLL6" t="n">
        <v>2021</v>
      </c>
      <c r="BLM6" t="n">
        <v>2021</v>
      </c>
      <c r="BLN6" t="n">
        <v>2021</v>
      </c>
      <c r="BLO6" t="n">
        <v>2021</v>
      </c>
      <c r="BLP6" t="n">
        <v>2021</v>
      </c>
      <c r="BLQ6" t="n">
        <v>2021</v>
      </c>
      <c r="BLR6" t="n">
        <v>2021</v>
      </c>
      <c r="BLS6" t="n">
        <v>2021</v>
      </c>
      <c r="BLT6" t="n">
        <v>2021</v>
      </c>
      <c r="BLU6" t="n">
        <v>2021</v>
      </c>
      <c r="BLV6" t="n">
        <v>2021</v>
      </c>
      <c r="BLW6" t="n">
        <v>2021</v>
      </c>
      <c r="BLX6" t="n">
        <v>2021</v>
      </c>
      <c r="BLY6" t="n">
        <v>2021</v>
      </c>
      <c r="BLZ6" t="n">
        <v>2021</v>
      </c>
      <c r="BMA6" t="n">
        <v>2021</v>
      </c>
      <c r="BMB6" t="n">
        <v>2021</v>
      </c>
      <c r="BMC6" t="n">
        <v>2021</v>
      </c>
      <c r="BMD6" t="n">
        <v>2021</v>
      </c>
      <c r="BME6" t="n">
        <v>2021</v>
      </c>
      <c r="BMF6" t="n">
        <v>2021</v>
      </c>
      <c r="BMG6" t="n">
        <v>2021</v>
      </c>
      <c r="BMH6" t="n">
        <v>2021</v>
      </c>
      <c r="BMI6" t="n">
        <v>2021</v>
      </c>
      <c r="BMJ6" t="n">
        <v>2021</v>
      </c>
      <c r="BMK6" t="n">
        <v>2021</v>
      </c>
      <c r="BML6" t="n">
        <v>2021</v>
      </c>
      <c r="BMM6" t="n">
        <v>2021</v>
      </c>
      <c r="BMN6" t="n">
        <v>2021</v>
      </c>
      <c r="BMO6" t="n">
        <v>2021</v>
      </c>
      <c r="BMP6" t="n">
        <v>2021</v>
      </c>
      <c r="BMQ6" t="n">
        <v>2021</v>
      </c>
      <c r="BMR6" t="n">
        <v>2021</v>
      </c>
      <c r="BMS6" t="n">
        <v>2021</v>
      </c>
      <c r="BMT6" t="n">
        <v>2021</v>
      </c>
      <c r="BMU6" t="n">
        <v>2021</v>
      </c>
      <c r="BMV6" t="n">
        <v>2021</v>
      </c>
      <c r="BMW6" t="n">
        <v>2021</v>
      </c>
      <c r="BMX6" t="n">
        <v>2021</v>
      </c>
      <c r="BMY6" t="n">
        <v>2021</v>
      </c>
      <c r="BMZ6" t="n">
        <v>2021</v>
      </c>
      <c r="BNA6" t="n">
        <v>2021</v>
      </c>
      <c r="BNB6" t="n">
        <v>2021</v>
      </c>
      <c r="BNC6" t="n">
        <v>2021</v>
      </c>
      <c r="BND6" t="n">
        <v>2021</v>
      </c>
      <c r="BNE6" t="n">
        <v>2021</v>
      </c>
      <c r="BNF6" t="n">
        <v>2021</v>
      </c>
      <c r="BNG6" t="n">
        <v>2021</v>
      </c>
      <c r="BNH6" t="n">
        <v>2021</v>
      </c>
      <c r="BNI6" t="n">
        <v>2021</v>
      </c>
      <c r="BNJ6" t="n">
        <v>2021</v>
      </c>
      <c r="BNK6" t="n">
        <v>2021</v>
      </c>
      <c r="BNL6" t="n">
        <v>2021</v>
      </c>
      <c r="BNM6" t="n">
        <v>2021</v>
      </c>
      <c r="BNN6" t="n">
        <v>2021</v>
      </c>
      <c r="BNO6" t="n">
        <v>2021</v>
      </c>
      <c r="BNP6" t="n">
        <v>2021</v>
      </c>
      <c r="BNQ6" t="n">
        <v>2021</v>
      </c>
      <c r="BNR6" t="n">
        <v>2021</v>
      </c>
      <c r="BNS6" t="n">
        <v>2021</v>
      </c>
      <c r="BNT6" t="n">
        <v>2021</v>
      </c>
      <c r="BNU6" t="n">
        <v>2021</v>
      </c>
      <c r="BNV6" t="n">
        <v>2021</v>
      </c>
      <c r="BNW6" t="n">
        <v>2021</v>
      </c>
      <c r="BNX6" t="n">
        <v>2021</v>
      </c>
      <c r="BNY6" t="n">
        <v>2021</v>
      </c>
      <c r="BNZ6" t="n">
        <v>2021</v>
      </c>
      <c r="BOA6" t="n">
        <v>2021</v>
      </c>
      <c r="BOB6" t="n">
        <v>2021</v>
      </c>
      <c r="BOC6" t="n">
        <v>2021</v>
      </c>
      <c r="BOD6" t="n">
        <v>2021</v>
      </c>
      <c r="BOE6" t="n">
        <v>2021</v>
      </c>
      <c r="BOF6" t="n">
        <v>2021</v>
      </c>
      <c r="BOG6" t="n">
        <v>2021</v>
      </c>
      <c r="BOH6" t="n">
        <v>2021</v>
      </c>
      <c r="BOI6" t="n">
        <v>2021</v>
      </c>
      <c r="BOJ6" t="n">
        <v>2021</v>
      </c>
      <c r="BOK6" t="n">
        <v>2021</v>
      </c>
      <c r="BOL6" t="n">
        <v>2021</v>
      </c>
      <c r="BOM6" t="n">
        <v>2021</v>
      </c>
      <c r="BON6" t="n">
        <v>2021</v>
      </c>
      <c r="BOO6" t="n">
        <v>2021</v>
      </c>
      <c r="BOP6" t="n">
        <v>2021</v>
      </c>
      <c r="BOQ6" t="n">
        <v>2021</v>
      </c>
      <c r="BOR6" t="n">
        <v>2021</v>
      </c>
      <c r="BOS6" t="n">
        <v>2021</v>
      </c>
      <c r="BOT6" t="n">
        <v>2021</v>
      </c>
      <c r="BOU6" t="n">
        <v>2021</v>
      </c>
      <c r="BOV6" t="n">
        <v>2021</v>
      </c>
      <c r="BOW6" t="n">
        <v>2021</v>
      </c>
      <c r="BOX6" t="n">
        <v>2021</v>
      </c>
      <c r="BOY6" t="n">
        <v>2021</v>
      </c>
      <c r="BOZ6" t="n">
        <v>2021</v>
      </c>
      <c r="BPA6" t="n">
        <v>2021</v>
      </c>
      <c r="BPB6" t="n">
        <v>2021</v>
      </c>
      <c r="BPC6" t="n">
        <v>2021</v>
      </c>
      <c r="BPD6" t="n">
        <v>2021</v>
      </c>
      <c r="BPE6" t="n">
        <v>2021</v>
      </c>
      <c r="BPF6" t="n">
        <v>2021</v>
      </c>
      <c r="BPG6" t="n">
        <v>2021</v>
      </c>
      <c r="BPH6" t="n">
        <v>2021</v>
      </c>
      <c r="BPI6" t="n">
        <v>2021</v>
      </c>
      <c r="BPJ6" t="n">
        <v>2021</v>
      </c>
      <c r="BPK6" t="n">
        <v>2021</v>
      </c>
      <c r="BPL6" t="n">
        <v>2021</v>
      </c>
      <c r="BPM6" t="n">
        <v>2021</v>
      </c>
      <c r="BPN6" t="n">
        <v>2021</v>
      </c>
      <c r="BPO6" t="n">
        <v>2021</v>
      </c>
      <c r="BPP6" t="n">
        <v>2021</v>
      </c>
      <c r="BPQ6" t="n">
        <v>2021</v>
      </c>
      <c r="BPR6" t="n">
        <v>2021</v>
      </c>
      <c r="BPS6" t="n">
        <v>2021</v>
      </c>
      <c r="BPT6" t="n">
        <v>2021</v>
      </c>
      <c r="BPU6" t="n">
        <v>2021</v>
      </c>
      <c r="BPV6" t="n">
        <v>2021</v>
      </c>
      <c r="BPW6" t="n">
        <v>2021</v>
      </c>
      <c r="BPX6" t="n">
        <v>2021</v>
      </c>
      <c r="BPY6" t="n">
        <v>2021</v>
      </c>
      <c r="BPZ6" t="n">
        <v>2021</v>
      </c>
      <c r="BQA6" t="n">
        <v>2021</v>
      </c>
      <c r="BQB6" t="n">
        <v>2021</v>
      </c>
      <c r="BQC6" t="n">
        <v>2021</v>
      </c>
      <c r="BQD6" t="n">
        <v>2021</v>
      </c>
      <c r="BQE6" t="n">
        <v>2021</v>
      </c>
      <c r="BQF6" t="n">
        <v>2021</v>
      </c>
      <c r="BQG6" t="n">
        <v>2021</v>
      </c>
      <c r="BQH6" t="n">
        <v>2021</v>
      </c>
      <c r="BQI6" t="n">
        <v>2021</v>
      </c>
      <c r="BQJ6" t="n">
        <v>2021</v>
      </c>
      <c r="BQK6" t="n">
        <v>2021</v>
      </c>
      <c r="BQL6" t="n">
        <v>2021</v>
      </c>
      <c r="BQM6" t="n">
        <v>2021</v>
      </c>
      <c r="BQN6" t="n">
        <v>2021</v>
      </c>
      <c r="BQO6" t="n">
        <v>2021</v>
      </c>
      <c r="BQP6" t="n">
        <v>2021</v>
      </c>
      <c r="BQQ6" t="n">
        <v>2021</v>
      </c>
      <c r="BQR6" t="n">
        <v>2021</v>
      </c>
      <c r="BQS6" t="n">
        <v>2021</v>
      </c>
      <c r="BQT6" t="n">
        <v>2021</v>
      </c>
      <c r="BQU6" t="n">
        <v>2021</v>
      </c>
      <c r="BQV6" t="n">
        <v>2021</v>
      </c>
      <c r="BQW6" t="n">
        <v>2021</v>
      </c>
      <c r="BQX6" t="n">
        <v>2021</v>
      </c>
      <c r="BQY6" t="n">
        <v>2021</v>
      </c>
      <c r="BQZ6" t="n">
        <v>2021</v>
      </c>
      <c r="BRA6" t="n">
        <v>2021</v>
      </c>
      <c r="BRB6" t="n">
        <v>2021</v>
      </c>
      <c r="BRC6" t="n">
        <v>2021</v>
      </c>
      <c r="BRD6" t="n">
        <v>2021</v>
      </c>
      <c r="BRE6" t="n">
        <v>2021</v>
      </c>
      <c r="BRF6" t="n">
        <v>2021</v>
      </c>
      <c r="BRG6" t="n">
        <v>2021</v>
      </c>
      <c r="BRH6" t="n">
        <v>2021</v>
      </c>
      <c r="BRI6" t="n">
        <v>2021</v>
      </c>
      <c r="BRJ6" t="n">
        <v>2021</v>
      </c>
      <c r="BRK6" t="n">
        <v>2021</v>
      </c>
      <c r="BRL6" t="n">
        <v>2021</v>
      </c>
      <c r="BRM6" t="n">
        <v>2021</v>
      </c>
      <c r="BRN6" t="n">
        <v>2021</v>
      </c>
      <c r="BRO6" t="n">
        <v>2021</v>
      </c>
      <c r="BRP6" t="n">
        <v>2021</v>
      </c>
      <c r="BRQ6" t="n">
        <v>2021</v>
      </c>
      <c r="BRR6" t="n">
        <v>2021</v>
      </c>
      <c r="BRS6" t="n">
        <v>2021</v>
      </c>
      <c r="BRT6" t="n">
        <v>2021</v>
      </c>
      <c r="BRU6" t="n">
        <v>2021</v>
      </c>
      <c r="BRV6" t="n">
        <v>2021</v>
      </c>
      <c r="BRW6" t="n">
        <v>2021</v>
      </c>
      <c r="BRX6" t="n">
        <v>2021</v>
      </c>
      <c r="BRY6" t="n">
        <v>2021</v>
      </c>
      <c r="BRZ6" t="n">
        <v>2021</v>
      </c>
      <c r="BSA6" t="n">
        <v>2021</v>
      </c>
      <c r="BSB6" t="n">
        <v>2021</v>
      </c>
      <c r="BSC6" t="n">
        <v>2021</v>
      </c>
      <c r="BSD6" t="n">
        <v>2021</v>
      </c>
      <c r="BSE6" t="n">
        <v>2021</v>
      </c>
      <c r="BSF6" t="n">
        <v>2021</v>
      </c>
      <c r="BSG6" t="n">
        <v>2021</v>
      </c>
      <c r="BSH6" t="n">
        <v>2021</v>
      </c>
      <c r="BSI6" t="n">
        <v>2021</v>
      </c>
      <c r="BSJ6" t="n">
        <v>2021</v>
      </c>
      <c r="BSK6" t="n">
        <v>2021</v>
      </c>
      <c r="BSL6" t="n">
        <v>2021</v>
      </c>
      <c r="BSM6" t="n">
        <v>2021</v>
      </c>
      <c r="BSN6" t="n">
        <v>2021</v>
      </c>
      <c r="BSO6" t="n">
        <v>2021</v>
      </c>
      <c r="BSP6" t="n">
        <v>2021</v>
      </c>
      <c r="BSQ6" t="n">
        <v>2021</v>
      </c>
      <c r="BSR6" t="n">
        <v>2021</v>
      </c>
      <c r="BSS6" t="n">
        <v>2021</v>
      </c>
      <c r="BST6" t="n">
        <v>2021</v>
      </c>
      <c r="BSU6" t="n">
        <v>2021</v>
      </c>
      <c r="BSV6" t="n">
        <v>2021</v>
      </c>
      <c r="BSW6" t="n">
        <v>2021</v>
      </c>
      <c r="BSX6" t="n">
        <v>2021</v>
      </c>
      <c r="BSY6" t="n">
        <v>2021</v>
      </c>
      <c r="BSZ6" t="n">
        <v>2021</v>
      </c>
      <c r="BTA6" t="n">
        <v>2021</v>
      </c>
      <c r="BTB6" t="n">
        <v>2021</v>
      </c>
      <c r="BTC6" t="n">
        <v>2021</v>
      </c>
      <c r="BTD6" t="n">
        <v>2021</v>
      </c>
      <c r="BTE6" t="n">
        <v>2021</v>
      </c>
      <c r="BTF6" t="n">
        <v>2021</v>
      </c>
      <c r="BTG6" t="n">
        <v>2021</v>
      </c>
      <c r="BTH6" t="n">
        <v>2021</v>
      </c>
      <c r="BTI6" t="n">
        <v>2021</v>
      </c>
      <c r="BTJ6" t="n">
        <v>2021</v>
      </c>
      <c r="BTK6" t="n">
        <v>2021</v>
      </c>
      <c r="BTL6" t="n">
        <v>2021</v>
      </c>
      <c r="BTM6" t="n">
        <v>2021</v>
      </c>
      <c r="BTN6" t="n">
        <v>2021</v>
      </c>
      <c r="BTO6" t="n">
        <v>2021</v>
      </c>
      <c r="BTP6" t="n">
        <v>2021</v>
      </c>
      <c r="BTQ6" t="n">
        <v>2021</v>
      </c>
      <c r="BTR6" t="n">
        <v>2021</v>
      </c>
      <c r="BTS6" t="n">
        <v>2021</v>
      </c>
      <c r="BTT6" t="n">
        <v>2021</v>
      </c>
      <c r="BTU6" t="n">
        <v>2021</v>
      </c>
      <c r="BTV6" t="n">
        <v>2021</v>
      </c>
      <c r="BTW6" t="n">
        <v>2021</v>
      </c>
      <c r="BTX6" t="n">
        <v>2021</v>
      </c>
      <c r="BTY6" t="n">
        <v>2021</v>
      </c>
      <c r="BTZ6" t="n">
        <v>2021</v>
      </c>
      <c r="BUA6" t="n">
        <v>2021</v>
      </c>
      <c r="BUB6" t="n">
        <v>2021</v>
      </c>
      <c r="BUC6" t="n">
        <v>2021</v>
      </c>
      <c r="BUD6" t="n">
        <v>2021</v>
      </c>
      <c r="BUE6" t="n">
        <v>2021</v>
      </c>
      <c r="BUF6" t="n">
        <v>2021</v>
      </c>
      <c r="BUG6" t="n">
        <v>2021</v>
      </c>
      <c r="BUH6" t="n">
        <v>2021</v>
      </c>
      <c r="BUI6" t="n">
        <v>2021</v>
      </c>
      <c r="BUJ6" t="n">
        <v>2021</v>
      </c>
      <c r="BUK6" t="n">
        <v>2021</v>
      </c>
      <c r="BUL6" t="n">
        <v>2021</v>
      </c>
      <c r="BUM6" t="n">
        <v>2021</v>
      </c>
      <c r="BUN6" t="n">
        <v>2021</v>
      </c>
      <c r="BUO6" t="n">
        <v>2021</v>
      </c>
      <c r="BUP6" t="n">
        <v>2021</v>
      </c>
      <c r="BUQ6" t="n">
        <v>2021</v>
      </c>
      <c r="BUR6" t="n">
        <v>2021</v>
      </c>
      <c r="BUS6" t="n">
        <v>2021</v>
      </c>
      <c r="BUT6" t="n">
        <v>2021</v>
      </c>
      <c r="BUU6" t="n">
        <v>2021</v>
      </c>
      <c r="BUV6" t="n">
        <v>2021</v>
      </c>
      <c r="BUW6" t="n">
        <v>2021</v>
      </c>
      <c r="BUX6" t="n">
        <v>2021</v>
      </c>
      <c r="BUY6" t="n">
        <v>2021</v>
      </c>
      <c r="BUZ6" t="n">
        <v>2021</v>
      </c>
      <c r="BVA6" t="n">
        <v>2021</v>
      </c>
      <c r="BVB6" t="n">
        <v>2021</v>
      </c>
      <c r="BVC6" t="n">
        <v>2021</v>
      </c>
      <c r="BVD6" t="n">
        <v>2021</v>
      </c>
      <c r="BVE6" t="n">
        <v>2021</v>
      </c>
      <c r="BVF6" t="n">
        <v>2021</v>
      </c>
      <c r="BVG6" t="n">
        <v>2021</v>
      </c>
      <c r="BVH6" t="n">
        <v>2021</v>
      </c>
      <c r="BVI6" t="n">
        <v>2021</v>
      </c>
      <c r="BVJ6" t="n">
        <v>2021</v>
      </c>
      <c r="BVK6" t="n">
        <v>2021</v>
      </c>
      <c r="BVL6" t="n">
        <v>2021</v>
      </c>
      <c r="BVM6" t="n">
        <v>2021</v>
      </c>
      <c r="BVN6" t="n">
        <v>2021</v>
      </c>
      <c r="BVO6" t="n">
        <v>2021</v>
      </c>
      <c r="BVP6" t="n">
        <v>2021</v>
      </c>
      <c r="BVQ6" t="n">
        <v>2021</v>
      </c>
      <c r="BVR6" t="n">
        <v>2021</v>
      </c>
      <c r="BVS6" t="n">
        <v>2021</v>
      </c>
      <c r="BVT6" t="n">
        <v>2021</v>
      </c>
      <c r="BVU6" t="n">
        <v>2021</v>
      </c>
      <c r="BVV6" t="n">
        <v>2021</v>
      </c>
      <c r="BVW6" t="n">
        <v>2021</v>
      </c>
      <c r="BVX6" t="n">
        <v>2021</v>
      </c>
      <c r="BVY6" t="n">
        <v>2021</v>
      </c>
      <c r="BVZ6" t="n">
        <v>2021</v>
      </c>
      <c r="BWA6" t="n">
        <v>2021</v>
      </c>
      <c r="BWB6" t="n">
        <v>2021</v>
      </c>
      <c r="BWC6" t="n">
        <v>2021</v>
      </c>
      <c r="BWD6" t="n">
        <v>2021</v>
      </c>
      <c r="BWE6" t="n">
        <v>2021</v>
      </c>
      <c r="BWF6" t="n">
        <v>2021</v>
      </c>
      <c r="BWG6" t="n">
        <v>2021</v>
      </c>
      <c r="BWH6" t="n">
        <v>2021</v>
      </c>
      <c r="BWI6" t="n">
        <v>2021</v>
      </c>
      <c r="BWJ6" t="n">
        <v>2021</v>
      </c>
      <c r="BWK6" t="n">
        <v>2021</v>
      </c>
      <c r="BWL6" t="n">
        <v>2021</v>
      </c>
      <c r="BWM6" t="n">
        <v>2021</v>
      </c>
      <c r="BWN6" t="n">
        <v>2021</v>
      </c>
      <c r="BWO6" t="n">
        <v>2021</v>
      </c>
      <c r="BWP6" t="n">
        <v>2021</v>
      </c>
      <c r="BWQ6" t="n">
        <v>2021</v>
      </c>
      <c r="BWR6" t="n">
        <v>2021</v>
      </c>
      <c r="BWS6" t="n">
        <v>2021</v>
      </c>
      <c r="BWT6" t="n">
        <v>2021</v>
      </c>
      <c r="BWU6" t="n">
        <v>2021</v>
      </c>
      <c r="BWV6" t="n">
        <v>2021</v>
      </c>
      <c r="BWW6" t="n">
        <v>2021</v>
      </c>
      <c r="BWX6" t="n">
        <v>2021</v>
      </c>
      <c r="BWY6" t="n">
        <v>2021</v>
      </c>
      <c r="BWZ6" t="n">
        <v>2021</v>
      </c>
      <c r="BXA6" t="n">
        <v>2021</v>
      </c>
      <c r="BXB6" t="n">
        <v>2021</v>
      </c>
      <c r="BXC6" t="n">
        <v>2021</v>
      </c>
      <c r="BXD6" t="n">
        <v>2021</v>
      </c>
      <c r="BXE6" t="n">
        <v>2021</v>
      </c>
      <c r="BXF6" t="n">
        <v>2021</v>
      </c>
      <c r="BXG6" t="n">
        <v>2021</v>
      </c>
      <c r="BXH6" t="n">
        <v>2021</v>
      </c>
      <c r="BXI6" t="n">
        <v>2021</v>
      </c>
      <c r="BXJ6" t="n">
        <v>2021</v>
      </c>
      <c r="BXK6" t="n">
        <v>2021</v>
      </c>
      <c r="BXL6" t="n">
        <v>2021</v>
      </c>
      <c r="BXM6" t="n">
        <v>2021</v>
      </c>
      <c r="BXN6" t="n">
        <v>2021</v>
      </c>
      <c r="BXO6" t="n">
        <v>2021</v>
      </c>
      <c r="BXP6" t="n">
        <v>2021</v>
      </c>
      <c r="BXQ6" t="n">
        <v>2021</v>
      </c>
      <c r="BXR6" t="n">
        <v>2021</v>
      </c>
      <c r="BXS6" t="n">
        <v>2021</v>
      </c>
      <c r="BXT6" t="n">
        <v>2021</v>
      </c>
      <c r="BXU6" t="n">
        <v>2021</v>
      </c>
      <c r="BXV6" t="n">
        <v>2021</v>
      </c>
      <c r="BXW6" t="n">
        <v>2021</v>
      </c>
      <c r="BXX6" t="n">
        <v>2021</v>
      </c>
      <c r="BXY6" t="n">
        <v>2021</v>
      </c>
      <c r="BXZ6" t="n">
        <v>2021</v>
      </c>
      <c r="BYA6" t="n">
        <v>2021</v>
      </c>
      <c r="BYB6" t="n">
        <v>2021</v>
      </c>
      <c r="BYC6" t="n">
        <v>2021</v>
      </c>
      <c r="BYD6" t="n">
        <v>2021</v>
      </c>
      <c r="BYE6" t="n">
        <v>2021</v>
      </c>
      <c r="BYF6" t="n">
        <v>2021</v>
      </c>
      <c r="BYG6" t="n">
        <v>2021</v>
      </c>
      <c r="BYH6" t="n">
        <v>2021</v>
      </c>
      <c r="BYI6" t="n">
        <v>2021</v>
      </c>
      <c r="BYJ6" t="n">
        <v>2021</v>
      </c>
      <c r="BYK6" t="n">
        <v>2021</v>
      </c>
      <c r="BYL6" t="n">
        <v>2021</v>
      </c>
      <c r="BYM6" t="n">
        <v>2021</v>
      </c>
      <c r="BYN6" t="n">
        <v>2021</v>
      </c>
      <c r="BYO6" t="n">
        <v>2021</v>
      </c>
      <c r="BYP6" t="n">
        <v>2021</v>
      </c>
      <c r="BYQ6" t="n">
        <v>2021</v>
      </c>
      <c r="BYR6" t="n">
        <v>2021</v>
      </c>
      <c r="BYS6" t="n">
        <v>2021</v>
      </c>
      <c r="BYT6" t="n">
        <v>2021</v>
      </c>
      <c r="BYU6" t="n">
        <v>2021</v>
      </c>
      <c r="BYV6" t="n">
        <v>2021</v>
      </c>
      <c r="BYW6" t="n">
        <v>2021</v>
      </c>
      <c r="BYX6" t="n">
        <v>2021</v>
      </c>
      <c r="BYY6" t="n">
        <v>2021</v>
      </c>
      <c r="BYZ6" t="n">
        <v>2021</v>
      </c>
      <c r="BZA6" t="n">
        <v>2021</v>
      </c>
      <c r="BZB6" t="n">
        <v>2021</v>
      </c>
      <c r="BZC6" t="n">
        <v>2021</v>
      </c>
      <c r="BZD6" t="n">
        <v>2021</v>
      </c>
      <c r="BZE6" t="n">
        <v>2021</v>
      </c>
      <c r="BZF6" t="n">
        <v>2021</v>
      </c>
      <c r="BZG6" t="n">
        <v>2021</v>
      </c>
      <c r="BZH6" t="n">
        <v>2021</v>
      </c>
      <c r="BZI6" t="n">
        <v>2021</v>
      </c>
      <c r="BZJ6" t="n">
        <v>2021</v>
      </c>
      <c r="BZK6" t="n">
        <v>2021</v>
      </c>
      <c r="BZL6" t="n">
        <v>2021</v>
      </c>
      <c r="BZM6" t="n">
        <v>2021</v>
      </c>
      <c r="BZN6" t="n">
        <v>2021</v>
      </c>
      <c r="BZO6" t="n">
        <v>2021</v>
      </c>
      <c r="BZP6" t="n">
        <v>2021</v>
      </c>
      <c r="BZQ6" t="n">
        <v>2021</v>
      </c>
      <c r="BZR6" t="n">
        <v>2021</v>
      </c>
      <c r="BZS6" t="n">
        <v>2021</v>
      </c>
      <c r="BZT6" t="n">
        <v>2021</v>
      </c>
      <c r="BZU6" t="n">
        <v>2021</v>
      </c>
      <c r="BZV6" t="n">
        <v>2021</v>
      </c>
      <c r="BZW6" t="n">
        <v>2021</v>
      </c>
      <c r="BZX6" t="n">
        <v>2021</v>
      </c>
      <c r="BZY6" t="n">
        <v>2021</v>
      </c>
      <c r="BZZ6" t="n">
        <v>2021</v>
      </c>
      <c r="CAA6" t="n">
        <v>2021</v>
      </c>
      <c r="CAB6" t="n">
        <v>2021</v>
      </c>
      <c r="CAC6" t="n">
        <v>2021</v>
      </c>
      <c r="CAD6" t="n">
        <v>2021</v>
      </c>
      <c r="CAE6" t="n">
        <v>2021</v>
      </c>
      <c r="CAF6" t="n">
        <v>2021</v>
      </c>
      <c r="CAG6" t="n">
        <v>2021</v>
      </c>
      <c r="CAH6" t="n">
        <v>2021</v>
      </c>
      <c r="CAI6" t="n">
        <v>2021</v>
      </c>
      <c r="CAJ6" t="n">
        <v>2021</v>
      </c>
      <c r="CAK6" t="n">
        <v>2021</v>
      </c>
      <c r="CAL6" t="n">
        <v>2021</v>
      </c>
      <c r="CAM6" t="n">
        <v>2021</v>
      </c>
      <c r="CAN6" t="n">
        <v>2021</v>
      </c>
      <c r="CAO6" t="n">
        <v>2021</v>
      </c>
      <c r="CAP6" t="n">
        <v>2021</v>
      </c>
      <c r="CAQ6" t="n">
        <v>2021</v>
      </c>
      <c r="CAR6" t="n">
        <v>2021</v>
      </c>
      <c r="CAS6" t="n">
        <v>2021</v>
      </c>
      <c r="CAT6" t="n">
        <v>2021</v>
      </c>
      <c r="CAU6" t="n">
        <v>2021</v>
      </c>
      <c r="CAV6" t="n">
        <v>2021</v>
      </c>
      <c r="CAW6" t="n">
        <v>2021</v>
      </c>
      <c r="CAX6" t="n">
        <v>2021</v>
      </c>
      <c r="CAY6" t="n">
        <v>2021</v>
      </c>
      <c r="CAZ6" t="n">
        <v>2021</v>
      </c>
      <c r="CBA6" t="n">
        <v>2021</v>
      </c>
      <c r="CBB6" t="n">
        <v>2021</v>
      </c>
      <c r="CBC6" t="n">
        <v>2021</v>
      </c>
      <c r="CBD6" t="n">
        <v>2021</v>
      </c>
      <c r="CBE6" t="n">
        <v>2021</v>
      </c>
      <c r="CBF6" t="n">
        <v>2021</v>
      </c>
      <c r="CBG6" t="n">
        <v>2021</v>
      </c>
      <c r="CBH6" t="n">
        <v>2021</v>
      </c>
      <c r="CBI6" t="n">
        <v>2021</v>
      </c>
      <c r="CBJ6" t="n">
        <v>2021</v>
      </c>
      <c r="CBK6" t="n">
        <v>2021</v>
      </c>
      <c r="CBL6" t="n">
        <v>2021</v>
      </c>
      <c r="CBM6" t="n">
        <v>2021</v>
      </c>
      <c r="CBN6" t="n">
        <v>2021</v>
      </c>
      <c r="CBO6" t="n">
        <v>2021</v>
      </c>
      <c r="CBP6" t="n">
        <v>2021</v>
      </c>
      <c r="CBQ6" t="n">
        <v>2021</v>
      </c>
      <c r="CBR6" t="n">
        <v>2021</v>
      </c>
      <c r="CBS6" t="n">
        <v>2021</v>
      </c>
      <c r="CBT6" t="n">
        <v>2021</v>
      </c>
      <c r="CBU6" t="n">
        <v>2021</v>
      </c>
      <c r="CBV6" t="n">
        <v>2021</v>
      </c>
      <c r="CBW6" t="n">
        <v>2021</v>
      </c>
      <c r="CBX6" t="n">
        <v>2021</v>
      </c>
      <c r="CBY6" t="n">
        <v>2021</v>
      </c>
      <c r="CBZ6" t="n">
        <v>2021</v>
      </c>
      <c r="CCA6" t="n">
        <v>2021</v>
      </c>
      <c r="CCB6" t="n">
        <v>2021</v>
      </c>
      <c r="CCC6" t="n">
        <v>2021</v>
      </c>
      <c r="CCD6" t="n">
        <v>2021</v>
      </c>
      <c r="CCE6" t="n">
        <v>2021</v>
      </c>
      <c r="CCF6" t="n">
        <v>2021</v>
      </c>
      <c r="CCG6" t="n">
        <v>2021</v>
      </c>
      <c r="CCH6" t="n">
        <v>2021</v>
      </c>
      <c r="CCI6" t="n">
        <v>2021</v>
      </c>
      <c r="CCJ6" t="n">
        <v>2021</v>
      </c>
      <c r="CCK6" t="n">
        <v>2021</v>
      </c>
      <c r="CCL6" t="n">
        <v>2021</v>
      </c>
      <c r="CCM6" t="n">
        <v>2021</v>
      </c>
      <c r="CCN6" t="n">
        <v>2021</v>
      </c>
      <c r="CCO6" t="n">
        <v>2021</v>
      </c>
      <c r="CCP6" t="n">
        <v>2021</v>
      </c>
      <c r="CCQ6" t="n">
        <v>2021</v>
      </c>
      <c r="CCR6" t="n">
        <v>2021</v>
      </c>
      <c r="CCS6" t="n">
        <v>2021</v>
      </c>
      <c r="CCT6" t="n">
        <v>2021</v>
      </c>
      <c r="CCU6" t="n">
        <v>2021</v>
      </c>
      <c r="CCV6" t="n">
        <v>2021</v>
      </c>
      <c r="CCW6" t="n">
        <v>2021</v>
      </c>
      <c r="CCX6" t="n">
        <v>2021</v>
      </c>
      <c r="CCY6" t="n">
        <v>2021</v>
      </c>
      <c r="CCZ6" t="n">
        <v>2021</v>
      </c>
      <c r="CDA6" t="n">
        <v>2021</v>
      </c>
      <c r="CDB6" t="n">
        <v>2021</v>
      </c>
      <c r="CDC6" t="n">
        <v>2021</v>
      </c>
      <c r="CDD6" t="n">
        <v>2021</v>
      </c>
      <c r="CDE6" t="n">
        <v>2021</v>
      </c>
      <c r="CDF6" t="n">
        <v>2021</v>
      </c>
      <c r="CDG6" t="n">
        <v>2021</v>
      </c>
      <c r="CDH6" t="n">
        <v>2020</v>
      </c>
      <c r="CDI6" t="n">
        <v>2020</v>
      </c>
      <c r="CDJ6" t="n">
        <v>2020</v>
      </c>
      <c r="CDK6" t="n">
        <v>2020</v>
      </c>
      <c r="CDL6" t="n">
        <v>2020</v>
      </c>
      <c r="CDM6" t="n">
        <v>2020</v>
      </c>
      <c r="CDN6" t="n">
        <v>2020</v>
      </c>
      <c r="CDO6" t="n">
        <v>2020</v>
      </c>
      <c r="CDP6" t="n">
        <v>2020</v>
      </c>
      <c r="CDQ6" t="n">
        <v>2020</v>
      </c>
      <c r="CDR6" t="n">
        <v>2020</v>
      </c>
      <c r="CDS6" t="n">
        <v>2020</v>
      </c>
      <c r="CDT6" t="n">
        <v>2020</v>
      </c>
      <c r="CDU6" t="n">
        <v>2020</v>
      </c>
      <c r="CDV6" t="n">
        <v>2020</v>
      </c>
      <c r="CDW6" t="n">
        <v>2020</v>
      </c>
      <c r="CDX6" t="n">
        <v>2020</v>
      </c>
      <c r="CDY6" t="n">
        <v>2020</v>
      </c>
      <c r="CDZ6" t="n">
        <v>2020</v>
      </c>
      <c r="CEA6" t="n">
        <v>2020</v>
      </c>
      <c r="CEB6" t="n">
        <v>2020</v>
      </c>
      <c r="CEC6" t="n">
        <v>2020</v>
      </c>
      <c r="CED6" t="n">
        <v>2020</v>
      </c>
      <c r="CEE6" t="n">
        <v>2020</v>
      </c>
      <c r="CEF6" t="n">
        <v>2020</v>
      </c>
      <c r="CEG6" t="n">
        <v>2020</v>
      </c>
      <c r="CEH6" t="n">
        <v>2020</v>
      </c>
      <c r="CEI6" t="n">
        <v>2020</v>
      </c>
      <c r="CEJ6" t="n">
        <v>2020</v>
      </c>
      <c r="CEK6" t="n">
        <v>2020</v>
      </c>
      <c r="CEL6" t="n">
        <v>2020</v>
      </c>
      <c r="CEM6" t="n">
        <v>2020</v>
      </c>
      <c r="CEN6" t="n">
        <v>2020</v>
      </c>
      <c r="CEO6" t="n">
        <v>2020</v>
      </c>
      <c r="CEP6" t="n">
        <v>2020</v>
      </c>
      <c r="CEQ6" t="n">
        <v>2020</v>
      </c>
      <c r="CER6" t="n">
        <v>2020</v>
      </c>
      <c r="CES6" t="n">
        <v>2020</v>
      </c>
      <c r="CET6" t="n">
        <v>2020</v>
      </c>
      <c r="CEU6" t="n">
        <v>2020</v>
      </c>
      <c r="CEV6" t="n">
        <v>2020</v>
      </c>
      <c r="CEW6" t="n">
        <v>2020</v>
      </c>
      <c r="CEX6" t="n">
        <v>2020</v>
      </c>
      <c r="CEY6" t="n">
        <v>2020</v>
      </c>
      <c r="CEZ6" t="n">
        <v>2020</v>
      </c>
      <c r="CFA6" t="n">
        <v>2020</v>
      </c>
      <c r="CFB6" t="n">
        <v>2020</v>
      </c>
      <c r="CFC6" t="n">
        <v>2020</v>
      </c>
      <c r="CFD6" t="n">
        <v>2020</v>
      </c>
      <c r="CFE6" t="n">
        <v>2020</v>
      </c>
      <c r="CFF6" t="n">
        <v>2020</v>
      </c>
      <c r="CFG6" t="n">
        <v>2020</v>
      </c>
      <c r="CFH6" t="n">
        <v>2020</v>
      </c>
      <c r="CFI6" t="n">
        <v>2020</v>
      </c>
      <c r="CFJ6" t="n">
        <v>2020</v>
      </c>
      <c r="CFK6" t="n">
        <v>2020</v>
      </c>
      <c r="CFL6" t="n">
        <v>2020</v>
      </c>
      <c r="CFM6" t="n">
        <v>2020</v>
      </c>
      <c r="CFN6" t="n">
        <v>2020</v>
      </c>
      <c r="CFO6" t="n">
        <v>2020</v>
      </c>
      <c r="CFP6" t="n">
        <v>2020</v>
      </c>
      <c r="CFQ6" t="n">
        <v>2020</v>
      </c>
      <c r="CFR6" t="n">
        <v>2020</v>
      </c>
      <c r="CFS6" t="n">
        <v>2020</v>
      </c>
      <c r="CFT6" t="n">
        <v>2020</v>
      </c>
      <c r="CFU6" t="n">
        <v>2020</v>
      </c>
      <c r="CFV6" t="n">
        <v>2020</v>
      </c>
      <c r="CFW6" t="n">
        <v>2020</v>
      </c>
      <c r="CFX6" t="n">
        <v>2020</v>
      </c>
      <c r="CFY6" t="n">
        <v>2020</v>
      </c>
      <c r="CFZ6" t="n">
        <v>2020</v>
      </c>
      <c r="CGA6" t="n">
        <v>2020</v>
      </c>
      <c r="CGB6" t="n">
        <v>2020</v>
      </c>
      <c r="CGC6" t="n">
        <v>2020</v>
      </c>
      <c r="CGD6" t="n">
        <v>2020</v>
      </c>
      <c r="CGE6" t="n">
        <v>2020</v>
      </c>
      <c r="CGF6" t="n">
        <v>2020</v>
      </c>
      <c r="CGG6" t="n">
        <v>2020</v>
      </c>
      <c r="CGH6" t="n">
        <v>2020</v>
      </c>
      <c r="CGI6" t="n">
        <v>2020</v>
      </c>
      <c r="CGJ6" t="n">
        <v>2020</v>
      </c>
      <c r="CGK6" t="n">
        <v>2020</v>
      </c>
      <c r="CGL6" t="n">
        <v>2020</v>
      </c>
      <c r="CGM6" t="n">
        <v>2020</v>
      </c>
      <c r="CGN6" t="n">
        <v>2020</v>
      </c>
      <c r="CGO6" t="n">
        <v>2020</v>
      </c>
      <c r="CGP6" t="n">
        <v>2020</v>
      </c>
      <c r="CGQ6" t="n">
        <v>2020</v>
      </c>
      <c r="CGR6" t="n">
        <v>2020</v>
      </c>
      <c r="CGS6" t="n">
        <v>2020</v>
      </c>
      <c r="CGT6" t="n">
        <v>2020</v>
      </c>
      <c r="CGU6" t="n">
        <v>2020</v>
      </c>
      <c r="CGV6" t="n">
        <v>2020</v>
      </c>
      <c r="CGW6" t="n">
        <v>2020</v>
      </c>
      <c r="CGX6" t="n">
        <v>2020</v>
      </c>
      <c r="CGY6" t="n">
        <v>2020</v>
      </c>
      <c r="CGZ6" t="n">
        <v>2020</v>
      </c>
      <c r="CHA6" t="n">
        <v>2020</v>
      </c>
      <c r="CHB6" t="n">
        <v>2020</v>
      </c>
      <c r="CHC6" t="n">
        <v>2020</v>
      </c>
      <c r="CHD6" t="n">
        <v>2020</v>
      </c>
      <c r="CHE6" t="n">
        <v>2020</v>
      </c>
      <c r="CHF6" t="n">
        <v>2020</v>
      </c>
      <c r="CHG6" t="n">
        <v>2020</v>
      </c>
      <c r="CHH6" t="n">
        <v>2020</v>
      </c>
      <c r="CHI6" t="n">
        <v>2020</v>
      </c>
      <c r="CHJ6" t="n">
        <v>2020</v>
      </c>
      <c r="CHK6" t="n">
        <v>2020</v>
      </c>
      <c r="CHL6" t="n">
        <v>2020</v>
      </c>
      <c r="CHM6" t="n">
        <v>2020</v>
      </c>
      <c r="CHN6" t="n">
        <v>2020</v>
      </c>
      <c r="CHO6" t="n">
        <v>2020</v>
      </c>
      <c r="CHP6" t="n">
        <v>2020</v>
      </c>
      <c r="CHQ6" t="n">
        <v>2020</v>
      </c>
      <c r="CHR6" t="n">
        <v>2020</v>
      </c>
      <c r="CHS6" t="n">
        <v>2020</v>
      </c>
      <c r="CHT6" t="n">
        <v>2020</v>
      </c>
      <c r="CHU6" t="n">
        <v>2020</v>
      </c>
      <c r="CHV6" t="n">
        <v>2020</v>
      </c>
      <c r="CHW6" t="n">
        <v>2020</v>
      </c>
      <c r="CHX6" t="n">
        <v>2020</v>
      </c>
      <c r="CHY6" t="n">
        <v>2020</v>
      </c>
      <c r="CHZ6" t="n">
        <v>2020</v>
      </c>
      <c r="CIA6" t="n">
        <v>2020</v>
      </c>
      <c r="CIB6" t="n">
        <v>2020</v>
      </c>
      <c r="CIC6" t="n">
        <v>2020</v>
      </c>
      <c r="CID6" t="n">
        <v>2020</v>
      </c>
      <c r="CIE6" t="n">
        <v>2020</v>
      </c>
      <c r="CIF6" t="n">
        <v>2020</v>
      </c>
      <c r="CIG6" t="n">
        <v>2020</v>
      </c>
      <c r="CIH6" t="n">
        <v>2020</v>
      </c>
      <c r="CII6" t="n">
        <v>2020</v>
      </c>
      <c r="CIJ6" t="n">
        <v>2020</v>
      </c>
      <c r="CIK6" t="n">
        <v>2020</v>
      </c>
      <c r="CIL6" t="n">
        <v>2020</v>
      </c>
      <c r="CIM6" t="n">
        <v>2020</v>
      </c>
      <c r="CIN6" t="n">
        <v>2020</v>
      </c>
      <c r="CIO6" t="n">
        <v>2020</v>
      </c>
      <c r="CIP6" t="n">
        <v>2020</v>
      </c>
      <c r="CIQ6" t="n">
        <v>2020</v>
      </c>
      <c r="CIR6" t="n">
        <v>2020</v>
      </c>
      <c r="CIS6" t="n">
        <v>2020</v>
      </c>
      <c r="CIT6" t="n">
        <v>2020</v>
      </c>
      <c r="CIU6" t="n">
        <v>2020</v>
      </c>
      <c r="CIV6" t="n">
        <v>2020</v>
      </c>
      <c r="CIW6" t="n">
        <v>2020</v>
      </c>
      <c r="CIX6" t="n">
        <v>2020</v>
      </c>
      <c r="CIY6" t="n">
        <v>2020</v>
      </c>
      <c r="CIZ6" t="n">
        <v>2020</v>
      </c>
      <c r="CJA6" t="n">
        <v>2020</v>
      </c>
      <c r="CJB6" t="n">
        <v>2020</v>
      </c>
      <c r="CJC6" t="n">
        <v>2020</v>
      </c>
      <c r="CJD6" t="n">
        <v>2020</v>
      </c>
      <c r="CJE6" t="n">
        <v>2020</v>
      </c>
      <c r="CJF6" t="n">
        <v>2020</v>
      </c>
      <c r="CJG6" t="n">
        <v>2020</v>
      </c>
      <c r="CJH6" t="n">
        <v>2020</v>
      </c>
      <c r="CJI6" t="n">
        <v>2020</v>
      </c>
      <c r="CJJ6" t="n">
        <v>2020</v>
      </c>
      <c r="CJK6" t="n">
        <v>2020</v>
      </c>
      <c r="CJL6" t="n">
        <v>2020</v>
      </c>
      <c r="CJM6" t="n">
        <v>2020</v>
      </c>
      <c r="CJN6" t="n">
        <v>2020</v>
      </c>
      <c r="CJO6" t="n">
        <v>2020</v>
      </c>
      <c r="CJP6" t="n">
        <v>2020</v>
      </c>
      <c r="CJQ6" t="n">
        <v>2020</v>
      </c>
      <c r="CJR6" t="n">
        <v>2020</v>
      </c>
      <c r="CJS6" t="n">
        <v>2020</v>
      </c>
      <c r="CJT6" t="n">
        <v>2020</v>
      </c>
      <c r="CJU6" t="n">
        <v>2020</v>
      </c>
      <c r="CJV6" t="n">
        <v>2020</v>
      </c>
      <c r="CJW6" t="n">
        <v>2020</v>
      </c>
      <c r="CJX6" t="n">
        <v>2020</v>
      </c>
      <c r="CJY6" t="n">
        <v>2020</v>
      </c>
      <c r="CJZ6" t="n">
        <v>2020</v>
      </c>
      <c r="CKA6" t="n">
        <v>2020</v>
      </c>
      <c r="CKB6" t="n">
        <v>2020</v>
      </c>
      <c r="CKC6" t="n">
        <v>2020</v>
      </c>
      <c r="CKD6" t="n">
        <v>2020</v>
      </c>
      <c r="CKE6" t="n">
        <v>2020</v>
      </c>
      <c r="CKF6" t="n">
        <v>2020</v>
      </c>
      <c r="CKG6" t="n">
        <v>2020</v>
      </c>
      <c r="CKH6" t="n">
        <v>2020</v>
      </c>
      <c r="CKI6" t="n">
        <v>2020</v>
      </c>
      <c r="CKJ6" t="n">
        <v>2020</v>
      </c>
      <c r="CKK6" t="n">
        <v>2020</v>
      </c>
      <c r="CKL6" t="n">
        <v>2020</v>
      </c>
      <c r="CKM6" t="n">
        <v>2020</v>
      </c>
      <c r="CKN6" t="n">
        <v>2020</v>
      </c>
      <c r="CKO6" t="n">
        <v>2020</v>
      </c>
      <c r="CKP6" t="n">
        <v>2020</v>
      </c>
      <c r="CKQ6" t="n">
        <v>2020</v>
      </c>
      <c r="CKR6" t="n">
        <v>2020</v>
      </c>
      <c r="CKS6" t="n">
        <v>2020</v>
      </c>
      <c r="CKT6" t="n">
        <v>2020</v>
      </c>
      <c r="CKU6" t="n">
        <v>2020</v>
      </c>
      <c r="CKV6" t="n">
        <v>2020</v>
      </c>
      <c r="CKW6" t="n">
        <v>2020</v>
      </c>
      <c r="CKX6" t="n">
        <v>2020</v>
      </c>
      <c r="CKY6" t="n">
        <v>2020</v>
      </c>
      <c r="CKZ6" t="n">
        <v>2020</v>
      </c>
      <c r="CLA6" t="n">
        <v>2020</v>
      </c>
      <c r="CLB6" t="n">
        <v>2020</v>
      </c>
      <c r="CLC6" t="n">
        <v>2020</v>
      </c>
      <c r="CLD6" t="n">
        <v>2020</v>
      </c>
      <c r="CLE6" t="n">
        <v>2020</v>
      </c>
      <c r="CLF6" t="n">
        <v>2020</v>
      </c>
      <c r="CLG6" t="n">
        <v>2020</v>
      </c>
      <c r="CLH6" t="n">
        <v>2020</v>
      </c>
      <c r="CLI6" t="n">
        <v>2020</v>
      </c>
      <c r="CLJ6" t="n">
        <v>2020</v>
      </c>
      <c r="CLK6" t="n">
        <v>2020</v>
      </c>
      <c r="CLL6" t="n">
        <v>2020</v>
      </c>
      <c r="CLM6" t="n">
        <v>2020</v>
      </c>
      <c r="CLN6" t="n">
        <v>2020</v>
      </c>
      <c r="CLO6" t="n">
        <v>2020</v>
      </c>
      <c r="CLP6" t="n">
        <v>2020</v>
      </c>
      <c r="CLQ6" t="n">
        <v>2020</v>
      </c>
      <c r="CLR6" t="n">
        <v>2020</v>
      </c>
      <c r="CLS6" t="n">
        <v>2020</v>
      </c>
      <c r="CLT6" t="n">
        <v>2020</v>
      </c>
      <c r="CLU6" t="n">
        <v>2020</v>
      </c>
      <c r="CLV6" t="n">
        <v>2020</v>
      </c>
      <c r="CLW6" t="n">
        <v>2020</v>
      </c>
      <c r="CLX6" t="n">
        <v>2020</v>
      </c>
      <c r="CLY6" t="n">
        <v>2020</v>
      </c>
      <c r="CLZ6" t="n">
        <v>2020</v>
      </c>
      <c r="CMA6" t="n">
        <v>2020</v>
      </c>
      <c r="CMB6" t="n">
        <v>2020</v>
      </c>
      <c r="CMC6" t="n">
        <v>2020</v>
      </c>
      <c r="CMD6" t="n">
        <v>2020</v>
      </c>
      <c r="CME6" t="n">
        <v>2020</v>
      </c>
      <c r="CMF6" t="n">
        <v>2020</v>
      </c>
      <c r="CMG6" t="n">
        <v>2020</v>
      </c>
      <c r="CMH6" t="n">
        <v>2020</v>
      </c>
      <c r="CMI6" t="n">
        <v>2020</v>
      </c>
      <c r="CMJ6" t="n">
        <v>2020</v>
      </c>
      <c r="CMK6" t="n">
        <v>2020</v>
      </c>
      <c r="CML6" t="n">
        <v>2020</v>
      </c>
      <c r="CMM6" t="n">
        <v>2020</v>
      </c>
      <c r="CMN6" t="n">
        <v>2020</v>
      </c>
      <c r="CMO6" t="n">
        <v>2020</v>
      </c>
      <c r="CMP6" t="n">
        <v>2020</v>
      </c>
      <c r="CMQ6" t="n">
        <v>2020</v>
      </c>
      <c r="CMR6" t="n">
        <v>2020</v>
      </c>
      <c r="CMS6" t="n">
        <v>2020</v>
      </c>
      <c r="CMT6" t="n">
        <v>2020</v>
      </c>
      <c r="CMU6" t="n">
        <v>2020</v>
      </c>
      <c r="CMV6" t="n">
        <v>2020</v>
      </c>
      <c r="CMW6" t="n">
        <v>2020</v>
      </c>
      <c r="CMX6" t="n">
        <v>2020</v>
      </c>
      <c r="CMY6" t="n">
        <v>2020</v>
      </c>
      <c r="CMZ6" t="n">
        <v>2020</v>
      </c>
      <c r="CNA6" t="n">
        <v>2020</v>
      </c>
      <c r="CNB6" t="n">
        <v>2020</v>
      </c>
      <c r="CNC6" t="n">
        <v>2020</v>
      </c>
      <c r="CND6" t="n">
        <v>2020</v>
      </c>
      <c r="CNE6" t="n">
        <v>2020</v>
      </c>
      <c r="CNF6" t="n">
        <v>2020</v>
      </c>
      <c r="CNG6" t="n">
        <v>2020</v>
      </c>
      <c r="CNH6" t="n">
        <v>2020</v>
      </c>
      <c r="CNI6" t="n">
        <v>2020</v>
      </c>
      <c r="CNJ6" t="n">
        <v>2020</v>
      </c>
      <c r="CNK6" t="n">
        <v>2020</v>
      </c>
      <c r="CNL6" t="n">
        <v>2020</v>
      </c>
      <c r="CNM6" t="n">
        <v>2020</v>
      </c>
      <c r="CNN6" t="n">
        <v>2020</v>
      </c>
      <c r="CNO6" t="n">
        <v>2020</v>
      </c>
      <c r="CNP6" t="n">
        <v>2020</v>
      </c>
      <c r="CNQ6" t="n">
        <v>2020</v>
      </c>
      <c r="CNR6" t="n">
        <v>2020</v>
      </c>
      <c r="CNS6" t="n">
        <v>2020</v>
      </c>
      <c r="CNT6" t="n">
        <v>2020</v>
      </c>
      <c r="CNU6" t="n">
        <v>2020</v>
      </c>
      <c r="CNV6" t="n">
        <v>2020</v>
      </c>
      <c r="CNW6" t="n">
        <v>2020</v>
      </c>
      <c r="CNX6" t="n">
        <v>2020</v>
      </c>
      <c r="CNY6" t="n">
        <v>2020</v>
      </c>
      <c r="CNZ6" t="n">
        <v>2020</v>
      </c>
      <c r="COA6" t="n">
        <v>2020</v>
      </c>
      <c r="COB6" t="n">
        <v>2020</v>
      </c>
      <c r="COC6" t="n">
        <v>2020</v>
      </c>
      <c r="COD6" t="n">
        <v>2020</v>
      </c>
      <c r="COE6" t="n">
        <v>2020</v>
      </c>
      <c r="COF6" t="n">
        <v>2020</v>
      </c>
      <c r="COG6" t="n">
        <v>2020</v>
      </c>
      <c r="COH6" t="n">
        <v>2020</v>
      </c>
      <c r="COI6" t="n">
        <v>2020</v>
      </c>
      <c r="COJ6" t="n">
        <v>2020</v>
      </c>
      <c r="COK6" t="n">
        <v>2020</v>
      </c>
      <c r="COL6" t="n">
        <v>2020</v>
      </c>
      <c r="COM6" t="n">
        <v>2020</v>
      </c>
      <c r="CON6" t="n">
        <v>2020</v>
      </c>
      <c r="COO6" t="n">
        <v>2020</v>
      </c>
      <c r="COP6" t="n">
        <v>2020</v>
      </c>
      <c r="COQ6" t="n">
        <v>2020</v>
      </c>
      <c r="COR6" t="n">
        <v>2020</v>
      </c>
      <c r="COS6" t="n">
        <v>2020</v>
      </c>
      <c r="COT6" t="n">
        <v>2020</v>
      </c>
      <c r="COU6" t="n">
        <v>2020</v>
      </c>
      <c r="COV6" t="n">
        <v>2020</v>
      </c>
      <c r="COW6" t="n">
        <v>2020</v>
      </c>
      <c r="COX6" t="n">
        <v>2020</v>
      </c>
      <c r="COY6" t="n">
        <v>2020</v>
      </c>
      <c r="COZ6" t="n">
        <v>2020</v>
      </c>
      <c r="CPA6" t="n">
        <v>2020</v>
      </c>
      <c r="CPB6" t="n">
        <v>2020</v>
      </c>
      <c r="CPC6" t="n">
        <v>2020</v>
      </c>
      <c r="CPD6" t="n">
        <v>2020</v>
      </c>
      <c r="CPE6" t="n">
        <v>2020</v>
      </c>
      <c r="CPF6" t="n">
        <v>2020</v>
      </c>
      <c r="CPG6" t="n">
        <v>2020</v>
      </c>
      <c r="CPH6" t="n">
        <v>2020</v>
      </c>
      <c r="CPI6" t="n">
        <v>2020</v>
      </c>
      <c r="CPJ6" t="n">
        <v>2020</v>
      </c>
      <c r="CPK6" t="n">
        <v>2020</v>
      </c>
      <c r="CPL6" t="n">
        <v>2020</v>
      </c>
      <c r="CPM6" t="n">
        <v>2020</v>
      </c>
      <c r="CPN6" t="n">
        <v>2020</v>
      </c>
      <c r="CPO6" t="n">
        <v>2020</v>
      </c>
      <c r="CPP6" t="n">
        <v>2020</v>
      </c>
      <c r="CPQ6" t="n">
        <v>2020</v>
      </c>
      <c r="CPR6" t="n">
        <v>2020</v>
      </c>
      <c r="CPS6" t="n">
        <v>2020</v>
      </c>
      <c r="CPT6" t="n">
        <v>2020</v>
      </c>
      <c r="CPU6" t="n">
        <v>2020</v>
      </c>
      <c r="CPV6" t="n">
        <v>2020</v>
      </c>
      <c r="CPW6" t="n">
        <v>2020</v>
      </c>
      <c r="CPX6" t="n">
        <v>2020</v>
      </c>
      <c r="CPY6" t="n">
        <v>2020</v>
      </c>
      <c r="CPZ6" t="n">
        <v>2020</v>
      </c>
      <c r="CQA6" t="n">
        <v>2020</v>
      </c>
      <c r="CQB6" t="n">
        <v>2020</v>
      </c>
      <c r="CQC6" t="n">
        <v>2020</v>
      </c>
      <c r="CQD6" t="n">
        <v>2020</v>
      </c>
      <c r="CQE6" t="n">
        <v>2020</v>
      </c>
      <c r="CQF6" t="n">
        <v>2020</v>
      </c>
      <c r="CQG6" t="n">
        <v>2020</v>
      </c>
      <c r="CQH6" t="n">
        <v>2020</v>
      </c>
      <c r="CQI6" t="n">
        <v>2020</v>
      </c>
      <c r="CQJ6" t="n">
        <v>2020</v>
      </c>
      <c r="CQK6" t="n">
        <v>2020</v>
      </c>
      <c r="CQL6" t="n">
        <v>2020</v>
      </c>
      <c r="CQM6" t="n">
        <v>2020</v>
      </c>
      <c r="CQN6" t="n">
        <v>2020</v>
      </c>
      <c r="CQO6" t="n">
        <v>2020</v>
      </c>
      <c r="CQP6" t="n">
        <v>2020</v>
      </c>
      <c r="CQQ6" t="n">
        <v>2020</v>
      </c>
      <c r="CQR6" t="n">
        <v>2020</v>
      </c>
      <c r="CQS6" t="n">
        <v>2020</v>
      </c>
      <c r="CQT6" t="n">
        <v>2020</v>
      </c>
      <c r="CQU6" t="n">
        <v>2020</v>
      </c>
      <c r="CQV6" t="n">
        <v>2020</v>
      </c>
      <c r="CQW6" t="n">
        <v>2020</v>
      </c>
      <c r="CQX6" t="n">
        <v>2020</v>
      </c>
      <c r="CQY6" t="n">
        <v>2020</v>
      </c>
      <c r="CQZ6" t="n">
        <v>2020</v>
      </c>
      <c r="CRA6" t="n">
        <v>2020</v>
      </c>
      <c r="CRB6" t="n">
        <v>2020</v>
      </c>
      <c r="CRC6" t="n">
        <v>2020</v>
      </c>
      <c r="CRD6" t="n">
        <v>2020</v>
      </c>
      <c r="CRE6" t="n">
        <v>2020</v>
      </c>
      <c r="CRF6" t="n">
        <v>2020</v>
      </c>
      <c r="CRG6" t="n">
        <v>2020</v>
      </c>
      <c r="CRH6" t="n">
        <v>2020</v>
      </c>
      <c r="CRI6" t="n">
        <v>2020</v>
      </c>
      <c r="CRJ6" t="n">
        <v>2020</v>
      </c>
      <c r="CRK6" t="n">
        <v>2020</v>
      </c>
      <c r="CRL6" t="n">
        <v>2020</v>
      </c>
      <c r="CRM6" t="n">
        <v>2020</v>
      </c>
      <c r="CRN6" t="n">
        <v>2020</v>
      </c>
      <c r="CRO6" t="n">
        <v>2020</v>
      </c>
      <c r="CRP6" t="n">
        <v>2020</v>
      </c>
      <c r="CRQ6" t="n">
        <v>2020</v>
      </c>
      <c r="CRR6" t="n">
        <v>2020</v>
      </c>
      <c r="CRS6" t="n">
        <v>2020</v>
      </c>
      <c r="CRT6" t="n">
        <v>2020</v>
      </c>
      <c r="CRU6" t="n">
        <v>2020</v>
      </c>
      <c r="CRV6" t="n">
        <v>2020</v>
      </c>
      <c r="CRW6" t="n">
        <v>2020</v>
      </c>
      <c r="CRX6" t="n">
        <v>2020</v>
      </c>
      <c r="CRY6" t="n">
        <v>2020</v>
      </c>
      <c r="CRZ6" t="n">
        <v>2020</v>
      </c>
      <c r="CSA6" t="n">
        <v>2020</v>
      </c>
      <c r="CSB6" t="n">
        <v>2020</v>
      </c>
      <c r="CSC6" t="n">
        <v>2020</v>
      </c>
      <c r="CSD6" t="n">
        <v>2020</v>
      </c>
      <c r="CSE6" t="n">
        <v>2020</v>
      </c>
      <c r="CSF6" t="n">
        <v>2020</v>
      </c>
      <c r="CSG6" t="n">
        <v>2020</v>
      </c>
      <c r="CSH6" t="n">
        <v>2020</v>
      </c>
      <c r="CSI6" t="n">
        <v>2020</v>
      </c>
      <c r="CSJ6" t="n">
        <v>2020</v>
      </c>
      <c r="CSK6" t="n">
        <v>2020</v>
      </c>
      <c r="CSL6" t="n">
        <v>2020</v>
      </c>
      <c r="CSM6" t="n">
        <v>2020</v>
      </c>
      <c r="CSN6" t="n">
        <v>2020</v>
      </c>
      <c r="CSO6" t="n">
        <v>2020</v>
      </c>
      <c r="CSP6" t="n">
        <v>2020</v>
      </c>
      <c r="CSQ6" t="n">
        <v>2020</v>
      </c>
      <c r="CSR6" t="n">
        <v>2020</v>
      </c>
      <c r="CSS6" t="n">
        <v>2020</v>
      </c>
      <c r="CST6" t="n">
        <v>2020</v>
      </c>
      <c r="CSU6" t="n">
        <v>2020</v>
      </c>
      <c r="CSV6" t="n">
        <v>2020</v>
      </c>
      <c r="CSW6" t="n">
        <v>2020</v>
      </c>
      <c r="CSX6" t="n">
        <v>2020</v>
      </c>
      <c r="CSY6" t="n">
        <v>2020</v>
      </c>
      <c r="CSZ6" t="n">
        <v>2020</v>
      </c>
      <c r="CTA6" t="n">
        <v>2020</v>
      </c>
      <c r="CTB6" t="n">
        <v>2020</v>
      </c>
      <c r="CTC6" t="n">
        <v>2020</v>
      </c>
      <c r="CTD6" t="n">
        <v>2020</v>
      </c>
      <c r="CTE6" t="n">
        <v>2020</v>
      </c>
      <c r="CTF6" t="n">
        <v>2020</v>
      </c>
      <c r="CTG6" t="n">
        <v>2020</v>
      </c>
      <c r="CTH6" t="n">
        <v>2020</v>
      </c>
      <c r="CTI6" t="n">
        <v>2020</v>
      </c>
      <c r="CTJ6" t="n">
        <v>2020</v>
      </c>
      <c r="CTK6" t="n">
        <v>2020</v>
      </c>
      <c r="CTL6" t="n">
        <v>2020</v>
      </c>
      <c r="CTM6" t="n">
        <v>2020</v>
      </c>
      <c r="CTN6" t="n">
        <v>2020</v>
      </c>
      <c r="CTO6" t="n">
        <v>2020</v>
      </c>
      <c r="CTP6" t="n">
        <v>2020</v>
      </c>
      <c r="CTQ6" t="n">
        <v>2020</v>
      </c>
      <c r="CTR6" t="n">
        <v>2020</v>
      </c>
      <c r="CTS6" t="n">
        <v>2020</v>
      </c>
      <c r="CTT6" t="n">
        <v>2020</v>
      </c>
      <c r="CTU6" t="n">
        <v>2020</v>
      </c>
      <c r="CTV6" t="n">
        <v>2020</v>
      </c>
      <c r="CTW6" t="n">
        <v>2020</v>
      </c>
      <c r="CTX6" t="n">
        <v>2020</v>
      </c>
      <c r="CTY6" t="n">
        <v>2020</v>
      </c>
      <c r="CTZ6" t="n">
        <v>2020</v>
      </c>
      <c r="CUA6" t="n">
        <v>2020</v>
      </c>
      <c r="CUB6" t="n">
        <v>2020</v>
      </c>
      <c r="CUC6" t="n">
        <v>2020</v>
      </c>
      <c r="CUD6" t="n">
        <v>2020</v>
      </c>
      <c r="CUE6" t="n">
        <v>2020</v>
      </c>
      <c r="CUF6" t="n">
        <v>2020</v>
      </c>
      <c r="CUG6" t="n">
        <v>2020</v>
      </c>
      <c r="CUH6" t="n">
        <v>2020</v>
      </c>
      <c r="CUI6" t="n">
        <v>2020</v>
      </c>
      <c r="CUJ6" t="n">
        <v>2020</v>
      </c>
      <c r="CUK6" t="n">
        <v>2020</v>
      </c>
      <c r="CUL6" t="n">
        <v>2020</v>
      </c>
      <c r="CUM6" t="n">
        <v>2020</v>
      </c>
      <c r="CUN6" t="n">
        <v>2020</v>
      </c>
      <c r="CUO6" t="n">
        <v>2020</v>
      </c>
      <c r="CUP6" t="n">
        <v>2020</v>
      </c>
      <c r="CUQ6" t="n">
        <v>2020</v>
      </c>
      <c r="CUR6" t="n">
        <v>2020</v>
      </c>
      <c r="CUS6" t="n">
        <v>2020</v>
      </c>
      <c r="CUT6" t="n">
        <v>2020</v>
      </c>
      <c r="CUU6" t="n">
        <v>2020</v>
      </c>
      <c r="CUV6" t="n">
        <v>2020</v>
      </c>
      <c r="CUW6" t="n">
        <v>2020</v>
      </c>
      <c r="CUX6" t="n">
        <v>2020</v>
      </c>
      <c r="CUY6" t="n">
        <v>2020</v>
      </c>
      <c r="CUZ6" t="n">
        <v>2020</v>
      </c>
      <c r="CVA6" t="n">
        <v>2020</v>
      </c>
      <c r="CVB6" t="n">
        <v>2020</v>
      </c>
      <c r="CVC6" t="n">
        <v>2020</v>
      </c>
      <c r="CVD6" t="n">
        <v>2020</v>
      </c>
      <c r="CVE6" t="n">
        <v>2020</v>
      </c>
      <c r="CVF6" t="n">
        <v>2020</v>
      </c>
      <c r="CVG6" t="n">
        <v>2020</v>
      </c>
      <c r="CVH6" t="n">
        <v>2020</v>
      </c>
      <c r="CVI6" t="n">
        <v>2020</v>
      </c>
      <c r="CVJ6" t="n">
        <v>2020</v>
      </c>
      <c r="CVK6" t="n">
        <v>2020</v>
      </c>
      <c r="CVL6" t="n">
        <v>2020</v>
      </c>
      <c r="CVM6" t="n">
        <v>2020</v>
      </c>
      <c r="CVN6" t="n">
        <v>2020</v>
      </c>
      <c r="CVO6" t="n">
        <v>2020</v>
      </c>
      <c r="CVP6" t="n">
        <v>2020</v>
      </c>
      <c r="CVQ6" t="n">
        <v>2020</v>
      </c>
      <c r="CVR6" t="n">
        <v>2020</v>
      </c>
      <c r="CVS6" t="n">
        <v>2020</v>
      </c>
      <c r="CVT6" t="n">
        <v>2020</v>
      </c>
      <c r="CVU6" t="n">
        <v>2020</v>
      </c>
      <c r="CVV6" t="n">
        <v>2020</v>
      </c>
      <c r="CVW6" t="n">
        <v>2020</v>
      </c>
      <c r="CVX6" t="n">
        <v>2020</v>
      </c>
      <c r="CVY6" t="n">
        <v>2020</v>
      </c>
      <c r="CVZ6" t="n">
        <v>2020</v>
      </c>
      <c r="CWA6" t="n">
        <v>2020</v>
      </c>
      <c r="CWB6" t="n">
        <v>2020</v>
      </c>
      <c r="CWC6" t="n">
        <v>2020</v>
      </c>
      <c r="CWD6" t="n">
        <v>2020</v>
      </c>
      <c r="CWE6" t="n">
        <v>2020</v>
      </c>
      <c r="CWF6" t="n">
        <v>2020</v>
      </c>
      <c r="CWG6" t="n">
        <v>2020</v>
      </c>
      <c r="CWH6" t="n">
        <v>2020</v>
      </c>
      <c r="CWI6" t="n">
        <v>2020</v>
      </c>
      <c r="CWJ6" t="n">
        <v>2020</v>
      </c>
      <c r="CWK6" t="n">
        <v>2020</v>
      </c>
      <c r="CWL6" t="n">
        <v>2020</v>
      </c>
      <c r="CWM6" t="n">
        <v>2020</v>
      </c>
      <c r="CWN6" t="n">
        <v>2020</v>
      </c>
      <c r="CWO6" t="n">
        <v>2020</v>
      </c>
      <c r="CWP6" t="n">
        <v>2020</v>
      </c>
      <c r="CWQ6" t="n">
        <v>2020</v>
      </c>
      <c r="CWR6" t="n">
        <v>2020</v>
      </c>
      <c r="CWS6" t="n">
        <v>2020</v>
      </c>
      <c r="CWT6" t="n">
        <v>2020</v>
      </c>
      <c r="CWU6" t="n">
        <v>2020</v>
      </c>
      <c r="CWV6" t="n">
        <v>2020</v>
      </c>
      <c r="CWW6" t="n">
        <v>2020</v>
      </c>
      <c r="CWX6" t="n">
        <v>2020</v>
      </c>
      <c r="CWY6" t="n">
        <v>2020</v>
      </c>
      <c r="CWZ6" t="n">
        <v>2020</v>
      </c>
      <c r="CXA6" t="n">
        <v>2020</v>
      </c>
      <c r="CXB6" t="n">
        <v>2020</v>
      </c>
      <c r="CXC6" t="n">
        <v>2020</v>
      </c>
      <c r="CXD6" t="n">
        <v>2020</v>
      </c>
      <c r="CXE6" t="n">
        <v>2020</v>
      </c>
      <c r="CXF6" t="n">
        <v>2020</v>
      </c>
      <c r="CXG6" t="n">
        <v>2020</v>
      </c>
      <c r="CXH6" t="n">
        <v>2020</v>
      </c>
      <c r="CXI6" t="n">
        <v>2020</v>
      </c>
      <c r="CXJ6" t="n">
        <v>2020</v>
      </c>
      <c r="CXK6" t="n">
        <v>2020</v>
      </c>
      <c r="CXL6" t="n">
        <v>2020</v>
      </c>
      <c r="CXM6" t="n">
        <v>2020</v>
      </c>
      <c r="CXN6" t="n">
        <v>2020</v>
      </c>
      <c r="CXO6" t="n">
        <v>2020</v>
      </c>
      <c r="CXP6" t="n">
        <v>2020</v>
      </c>
      <c r="CXQ6" t="n">
        <v>2020</v>
      </c>
      <c r="CXR6" t="n">
        <v>2020</v>
      </c>
      <c r="CXS6" t="n">
        <v>2020</v>
      </c>
      <c r="CXT6" t="n">
        <v>2020</v>
      </c>
      <c r="CXU6" t="n">
        <v>2020</v>
      </c>
      <c r="CXV6" t="n">
        <v>2020</v>
      </c>
      <c r="CXW6" t="n">
        <v>2020</v>
      </c>
      <c r="CXX6" t="n">
        <v>2020</v>
      </c>
      <c r="CXY6" t="n">
        <v>2020</v>
      </c>
      <c r="CXZ6" t="n">
        <v>2020</v>
      </c>
      <c r="CYA6" t="n">
        <v>2020</v>
      </c>
      <c r="CYB6" t="n">
        <v>2020</v>
      </c>
      <c r="CYC6" t="n">
        <v>2020</v>
      </c>
      <c r="CYD6" t="n">
        <v>2020</v>
      </c>
      <c r="CYE6" t="n">
        <v>2020</v>
      </c>
      <c r="CYF6" t="n">
        <v>2020</v>
      </c>
      <c r="CYG6" t="n">
        <v>2020</v>
      </c>
      <c r="CYH6" t="n">
        <v>2020</v>
      </c>
      <c r="CYI6" t="n">
        <v>2020</v>
      </c>
      <c r="CYJ6" t="n">
        <v>2020</v>
      </c>
      <c r="CYK6" t="n">
        <v>2020</v>
      </c>
      <c r="CYL6" t="n">
        <v>2020</v>
      </c>
      <c r="CYM6" t="n">
        <v>2020</v>
      </c>
      <c r="CYN6" t="n">
        <v>2020</v>
      </c>
      <c r="CYO6" t="n">
        <v>2020</v>
      </c>
      <c r="CYP6" t="n">
        <v>2020</v>
      </c>
      <c r="CYQ6" t="n">
        <v>2020</v>
      </c>
      <c r="CYR6" t="n">
        <v>2020</v>
      </c>
      <c r="CYS6" t="n">
        <v>2020</v>
      </c>
      <c r="CYT6" t="n">
        <v>2020</v>
      </c>
      <c r="CYU6" t="n">
        <v>2020</v>
      </c>
      <c r="CYV6" t="n">
        <v>2020</v>
      </c>
      <c r="CYW6" t="n">
        <v>2020</v>
      </c>
      <c r="CYX6" t="n">
        <v>2020</v>
      </c>
      <c r="CYY6" t="n">
        <v>2020</v>
      </c>
      <c r="CYZ6" t="n">
        <v>2020</v>
      </c>
      <c r="CZA6" t="n">
        <v>2020</v>
      </c>
      <c r="CZB6" t="n">
        <v>2020</v>
      </c>
      <c r="CZC6" t="n">
        <v>2020</v>
      </c>
      <c r="CZD6" t="n">
        <v>2020</v>
      </c>
      <c r="CZE6" t="n">
        <v>2020</v>
      </c>
      <c r="CZF6" t="n">
        <v>2020</v>
      </c>
      <c r="CZG6" t="n">
        <v>2020</v>
      </c>
      <c r="CZH6" t="n">
        <v>2020</v>
      </c>
      <c r="CZI6" t="n">
        <v>2020</v>
      </c>
      <c r="CZJ6" t="n">
        <v>2020</v>
      </c>
      <c r="CZK6" t="n">
        <v>2020</v>
      </c>
      <c r="CZL6" t="n">
        <v>2020</v>
      </c>
      <c r="CZM6" t="n">
        <v>2020</v>
      </c>
      <c r="CZN6" t="n">
        <v>2020</v>
      </c>
      <c r="CZO6" t="n">
        <v>2020</v>
      </c>
      <c r="CZP6" t="n">
        <v>2020</v>
      </c>
      <c r="CZQ6" t="n">
        <v>2020</v>
      </c>
      <c r="CZR6" t="n">
        <v>2020</v>
      </c>
      <c r="CZS6" t="n">
        <v>2020</v>
      </c>
      <c r="CZT6" t="n">
        <v>2020</v>
      </c>
      <c r="CZU6" t="n">
        <v>2020</v>
      </c>
      <c r="CZV6" t="n">
        <v>2020</v>
      </c>
      <c r="CZW6" t="n">
        <v>2020</v>
      </c>
      <c r="CZX6" t="n">
        <v>2020</v>
      </c>
      <c r="CZY6" t="n">
        <v>2020</v>
      </c>
      <c r="CZZ6" t="n">
        <v>2020</v>
      </c>
      <c r="DAA6" t="n">
        <v>2020</v>
      </c>
      <c r="DAB6" t="n">
        <v>2020</v>
      </c>
      <c r="DAC6" t="n">
        <v>2020</v>
      </c>
      <c r="DAD6" t="n">
        <v>2020</v>
      </c>
      <c r="DAE6" t="n">
        <v>2020</v>
      </c>
      <c r="DAF6" t="n">
        <v>2020</v>
      </c>
      <c r="DAG6" t="n">
        <v>2020</v>
      </c>
      <c r="DAH6" t="n">
        <v>2020</v>
      </c>
      <c r="DAI6" t="n">
        <v>2020</v>
      </c>
      <c r="DAJ6" t="n">
        <v>2020</v>
      </c>
      <c r="DAK6" t="n">
        <v>2020</v>
      </c>
      <c r="DAL6" t="n">
        <v>2020</v>
      </c>
      <c r="DAM6" t="n">
        <v>2020</v>
      </c>
      <c r="DAN6" t="n">
        <v>2020</v>
      </c>
      <c r="DAO6" t="n">
        <v>2020</v>
      </c>
      <c r="DAP6" t="n">
        <v>2020</v>
      </c>
      <c r="DAQ6" t="n">
        <v>2020</v>
      </c>
      <c r="DAR6" t="n">
        <v>2020</v>
      </c>
      <c r="DAS6" t="n">
        <v>2020</v>
      </c>
      <c r="DAT6" t="n">
        <v>2020</v>
      </c>
      <c r="DAU6" t="n">
        <v>2020</v>
      </c>
      <c r="DAV6" t="n">
        <v>2020</v>
      </c>
      <c r="DAW6" t="n">
        <v>2020</v>
      </c>
      <c r="DAX6" t="n">
        <v>2020</v>
      </c>
      <c r="DAY6" t="n">
        <v>2020</v>
      </c>
      <c r="DAZ6" t="n">
        <v>2020</v>
      </c>
      <c r="DBA6" t="n">
        <v>2020</v>
      </c>
      <c r="DBB6" t="n">
        <v>2020</v>
      </c>
      <c r="DBC6" t="n">
        <v>2020</v>
      </c>
      <c r="DBD6" t="n">
        <v>2020</v>
      </c>
      <c r="DBE6" t="n">
        <v>2020</v>
      </c>
      <c r="DBF6" t="n">
        <v>2020</v>
      </c>
      <c r="DBG6" t="n">
        <v>2020</v>
      </c>
      <c r="DBH6" t="n">
        <v>2020</v>
      </c>
      <c r="DBI6" t="n">
        <v>2020</v>
      </c>
      <c r="DBJ6" t="n">
        <v>2020</v>
      </c>
      <c r="DBK6" t="n">
        <v>2020</v>
      </c>
      <c r="DBL6" t="n">
        <v>2020</v>
      </c>
      <c r="DBM6" t="n">
        <v>2020</v>
      </c>
      <c r="DBN6" t="n">
        <v>2020</v>
      </c>
      <c r="DBO6" t="n">
        <v>2020</v>
      </c>
      <c r="DBP6" t="n">
        <v>2020</v>
      </c>
      <c r="DBQ6" t="n">
        <v>2020</v>
      </c>
      <c r="DBR6" t="n">
        <v>2020</v>
      </c>
      <c r="DBS6" t="n">
        <v>2020</v>
      </c>
      <c r="DBT6" t="n">
        <v>2020</v>
      </c>
      <c r="DBU6" t="n">
        <v>2020</v>
      </c>
      <c r="DBV6" t="n">
        <v>2020</v>
      </c>
      <c r="DBW6" t="n">
        <v>2020</v>
      </c>
      <c r="DBX6" t="n">
        <v>2020</v>
      </c>
      <c r="DBY6" t="n">
        <v>2020</v>
      </c>
      <c r="DBZ6" t="n">
        <v>2020</v>
      </c>
      <c r="DCA6" t="n">
        <v>2020</v>
      </c>
      <c r="DCB6" t="n">
        <v>2020</v>
      </c>
      <c r="DCC6" t="n">
        <v>2020</v>
      </c>
      <c r="DCD6" t="n">
        <v>2020</v>
      </c>
      <c r="DCE6" t="n">
        <v>2020</v>
      </c>
      <c r="DCF6" t="n">
        <v>2020</v>
      </c>
      <c r="DCG6" t="n">
        <v>2020</v>
      </c>
      <c r="DCH6" t="n">
        <v>2020</v>
      </c>
      <c r="DCI6" t="n">
        <v>2020</v>
      </c>
      <c r="DCJ6" t="n">
        <v>2020</v>
      </c>
      <c r="DCK6" t="n">
        <v>2020</v>
      </c>
      <c r="DCL6" t="n">
        <v>2020</v>
      </c>
      <c r="DCM6" t="n">
        <v>2020</v>
      </c>
      <c r="DCN6" t="n">
        <v>2020</v>
      </c>
      <c r="DCO6" t="n">
        <v>2020</v>
      </c>
      <c r="DCP6" t="n">
        <v>2020</v>
      </c>
      <c r="DCQ6" t="n">
        <v>2020</v>
      </c>
      <c r="DCR6" t="n">
        <v>2020</v>
      </c>
      <c r="DCS6" t="n">
        <v>2020</v>
      </c>
      <c r="DCT6" t="n">
        <v>2020</v>
      </c>
      <c r="DCU6" t="n">
        <v>2020</v>
      </c>
      <c r="DCV6" t="n">
        <v>2020</v>
      </c>
      <c r="DCW6" t="n">
        <v>2020</v>
      </c>
      <c r="DCX6" t="n">
        <v>2020</v>
      </c>
      <c r="DCY6" t="n">
        <v>2020</v>
      </c>
      <c r="DCZ6" t="n">
        <v>2020</v>
      </c>
      <c r="DDA6" t="n">
        <v>2020</v>
      </c>
      <c r="DDB6" t="n">
        <v>2020</v>
      </c>
      <c r="DDC6" t="n">
        <v>2020</v>
      </c>
      <c r="DDD6" t="n">
        <v>2020</v>
      </c>
      <c r="DDE6" t="n">
        <v>2020</v>
      </c>
      <c r="DDF6" t="n">
        <v>2020</v>
      </c>
      <c r="DDG6" t="n">
        <v>2020</v>
      </c>
      <c r="DDH6" t="n">
        <v>2020</v>
      </c>
      <c r="DDI6" t="n">
        <v>2020</v>
      </c>
      <c r="DDJ6" t="n">
        <v>2020</v>
      </c>
      <c r="DDK6" t="n">
        <v>2020</v>
      </c>
      <c r="DDL6" t="n">
        <v>2020</v>
      </c>
      <c r="DDM6" t="n">
        <v>2020</v>
      </c>
      <c r="DDN6" t="n">
        <v>2020</v>
      </c>
      <c r="DDO6" t="n">
        <v>2020</v>
      </c>
      <c r="DDP6" t="n">
        <v>2020</v>
      </c>
      <c r="DDQ6" t="n">
        <v>2020</v>
      </c>
      <c r="DDR6" t="n">
        <v>2020</v>
      </c>
      <c r="DDS6" t="n">
        <v>2020</v>
      </c>
      <c r="DDT6" t="n">
        <v>2020</v>
      </c>
      <c r="DDU6" t="n">
        <v>2020</v>
      </c>
      <c r="DDV6" t="n">
        <v>2020</v>
      </c>
      <c r="DDW6" t="n">
        <v>2020</v>
      </c>
      <c r="DDX6" t="n">
        <v>2020</v>
      </c>
      <c r="DDY6" t="n">
        <v>2020</v>
      </c>
      <c r="DDZ6" t="n">
        <v>2020</v>
      </c>
      <c r="DEA6" t="n">
        <v>2020</v>
      </c>
      <c r="DEB6" t="n">
        <v>2020</v>
      </c>
      <c r="DEC6" t="n">
        <v>2019</v>
      </c>
      <c r="DED6" t="n">
        <v>2019</v>
      </c>
      <c r="DEE6" t="n">
        <v>2019</v>
      </c>
      <c r="DEF6" t="n">
        <v>2019</v>
      </c>
      <c r="DEG6" t="n">
        <v>2019</v>
      </c>
      <c r="DEH6" t="n">
        <v>2019</v>
      </c>
      <c r="DEI6" t="n">
        <v>2019</v>
      </c>
      <c r="DEJ6" t="n">
        <v>2019</v>
      </c>
      <c r="DEK6" t="n">
        <v>2019</v>
      </c>
      <c r="DEL6" t="n">
        <v>2019</v>
      </c>
      <c r="DEM6" t="n">
        <v>2019</v>
      </c>
      <c r="DEN6" t="n">
        <v>2019</v>
      </c>
      <c r="DEO6" t="n">
        <v>2019</v>
      </c>
      <c r="DEP6" t="n">
        <v>2019</v>
      </c>
      <c r="DEQ6" t="n">
        <v>2019</v>
      </c>
      <c r="DER6" t="n">
        <v>2019</v>
      </c>
      <c r="DES6" t="n">
        <v>2019</v>
      </c>
      <c r="DET6" t="n">
        <v>2019</v>
      </c>
      <c r="DEU6" t="n">
        <v>2019</v>
      </c>
      <c r="DEV6" t="n">
        <v>2019</v>
      </c>
      <c r="DEW6" t="n">
        <v>2019</v>
      </c>
      <c r="DEX6" t="n">
        <v>2019</v>
      </c>
      <c r="DEY6" t="n">
        <v>2019</v>
      </c>
      <c r="DEZ6" t="n">
        <v>2019</v>
      </c>
      <c r="DFA6" t="n">
        <v>2019</v>
      </c>
      <c r="DFB6" t="n">
        <v>2019</v>
      </c>
      <c r="DFC6" t="n">
        <v>2019</v>
      </c>
      <c r="DFD6" t="n">
        <v>2019</v>
      </c>
      <c r="DFE6" t="n">
        <v>2019</v>
      </c>
      <c r="DFF6" t="n">
        <v>2019</v>
      </c>
      <c r="DFG6" t="n">
        <v>2019</v>
      </c>
      <c r="DFH6" t="n">
        <v>2019</v>
      </c>
      <c r="DFI6" t="n">
        <v>2019</v>
      </c>
      <c r="DFJ6" t="n">
        <v>2019</v>
      </c>
      <c r="DFK6" t="n">
        <v>2019</v>
      </c>
      <c r="DFL6" t="n">
        <v>2019</v>
      </c>
      <c r="DFM6" t="n">
        <v>2019</v>
      </c>
      <c r="DFN6" t="n">
        <v>2019</v>
      </c>
      <c r="DFO6" t="n">
        <v>2019</v>
      </c>
      <c r="DFP6" t="n">
        <v>2019</v>
      </c>
      <c r="DFQ6" t="n">
        <v>2019</v>
      </c>
      <c r="DFR6" t="n">
        <v>2019</v>
      </c>
      <c r="DFS6" t="n">
        <v>2019</v>
      </c>
      <c r="DFT6" t="n">
        <v>2019</v>
      </c>
      <c r="DFU6" t="n">
        <v>2019</v>
      </c>
      <c r="DFV6" t="n">
        <v>2019</v>
      </c>
      <c r="DFW6" t="n">
        <v>2019</v>
      </c>
      <c r="DFX6" t="n">
        <v>2019</v>
      </c>
      <c r="DFY6" t="n">
        <v>2019</v>
      </c>
      <c r="DFZ6" t="n">
        <v>2019</v>
      </c>
      <c r="DGA6" t="n">
        <v>2019</v>
      </c>
      <c r="DGB6" t="n">
        <v>2019</v>
      </c>
      <c r="DGC6" t="n">
        <v>2019</v>
      </c>
      <c r="DGD6" t="n">
        <v>2019</v>
      </c>
      <c r="DGE6" t="n">
        <v>2019</v>
      </c>
      <c r="DGF6" t="n">
        <v>2019</v>
      </c>
      <c r="DGG6" t="n">
        <v>2019</v>
      </c>
      <c r="DGH6" t="n">
        <v>2019</v>
      </c>
      <c r="DGI6" t="n">
        <v>2019</v>
      </c>
      <c r="DGJ6" t="n">
        <v>2019</v>
      </c>
      <c r="DGK6" t="n">
        <v>2019</v>
      </c>
      <c r="DGL6" t="n">
        <v>2019</v>
      </c>
      <c r="DGM6" t="n">
        <v>2019</v>
      </c>
      <c r="DGN6" t="n">
        <v>2019</v>
      </c>
      <c r="DGO6" t="n">
        <v>2019</v>
      </c>
      <c r="DGP6" t="n">
        <v>2019</v>
      </c>
      <c r="DGQ6" t="n">
        <v>2019</v>
      </c>
      <c r="DGR6" t="n">
        <v>2019</v>
      </c>
      <c r="DGS6" t="n">
        <v>2019</v>
      </c>
      <c r="DGT6" t="n">
        <v>2019</v>
      </c>
      <c r="DGU6" t="n">
        <v>2019</v>
      </c>
      <c r="DGV6" t="n">
        <v>2019</v>
      </c>
      <c r="DGW6" t="n">
        <v>2019</v>
      </c>
      <c r="DGX6" t="n">
        <v>2019</v>
      </c>
      <c r="DGY6" t="n">
        <v>2019</v>
      </c>
      <c r="DGZ6" t="n">
        <v>2019</v>
      </c>
      <c r="DHA6" t="n">
        <v>2019</v>
      </c>
      <c r="DHB6" t="n">
        <v>2019</v>
      </c>
      <c r="DHC6" t="n">
        <v>2019</v>
      </c>
      <c r="DHD6" t="n">
        <v>2019</v>
      </c>
      <c r="DHE6" t="n">
        <v>2019</v>
      </c>
      <c r="DHF6" t="n">
        <v>2019</v>
      </c>
      <c r="DHG6" t="n">
        <v>2019</v>
      </c>
      <c r="DHH6" t="n">
        <v>2019</v>
      </c>
      <c r="DHI6" t="n">
        <v>2019</v>
      </c>
      <c r="DHJ6" t="n">
        <v>2019</v>
      </c>
      <c r="DHK6" t="n">
        <v>2019</v>
      </c>
      <c r="DHL6" t="n">
        <v>2019</v>
      </c>
      <c r="DHM6" t="n">
        <v>2019</v>
      </c>
      <c r="DHN6" t="n">
        <v>2019</v>
      </c>
      <c r="DHO6" t="n">
        <v>2019</v>
      </c>
      <c r="DHP6" t="n">
        <v>2019</v>
      </c>
      <c r="DHQ6" t="n">
        <v>2019</v>
      </c>
      <c r="DHR6" t="n">
        <v>2019</v>
      </c>
      <c r="DHS6" t="n">
        <v>2019</v>
      </c>
      <c r="DHT6" t="n">
        <v>2019</v>
      </c>
      <c r="DHU6" t="n">
        <v>2019</v>
      </c>
      <c r="DHV6" t="n">
        <v>2019</v>
      </c>
      <c r="DHW6" t="n">
        <v>2019</v>
      </c>
      <c r="DHX6" t="n">
        <v>2019</v>
      </c>
      <c r="DHY6" t="n">
        <v>2019</v>
      </c>
      <c r="DHZ6" t="n">
        <v>2019</v>
      </c>
      <c r="DIA6" t="n">
        <v>2019</v>
      </c>
      <c r="DIB6" t="n">
        <v>2019</v>
      </c>
      <c r="DIC6" t="n">
        <v>2019</v>
      </c>
      <c r="DID6" t="n">
        <v>2019</v>
      </c>
      <c r="DIE6" t="n">
        <v>2019</v>
      </c>
      <c r="DIF6" t="n">
        <v>2019</v>
      </c>
      <c r="DIG6" t="n">
        <v>2019</v>
      </c>
      <c r="DIH6" t="n">
        <v>2019</v>
      </c>
      <c r="DII6" t="n">
        <v>2019</v>
      </c>
      <c r="DIJ6" t="n">
        <v>2019</v>
      </c>
      <c r="DIK6" t="n">
        <v>2019</v>
      </c>
      <c r="DIL6" t="n">
        <v>2019</v>
      </c>
      <c r="DIM6" t="n">
        <v>2019</v>
      </c>
      <c r="DIN6" t="n">
        <v>2019</v>
      </c>
      <c r="DIO6" t="n">
        <v>2019</v>
      </c>
      <c r="DIP6" t="n">
        <v>2019</v>
      </c>
      <c r="DIQ6" t="n">
        <v>2019</v>
      </c>
      <c r="DIR6" t="n">
        <v>2019</v>
      </c>
      <c r="DIS6" t="n">
        <v>2019</v>
      </c>
      <c r="DIT6" t="n">
        <v>2019</v>
      </c>
      <c r="DIU6" t="n">
        <v>2019</v>
      </c>
      <c r="DIV6" t="n">
        <v>2019</v>
      </c>
      <c r="DIW6" t="n">
        <v>2019</v>
      </c>
      <c r="DIX6" t="n">
        <v>2019</v>
      </c>
      <c r="DIY6" t="n">
        <v>2019</v>
      </c>
      <c r="DIZ6" t="n">
        <v>2019</v>
      </c>
      <c r="DJA6" t="n">
        <v>2019</v>
      </c>
      <c r="DJB6" t="n">
        <v>2019</v>
      </c>
      <c r="DJC6" t="n">
        <v>2019</v>
      </c>
      <c r="DJD6" t="n">
        <v>2019</v>
      </c>
      <c r="DJE6" t="n">
        <v>2019</v>
      </c>
      <c r="DJF6" t="n">
        <v>2019</v>
      </c>
      <c r="DJG6" t="n">
        <v>2019</v>
      </c>
      <c r="DJH6" t="n">
        <v>2019</v>
      </c>
      <c r="DJI6" t="n">
        <v>2019</v>
      </c>
      <c r="DJJ6" t="n">
        <v>2019</v>
      </c>
      <c r="DJK6" t="n">
        <v>2019</v>
      </c>
      <c r="DJL6" t="n">
        <v>2019</v>
      </c>
      <c r="DJM6" t="n">
        <v>2019</v>
      </c>
      <c r="DJN6" t="n">
        <v>2019</v>
      </c>
      <c r="DJO6" t="n">
        <v>2019</v>
      </c>
      <c r="DJP6" t="n">
        <v>2019</v>
      </c>
      <c r="DJQ6" t="n">
        <v>2019</v>
      </c>
      <c r="DJR6" t="n">
        <v>2019</v>
      </c>
      <c r="DJS6" t="n">
        <v>2019</v>
      </c>
      <c r="DJT6" t="n">
        <v>2019</v>
      </c>
      <c r="DJU6" t="n">
        <v>2019</v>
      </c>
      <c r="DJV6" t="n">
        <v>2019</v>
      </c>
      <c r="DJW6" t="n">
        <v>2019</v>
      </c>
      <c r="DJX6" t="n">
        <v>2019</v>
      </c>
      <c r="DJY6" t="n">
        <v>2019</v>
      </c>
      <c r="DJZ6" t="n">
        <v>2019</v>
      </c>
      <c r="DKA6" t="n">
        <v>2019</v>
      </c>
      <c r="DKB6" t="n">
        <v>2019</v>
      </c>
      <c r="DKC6" t="n">
        <v>2019</v>
      </c>
      <c r="DKD6" t="n">
        <v>2019</v>
      </c>
      <c r="DKE6" t="n">
        <v>2019</v>
      </c>
      <c r="DKF6" t="n">
        <v>2019</v>
      </c>
      <c r="DKG6" t="n">
        <v>2019</v>
      </c>
      <c r="DKH6" t="n">
        <v>2019</v>
      </c>
      <c r="DKI6" t="n">
        <v>2019</v>
      </c>
      <c r="DKJ6" t="n">
        <v>2019</v>
      </c>
      <c r="DKK6" t="n">
        <v>2019</v>
      </c>
      <c r="DKL6" t="n">
        <v>2019</v>
      </c>
      <c r="DKM6" t="n">
        <v>2019</v>
      </c>
      <c r="DKN6" t="n">
        <v>2019</v>
      </c>
      <c r="DKO6" t="n">
        <v>2019</v>
      </c>
      <c r="DKP6" t="n">
        <v>2019</v>
      </c>
      <c r="DKQ6" t="n">
        <v>2019</v>
      </c>
      <c r="DKR6" t="n">
        <v>2019</v>
      </c>
      <c r="DKS6" t="n">
        <v>2019</v>
      </c>
      <c r="DKT6" t="n">
        <v>2019</v>
      </c>
      <c r="DKU6" t="n">
        <v>2019</v>
      </c>
      <c r="DKV6" t="n">
        <v>2019</v>
      </c>
      <c r="DKW6" t="n">
        <v>2019</v>
      </c>
      <c r="DKX6" t="n">
        <v>2019</v>
      </c>
      <c r="DKY6" t="n">
        <v>2019</v>
      </c>
      <c r="DKZ6" t="n">
        <v>2019</v>
      </c>
      <c r="DLA6" t="n">
        <v>2019</v>
      </c>
      <c r="DLB6" t="n">
        <v>2019</v>
      </c>
      <c r="DLC6" t="n">
        <v>2019</v>
      </c>
      <c r="DLD6" t="n">
        <v>2019</v>
      </c>
      <c r="DLE6" t="n">
        <v>2019</v>
      </c>
      <c r="DLF6" t="n">
        <v>2019</v>
      </c>
      <c r="DLG6" t="n">
        <v>2019</v>
      </c>
      <c r="DLH6" t="n">
        <v>2019</v>
      </c>
      <c r="DLI6" t="n">
        <v>2019</v>
      </c>
      <c r="DLJ6" t="n">
        <v>2019</v>
      </c>
      <c r="DLK6" t="n">
        <v>2019</v>
      </c>
      <c r="DLL6" t="n">
        <v>2019</v>
      </c>
      <c r="DLM6" t="n">
        <v>2019</v>
      </c>
      <c r="DLN6" t="n">
        <v>2019</v>
      </c>
      <c r="DLO6" t="n">
        <v>2019</v>
      </c>
      <c r="DLP6" t="n">
        <v>2019</v>
      </c>
      <c r="DLQ6" t="n">
        <v>2019</v>
      </c>
      <c r="DLR6" t="n">
        <v>2019</v>
      </c>
      <c r="DLS6" t="n">
        <v>2019</v>
      </c>
      <c r="DLT6" t="n">
        <v>2019</v>
      </c>
      <c r="DLU6" t="n">
        <v>2019</v>
      </c>
      <c r="DLV6" t="n">
        <v>2019</v>
      </c>
      <c r="DLW6" t="n">
        <v>2019</v>
      </c>
      <c r="DLX6" t="n">
        <v>2019</v>
      </c>
      <c r="DLY6" t="n">
        <v>2019</v>
      </c>
      <c r="DLZ6" t="n">
        <v>2019</v>
      </c>
      <c r="DMA6" t="n">
        <v>2019</v>
      </c>
      <c r="DMB6" t="n">
        <v>2019</v>
      </c>
      <c r="DMC6" t="n">
        <v>2019</v>
      </c>
      <c r="DMD6" t="n">
        <v>2019</v>
      </c>
      <c r="DME6" t="n">
        <v>2019</v>
      </c>
      <c r="DMF6" t="n">
        <v>2019</v>
      </c>
      <c r="DMG6" t="n">
        <v>2019</v>
      </c>
      <c r="DMH6" t="n">
        <v>2019</v>
      </c>
      <c r="DMI6" t="n">
        <v>2019</v>
      </c>
      <c r="DMJ6" t="n">
        <v>2019</v>
      </c>
      <c r="DMK6" t="n">
        <v>2019</v>
      </c>
      <c r="DML6" t="n">
        <v>2019</v>
      </c>
      <c r="DMM6" t="n">
        <v>2019</v>
      </c>
      <c r="DMN6" t="n">
        <v>2019</v>
      </c>
      <c r="DMO6" t="n">
        <v>2019</v>
      </c>
      <c r="DMP6" t="n">
        <v>2019</v>
      </c>
      <c r="DMQ6" t="n">
        <v>2019</v>
      </c>
      <c r="DMR6" t="n">
        <v>2019</v>
      </c>
      <c r="DMS6" t="n">
        <v>2019</v>
      </c>
      <c r="DMT6" t="n">
        <v>2019</v>
      </c>
      <c r="DMU6" t="n">
        <v>2019</v>
      </c>
      <c r="DMV6" t="n">
        <v>2019</v>
      </c>
      <c r="DMW6" t="n">
        <v>2019</v>
      </c>
      <c r="DMX6" t="n">
        <v>2019</v>
      </c>
      <c r="DMY6" t="n">
        <v>2019</v>
      </c>
      <c r="DMZ6" t="n">
        <v>2019</v>
      </c>
      <c r="DNA6" t="n">
        <v>2019</v>
      </c>
      <c r="DNB6" t="n">
        <v>2019</v>
      </c>
      <c r="DNC6" t="n">
        <v>2019</v>
      </c>
      <c r="DND6" t="n">
        <v>2019</v>
      </c>
      <c r="DNE6" t="n">
        <v>2019</v>
      </c>
      <c r="DNF6" t="n">
        <v>2019</v>
      </c>
      <c r="DNG6" t="n">
        <v>2019</v>
      </c>
      <c r="DNH6" t="n">
        <v>2019</v>
      </c>
      <c r="DNI6" t="n">
        <v>2019</v>
      </c>
      <c r="DNJ6" t="n">
        <v>2019</v>
      </c>
      <c r="DNK6" t="n">
        <v>2019</v>
      </c>
      <c r="DNL6" t="n">
        <v>2019</v>
      </c>
      <c r="DNM6" t="n">
        <v>2019</v>
      </c>
      <c r="DNN6" t="n">
        <v>2019</v>
      </c>
      <c r="DNO6" t="n">
        <v>2019</v>
      </c>
      <c r="DNP6" t="n">
        <v>2019</v>
      </c>
      <c r="DNQ6" t="n">
        <v>2019</v>
      </c>
      <c r="DNR6" t="n">
        <v>2019</v>
      </c>
      <c r="DNS6" t="n">
        <v>2019</v>
      </c>
      <c r="DNT6" t="n">
        <v>2019</v>
      </c>
      <c r="DNU6" t="n">
        <v>2019</v>
      </c>
      <c r="DNV6" t="n">
        <v>2019</v>
      </c>
      <c r="DNW6" t="n">
        <v>2019</v>
      </c>
      <c r="DNX6" t="n">
        <v>2019</v>
      </c>
      <c r="DNY6" t="n">
        <v>2019</v>
      </c>
      <c r="DNZ6" t="n">
        <v>2019</v>
      </c>
      <c r="DOA6" t="n">
        <v>2019</v>
      </c>
      <c r="DOB6" t="n">
        <v>2019</v>
      </c>
      <c r="DOC6" t="n">
        <v>2019</v>
      </c>
      <c r="DOD6" t="n">
        <v>2019</v>
      </c>
      <c r="DOE6" t="n">
        <v>2019</v>
      </c>
      <c r="DOF6" t="n">
        <v>2019</v>
      </c>
      <c r="DOG6" t="n">
        <v>2019</v>
      </c>
      <c r="DOH6" t="n">
        <v>2019</v>
      </c>
      <c r="DOI6" t="n">
        <v>2019</v>
      </c>
      <c r="DOJ6" t="n">
        <v>2019</v>
      </c>
      <c r="DOK6" t="n">
        <v>2019</v>
      </c>
      <c r="DOL6" t="n">
        <v>2019</v>
      </c>
      <c r="DOM6" t="n">
        <v>2019</v>
      </c>
      <c r="DON6" t="n">
        <v>2019</v>
      </c>
      <c r="DOO6" t="n">
        <v>2019</v>
      </c>
      <c r="DOP6" t="n">
        <v>2019</v>
      </c>
      <c r="DOQ6" t="n">
        <v>2019</v>
      </c>
      <c r="DOR6" t="n">
        <v>2019</v>
      </c>
      <c r="DOS6" t="n">
        <v>2019</v>
      </c>
      <c r="DOT6" t="n">
        <v>2019</v>
      </c>
      <c r="DOU6" t="n">
        <v>2019</v>
      </c>
      <c r="DOV6" t="n">
        <v>2019</v>
      </c>
      <c r="DOW6" t="n">
        <v>2019</v>
      </c>
      <c r="DOX6" t="n">
        <v>2019</v>
      </c>
      <c r="DOY6" t="n">
        <v>2019</v>
      </c>
      <c r="DOZ6" t="n">
        <v>2019</v>
      </c>
      <c r="DPA6" t="n">
        <v>2019</v>
      </c>
      <c r="DPB6" t="n">
        <v>2019</v>
      </c>
      <c r="DPC6" t="n">
        <v>2019</v>
      </c>
      <c r="DPD6" t="n">
        <v>2019</v>
      </c>
      <c r="DPE6" t="n">
        <v>2019</v>
      </c>
      <c r="DPF6" t="n">
        <v>2019</v>
      </c>
      <c r="DPG6" t="n">
        <v>2019</v>
      </c>
      <c r="DPH6" t="n">
        <v>2019</v>
      </c>
      <c r="DPI6" t="n">
        <v>2019</v>
      </c>
      <c r="DPJ6" t="n">
        <v>2019</v>
      </c>
      <c r="DPK6" t="n">
        <v>2019</v>
      </c>
      <c r="DPL6" t="n">
        <v>2019</v>
      </c>
      <c r="DPM6" t="n">
        <v>2019</v>
      </c>
      <c r="DPN6" t="n">
        <v>2019</v>
      </c>
      <c r="DPO6" t="n">
        <v>2019</v>
      </c>
      <c r="DPP6" t="n">
        <v>2019</v>
      </c>
      <c r="DPQ6" t="n">
        <v>2019</v>
      </c>
      <c r="DPR6" t="n">
        <v>2019</v>
      </c>
      <c r="DPS6" t="n">
        <v>2019</v>
      </c>
      <c r="DPT6" t="n">
        <v>2019</v>
      </c>
      <c r="DPU6" t="n">
        <v>2019</v>
      </c>
      <c r="DPV6" t="n">
        <v>2019</v>
      </c>
      <c r="DPW6" t="n">
        <v>2019</v>
      </c>
      <c r="DPX6" t="n">
        <v>2019</v>
      </c>
      <c r="DPY6" t="n">
        <v>2019</v>
      </c>
      <c r="DPZ6" t="n">
        <v>2019</v>
      </c>
      <c r="DQA6" t="n">
        <v>2019</v>
      </c>
      <c r="DQB6" t="n">
        <v>2019</v>
      </c>
      <c r="DQC6" t="n">
        <v>2019</v>
      </c>
      <c r="DQD6" t="n">
        <v>2019</v>
      </c>
      <c r="DQE6" t="n">
        <v>2019</v>
      </c>
      <c r="DQF6" t="n">
        <v>2019</v>
      </c>
      <c r="DQG6" t="n">
        <v>2019</v>
      </c>
      <c r="DQH6" t="n">
        <v>2019</v>
      </c>
      <c r="DQI6" t="n">
        <v>2019</v>
      </c>
      <c r="DQJ6" t="n">
        <v>2019</v>
      </c>
      <c r="DQK6" t="n">
        <v>2019</v>
      </c>
      <c r="DQL6" t="n">
        <v>2019</v>
      </c>
      <c r="DQM6" t="n">
        <v>2019</v>
      </c>
      <c r="DQN6" t="n">
        <v>2019</v>
      </c>
      <c r="DQO6" t="n">
        <v>2019</v>
      </c>
      <c r="DQP6" t="n">
        <v>2019</v>
      </c>
      <c r="DQQ6" t="n">
        <v>2019</v>
      </c>
      <c r="DQR6" t="n">
        <v>2019</v>
      </c>
      <c r="DQS6" t="n">
        <v>2019</v>
      </c>
      <c r="DQT6" t="n">
        <v>2019</v>
      </c>
      <c r="DQU6" t="n">
        <v>2019</v>
      </c>
      <c r="DQV6" t="n">
        <v>2019</v>
      </c>
      <c r="DQW6" t="n">
        <v>2019</v>
      </c>
      <c r="DQX6" t="n">
        <v>2019</v>
      </c>
      <c r="DQY6" t="n">
        <v>2019</v>
      </c>
      <c r="DQZ6" t="n">
        <v>2019</v>
      </c>
      <c r="DRA6" t="n">
        <v>2019</v>
      </c>
      <c r="DRB6" t="n">
        <v>2019</v>
      </c>
      <c r="DRC6" t="n">
        <v>2019</v>
      </c>
      <c r="DRD6" t="n">
        <v>2019</v>
      </c>
      <c r="DRE6" t="n">
        <v>2019</v>
      </c>
      <c r="DRF6" t="n">
        <v>2019</v>
      </c>
      <c r="DRG6" t="n">
        <v>2019</v>
      </c>
      <c r="DRH6" t="n">
        <v>2019</v>
      </c>
      <c r="DRI6" t="n">
        <v>2019</v>
      </c>
      <c r="DRJ6" t="n">
        <v>2019</v>
      </c>
      <c r="DRK6" t="n">
        <v>2019</v>
      </c>
      <c r="DRL6" t="n">
        <v>2019</v>
      </c>
      <c r="DRM6" t="n">
        <v>2019</v>
      </c>
      <c r="DRN6" t="n">
        <v>2019</v>
      </c>
      <c r="DRO6" t="n">
        <v>2019</v>
      </c>
      <c r="DRP6" t="n">
        <v>2019</v>
      </c>
      <c r="DRQ6" t="n">
        <v>2019</v>
      </c>
      <c r="DRR6" t="n">
        <v>2019</v>
      </c>
      <c r="DRS6" t="n">
        <v>2019</v>
      </c>
      <c r="DRT6" t="n">
        <v>2019</v>
      </c>
      <c r="DRU6" t="n">
        <v>2019</v>
      </c>
      <c r="DRV6" t="n">
        <v>2019</v>
      </c>
      <c r="DRW6" t="n">
        <v>2019</v>
      </c>
      <c r="DRX6" t="n">
        <v>2019</v>
      </c>
      <c r="DRY6" t="n">
        <v>2019</v>
      </c>
      <c r="DRZ6" t="n">
        <v>2019</v>
      </c>
      <c r="DSA6" t="n">
        <v>2019</v>
      </c>
      <c r="DSB6" t="n">
        <v>2019</v>
      </c>
      <c r="DSC6" t="n">
        <v>2019</v>
      </c>
      <c r="DSD6" t="n">
        <v>2019</v>
      </c>
      <c r="DSE6" t="n">
        <v>2019</v>
      </c>
      <c r="DSF6" t="n">
        <v>2019</v>
      </c>
      <c r="DSG6" t="n">
        <v>2019</v>
      </c>
      <c r="DSH6" t="n">
        <v>2019</v>
      </c>
      <c r="DSI6" t="n">
        <v>2019</v>
      </c>
      <c r="DSJ6" t="n">
        <v>2019</v>
      </c>
      <c r="DSK6" t="n">
        <v>2019</v>
      </c>
      <c r="DSL6" t="n">
        <v>2019</v>
      </c>
      <c r="DSM6" t="n">
        <v>2019</v>
      </c>
      <c r="DSN6" t="n">
        <v>2019</v>
      </c>
      <c r="DSO6" t="n">
        <v>2019</v>
      </c>
      <c r="DSP6" t="n">
        <v>2019</v>
      </c>
      <c r="DSQ6" t="n">
        <v>2019</v>
      </c>
      <c r="DSR6" t="n">
        <v>2019</v>
      </c>
      <c r="DSS6" t="n">
        <v>2019</v>
      </c>
      <c r="DST6" t="n">
        <v>2019</v>
      </c>
      <c r="DSU6" t="n">
        <v>2019</v>
      </c>
      <c r="DSV6" t="n">
        <v>2019</v>
      </c>
      <c r="DSW6" t="n">
        <v>2019</v>
      </c>
      <c r="DSX6" t="n">
        <v>2019</v>
      </c>
      <c r="DSY6" t="n">
        <v>2019</v>
      </c>
      <c r="DSZ6" t="n">
        <v>2019</v>
      </c>
      <c r="DTA6" t="n">
        <v>2019</v>
      </c>
      <c r="DTB6" t="n">
        <v>2019</v>
      </c>
      <c r="DTC6" t="n">
        <v>2019</v>
      </c>
      <c r="DTD6" t="n">
        <v>2019</v>
      </c>
      <c r="DTE6" t="n">
        <v>2019</v>
      </c>
      <c r="DTF6" t="n">
        <v>2019</v>
      </c>
      <c r="DTG6" t="n">
        <v>2019</v>
      </c>
      <c r="DTH6" t="n">
        <v>2019</v>
      </c>
      <c r="DTI6" t="n">
        <v>2019</v>
      </c>
      <c r="DTJ6" t="n">
        <v>2019</v>
      </c>
      <c r="DTK6" t="n">
        <v>2019</v>
      </c>
      <c r="DTL6" t="n">
        <v>2019</v>
      </c>
      <c r="DTM6" t="n">
        <v>2019</v>
      </c>
      <c r="DTN6" t="n">
        <v>2019</v>
      </c>
      <c r="DTO6" t="n">
        <v>2019</v>
      </c>
      <c r="DTP6" t="n">
        <v>2019</v>
      </c>
      <c r="DTQ6" t="n">
        <v>2019</v>
      </c>
      <c r="DTR6" t="n">
        <v>2019</v>
      </c>
      <c r="DTS6" t="n">
        <v>2019</v>
      </c>
      <c r="DTT6" t="n">
        <v>2019</v>
      </c>
      <c r="DTU6" t="n">
        <v>2019</v>
      </c>
      <c r="DTV6" t="n">
        <v>2019</v>
      </c>
      <c r="DTW6" t="n">
        <v>2019</v>
      </c>
      <c r="DTX6" t="n">
        <v>2019</v>
      </c>
      <c r="DTY6" t="n">
        <v>2019</v>
      </c>
      <c r="DTZ6" t="n">
        <v>2019</v>
      </c>
      <c r="DUA6" t="n">
        <v>2019</v>
      </c>
      <c r="DUB6" t="n">
        <v>2019</v>
      </c>
      <c r="DUC6" t="n">
        <v>2019</v>
      </c>
      <c r="DUD6" t="n">
        <v>2019</v>
      </c>
      <c r="DUE6" t="n">
        <v>2019</v>
      </c>
      <c r="DUF6" t="n">
        <v>2019</v>
      </c>
      <c r="DUG6" t="n">
        <v>2019</v>
      </c>
      <c r="DUH6" t="n">
        <v>2019</v>
      </c>
      <c r="DUI6" t="n">
        <v>2019</v>
      </c>
      <c r="DUJ6" t="n">
        <v>2019</v>
      </c>
      <c r="DUK6" t="n">
        <v>2019</v>
      </c>
      <c r="DUL6" t="n">
        <v>2019</v>
      </c>
      <c r="DUM6" t="n">
        <v>2019</v>
      </c>
      <c r="DUN6" t="n">
        <v>2019</v>
      </c>
      <c r="DUO6" t="n">
        <v>2019</v>
      </c>
      <c r="DUP6" t="n">
        <v>2019</v>
      </c>
      <c r="DUQ6" t="n">
        <v>2019</v>
      </c>
      <c r="DUR6" t="n">
        <v>2019</v>
      </c>
      <c r="DUS6" t="n">
        <v>2019</v>
      </c>
      <c r="DUT6" t="n">
        <v>2019</v>
      </c>
      <c r="DUU6" t="n">
        <v>2019</v>
      </c>
      <c r="DUV6" t="n">
        <v>2019</v>
      </c>
      <c r="DUW6" t="n">
        <v>2019</v>
      </c>
      <c r="DUX6" t="n">
        <v>2019</v>
      </c>
      <c r="DUY6" t="n">
        <v>2019</v>
      </c>
      <c r="DUZ6" t="n">
        <v>2019</v>
      </c>
      <c r="DVA6" t="n">
        <v>2019</v>
      </c>
      <c r="DVB6" t="n">
        <v>2019</v>
      </c>
      <c r="DVC6" t="n">
        <v>2019</v>
      </c>
      <c r="DVD6" t="n">
        <v>2019</v>
      </c>
      <c r="DVE6" t="n">
        <v>2019</v>
      </c>
      <c r="DVF6" t="n">
        <v>2019</v>
      </c>
      <c r="DVG6" t="n">
        <v>2019</v>
      </c>
      <c r="DVH6" t="n">
        <v>2019</v>
      </c>
      <c r="DVI6" t="n">
        <v>2019</v>
      </c>
      <c r="DVJ6" t="n">
        <v>2019</v>
      </c>
      <c r="DVK6" t="n">
        <v>2019</v>
      </c>
      <c r="DVL6" t="n">
        <v>2019</v>
      </c>
      <c r="DVM6" t="n">
        <v>2019</v>
      </c>
      <c r="DVN6" t="n">
        <v>2019</v>
      </c>
      <c r="DVO6" t="n">
        <v>2019</v>
      </c>
      <c r="DVP6" t="n">
        <v>2019</v>
      </c>
      <c r="DVQ6" t="n">
        <v>2019</v>
      </c>
      <c r="DVR6" t="n">
        <v>2019</v>
      </c>
      <c r="DVS6" t="n">
        <v>2019</v>
      </c>
      <c r="DVT6" t="n">
        <v>2019</v>
      </c>
      <c r="DVU6" t="n">
        <v>2019</v>
      </c>
      <c r="DVV6" t="n">
        <v>2019</v>
      </c>
      <c r="DVW6" t="n">
        <v>2019</v>
      </c>
      <c r="DVX6" t="n">
        <v>2019</v>
      </c>
      <c r="DVY6" t="n">
        <v>2019</v>
      </c>
      <c r="DVZ6" t="n">
        <v>2019</v>
      </c>
      <c r="DWA6" t="n">
        <v>2019</v>
      </c>
      <c r="DWB6" t="n">
        <v>2019</v>
      </c>
      <c r="DWC6" t="n">
        <v>2019</v>
      </c>
      <c r="DWD6" t="n">
        <v>2019</v>
      </c>
      <c r="DWE6" t="n">
        <v>2019</v>
      </c>
      <c r="DWF6" t="n">
        <v>2019</v>
      </c>
      <c r="DWG6" t="n">
        <v>2019</v>
      </c>
      <c r="DWH6" t="n">
        <v>2019</v>
      </c>
      <c r="DWI6" t="n">
        <v>2019</v>
      </c>
      <c r="DWJ6" t="n">
        <v>2019</v>
      </c>
      <c r="DWK6" t="n">
        <v>2019</v>
      </c>
      <c r="DWL6" t="n">
        <v>2019</v>
      </c>
      <c r="DWM6" t="n">
        <v>2019</v>
      </c>
      <c r="DWN6" t="n">
        <v>2019</v>
      </c>
      <c r="DWO6" t="n">
        <v>2019</v>
      </c>
      <c r="DWP6" t="n">
        <v>2019</v>
      </c>
      <c r="DWQ6" t="n">
        <v>2019</v>
      </c>
      <c r="DWR6" t="n">
        <v>2019</v>
      </c>
      <c r="DWS6" t="n">
        <v>2019</v>
      </c>
      <c r="DWT6" t="n">
        <v>2019</v>
      </c>
      <c r="DWU6" t="n">
        <v>2019</v>
      </c>
      <c r="DWV6" t="n">
        <v>2019</v>
      </c>
      <c r="DWW6" t="n">
        <v>2019</v>
      </c>
      <c r="DWX6" t="n">
        <v>2019</v>
      </c>
      <c r="DWY6" t="n">
        <v>2019</v>
      </c>
      <c r="DWZ6" t="n">
        <v>2019</v>
      </c>
      <c r="DXA6" t="n">
        <v>2019</v>
      </c>
      <c r="DXB6" t="n">
        <v>2019</v>
      </c>
      <c r="DXC6" t="n">
        <v>2019</v>
      </c>
      <c r="DXD6" t="n">
        <v>2019</v>
      </c>
      <c r="DXE6" t="n">
        <v>2019</v>
      </c>
      <c r="DXF6" t="n">
        <v>2019</v>
      </c>
      <c r="DXG6" t="n">
        <v>2019</v>
      </c>
      <c r="DXH6" t="n">
        <v>2019</v>
      </c>
      <c r="DXI6" t="n">
        <v>2019</v>
      </c>
      <c r="DXJ6" t="n">
        <v>2019</v>
      </c>
      <c r="DXK6" t="n">
        <v>2019</v>
      </c>
      <c r="DXL6" t="n">
        <v>2019</v>
      </c>
      <c r="DXM6" t="n">
        <v>2019</v>
      </c>
      <c r="DXN6" t="n">
        <v>2019</v>
      </c>
      <c r="DXO6" t="n">
        <v>2019</v>
      </c>
      <c r="DXP6" t="n">
        <v>2019</v>
      </c>
      <c r="DXQ6" t="n">
        <v>2019</v>
      </c>
      <c r="DXR6" t="n">
        <v>2019</v>
      </c>
      <c r="DXS6" t="n">
        <v>2019</v>
      </c>
      <c r="DXT6" t="n">
        <v>2019</v>
      </c>
      <c r="DXU6" t="n">
        <v>2019</v>
      </c>
      <c r="DXV6" t="n">
        <v>2019</v>
      </c>
      <c r="DXW6" t="n">
        <v>2019</v>
      </c>
      <c r="DXX6" t="n">
        <v>2019</v>
      </c>
      <c r="DXY6" t="n">
        <v>2019</v>
      </c>
      <c r="DXZ6" t="n">
        <v>2019</v>
      </c>
      <c r="DYA6" t="n">
        <v>2019</v>
      </c>
      <c r="DYB6" t="n">
        <v>2019</v>
      </c>
      <c r="DYC6" t="n">
        <v>2019</v>
      </c>
      <c r="DYD6" t="n">
        <v>2019</v>
      </c>
      <c r="DYE6" t="n">
        <v>2019</v>
      </c>
      <c r="DYF6" t="n">
        <v>2019</v>
      </c>
      <c r="DYG6" t="n">
        <v>2019</v>
      </c>
      <c r="DYH6" t="n">
        <v>2019</v>
      </c>
      <c r="DYI6" t="n">
        <v>2019</v>
      </c>
      <c r="DYJ6" t="n">
        <v>2019</v>
      </c>
      <c r="DYK6" t="n">
        <v>2019</v>
      </c>
      <c r="DYL6" t="n">
        <v>2019</v>
      </c>
      <c r="DYM6" t="n">
        <v>2019</v>
      </c>
      <c r="DYN6" t="n">
        <v>2019</v>
      </c>
      <c r="DYO6" t="n">
        <v>2019</v>
      </c>
      <c r="DYP6" t="n">
        <v>2019</v>
      </c>
      <c r="DYQ6" t="n">
        <v>2019</v>
      </c>
      <c r="DYR6" t="n">
        <v>2019</v>
      </c>
      <c r="DYS6" t="n">
        <v>2019</v>
      </c>
      <c r="DYT6" t="n">
        <v>2019</v>
      </c>
      <c r="DYU6" t="n">
        <v>2019</v>
      </c>
      <c r="DYV6" t="n">
        <v>2019</v>
      </c>
      <c r="DYW6" t="n">
        <v>2019</v>
      </c>
      <c r="DYX6" t="n">
        <v>2019</v>
      </c>
      <c r="DYY6" t="n">
        <v>2019</v>
      </c>
      <c r="DYZ6" t="n">
        <v>2019</v>
      </c>
      <c r="DZA6" t="n">
        <v>2019</v>
      </c>
      <c r="DZB6" t="n">
        <v>2019</v>
      </c>
      <c r="DZC6" t="n">
        <v>2019</v>
      </c>
      <c r="DZD6" t="n">
        <v>2019</v>
      </c>
      <c r="DZE6" t="n">
        <v>2019</v>
      </c>
      <c r="DZF6" t="n">
        <v>2019</v>
      </c>
      <c r="DZG6" t="n">
        <v>2019</v>
      </c>
      <c r="DZH6" t="n">
        <v>2019</v>
      </c>
      <c r="DZI6" t="n">
        <v>2019</v>
      </c>
      <c r="DZJ6" t="n">
        <v>2019</v>
      </c>
      <c r="DZK6" t="n">
        <v>2019</v>
      </c>
      <c r="DZL6" t="n">
        <v>2019</v>
      </c>
      <c r="DZM6" t="n">
        <v>2019</v>
      </c>
      <c r="DZN6" t="n">
        <v>2019</v>
      </c>
      <c r="DZO6" t="n">
        <v>2019</v>
      </c>
      <c r="DZP6" t="n">
        <v>2019</v>
      </c>
      <c r="DZQ6" t="n">
        <v>2019</v>
      </c>
      <c r="DZR6" t="n">
        <v>2019</v>
      </c>
      <c r="DZS6" t="n">
        <v>2019</v>
      </c>
      <c r="DZT6" t="n">
        <v>2019</v>
      </c>
      <c r="DZU6" t="n">
        <v>2019</v>
      </c>
      <c r="DZV6" t="n">
        <v>2019</v>
      </c>
      <c r="DZW6" t="n">
        <v>2019</v>
      </c>
      <c r="DZX6" t="n">
        <v>2019</v>
      </c>
      <c r="DZY6" t="n">
        <v>2019</v>
      </c>
      <c r="DZZ6" t="n">
        <v>2019</v>
      </c>
      <c r="EAA6" t="n">
        <v>2019</v>
      </c>
      <c r="EAB6" t="n">
        <v>2019</v>
      </c>
      <c r="EAC6" t="n">
        <v>2019</v>
      </c>
      <c r="EAD6" t="n">
        <v>2019</v>
      </c>
      <c r="EAE6" t="n">
        <v>2019</v>
      </c>
      <c r="EAF6" t="n">
        <v>2019</v>
      </c>
      <c r="EAG6" t="n">
        <v>2019</v>
      </c>
      <c r="EAH6" t="n">
        <v>2019</v>
      </c>
      <c r="EAI6" t="n">
        <v>2019</v>
      </c>
      <c r="EAJ6" t="n">
        <v>2019</v>
      </c>
      <c r="EAK6" t="n">
        <v>2019</v>
      </c>
      <c r="EAL6" t="n">
        <v>2019</v>
      </c>
      <c r="EAM6" t="n">
        <v>2019</v>
      </c>
      <c r="EAN6" t="n">
        <v>2019</v>
      </c>
      <c r="EAO6" t="n">
        <v>2019</v>
      </c>
      <c r="EAP6" t="n">
        <v>2019</v>
      </c>
      <c r="EAQ6" t="n">
        <v>2019</v>
      </c>
      <c r="EAR6" t="n">
        <v>2019</v>
      </c>
      <c r="EAS6" t="n">
        <v>2019</v>
      </c>
      <c r="EAT6" t="n">
        <v>2019</v>
      </c>
      <c r="EAU6" t="n">
        <v>2019</v>
      </c>
      <c r="EAV6" t="n">
        <v>2019</v>
      </c>
      <c r="EAW6" t="n">
        <v>2019</v>
      </c>
      <c r="EAX6" t="n">
        <v>2019</v>
      </c>
      <c r="EAY6" t="n">
        <v>2019</v>
      </c>
      <c r="EAZ6" t="n">
        <v>2019</v>
      </c>
      <c r="EBA6" t="n">
        <v>2019</v>
      </c>
      <c r="EBB6" t="n">
        <v>2019</v>
      </c>
      <c r="EBC6" t="n">
        <v>2019</v>
      </c>
      <c r="EBD6" t="n">
        <v>2019</v>
      </c>
      <c r="EBE6" t="n">
        <v>2019</v>
      </c>
      <c r="EBF6" t="n">
        <v>2019</v>
      </c>
      <c r="EBG6" t="n">
        <v>2019</v>
      </c>
      <c r="EBH6" t="n">
        <v>2019</v>
      </c>
      <c r="EBI6" t="n">
        <v>2019</v>
      </c>
      <c r="EBJ6" t="n">
        <v>2019</v>
      </c>
      <c r="EBK6" t="n">
        <v>2019</v>
      </c>
      <c r="EBL6" t="n">
        <v>2019</v>
      </c>
      <c r="EBM6" t="n">
        <v>2019</v>
      </c>
      <c r="EBN6" t="n">
        <v>2019</v>
      </c>
      <c r="EBO6" t="n">
        <v>2019</v>
      </c>
      <c r="EBP6" t="n">
        <v>2019</v>
      </c>
      <c r="EBQ6" t="n">
        <v>2019</v>
      </c>
      <c r="EBR6" t="n">
        <v>2019</v>
      </c>
      <c r="EBS6" t="n">
        <v>2019</v>
      </c>
      <c r="EBT6" t="n">
        <v>2019</v>
      </c>
      <c r="EBU6" t="n">
        <v>2019</v>
      </c>
      <c r="EBV6" t="n">
        <v>2019</v>
      </c>
      <c r="EBW6" t="n">
        <v>2019</v>
      </c>
      <c r="EBX6" t="n">
        <v>2019</v>
      </c>
      <c r="EBY6" t="n">
        <v>2019</v>
      </c>
      <c r="EBZ6" t="n">
        <v>2019</v>
      </c>
      <c r="ECA6" t="n">
        <v>2019</v>
      </c>
      <c r="ECB6" t="n">
        <v>2019</v>
      </c>
      <c r="ECC6" t="n">
        <v>2019</v>
      </c>
      <c r="ECD6" t="n">
        <v>2019</v>
      </c>
      <c r="ECE6" t="n">
        <v>2019</v>
      </c>
      <c r="ECF6" t="n">
        <v>2019</v>
      </c>
      <c r="ECG6" t="n">
        <v>2019</v>
      </c>
      <c r="ECH6" t="n">
        <v>2019</v>
      </c>
      <c r="ECI6" t="n">
        <v>2019</v>
      </c>
      <c r="ECJ6" t="n">
        <v>2019</v>
      </c>
      <c r="ECK6" t="n">
        <v>2019</v>
      </c>
      <c r="ECL6" t="n">
        <v>2019</v>
      </c>
      <c r="ECM6" t="n">
        <v>2019</v>
      </c>
      <c r="ECN6" t="n">
        <v>2019</v>
      </c>
      <c r="ECO6" t="n">
        <v>2019</v>
      </c>
      <c r="ECP6" t="n">
        <v>2019</v>
      </c>
      <c r="ECQ6" t="n">
        <v>2019</v>
      </c>
      <c r="ECR6" t="n">
        <v>2019</v>
      </c>
      <c r="ECS6" t="n">
        <v>2019</v>
      </c>
      <c r="ECT6" t="n">
        <v>2019</v>
      </c>
      <c r="ECU6" t="n">
        <v>2019</v>
      </c>
      <c r="ECV6" t="n">
        <v>2019</v>
      </c>
      <c r="ECW6" t="n">
        <v>2019</v>
      </c>
      <c r="ECX6" t="n">
        <v>2019</v>
      </c>
      <c r="ECY6" t="n">
        <v>2019</v>
      </c>
      <c r="ECZ6" t="n">
        <v>2019</v>
      </c>
      <c r="EDA6" t="n">
        <v>2019</v>
      </c>
      <c r="EDB6" t="n">
        <v>2019</v>
      </c>
      <c r="EDC6" t="n">
        <v>2019</v>
      </c>
      <c r="EDD6" t="n">
        <v>2019</v>
      </c>
      <c r="EDE6" t="n">
        <v>2019</v>
      </c>
      <c r="EDF6" t="n">
        <v>2019</v>
      </c>
      <c r="EDG6" t="n">
        <v>2019</v>
      </c>
      <c r="EDH6" t="n">
        <v>2019</v>
      </c>
      <c r="EDI6" t="n">
        <v>2019</v>
      </c>
      <c r="EDJ6" t="n">
        <v>2019</v>
      </c>
      <c r="EDK6" t="n">
        <v>2019</v>
      </c>
      <c r="EDL6" t="n">
        <v>2019</v>
      </c>
      <c r="EDM6" t="n">
        <v>2019</v>
      </c>
      <c r="EDN6" t="n">
        <v>2019</v>
      </c>
      <c r="EDO6" t="n">
        <v>2019</v>
      </c>
      <c r="EDP6" t="n">
        <v>2019</v>
      </c>
      <c r="EDQ6" t="n">
        <v>2019</v>
      </c>
      <c r="EDR6" t="n">
        <v>2019</v>
      </c>
      <c r="EDS6" t="n">
        <v>2019</v>
      </c>
      <c r="EDT6" t="n">
        <v>2019</v>
      </c>
      <c r="EDU6" t="n">
        <v>2019</v>
      </c>
      <c r="EDV6" t="n">
        <v>2019</v>
      </c>
      <c r="EDW6" t="n">
        <v>2019</v>
      </c>
      <c r="EDX6" t="n">
        <v>2019</v>
      </c>
      <c r="EDY6" t="n">
        <v>2019</v>
      </c>
      <c r="EDZ6" t="n">
        <v>2019</v>
      </c>
      <c r="EEA6" t="n">
        <v>2019</v>
      </c>
      <c r="EEB6" t="n">
        <v>2019</v>
      </c>
      <c r="EEC6" t="n">
        <v>2019</v>
      </c>
      <c r="EED6" t="n">
        <v>2019</v>
      </c>
      <c r="EEE6" t="n">
        <v>2019</v>
      </c>
      <c r="EEF6" t="n">
        <v>2019</v>
      </c>
      <c r="EEG6" t="n">
        <v>2019</v>
      </c>
      <c r="EEH6" t="n">
        <v>2019</v>
      </c>
      <c r="EEI6" t="n">
        <v>2019</v>
      </c>
      <c r="EEJ6" t="n">
        <v>2019</v>
      </c>
      <c r="EEK6" t="n">
        <v>2019</v>
      </c>
      <c r="EEL6" t="n">
        <v>2019</v>
      </c>
      <c r="EEM6" t="n">
        <v>2019</v>
      </c>
      <c r="EEN6" t="n">
        <v>2019</v>
      </c>
      <c r="EEO6" t="n">
        <v>2019</v>
      </c>
      <c r="EEP6" t="n">
        <v>2019</v>
      </c>
      <c r="EEQ6" t="n">
        <v>2019</v>
      </c>
      <c r="EER6" t="n">
        <v>2019</v>
      </c>
      <c r="EES6" t="n">
        <v>2019</v>
      </c>
      <c r="EET6" t="n">
        <v>2019</v>
      </c>
      <c r="EEU6" t="n">
        <v>2019</v>
      </c>
      <c r="EEV6" t="n">
        <v>2019</v>
      </c>
      <c r="EEW6" t="n">
        <v>2019</v>
      </c>
      <c r="EEX6" s="87" t="n">
        <v>2018</v>
      </c>
      <c r="EEY6" t="n">
        <v>2018</v>
      </c>
      <c r="EEZ6" t="n">
        <v>2018</v>
      </c>
      <c r="EFA6" t="n">
        <v>2018</v>
      </c>
      <c r="EFB6" t="n">
        <v>2018</v>
      </c>
      <c r="EFC6" t="n">
        <v>2018</v>
      </c>
      <c r="EFD6" t="n">
        <v>2018</v>
      </c>
      <c r="EFE6" t="n">
        <v>2018</v>
      </c>
      <c r="EFF6" t="n">
        <v>2018</v>
      </c>
      <c r="EFG6" t="n">
        <v>2018</v>
      </c>
      <c r="EFH6" t="n">
        <v>2018</v>
      </c>
      <c r="EFI6" t="n">
        <v>2018</v>
      </c>
      <c r="EFJ6" t="n">
        <v>2018</v>
      </c>
      <c r="EFK6" t="n">
        <v>2018</v>
      </c>
      <c r="EFL6" t="n">
        <v>2018</v>
      </c>
      <c r="EFM6" t="n">
        <v>2018</v>
      </c>
      <c r="EFN6" t="n">
        <v>2018</v>
      </c>
      <c r="EFO6" t="n">
        <v>2018</v>
      </c>
      <c r="EFP6" t="n">
        <v>2018</v>
      </c>
      <c r="EFQ6" t="n">
        <v>2018</v>
      </c>
      <c r="EFR6" t="n">
        <v>2018</v>
      </c>
      <c r="EFS6" t="n">
        <v>2018</v>
      </c>
      <c r="EFT6" t="n">
        <v>2018</v>
      </c>
      <c r="EFU6" t="n">
        <v>2018</v>
      </c>
      <c r="EFV6" t="n">
        <v>2018</v>
      </c>
      <c r="EFW6" t="n">
        <v>2018</v>
      </c>
      <c r="EFX6" t="n">
        <v>2018</v>
      </c>
      <c r="EFY6" t="n">
        <v>2018</v>
      </c>
      <c r="EFZ6" t="n">
        <v>2018</v>
      </c>
      <c r="EGA6" t="n">
        <v>2018</v>
      </c>
      <c r="EGB6" t="n">
        <v>2018</v>
      </c>
      <c r="EGC6" t="n">
        <v>2018</v>
      </c>
      <c r="EGD6" t="n">
        <v>2018</v>
      </c>
      <c r="EGE6" t="n">
        <v>2018</v>
      </c>
      <c r="EGF6" t="n">
        <v>2018</v>
      </c>
      <c r="EGG6" t="n">
        <v>2018</v>
      </c>
      <c r="EGH6" t="n">
        <v>2018</v>
      </c>
      <c r="EGI6" t="n">
        <v>2018</v>
      </c>
      <c r="EGJ6" t="n">
        <v>2018</v>
      </c>
      <c r="EGK6" t="n">
        <v>2018</v>
      </c>
      <c r="EGL6" t="n">
        <v>2018</v>
      </c>
      <c r="EGM6" t="n">
        <v>2018</v>
      </c>
      <c r="EGN6" t="n">
        <v>2018</v>
      </c>
      <c r="EGO6" t="n">
        <v>2018</v>
      </c>
      <c r="EGP6" t="n">
        <v>2018</v>
      </c>
      <c r="EGQ6" t="n">
        <v>2018</v>
      </c>
      <c r="EGR6" t="n">
        <v>2018</v>
      </c>
      <c r="EGS6" t="n">
        <v>2018</v>
      </c>
      <c r="EGT6" t="n">
        <v>2018</v>
      </c>
      <c r="EGU6" t="n">
        <v>2018</v>
      </c>
      <c r="EGV6" t="n">
        <v>2018</v>
      </c>
      <c r="EGW6" t="n">
        <v>2018</v>
      </c>
      <c r="EGX6" t="n">
        <v>2018</v>
      </c>
      <c r="EGY6" t="n">
        <v>2018</v>
      </c>
      <c r="EGZ6" t="n">
        <v>2018</v>
      </c>
      <c r="EHA6" t="n">
        <v>2018</v>
      </c>
      <c r="EHB6" t="n">
        <v>2018</v>
      </c>
      <c r="EHC6" t="n">
        <v>2018</v>
      </c>
      <c r="EHD6" t="n">
        <v>2018</v>
      </c>
      <c r="EHE6" t="n">
        <v>2018</v>
      </c>
      <c r="EHF6" t="n">
        <v>2018</v>
      </c>
      <c r="EHG6" t="n">
        <v>2018</v>
      </c>
      <c r="EHH6" t="n">
        <v>2018</v>
      </c>
      <c r="EHI6" t="n">
        <v>2018</v>
      </c>
      <c r="EHJ6" t="n">
        <v>2018</v>
      </c>
      <c r="EHK6" t="n">
        <v>2018</v>
      </c>
      <c r="EHL6" t="n">
        <v>2018</v>
      </c>
      <c r="EHM6" t="n">
        <v>2018</v>
      </c>
      <c r="EHN6" t="n">
        <v>2018</v>
      </c>
      <c r="EHO6" t="n">
        <v>2018</v>
      </c>
      <c r="EHP6" t="n">
        <v>2018</v>
      </c>
      <c r="EHQ6" t="n">
        <v>2018</v>
      </c>
      <c r="EHR6" t="n">
        <v>2018</v>
      </c>
      <c r="EHS6" t="n">
        <v>2018</v>
      </c>
      <c r="EHT6" t="n">
        <v>2018</v>
      </c>
      <c r="EHU6" t="n">
        <v>2018</v>
      </c>
      <c r="EHV6" t="n">
        <v>2018</v>
      </c>
      <c r="EHW6" t="n">
        <v>2018</v>
      </c>
      <c r="EHX6" t="n">
        <v>2018</v>
      </c>
      <c r="EHY6" t="n">
        <v>2018</v>
      </c>
      <c r="EHZ6" t="n">
        <v>2018</v>
      </c>
      <c r="EIA6" t="n">
        <v>2018</v>
      </c>
      <c r="EIB6" t="n">
        <v>2018</v>
      </c>
      <c r="EIC6" t="n">
        <v>2018</v>
      </c>
      <c r="EID6" t="n">
        <v>2018</v>
      </c>
      <c r="EIE6" t="n">
        <v>2018</v>
      </c>
      <c r="EIF6" t="n">
        <v>2018</v>
      </c>
      <c r="EIG6" t="n">
        <v>2018</v>
      </c>
      <c r="EIH6" t="n">
        <v>2018</v>
      </c>
      <c r="EII6" t="n">
        <v>2018</v>
      </c>
      <c r="EIJ6" t="n">
        <v>2018</v>
      </c>
      <c r="EIK6" t="n">
        <v>2018</v>
      </c>
      <c r="EIL6" t="n">
        <v>2018</v>
      </c>
      <c r="EIM6" t="n">
        <v>2018</v>
      </c>
      <c r="EIN6" t="n">
        <v>2018</v>
      </c>
      <c r="EIO6" t="n">
        <v>2018</v>
      </c>
      <c r="EIP6" t="n">
        <v>2018</v>
      </c>
      <c r="EIQ6" t="n">
        <v>2018</v>
      </c>
      <c r="EIR6" t="n">
        <v>2018</v>
      </c>
      <c r="EIS6" t="n">
        <v>2018</v>
      </c>
      <c r="EIT6" t="n">
        <v>2018</v>
      </c>
      <c r="EIU6" t="n">
        <v>2018</v>
      </c>
      <c r="EIV6" t="n">
        <v>2018</v>
      </c>
      <c r="EIW6" t="n">
        <v>2018</v>
      </c>
      <c r="EIX6" t="n">
        <v>2018</v>
      </c>
      <c r="EIY6" t="n">
        <v>2018</v>
      </c>
      <c r="EIZ6" t="n">
        <v>2018</v>
      </c>
      <c r="EJA6" t="n">
        <v>2018</v>
      </c>
      <c r="EJB6" t="n">
        <v>2018</v>
      </c>
      <c r="EJC6" t="n">
        <v>2018</v>
      </c>
      <c r="EJD6" t="n">
        <v>2018</v>
      </c>
      <c r="EJE6" t="n">
        <v>2018</v>
      </c>
      <c r="EJF6" t="n">
        <v>2018</v>
      </c>
      <c r="EJG6" t="n">
        <v>2018</v>
      </c>
      <c r="EJH6" t="n">
        <v>2018</v>
      </c>
      <c r="EJI6" t="n">
        <v>2018</v>
      </c>
      <c r="EJJ6" t="n">
        <v>2018</v>
      </c>
      <c r="EJK6" t="n">
        <v>2018</v>
      </c>
      <c r="EJL6" t="n">
        <v>2018</v>
      </c>
      <c r="EJM6" t="n">
        <v>2018</v>
      </c>
      <c r="EJN6" t="n">
        <v>2018</v>
      </c>
      <c r="EJO6" t="n">
        <v>2018</v>
      </c>
      <c r="EJP6" t="n">
        <v>2018</v>
      </c>
      <c r="EJQ6" t="n">
        <v>2018</v>
      </c>
      <c r="EJR6" t="n">
        <v>2018</v>
      </c>
      <c r="EJS6" t="n">
        <v>2018</v>
      </c>
      <c r="EJT6" t="n">
        <v>2018</v>
      </c>
      <c r="EJU6" t="n">
        <v>2018</v>
      </c>
      <c r="EJV6" t="n">
        <v>2018</v>
      </c>
      <c r="EJW6" t="n">
        <v>2018</v>
      </c>
      <c r="EJX6" t="n">
        <v>2018</v>
      </c>
      <c r="EJY6" t="n">
        <v>2018</v>
      </c>
      <c r="EJZ6" t="n">
        <v>2018</v>
      </c>
      <c r="EKA6" t="n">
        <v>2018</v>
      </c>
      <c r="EKB6" t="n">
        <v>2018</v>
      </c>
      <c r="EKC6" t="n">
        <v>2018</v>
      </c>
      <c r="EKD6" t="n">
        <v>2018</v>
      </c>
      <c r="EKE6" t="n">
        <v>2018</v>
      </c>
      <c r="EKF6" t="n">
        <v>2018</v>
      </c>
      <c r="EKG6" t="n">
        <v>2018</v>
      </c>
      <c r="EKH6" t="n">
        <v>2018</v>
      </c>
      <c r="EKI6" t="n">
        <v>2018</v>
      </c>
      <c r="EKJ6" t="n">
        <v>2018</v>
      </c>
      <c r="EKK6" t="n">
        <v>2018</v>
      </c>
      <c r="EKL6" t="n">
        <v>2018</v>
      </c>
      <c r="EKM6" t="n">
        <v>2018</v>
      </c>
      <c r="EKN6" t="n">
        <v>2018</v>
      </c>
      <c r="EKO6" t="n">
        <v>2018</v>
      </c>
      <c r="EKP6" t="n">
        <v>2018</v>
      </c>
      <c r="EKQ6" t="n">
        <v>2018</v>
      </c>
      <c r="EKR6" t="n">
        <v>2018</v>
      </c>
      <c r="EKS6" t="n">
        <v>2018</v>
      </c>
      <c r="EKT6" t="n">
        <v>2018</v>
      </c>
      <c r="EKU6" t="n">
        <v>2018</v>
      </c>
      <c r="EKV6" t="n">
        <v>2018</v>
      </c>
      <c r="EKW6" t="n">
        <v>2018</v>
      </c>
      <c r="EKX6" t="n">
        <v>2018</v>
      </c>
      <c r="EKY6" t="n">
        <v>2018</v>
      </c>
      <c r="EKZ6" t="n">
        <v>2018</v>
      </c>
      <c r="ELA6" t="n">
        <v>2018</v>
      </c>
      <c r="ELB6" t="n">
        <v>2018</v>
      </c>
      <c r="ELC6" t="n">
        <v>2018</v>
      </c>
      <c r="ELD6" t="n">
        <v>2018</v>
      </c>
      <c r="ELE6" t="n">
        <v>2018</v>
      </c>
      <c r="ELF6" t="n">
        <v>2018</v>
      </c>
      <c r="ELG6" t="n">
        <v>2018</v>
      </c>
      <c r="ELH6" t="n">
        <v>2018</v>
      </c>
      <c r="ELI6" t="n">
        <v>2018</v>
      </c>
      <c r="ELJ6" t="n">
        <v>2018</v>
      </c>
      <c r="ELK6" t="n">
        <v>2018</v>
      </c>
      <c r="ELL6" t="n">
        <v>2018</v>
      </c>
      <c r="ELM6" t="n">
        <v>2018</v>
      </c>
      <c r="ELN6" t="n">
        <v>2018</v>
      </c>
      <c r="ELO6" t="n">
        <v>2018</v>
      </c>
      <c r="ELP6" t="n">
        <v>2018</v>
      </c>
      <c r="ELQ6" t="n">
        <v>2018</v>
      </c>
      <c r="ELR6" t="n">
        <v>2018</v>
      </c>
      <c r="ELS6" t="n">
        <v>2018</v>
      </c>
      <c r="ELT6" t="n">
        <v>2018</v>
      </c>
      <c r="ELU6" t="n">
        <v>2018</v>
      </c>
      <c r="ELV6" t="n">
        <v>2018</v>
      </c>
      <c r="ELW6" t="n">
        <v>2018</v>
      </c>
      <c r="ELX6" t="n">
        <v>2018</v>
      </c>
      <c r="ELY6" t="n">
        <v>2018</v>
      </c>
      <c r="ELZ6" t="n">
        <v>2018</v>
      </c>
      <c r="EMA6" t="n">
        <v>2018</v>
      </c>
      <c r="EMB6" t="n">
        <v>2018</v>
      </c>
      <c r="EMC6" t="n">
        <v>2018</v>
      </c>
      <c r="EMD6" t="n">
        <v>2018</v>
      </c>
      <c r="EME6" t="n">
        <v>2018</v>
      </c>
      <c r="EMF6" t="n">
        <v>2018</v>
      </c>
      <c r="EMG6" t="n">
        <v>2018</v>
      </c>
      <c r="EMH6" t="n">
        <v>2018</v>
      </c>
      <c r="EMI6" t="n">
        <v>2018</v>
      </c>
      <c r="EMJ6" t="n">
        <v>2018</v>
      </c>
      <c r="EMK6" t="n">
        <v>2018</v>
      </c>
      <c r="EML6" t="n">
        <v>2018</v>
      </c>
      <c r="EMM6" t="n">
        <v>2018</v>
      </c>
      <c r="EMN6" t="n">
        <v>2018</v>
      </c>
      <c r="EMO6" t="n">
        <v>2018</v>
      </c>
      <c r="EMP6" t="n">
        <v>2018</v>
      </c>
      <c r="EMQ6" t="n">
        <v>2018</v>
      </c>
      <c r="EMR6" t="n">
        <v>2018</v>
      </c>
      <c r="EMS6" t="n">
        <v>2018</v>
      </c>
      <c r="EMT6" t="n">
        <v>2018</v>
      </c>
      <c r="EMU6" t="n">
        <v>2018</v>
      </c>
      <c r="EMV6" t="n">
        <v>2018</v>
      </c>
      <c r="EMW6" t="n">
        <v>2018</v>
      </c>
      <c r="EMX6" t="n">
        <v>2018</v>
      </c>
      <c r="EMY6" t="n">
        <v>2018</v>
      </c>
      <c r="EMZ6" t="n">
        <v>2018</v>
      </c>
      <c r="ENA6" t="n">
        <v>2018</v>
      </c>
      <c r="ENB6" t="n">
        <v>2018</v>
      </c>
      <c r="ENC6" t="n">
        <v>2018</v>
      </c>
      <c r="END6" t="n">
        <v>2018</v>
      </c>
      <c r="ENE6" t="n">
        <v>2018</v>
      </c>
      <c r="ENF6" t="n">
        <v>2018</v>
      </c>
      <c r="ENG6" t="n">
        <v>2018</v>
      </c>
      <c r="ENH6" t="n">
        <v>2018</v>
      </c>
      <c r="ENI6" t="n">
        <v>2018</v>
      </c>
      <c r="ENJ6" t="n">
        <v>2018</v>
      </c>
      <c r="ENK6" t="n">
        <v>2018</v>
      </c>
      <c r="ENL6" t="n">
        <v>2018</v>
      </c>
      <c r="ENM6" t="n">
        <v>2018</v>
      </c>
      <c r="ENN6" t="n">
        <v>2018</v>
      </c>
      <c r="ENO6" t="n">
        <v>2018</v>
      </c>
      <c r="ENP6" t="n">
        <v>2018</v>
      </c>
      <c r="ENQ6" t="n">
        <v>2018</v>
      </c>
      <c r="ENR6" t="n">
        <v>2018</v>
      </c>
      <c r="ENS6" t="n">
        <v>2018</v>
      </c>
      <c r="ENT6" t="n">
        <v>2018</v>
      </c>
      <c r="ENU6" t="n">
        <v>2018</v>
      </c>
      <c r="ENV6" t="n">
        <v>2018</v>
      </c>
      <c r="ENW6" t="n">
        <v>2018</v>
      </c>
      <c r="ENX6" t="n">
        <v>2018</v>
      </c>
      <c r="ENY6" t="n">
        <v>2018</v>
      </c>
      <c r="ENZ6" t="n">
        <v>2018</v>
      </c>
      <c r="EOA6" t="n">
        <v>2018</v>
      </c>
      <c r="EOB6" t="n">
        <v>2018</v>
      </c>
      <c r="EOC6" t="n">
        <v>2018</v>
      </c>
      <c r="EOD6" t="n">
        <v>2018</v>
      </c>
      <c r="EOE6" t="n">
        <v>2018</v>
      </c>
      <c r="EOF6" t="n">
        <v>2018</v>
      </c>
      <c r="EOG6" t="n">
        <v>2018</v>
      </c>
      <c r="EOH6" t="n">
        <v>2018</v>
      </c>
      <c r="EOI6" t="n">
        <v>2018</v>
      </c>
      <c r="EOJ6" t="n">
        <v>2018</v>
      </c>
      <c r="EOK6" t="n">
        <v>2018</v>
      </c>
      <c r="EOL6" t="n">
        <v>2018</v>
      </c>
      <c r="EOM6" t="n">
        <v>2018</v>
      </c>
      <c r="EON6" t="n">
        <v>2018</v>
      </c>
      <c r="EOO6" t="n">
        <v>2018</v>
      </c>
      <c r="EOP6" t="n">
        <v>2018</v>
      </c>
      <c r="EOQ6" t="n">
        <v>2018</v>
      </c>
      <c r="EOR6" t="n">
        <v>2018</v>
      </c>
      <c r="EOS6" t="n">
        <v>2018</v>
      </c>
      <c r="EOT6" t="n">
        <v>2018</v>
      </c>
      <c r="EOU6" t="n">
        <v>2018</v>
      </c>
      <c r="EOV6" t="n">
        <v>2018</v>
      </c>
      <c r="EOW6" t="n">
        <v>2018</v>
      </c>
      <c r="EOX6" t="n">
        <v>2018</v>
      </c>
      <c r="EOY6" t="n">
        <v>2018</v>
      </c>
      <c r="EOZ6" t="n">
        <v>2018</v>
      </c>
      <c r="EPA6" t="n">
        <v>2018</v>
      </c>
      <c r="EPB6" t="n">
        <v>2018</v>
      </c>
      <c r="EPC6" t="n">
        <v>2018</v>
      </c>
      <c r="EPD6" t="n">
        <v>2018</v>
      </c>
      <c r="EPE6" t="n">
        <v>2018</v>
      </c>
      <c r="EPF6" t="n">
        <v>2018</v>
      </c>
      <c r="EPG6" t="n">
        <v>2018</v>
      </c>
      <c r="EPH6" t="n">
        <v>2018</v>
      </c>
      <c r="EPI6" t="n">
        <v>2018</v>
      </c>
      <c r="EPJ6" t="n">
        <v>2018</v>
      </c>
      <c r="EPK6" t="n">
        <v>2018</v>
      </c>
      <c r="EPL6" t="n">
        <v>2018</v>
      </c>
      <c r="EPM6" t="n">
        <v>2018</v>
      </c>
      <c r="EPN6" t="n">
        <v>2018</v>
      </c>
      <c r="EPO6" t="n">
        <v>2018</v>
      </c>
      <c r="EPP6" t="n">
        <v>2018</v>
      </c>
      <c r="EPQ6" t="n">
        <v>2018</v>
      </c>
      <c r="EPR6" t="n">
        <v>2018</v>
      </c>
      <c r="EPS6" t="n">
        <v>2018</v>
      </c>
      <c r="EPT6" t="n">
        <v>2018</v>
      </c>
      <c r="EPU6" t="n">
        <v>2018</v>
      </c>
      <c r="EPV6" t="n">
        <v>2018</v>
      </c>
      <c r="EPW6" t="n">
        <v>2018</v>
      </c>
      <c r="EPX6" t="n">
        <v>2018</v>
      </c>
      <c r="EPY6" t="n">
        <v>2018</v>
      </c>
      <c r="EPZ6" t="n">
        <v>2018</v>
      </c>
      <c r="EQA6" t="n">
        <v>2018</v>
      </c>
      <c r="EQB6" t="n">
        <v>2018</v>
      </c>
      <c r="EQC6" t="n">
        <v>2018</v>
      </c>
      <c r="EQD6" t="n">
        <v>2018</v>
      </c>
      <c r="EQE6" t="n">
        <v>2018</v>
      </c>
      <c r="EQF6" t="n">
        <v>2018</v>
      </c>
      <c r="EQG6" t="n">
        <v>2018</v>
      </c>
      <c r="EQH6" t="n">
        <v>2018</v>
      </c>
      <c r="EQI6" t="n">
        <v>2018</v>
      </c>
      <c r="EQJ6" t="n">
        <v>2018</v>
      </c>
      <c r="EQK6" t="n">
        <v>2018</v>
      </c>
      <c r="EQL6" t="n">
        <v>2018</v>
      </c>
      <c r="EQM6" t="n">
        <v>2018</v>
      </c>
      <c r="EQN6" t="n">
        <v>2018</v>
      </c>
      <c r="EQO6" t="n">
        <v>2018</v>
      </c>
      <c r="EQP6" t="n">
        <v>2018</v>
      </c>
      <c r="EQQ6" t="n">
        <v>2018</v>
      </c>
      <c r="EQR6" t="n">
        <v>2018</v>
      </c>
      <c r="EQS6" t="n">
        <v>2018</v>
      </c>
      <c r="EQT6" t="n">
        <v>2018</v>
      </c>
      <c r="EQU6" t="n">
        <v>2018</v>
      </c>
      <c r="EQV6" t="n">
        <v>2018</v>
      </c>
      <c r="EQW6" t="n">
        <v>2018</v>
      </c>
      <c r="EQX6" t="n">
        <v>2018</v>
      </c>
      <c r="EQY6" t="n">
        <v>2018</v>
      </c>
      <c r="EQZ6" t="n">
        <v>2018</v>
      </c>
      <c r="ERA6" t="n">
        <v>2018</v>
      </c>
      <c r="ERB6" t="n">
        <v>2018</v>
      </c>
      <c r="ERC6" t="n">
        <v>2018</v>
      </c>
      <c r="ERD6" t="n">
        <v>2018</v>
      </c>
      <c r="ERE6" t="n">
        <v>2018</v>
      </c>
      <c r="ERF6" t="n">
        <v>2018</v>
      </c>
      <c r="ERG6" t="n">
        <v>2018</v>
      </c>
      <c r="ERH6" t="n">
        <v>2018</v>
      </c>
      <c r="ERI6" t="n">
        <v>2018</v>
      </c>
      <c r="ERJ6" t="n">
        <v>2018</v>
      </c>
      <c r="ERK6" t="n">
        <v>2018</v>
      </c>
      <c r="ERL6" t="n">
        <v>2018</v>
      </c>
      <c r="ERM6" t="n">
        <v>2018</v>
      </c>
      <c r="ERN6" t="n">
        <v>2018</v>
      </c>
      <c r="ERO6" t="n">
        <v>2018</v>
      </c>
      <c r="ERP6" t="n">
        <v>2018</v>
      </c>
      <c r="ERQ6" t="n">
        <v>2018</v>
      </c>
      <c r="ERR6" t="n">
        <v>2018</v>
      </c>
      <c r="ERS6" t="n">
        <v>2018</v>
      </c>
      <c r="ERT6" t="n">
        <v>2018</v>
      </c>
      <c r="ERU6" t="n">
        <v>2018</v>
      </c>
      <c r="ERV6" t="n">
        <v>2018</v>
      </c>
      <c r="ERW6" t="n">
        <v>2018</v>
      </c>
      <c r="ERX6" t="n">
        <v>2018</v>
      </c>
      <c r="ERY6" t="n">
        <v>2018</v>
      </c>
      <c r="ERZ6" t="n">
        <v>2018</v>
      </c>
      <c r="ESA6" t="n">
        <v>2018</v>
      </c>
      <c r="ESB6" t="n">
        <v>2018</v>
      </c>
      <c r="ESC6" t="n">
        <v>2018</v>
      </c>
      <c r="ESD6" t="n">
        <v>2018</v>
      </c>
      <c r="ESE6" t="n">
        <v>2018</v>
      </c>
      <c r="ESF6" t="n">
        <v>2018</v>
      </c>
      <c r="ESG6" t="n">
        <v>2018</v>
      </c>
      <c r="ESH6" t="n">
        <v>2018</v>
      </c>
      <c r="ESI6" t="n">
        <v>2018</v>
      </c>
      <c r="ESJ6" t="n">
        <v>2018</v>
      </c>
      <c r="ESK6" t="n">
        <v>2018</v>
      </c>
      <c r="ESL6" t="n">
        <v>2018</v>
      </c>
      <c r="ESM6" t="n">
        <v>2018</v>
      </c>
      <c r="ESN6" t="n">
        <v>2018</v>
      </c>
      <c r="ESO6" t="n">
        <v>2018</v>
      </c>
      <c r="ESP6" t="n">
        <v>2018</v>
      </c>
      <c r="ESQ6" t="n">
        <v>2018</v>
      </c>
      <c r="ESR6" t="n">
        <v>2018</v>
      </c>
      <c r="ESS6" t="n">
        <v>2018</v>
      </c>
      <c r="EST6" t="n">
        <v>2018</v>
      </c>
      <c r="ESU6" t="n">
        <v>2018</v>
      </c>
      <c r="ESV6" t="n">
        <v>2018</v>
      </c>
      <c r="ESW6" t="n">
        <v>2018</v>
      </c>
      <c r="ESX6" t="n">
        <v>2018</v>
      </c>
      <c r="ESY6" t="n">
        <v>2018</v>
      </c>
      <c r="ESZ6" t="n">
        <v>2018</v>
      </c>
      <c r="ETA6" t="n">
        <v>2018</v>
      </c>
      <c r="ETB6" t="n">
        <v>2018</v>
      </c>
      <c r="ETC6" t="n">
        <v>2018</v>
      </c>
      <c r="ETD6" t="n">
        <v>2018</v>
      </c>
      <c r="ETE6" t="n">
        <v>2018</v>
      </c>
      <c r="ETF6" t="n">
        <v>2018</v>
      </c>
      <c r="ETG6" t="n">
        <v>2018</v>
      </c>
      <c r="ETH6" t="n">
        <v>2018</v>
      </c>
      <c r="ETI6" t="n">
        <v>2018</v>
      </c>
      <c r="ETJ6" t="n">
        <v>2018</v>
      </c>
      <c r="ETK6" t="n">
        <v>2018</v>
      </c>
      <c r="ETL6" t="n">
        <v>2018</v>
      </c>
      <c r="ETM6" t="n">
        <v>2018</v>
      </c>
      <c r="ETN6" t="n">
        <v>2018</v>
      </c>
      <c r="ETO6" t="n">
        <v>2018</v>
      </c>
      <c r="ETP6" t="n">
        <v>2018</v>
      </c>
      <c r="ETQ6" t="n">
        <v>2018</v>
      </c>
      <c r="ETR6" t="n">
        <v>2018</v>
      </c>
      <c r="ETS6" t="n">
        <v>2018</v>
      </c>
      <c r="ETT6" t="n">
        <v>2018</v>
      </c>
      <c r="ETU6" t="n">
        <v>2018</v>
      </c>
      <c r="ETV6" t="n">
        <v>2018</v>
      </c>
      <c r="ETW6" t="n">
        <v>2018</v>
      </c>
      <c r="ETX6" t="n">
        <v>2018</v>
      </c>
      <c r="ETY6" t="n">
        <v>2018</v>
      </c>
      <c r="ETZ6" t="n">
        <v>2018</v>
      </c>
      <c r="EUA6" t="n">
        <v>2018</v>
      </c>
      <c r="EUB6" t="n">
        <v>2018</v>
      </c>
      <c r="EUC6" t="n">
        <v>2018</v>
      </c>
      <c r="EUD6" t="n">
        <v>2018</v>
      </c>
      <c r="EUE6" t="n">
        <v>2018</v>
      </c>
      <c r="EUF6" t="n">
        <v>2018</v>
      </c>
      <c r="EUG6" t="n">
        <v>2018</v>
      </c>
      <c r="EUH6" t="n">
        <v>2018</v>
      </c>
      <c r="EUI6" t="n">
        <v>2018</v>
      </c>
      <c r="EUJ6" t="n">
        <v>2018</v>
      </c>
      <c r="EUK6" t="n">
        <v>2018</v>
      </c>
      <c r="EUL6" t="n">
        <v>2018</v>
      </c>
      <c r="EUM6" t="n">
        <v>2018</v>
      </c>
      <c r="EUN6" t="n">
        <v>2018</v>
      </c>
      <c r="EUO6" t="n">
        <v>2018</v>
      </c>
      <c r="EUP6" t="n">
        <v>2018</v>
      </c>
      <c r="EUQ6" t="n">
        <v>2018</v>
      </c>
      <c r="EUR6" t="n">
        <v>2018</v>
      </c>
      <c r="EUS6" t="n">
        <v>2018</v>
      </c>
      <c r="EUT6" t="n">
        <v>2018</v>
      </c>
      <c r="EUU6" t="n">
        <v>2018</v>
      </c>
      <c r="EUV6" t="n">
        <v>2018</v>
      </c>
      <c r="EUW6" t="n">
        <v>2018</v>
      </c>
      <c r="EUX6" t="n">
        <v>2018</v>
      </c>
      <c r="EUY6" t="n">
        <v>2018</v>
      </c>
      <c r="EUZ6" t="n">
        <v>2018</v>
      </c>
      <c r="EVA6" t="n">
        <v>2018</v>
      </c>
      <c r="EVB6" t="n">
        <v>2018</v>
      </c>
      <c r="EVC6" t="n">
        <v>2018</v>
      </c>
      <c r="EVD6" t="n">
        <v>2018</v>
      </c>
      <c r="EVE6" t="n">
        <v>2018</v>
      </c>
      <c r="EVF6" t="n">
        <v>2018</v>
      </c>
      <c r="EVG6" t="n">
        <v>2018</v>
      </c>
      <c r="EVH6" t="n">
        <v>2018</v>
      </c>
      <c r="EVI6" t="n">
        <v>2018</v>
      </c>
      <c r="EVJ6" t="n">
        <v>2018</v>
      </c>
      <c r="EVK6" t="n">
        <v>2018</v>
      </c>
      <c r="EVL6" t="n">
        <v>2018</v>
      </c>
      <c r="EVM6" t="n">
        <v>2018</v>
      </c>
      <c r="EVN6" t="n">
        <v>2018</v>
      </c>
      <c r="EVO6" t="n">
        <v>2018</v>
      </c>
      <c r="EVP6" t="n">
        <v>2018</v>
      </c>
      <c r="EVQ6" t="n">
        <v>2018</v>
      </c>
      <c r="EVR6" t="n">
        <v>2018</v>
      </c>
      <c r="EVS6" t="n">
        <v>2018</v>
      </c>
      <c r="EVT6" t="n">
        <v>2018</v>
      </c>
      <c r="EVU6" t="n">
        <v>2018</v>
      </c>
      <c r="EVV6" t="n">
        <v>2018</v>
      </c>
      <c r="EVW6" t="n">
        <v>2018</v>
      </c>
      <c r="EVX6" t="n">
        <v>2018</v>
      </c>
      <c r="EVY6" t="n">
        <v>2018</v>
      </c>
      <c r="EVZ6" t="n">
        <v>2018</v>
      </c>
      <c r="EWA6" t="n">
        <v>2018</v>
      </c>
      <c r="EWB6" t="n">
        <v>2018</v>
      </c>
      <c r="EWC6" t="n">
        <v>2018</v>
      </c>
      <c r="EWD6" t="n">
        <v>2018</v>
      </c>
      <c r="EWE6" t="n">
        <v>2018</v>
      </c>
      <c r="EWF6" t="n">
        <v>2018</v>
      </c>
      <c r="EWG6" t="n">
        <v>2018</v>
      </c>
      <c r="EWH6" t="n">
        <v>2018</v>
      </c>
      <c r="EWI6" t="n">
        <v>2018</v>
      </c>
      <c r="EWJ6" t="n">
        <v>2018</v>
      </c>
      <c r="EWK6" t="n">
        <v>2018</v>
      </c>
      <c r="EWL6" t="n">
        <v>2018</v>
      </c>
      <c r="EWM6" t="n">
        <v>2018</v>
      </c>
      <c r="EWN6" t="n">
        <v>2018</v>
      </c>
      <c r="EWO6" t="n">
        <v>2018</v>
      </c>
      <c r="EWP6" t="n">
        <v>2018</v>
      </c>
      <c r="EWQ6" t="n">
        <v>2018</v>
      </c>
      <c r="EWR6" t="n">
        <v>2018</v>
      </c>
      <c r="EWS6" t="n">
        <v>2018</v>
      </c>
      <c r="EWT6" t="n">
        <v>2018</v>
      </c>
      <c r="EWU6" t="n">
        <v>2018</v>
      </c>
      <c r="EWV6" t="n">
        <v>2018</v>
      </c>
      <c r="EWW6" t="n">
        <v>2018</v>
      </c>
      <c r="EWX6" t="n">
        <v>2018</v>
      </c>
      <c r="EWY6" t="n">
        <v>2018</v>
      </c>
      <c r="EWZ6" t="n">
        <v>2018</v>
      </c>
      <c r="EXA6" t="n">
        <v>2018</v>
      </c>
      <c r="EXB6" t="n">
        <v>2018</v>
      </c>
      <c r="EXC6" t="n">
        <v>2018</v>
      </c>
      <c r="EXD6" t="n">
        <v>2018</v>
      </c>
      <c r="EXE6" t="n">
        <v>2018</v>
      </c>
      <c r="EXF6" t="n">
        <v>2018</v>
      </c>
      <c r="EXG6" t="n">
        <v>2018</v>
      </c>
      <c r="EXH6" t="n">
        <v>2018</v>
      </c>
      <c r="EXI6" t="n">
        <v>2018</v>
      </c>
      <c r="EXJ6" t="n">
        <v>2018</v>
      </c>
      <c r="EXK6" t="n">
        <v>2018</v>
      </c>
      <c r="EXL6" t="n">
        <v>2018</v>
      </c>
      <c r="EXM6" t="n">
        <v>2018</v>
      </c>
      <c r="EXN6" t="n">
        <v>2018</v>
      </c>
      <c r="EXO6" t="n">
        <v>2018</v>
      </c>
      <c r="EXP6" t="n">
        <v>2018</v>
      </c>
      <c r="EXQ6" t="n">
        <v>2018</v>
      </c>
      <c r="EXR6" t="n">
        <v>2018</v>
      </c>
      <c r="EXS6" t="n">
        <v>2018</v>
      </c>
      <c r="EXT6" t="n">
        <v>2018</v>
      </c>
      <c r="EXU6" t="n">
        <v>2018</v>
      </c>
      <c r="EXV6" t="n">
        <v>2018</v>
      </c>
      <c r="EXW6" t="n">
        <v>2018</v>
      </c>
      <c r="EXX6" t="n">
        <v>2018</v>
      </c>
      <c r="EXY6" t="n">
        <v>2018</v>
      </c>
      <c r="EXZ6" t="n">
        <v>2018</v>
      </c>
      <c r="EYA6" t="n">
        <v>2018</v>
      </c>
      <c r="EYB6" t="n">
        <v>2018</v>
      </c>
      <c r="EYC6" t="n">
        <v>2018</v>
      </c>
      <c r="EYD6" t="n">
        <v>2018</v>
      </c>
      <c r="EYE6" t="n">
        <v>2018</v>
      </c>
      <c r="EYF6" t="n">
        <v>2018</v>
      </c>
      <c r="EYG6" t="n">
        <v>2018</v>
      </c>
      <c r="EYH6" t="n">
        <v>2018</v>
      </c>
      <c r="EYI6" t="n">
        <v>2018</v>
      </c>
      <c r="EYJ6" t="n">
        <v>2018</v>
      </c>
      <c r="EYK6" t="n">
        <v>2018</v>
      </c>
      <c r="EYL6" t="n">
        <v>2018</v>
      </c>
      <c r="EYM6" t="n">
        <v>2018</v>
      </c>
      <c r="EYN6" t="n">
        <v>2018</v>
      </c>
      <c r="EYO6" t="n">
        <v>2018</v>
      </c>
      <c r="EYP6" t="n">
        <v>2018</v>
      </c>
      <c r="EYQ6" t="n">
        <v>2018</v>
      </c>
      <c r="EYR6" t="n">
        <v>2018</v>
      </c>
      <c r="EYS6" t="n">
        <v>2018</v>
      </c>
      <c r="EYT6" t="n">
        <v>2018</v>
      </c>
      <c r="EYU6" t="n">
        <v>2018</v>
      </c>
      <c r="EYV6" t="n">
        <v>2018</v>
      </c>
      <c r="EYW6" t="n">
        <v>2018</v>
      </c>
      <c r="EYX6" t="n">
        <v>2018</v>
      </c>
      <c r="EYY6" t="n">
        <v>2018</v>
      </c>
      <c r="EYZ6" t="n">
        <v>2018</v>
      </c>
      <c r="EZA6" t="n">
        <v>2018</v>
      </c>
      <c r="EZB6" t="n">
        <v>2018</v>
      </c>
      <c r="EZC6" t="n">
        <v>2018</v>
      </c>
      <c r="EZD6" t="n">
        <v>2018</v>
      </c>
      <c r="EZE6" t="n">
        <v>2018</v>
      </c>
      <c r="EZF6" t="n">
        <v>2018</v>
      </c>
      <c r="EZG6" t="n">
        <v>2018</v>
      </c>
      <c r="EZH6" t="n">
        <v>2018</v>
      </c>
      <c r="EZI6" t="n">
        <v>2018</v>
      </c>
      <c r="EZJ6" t="n">
        <v>2018</v>
      </c>
      <c r="EZK6" t="n">
        <v>2018</v>
      </c>
      <c r="EZL6" t="n">
        <v>2018</v>
      </c>
      <c r="EZM6" t="n">
        <v>2018</v>
      </c>
      <c r="EZN6" t="n">
        <v>2018</v>
      </c>
      <c r="EZO6" t="n">
        <v>2018</v>
      </c>
      <c r="EZP6" t="n">
        <v>2018</v>
      </c>
      <c r="EZQ6" t="n">
        <v>2018</v>
      </c>
      <c r="EZR6" t="n">
        <v>2018</v>
      </c>
      <c r="EZS6" t="n">
        <v>2018</v>
      </c>
      <c r="EZT6" t="n">
        <v>2018</v>
      </c>
      <c r="EZU6" t="n">
        <v>2018</v>
      </c>
      <c r="EZV6" t="n">
        <v>2018</v>
      </c>
      <c r="EZW6" t="n">
        <v>2018</v>
      </c>
      <c r="EZX6" t="n">
        <v>2018</v>
      </c>
      <c r="EZY6" t="n">
        <v>2018</v>
      </c>
      <c r="EZZ6" t="n">
        <v>2018</v>
      </c>
      <c r="FAA6" t="n">
        <v>2018</v>
      </c>
      <c r="FAB6" t="n">
        <v>2018</v>
      </c>
      <c r="FAC6" t="n">
        <v>2018</v>
      </c>
      <c r="FAD6" t="n">
        <v>2018</v>
      </c>
      <c r="FAE6" t="n">
        <v>2018</v>
      </c>
      <c r="FAF6" t="n">
        <v>2018</v>
      </c>
      <c r="FAG6" t="n">
        <v>2018</v>
      </c>
      <c r="FAH6" t="n">
        <v>2018</v>
      </c>
      <c r="FAI6" t="n">
        <v>2018</v>
      </c>
      <c r="FAJ6" t="n">
        <v>2018</v>
      </c>
      <c r="FAK6" t="n">
        <v>2018</v>
      </c>
      <c r="FAL6" t="n">
        <v>2018</v>
      </c>
      <c r="FAM6" t="n">
        <v>2018</v>
      </c>
      <c r="FAN6" t="n">
        <v>2018</v>
      </c>
      <c r="FAO6" t="n">
        <v>2018</v>
      </c>
      <c r="FAP6" t="n">
        <v>2018</v>
      </c>
      <c r="FAQ6" t="n">
        <v>2018</v>
      </c>
      <c r="FAR6" t="n">
        <v>2018</v>
      </c>
      <c r="FAS6" t="n">
        <v>2018</v>
      </c>
      <c r="FAT6" t="n">
        <v>2018</v>
      </c>
      <c r="FAU6" t="n">
        <v>2018</v>
      </c>
      <c r="FAV6" t="n">
        <v>2018</v>
      </c>
      <c r="FAW6" t="n">
        <v>2018</v>
      </c>
      <c r="FAX6" t="n">
        <v>2018</v>
      </c>
      <c r="FAY6" t="n">
        <v>2018</v>
      </c>
      <c r="FAZ6" t="n">
        <v>2018</v>
      </c>
      <c r="FBA6" t="n">
        <v>2018</v>
      </c>
      <c r="FBB6" t="n">
        <v>2018</v>
      </c>
      <c r="FBC6" t="n">
        <v>2018</v>
      </c>
      <c r="FBD6" t="n">
        <v>2018</v>
      </c>
      <c r="FBE6" t="n">
        <v>2018</v>
      </c>
      <c r="FBF6" t="n">
        <v>2018</v>
      </c>
      <c r="FBG6" t="n">
        <v>2018</v>
      </c>
      <c r="FBH6" t="n">
        <v>2018</v>
      </c>
      <c r="FBI6" t="n">
        <v>2018</v>
      </c>
      <c r="FBJ6" t="n">
        <v>2018</v>
      </c>
      <c r="FBK6" t="n">
        <v>2018</v>
      </c>
      <c r="FBL6" t="n">
        <v>2018</v>
      </c>
      <c r="FBM6" t="n">
        <v>2018</v>
      </c>
      <c r="FBN6" t="n">
        <v>2018</v>
      </c>
      <c r="FBO6" t="n">
        <v>2018</v>
      </c>
      <c r="FBP6" t="n">
        <v>2018</v>
      </c>
      <c r="FBQ6" t="n">
        <v>2018</v>
      </c>
      <c r="FBR6" t="n">
        <v>2018</v>
      </c>
      <c r="FBS6" t="n">
        <v>2018</v>
      </c>
      <c r="FBT6" t="n">
        <v>2018</v>
      </c>
      <c r="FBU6" t="n">
        <v>2018</v>
      </c>
      <c r="FBV6" t="n">
        <v>2018</v>
      </c>
      <c r="FBW6" t="n">
        <v>2018</v>
      </c>
      <c r="FBX6" t="n">
        <v>2018</v>
      </c>
      <c r="FBY6" t="n">
        <v>2018</v>
      </c>
      <c r="FBZ6" t="n">
        <v>2018</v>
      </c>
      <c r="FCA6" t="n">
        <v>2018</v>
      </c>
      <c r="FCB6" t="n">
        <v>2018</v>
      </c>
      <c r="FCC6" t="n">
        <v>2018</v>
      </c>
      <c r="FCD6" t="n">
        <v>2018</v>
      </c>
      <c r="FCE6" t="n">
        <v>2018</v>
      </c>
      <c r="FCF6" t="n">
        <v>2018</v>
      </c>
      <c r="FCG6" t="n">
        <v>2018</v>
      </c>
      <c r="FCH6" t="n">
        <v>2018</v>
      </c>
      <c r="FCI6" t="n">
        <v>2018</v>
      </c>
      <c r="FCJ6" t="n">
        <v>2018</v>
      </c>
      <c r="FCK6" t="n">
        <v>2018</v>
      </c>
      <c r="FCL6" t="n">
        <v>2018</v>
      </c>
      <c r="FCM6" t="n">
        <v>2018</v>
      </c>
      <c r="FCN6" t="n">
        <v>2018</v>
      </c>
      <c r="FCO6" t="n">
        <v>2018</v>
      </c>
      <c r="FCP6" t="n">
        <v>2018</v>
      </c>
      <c r="FCQ6" t="n">
        <v>2018</v>
      </c>
      <c r="FCR6" t="n">
        <v>2018</v>
      </c>
      <c r="FCS6" t="n">
        <v>2018</v>
      </c>
      <c r="FCT6" t="n">
        <v>2018</v>
      </c>
      <c r="FCU6" t="n">
        <v>2018</v>
      </c>
      <c r="FCV6" t="n">
        <v>2018</v>
      </c>
      <c r="FCW6" t="n">
        <v>2018</v>
      </c>
      <c r="FCX6" t="n">
        <v>2018</v>
      </c>
      <c r="FCY6" t="n">
        <v>2018</v>
      </c>
      <c r="FCZ6" t="n">
        <v>2018</v>
      </c>
      <c r="FDA6" t="n">
        <v>2018</v>
      </c>
      <c r="FDB6" t="n">
        <v>2018</v>
      </c>
      <c r="FDC6" t="n">
        <v>2018</v>
      </c>
      <c r="FDD6" t="n">
        <v>2018</v>
      </c>
      <c r="FDE6" t="n">
        <v>2018</v>
      </c>
      <c r="FDF6" t="n">
        <v>2018</v>
      </c>
      <c r="FDG6" t="n">
        <v>2018</v>
      </c>
      <c r="FDH6" t="n">
        <v>2018</v>
      </c>
      <c r="FDI6" t="n">
        <v>2018</v>
      </c>
      <c r="FDJ6" t="n">
        <v>2018</v>
      </c>
      <c r="FDK6" t="n">
        <v>2018</v>
      </c>
      <c r="FDL6" t="n">
        <v>2018</v>
      </c>
      <c r="FDM6" t="n">
        <v>2018</v>
      </c>
      <c r="FDN6" t="n">
        <v>2018</v>
      </c>
      <c r="FDO6" t="n">
        <v>2018</v>
      </c>
      <c r="FDP6" t="n">
        <v>2018</v>
      </c>
      <c r="FDQ6" t="n">
        <v>2018</v>
      </c>
      <c r="FDR6" t="n">
        <v>2018</v>
      </c>
      <c r="FDS6" t="n">
        <v>2018</v>
      </c>
      <c r="FDT6" t="n">
        <v>2018</v>
      </c>
      <c r="FDU6" t="n">
        <v>2018</v>
      </c>
      <c r="FDV6" t="n">
        <v>2018</v>
      </c>
      <c r="FDW6" t="n">
        <v>2018</v>
      </c>
      <c r="FDX6" t="n">
        <v>2018</v>
      </c>
      <c r="FDY6" t="n">
        <v>2018</v>
      </c>
      <c r="FDZ6" t="n">
        <v>2018</v>
      </c>
      <c r="FEA6" t="n">
        <v>2018</v>
      </c>
      <c r="FEB6" t="n">
        <v>2018</v>
      </c>
      <c r="FEC6" t="n">
        <v>2018</v>
      </c>
      <c r="FED6" t="n">
        <v>2018</v>
      </c>
      <c r="FEE6" t="n">
        <v>2018</v>
      </c>
      <c r="FEF6" t="n">
        <v>2018</v>
      </c>
      <c r="FEG6" t="n">
        <v>2018</v>
      </c>
      <c r="FEH6" t="n">
        <v>2018</v>
      </c>
      <c r="FEI6" t="n">
        <v>2018</v>
      </c>
      <c r="FEJ6" t="n">
        <v>2018</v>
      </c>
      <c r="FEK6" t="n">
        <v>2018</v>
      </c>
      <c r="FEL6" t="n">
        <v>2018</v>
      </c>
      <c r="FEM6" t="n">
        <v>2018</v>
      </c>
      <c r="FEN6" t="n">
        <v>2018</v>
      </c>
      <c r="FEO6" t="n">
        <v>2018</v>
      </c>
      <c r="FEP6" t="n">
        <v>2018</v>
      </c>
      <c r="FEQ6" t="n">
        <v>2018</v>
      </c>
      <c r="FER6" t="n">
        <v>2018</v>
      </c>
      <c r="FES6" t="n">
        <v>2018</v>
      </c>
      <c r="FET6" t="n">
        <v>2018</v>
      </c>
      <c r="FEU6" t="n">
        <v>2018</v>
      </c>
      <c r="FEV6" t="n">
        <v>2018</v>
      </c>
      <c r="FEW6" t="n">
        <v>2018</v>
      </c>
      <c r="FEX6" t="n">
        <v>2018</v>
      </c>
      <c r="FEY6" t="n">
        <v>2018</v>
      </c>
      <c r="FEZ6" s="87" t="n">
        <v>2017</v>
      </c>
      <c r="FFA6" t="n">
        <v>2017</v>
      </c>
      <c r="FFB6" t="n">
        <v>2017</v>
      </c>
      <c r="FFC6" t="n">
        <v>2017</v>
      </c>
      <c r="FFD6" t="n">
        <v>2017</v>
      </c>
      <c r="FFE6" t="n">
        <v>2017</v>
      </c>
      <c r="FFF6" t="n">
        <v>2017</v>
      </c>
      <c r="FFG6" t="n">
        <v>2017</v>
      </c>
      <c r="FFH6" t="n">
        <v>2017</v>
      </c>
      <c r="FFI6" t="n">
        <v>2017</v>
      </c>
      <c r="FFJ6" t="n">
        <v>2017</v>
      </c>
      <c r="FFK6" t="n">
        <v>2017</v>
      </c>
      <c r="FFL6" t="n">
        <v>2017</v>
      </c>
      <c r="FFM6" t="n">
        <v>2017</v>
      </c>
      <c r="FFN6" t="n">
        <v>2017</v>
      </c>
      <c r="FFO6" t="n">
        <v>2017</v>
      </c>
      <c r="FFP6" t="n">
        <v>2017</v>
      </c>
      <c r="FFQ6" t="n">
        <v>2017</v>
      </c>
      <c r="FFR6" t="n">
        <v>2017</v>
      </c>
      <c r="FFS6" t="n">
        <v>2017</v>
      </c>
      <c r="FFT6" t="n">
        <v>2017</v>
      </c>
      <c r="FFU6" t="n">
        <v>2017</v>
      </c>
      <c r="FFV6" t="n">
        <v>2017</v>
      </c>
      <c r="FFW6" t="n">
        <v>2017</v>
      </c>
      <c r="FFX6" t="n">
        <v>2017</v>
      </c>
      <c r="FFY6" t="n">
        <v>2017</v>
      </c>
      <c r="FFZ6" t="n">
        <v>2017</v>
      </c>
      <c r="FGA6" t="n">
        <v>2017</v>
      </c>
      <c r="FGB6" t="n">
        <v>2017</v>
      </c>
      <c r="FGC6" t="n">
        <v>2017</v>
      </c>
      <c r="FGD6" t="n">
        <v>2017</v>
      </c>
      <c r="FGE6" t="n">
        <v>2017</v>
      </c>
      <c r="FGF6" t="n">
        <v>2017</v>
      </c>
      <c r="FGG6" t="n">
        <v>2017</v>
      </c>
      <c r="FGH6" t="n">
        <v>2017</v>
      </c>
      <c r="FGI6" t="n">
        <v>2017</v>
      </c>
      <c r="FGJ6" t="n">
        <v>2017</v>
      </c>
      <c r="FGK6" t="n">
        <v>2017</v>
      </c>
      <c r="FGL6" t="n">
        <v>2017</v>
      </c>
      <c r="FGM6" t="n">
        <v>2017</v>
      </c>
      <c r="FGN6" t="n">
        <v>2017</v>
      </c>
      <c r="FGO6" t="n">
        <v>2017</v>
      </c>
      <c r="FGP6" t="n">
        <v>2017</v>
      </c>
      <c r="FGQ6" t="n">
        <v>2017</v>
      </c>
      <c r="FGR6" t="n">
        <v>2017</v>
      </c>
      <c r="FGS6" t="n">
        <v>2017</v>
      </c>
      <c r="FGT6" t="n">
        <v>2017</v>
      </c>
      <c r="FGU6" t="n">
        <v>2017</v>
      </c>
      <c r="FGV6" t="n">
        <v>2017</v>
      </c>
      <c r="FGW6" t="n">
        <v>2017</v>
      </c>
      <c r="FGX6" t="n">
        <v>2017</v>
      </c>
      <c r="FGY6" t="n">
        <v>2017</v>
      </c>
      <c r="FGZ6" t="n">
        <v>2017</v>
      </c>
      <c r="FHA6" t="n">
        <v>2017</v>
      </c>
      <c r="FHB6" t="n">
        <v>2017</v>
      </c>
      <c r="FHC6" t="n">
        <v>2017</v>
      </c>
      <c r="FHD6" t="n">
        <v>2017</v>
      </c>
      <c r="FHE6" t="n">
        <v>2017</v>
      </c>
      <c r="FHF6" t="n">
        <v>2017</v>
      </c>
      <c r="FHG6" t="n">
        <v>2017</v>
      </c>
      <c r="FHH6" t="n">
        <v>2017</v>
      </c>
      <c r="FHI6" t="n">
        <v>2017</v>
      </c>
      <c r="FHJ6" t="n">
        <v>2017</v>
      </c>
      <c r="FHK6" t="n">
        <v>2017</v>
      </c>
      <c r="FHL6" t="n">
        <v>2017</v>
      </c>
      <c r="FHM6" t="n">
        <v>2017</v>
      </c>
      <c r="FHN6" t="n">
        <v>2017</v>
      </c>
      <c r="FHO6" t="n">
        <v>2017</v>
      </c>
      <c r="FHP6" t="n">
        <v>2017</v>
      </c>
      <c r="FHQ6" t="n">
        <v>2017</v>
      </c>
      <c r="FHR6" t="n">
        <v>2017</v>
      </c>
      <c r="FHS6" t="n">
        <v>2017</v>
      </c>
      <c r="FHT6" t="n">
        <v>2017</v>
      </c>
      <c r="FHU6" t="n">
        <v>2017</v>
      </c>
      <c r="FHV6" t="n">
        <v>2017</v>
      </c>
      <c r="FHW6" t="n">
        <v>2017</v>
      </c>
      <c r="FHX6" t="n">
        <v>2017</v>
      </c>
      <c r="FHY6" t="n">
        <v>2017</v>
      </c>
      <c r="FHZ6" t="n">
        <v>2017</v>
      </c>
      <c r="FIA6" t="n">
        <v>2017</v>
      </c>
      <c r="FIB6" t="n">
        <v>2017</v>
      </c>
      <c r="FIC6" t="n">
        <v>2017</v>
      </c>
      <c r="FID6" t="n">
        <v>2017</v>
      </c>
      <c r="FIE6" t="n">
        <v>2017</v>
      </c>
      <c r="FIF6" t="n">
        <v>2017</v>
      </c>
      <c r="FIG6" t="n">
        <v>2017</v>
      </c>
      <c r="FIH6" t="n">
        <v>2017</v>
      </c>
      <c r="FII6" t="n">
        <v>2017</v>
      </c>
      <c r="FIJ6" t="n">
        <v>2017</v>
      </c>
      <c r="FIK6" t="n">
        <v>2017</v>
      </c>
      <c r="FIL6" t="n">
        <v>2017</v>
      </c>
      <c r="FIM6" t="n">
        <v>2017</v>
      </c>
      <c r="FIN6" t="n">
        <v>2017</v>
      </c>
      <c r="FIO6" t="n">
        <v>2017</v>
      </c>
      <c r="FIP6" t="n">
        <v>2017</v>
      </c>
      <c r="FIQ6" t="n">
        <v>2017</v>
      </c>
      <c r="FIR6" t="n">
        <v>2017</v>
      </c>
      <c r="FIS6" t="n">
        <v>2017</v>
      </c>
      <c r="FIT6" t="n">
        <v>2017</v>
      </c>
      <c r="FIU6" t="n">
        <v>2017</v>
      </c>
      <c r="FIV6" t="n">
        <v>2017</v>
      </c>
      <c r="FIW6" t="n">
        <v>2017</v>
      </c>
      <c r="FIX6" t="n">
        <v>2017</v>
      </c>
      <c r="FIY6" t="n">
        <v>2017</v>
      </c>
      <c r="FIZ6" t="n">
        <v>2017</v>
      </c>
      <c r="FJA6" t="n">
        <v>2017</v>
      </c>
      <c r="FJB6" t="n">
        <v>2017</v>
      </c>
      <c r="FJC6" t="n">
        <v>2017</v>
      </c>
      <c r="FJD6" t="n">
        <v>2017</v>
      </c>
      <c r="FJE6" t="n">
        <v>2017</v>
      </c>
      <c r="FJF6" t="n">
        <v>2017</v>
      </c>
      <c r="FJG6" t="n">
        <v>2017</v>
      </c>
      <c r="FJH6" t="n">
        <v>2017</v>
      </c>
      <c r="FJI6" t="n">
        <v>2017</v>
      </c>
      <c r="FJJ6" t="n">
        <v>2017</v>
      </c>
      <c r="FJK6" t="n">
        <v>2017</v>
      </c>
      <c r="FJL6" t="n">
        <v>2017</v>
      </c>
      <c r="FJM6" t="n">
        <v>2017</v>
      </c>
      <c r="FJN6" t="n">
        <v>2017</v>
      </c>
      <c r="FJO6" t="n">
        <v>2017</v>
      </c>
      <c r="FJP6" t="n">
        <v>2017</v>
      </c>
      <c r="FJQ6" t="n">
        <v>2017</v>
      </c>
      <c r="FJR6" t="n">
        <v>2017</v>
      </c>
      <c r="FJS6" t="n">
        <v>2017</v>
      </c>
      <c r="FJT6" t="n">
        <v>2017</v>
      </c>
      <c r="FJU6" t="n">
        <v>2017</v>
      </c>
      <c r="FJV6" t="n">
        <v>2017</v>
      </c>
      <c r="FJW6" t="n">
        <v>2017</v>
      </c>
      <c r="FJX6" t="n">
        <v>2017</v>
      </c>
      <c r="FJY6" t="n">
        <v>2017</v>
      </c>
      <c r="FJZ6" t="n">
        <v>2017</v>
      </c>
      <c r="FKA6" t="n">
        <v>2017</v>
      </c>
      <c r="FKB6" t="n">
        <v>2017</v>
      </c>
      <c r="FKC6" t="n">
        <v>2017</v>
      </c>
      <c r="FKD6" t="n">
        <v>2017</v>
      </c>
      <c r="FKE6" t="n">
        <v>2017</v>
      </c>
      <c r="FKF6" t="n">
        <v>2017</v>
      </c>
      <c r="FKG6" t="n">
        <v>2017</v>
      </c>
      <c r="FKH6" t="n">
        <v>2017</v>
      </c>
      <c r="FKI6" t="n">
        <v>2017</v>
      </c>
      <c r="FKJ6" t="n">
        <v>2017</v>
      </c>
      <c r="FKK6" t="n">
        <v>2017</v>
      </c>
      <c r="FKL6" t="n">
        <v>2017</v>
      </c>
      <c r="FKM6" t="n">
        <v>2017</v>
      </c>
      <c r="FKN6" t="n">
        <v>2017</v>
      </c>
      <c r="FKO6" t="n">
        <v>2017</v>
      </c>
      <c r="FKP6" t="n">
        <v>2017</v>
      </c>
      <c r="FKQ6" t="n">
        <v>2017</v>
      </c>
      <c r="FKR6" t="n">
        <v>2017</v>
      </c>
      <c r="FKS6" t="n">
        <v>2017</v>
      </c>
      <c r="FKT6" t="n">
        <v>2017</v>
      </c>
      <c r="FKU6" t="n">
        <v>2017</v>
      </c>
      <c r="FKV6" t="n">
        <v>2017</v>
      </c>
      <c r="FKW6" t="n">
        <v>2017</v>
      </c>
      <c r="FKX6" t="n">
        <v>2017</v>
      </c>
      <c r="FKY6" t="n">
        <v>2017</v>
      </c>
      <c r="FKZ6" t="n">
        <v>2017</v>
      </c>
      <c r="FLA6" t="n">
        <v>2017</v>
      </c>
      <c r="FLB6" t="n">
        <v>2017</v>
      </c>
      <c r="FLC6" t="n">
        <v>2017</v>
      </c>
      <c r="FLD6" t="n">
        <v>2017</v>
      </c>
      <c r="FLE6" t="n">
        <v>2017</v>
      </c>
      <c r="FLF6" t="n">
        <v>2017</v>
      </c>
      <c r="FLG6" t="n">
        <v>2017</v>
      </c>
      <c r="FLH6" t="n">
        <v>2017</v>
      </c>
      <c r="FLI6" t="n">
        <v>2017</v>
      </c>
      <c r="FLJ6" t="n">
        <v>2017</v>
      </c>
      <c r="FLK6" t="n">
        <v>2017</v>
      </c>
      <c r="FLL6" t="n">
        <v>2017</v>
      </c>
      <c r="FLM6" t="n">
        <v>2017</v>
      </c>
      <c r="FLN6" t="n">
        <v>2017</v>
      </c>
      <c r="FLO6" t="n">
        <v>2017</v>
      </c>
      <c r="FLP6" t="n">
        <v>2017</v>
      </c>
      <c r="FLQ6" t="n">
        <v>2017</v>
      </c>
      <c r="FLR6" t="n">
        <v>2017</v>
      </c>
      <c r="FLS6" t="n">
        <v>2017</v>
      </c>
      <c r="FLT6" t="n">
        <v>2017</v>
      </c>
      <c r="FLU6" t="n">
        <v>2017</v>
      </c>
      <c r="FLV6" t="n">
        <v>2017</v>
      </c>
      <c r="FLW6" t="n">
        <v>2017</v>
      </c>
      <c r="FLX6" t="n">
        <v>2017</v>
      </c>
      <c r="FLY6" t="n">
        <v>2017</v>
      </c>
      <c r="FLZ6" t="n">
        <v>2017</v>
      </c>
      <c r="FMA6" t="n">
        <v>2017</v>
      </c>
      <c r="FMB6" t="n">
        <v>2017</v>
      </c>
      <c r="FMC6" t="n">
        <v>2017</v>
      </c>
      <c r="FMD6" t="n">
        <v>2017</v>
      </c>
      <c r="FME6" t="n">
        <v>2017</v>
      </c>
      <c r="FMF6" t="n">
        <v>2017</v>
      </c>
      <c r="FMG6" t="n">
        <v>2017</v>
      </c>
      <c r="FMH6" t="n">
        <v>2017</v>
      </c>
      <c r="FMI6" t="n">
        <v>2017</v>
      </c>
      <c r="FMJ6" t="n">
        <v>2017</v>
      </c>
      <c r="FMK6" t="n">
        <v>2017</v>
      </c>
      <c r="FML6" t="n">
        <v>2017</v>
      </c>
      <c r="FMM6" t="n">
        <v>2017</v>
      </c>
      <c r="FMN6" t="n">
        <v>2017</v>
      </c>
      <c r="FMO6" t="n">
        <v>2017</v>
      </c>
      <c r="FMP6" t="n">
        <v>2017</v>
      </c>
      <c r="FMQ6" t="n">
        <v>2017</v>
      </c>
      <c r="FMR6" t="n">
        <v>2017</v>
      </c>
      <c r="FMS6" t="n">
        <v>2017</v>
      </c>
      <c r="FMT6" t="n">
        <v>2017</v>
      </c>
      <c r="FMU6" t="n">
        <v>2017</v>
      </c>
      <c r="FMV6" t="n">
        <v>2017</v>
      </c>
      <c r="FMW6" t="n">
        <v>2017</v>
      </c>
      <c r="FMX6" t="n">
        <v>2017</v>
      </c>
      <c r="FMY6" t="n">
        <v>2017</v>
      </c>
      <c r="FMZ6" t="n">
        <v>2017</v>
      </c>
      <c r="FNA6" t="n">
        <v>2017</v>
      </c>
      <c r="FNB6" t="n">
        <v>2017</v>
      </c>
      <c r="FNC6" t="n">
        <v>2017</v>
      </c>
      <c r="FND6" t="n">
        <v>2017</v>
      </c>
      <c r="FNE6" t="n">
        <v>2017</v>
      </c>
      <c r="FNF6" t="n">
        <v>2017</v>
      </c>
      <c r="FNG6" t="n">
        <v>2017</v>
      </c>
      <c r="FNH6" t="n">
        <v>2017</v>
      </c>
      <c r="FNI6" t="n">
        <v>2017</v>
      </c>
      <c r="FNJ6" t="n">
        <v>2017</v>
      </c>
      <c r="FNK6" t="n">
        <v>2017</v>
      </c>
      <c r="FNL6" t="n">
        <v>2017</v>
      </c>
      <c r="FNM6" t="n">
        <v>2017</v>
      </c>
      <c r="FNN6" t="n">
        <v>2017</v>
      </c>
      <c r="FNO6" t="n">
        <v>2017</v>
      </c>
      <c r="FNP6" t="n">
        <v>2017</v>
      </c>
      <c r="FNQ6" t="n">
        <v>2017</v>
      </c>
      <c r="FNR6" t="n">
        <v>2017</v>
      </c>
      <c r="FNS6" t="n">
        <v>2017</v>
      </c>
      <c r="FNT6" t="n">
        <v>2017</v>
      </c>
      <c r="FNU6" t="n">
        <v>2017</v>
      </c>
      <c r="FNV6" t="n">
        <v>2017</v>
      </c>
      <c r="FNW6" t="n">
        <v>2017</v>
      </c>
      <c r="FNX6" t="n">
        <v>2017</v>
      </c>
      <c r="FNY6" t="n">
        <v>2017</v>
      </c>
      <c r="FNZ6" t="n">
        <v>2017</v>
      </c>
      <c r="FOA6" t="n">
        <v>2017</v>
      </c>
      <c r="FOB6" t="n">
        <v>2017</v>
      </c>
      <c r="FOC6" t="n">
        <v>2017</v>
      </c>
      <c r="FOD6" t="n">
        <v>2017</v>
      </c>
      <c r="FOE6" t="n">
        <v>2017</v>
      </c>
      <c r="FOF6" t="n">
        <v>2017</v>
      </c>
      <c r="FOG6" t="n">
        <v>2017</v>
      </c>
      <c r="FOH6" t="n">
        <v>2017</v>
      </c>
      <c r="FOI6" t="n">
        <v>2017</v>
      </c>
      <c r="FOJ6" t="n">
        <v>2017</v>
      </c>
      <c r="FOK6" t="n">
        <v>2017</v>
      </c>
      <c r="FOL6" t="n">
        <v>2017</v>
      </c>
      <c r="FOM6" t="n">
        <v>2017</v>
      </c>
      <c r="FON6" t="n">
        <v>2017</v>
      </c>
      <c r="FOO6" t="n">
        <v>2017</v>
      </c>
      <c r="FOP6" t="n">
        <v>2017</v>
      </c>
      <c r="FOQ6" t="n">
        <v>2017</v>
      </c>
      <c r="FOR6" t="n">
        <v>2017</v>
      </c>
      <c r="FOS6" t="n">
        <v>2017</v>
      </c>
      <c r="FOT6" t="n">
        <v>2017</v>
      </c>
      <c r="FOU6" t="n">
        <v>2017</v>
      </c>
      <c r="FOV6" t="n">
        <v>2017</v>
      </c>
      <c r="FOW6" t="n">
        <v>2017</v>
      </c>
      <c r="FOX6" t="n">
        <v>2017</v>
      </c>
      <c r="FOY6" t="n">
        <v>2017</v>
      </c>
      <c r="FOZ6" t="n">
        <v>2017</v>
      </c>
      <c r="FPA6" t="n">
        <v>2017</v>
      </c>
      <c r="FPB6" t="n">
        <v>2017</v>
      </c>
      <c r="FPC6" t="n">
        <v>2017</v>
      </c>
      <c r="FPD6" t="n">
        <v>2017</v>
      </c>
      <c r="FPE6" t="n">
        <v>2017</v>
      </c>
      <c r="FPF6" t="n">
        <v>2017</v>
      </c>
      <c r="FPG6" t="n">
        <v>2017</v>
      </c>
      <c r="FPH6" t="n">
        <v>2017</v>
      </c>
      <c r="FPI6" t="n">
        <v>2017</v>
      </c>
      <c r="FPJ6" t="n">
        <v>2017</v>
      </c>
      <c r="FPK6" t="n">
        <v>2017</v>
      </c>
      <c r="FPL6" t="n">
        <v>2017</v>
      </c>
      <c r="FPM6" t="n">
        <v>2017</v>
      </c>
      <c r="FPN6" t="n">
        <v>2017</v>
      </c>
      <c r="FPO6" t="n">
        <v>2017</v>
      </c>
      <c r="FPP6" t="n">
        <v>2017</v>
      </c>
      <c r="FPQ6" t="n">
        <v>2017</v>
      </c>
      <c r="FPR6" t="n">
        <v>2017</v>
      </c>
      <c r="FPS6" t="n">
        <v>2017</v>
      </c>
      <c r="FPT6" t="n">
        <v>2017</v>
      </c>
      <c r="FPU6" t="n">
        <v>2017</v>
      </c>
      <c r="FPV6" t="n">
        <v>2017</v>
      </c>
      <c r="FPW6" t="n">
        <v>2017</v>
      </c>
      <c r="FPX6" t="n">
        <v>2017</v>
      </c>
      <c r="FPY6" t="n">
        <v>2017</v>
      </c>
      <c r="FPZ6" t="n">
        <v>2017</v>
      </c>
      <c r="FQA6" t="n">
        <v>2017</v>
      </c>
      <c r="FQB6" t="n">
        <v>2017</v>
      </c>
      <c r="FQC6" t="n">
        <v>2017</v>
      </c>
      <c r="FQD6" t="n">
        <v>2017</v>
      </c>
      <c r="FQE6" t="n">
        <v>2017</v>
      </c>
      <c r="FQF6" t="n">
        <v>2017</v>
      </c>
      <c r="FQG6" t="n">
        <v>2017</v>
      </c>
      <c r="FQH6" t="n">
        <v>2017</v>
      </c>
      <c r="FQI6" t="n">
        <v>2017</v>
      </c>
      <c r="FQJ6" t="n">
        <v>2017</v>
      </c>
      <c r="FQK6" t="n">
        <v>2017</v>
      </c>
      <c r="FQL6" t="n">
        <v>2017</v>
      </c>
      <c r="FQM6" t="n">
        <v>2017</v>
      </c>
      <c r="FQN6" t="n">
        <v>2017</v>
      </c>
      <c r="FQO6" t="n">
        <v>2017</v>
      </c>
      <c r="FQP6" t="n">
        <v>2017</v>
      </c>
      <c r="FQQ6" t="n">
        <v>2017</v>
      </c>
      <c r="FQR6" t="n">
        <v>2017</v>
      </c>
      <c r="FQS6" t="n">
        <v>2017</v>
      </c>
      <c r="FQT6" t="n">
        <v>2017</v>
      </c>
      <c r="FQU6" t="n">
        <v>2017</v>
      </c>
      <c r="FQV6" t="n">
        <v>2017</v>
      </c>
      <c r="FQW6" t="n">
        <v>2017</v>
      </c>
      <c r="FQX6" t="n">
        <v>2017</v>
      </c>
      <c r="FQY6" t="n">
        <v>2017</v>
      </c>
      <c r="FQZ6" t="n">
        <v>2017</v>
      </c>
      <c r="FRA6" t="n">
        <v>2017</v>
      </c>
      <c r="FRB6" t="n">
        <v>2017</v>
      </c>
      <c r="FRC6" t="n">
        <v>2017</v>
      </c>
      <c r="FRD6" t="n">
        <v>2017</v>
      </c>
      <c r="FRE6" t="n">
        <v>2017</v>
      </c>
      <c r="FRF6" t="n">
        <v>2017</v>
      </c>
      <c r="FRG6" t="n">
        <v>2017</v>
      </c>
      <c r="FRH6" t="n">
        <v>2017</v>
      </c>
      <c r="FRI6" t="n">
        <v>2017</v>
      </c>
      <c r="FRJ6" t="n">
        <v>2017</v>
      </c>
      <c r="FRK6" t="n">
        <v>2017</v>
      </c>
      <c r="FRL6" t="n">
        <v>2017</v>
      </c>
      <c r="FRM6" t="n">
        <v>2017</v>
      </c>
      <c r="FRN6" t="n">
        <v>2017</v>
      </c>
      <c r="FRO6" t="n">
        <v>2017</v>
      </c>
      <c r="FRP6" t="n">
        <v>2017</v>
      </c>
      <c r="FRQ6" t="n">
        <v>2017</v>
      </c>
      <c r="FRR6" t="n">
        <v>2017</v>
      </c>
      <c r="FRS6" t="n">
        <v>2017</v>
      </c>
      <c r="FRT6" t="n">
        <v>2017</v>
      </c>
      <c r="FRU6" t="n">
        <v>2017</v>
      </c>
      <c r="FRV6" t="n">
        <v>2017</v>
      </c>
      <c r="FRW6" t="n">
        <v>2017</v>
      </c>
      <c r="FRX6" t="n">
        <v>2017</v>
      </c>
      <c r="FRY6" t="n">
        <v>2017</v>
      </c>
      <c r="FRZ6" t="n">
        <v>2017</v>
      </c>
      <c r="FSA6" t="n">
        <v>2017</v>
      </c>
      <c r="FSB6" t="n">
        <v>2017</v>
      </c>
      <c r="FSC6" t="n">
        <v>2017</v>
      </c>
      <c r="FSD6" t="n">
        <v>2017</v>
      </c>
      <c r="FSE6" t="n">
        <v>2017</v>
      </c>
      <c r="FSF6" t="n">
        <v>2017</v>
      </c>
      <c r="FSG6" t="n">
        <v>2017</v>
      </c>
      <c r="FSH6" t="n">
        <v>2017</v>
      </c>
      <c r="FSI6" t="n">
        <v>2017</v>
      </c>
      <c r="FSJ6" t="n">
        <v>2017</v>
      </c>
      <c r="FSK6" t="n">
        <v>2017</v>
      </c>
      <c r="FSL6" t="n">
        <v>2017</v>
      </c>
      <c r="FSM6" t="n">
        <v>2017</v>
      </c>
      <c r="FSN6" t="n">
        <v>2017</v>
      </c>
      <c r="FSO6" t="n">
        <v>2017</v>
      </c>
      <c r="FSP6" t="n">
        <v>2017</v>
      </c>
      <c r="FSQ6" t="n">
        <v>2017</v>
      </c>
      <c r="FSR6" t="n">
        <v>2017</v>
      </c>
      <c r="FSS6" t="n">
        <v>2017</v>
      </c>
      <c r="FST6" t="n">
        <v>2017</v>
      </c>
      <c r="FSU6" t="n">
        <v>2017</v>
      </c>
      <c r="FSV6" t="n">
        <v>2017</v>
      </c>
      <c r="FSW6" t="n">
        <v>2017</v>
      </c>
      <c r="FSX6" t="n">
        <v>2017</v>
      </c>
      <c r="FSY6" t="n">
        <v>2017</v>
      </c>
      <c r="FSZ6" t="n">
        <v>2017</v>
      </c>
      <c r="FTA6" t="n">
        <v>2017</v>
      </c>
      <c r="FTB6" t="n">
        <v>2017</v>
      </c>
      <c r="FTC6" t="n">
        <v>2017</v>
      </c>
      <c r="FTD6" t="n">
        <v>2017</v>
      </c>
      <c r="FTE6" t="n">
        <v>2017</v>
      </c>
      <c r="FTF6" t="n">
        <v>2017</v>
      </c>
      <c r="FTG6" t="n">
        <v>2017</v>
      </c>
      <c r="FTH6" t="n">
        <v>2017</v>
      </c>
      <c r="FTI6" t="n">
        <v>2017</v>
      </c>
      <c r="FTJ6" t="n">
        <v>2017</v>
      </c>
      <c r="FTK6" t="n">
        <v>2017</v>
      </c>
      <c r="FTL6" t="n">
        <v>2017</v>
      </c>
      <c r="FTM6" t="n">
        <v>2017</v>
      </c>
      <c r="FTN6" t="n">
        <v>2017</v>
      </c>
      <c r="FTO6" t="n">
        <v>2017</v>
      </c>
      <c r="FTP6" t="n">
        <v>2017</v>
      </c>
      <c r="FTQ6" t="n">
        <v>2017</v>
      </c>
      <c r="FTR6" t="n">
        <v>2017</v>
      </c>
      <c r="FTS6" t="n">
        <v>2017</v>
      </c>
      <c r="FTT6" t="n">
        <v>2017</v>
      </c>
      <c r="FTU6" t="n">
        <v>2017</v>
      </c>
      <c r="FTV6" t="n">
        <v>2017</v>
      </c>
      <c r="FTW6" t="n">
        <v>2017</v>
      </c>
      <c r="FTX6" t="n">
        <v>2017</v>
      </c>
      <c r="FTY6" t="n">
        <v>2017</v>
      </c>
      <c r="FTZ6" t="n">
        <v>2017</v>
      </c>
      <c r="FUA6" t="n">
        <v>2017</v>
      </c>
      <c r="FUB6" t="n">
        <v>2017</v>
      </c>
      <c r="FUC6" t="n">
        <v>2017</v>
      </c>
      <c r="FUD6" t="n">
        <v>2017</v>
      </c>
      <c r="FUE6" t="n">
        <v>2017</v>
      </c>
      <c r="FUF6" t="n">
        <v>2017</v>
      </c>
      <c r="FUG6" t="n">
        <v>2017</v>
      </c>
      <c r="FUH6" t="n">
        <v>2017</v>
      </c>
      <c r="FUI6" t="n">
        <v>2017</v>
      </c>
      <c r="FUJ6" t="n">
        <v>2017</v>
      </c>
      <c r="FUK6" t="n">
        <v>2017</v>
      </c>
      <c r="FUL6" t="n">
        <v>2017</v>
      </c>
      <c r="FUM6" t="n">
        <v>2017</v>
      </c>
      <c r="FUN6" t="n">
        <v>2017</v>
      </c>
      <c r="FUO6" t="n">
        <v>2017</v>
      </c>
      <c r="FUP6" t="n">
        <v>2017</v>
      </c>
      <c r="FUQ6" t="n">
        <v>2017</v>
      </c>
      <c r="FUR6" t="n">
        <v>2017</v>
      </c>
      <c r="FUS6" t="n">
        <v>2017</v>
      </c>
      <c r="FUT6" t="n">
        <v>2017</v>
      </c>
      <c r="FUU6" t="n">
        <v>2017</v>
      </c>
      <c r="FUV6" t="n">
        <v>2017</v>
      </c>
      <c r="FUW6" t="n">
        <v>2017</v>
      </c>
      <c r="FUX6" t="n">
        <v>2017</v>
      </c>
      <c r="FUY6" t="n">
        <v>2017</v>
      </c>
      <c r="FUZ6" t="n">
        <v>2017</v>
      </c>
      <c r="FVA6" t="n">
        <v>2017</v>
      </c>
      <c r="FVB6" t="n">
        <v>2017</v>
      </c>
      <c r="FVC6" t="n">
        <v>2017</v>
      </c>
      <c r="FVD6" t="n">
        <v>2017</v>
      </c>
      <c r="FVE6" t="n">
        <v>2017</v>
      </c>
      <c r="FVF6" t="n">
        <v>2017</v>
      </c>
      <c r="FVG6" t="n">
        <v>2017</v>
      </c>
      <c r="FVH6" t="n">
        <v>2017</v>
      </c>
      <c r="FVI6" t="n">
        <v>2017</v>
      </c>
      <c r="FVJ6" t="n">
        <v>2017</v>
      </c>
      <c r="FVK6" t="n">
        <v>2017</v>
      </c>
      <c r="FVL6" t="n">
        <v>2017</v>
      </c>
      <c r="FVM6" t="n">
        <v>2017</v>
      </c>
      <c r="FVN6" t="n">
        <v>2017</v>
      </c>
      <c r="FVO6" t="n">
        <v>2017</v>
      </c>
      <c r="FVP6" t="n">
        <v>2017</v>
      </c>
      <c r="FVQ6" t="n">
        <v>2017</v>
      </c>
      <c r="FVR6" t="n">
        <v>2017</v>
      </c>
      <c r="FVS6" t="n">
        <v>2017</v>
      </c>
      <c r="FVT6" t="n">
        <v>2017</v>
      </c>
      <c r="FVU6" t="n">
        <v>2017</v>
      </c>
      <c r="FVV6" t="n">
        <v>2017</v>
      </c>
      <c r="FVW6" t="n">
        <v>2017</v>
      </c>
      <c r="FVX6" t="n">
        <v>2017</v>
      </c>
      <c r="FVY6" t="n">
        <v>2017</v>
      </c>
      <c r="FVZ6" t="n">
        <v>2017</v>
      </c>
      <c r="FWA6" t="n">
        <v>2017</v>
      </c>
      <c r="FWB6" t="n">
        <v>2017</v>
      </c>
      <c r="FWC6" t="n">
        <v>2017</v>
      </c>
      <c r="FWD6" t="n">
        <v>2017</v>
      </c>
      <c r="FWE6" t="n">
        <v>2017</v>
      </c>
      <c r="FWF6" t="n">
        <v>2017</v>
      </c>
      <c r="FWG6" t="n">
        <v>2017</v>
      </c>
      <c r="FWH6" t="n">
        <v>2017</v>
      </c>
      <c r="FWI6" t="n">
        <v>2017</v>
      </c>
      <c r="FWJ6" t="n">
        <v>2017</v>
      </c>
      <c r="FWK6" t="n">
        <v>2017</v>
      </c>
      <c r="FWL6" t="n">
        <v>2017</v>
      </c>
      <c r="FWM6" t="n">
        <v>2017</v>
      </c>
      <c r="FWN6" t="n">
        <v>2017</v>
      </c>
      <c r="FWO6" t="n">
        <v>2017</v>
      </c>
      <c r="FWP6" t="n">
        <v>2017</v>
      </c>
      <c r="FWQ6" t="n">
        <v>2017</v>
      </c>
      <c r="FWR6" t="n">
        <v>2017</v>
      </c>
      <c r="FWS6" t="n">
        <v>2017</v>
      </c>
      <c r="FWT6" t="n">
        <v>2017</v>
      </c>
      <c r="FWU6" t="n">
        <v>2017</v>
      </c>
      <c r="FWV6" t="n">
        <v>2017</v>
      </c>
      <c r="FWW6" t="n">
        <v>2017</v>
      </c>
      <c r="FWX6" t="n">
        <v>2017</v>
      </c>
      <c r="FWY6" t="n">
        <v>2017</v>
      </c>
      <c r="FWZ6" t="n">
        <v>2017</v>
      </c>
      <c r="FXA6" t="n">
        <v>2017</v>
      </c>
      <c r="FXB6" t="n">
        <v>2017</v>
      </c>
      <c r="FXC6" t="n">
        <v>2017</v>
      </c>
      <c r="FXD6" t="n">
        <v>2017</v>
      </c>
      <c r="FXE6" t="n">
        <v>2017</v>
      </c>
      <c r="FXF6" t="n">
        <v>2017</v>
      </c>
      <c r="FXG6" t="n">
        <v>2017</v>
      </c>
      <c r="FXH6" t="n">
        <v>2017</v>
      </c>
      <c r="FXI6" t="n">
        <v>2017</v>
      </c>
      <c r="FXJ6" t="n">
        <v>2017</v>
      </c>
      <c r="FXK6" t="n">
        <v>2017</v>
      </c>
      <c r="FXL6" t="n">
        <v>2017</v>
      </c>
      <c r="FXM6" t="n">
        <v>2017</v>
      </c>
      <c r="FXN6" t="n">
        <v>2017</v>
      </c>
      <c r="FXO6" t="n">
        <v>2017</v>
      </c>
      <c r="FXP6" t="n">
        <v>2017</v>
      </c>
      <c r="FXQ6" t="n">
        <v>2017</v>
      </c>
      <c r="FXR6" t="n">
        <v>2017</v>
      </c>
      <c r="FXS6" t="n">
        <v>2017</v>
      </c>
      <c r="FXT6" t="n">
        <v>2017</v>
      </c>
      <c r="FXU6" t="n">
        <v>2017</v>
      </c>
      <c r="FXV6" t="n">
        <v>2017</v>
      </c>
      <c r="FXW6" t="n">
        <v>2017</v>
      </c>
      <c r="FXX6" t="n">
        <v>2017</v>
      </c>
      <c r="FXY6" t="n">
        <v>2017</v>
      </c>
      <c r="FXZ6" t="n">
        <v>2017</v>
      </c>
      <c r="FYA6" t="n">
        <v>2017</v>
      </c>
      <c r="FYB6" t="n">
        <v>2017</v>
      </c>
      <c r="FYC6" t="n">
        <v>2017</v>
      </c>
      <c r="FYD6" t="n">
        <v>2017</v>
      </c>
      <c r="FYE6" t="n">
        <v>2017</v>
      </c>
      <c r="FYF6" t="n">
        <v>2017</v>
      </c>
      <c r="FYG6" t="n">
        <v>2017</v>
      </c>
      <c r="FYH6" t="n">
        <v>2017</v>
      </c>
      <c r="FYI6" t="n">
        <v>2017</v>
      </c>
      <c r="FYJ6" t="n">
        <v>2017</v>
      </c>
      <c r="FYK6" t="n">
        <v>2017</v>
      </c>
      <c r="FYL6" t="n">
        <v>2017</v>
      </c>
      <c r="FYM6" t="n">
        <v>2017</v>
      </c>
      <c r="FYN6" t="n">
        <v>2017</v>
      </c>
      <c r="FYO6" t="n">
        <v>2017</v>
      </c>
      <c r="FYP6" t="n">
        <v>2017</v>
      </c>
      <c r="FYQ6" t="n">
        <v>2017</v>
      </c>
      <c r="FYR6" t="n">
        <v>2017</v>
      </c>
      <c r="FYS6" t="n">
        <v>2017</v>
      </c>
      <c r="FYT6" t="n">
        <v>2017</v>
      </c>
      <c r="FYU6" t="n">
        <v>2017</v>
      </c>
      <c r="FYV6" t="n">
        <v>2017</v>
      </c>
      <c r="FYW6" t="n">
        <v>2017</v>
      </c>
      <c r="FYX6" t="n">
        <v>2017</v>
      </c>
      <c r="FYY6" t="n">
        <v>2017</v>
      </c>
      <c r="FYZ6" t="n">
        <v>2017</v>
      </c>
      <c r="FZA6" t="n">
        <v>2017</v>
      </c>
      <c r="FZB6" t="n">
        <v>2017</v>
      </c>
      <c r="FZC6" t="n">
        <v>2017</v>
      </c>
      <c r="FZD6" t="n">
        <v>2017</v>
      </c>
      <c r="FZE6" t="n">
        <v>2017</v>
      </c>
      <c r="FZF6" t="n">
        <v>2017</v>
      </c>
      <c r="FZG6" t="n">
        <v>2017</v>
      </c>
      <c r="FZH6" t="n">
        <v>2017</v>
      </c>
      <c r="FZI6" t="n">
        <v>2017</v>
      </c>
      <c r="FZJ6" t="n">
        <v>2017</v>
      </c>
      <c r="FZK6" t="n">
        <v>2017</v>
      </c>
      <c r="FZL6" t="n">
        <v>2017</v>
      </c>
      <c r="FZM6" t="n">
        <v>2017</v>
      </c>
      <c r="FZN6" t="n">
        <v>2017</v>
      </c>
      <c r="FZO6" t="n">
        <v>2017</v>
      </c>
      <c r="FZP6" t="n">
        <v>2017</v>
      </c>
      <c r="FZQ6" t="n">
        <v>2017</v>
      </c>
      <c r="FZR6" t="n">
        <v>2017</v>
      </c>
      <c r="FZS6" t="n">
        <v>2017</v>
      </c>
      <c r="FZT6" t="n">
        <v>2017</v>
      </c>
      <c r="FZU6" t="n">
        <v>2017</v>
      </c>
      <c r="FZV6" t="n">
        <v>2017</v>
      </c>
      <c r="FZW6" t="n">
        <v>2017</v>
      </c>
      <c r="FZX6" t="n">
        <v>2017</v>
      </c>
      <c r="FZY6" t="n">
        <v>2017</v>
      </c>
      <c r="FZZ6" t="n">
        <v>2017</v>
      </c>
      <c r="GAA6" t="n">
        <v>2017</v>
      </c>
      <c r="GAB6" t="n">
        <v>2017</v>
      </c>
      <c r="GAC6" t="n">
        <v>2017</v>
      </c>
      <c r="GAD6" t="n">
        <v>2017</v>
      </c>
      <c r="GAE6" t="n">
        <v>2017</v>
      </c>
      <c r="GAF6" t="n">
        <v>2017</v>
      </c>
      <c r="GAG6" t="n">
        <v>2017</v>
      </c>
      <c r="GAH6" t="n">
        <v>2017</v>
      </c>
      <c r="GAI6" t="n">
        <v>2017</v>
      </c>
      <c r="GAJ6" t="n">
        <v>2017</v>
      </c>
      <c r="GAK6" t="n">
        <v>2017</v>
      </c>
      <c r="GAL6" t="n">
        <v>2017</v>
      </c>
      <c r="GAM6" t="n">
        <v>2017</v>
      </c>
      <c r="GAN6" t="n">
        <v>2017</v>
      </c>
      <c r="GAO6" t="n">
        <v>2017</v>
      </c>
      <c r="GAP6" t="n">
        <v>2017</v>
      </c>
      <c r="GAQ6" t="n">
        <v>2017</v>
      </c>
      <c r="GAR6" t="n">
        <v>2017</v>
      </c>
      <c r="GAS6" t="n">
        <v>2017</v>
      </c>
      <c r="GAT6" t="n">
        <v>2017</v>
      </c>
      <c r="GAU6" t="n">
        <v>2017</v>
      </c>
      <c r="GAV6" t="n">
        <v>2017</v>
      </c>
      <c r="GAW6" t="n">
        <v>2017</v>
      </c>
      <c r="GAX6" t="n">
        <v>2017</v>
      </c>
      <c r="GAY6" t="n">
        <v>2017</v>
      </c>
      <c r="GAZ6" t="n">
        <v>2017</v>
      </c>
      <c r="GBA6" t="n">
        <v>2017</v>
      </c>
      <c r="GBB6" t="n">
        <v>2017</v>
      </c>
      <c r="GBC6" t="n">
        <v>2017</v>
      </c>
      <c r="GBD6" t="n">
        <v>2017</v>
      </c>
      <c r="GBE6" t="n">
        <v>2017</v>
      </c>
      <c r="GBF6" t="n">
        <v>2017</v>
      </c>
      <c r="GBG6" t="n">
        <v>2017</v>
      </c>
      <c r="GBH6" t="n">
        <v>2017</v>
      </c>
      <c r="GBI6" t="n">
        <v>2017</v>
      </c>
      <c r="GBJ6" t="n">
        <v>2017</v>
      </c>
      <c r="GBK6" t="n">
        <v>2017</v>
      </c>
      <c r="GBL6" t="n">
        <v>2017</v>
      </c>
      <c r="GBM6" t="n">
        <v>2017</v>
      </c>
      <c r="GBN6" t="n">
        <v>2017</v>
      </c>
      <c r="GBO6" t="n">
        <v>2017</v>
      </c>
      <c r="GBP6" t="n">
        <v>2017</v>
      </c>
      <c r="GBQ6" t="n">
        <v>2017</v>
      </c>
      <c r="GBR6" t="n">
        <v>2017</v>
      </c>
      <c r="GBS6" t="n">
        <v>2017</v>
      </c>
      <c r="GBT6" t="n">
        <v>2017</v>
      </c>
      <c r="GBU6" t="n">
        <v>2017</v>
      </c>
      <c r="GBV6" t="n">
        <v>2017</v>
      </c>
      <c r="GBW6" t="n">
        <v>2017</v>
      </c>
      <c r="GBX6" t="n">
        <v>2017</v>
      </c>
      <c r="GBY6" t="n">
        <v>2017</v>
      </c>
      <c r="GBZ6" t="n">
        <v>2017</v>
      </c>
      <c r="GCA6" t="n">
        <v>2017</v>
      </c>
      <c r="GCB6" t="n">
        <v>2017</v>
      </c>
      <c r="GCC6" t="n">
        <v>2017</v>
      </c>
      <c r="GCD6" t="n">
        <v>2017</v>
      </c>
      <c r="GCE6" t="n">
        <v>2017</v>
      </c>
      <c r="GCF6" t="n">
        <v>2017</v>
      </c>
      <c r="GCG6" t="n">
        <v>2017</v>
      </c>
      <c r="GCH6" t="n">
        <v>2017</v>
      </c>
      <c r="GCI6" t="n">
        <v>2017</v>
      </c>
      <c r="GCJ6" t="n">
        <v>2017</v>
      </c>
      <c r="GCK6" t="n">
        <v>2017</v>
      </c>
      <c r="GCL6" t="n">
        <v>2017</v>
      </c>
      <c r="GCM6" t="n">
        <v>2017</v>
      </c>
      <c r="GCN6" t="n">
        <v>2017</v>
      </c>
      <c r="GCO6" t="n">
        <v>2017</v>
      </c>
      <c r="GCP6" t="n">
        <v>2017</v>
      </c>
      <c r="GCQ6" t="n">
        <v>2017</v>
      </c>
      <c r="GCR6" t="n">
        <v>2017</v>
      </c>
      <c r="GCS6" t="n">
        <v>2017</v>
      </c>
      <c r="GCT6" t="n">
        <v>2017</v>
      </c>
      <c r="GCU6" t="n">
        <v>2017</v>
      </c>
      <c r="GCV6" t="n">
        <v>2017</v>
      </c>
      <c r="GCW6" t="n">
        <v>2017</v>
      </c>
      <c r="GCX6" t="n">
        <v>2017</v>
      </c>
      <c r="GCY6" t="n">
        <v>2017</v>
      </c>
      <c r="GCZ6" t="n">
        <v>2017</v>
      </c>
      <c r="GDA6" t="n">
        <v>2017</v>
      </c>
      <c r="GDB6" t="n">
        <v>2017</v>
      </c>
      <c r="GDC6" t="n">
        <v>2017</v>
      </c>
      <c r="GDD6" t="n">
        <v>2017</v>
      </c>
      <c r="GDE6" t="n">
        <v>2017</v>
      </c>
      <c r="GDF6" t="n">
        <v>2017</v>
      </c>
      <c r="GDG6" t="n">
        <v>2017</v>
      </c>
      <c r="GDH6" t="n">
        <v>2017</v>
      </c>
      <c r="GDI6" t="n">
        <v>2017</v>
      </c>
      <c r="GDJ6" t="n">
        <v>2017</v>
      </c>
      <c r="GDK6" t="n">
        <v>2017</v>
      </c>
      <c r="GDL6" t="n">
        <v>2017</v>
      </c>
      <c r="GDM6" t="n">
        <v>2017</v>
      </c>
      <c r="GDN6" t="n">
        <v>2017</v>
      </c>
      <c r="GDO6" t="n">
        <v>2017</v>
      </c>
      <c r="GDP6" t="n">
        <v>2017</v>
      </c>
      <c r="GDQ6" t="n">
        <v>2017</v>
      </c>
      <c r="GDR6" t="n">
        <v>2017</v>
      </c>
      <c r="GDS6" t="n">
        <v>2017</v>
      </c>
      <c r="GDT6" t="n">
        <v>2017</v>
      </c>
      <c r="GDU6" t="n">
        <v>2017</v>
      </c>
      <c r="GDV6" t="n">
        <v>2017</v>
      </c>
      <c r="GDW6" t="n">
        <v>2017</v>
      </c>
      <c r="GDX6" t="n">
        <v>2017</v>
      </c>
      <c r="GDY6" t="n">
        <v>2017</v>
      </c>
      <c r="GDZ6" t="n">
        <v>2017</v>
      </c>
      <c r="GEA6" t="n">
        <v>2017</v>
      </c>
      <c r="GEB6" t="n">
        <v>2017</v>
      </c>
      <c r="GEC6" t="n">
        <v>2017</v>
      </c>
      <c r="GED6" t="n">
        <v>2017</v>
      </c>
      <c r="GEE6" t="n">
        <v>2017</v>
      </c>
      <c r="GEF6" t="n">
        <v>2017</v>
      </c>
      <c r="GEG6" t="n">
        <v>2017</v>
      </c>
      <c r="GEH6" t="n">
        <v>2017</v>
      </c>
      <c r="GEI6" t="n">
        <v>2017</v>
      </c>
      <c r="GEJ6" t="n">
        <v>2017</v>
      </c>
      <c r="GEK6" t="n">
        <v>2017</v>
      </c>
      <c r="GEL6" t="n">
        <v>2017</v>
      </c>
      <c r="GEM6" t="n">
        <v>2017</v>
      </c>
      <c r="GEN6" t="n">
        <v>2017</v>
      </c>
      <c r="GEO6" t="n">
        <v>2017</v>
      </c>
      <c r="GEP6" t="n">
        <v>2017</v>
      </c>
      <c r="GEQ6" t="n">
        <v>2017</v>
      </c>
      <c r="GER6" t="n">
        <v>2017</v>
      </c>
      <c r="GES6" t="n">
        <v>2017</v>
      </c>
      <c r="GET6" t="n">
        <v>2017</v>
      </c>
      <c r="GEU6" t="n">
        <v>2017</v>
      </c>
      <c r="GEV6" t="n">
        <v>2017</v>
      </c>
      <c r="GEW6" t="n">
        <v>2017</v>
      </c>
      <c r="GEX6" t="n">
        <v>2017</v>
      </c>
      <c r="GEY6" t="n">
        <v>2017</v>
      </c>
      <c r="GEZ6" t="n">
        <v>2017</v>
      </c>
      <c r="GFA6" t="n">
        <v>2017</v>
      </c>
      <c r="GFB6" s="87" t="n">
        <v>2016</v>
      </c>
      <c r="GFC6" t="n">
        <v>2016</v>
      </c>
      <c r="GFD6" t="n">
        <v>2016</v>
      </c>
      <c r="GFE6" t="n">
        <v>2016</v>
      </c>
      <c r="GFF6" t="n">
        <v>2016</v>
      </c>
      <c r="GFG6" t="n">
        <v>2016</v>
      </c>
      <c r="GFH6" t="n">
        <v>2016</v>
      </c>
      <c r="GFI6" t="n">
        <v>2016</v>
      </c>
      <c r="GFJ6" t="n">
        <v>2016</v>
      </c>
      <c r="GFK6" t="n">
        <v>2016</v>
      </c>
      <c r="GFL6" t="n">
        <v>2016</v>
      </c>
      <c r="GFM6" t="n">
        <v>2016</v>
      </c>
      <c r="GFN6" t="n">
        <v>2016</v>
      </c>
      <c r="GFO6" t="n">
        <v>2016</v>
      </c>
      <c r="GFP6" t="n">
        <v>2016</v>
      </c>
      <c r="GFQ6" t="n">
        <v>2016</v>
      </c>
      <c r="GFR6" t="n">
        <v>2016</v>
      </c>
      <c r="GFS6" t="n">
        <v>2016</v>
      </c>
      <c r="GFT6" t="n">
        <v>2016</v>
      </c>
      <c r="GFU6" t="n">
        <v>2016</v>
      </c>
      <c r="GFV6" t="n">
        <v>2016</v>
      </c>
      <c r="GFW6" t="n">
        <v>2016</v>
      </c>
      <c r="GFX6" t="n">
        <v>2016</v>
      </c>
      <c r="GFY6" t="n">
        <v>2016</v>
      </c>
      <c r="GFZ6" t="n">
        <v>2016</v>
      </c>
      <c r="GGA6" t="n">
        <v>2016</v>
      </c>
      <c r="GGB6" t="n">
        <v>2016</v>
      </c>
      <c r="GGC6" t="n">
        <v>2016</v>
      </c>
      <c r="GGD6" t="n">
        <v>2016</v>
      </c>
      <c r="GGE6" t="n">
        <v>2016</v>
      </c>
      <c r="GGF6" t="n">
        <v>2016</v>
      </c>
      <c r="GGG6" t="n">
        <v>2016</v>
      </c>
      <c r="GGH6" t="n">
        <v>2016</v>
      </c>
      <c r="GGI6" t="n">
        <v>2016</v>
      </c>
      <c r="GGJ6" t="n">
        <v>2016</v>
      </c>
      <c r="GGK6" t="n">
        <v>2016</v>
      </c>
      <c r="GGL6" t="n">
        <v>2016</v>
      </c>
      <c r="GGM6" t="n">
        <v>2016</v>
      </c>
      <c r="GGN6" t="n">
        <v>2016</v>
      </c>
      <c r="GGO6" t="n">
        <v>2016</v>
      </c>
      <c r="GGP6" t="n">
        <v>2016</v>
      </c>
      <c r="GGQ6" t="n">
        <v>2016</v>
      </c>
      <c r="GGR6" t="n">
        <v>2016</v>
      </c>
      <c r="GGS6" t="n">
        <v>2016</v>
      </c>
      <c r="GGT6" t="n">
        <v>2016</v>
      </c>
      <c r="GGU6" t="n">
        <v>2016</v>
      </c>
      <c r="GGV6" t="n">
        <v>2016</v>
      </c>
      <c r="GGW6" t="n">
        <v>2016</v>
      </c>
      <c r="GGX6" t="n">
        <v>2016</v>
      </c>
      <c r="GGY6" t="n">
        <v>2016</v>
      </c>
      <c r="GGZ6" t="n">
        <v>2016</v>
      </c>
      <c r="GHA6" t="n">
        <v>2016</v>
      </c>
      <c r="GHB6" t="n">
        <v>2016</v>
      </c>
      <c r="GHC6" t="n">
        <v>2016</v>
      </c>
      <c r="GHD6" t="n">
        <v>2016</v>
      </c>
      <c r="GHE6" t="n">
        <v>2016</v>
      </c>
      <c r="GHF6" t="n">
        <v>2016</v>
      </c>
      <c r="GHG6" t="n">
        <v>2016</v>
      </c>
      <c r="GHH6" t="n">
        <v>2016</v>
      </c>
      <c r="GHI6" t="n">
        <v>2016</v>
      </c>
      <c r="GHJ6" t="n">
        <v>2016</v>
      </c>
      <c r="GHK6" t="n">
        <v>2016</v>
      </c>
      <c r="GHL6" t="n">
        <v>2016</v>
      </c>
      <c r="GHM6" t="n">
        <v>2016</v>
      </c>
      <c r="GHN6" t="n">
        <v>2016</v>
      </c>
      <c r="GHO6" t="n">
        <v>2016</v>
      </c>
      <c r="GHP6" t="n">
        <v>2016</v>
      </c>
      <c r="GHQ6" t="n">
        <v>2016</v>
      </c>
      <c r="GHR6" t="n">
        <v>2016</v>
      </c>
      <c r="GHS6" t="n">
        <v>2016</v>
      </c>
      <c r="GHT6" t="n">
        <v>2016</v>
      </c>
      <c r="GHU6" t="n">
        <v>2016</v>
      </c>
      <c r="GHV6" t="n">
        <v>2016</v>
      </c>
      <c r="GHW6" t="n">
        <v>2016</v>
      </c>
      <c r="GHX6" t="n">
        <v>2016</v>
      </c>
      <c r="GHY6" t="n">
        <v>2016</v>
      </c>
      <c r="GHZ6" t="n">
        <v>2016</v>
      </c>
      <c r="GIA6" t="n">
        <v>2016</v>
      </c>
      <c r="GIB6" t="n">
        <v>2016</v>
      </c>
      <c r="GIC6" t="n">
        <v>2016</v>
      </c>
      <c r="GID6" t="n">
        <v>2016</v>
      </c>
      <c r="GIE6" t="n">
        <v>2016</v>
      </c>
      <c r="GIF6" t="n">
        <v>2016</v>
      </c>
      <c r="GIG6" t="n">
        <v>2016</v>
      </c>
      <c r="GIH6" t="n">
        <v>2016</v>
      </c>
      <c r="GII6" t="n">
        <v>2016</v>
      </c>
      <c r="GIJ6" t="n">
        <v>2016</v>
      </c>
      <c r="GIK6" t="n">
        <v>2016</v>
      </c>
      <c r="GIL6" t="n">
        <v>2016</v>
      </c>
      <c r="GIM6" t="n">
        <v>2016</v>
      </c>
      <c r="GIN6" t="n">
        <v>2016</v>
      </c>
      <c r="GIO6" t="n">
        <v>2016</v>
      </c>
      <c r="GIP6" t="n">
        <v>2016</v>
      </c>
      <c r="GIQ6" t="n">
        <v>2016</v>
      </c>
      <c r="GIR6" t="n">
        <v>2016</v>
      </c>
      <c r="GIS6" t="n">
        <v>2016</v>
      </c>
      <c r="GIT6" t="n">
        <v>2016</v>
      </c>
      <c r="GIU6" t="n">
        <v>2016</v>
      </c>
      <c r="GIV6" t="n">
        <v>2016</v>
      </c>
      <c r="GIW6" t="n">
        <v>2016</v>
      </c>
      <c r="GIX6" t="n">
        <v>2016</v>
      </c>
      <c r="GIY6" t="n">
        <v>2016</v>
      </c>
      <c r="GIZ6" t="n">
        <v>2016</v>
      </c>
      <c r="GJA6" t="n">
        <v>2016</v>
      </c>
      <c r="GJB6" t="n">
        <v>2016</v>
      </c>
      <c r="GJC6" t="n">
        <v>2016</v>
      </c>
      <c r="GJD6" t="n">
        <v>2016</v>
      </c>
      <c r="GJE6" t="n">
        <v>2016</v>
      </c>
      <c r="GJF6" t="n">
        <v>2016</v>
      </c>
      <c r="GJG6" t="n">
        <v>2016</v>
      </c>
      <c r="GJH6" t="n">
        <v>2016</v>
      </c>
      <c r="GJI6" t="n">
        <v>2016</v>
      </c>
      <c r="GJJ6" t="n">
        <v>2016</v>
      </c>
      <c r="GJK6" t="n">
        <v>2016</v>
      </c>
      <c r="GJL6" t="n">
        <v>2016</v>
      </c>
      <c r="GJM6" t="n">
        <v>2016</v>
      </c>
      <c r="GJN6" t="n">
        <v>2016</v>
      </c>
      <c r="GJO6" t="n">
        <v>2016</v>
      </c>
      <c r="GJP6" t="n">
        <v>2016</v>
      </c>
      <c r="GJQ6" t="n">
        <v>2016</v>
      </c>
      <c r="GJR6" t="n">
        <v>2016</v>
      </c>
      <c r="GJS6" t="n">
        <v>2016</v>
      </c>
      <c r="GJT6" t="n">
        <v>2016</v>
      </c>
      <c r="GJU6" t="n">
        <v>2016</v>
      </c>
      <c r="GJV6" t="n">
        <v>2016</v>
      </c>
      <c r="GJW6" t="n">
        <v>2016</v>
      </c>
      <c r="GJX6" t="n">
        <v>2016</v>
      </c>
      <c r="GJY6" t="n">
        <v>2016</v>
      </c>
      <c r="GJZ6" t="n">
        <v>2016</v>
      </c>
      <c r="GKA6" t="n">
        <v>2016</v>
      </c>
      <c r="GKB6" t="n">
        <v>2016</v>
      </c>
      <c r="GKC6" t="n">
        <v>2016</v>
      </c>
      <c r="GKD6" t="n">
        <v>2016</v>
      </c>
      <c r="GKE6" t="n">
        <v>2016</v>
      </c>
      <c r="GKF6" t="n">
        <v>2016</v>
      </c>
      <c r="GKG6" t="n">
        <v>2016</v>
      </c>
      <c r="GKH6" t="n">
        <v>2016</v>
      </c>
      <c r="GKI6" t="n">
        <v>2016</v>
      </c>
      <c r="GKJ6" t="n">
        <v>2016</v>
      </c>
      <c r="GKK6" t="n">
        <v>2016</v>
      </c>
      <c r="GKL6" t="n">
        <v>2016</v>
      </c>
      <c r="GKM6" t="n">
        <v>2016</v>
      </c>
      <c r="GKN6" t="n">
        <v>2016</v>
      </c>
      <c r="GKO6" t="n">
        <v>2016</v>
      </c>
      <c r="GKP6" t="n">
        <v>2016</v>
      </c>
      <c r="GKQ6" t="n">
        <v>2016</v>
      </c>
      <c r="GKR6" t="n">
        <v>2016</v>
      </c>
      <c r="GKS6" t="n">
        <v>2016</v>
      </c>
      <c r="GKT6" t="n">
        <v>2016</v>
      </c>
      <c r="GKU6" t="n">
        <v>2016</v>
      </c>
      <c r="GKV6" t="n">
        <v>2016</v>
      </c>
      <c r="GKW6" t="n">
        <v>2016</v>
      </c>
      <c r="GKX6" t="n">
        <v>2016</v>
      </c>
      <c r="GKY6" t="n">
        <v>2016</v>
      </c>
      <c r="GKZ6" t="n">
        <v>2016</v>
      </c>
      <c r="GLA6" t="n">
        <v>2016</v>
      </c>
      <c r="GLB6" t="n">
        <v>2016</v>
      </c>
      <c r="GLC6" t="n">
        <v>2016</v>
      </c>
      <c r="GLD6" t="n">
        <v>2016</v>
      </c>
      <c r="GLE6" t="n">
        <v>2016</v>
      </c>
      <c r="GLF6" t="n">
        <v>2016</v>
      </c>
      <c r="GLG6" t="n">
        <v>2016</v>
      </c>
      <c r="GLH6" t="n">
        <v>2016</v>
      </c>
      <c r="GLI6" t="n">
        <v>2016</v>
      </c>
      <c r="GLJ6" t="n">
        <v>2016</v>
      </c>
      <c r="GLK6" t="n">
        <v>2016</v>
      </c>
      <c r="GLL6" t="n">
        <v>2016</v>
      </c>
      <c r="GLM6" t="n">
        <v>2016</v>
      </c>
      <c r="GLN6" t="n">
        <v>2016</v>
      </c>
      <c r="GLO6" t="n">
        <v>2016</v>
      </c>
      <c r="GLP6" t="n">
        <v>2016</v>
      </c>
      <c r="GLQ6" t="n">
        <v>2016</v>
      </c>
      <c r="GLR6" t="n">
        <v>2016</v>
      </c>
      <c r="GLS6" t="n">
        <v>2016</v>
      </c>
      <c r="GLT6" t="n">
        <v>2016</v>
      </c>
      <c r="GLU6" t="n">
        <v>2016</v>
      </c>
      <c r="GLV6" t="n">
        <v>2016</v>
      </c>
      <c r="GLW6" t="n">
        <v>2016</v>
      </c>
      <c r="GLX6" t="n">
        <v>2016</v>
      </c>
      <c r="GLY6" t="n">
        <v>2016</v>
      </c>
      <c r="GLZ6" t="n">
        <v>2016</v>
      </c>
      <c r="GMA6" t="n">
        <v>2016</v>
      </c>
      <c r="GMB6" t="n">
        <v>2016</v>
      </c>
      <c r="GMC6" t="n">
        <v>2016</v>
      </c>
      <c r="GMD6" t="n">
        <v>2016</v>
      </c>
      <c r="GME6" t="n">
        <v>2016</v>
      </c>
      <c r="GMF6" t="n">
        <v>2016</v>
      </c>
      <c r="GMG6" t="n">
        <v>2016</v>
      </c>
      <c r="GMH6" t="n">
        <v>2016</v>
      </c>
      <c r="GMI6" t="n">
        <v>2016</v>
      </c>
      <c r="GMJ6" t="n">
        <v>2016</v>
      </c>
      <c r="GMK6" t="n">
        <v>2016</v>
      </c>
      <c r="GML6" t="n">
        <v>2016</v>
      </c>
      <c r="GMM6" t="n">
        <v>2016</v>
      </c>
      <c r="GMN6" t="n">
        <v>2016</v>
      </c>
      <c r="GMO6" t="n">
        <v>2016</v>
      </c>
      <c r="GMP6" t="n">
        <v>2016</v>
      </c>
      <c r="GMQ6" t="n">
        <v>2016</v>
      </c>
      <c r="GMR6" t="n">
        <v>2016</v>
      </c>
      <c r="GMS6" t="n">
        <v>2016</v>
      </c>
      <c r="GMT6" t="n">
        <v>2016</v>
      </c>
      <c r="GMU6" t="n">
        <v>2016</v>
      </c>
      <c r="GMV6" t="n">
        <v>2016</v>
      </c>
      <c r="GMW6" t="n">
        <v>2016</v>
      </c>
      <c r="GMX6" t="n">
        <v>2016</v>
      </c>
      <c r="GMY6" t="n">
        <v>2016</v>
      </c>
      <c r="GMZ6" t="n">
        <v>2016</v>
      </c>
      <c r="GNA6" t="n">
        <v>2016</v>
      </c>
      <c r="GNB6" t="n">
        <v>2016</v>
      </c>
      <c r="GNC6" t="n">
        <v>2016</v>
      </c>
      <c r="GND6" t="n">
        <v>2016</v>
      </c>
      <c r="GNE6" t="n">
        <v>2016</v>
      </c>
      <c r="GNF6" t="n">
        <v>2016</v>
      </c>
      <c r="GNG6" t="n">
        <v>2016</v>
      </c>
      <c r="GNH6" t="n">
        <v>2016</v>
      </c>
      <c r="GNI6" t="n">
        <v>2016</v>
      </c>
      <c r="GNJ6" t="n">
        <v>2016</v>
      </c>
      <c r="GNK6" t="n">
        <v>2016</v>
      </c>
      <c r="GNL6" t="n">
        <v>2016</v>
      </c>
      <c r="GNM6" t="n">
        <v>2016</v>
      </c>
      <c r="GNN6" t="n">
        <v>2016</v>
      </c>
      <c r="GNO6" t="n">
        <v>2016</v>
      </c>
      <c r="GNP6" t="n">
        <v>2016</v>
      </c>
      <c r="GNQ6" t="n">
        <v>2016</v>
      </c>
      <c r="GNR6" t="n">
        <v>2016</v>
      </c>
      <c r="GNS6" t="n">
        <v>2016</v>
      </c>
      <c r="GNT6" t="n">
        <v>2016</v>
      </c>
      <c r="GNU6" t="n">
        <v>2016</v>
      </c>
      <c r="GNV6" t="n">
        <v>2016</v>
      </c>
      <c r="GNW6" t="n">
        <v>2016</v>
      </c>
      <c r="GNX6" t="n">
        <v>2016</v>
      </c>
      <c r="GNY6" t="n">
        <v>2016</v>
      </c>
      <c r="GNZ6" t="n">
        <v>2016</v>
      </c>
      <c r="GOA6" t="n">
        <v>2016</v>
      </c>
      <c r="GOB6" t="n">
        <v>2016</v>
      </c>
      <c r="GOC6" t="n">
        <v>2016</v>
      </c>
      <c r="GOD6" t="n">
        <v>2016</v>
      </c>
      <c r="GOE6" t="n">
        <v>2016</v>
      </c>
      <c r="GOF6" t="n">
        <v>2016</v>
      </c>
      <c r="GOG6" t="n">
        <v>2016</v>
      </c>
      <c r="GOH6" t="n">
        <v>2016</v>
      </c>
      <c r="GOI6" t="n">
        <v>2016</v>
      </c>
      <c r="GOJ6" t="n">
        <v>2016</v>
      </c>
      <c r="GOK6" t="n">
        <v>2016</v>
      </c>
      <c r="GOL6" t="n">
        <v>2016</v>
      </c>
      <c r="GOM6" t="n">
        <v>2016</v>
      </c>
      <c r="GON6" t="n">
        <v>2016</v>
      </c>
      <c r="GOO6" t="n">
        <v>2016</v>
      </c>
      <c r="GOP6" t="n">
        <v>2016</v>
      </c>
      <c r="GOQ6" t="n">
        <v>2016</v>
      </c>
      <c r="GOR6" t="n">
        <v>2016</v>
      </c>
      <c r="GOS6" t="n">
        <v>2016</v>
      </c>
      <c r="GOT6" t="n">
        <v>2016</v>
      </c>
      <c r="GOU6" t="n">
        <v>2016</v>
      </c>
      <c r="GOV6" t="n">
        <v>2016</v>
      </c>
      <c r="GOW6" t="n">
        <v>2016</v>
      </c>
      <c r="GOX6" t="n">
        <v>2016</v>
      </c>
      <c r="GOY6" t="n">
        <v>2016</v>
      </c>
      <c r="GOZ6" t="n">
        <v>2016</v>
      </c>
      <c r="GPA6" t="n">
        <v>2016</v>
      </c>
      <c r="GPB6" t="n">
        <v>2016</v>
      </c>
      <c r="GPC6" t="n">
        <v>2016</v>
      </c>
      <c r="GPD6" t="n">
        <v>2016</v>
      </c>
      <c r="GPE6" t="n">
        <v>2016</v>
      </c>
      <c r="GPF6" t="n">
        <v>2016</v>
      </c>
      <c r="GPG6" t="n">
        <v>2016</v>
      </c>
      <c r="GPH6" t="n">
        <v>2016</v>
      </c>
      <c r="GPI6" t="n">
        <v>2016</v>
      </c>
      <c r="GPJ6" t="n">
        <v>2016</v>
      </c>
      <c r="GPK6" t="n">
        <v>2016</v>
      </c>
      <c r="GPL6" t="n">
        <v>2016</v>
      </c>
      <c r="GPM6" t="n">
        <v>2016</v>
      </c>
      <c r="GPN6" t="n">
        <v>2016</v>
      </c>
      <c r="GPO6" t="n">
        <v>2016</v>
      </c>
      <c r="GPP6" t="n">
        <v>2016</v>
      </c>
      <c r="GPQ6" t="n">
        <v>2016</v>
      </c>
      <c r="GPR6" t="n">
        <v>2016</v>
      </c>
      <c r="GPS6" t="n">
        <v>2016</v>
      </c>
      <c r="GPT6" t="n">
        <v>2016</v>
      </c>
      <c r="GPU6" t="n">
        <v>2016</v>
      </c>
      <c r="GPV6" t="n">
        <v>2016</v>
      </c>
      <c r="GPW6" t="n">
        <v>2016</v>
      </c>
      <c r="GPX6" t="n">
        <v>2016</v>
      </c>
      <c r="GPY6" t="n">
        <v>2016</v>
      </c>
      <c r="GPZ6" t="n">
        <v>2016</v>
      </c>
      <c r="GQA6" t="n">
        <v>2016</v>
      </c>
      <c r="GQB6" t="n">
        <v>2016</v>
      </c>
      <c r="GQC6" t="n">
        <v>2016</v>
      </c>
      <c r="GQD6" t="n">
        <v>2016</v>
      </c>
      <c r="GQE6" t="n">
        <v>2016</v>
      </c>
      <c r="GQF6" t="n">
        <v>2016</v>
      </c>
      <c r="GQG6" t="n">
        <v>2016</v>
      </c>
      <c r="GQH6" t="n">
        <v>2016</v>
      </c>
      <c r="GQI6" t="n">
        <v>2016</v>
      </c>
      <c r="GQJ6" t="n">
        <v>2016</v>
      </c>
      <c r="GQK6" t="n">
        <v>2016</v>
      </c>
      <c r="GQL6" t="n">
        <v>2016</v>
      </c>
      <c r="GQM6" t="n">
        <v>2016</v>
      </c>
      <c r="GQN6" t="n">
        <v>2016</v>
      </c>
      <c r="GQO6" t="n">
        <v>2016</v>
      </c>
      <c r="GQP6" t="n">
        <v>2016</v>
      </c>
      <c r="GQQ6" t="n">
        <v>2016</v>
      </c>
      <c r="GQR6" t="n">
        <v>2016</v>
      </c>
      <c r="GQS6" t="n">
        <v>2016</v>
      </c>
      <c r="GQT6" t="n">
        <v>2016</v>
      </c>
      <c r="GQU6" t="n">
        <v>2016</v>
      </c>
      <c r="GQV6" t="n">
        <v>2016</v>
      </c>
      <c r="GQW6" t="n">
        <v>2016</v>
      </c>
      <c r="GQX6" t="n">
        <v>2016</v>
      </c>
      <c r="GQY6" t="n">
        <v>2016</v>
      </c>
      <c r="GQZ6" t="n">
        <v>2016</v>
      </c>
      <c r="GRA6" t="n">
        <v>2016</v>
      </c>
      <c r="GRB6" t="n">
        <v>2016</v>
      </c>
      <c r="GRC6" t="n">
        <v>2016</v>
      </c>
      <c r="GRD6" t="n">
        <v>2016</v>
      </c>
      <c r="GRE6" t="n">
        <v>2016</v>
      </c>
      <c r="GRF6" t="n">
        <v>2016</v>
      </c>
      <c r="GRG6" t="n">
        <v>2016</v>
      </c>
      <c r="GRH6" t="n">
        <v>2016</v>
      </c>
      <c r="GRI6" t="n">
        <v>2016</v>
      </c>
      <c r="GRJ6" t="n">
        <v>2016</v>
      </c>
      <c r="GRK6" t="n">
        <v>2016</v>
      </c>
      <c r="GRL6" t="n">
        <v>2016</v>
      </c>
      <c r="GRM6" t="n">
        <v>2016</v>
      </c>
      <c r="GRN6" t="n">
        <v>2016</v>
      </c>
      <c r="GRO6" t="n">
        <v>2016</v>
      </c>
      <c r="GRP6" t="n">
        <v>2016</v>
      </c>
      <c r="GRQ6" t="n">
        <v>2016</v>
      </c>
      <c r="GRR6" t="n">
        <v>2016</v>
      </c>
      <c r="GRS6" t="n">
        <v>2016</v>
      </c>
      <c r="GRT6" t="n">
        <v>2016</v>
      </c>
      <c r="GRU6" t="n">
        <v>2016</v>
      </c>
      <c r="GRV6" t="n">
        <v>2016</v>
      </c>
      <c r="GRW6" t="n">
        <v>2016</v>
      </c>
      <c r="GRX6" t="n">
        <v>2016</v>
      </c>
      <c r="GRY6" t="n">
        <v>2016</v>
      </c>
      <c r="GRZ6" t="n">
        <v>2016</v>
      </c>
      <c r="GSA6" t="n">
        <v>2016</v>
      </c>
      <c r="GSB6" t="n">
        <v>2016</v>
      </c>
      <c r="GSC6" t="n">
        <v>2016</v>
      </c>
      <c r="GSD6" t="n">
        <v>2016</v>
      </c>
      <c r="GSE6" t="n">
        <v>2016</v>
      </c>
      <c r="GSF6" t="n">
        <v>2016</v>
      </c>
      <c r="GSG6" t="n">
        <v>2016</v>
      </c>
      <c r="GSH6" t="n">
        <v>2016</v>
      </c>
      <c r="GSI6" t="n">
        <v>2016</v>
      </c>
      <c r="GSJ6" t="n">
        <v>2016</v>
      </c>
      <c r="GSK6" t="n">
        <v>2016</v>
      </c>
      <c r="GSL6" t="n">
        <v>2016</v>
      </c>
      <c r="GSM6" t="n">
        <v>2016</v>
      </c>
      <c r="GSN6" t="n">
        <v>2016</v>
      </c>
      <c r="GSO6" t="n">
        <v>2016</v>
      </c>
      <c r="GSP6" t="n">
        <v>2016</v>
      </c>
      <c r="GSQ6" t="n">
        <v>2016</v>
      </c>
      <c r="GSR6" t="n">
        <v>2016</v>
      </c>
      <c r="GSS6" t="n">
        <v>2016</v>
      </c>
      <c r="GST6" t="n">
        <v>2016</v>
      </c>
      <c r="GSU6" t="n">
        <v>2016</v>
      </c>
      <c r="GSV6" t="n">
        <v>2016</v>
      </c>
      <c r="GSW6" t="n">
        <v>2016</v>
      </c>
      <c r="GSX6" t="n">
        <v>2016</v>
      </c>
      <c r="GSY6" t="n">
        <v>2016</v>
      </c>
      <c r="GSZ6" t="n">
        <v>2016</v>
      </c>
      <c r="GTA6" t="n">
        <v>2016</v>
      </c>
      <c r="GTB6" t="n">
        <v>2016</v>
      </c>
      <c r="GTC6" t="n">
        <v>2016</v>
      </c>
      <c r="GTD6" t="n">
        <v>2016</v>
      </c>
      <c r="GTE6" t="n">
        <v>2016</v>
      </c>
      <c r="GTF6" t="n">
        <v>2016</v>
      </c>
      <c r="GTG6" t="n">
        <v>2016</v>
      </c>
      <c r="GTH6" t="n">
        <v>2016</v>
      </c>
      <c r="GTI6" t="n">
        <v>2016</v>
      </c>
      <c r="GTJ6" t="n">
        <v>2016</v>
      </c>
      <c r="GTK6" t="n">
        <v>2016</v>
      </c>
      <c r="GTL6" t="n">
        <v>2016</v>
      </c>
      <c r="GTM6" t="n">
        <v>2016</v>
      </c>
      <c r="GTN6" t="n">
        <v>2016</v>
      </c>
      <c r="GTO6" t="n">
        <v>2016</v>
      </c>
      <c r="GTP6" t="n">
        <v>2016</v>
      </c>
      <c r="GTQ6" t="n">
        <v>2016</v>
      </c>
      <c r="GTR6" t="n">
        <v>2016</v>
      </c>
      <c r="GTS6" t="n">
        <v>2016</v>
      </c>
      <c r="GTT6" t="n">
        <v>2016</v>
      </c>
      <c r="GTU6" t="n">
        <v>2016</v>
      </c>
      <c r="GTV6" t="n">
        <v>2016</v>
      </c>
      <c r="GTW6" t="n">
        <v>2016</v>
      </c>
      <c r="GTX6" t="n">
        <v>2016</v>
      </c>
      <c r="GTY6" t="n">
        <v>2016</v>
      </c>
      <c r="GTZ6" t="n">
        <v>2016</v>
      </c>
      <c r="GUA6" t="n">
        <v>2016</v>
      </c>
      <c r="GUB6" t="n">
        <v>2016</v>
      </c>
      <c r="GUC6" t="n">
        <v>2016</v>
      </c>
      <c r="GUD6" t="n">
        <v>2016</v>
      </c>
      <c r="GUE6" t="n">
        <v>2016</v>
      </c>
      <c r="GUF6" t="n">
        <v>2016</v>
      </c>
      <c r="GUG6" t="n">
        <v>2016</v>
      </c>
      <c r="GUH6" t="n">
        <v>2016</v>
      </c>
      <c r="GUI6" t="n">
        <v>2016</v>
      </c>
      <c r="GUJ6" t="n">
        <v>2016</v>
      </c>
      <c r="GUK6" t="n">
        <v>2016</v>
      </c>
      <c r="GUL6" t="n">
        <v>2016</v>
      </c>
      <c r="GUM6" t="n">
        <v>2016</v>
      </c>
      <c r="GUN6" t="n">
        <v>2016</v>
      </c>
      <c r="GUO6" t="n">
        <v>2016</v>
      </c>
      <c r="GUP6" t="n">
        <v>2016</v>
      </c>
      <c r="GUQ6" t="n">
        <v>2016</v>
      </c>
      <c r="GUR6" t="n">
        <v>2016</v>
      </c>
      <c r="GUS6" t="n">
        <v>2016</v>
      </c>
      <c r="GUT6" t="n">
        <v>2016</v>
      </c>
      <c r="GUU6" t="n">
        <v>2016</v>
      </c>
      <c r="GUV6" t="n">
        <v>2016</v>
      </c>
      <c r="GUW6" t="n">
        <v>2016</v>
      </c>
      <c r="GUX6" t="n">
        <v>2016</v>
      </c>
      <c r="GUY6" t="n">
        <v>2016</v>
      </c>
      <c r="GUZ6" t="n">
        <v>2016</v>
      </c>
      <c r="GVA6" t="n">
        <v>2016</v>
      </c>
      <c r="GVB6" t="n">
        <v>2016</v>
      </c>
      <c r="GVC6" t="n">
        <v>2016</v>
      </c>
      <c r="GVD6" t="n">
        <v>2016</v>
      </c>
      <c r="GVE6" t="n">
        <v>2016</v>
      </c>
      <c r="GVF6" t="n">
        <v>2016</v>
      </c>
      <c r="GVG6" t="n">
        <v>2016</v>
      </c>
      <c r="GVH6" t="n">
        <v>2016</v>
      </c>
      <c r="GVI6" t="n">
        <v>2016</v>
      </c>
      <c r="GVJ6" t="n">
        <v>2016</v>
      </c>
      <c r="GVK6" t="n">
        <v>2016</v>
      </c>
      <c r="GVL6" t="n">
        <v>2016</v>
      </c>
      <c r="GVM6" t="n">
        <v>2016</v>
      </c>
      <c r="GVN6" t="n">
        <v>2016</v>
      </c>
      <c r="GVO6" t="n">
        <v>2016</v>
      </c>
      <c r="GVP6" t="n">
        <v>2016</v>
      </c>
      <c r="GVQ6" t="n">
        <v>2016</v>
      </c>
      <c r="GVR6" t="n">
        <v>2016</v>
      </c>
      <c r="GVS6" t="n">
        <v>2016</v>
      </c>
      <c r="GVT6" t="n">
        <v>2016</v>
      </c>
      <c r="GVU6" t="n">
        <v>2016</v>
      </c>
      <c r="GVV6" t="n">
        <v>2016</v>
      </c>
      <c r="GVW6" t="n">
        <v>2016</v>
      </c>
      <c r="GVX6" t="n">
        <v>2016</v>
      </c>
      <c r="GVY6" t="n">
        <v>2016</v>
      </c>
      <c r="GVZ6" t="n">
        <v>2016</v>
      </c>
      <c r="GWA6" t="n">
        <v>2016</v>
      </c>
      <c r="GWB6" t="n">
        <v>2016</v>
      </c>
      <c r="GWC6" t="n">
        <v>2016</v>
      </c>
      <c r="GWD6" t="n">
        <v>2016</v>
      </c>
      <c r="GWE6" t="n">
        <v>2016</v>
      </c>
      <c r="GWF6" t="n">
        <v>2016</v>
      </c>
      <c r="GWG6" t="n">
        <v>2016</v>
      </c>
      <c r="GWH6" t="n">
        <v>2016</v>
      </c>
      <c r="GWI6" t="n">
        <v>2016</v>
      </c>
      <c r="GWJ6" t="n">
        <v>2016</v>
      </c>
      <c r="GWK6" t="n">
        <v>2016</v>
      </c>
      <c r="GWL6" t="n">
        <v>2016</v>
      </c>
      <c r="GWM6" t="n">
        <v>2016</v>
      </c>
      <c r="GWN6" t="n">
        <v>2016</v>
      </c>
      <c r="GWO6" t="n">
        <v>2016</v>
      </c>
      <c r="GWP6" t="n">
        <v>2016</v>
      </c>
      <c r="GWQ6" t="n">
        <v>2016</v>
      </c>
      <c r="GWR6" t="n">
        <v>2016</v>
      </c>
      <c r="GWS6" t="n">
        <v>2016</v>
      </c>
      <c r="GWT6" t="n">
        <v>2016</v>
      </c>
      <c r="GWU6" t="n">
        <v>2016</v>
      </c>
      <c r="GWV6" t="n">
        <v>2016</v>
      </c>
      <c r="GWW6" t="n">
        <v>2016</v>
      </c>
      <c r="GWX6" t="n">
        <v>2016</v>
      </c>
      <c r="GWY6" t="n">
        <v>2016</v>
      </c>
      <c r="GWZ6" t="n">
        <v>2016</v>
      </c>
      <c r="GXA6" t="n">
        <v>2016</v>
      </c>
      <c r="GXB6" t="n">
        <v>2016</v>
      </c>
      <c r="GXC6" t="n">
        <v>2016</v>
      </c>
      <c r="GXD6" t="n">
        <v>2016</v>
      </c>
      <c r="GXE6" t="n">
        <v>2016</v>
      </c>
      <c r="GXF6" t="n">
        <v>2016</v>
      </c>
      <c r="GXG6" t="n">
        <v>2016</v>
      </c>
      <c r="GXH6" t="n">
        <v>2016</v>
      </c>
      <c r="GXI6" t="n">
        <v>2016</v>
      </c>
      <c r="GXJ6" t="n">
        <v>2016</v>
      </c>
      <c r="GXK6" t="n">
        <v>2016</v>
      </c>
      <c r="GXL6" t="n">
        <v>2016</v>
      </c>
      <c r="GXM6" t="n">
        <v>2016</v>
      </c>
      <c r="GXN6" t="n">
        <v>2016</v>
      </c>
      <c r="GXO6" t="n">
        <v>2016</v>
      </c>
      <c r="GXP6" t="n">
        <v>2016</v>
      </c>
      <c r="GXQ6" t="n">
        <v>2016</v>
      </c>
      <c r="GXR6" t="n">
        <v>2016</v>
      </c>
      <c r="GXS6" t="n">
        <v>2016</v>
      </c>
      <c r="GXT6" t="n">
        <v>2016</v>
      </c>
      <c r="GXU6" t="n">
        <v>2016</v>
      </c>
      <c r="GXV6" t="n">
        <v>2016</v>
      </c>
      <c r="GXW6" t="n">
        <v>2016</v>
      </c>
      <c r="GXX6" t="n">
        <v>2016</v>
      </c>
      <c r="GXY6" t="n">
        <v>2016</v>
      </c>
      <c r="GXZ6" t="n">
        <v>2016</v>
      </c>
      <c r="GYA6" t="n">
        <v>2016</v>
      </c>
      <c r="GYB6" t="n">
        <v>2016</v>
      </c>
      <c r="GYC6" t="n">
        <v>2016</v>
      </c>
      <c r="GYD6" t="n">
        <v>2016</v>
      </c>
      <c r="GYE6" t="n">
        <v>2016</v>
      </c>
      <c r="GYF6" t="n">
        <v>2016</v>
      </c>
      <c r="GYG6" t="n">
        <v>2016</v>
      </c>
      <c r="GYH6" t="n">
        <v>2016</v>
      </c>
      <c r="GYI6" t="n">
        <v>2016</v>
      </c>
      <c r="GYJ6" t="n">
        <v>2016</v>
      </c>
      <c r="GYK6" t="n">
        <v>2016</v>
      </c>
      <c r="GYL6" t="n">
        <v>2016</v>
      </c>
      <c r="GYM6" t="n">
        <v>2016</v>
      </c>
      <c r="GYN6" t="n">
        <v>2016</v>
      </c>
      <c r="GYO6" t="n">
        <v>2016</v>
      </c>
      <c r="GYP6" t="n">
        <v>2016</v>
      </c>
      <c r="GYQ6" t="n">
        <v>2016</v>
      </c>
      <c r="GYR6" t="n">
        <v>2016</v>
      </c>
      <c r="GYS6" t="n">
        <v>2016</v>
      </c>
      <c r="GYT6" t="n">
        <v>2016</v>
      </c>
      <c r="GYU6" t="n">
        <v>2016</v>
      </c>
      <c r="GYV6" t="n">
        <v>2016</v>
      </c>
      <c r="GYW6" t="n">
        <v>2016</v>
      </c>
      <c r="GYX6" t="n">
        <v>2016</v>
      </c>
      <c r="GYY6" t="n">
        <v>2016</v>
      </c>
      <c r="GYZ6" t="n">
        <v>2016</v>
      </c>
      <c r="GZA6" t="n">
        <v>2016</v>
      </c>
      <c r="GZB6" t="n">
        <v>2016</v>
      </c>
      <c r="GZC6" t="n">
        <v>2016</v>
      </c>
      <c r="GZD6" t="n">
        <v>2016</v>
      </c>
      <c r="GZE6" t="n">
        <v>2016</v>
      </c>
      <c r="GZF6" t="n">
        <v>2016</v>
      </c>
      <c r="GZG6" t="n">
        <v>2016</v>
      </c>
      <c r="GZH6" t="n">
        <v>2016</v>
      </c>
      <c r="GZI6" t="n">
        <v>2016</v>
      </c>
      <c r="GZJ6" t="n">
        <v>2016</v>
      </c>
      <c r="GZK6" t="n">
        <v>2016</v>
      </c>
      <c r="GZL6" t="n">
        <v>2016</v>
      </c>
      <c r="GZM6" t="n">
        <v>2016</v>
      </c>
      <c r="GZN6" t="n">
        <v>2016</v>
      </c>
      <c r="GZO6" t="n">
        <v>2016</v>
      </c>
      <c r="GZP6" t="n">
        <v>2016</v>
      </c>
      <c r="GZQ6" t="n">
        <v>2016</v>
      </c>
      <c r="GZR6" t="n">
        <v>2016</v>
      </c>
      <c r="GZS6" t="n">
        <v>2016</v>
      </c>
      <c r="GZT6" t="n">
        <v>2016</v>
      </c>
      <c r="GZU6" t="n">
        <v>2016</v>
      </c>
      <c r="GZV6" t="n">
        <v>2016</v>
      </c>
      <c r="GZW6" t="n">
        <v>2016</v>
      </c>
      <c r="GZX6" t="n">
        <v>2016</v>
      </c>
      <c r="GZY6" t="n">
        <v>2016</v>
      </c>
      <c r="GZZ6" t="n">
        <v>2016</v>
      </c>
      <c r="HAA6" t="n">
        <v>2016</v>
      </c>
      <c r="HAB6" t="n">
        <v>2016</v>
      </c>
      <c r="HAC6" t="n">
        <v>2016</v>
      </c>
      <c r="HAD6" t="n">
        <v>2016</v>
      </c>
      <c r="HAE6" t="n">
        <v>2016</v>
      </c>
      <c r="HAF6" t="n">
        <v>2016</v>
      </c>
      <c r="HAG6" t="n">
        <v>2016</v>
      </c>
      <c r="HAH6" t="n">
        <v>2016</v>
      </c>
      <c r="HAI6" t="n">
        <v>2016</v>
      </c>
      <c r="HAJ6" t="n">
        <v>2016</v>
      </c>
      <c r="HAK6" t="n">
        <v>2016</v>
      </c>
      <c r="HAL6" t="n">
        <v>2016</v>
      </c>
      <c r="HAM6" t="n">
        <v>2016</v>
      </c>
      <c r="HAN6" t="n">
        <v>2016</v>
      </c>
      <c r="HAO6" t="n">
        <v>2016</v>
      </c>
      <c r="HAP6" t="n">
        <v>2016</v>
      </c>
      <c r="HAQ6" t="n">
        <v>2016</v>
      </c>
      <c r="HAR6" t="n">
        <v>2016</v>
      </c>
      <c r="HAS6" t="n">
        <v>2016</v>
      </c>
      <c r="HAT6" t="n">
        <v>2016</v>
      </c>
      <c r="HAU6" t="n">
        <v>2016</v>
      </c>
      <c r="HAV6" t="n">
        <v>2016</v>
      </c>
      <c r="HAW6" t="n">
        <v>2016</v>
      </c>
      <c r="HAX6" t="n">
        <v>2016</v>
      </c>
      <c r="HAY6" t="n">
        <v>2016</v>
      </c>
      <c r="HAZ6" t="n">
        <v>2016</v>
      </c>
      <c r="HBA6" t="n">
        <v>2016</v>
      </c>
      <c r="HBB6" t="n">
        <v>2016</v>
      </c>
      <c r="HBC6" t="n">
        <v>2016</v>
      </c>
      <c r="HBD6" t="n">
        <v>2016</v>
      </c>
      <c r="HBE6" t="n">
        <v>2016</v>
      </c>
      <c r="HBF6" t="n">
        <v>2016</v>
      </c>
      <c r="HBG6" t="n">
        <v>2016</v>
      </c>
      <c r="HBH6" t="n">
        <v>2016</v>
      </c>
      <c r="HBI6" t="n">
        <v>2016</v>
      </c>
      <c r="HBJ6" t="n">
        <v>2016</v>
      </c>
      <c r="HBK6" t="n">
        <v>2016</v>
      </c>
      <c r="HBL6" t="n">
        <v>2016</v>
      </c>
      <c r="HBM6" t="n">
        <v>2016</v>
      </c>
      <c r="HBN6" t="n">
        <v>2016</v>
      </c>
      <c r="HBO6" t="n">
        <v>2016</v>
      </c>
      <c r="HBP6" t="n">
        <v>2016</v>
      </c>
      <c r="HBQ6" t="n">
        <v>2016</v>
      </c>
      <c r="HBR6" t="n">
        <v>2016</v>
      </c>
      <c r="HBS6" t="n">
        <v>2016</v>
      </c>
      <c r="HBT6" t="n">
        <v>2016</v>
      </c>
      <c r="HBU6" t="n">
        <v>2016</v>
      </c>
      <c r="HBV6" t="n">
        <v>2016</v>
      </c>
      <c r="HBW6" t="n">
        <v>2016</v>
      </c>
      <c r="HBX6" t="n">
        <v>2016</v>
      </c>
      <c r="HBY6" t="n">
        <v>2016</v>
      </c>
      <c r="HBZ6" t="n">
        <v>2016</v>
      </c>
      <c r="HCA6" t="n">
        <v>2016</v>
      </c>
      <c r="HCB6" t="n">
        <v>2016</v>
      </c>
      <c r="HCC6" t="n">
        <v>2016</v>
      </c>
      <c r="HCD6" t="n">
        <v>2016</v>
      </c>
      <c r="HCE6" t="n">
        <v>2016</v>
      </c>
      <c r="HCF6" t="n">
        <v>2016</v>
      </c>
      <c r="HCG6" t="n">
        <v>2016</v>
      </c>
      <c r="HCH6" t="n">
        <v>2016</v>
      </c>
      <c r="HCI6" t="n">
        <v>2016</v>
      </c>
      <c r="HCJ6" t="n">
        <v>2016</v>
      </c>
      <c r="HCK6" t="n">
        <v>2016</v>
      </c>
      <c r="HCL6" t="n">
        <v>2016</v>
      </c>
      <c r="HCM6" t="n">
        <v>2016</v>
      </c>
      <c r="HCN6" t="n">
        <v>2016</v>
      </c>
      <c r="HCO6" t="n">
        <v>2016</v>
      </c>
      <c r="HCP6" t="n">
        <v>2016</v>
      </c>
      <c r="HCQ6" t="n">
        <v>2016</v>
      </c>
      <c r="HCR6" t="n">
        <v>2016</v>
      </c>
      <c r="HCS6" t="n">
        <v>2016</v>
      </c>
      <c r="HCT6" t="n">
        <v>2016</v>
      </c>
      <c r="HCU6" t="n">
        <v>2016</v>
      </c>
      <c r="HCV6" t="n">
        <v>2016</v>
      </c>
      <c r="HCW6" t="n">
        <v>2016</v>
      </c>
      <c r="HCX6" t="n">
        <v>2016</v>
      </c>
      <c r="HCY6" t="n">
        <v>2016</v>
      </c>
      <c r="HCZ6" t="n">
        <v>2016</v>
      </c>
      <c r="HDA6" t="n">
        <v>2016</v>
      </c>
      <c r="HDB6" t="n">
        <v>2016</v>
      </c>
      <c r="HDC6" t="n">
        <v>2016</v>
      </c>
      <c r="HDD6" t="n">
        <v>2016</v>
      </c>
      <c r="HDE6" t="n">
        <v>2016</v>
      </c>
      <c r="HDF6" t="n">
        <v>2016</v>
      </c>
      <c r="HDG6" t="n">
        <v>2016</v>
      </c>
      <c r="HDH6" t="n">
        <v>2016</v>
      </c>
      <c r="HDI6" t="n">
        <v>2016</v>
      </c>
      <c r="HDJ6" t="n">
        <v>2016</v>
      </c>
      <c r="HDK6" t="n">
        <v>2016</v>
      </c>
      <c r="HDL6" t="n">
        <v>2016</v>
      </c>
      <c r="HDM6" t="n">
        <v>2016</v>
      </c>
      <c r="HDN6" t="n">
        <v>2016</v>
      </c>
      <c r="HDO6" t="n">
        <v>2016</v>
      </c>
      <c r="HDP6" t="n">
        <v>2016</v>
      </c>
      <c r="HDQ6" t="n">
        <v>2016</v>
      </c>
      <c r="HDR6" t="n">
        <v>2016</v>
      </c>
      <c r="HDS6" t="n">
        <v>2016</v>
      </c>
      <c r="HDT6" t="n">
        <v>2016</v>
      </c>
      <c r="HDU6" t="n">
        <v>2016</v>
      </c>
      <c r="HDV6" t="n">
        <v>2016</v>
      </c>
      <c r="HDW6" t="n">
        <v>2016</v>
      </c>
      <c r="HDX6" t="n">
        <v>2016</v>
      </c>
      <c r="HDY6" t="n">
        <v>2016</v>
      </c>
      <c r="HDZ6" t="n">
        <v>2016</v>
      </c>
      <c r="HEA6" t="n">
        <v>2016</v>
      </c>
      <c r="HEB6" t="n">
        <v>2016</v>
      </c>
      <c r="HEC6" t="n">
        <v>2016</v>
      </c>
      <c r="HED6" t="n">
        <v>2016</v>
      </c>
      <c r="HEE6" t="n">
        <v>2016</v>
      </c>
      <c r="HEF6" t="n">
        <v>2016</v>
      </c>
      <c r="HEG6" t="n">
        <v>2016</v>
      </c>
      <c r="HEH6" t="n">
        <v>2016</v>
      </c>
      <c r="HEI6" t="n">
        <v>2016</v>
      </c>
      <c r="HEJ6" t="n">
        <v>2016</v>
      </c>
      <c r="HEK6" t="n">
        <v>2016</v>
      </c>
      <c r="HEL6" t="n">
        <v>2016</v>
      </c>
      <c r="HEM6" t="n">
        <v>2016</v>
      </c>
      <c r="HEN6" t="n">
        <v>2016</v>
      </c>
      <c r="HEO6" t="n">
        <v>2016</v>
      </c>
      <c r="HEP6" t="n">
        <v>2016</v>
      </c>
      <c r="HEQ6" t="n">
        <v>2016</v>
      </c>
      <c r="HER6" t="n">
        <v>2016</v>
      </c>
      <c r="HES6" t="n">
        <v>2016</v>
      </c>
      <c r="HET6" t="n">
        <v>2016</v>
      </c>
      <c r="HEU6" t="n">
        <v>2016</v>
      </c>
      <c r="HEV6" t="n">
        <v>2016</v>
      </c>
      <c r="HEW6" t="n">
        <v>2016</v>
      </c>
      <c r="HEX6" t="n">
        <v>2016</v>
      </c>
      <c r="HEY6" t="n">
        <v>2016</v>
      </c>
      <c r="HEZ6" t="n">
        <v>2016</v>
      </c>
      <c r="HFA6" t="n">
        <v>2016</v>
      </c>
      <c r="HFB6" t="n">
        <v>2016</v>
      </c>
      <c r="HFC6" t="n">
        <v>2016</v>
      </c>
      <c r="HFD6" s="87" t="n">
        <v>2015</v>
      </c>
      <c r="HFE6" t="n">
        <v>2015</v>
      </c>
      <c r="HFF6" t="n">
        <v>2015</v>
      </c>
      <c r="HFG6" t="n">
        <v>2015</v>
      </c>
      <c r="HFH6" t="n">
        <v>2015</v>
      </c>
      <c r="HFI6" t="n">
        <v>2015</v>
      </c>
      <c r="HFJ6" t="n">
        <v>2015</v>
      </c>
      <c r="HFK6" t="n">
        <v>2015</v>
      </c>
      <c r="HFL6" t="n">
        <v>2015</v>
      </c>
      <c r="HFM6" t="n">
        <v>2015</v>
      </c>
      <c r="HFN6" t="n">
        <v>2015</v>
      </c>
      <c r="HFO6" t="n">
        <v>2015</v>
      </c>
      <c r="HFP6" t="n">
        <v>2015</v>
      </c>
      <c r="HFQ6" t="n">
        <v>2015</v>
      </c>
      <c r="HFR6" t="n">
        <v>2015</v>
      </c>
      <c r="HFS6" t="n">
        <v>2015</v>
      </c>
      <c r="HFT6" t="n">
        <v>2015</v>
      </c>
      <c r="HFU6" t="n">
        <v>2015</v>
      </c>
      <c r="HFV6" t="n">
        <v>2015</v>
      </c>
      <c r="HFW6" t="n">
        <v>2015</v>
      </c>
      <c r="HFX6" t="n">
        <v>2015</v>
      </c>
      <c r="HFY6" t="n">
        <v>2015</v>
      </c>
      <c r="HFZ6" t="n">
        <v>2015</v>
      </c>
      <c r="HGA6" t="n">
        <v>2015</v>
      </c>
      <c r="HGB6" t="n">
        <v>2015</v>
      </c>
      <c r="HGC6" t="n">
        <v>2015</v>
      </c>
      <c r="HGD6" t="n">
        <v>2015</v>
      </c>
      <c r="HGE6" t="n">
        <v>2015</v>
      </c>
      <c r="HGF6" t="n">
        <v>2015</v>
      </c>
      <c r="HGG6" t="n">
        <v>2015</v>
      </c>
      <c r="HGH6" t="n">
        <v>2015</v>
      </c>
      <c r="HGI6" t="n">
        <v>2015</v>
      </c>
      <c r="HGJ6" t="n">
        <v>2015</v>
      </c>
      <c r="HGK6" t="n">
        <v>2015</v>
      </c>
      <c r="HGL6" t="n">
        <v>2015</v>
      </c>
      <c r="HGM6" t="n">
        <v>2015</v>
      </c>
      <c r="HGN6" t="n">
        <v>2015</v>
      </c>
      <c r="HGO6" t="n">
        <v>2015</v>
      </c>
      <c r="HGP6" t="n">
        <v>2015</v>
      </c>
      <c r="HGQ6" t="n">
        <v>2015</v>
      </c>
      <c r="HGR6" t="n">
        <v>2015</v>
      </c>
      <c r="HGS6" t="n">
        <v>2015</v>
      </c>
      <c r="HGT6" t="n">
        <v>2015</v>
      </c>
      <c r="HGU6" t="n">
        <v>2015</v>
      </c>
      <c r="HGV6" t="n">
        <v>2015</v>
      </c>
      <c r="HGW6" t="n">
        <v>2015</v>
      </c>
      <c r="HGX6" t="n">
        <v>2015</v>
      </c>
      <c r="HGY6" t="n">
        <v>2015</v>
      </c>
      <c r="HGZ6" t="n">
        <v>2015</v>
      </c>
      <c r="HHA6" t="n">
        <v>2015</v>
      </c>
      <c r="HHB6" t="n">
        <v>2015</v>
      </c>
      <c r="HHC6" t="n">
        <v>2015</v>
      </c>
      <c r="HHD6" t="n">
        <v>2015</v>
      </c>
      <c r="HHE6" t="n">
        <v>2015</v>
      </c>
      <c r="HHF6" t="n">
        <v>2015</v>
      </c>
      <c r="HHG6" t="n">
        <v>2015</v>
      </c>
      <c r="HHH6" t="n">
        <v>2015</v>
      </c>
      <c r="HHI6" t="n">
        <v>2015</v>
      </c>
      <c r="HHJ6" t="n">
        <v>2015</v>
      </c>
      <c r="HHK6" t="n">
        <v>2015</v>
      </c>
      <c r="HHL6" t="n">
        <v>2015</v>
      </c>
      <c r="HHM6" t="n">
        <v>2015</v>
      </c>
      <c r="HHN6" t="n">
        <v>2015</v>
      </c>
      <c r="HHO6" t="n">
        <v>2015</v>
      </c>
      <c r="HHP6" t="n">
        <v>2015</v>
      </c>
      <c r="HHQ6" t="n">
        <v>2015</v>
      </c>
      <c r="HHR6" t="n">
        <v>2015</v>
      </c>
      <c r="HHS6" t="n">
        <v>2015</v>
      </c>
      <c r="HHT6" t="n">
        <v>2015</v>
      </c>
      <c r="HHU6" t="n">
        <v>2015</v>
      </c>
      <c r="HHV6" t="n">
        <v>2015</v>
      </c>
      <c r="HHW6" t="n">
        <v>2015</v>
      </c>
      <c r="HHX6" t="n">
        <v>2015</v>
      </c>
      <c r="HHY6" t="n">
        <v>2015</v>
      </c>
      <c r="HHZ6" t="n">
        <v>2015</v>
      </c>
      <c r="HIA6" t="n">
        <v>2015</v>
      </c>
      <c r="HIB6" t="n">
        <v>2015</v>
      </c>
      <c r="HIC6" t="n">
        <v>2015</v>
      </c>
      <c r="HID6" t="n">
        <v>2015</v>
      </c>
      <c r="HIE6" t="n">
        <v>2015</v>
      </c>
      <c r="HIF6" t="n">
        <v>2015</v>
      </c>
      <c r="HIG6" t="n">
        <v>2015</v>
      </c>
      <c r="HIH6" t="n">
        <v>2015</v>
      </c>
      <c r="HII6" t="n">
        <v>2015</v>
      </c>
      <c r="HIJ6" t="n">
        <v>2015</v>
      </c>
      <c r="HIK6" t="n">
        <v>2015</v>
      </c>
      <c r="HIL6" t="n">
        <v>2015</v>
      </c>
      <c r="HIM6" t="n">
        <v>2015</v>
      </c>
      <c r="HIN6" t="n">
        <v>2015</v>
      </c>
      <c r="HIO6" t="n">
        <v>2015</v>
      </c>
      <c r="HIP6" t="n">
        <v>2015</v>
      </c>
      <c r="HIQ6" t="n">
        <v>2015</v>
      </c>
      <c r="HIR6" t="n">
        <v>2015</v>
      </c>
      <c r="HIS6" t="n">
        <v>2015</v>
      </c>
      <c r="HIT6" t="n">
        <v>2015</v>
      </c>
      <c r="HIU6" t="n">
        <v>2015</v>
      </c>
      <c r="HIV6" t="n">
        <v>2015</v>
      </c>
      <c r="HIW6" t="n">
        <v>2015</v>
      </c>
      <c r="HIX6" t="n">
        <v>2015</v>
      </c>
      <c r="HIY6" t="n">
        <v>2015</v>
      </c>
      <c r="HIZ6" t="n">
        <v>2015</v>
      </c>
      <c r="HJA6" t="n">
        <v>2015</v>
      </c>
      <c r="HJB6" t="n">
        <v>2015</v>
      </c>
      <c r="HJC6" t="n">
        <v>2015</v>
      </c>
      <c r="HJD6" t="n">
        <v>2015</v>
      </c>
      <c r="HJE6" t="n">
        <v>2015</v>
      </c>
      <c r="HJF6" t="n">
        <v>2015</v>
      </c>
      <c r="HJG6" t="n">
        <v>2015</v>
      </c>
      <c r="HJH6" t="n">
        <v>2015</v>
      </c>
      <c r="HJI6" t="n">
        <v>2015</v>
      </c>
      <c r="HJJ6" t="n">
        <v>2015</v>
      </c>
      <c r="HJK6" t="n">
        <v>2015</v>
      </c>
      <c r="HJL6" t="n">
        <v>2015</v>
      </c>
      <c r="HJM6" t="n">
        <v>2015</v>
      </c>
      <c r="HJN6" t="n">
        <v>2015</v>
      </c>
      <c r="HJO6" t="n">
        <v>2015</v>
      </c>
      <c r="HJP6" t="n">
        <v>2015</v>
      </c>
      <c r="HJQ6" t="n">
        <v>2015</v>
      </c>
      <c r="HJR6" t="n">
        <v>2015</v>
      </c>
      <c r="HJS6" t="n">
        <v>2015</v>
      </c>
      <c r="HJT6" t="n">
        <v>2015</v>
      </c>
      <c r="HJU6" t="n">
        <v>2015</v>
      </c>
      <c r="HJV6" t="n">
        <v>2015</v>
      </c>
      <c r="HJW6" t="n">
        <v>2015</v>
      </c>
      <c r="HJX6" t="n">
        <v>2015</v>
      </c>
      <c r="HJY6" t="n">
        <v>2015</v>
      </c>
      <c r="HJZ6" t="n">
        <v>2015</v>
      </c>
      <c r="HKA6" t="n">
        <v>2015</v>
      </c>
      <c r="HKB6" t="n">
        <v>2015</v>
      </c>
      <c r="HKC6" t="n">
        <v>2015</v>
      </c>
      <c r="HKD6" t="n">
        <v>2015</v>
      </c>
      <c r="HKE6" t="n">
        <v>2015</v>
      </c>
      <c r="HKF6" t="n">
        <v>2015</v>
      </c>
      <c r="HKG6" t="n">
        <v>2015</v>
      </c>
      <c r="HKH6" t="n">
        <v>2015</v>
      </c>
      <c r="HKI6" t="n">
        <v>2015</v>
      </c>
      <c r="HKJ6" t="n">
        <v>2015</v>
      </c>
      <c r="HKK6" t="n">
        <v>2015</v>
      </c>
      <c r="HKL6" t="n">
        <v>2015</v>
      </c>
      <c r="HKM6" t="n">
        <v>2015</v>
      </c>
      <c r="HKN6" t="n">
        <v>2015</v>
      </c>
      <c r="HKO6" t="n">
        <v>2015</v>
      </c>
      <c r="HKP6" t="n">
        <v>2015</v>
      </c>
      <c r="HKQ6" t="n">
        <v>2015</v>
      </c>
      <c r="HKR6" t="n">
        <v>2015</v>
      </c>
      <c r="HKS6" t="n">
        <v>2015</v>
      </c>
      <c r="HKT6" t="n">
        <v>2015</v>
      </c>
      <c r="HKU6" t="n">
        <v>2015</v>
      </c>
      <c r="HKV6" t="n">
        <v>2015</v>
      </c>
      <c r="HKW6" t="n">
        <v>2015</v>
      </c>
      <c r="HKX6" t="n">
        <v>2015</v>
      </c>
      <c r="HKY6" t="n">
        <v>2015</v>
      </c>
      <c r="HKZ6" t="n">
        <v>2015</v>
      </c>
      <c r="HLA6" t="n">
        <v>2015</v>
      </c>
      <c r="HLB6" t="n">
        <v>2015</v>
      </c>
      <c r="HLC6" t="n">
        <v>2015</v>
      </c>
      <c r="HLD6" t="n">
        <v>2015</v>
      </c>
      <c r="HLE6" t="n">
        <v>2015</v>
      </c>
      <c r="HLF6" t="n">
        <v>2015</v>
      </c>
      <c r="HLG6" t="n">
        <v>2015</v>
      </c>
      <c r="HLH6" t="n">
        <v>2015</v>
      </c>
      <c r="HLI6" t="n">
        <v>2015</v>
      </c>
      <c r="HLJ6" t="n">
        <v>2015</v>
      </c>
      <c r="HLK6" t="n">
        <v>2015</v>
      </c>
      <c r="HLL6" t="n">
        <v>2015</v>
      </c>
      <c r="HLM6" t="n">
        <v>2015</v>
      </c>
      <c r="HLN6" t="n">
        <v>2015</v>
      </c>
      <c r="HLO6" t="n">
        <v>2015</v>
      </c>
      <c r="HLP6" t="n">
        <v>2015</v>
      </c>
      <c r="HLQ6" t="n">
        <v>2015</v>
      </c>
      <c r="HLR6" t="n">
        <v>2015</v>
      </c>
      <c r="HLS6" t="n">
        <v>2015</v>
      </c>
      <c r="HLT6" t="n">
        <v>2015</v>
      </c>
      <c r="HLU6" t="n">
        <v>2015</v>
      </c>
      <c r="HLV6" t="n">
        <v>2015</v>
      </c>
      <c r="HLW6" t="n">
        <v>2015</v>
      </c>
      <c r="HLX6" t="n">
        <v>2015</v>
      </c>
      <c r="HLY6" t="n">
        <v>2015</v>
      </c>
      <c r="HLZ6" t="n">
        <v>2015</v>
      </c>
      <c r="HMA6" t="n">
        <v>2015</v>
      </c>
      <c r="HMB6" t="n">
        <v>2015</v>
      </c>
      <c r="HMC6" t="n">
        <v>2015</v>
      </c>
      <c r="HMD6" t="n">
        <v>2015</v>
      </c>
      <c r="HME6" t="n">
        <v>2015</v>
      </c>
      <c r="HMF6" t="n">
        <v>2015</v>
      </c>
      <c r="HMG6" t="n">
        <v>2015</v>
      </c>
      <c r="HMH6" t="n">
        <v>2015</v>
      </c>
      <c r="HMI6" t="n">
        <v>2015</v>
      </c>
      <c r="HMJ6" t="n">
        <v>2015</v>
      </c>
      <c r="HMK6" t="n">
        <v>2015</v>
      </c>
      <c r="HML6" t="n">
        <v>2015</v>
      </c>
      <c r="HMM6" t="n">
        <v>2015</v>
      </c>
      <c r="HMN6" t="n">
        <v>2015</v>
      </c>
      <c r="HMO6" t="n">
        <v>2015</v>
      </c>
      <c r="HMP6" t="n">
        <v>2015</v>
      </c>
      <c r="HMQ6" t="n">
        <v>2015</v>
      </c>
      <c r="HMR6" t="n">
        <v>2015</v>
      </c>
      <c r="HMS6" t="n">
        <v>2015</v>
      </c>
      <c r="HMT6" t="n">
        <v>2015</v>
      </c>
      <c r="HMU6" t="n">
        <v>2015</v>
      </c>
      <c r="HMV6" t="n">
        <v>2015</v>
      </c>
      <c r="HMW6" t="n">
        <v>2015</v>
      </c>
      <c r="HMX6" t="n">
        <v>2015</v>
      </c>
      <c r="HMY6" t="n">
        <v>2015</v>
      </c>
      <c r="HMZ6" t="n">
        <v>2015</v>
      </c>
      <c r="HNA6" t="n">
        <v>2015</v>
      </c>
      <c r="HNB6" t="n">
        <v>2015</v>
      </c>
      <c r="HNC6" t="n">
        <v>2015</v>
      </c>
      <c r="HND6" t="n">
        <v>2015</v>
      </c>
      <c r="HNE6" t="n">
        <v>2015</v>
      </c>
      <c r="HNF6" t="n">
        <v>2015</v>
      </c>
      <c r="HNG6" t="n">
        <v>2015</v>
      </c>
      <c r="HNH6" t="n">
        <v>2015</v>
      </c>
      <c r="HNI6" t="n">
        <v>2015</v>
      </c>
      <c r="HNJ6" t="n">
        <v>2015</v>
      </c>
      <c r="HNK6" t="n">
        <v>2015</v>
      </c>
      <c r="HNL6" t="n">
        <v>2015</v>
      </c>
      <c r="HNM6" t="n">
        <v>2015</v>
      </c>
      <c r="HNN6" t="n">
        <v>2015</v>
      </c>
      <c r="HNO6" t="n">
        <v>2015</v>
      </c>
      <c r="HNP6" t="n">
        <v>2015</v>
      </c>
      <c r="HNQ6" t="n">
        <v>2015</v>
      </c>
      <c r="HNR6" t="n">
        <v>2015</v>
      </c>
      <c r="HNS6" t="n">
        <v>2015</v>
      </c>
      <c r="HNT6" t="n">
        <v>2015</v>
      </c>
      <c r="HNU6" t="n">
        <v>2015</v>
      </c>
      <c r="HNV6" t="n">
        <v>2015</v>
      </c>
      <c r="HNW6" t="n">
        <v>2015</v>
      </c>
      <c r="HNX6" t="n">
        <v>2015</v>
      </c>
      <c r="HNY6" t="n">
        <v>2015</v>
      </c>
      <c r="HNZ6" t="n">
        <v>2015</v>
      </c>
      <c r="HOA6" t="n">
        <v>2015</v>
      </c>
      <c r="HOB6" t="n">
        <v>2015</v>
      </c>
      <c r="HOC6" t="n">
        <v>2015</v>
      </c>
      <c r="HOD6" t="n">
        <v>2015</v>
      </c>
      <c r="HOE6" t="n">
        <v>2015</v>
      </c>
      <c r="HOF6" t="n">
        <v>2015</v>
      </c>
      <c r="HOG6" t="n">
        <v>2015</v>
      </c>
      <c r="HOH6" t="n">
        <v>2015</v>
      </c>
      <c r="HOI6" t="n">
        <v>2015</v>
      </c>
      <c r="HOJ6" t="n">
        <v>2015</v>
      </c>
      <c r="HOK6" t="n">
        <v>2015</v>
      </c>
      <c r="HOL6" t="n">
        <v>2015</v>
      </c>
      <c r="HOM6" t="n">
        <v>2015</v>
      </c>
      <c r="HON6" t="n">
        <v>2015</v>
      </c>
      <c r="HOO6" t="n">
        <v>2015</v>
      </c>
      <c r="HOP6" t="n">
        <v>2015</v>
      </c>
      <c r="HOQ6" t="n">
        <v>2015</v>
      </c>
      <c r="HOR6" t="n">
        <v>2015</v>
      </c>
      <c r="HOS6" t="n">
        <v>2015</v>
      </c>
      <c r="HOT6" t="n">
        <v>2015</v>
      </c>
      <c r="HOU6" t="n">
        <v>2015</v>
      </c>
      <c r="HOV6" t="n">
        <v>2015</v>
      </c>
      <c r="HOW6" t="n">
        <v>2015</v>
      </c>
      <c r="HOX6" t="n">
        <v>2015</v>
      </c>
      <c r="HOY6" t="n">
        <v>2015</v>
      </c>
      <c r="HOZ6" t="n">
        <v>2015</v>
      </c>
      <c r="HPA6" t="n">
        <v>2015</v>
      </c>
      <c r="HPB6" t="n">
        <v>2015</v>
      </c>
      <c r="HPC6" t="n">
        <v>2015</v>
      </c>
      <c r="HPD6" t="n">
        <v>2015</v>
      </c>
      <c r="HPE6" t="n">
        <v>2015</v>
      </c>
      <c r="HPF6" t="n">
        <v>2015</v>
      </c>
      <c r="HPG6" t="n">
        <v>2015</v>
      </c>
      <c r="HPH6" t="n">
        <v>2015</v>
      </c>
      <c r="HPI6" t="n">
        <v>2015</v>
      </c>
      <c r="HPJ6" t="n">
        <v>2015</v>
      </c>
      <c r="HPK6" t="n">
        <v>2015</v>
      </c>
      <c r="HPL6" t="n">
        <v>2015</v>
      </c>
      <c r="HPM6" t="n">
        <v>2015</v>
      </c>
      <c r="HPN6" t="n">
        <v>2015</v>
      </c>
      <c r="HPO6" t="n">
        <v>2015</v>
      </c>
      <c r="HPP6" t="n">
        <v>2015</v>
      </c>
      <c r="HPQ6" t="n">
        <v>2015</v>
      </c>
      <c r="HPR6" t="n">
        <v>2015</v>
      </c>
      <c r="HPS6" t="n">
        <v>2015</v>
      </c>
      <c r="HPT6" t="n">
        <v>2015</v>
      </c>
      <c r="HPU6" t="n">
        <v>2015</v>
      </c>
      <c r="HPV6" t="n">
        <v>2015</v>
      </c>
      <c r="HPW6" t="n">
        <v>2015</v>
      </c>
      <c r="HPX6" t="n">
        <v>2015</v>
      </c>
      <c r="HPY6" t="n">
        <v>2015</v>
      </c>
      <c r="HPZ6" t="n">
        <v>2015</v>
      </c>
      <c r="HQA6" t="n">
        <v>2015</v>
      </c>
      <c r="HQB6" t="n">
        <v>2015</v>
      </c>
      <c r="HQC6" t="n">
        <v>2015</v>
      </c>
      <c r="HQD6" t="n">
        <v>2015</v>
      </c>
      <c r="HQE6" t="n">
        <v>2015</v>
      </c>
      <c r="HQF6" t="n">
        <v>2015</v>
      </c>
      <c r="HQG6" t="n">
        <v>2015</v>
      </c>
      <c r="HQH6" t="n">
        <v>2015</v>
      </c>
      <c r="HQI6" t="n">
        <v>2015</v>
      </c>
      <c r="HQJ6" t="n">
        <v>2015</v>
      </c>
      <c r="HQK6" t="n">
        <v>2015</v>
      </c>
      <c r="HQL6" t="n">
        <v>2015</v>
      </c>
      <c r="HQM6" t="n">
        <v>2015</v>
      </c>
      <c r="HQN6" t="n">
        <v>2015</v>
      </c>
      <c r="HQO6" t="n">
        <v>2015</v>
      </c>
      <c r="HQP6" t="n">
        <v>2015</v>
      </c>
      <c r="HQQ6" t="n">
        <v>2015</v>
      </c>
      <c r="HQR6" t="n">
        <v>2015</v>
      </c>
      <c r="HQS6" t="n">
        <v>2015</v>
      </c>
      <c r="HQT6" t="n">
        <v>2015</v>
      </c>
      <c r="HQU6" t="n">
        <v>2015</v>
      </c>
      <c r="HQV6" t="n">
        <v>2015</v>
      </c>
      <c r="HQW6" t="n">
        <v>2015</v>
      </c>
      <c r="HQX6" t="n">
        <v>2015</v>
      </c>
      <c r="HQY6" t="n">
        <v>2015</v>
      </c>
      <c r="HQZ6" t="n">
        <v>2015</v>
      </c>
      <c r="HRA6" t="n">
        <v>2015</v>
      </c>
      <c r="HRB6" t="n">
        <v>2015</v>
      </c>
      <c r="HRC6" t="n">
        <v>2015</v>
      </c>
      <c r="HRD6" t="n">
        <v>2015</v>
      </c>
      <c r="HRE6" t="n">
        <v>2015</v>
      </c>
      <c r="HRF6" t="n">
        <v>2015</v>
      </c>
      <c r="HRG6" t="n">
        <v>2015</v>
      </c>
      <c r="HRH6" t="n">
        <v>2015</v>
      </c>
      <c r="HRI6" t="n">
        <v>2015</v>
      </c>
      <c r="HRJ6" t="n">
        <v>2015</v>
      </c>
      <c r="HRK6" t="n">
        <v>2015</v>
      </c>
      <c r="HRL6" t="n">
        <v>2015</v>
      </c>
      <c r="HRM6" t="n">
        <v>2015</v>
      </c>
      <c r="HRN6" t="n">
        <v>2015</v>
      </c>
      <c r="HRO6" t="n">
        <v>2015</v>
      </c>
      <c r="HRP6" t="n">
        <v>2015</v>
      </c>
      <c r="HRQ6" t="n">
        <v>2015</v>
      </c>
      <c r="HRR6" t="n">
        <v>2015</v>
      </c>
      <c r="HRS6" t="n">
        <v>2015</v>
      </c>
      <c r="HRT6" t="n">
        <v>2015</v>
      </c>
      <c r="HRU6" t="n">
        <v>2015</v>
      </c>
      <c r="HRV6" t="n">
        <v>2015</v>
      </c>
      <c r="HRW6" t="n">
        <v>2015</v>
      </c>
      <c r="HRX6" t="n">
        <v>2015</v>
      </c>
      <c r="HRY6" t="n">
        <v>2015</v>
      </c>
      <c r="HRZ6" t="n">
        <v>2015</v>
      </c>
      <c r="HSA6" t="n">
        <v>2015</v>
      </c>
      <c r="HSB6" t="n">
        <v>2015</v>
      </c>
      <c r="HSC6" t="n">
        <v>2015</v>
      </c>
      <c r="HSD6" t="n">
        <v>2015</v>
      </c>
      <c r="HSE6" t="n">
        <v>2015</v>
      </c>
      <c r="HSF6" t="n">
        <v>2015</v>
      </c>
      <c r="HSG6" t="n">
        <v>2015</v>
      </c>
      <c r="HSH6" t="n">
        <v>2015</v>
      </c>
      <c r="HSI6" t="n">
        <v>2015</v>
      </c>
      <c r="HSJ6" t="n">
        <v>2015</v>
      </c>
      <c r="HSK6" t="n">
        <v>2015</v>
      </c>
      <c r="HSL6" t="n">
        <v>2015</v>
      </c>
      <c r="HSM6" t="n">
        <v>2015</v>
      </c>
      <c r="HSN6" t="n">
        <v>2015</v>
      </c>
      <c r="HSO6" t="n">
        <v>2015</v>
      </c>
      <c r="HSP6" t="n">
        <v>2015</v>
      </c>
      <c r="HSQ6" t="n">
        <v>2015</v>
      </c>
      <c r="HSR6" t="n">
        <v>2015</v>
      </c>
      <c r="HSS6" t="n">
        <v>2015</v>
      </c>
      <c r="HST6" t="n">
        <v>2015</v>
      </c>
      <c r="HSU6" t="n">
        <v>2015</v>
      </c>
      <c r="HSV6" t="n">
        <v>2015</v>
      </c>
      <c r="HSW6" t="n">
        <v>2015</v>
      </c>
      <c r="HSX6" t="n">
        <v>2015</v>
      </c>
      <c r="HSY6" t="n">
        <v>2015</v>
      </c>
      <c r="HSZ6" t="n">
        <v>2015</v>
      </c>
      <c r="HTA6" t="n">
        <v>2015</v>
      </c>
      <c r="HTB6" t="n">
        <v>2015</v>
      </c>
      <c r="HTC6" t="n">
        <v>2015</v>
      </c>
      <c r="HTD6" t="n">
        <v>2015</v>
      </c>
      <c r="HTE6" t="n">
        <v>2015</v>
      </c>
      <c r="HTF6" t="n">
        <v>2015</v>
      </c>
      <c r="HTG6" t="n">
        <v>2015</v>
      </c>
      <c r="HTH6" t="n">
        <v>2015</v>
      </c>
      <c r="HTI6" t="n">
        <v>2015</v>
      </c>
      <c r="HTJ6" t="n">
        <v>2015</v>
      </c>
      <c r="HTK6" t="n">
        <v>2015</v>
      </c>
      <c r="HTL6" t="n">
        <v>2015</v>
      </c>
      <c r="HTM6" t="n">
        <v>2015</v>
      </c>
      <c r="HTN6" t="n">
        <v>2015</v>
      </c>
      <c r="HTO6" t="n">
        <v>2015</v>
      </c>
      <c r="HTP6" t="n">
        <v>2015</v>
      </c>
      <c r="HTQ6" t="n">
        <v>2015</v>
      </c>
      <c r="HTR6" t="n">
        <v>2015</v>
      </c>
      <c r="HTS6" t="n">
        <v>2015</v>
      </c>
      <c r="HTT6" t="n">
        <v>2015</v>
      </c>
      <c r="HTU6" t="n">
        <v>2015</v>
      </c>
      <c r="HTV6" t="n">
        <v>2015</v>
      </c>
      <c r="HTW6" t="n">
        <v>2015</v>
      </c>
      <c r="HTX6" t="n">
        <v>2015</v>
      </c>
      <c r="HTY6" t="n">
        <v>2015</v>
      </c>
      <c r="HTZ6" t="n">
        <v>2015</v>
      </c>
      <c r="HUA6" t="n">
        <v>2015</v>
      </c>
      <c r="HUB6" t="n">
        <v>2015</v>
      </c>
      <c r="HUC6" t="n">
        <v>2015</v>
      </c>
      <c r="HUD6" t="n">
        <v>2015</v>
      </c>
      <c r="HUE6" t="n">
        <v>2015</v>
      </c>
      <c r="HUF6" t="n">
        <v>2015</v>
      </c>
      <c r="HUG6" t="n">
        <v>2015</v>
      </c>
      <c r="HUH6" t="n">
        <v>2015</v>
      </c>
      <c r="HUI6" t="n">
        <v>2015</v>
      </c>
      <c r="HUJ6" t="n">
        <v>2015</v>
      </c>
      <c r="HUK6" t="n">
        <v>2015</v>
      </c>
      <c r="HUL6" t="n">
        <v>2015</v>
      </c>
      <c r="HUM6" t="n">
        <v>2015</v>
      </c>
      <c r="HUN6" t="n">
        <v>2015</v>
      </c>
      <c r="HUO6" t="n">
        <v>2015</v>
      </c>
      <c r="HUP6" t="n">
        <v>2015</v>
      </c>
      <c r="HUQ6" t="n">
        <v>2015</v>
      </c>
      <c r="HUR6" t="n">
        <v>2015</v>
      </c>
      <c r="HUS6" t="n">
        <v>2015</v>
      </c>
      <c r="HUT6" t="n">
        <v>2015</v>
      </c>
      <c r="HUU6" t="n">
        <v>2015</v>
      </c>
      <c r="HUV6" t="n">
        <v>2015</v>
      </c>
      <c r="HUW6" t="n">
        <v>2015</v>
      </c>
      <c r="HUX6" t="n">
        <v>2015</v>
      </c>
      <c r="HUY6" t="n">
        <v>2015</v>
      </c>
      <c r="HUZ6" t="n">
        <v>2015</v>
      </c>
      <c r="HVA6" t="n">
        <v>2015</v>
      </c>
      <c r="HVB6" t="n">
        <v>2015</v>
      </c>
      <c r="HVC6" t="n">
        <v>2015</v>
      </c>
      <c r="HVD6" t="n">
        <v>2015</v>
      </c>
      <c r="HVE6" t="n">
        <v>2015</v>
      </c>
      <c r="HVF6" t="n">
        <v>2015</v>
      </c>
      <c r="HVG6" t="n">
        <v>2015</v>
      </c>
      <c r="HVH6" t="n">
        <v>2015</v>
      </c>
      <c r="HVI6" t="n">
        <v>2015</v>
      </c>
      <c r="HVJ6" t="n">
        <v>2015</v>
      </c>
      <c r="HVK6" t="n">
        <v>2015</v>
      </c>
      <c r="HVL6" t="n">
        <v>2015</v>
      </c>
      <c r="HVM6" t="n">
        <v>2015</v>
      </c>
      <c r="HVN6" t="n">
        <v>2015</v>
      </c>
      <c r="HVO6" t="n">
        <v>2015</v>
      </c>
      <c r="HVP6" t="n">
        <v>2015</v>
      </c>
      <c r="HVQ6" t="n">
        <v>2015</v>
      </c>
      <c r="HVR6" t="n">
        <v>2015</v>
      </c>
      <c r="HVS6" t="n">
        <v>2015</v>
      </c>
      <c r="HVT6" t="n">
        <v>2015</v>
      </c>
      <c r="HVU6" t="n">
        <v>2015</v>
      </c>
      <c r="HVV6" t="n">
        <v>2015</v>
      </c>
      <c r="HVW6" t="n">
        <v>2015</v>
      </c>
      <c r="HVX6" t="n">
        <v>2015</v>
      </c>
      <c r="HVY6" t="n">
        <v>2015</v>
      </c>
      <c r="HVZ6" t="n">
        <v>2015</v>
      </c>
      <c r="HWA6" t="n">
        <v>2015</v>
      </c>
      <c r="HWB6" t="n">
        <v>2015</v>
      </c>
      <c r="HWC6" t="n">
        <v>2015</v>
      </c>
      <c r="HWD6" t="n">
        <v>2015</v>
      </c>
      <c r="HWE6" t="n">
        <v>2015</v>
      </c>
      <c r="HWF6" t="n">
        <v>2015</v>
      </c>
      <c r="HWG6" t="n">
        <v>2015</v>
      </c>
      <c r="HWH6" t="n">
        <v>2015</v>
      </c>
      <c r="HWI6" t="n">
        <v>2015</v>
      </c>
      <c r="HWJ6" t="n">
        <v>2015</v>
      </c>
      <c r="HWK6" t="n">
        <v>2015</v>
      </c>
      <c r="HWL6" t="n">
        <v>2015</v>
      </c>
      <c r="HWM6" t="n">
        <v>2015</v>
      </c>
      <c r="HWN6" t="n">
        <v>2015</v>
      </c>
      <c r="HWO6" t="n">
        <v>2015</v>
      </c>
      <c r="HWP6" t="n">
        <v>2015</v>
      </c>
      <c r="HWQ6" t="n">
        <v>2015</v>
      </c>
      <c r="HWR6" t="n">
        <v>2015</v>
      </c>
      <c r="HWS6" t="n">
        <v>2015</v>
      </c>
      <c r="HWT6" t="n">
        <v>2015</v>
      </c>
      <c r="HWU6" t="n">
        <v>2015</v>
      </c>
      <c r="HWV6" t="n">
        <v>2015</v>
      </c>
      <c r="HWW6" t="n">
        <v>2015</v>
      </c>
      <c r="HWX6" t="n">
        <v>2015</v>
      </c>
      <c r="HWY6" t="n">
        <v>2015</v>
      </c>
      <c r="HWZ6" t="n">
        <v>2015</v>
      </c>
      <c r="HXA6" t="n">
        <v>2015</v>
      </c>
      <c r="HXB6" t="n">
        <v>2015</v>
      </c>
      <c r="HXC6" t="n">
        <v>2015</v>
      </c>
      <c r="HXD6" t="n">
        <v>2015</v>
      </c>
      <c r="HXE6" t="n">
        <v>2015</v>
      </c>
      <c r="HXF6" t="n">
        <v>2015</v>
      </c>
      <c r="HXG6" t="n">
        <v>2015</v>
      </c>
      <c r="HXH6" t="n">
        <v>2015</v>
      </c>
      <c r="HXI6" t="n">
        <v>2015</v>
      </c>
      <c r="HXJ6" t="n">
        <v>2015</v>
      </c>
      <c r="HXK6" t="n">
        <v>2015</v>
      </c>
      <c r="HXL6" t="n">
        <v>2015</v>
      </c>
      <c r="HXM6" t="n">
        <v>2015</v>
      </c>
      <c r="HXN6" t="n">
        <v>2015</v>
      </c>
      <c r="HXO6" t="n">
        <v>2015</v>
      </c>
      <c r="HXP6" t="n">
        <v>2015</v>
      </c>
      <c r="HXQ6" t="n">
        <v>2015</v>
      </c>
      <c r="HXR6" t="n">
        <v>2015</v>
      </c>
      <c r="HXS6" t="n">
        <v>2015</v>
      </c>
      <c r="HXT6" t="n">
        <v>2015</v>
      </c>
      <c r="HXU6" t="n">
        <v>2015</v>
      </c>
      <c r="HXV6" t="n">
        <v>2015</v>
      </c>
      <c r="HXW6" t="n">
        <v>2015</v>
      </c>
      <c r="HXX6" t="n">
        <v>2015</v>
      </c>
      <c r="HXY6" t="n">
        <v>2015</v>
      </c>
      <c r="HXZ6" t="n">
        <v>2015</v>
      </c>
      <c r="HYA6" t="n">
        <v>2015</v>
      </c>
      <c r="HYB6" t="n">
        <v>2015</v>
      </c>
      <c r="HYC6" t="n">
        <v>2015</v>
      </c>
      <c r="HYD6" t="n">
        <v>2015</v>
      </c>
      <c r="HYE6" t="n">
        <v>2015</v>
      </c>
      <c r="HYF6" t="n">
        <v>2015</v>
      </c>
      <c r="HYG6" t="n">
        <v>2015</v>
      </c>
      <c r="HYH6" t="n">
        <v>2015</v>
      </c>
      <c r="HYI6" t="n">
        <v>2015</v>
      </c>
      <c r="HYJ6" t="n">
        <v>2015</v>
      </c>
      <c r="HYK6" t="n">
        <v>2015</v>
      </c>
      <c r="HYL6" t="n">
        <v>2015</v>
      </c>
      <c r="HYM6" t="n">
        <v>2015</v>
      </c>
      <c r="HYN6" t="n">
        <v>2015</v>
      </c>
      <c r="HYO6" t="n">
        <v>2015</v>
      </c>
      <c r="HYP6" t="n">
        <v>2015</v>
      </c>
      <c r="HYQ6" t="n">
        <v>2015</v>
      </c>
      <c r="HYR6" t="n">
        <v>2015</v>
      </c>
      <c r="HYS6" t="n">
        <v>2015</v>
      </c>
      <c r="HYT6" t="n">
        <v>2015</v>
      </c>
      <c r="HYU6" t="n">
        <v>2015</v>
      </c>
      <c r="HYV6" t="n">
        <v>2015</v>
      </c>
      <c r="HYW6" t="n">
        <v>2015</v>
      </c>
      <c r="HYX6" t="n">
        <v>2015</v>
      </c>
      <c r="HYY6" t="n">
        <v>2015</v>
      </c>
      <c r="HYZ6" t="n">
        <v>2015</v>
      </c>
      <c r="HZA6" t="n">
        <v>2015</v>
      </c>
      <c r="HZB6" t="n">
        <v>2015</v>
      </c>
      <c r="HZC6" t="n">
        <v>2015</v>
      </c>
      <c r="HZD6" t="n">
        <v>2015</v>
      </c>
      <c r="HZE6" t="n">
        <v>2015</v>
      </c>
      <c r="HZF6" t="n">
        <v>2015</v>
      </c>
      <c r="HZG6" t="n">
        <v>2015</v>
      </c>
      <c r="HZH6" t="n">
        <v>2015</v>
      </c>
      <c r="HZI6" t="n">
        <v>2015</v>
      </c>
      <c r="HZJ6" t="n">
        <v>2015</v>
      </c>
      <c r="HZK6" t="n">
        <v>2015</v>
      </c>
      <c r="HZL6" t="n">
        <v>2015</v>
      </c>
      <c r="HZM6" t="n">
        <v>2015</v>
      </c>
      <c r="HZN6" t="n">
        <v>2015</v>
      </c>
      <c r="HZO6" t="n">
        <v>2015</v>
      </c>
      <c r="HZP6" t="n">
        <v>2015</v>
      </c>
      <c r="HZQ6" t="n">
        <v>2015</v>
      </c>
      <c r="HZR6" t="n">
        <v>2015</v>
      </c>
      <c r="HZS6" t="n">
        <v>2015</v>
      </c>
      <c r="HZT6" t="n">
        <v>2015</v>
      </c>
      <c r="HZU6" t="n">
        <v>2015</v>
      </c>
      <c r="HZV6" t="n">
        <v>2015</v>
      </c>
      <c r="HZW6" t="n">
        <v>2015</v>
      </c>
      <c r="HZX6" t="n">
        <v>2015</v>
      </c>
      <c r="HZY6" t="n">
        <v>2015</v>
      </c>
      <c r="HZZ6" t="n">
        <v>2015</v>
      </c>
      <c r="IAA6" t="n">
        <v>2015</v>
      </c>
      <c r="IAB6" t="n">
        <v>2015</v>
      </c>
      <c r="IAC6" t="n">
        <v>2015</v>
      </c>
      <c r="IAD6" t="n">
        <v>2015</v>
      </c>
      <c r="IAE6" t="n">
        <v>2015</v>
      </c>
      <c r="IAF6" t="n">
        <v>2015</v>
      </c>
      <c r="IAG6" t="n">
        <v>2015</v>
      </c>
      <c r="IAH6" t="n">
        <v>2015</v>
      </c>
      <c r="IAI6" t="n">
        <v>2015</v>
      </c>
      <c r="IAJ6" t="n">
        <v>2015</v>
      </c>
      <c r="IAK6" t="n">
        <v>2015</v>
      </c>
      <c r="IAL6" t="n">
        <v>2015</v>
      </c>
      <c r="IAM6" t="n">
        <v>2015</v>
      </c>
      <c r="IAN6" t="n">
        <v>2015</v>
      </c>
      <c r="IAO6" t="n">
        <v>2015</v>
      </c>
      <c r="IAP6" t="n">
        <v>2015</v>
      </c>
      <c r="IAQ6" t="n">
        <v>2015</v>
      </c>
      <c r="IAR6" t="n">
        <v>2015</v>
      </c>
      <c r="IAS6" t="n">
        <v>2015</v>
      </c>
      <c r="IAT6" t="n">
        <v>2015</v>
      </c>
      <c r="IAU6" t="n">
        <v>2015</v>
      </c>
      <c r="IAV6" t="n">
        <v>2015</v>
      </c>
      <c r="IAW6" t="n">
        <v>2015</v>
      </c>
      <c r="IAX6" t="n">
        <v>2015</v>
      </c>
      <c r="IAY6" t="n">
        <v>2015</v>
      </c>
      <c r="IAZ6" t="n">
        <v>2015</v>
      </c>
      <c r="IBA6" t="n">
        <v>2015</v>
      </c>
      <c r="IBB6" t="n">
        <v>2015</v>
      </c>
      <c r="IBC6" t="n">
        <v>2015</v>
      </c>
      <c r="IBD6" t="n">
        <v>2015</v>
      </c>
      <c r="IBE6" t="n">
        <v>2015</v>
      </c>
      <c r="IBF6" t="n">
        <v>2015</v>
      </c>
      <c r="IBG6" t="n">
        <v>2015</v>
      </c>
      <c r="IBH6" t="n">
        <v>2015</v>
      </c>
      <c r="IBI6" t="n">
        <v>2015</v>
      </c>
      <c r="IBJ6" t="n">
        <v>2015</v>
      </c>
      <c r="IBK6" t="n">
        <v>2015</v>
      </c>
      <c r="IBL6" t="n">
        <v>2015</v>
      </c>
      <c r="IBM6" t="n">
        <v>2015</v>
      </c>
      <c r="IBN6" t="n">
        <v>2015</v>
      </c>
      <c r="IBO6" t="n">
        <v>2015</v>
      </c>
      <c r="IBP6" t="n">
        <v>2015</v>
      </c>
      <c r="IBQ6" t="n">
        <v>2015</v>
      </c>
      <c r="IBR6" t="n">
        <v>2015</v>
      </c>
      <c r="IBS6" t="n">
        <v>2015</v>
      </c>
      <c r="IBT6" t="n">
        <v>2015</v>
      </c>
      <c r="IBU6" t="n">
        <v>2015</v>
      </c>
      <c r="IBV6" t="n">
        <v>2015</v>
      </c>
      <c r="IBW6" t="n">
        <v>2015</v>
      </c>
      <c r="IBX6" t="n">
        <v>2015</v>
      </c>
      <c r="IBY6" t="n">
        <v>2015</v>
      </c>
      <c r="IBZ6" t="n">
        <v>2015</v>
      </c>
      <c r="ICA6" t="n">
        <v>2015</v>
      </c>
      <c r="ICB6" t="n">
        <v>2015</v>
      </c>
      <c r="ICC6" t="n">
        <v>2015</v>
      </c>
      <c r="ICD6" t="n">
        <v>2015</v>
      </c>
      <c r="ICE6" t="n">
        <v>2015</v>
      </c>
      <c r="ICF6" t="n">
        <v>2015</v>
      </c>
      <c r="ICG6" t="n">
        <v>2015</v>
      </c>
      <c r="ICH6" t="n">
        <v>2015</v>
      </c>
      <c r="ICI6" t="n">
        <v>2015</v>
      </c>
      <c r="ICJ6" t="n">
        <v>2015</v>
      </c>
      <c r="ICK6" t="n">
        <v>2015</v>
      </c>
      <c r="ICL6" t="n">
        <v>2015</v>
      </c>
      <c r="ICM6" t="n">
        <v>2015</v>
      </c>
      <c r="ICN6" t="n">
        <v>2015</v>
      </c>
      <c r="ICO6" t="n">
        <v>2015</v>
      </c>
      <c r="ICP6" t="n">
        <v>2015</v>
      </c>
      <c r="ICQ6" t="n">
        <v>2015</v>
      </c>
      <c r="ICR6" t="n">
        <v>2015</v>
      </c>
      <c r="ICS6" t="n">
        <v>2015</v>
      </c>
      <c r="ICT6" t="n">
        <v>2015</v>
      </c>
      <c r="ICU6" t="n">
        <v>2015</v>
      </c>
      <c r="ICV6" t="n">
        <v>2015</v>
      </c>
      <c r="ICW6" t="n">
        <v>2015</v>
      </c>
      <c r="ICX6" t="n">
        <v>2015</v>
      </c>
      <c r="ICY6" t="n">
        <v>2015</v>
      </c>
      <c r="ICZ6" t="n">
        <v>2015</v>
      </c>
      <c r="IDA6" t="n">
        <v>2015</v>
      </c>
      <c r="IDB6" t="n">
        <v>2015</v>
      </c>
      <c r="IDC6" t="n">
        <v>2015</v>
      </c>
      <c r="IDD6" t="n">
        <v>2015</v>
      </c>
      <c r="IDE6" t="n">
        <v>2015</v>
      </c>
      <c r="IDF6" t="n">
        <v>2015</v>
      </c>
      <c r="IDG6" t="n">
        <v>2015</v>
      </c>
      <c r="IDH6" t="n">
        <v>2015</v>
      </c>
      <c r="IDI6" t="n">
        <v>2015</v>
      </c>
      <c r="IDJ6" t="n">
        <v>2015</v>
      </c>
      <c r="IDK6" t="n">
        <v>2015</v>
      </c>
      <c r="IDL6" t="n">
        <v>2015</v>
      </c>
      <c r="IDM6" t="n">
        <v>2015</v>
      </c>
      <c r="IDN6" t="n">
        <v>2015</v>
      </c>
      <c r="IDO6" t="n">
        <v>2015</v>
      </c>
      <c r="IDP6" t="n">
        <v>2015</v>
      </c>
      <c r="IDQ6" t="n">
        <v>2015</v>
      </c>
      <c r="IDR6" t="n">
        <v>2015</v>
      </c>
      <c r="IDS6" t="n">
        <v>2015</v>
      </c>
      <c r="IDT6" t="n">
        <v>2015</v>
      </c>
      <c r="IDU6" t="n">
        <v>2015</v>
      </c>
      <c r="IDV6" t="n">
        <v>2015</v>
      </c>
      <c r="IDW6" t="n">
        <v>2015</v>
      </c>
      <c r="IDX6" t="n">
        <v>2015</v>
      </c>
      <c r="IDY6" t="n">
        <v>2015</v>
      </c>
      <c r="IDZ6" t="n">
        <v>2015</v>
      </c>
      <c r="IEA6" t="n">
        <v>2015</v>
      </c>
      <c r="IEB6" t="n">
        <v>2015</v>
      </c>
      <c r="IEC6" t="n">
        <v>2015</v>
      </c>
      <c r="IED6" t="n">
        <v>2015</v>
      </c>
      <c r="IEE6" t="n">
        <v>2015</v>
      </c>
      <c r="IEF6" t="n">
        <v>2015</v>
      </c>
      <c r="IEG6" t="n">
        <v>2015</v>
      </c>
      <c r="IEH6" t="n">
        <v>2015</v>
      </c>
      <c r="IEI6" t="n">
        <v>2015</v>
      </c>
      <c r="IEJ6" t="n">
        <v>2015</v>
      </c>
      <c r="IEK6" t="n">
        <v>2015</v>
      </c>
      <c r="IEL6" t="n">
        <v>2015</v>
      </c>
      <c r="IEM6" t="n">
        <v>2015</v>
      </c>
      <c r="IEN6" t="n">
        <v>2015</v>
      </c>
      <c r="IEO6" t="n">
        <v>2015</v>
      </c>
      <c r="IEP6" t="n">
        <v>2015</v>
      </c>
      <c r="IEQ6" t="n">
        <v>2015</v>
      </c>
      <c r="IER6" t="n">
        <v>2015</v>
      </c>
      <c r="IES6" t="n">
        <v>2015</v>
      </c>
      <c r="IET6" t="n">
        <v>2015</v>
      </c>
      <c r="IEU6" t="n">
        <v>2015</v>
      </c>
      <c r="IEV6" t="n">
        <v>2015</v>
      </c>
      <c r="IEW6" t="n">
        <v>2015</v>
      </c>
      <c r="IEX6" t="n">
        <v>2015</v>
      </c>
      <c r="IEY6" t="n">
        <v>2015</v>
      </c>
      <c r="IEZ6" t="n">
        <v>2015</v>
      </c>
      <c r="IFA6" t="n">
        <v>2015</v>
      </c>
      <c r="IFB6" t="n">
        <v>2015</v>
      </c>
      <c r="IFC6" t="n">
        <v>2015</v>
      </c>
      <c r="IFD6" t="n">
        <v>2015</v>
      </c>
      <c r="IFE6" t="n">
        <v>2015</v>
      </c>
      <c r="IFF6" s="87" t="n">
        <v>2014</v>
      </c>
      <c r="IFG6" t="n">
        <v>2014</v>
      </c>
      <c r="IFH6" t="n">
        <v>2014</v>
      </c>
      <c r="IFI6" t="n">
        <v>2014</v>
      </c>
      <c r="IFJ6" t="n">
        <v>2014</v>
      </c>
      <c r="IFK6" t="n">
        <v>2014</v>
      </c>
      <c r="IFL6" t="n">
        <v>2014</v>
      </c>
      <c r="IFM6" t="n">
        <v>2014</v>
      </c>
      <c r="IFN6" t="n">
        <v>2014</v>
      </c>
      <c r="IFO6" t="n">
        <v>2014</v>
      </c>
      <c r="IFP6" t="n">
        <v>2014</v>
      </c>
      <c r="IFQ6" t="n">
        <v>2014</v>
      </c>
      <c r="IFR6" t="n">
        <v>2014</v>
      </c>
      <c r="IFS6" t="n">
        <v>2014</v>
      </c>
      <c r="IFT6" t="n">
        <v>2014</v>
      </c>
      <c r="IFU6" t="n">
        <v>2014</v>
      </c>
      <c r="IFV6" t="n">
        <v>2014</v>
      </c>
      <c r="IFW6" t="n">
        <v>2014</v>
      </c>
      <c r="IFX6" t="n">
        <v>2014</v>
      </c>
      <c r="IFY6" t="n">
        <v>2014</v>
      </c>
      <c r="IFZ6" t="n">
        <v>2014</v>
      </c>
      <c r="IGA6" t="n">
        <v>2014</v>
      </c>
      <c r="IGB6" t="n">
        <v>2014</v>
      </c>
      <c r="IGC6" t="n">
        <v>2014</v>
      </c>
      <c r="IGD6" t="n">
        <v>2014</v>
      </c>
      <c r="IGE6" t="n">
        <v>2014</v>
      </c>
      <c r="IGF6" t="n">
        <v>2014</v>
      </c>
      <c r="IGG6" t="n">
        <v>2014</v>
      </c>
      <c r="IGH6" t="n">
        <v>2014</v>
      </c>
      <c r="IGI6" t="n">
        <v>2014</v>
      </c>
      <c r="IGJ6" t="n">
        <v>2014</v>
      </c>
      <c r="IGK6" t="n">
        <v>2014</v>
      </c>
      <c r="IGL6" t="n">
        <v>2014</v>
      </c>
      <c r="IGM6" t="n">
        <v>2014</v>
      </c>
      <c r="IGN6" t="n">
        <v>2014</v>
      </c>
      <c r="IGO6" t="n">
        <v>2014</v>
      </c>
      <c r="IGP6" t="n">
        <v>2014</v>
      </c>
      <c r="IGQ6" t="n">
        <v>2014</v>
      </c>
      <c r="IGR6" t="n">
        <v>2014</v>
      </c>
      <c r="IGS6" t="n">
        <v>2014</v>
      </c>
      <c r="IGT6" t="n">
        <v>2014</v>
      </c>
      <c r="IGU6" t="n">
        <v>2014</v>
      </c>
      <c r="IGV6" t="n">
        <v>2014</v>
      </c>
      <c r="IGW6" t="n">
        <v>2014</v>
      </c>
      <c r="IGX6" t="n">
        <v>2014</v>
      </c>
      <c r="IGY6" t="n">
        <v>2014</v>
      </c>
      <c r="IGZ6" t="n">
        <v>2014</v>
      </c>
      <c r="IHA6" t="n">
        <v>2014</v>
      </c>
      <c r="IHB6" t="n">
        <v>2014</v>
      </c>
      <c r="IHC6" t="n">
        <v>2014</v>
      </c>
      <c r="IHD6" t="n">
        <v>2014</v>
      </c>
      <c r="IHE6" t="n">
        <v>2014</v>
      </c>
      <c r="IHF6" t="n">
        <v>2014</v>
      </c>
      <c r="IHG6" t="n">
        <v>2014</v>
      </c>
      <c r="IHH6" t="n">
        <v>2014</v>
      </c>
      <c r="IHI6" t="n">
        <v>2014</v>
      </c>
      <c r="IHJ6" t="n">
        <v>2014</v>
      </c>
      <c r="IHK6" t="n">
        <v>2014</v>
      </c>
      <c r="IHL6" t="n">
        <v>2014</v>
      </c>
      <c r="IHM6" t="n">
        <v>2014</v>
      </c>
      <c r="IHN6" t="n">
        <v>2014</v>
      </c>
      <c r="IHO6" t="n">
        <v>2014</v>
      </c>
      <c r="IHP6" t="n">
        <v>2014</v>
      </c>
      <c r="IHQ6" t="n">
        <v>2014</v>
      </c>
      <c r="IHR6" t="n">
        <v>2014</v>
      </c>
      <c r="IHS6" t="n">
        <v>2014</v>
      </c>
      <c r="IHT6" t="n">
        <v>2014</v>
      </c>
      <c r="IHU6" t="n">
        <v>2014</v>
      </c>
      <c r="IHV6" t="n">
        <v>2014</v>
      </c>
      <c r="IHW6" t="n">
        <v>2014</v>
      </c>
      <c r="IHX6" t="n">
        <v>2014</v>
      </c>
      <c r="IHY6" t="n">
        <v>2014</v>
      </c>
      <c r="IHZ6" t="n">
        <v>2014</v>
      </c>
      <c r="IIA6" t="n">
        <v>2014</v>
      </c>
      <c r="IIB6" t="n">
        <v>2014</v>
      </c>
      <c r="IIC6" t="n">
        <v>2014</v>
      </c>
      <c r="IID6" t="n">
        <v>2014</v>
      </c>
      <c r="IIE6" t="n">
        <v>2014</v>
      </c>
      <c r="IIF6" t="n">
        <v>2014</v>
      </c>
      <c r="IIG6" t="n">
        <v>2014</v>
      </c>
      <c r="IIH6" t="n">
        <v>2014</v>
      </c>
      <c r="III6" t="n">
        <v>2014</v>
      </c>
      <c r="IIJ6" t="n">
        <v>2014</v>
      </c>
      <c r="IIK6" t="n">
        <v>2014</v>
      </c>
      <c r="IIL6" t="n">
        <v>2014</v>
      </c>
      <c r="IIM6" t="n">
        <v>2014</v>
      </c>
      <c r="IIN6" t="n">
        <v>2014</v>
      </c>
      <c r="IIO6" t="n">
        <v>2014</v>
      </c>
      <c r="IIP6" t="n">
        <v>2014</v>
      </c>
      <c r="IIQ6" t="n">
        <v>2014</v>
      </c>
      <c r="IIR6" t="n">
        <v>2014</v>
      </c>
      <c r="IIS6" t="n">
        <v>2014</v>
      </c>
      <c r="IIT6" t="n">
        <v>2014</v>
      </c>
      <c r="IIU6" t="n">
        <v>2014</v>
      </c>
      <c r="IIV6" t="n">
        <v>2014</v>
      </c>
      <c r="IIW6" t="n">
        <v>2014</v>
      </c>
      <c r="IIX6" t="n">
        <v>2014</v>
      </c>
      <c r="IIY6" t="n">
        <v>2014</v>
      </c>
      <c r="IIZ6" t="n">
        <v>2014</v>
      </c>
      <c r="IJA6" t="n">
        <v>2014</v>
      </c>
      <c r="IJB6" t="n">
        <v>2014</v>
      </c>
      <c r="IJC6" t="n">
        <v>2014</v>
      </c>
      <c r="IJD6" t="n">
        <v>2014</v>
      </c>
      <c r="IJE6" t="n">
        <v>2014</v>
      </c>
      <c r="IJF6" t="n">
        <v>2014</v>
      </c>
      <c r="IJG6" t="n">
        <v>2014</v>
      </c>
      <c r="IJH6" t="n">
        <v>2014</v>
      </c>
      <c r="IJI6" t="n">
        <v>2014</v>
      </c>
      <c r="IJJ6" t="n">
        <v>2014</v>
      </c>
      <c r="IJK6" t="n">
        <v>2014</v>
      </c>
      <c r="IJL6" t="n">
        <v>2014</v>
      </c>
      <c r="IJM6" t="n">
        <v>2014</v>
      </c>
      <c r="IJN6" t="n">
        <v>2014</v>
      </c>
      <c r="IJO6" t="n">
        <v>2014</v>
      </c>
      <c r="IJP6" t="n">
        <v>2014</v>
      </c>
      <c r="IJQ6" t="n">
        <v>2014</v>
      </c>
      <c r="IJR6" t="n">
        <v>2014</v>
      </c>
      <c r="IJS6" t="n">
        <v>2014</v>
      </c>
      <c r="IJT6" t="n">
        <v>2014</v>
      </c>
      <c r="IJU6" t="n">
        <v>2014</v>
      </c>
      <c r="IJV6" t="n">
        <v>2014</v>
      </c>
      <c r="IJW6" t="n">
        <v>2014</v>
      </c>
      <c r="IJX6" t="n">
        <v>2014</v>
      </c>
      <c r="IJY6" t="n">
        <v>2014</v>
      </c>
      <c r="IJZ6" t="n">
        <v>2014</v>
      </c>
      <c r="IKA6" t="n">
        <v>2014</v>
      </c>
      <c r="IKB6" t="n">
        <v>2014</v>
      </c>
      <c r="IKC6" t="n">
        <v>2014</v>
      </c>
      <c r="IKD6" t="n">
        <v>2014</v>
      </c>
      <c r="IKE6" t="n">
        <v>2014</v>
      </c>
      <c r="IKF6" t="n">
        <v>2014</v>
      </c>
      <c r="IKG6" t="n">
        <v>2014</v>
      </c>
      <c r="IKH6" t="n">
        <v>2014</v>
      </c>
      <c r="IKI6" t="n">
        <v>2014</v>
      </c>
      <c r="IKJ6" t="n">
        <v>2014</v>
      </c>
      <c r="IKK6" t="n">
        <v>2014</v>
      </c>
      <c r="IKL6" t="n">
        <v>2014</v>
      </c>
      <c r="IKM6" t="n">
        <v>2014</v>
      </c>
      <c r="IKN6" t="n">
        <v>2014</v>
      </c>
      <c r="IKO6" t="n">
        <v>2014</v>
      </c>
      <c r="IKP6" t="n">
        <v>2014</v>
      </c>
      <c r="IKQ6" t="n">
        <v>2014</v>
      </c>
      <c r="IKR6" t="n">
        <v>2014</v>
      </c>
      <c r="IKS6" t="n">
        <v>2014</v>
      </c>
      <c r="IKT6" t="n">
        <v>2014</v>
      </c>
      <c r="IKU6" t="n">
        <v>2014</v>
      </c>
      <c r="IKV6" t="n">
        <v>2014</v>
      </c>
      <c r="IKW6" t="n">
        <v>2014</v>
      </c>
      <c r="IKX6" t="n">
        <v>2014</v>
      </c>
      <c r="IKY6" t="n">
        <v>2014</v>
      </c>
      <c r="IKZ6" t="n">
        <v>2014</v>
      </c>
      <c r="ILA6" t="n">
        <v>2014</v>
      </c>
      <c r="ILB6" t="n">
        <v>2014</v>
      </c>
      <c r="ILC6" t="n">
        <v>2014</v>
      </c>
      <c r="ILD6" t="n">
        <v>2014</v>
      </c>
      <c r="ILE6" t="n">
        <v>2014</v>
      </c>
      <c r="ILF6" t="n">
        <v>2014</v>
      </c>
      <c r="ILG6" t="n">
        <v>2014</v>
      </c>
      <c r="ILH6" t="n">
        <v>2014</v>
      </c>
      <c r="ILI6" t="n">
        <v>2014</v>
      </c>
      <c r="ILJ6" t="n">
        <v>2014</v>
      </c>
      <c r="ILK6" t="n">
        <v>2014</v>
      </c>
      <c r="ILL6" t="n">
        <v>2014</v>
      </c>
      <c r="ILM6" t="n">
        <v>2014</v>
      </c>
      <c r="ILN6" t="n">
        <v>2014</v>
      </c>
      <c r="ILO6" t="n">
        <v>2014</v>
      </c>
      <c r="ILP6" t="n">
        <v>2014</v>
      </c>
      <c r="ILQ6" t="n">
        <v>2014</v>
      </c>
      <c r="ILR6" t="n">
        <v>2014</v>
      </c>
      <c r="ILS6" t="n">
        <v>2014</v>
      </c>
      <c r="ILT6" t="n">
        <v>2014</v>
      </c>
      <c r="ILU6" t="n">
        <v>2014</v>
      </c>
      <c r="ILV6" t="n">
        <v>2014</v>
      </c>
      <c r="ILW6" t="n">
        <v>2014</v>
      </c>
      <c r="ILX6" t="n">
        <v>2014</v>
      </c>
      <c r="ILY6" t="n">
        <v>2014</v>
      </c>
      <c r="ILZ6" t="n">
        <v>2014</v>
      </c>
      <c r="IMA6" t="n">
        <v>2014</v>
      </c>
      <c r="IMB6" t="n">
        <v>2014</v>
      </c>
      <c r="IMC6" t="n">
        <v>2014</v>
      </c>
      <c r="IMD6" t="n">
        <v>2014</v>
      </c>
      <c r="IME6" t="n">
        <v>2014</v>
      </c>
      <c r="IMF6" t="n">
        <v>2014</v>
      </c>
      <c r="IMG6" t="n">
        <v>2014</v>
      </c>
      <c r="IMH6" t="n">
        <v>2014</v>
      </c>
      <c r="IMI6" t="n">
        <v>2014</v>
      </c>
      <c r="IMJ6" t="n">
        <v>2014</v>
      </c>
      <c r="IMK6" t="n">
        <v>2014</v>
      </c>
      <c r="IML6" t="n">
        <v>2014</v>
      </c>
      <c r="IMM6" t="n">
        <v>2014</v>
      </c>
      <c r="IMN6" t="n">
        <v>2014</v>
      </c>
      <c r="IMO6" t="n">
        <v>2014</v>
      </c>
      <c r="IMP6" t="n">
        <v>2014</v>
      </c>
      <c r="IMQ6" t="n">
        <v>2014</v>
      </c>
      <c r="IMR6" t="n">
        <v>2014</v>
      </c>
      <c r="IMS6" t="n">
        <v>2014</v>
      </c>
      <c r="IMT6" t="n">
        <v>2014</v>
      </c>
      <c r="IMU6" t="n">
        <v>2014</v>
      </c>
      <c r="IMV6" t="n">
        <v>2014</v>
      </c>
      <c r="IMW6" t="n">
        <v>2014</v>
      </c>
      <c r="IMX6" t="n">
        <v>2014</v>
      </c>
      <c r="IMY6" t="n">
        <v>2014</v>
      </c>
      <c r="IMZ6" t="n">
        <v>2014</v>
      </c>
      <c r="INA6" t="n">
        <v>2014</v>
      </c>
      <c r="INB6" t="n">
        <v>2014</v>
      </c>
      <c r="INC6" t="n">
        <v>2014</v>
      </c>
      <c r="IND6" t="n">
        <v>2014</v>
      </c>
      <c r="INE6" t="n">
        <v>2014</v>
      </c>
      <c r="INF6" t="n">
        <v>2014</v>
      </c>
      <c r="ING6" t="n">
        <v>2014</v>
      </c>
      <c r="INH6" t="n">
        <v>2014</v>
      </c>
      <c r="INI6" t="n">
        <v>2014</v>
      </c>
      <c r="INJ6" t="n">
        <v>2014</v>
      </c>
      <c r="INK6" t="n">
        <v>2014</v>
      </c>
      <c r="INL6" t="n">
        <v>2014</v>
      </c>
      <c r="INM6" t="n">
        <v>2014</v>
      </c>
      <c r="INN6" t="n">
        <v>2014</v>
      </c>
      <c r="INO6" t="n">
        <v>2014</v>
      </c>
      <c r="INP6" t="n">
        <v>2014</v>
      </c>
      <c r="INQ6" t="n">
        <v>2014</v>
      </c>
      <c r="INR6" t="n">
        <v>2014</v>
      </c>
      <c r="INS6" t="n">
        <v>2014</v>
      </c>
      <c r="INT6" t="n">
        <v>2014</v>
      </c>
      <c r="INU6" t="n">
        <v>2014</v>
      </c>
      <c r="INV6" t="n">
        <v>2014</v>
      </c>
      <c r="INW6" t="n">
        <v>2014</v>
      </c>
      <c r="INX6" t="n">
        <v>2014</v>
      </c>
      <c r="INY6" t="n">
        <v>2014</v>
      </c>
      <c r="INZ6" t="n">
        <v>2014</v>
      </c>
      <c r="IOA6" t="n">
        <v>2014</v>
      </c>
      <c r="IOB6" t="n">
        <v>2014</v>
      </c>
      <c r="IOC6" t="n">
        <v>2014</v>
      </c>
      <c r="IOD6" t="n">
        <v>2014</v>
      </c>
      <c r="IOE6" t="n">
        <v>2014</v>
      </c>
      <c r="IOF6" t="n">
        <v>2014</v>
      </c>
      <c r="IOG6" t="n">
        <v>2014</v>
      </c>
      <c r="IOH6" t="n">
        <v>2014</v>
      </c>
      <c r="IOI6" t="n">
        <v>2014</v>
      </c>
      <c r="IOJ6" t="n">
        <v>2014</v>
      </c>
      <c r="IOK6" t="n">
        <v>2014</v>
      </c>
      <c r="IOL6" t="n">
        <v>2014</v>
      </c>
      <c r="IOM6" t="n">
        <v>2014</v>
      </c>
      <c r="ION6" t="n">
        <v>2014</v>
      </c>
      <c r="IOO6" t="n">
        <v>2014</v>
      </c>
      <c r="IOP6" t="n">
        <v>2014</v>
      </c>
      <c r="IOQ6" t="n">
        <v>2014</v>
      </c>
      <c r="IOR6" t="n">
        <v>2014</v>
      </c>
      <c r="IOS6" t="n">
        <v>2014</v>
      </c>
      <c r="IOT6" t="n">
        <v>2014</v>
      </c>
      <c r="IOU6" t="n">
        <v>2014</v>
      </c>
      <c r="IOV6" t="n">
        <v>2014</v>
      </c>
      <c r="IOW6" t="n">
        <v>2014</v>
      </c>
      <c r="IOX6" t="n">
        <v>2014</v>
      </c>
      <c r="IOY6" t="n">
        <v>2014</v>
      </c>
      <c r="IOZ6" t="n">
        <v>2014</v>
      </c>
      <c r="IPA6" t="n">
        <v>2014</v>
      </c>
      <c r="IPB6" t="n">
        <v>2014</v>
      </c>
      <c r="IPC6" t="n">
        <v>2014</v>
      </c>
      <c r="IPD6" t="n">
        <v>2014</v>
      </c>
      <c r="IPE6" t="n">
        <v>2014</v>
      </c>
      <c r="IPF6" t="n">
        <v>2014</v>
      </c>
      <c r="IPG6" t="n">
        <v>2014</v>
      </c>
      <c r="IPH6" t="n">
        <v>2014</v>
      </c>
      <c r="IPI6" t="n">
        <v>2014</v>
      </c>
      <c r="IPJ6" t="n">
        <v>2014</v>
      </c>
      <c r="IPK6" t="n">
        <v>2014</v>
      </c>
      <c r="IPL6" t="n">
        <v>2014</v>
      </c>
      <c r="IPM6" t="n">
        <v>2014</v>
      </c>
      <c r="IPN6" t="n">
        <v>2014</v>
      </c>
      <c r="IPO6" t="n">
        <v>2014</v>
      </c>
      <c r="IPP6" t="n">
        <v>2014</v>
      </c>
      <c r="IPQ6" t="n">
        <v>2014</v>
      </c>
      <c r="IPR6" t="n">
        <v>2014</v>
      </c>
      <c r="IPS6" t="n">
        <v>2014</v>
      </c>
      <c r="IPT6" t="n">
        <v>2014</v>
      </c>
      <c r="IPU6" t="n">
        <v>2014</v>
      </c>
      <c r="IPV6" t="n">
        <v>2014</v>
      </c>
      <c r="IPW6" t="n">
        <v>2014</v>
      </c>
      <c r="IPX6" t="n">
        <v>2014</v>
      </c>
      <c r="IPY6" t="n">
        <v>2014</v>
      </c>
      <c r="IPZ6" t="n">
        <v>2014</v>
      </c>
      <c r="IQA6" t="n">
        <v>2014</v>
      </c>
      <c r="IQB6" t="n">
        <v>2014</v>
      </c>
      <c r="IQC6" t="n">
        <v>2014</v>
      </c>
      <c r="IQD6" t="n">
        <v>2014</v>
      </c>
      <c r="IQE6" t="n">
        <v>2014</v>
      </c>
      <c r="IQF6" t="n">
        <v>2014</v>
      </c>
      <c r="IQG6" t="n">
        <v>2014</v>
      </c>
      <c r="IQH6" t="n">
        <v>2014</v>
      </c>
      <c r="IQI6" t="n">
        <v>2014</v>
      </c>
      <c r="IQJ6" t="n">
        <v>2014</v>
      </c>
      <c r="IQK6" t="n">
        <v>2014</v>
      </c>
      <c r="IQL6" t="n">
        <v>2014</v>
      </c>
      <c r="IQM6" t="n">
        <v>2014</v>
      </c>
      <c r="IQN6" t="n">
        <v>2014</v>
      </c>
      <c r="IQO6" t="n">
        <v>2014</v>
      </c>
      <c r="IQP6" t="n">
        <v>2014</v>
      </c>
      <c r="IQQ6" t="n">
        <v>2014</v>
      </c>
      <c r="IQR6" t="n">
        <v>2014</v>
      </c>
      <c r="IQS6" t="n">
        <v>2014</v>
      </c>
      <c r="IQT6" t="n">
        <v>2014</v>
      </c>
      <c r="IQU6" t="n">
        <v>2014</v>
      </c>
      <c r="IQV6" t="n">
        <v>2014</v>
      </c>
      <c r="IQW6" t="n">
        <v>2014</v>
      </c>
      <c r="IQX6" t="n">
        <v>2014</v>
      </c>
      <c r="IQY6" t="n">
        <v>2014</v>
      </c>
      <c r="IQZ6" t="n">
        <v>2014</v>
      </c>
      <c r="IRA6" t="n">
        <v>2014</v>
      </c>
      <c r="IRB6" t="n">
        <v>2014</v>
      </c>
      <c r="IRC6" t="n">
        <v>2014</v>
      </c>
      <c r="IRD6" t="n">
        <v>2014</v>
      </c>
      <c r="IRE6" t="n">
        <v>2014</v>
      </c>
      <c r="IRF6" t="n">
        <v>2014</v>
      </c>
      <c r="IRG6" t="n">
        <v>2014</v>
      </c>
      <c r="IRH6" t="n">
        <v>2014</v>
      </c>
      <c r="IRI6" t="n">
        <v>2014</v>
      </c>
      <c r="IRJ6" t="n">
        <v>2014</v>
      </c>
      <c r="IRK6" t="n">
        <v>2014</v>
      </c>
      <c r="IRL6" t="n">
        <v>2014</v>
      </c>
      <c r="IRM6" t="n">
        <v>2014</v>
      </c>
      <c r="IRN6" t="n">
        <v>2014</v>
      </c>
      <c r="IRO6" t="n">
        <v>2014</v>
      </c>
      <c r="IRP6" t="n">
        <v>2014</v>
      </c>
      <c r="IRQ6" t="n">
        <v>2014</v>
      </c>
      <c r="IRR6" t="n">
        <v>2014</v>
      </c>
      <c r="IRS6" t="n">
        <v>2014</v>
      </c>
      <c r="IRT6" t="n">
        <v>2014</v>
      </c>
      <c r="IRU6" t="n">
        <v>2014</v>
      </c>
      <c r="IRV6" t="n">
        <v>2014</v>
      </c>
      <c r="IRW6" t="n">
        <v>2014</v>
      </c>
      <c r="IRX6" t="n">
        <v>2014</v>
      </c>
      <c r="IRY6" t="n">
        <v>2014</v>
      </c>
      <c r="IRZ6" t="n">
        <v>2014</v>
      </c>
      <c r="ISA6" t="n">
        <v>2014</v>
      </c>
      <c r="ISB6" t="n">
        <v>2014</v>
      </c>
      <c r="ISC6" t="n">
        <v>2014</v>
      </c>
      <c r="ISD6" t="n">
        <v>2014</v>
      </c>
      <c r="ISE6" t="n">
        <v>2014</v>
      </c>
      <c r="ISF6" t="n">
        <v>2014</v>
      </c>
      <c r="ISG6" t="n">
        <v>2014</v>
      </c>
      <c r="ISH6" t="n">
        <v>2014</v>
      </c>
      <c r="ISI6" t="n">
        <v>2014</v>
      </c>
      <c r="ISJ6" t="n">
        <v>2014</v>
      </c>
      <c r="ISK6" t="n">
        <v>2014</v>
      </c>
      <c r="ISL6" t="n">
        <v>2014</v>
      </c>
      <c r="ISM6" t="n">
        <v>2014</v>
      </c>
      <c r="ISN6" t="n">
        <v>2014</v>
      </c>
      <c r="ISO6" t="n">
        <v>2014</v>
      </c>
      <c r="ISP6" t="n">
        <v>2014</v>
      </c>
      <c r="ISQ6" t="n">
        <v>2014</v>
      </c>
      <c r="ISR6" t="n">
        <v>2014</v>
      </c>
      <c r="ISS6" t="n">
        <v>2014</v>
      </c>
      <c r="IST6" t="n">
        <v>2014</v>
      </c>
      <c r="ISU6" t="n">
        <v>2014</v>
      </c>
      <c r="ISV6" t="n">
        <v>2014</v>
      </c>
      <c r="ISW6" t="n">
        <v>2014</v>
      </c>
      <c r="ISX6" t="n">
        <v>2014</v>
      </c>
      <c r="ISY6" t="n">
        <v>2014</v>
      </c>
      <c r="ISZ6" t="n">
        <v>2014</v>
      </c>
      <c r="ITA6" t="n">
        <v>2014</v>
      </c>
      <c r="ITB6" t="n">
        <v>2014</v>
      </c>
      <c r="ITC6" t="n">
        <v>2014</v>
      </c>
      <c r="ITD6" t="n">
        <v>2014</v>
      </c>
      <c r="ITE6" t="n">
        <v>2014</v>
      </c>
      <c r="ITF6" t="n">
        <v>2014</v>
      </c>
      <c r="ITG6" t="n">
        <v>2014</v>
      </c>
      <c r="ITH6" t="n">
        <v>2014</v>
      </c>
      <c r="ITI6" t="n">
        <v>2014</v>
      </c>
      <c r="ITJ6" t="n">
        <v>2014</v>
      </c>
      <c r="ITK6" t="n">
        <v>2014</v>
      </c>
      <c r="ITL6" t="n">
        <v>2014</v>
      </c>
      <c r="ITM6" t="n">
        <v>2014</v>
      </c>
      <c r="ITN6" t="n">
        <v>2014</v>
      </c>
      <c r="ITO6" t="n">
        <v>2014</v>
      </c>
      <c r="ITP6" t="n">
        <v>2014</v>
      </c>
      <c r="ITQ6" t="n">
        <v>2014</v>
      </c>
      <c r="ITR6" t="n">
        <v>2014</v>
      </c>
      <c r="ITS6" t="n">
        <v>2014</v>
      </c>
      <c r="ITT6" t="n">
        <v>2014</v>
      </c>
      <c r="ITU6" t="n">
        <v>2014</v>
      </c>
      <c r="ITV6" t="n">
        <v>2014</v>
      </c>
      <c r="ITW6" t="n">
        <v>2014</v>
      </c>
      <c r="ITX6" t="n">
        <v>2014</v>
      </c>
      <c r="ITY6" t="n">
        <v>2014</v>
      </c>
      <c r="ITZ6" t="n">
        <v>2014</v>
      </c>
      <c r="IUA6" t="n">
        <v>2014</v>
      </c>
      <c r="IUB6" t="n">
        <v>2014</v>
      </c>
      <c r="IUC6" t="n">
        <v>2014</v>
      </c>
      <c r="IUD6" t="n">
        <v>2014</v>
      </c>
      <c r="IUE6" t="n">
        <v>2014</v>
      </c>
      <c r="IUF6" t="n">
        <v>2014</v>
      </c>
      <c r="IUG6" t="n">
        <v>2014</v>
      </c>
      <c r="IUH6" t="n">
        <v>2014</v>
      </c>
      <c r="IUI6" t="n">
        <v>2014</v>
      </c>
      <c r="IUJ6" t="n">
        <v>2014</v>
      </c>
      <c r="IUK6" t="n">
        <v>2014</v>
      </c>
      <c r="IUL6" t="n">
        <v>2014</v>
      </c>
      <c r="IUM6" t="n">
        <v>2014</v>
      </c>
      <c r="IUN6" t="n">
        <v>2014</v>
      </c>
      <c r="IUO6" t="n">
        <v>2014</v>
      </c>
      <c r="IUP6" t="n">
        <v>2014</v>
      </c>
      <c r="IUQ6" t="n">
        <v>2014</v>
      </c>
      <c r="IUR6" t="n">
        <v>2014</v>
      </c>
      <c r="IUS6" t="n">
        <v>2014</v>
      </c>
      <c r="IUT6" t="n">
        <v>2014</v>
      </c>
      <c r="IUU6" t="n">
        <v>2014</v>
      </c>
      <c r="IUV6" t="n">
        <v>2014</v>
      </c>
      <c r="IUW6" t="n">
        <v>2014</v>
      </c>
      <c r="IUX6" t="n">
        <v>2014</v>
      </c>
      <c r="IUY6" t="n">
        <v>2014</v>
      </c>
      <c r="IUZ6" t="n">
        <v>2014</v>
      </c>
      <c r="IVA6" t="n">
        <v>2014</v>
      </c>
      <c r="IVB6" t="n">
        <v>2014</v>
      </c>
      <c r="IVC6" t="n">
        <v>2014</v>
      </c>
      <c r="IVD6" t="n">
        <v>2014</v>
      </c>
      <c r="IVE6" t="n">
        <v>2014</v>
      </c>
      <c r="IVF6" t="n">
        <v>2014</v>
      </c>
      <c r="IVG6" t="n">
        <v>2014</v>
      </c>
      <c r="IVH6" t="n">
        <v>2014</v>
      </c>
      <c r="IVI6" t="n">
        <v>2014</v>
      </c>
      <c r="IVJ6" t="n">
        <v>2014</v>
      </c>
      <c r="IVK6" t="n">
        <v>2014</v>
      </c>
      <c r="IVL6" t="n">
        <v>2014</v>
      </c>
      <c r="IVM6" t="n">
        <v>2014</v>
      </c>
      <c r="IVN6" t="n">
        <v>2014</v>
      </c>
      <c r="IVO6" t="n">
        <v>2014</v>
      </c>
      <c r="IVP6" t="n">
        <v>2014</v>
      </c>
      <c r="IVQ6" t="n">
        <v>2014</v>
      </c>
      <c r="IVR6" t="n">
        <v>2014</v>
      </c>
      <c r="IVS6" t="n">
        <v>2014</v>
      </c>
      <c r="IVT6" t="n">
        <v>2014</v>
      </c>
      <c r="IVU6" t="n">
        <v>2014</v>
      </c>
      <c r="IVV6" t="n">
        <v>2014</v>
      </c>
      <c r="IVW6" t="n">
        <v>2014</v>
      </c>
      <c r="IVX6" t="n">
        <v>2014</v>
      </c>
      <c r="IVY6" t="n">
        <v>2014</v>
      </c>
      <c r="IVZ6" t="n">
        <v>2014</v>
      </c>
      <c r="IWA6" t="n">
        <v>2014</v>
      </c>
      <c r="IWB6" t="n">
        <v>2014</v>
      </c>
      <c r="IWC6" t="n">
        <v>2014</v>
      </c>
      <c r="IWD6" t="n">
        <v>2014</v>
      </c>
      <c r="IWE6" t="n">
        <v>2014</v>
      </c>
      <c r="IWF6" t="n">
        <v>2014</v>
      </c>
      <c r="IWG6" t="n">
        <v>2014</v>
      </c>
      <c r="IWH6" t="n">
        <v>2014</v>
      </c>
      <c r="IWI6" t="n">
        <v>2014</v>
      </c>
      <c r="IWJ6" t="n">
        <v>2014</v>
      </c>
      <c r="IWK6" t="n">
        <v>2014</v>
      </c>
      <c r="IWL6" t="n">
        <v>2014</v>
      </c>
      <c r="IWM6" t="n">
        <v>2014</v>
      </c>
      <c r="IWN6" t="n">
        <v>2014</v>
      </c>
      <c r="IWO6" t="n">
        <v>2014</v>
      </c>
      <c r="IWP6" t="n">
        <v>2014</v>
      </c>
      <c r="IWQ6" t="n">
        <v>2014</v>
      </c>
      <c r="IWR6" t="n">
        <v>2014</v>
      </c>
      <c r="IWS6" t="n">
        <v>2014</v>
      </c>
      <c r="IWT6" t="n">
        <v>2014</v>
      </c>
      <c r="IWU6" t="n">
        <v>2014</v>
      </c>
      <c r="IWV6" t="n">
        <v>2014</v>
      </c>
      <c r="IWW6" t="n">
        <v>2014</v>
      </c>
      <c r="IWX6" t="n">
        <v>2014</v>
      </c>
      <c r="IWY6" t="n">
        <v>2014</v>
      </c>
      <c r="IWZ6" t="n">
        <v>2014</v>
      </c>
      <c r="IXA6" t="n">
        <v>2014</v>
      </c>
      <c r="IXB6" t="n">
        <v>2014</v>
      </c>
      <c r="IXC6" t="n">
        <v>2014</v>
      </c>
      <c r="IXD6" t="n">
        <v>2014</v>
      </c>
      <c r="IXE6" t="n">
        <v>2014</v>
      </c>
      <c r="IXF6" t="n">
        <v>2014</v>
      </c>
      <c r="IXG6" t="n">
        <v>2014</v>
      </c>
      <c r="IXH6" t="n">
        <v>2014</v>
      </c>
      <c r="IXI6" t="n">
        <v>2014</v>
      </c>
      <c r="IXJ6" t="n">
        <v>2014</v>
      </c>
      <c r="IXK6" t="n">
        <v>2014</v>
      </c>
      <c r="IXL6" t="n">
        <v>2014</v>
      </c>
      <c r="IXM6" t="n">
        <v>2014</v>
      </c>
      <c r="IXN6" t="n">
        <v>2014</v>
      </c>
      <c r="IXO6" t="n">
        <v>2014</v>
      </c>
      <c r="IXP6" t="n">
        <v>2014</v>
      </c>
      <c r="IXQ6" t="n">
        <v>2014</v>
      </c>
      <c r="IXR6" t="n">
        <v>2014</v>
      </c>
      <c r="IXS6" t="n">
        <v>2014</v>
      </c>
      <c r="IXT6" t="n">
        <v>2014</v>
      </c>
      <c r="IXU6" t="n">
        <v>2014</v>
      </c>
      <c r="IXV6" t="n">
        <v>2014</v>
      </c>
      <c r="IXW6" t="n">
        <v>2014</v>
      </c>
      <c r="IXX6" t="n">
        <v>2014</v>
      </c>
      <c r="IXY6" t="n">
        <v>2014</v>
      </c>
      <c r="IXZ6" t="n">
        <v>2014</v>
      </c>
      <c r="IYA6" t="n">
        <v>2014</v>
      </c>
      <c r="IYB6" t="n">
        <v>2014</v>
      </c>
      <c r="IYC6" t="n">
        <v>2014</v>
      </c>
      <c r="IYD6" t="n">
        <v>2014</v>
      </c>
      <c r="IYE6" t="n">
        <v>2014</v>
      </c>
      <c r="IYF6" t="n">
        <v>2014</v>
      </c>
      <c r="IYG6" t="n">
        <v>2014</v>
      </c>
      <c r="IYH6" t="n">
        <v>2014</v>
      </c>
      <c r="IYI6" t="n">
        <v>2014</v>
      </c>
      <c r="IYJ6" t="n">
        <v>2014</v>
      </c>
      <c r="IYK6" t="n">
        <v>2014</v>
      </c>
      <c r="IYL6" t="n">
        <v>2014</v>
      </c>
      <c r="IYM6" t="n">
        <v>2014</v>
      </c>
      <c r="IYN6" t="n">
        <v>2014</v>
      </c>
      <c r="IYO6" t="n">
        <v>2014</v>
      </c>
      <c r="IYP6" t="n">
        <v>2014</v>
      </c>
      <c r="IYQ6" t="n">
        <v>2014</v>
      </c>
      <c r="IYR6" t="n">
        <v>2014</v>
      </c>
      <c r="IYS6" t="n">
        <v>2014</v>
      </c>
      <c r="IYT6" t="n">
        <v>2014</v>
      </c>
      <c r="IYU6" t="n">
        <v>2014</v>
      </c>
      <c r="IYV6" t="n">
        <v>2014</v>
      </c>
      <c r="IYW6" t="n">
        <v>2014</v>
      </c>
      <c r="IYX6" t="n">
        <v>2014</v>
      </c>
      <c r="IYY6" t="n">
        <v>2014</v>
      </c>
      <c r="IYZ6" t="n">
        <v>2014</v>
      </c>
      <c r="IZA6" t="n">
        <v>2014</v>
      </c>
      <c r="IZB6" t="n">
        <v>2014</v>
      </c>
      <c r="IZC6" t="n">
        <v>2014</v>
      </c>
      <c r="IZD6" t="n">
        <v>2014</v>
      </c>
      <c r="IZE6" t="n">
        <v>2014</v>
      </c>
      <c r="IZF6" t="n">
        <v>2014</v>
      </c>
      <c r="IZG6" t="n">
        <v>2014</v>
      </c>
      <c r="IZH6" t="n">
        <v>2014</v>
      </c>
      <c r="IZI6" t="n">
        <v>2014</v>
      </c>
      <c r="IZJ6" t="n">
        <v>2014</v>
      </c>
      <c r="IZK6" t="n">
        <v>2014</v>
      </c>
      <c r="IZL6" t="n">
        <v>2014</v>
      </c>
      <c r="IZM6" t="n">
        <v>2014</v>
      </c>
      <c r="IZN6" t="n">
        <v>2014</v>
      </c>
      <c r="IZO6" t="n">
        <v>2014</v>
      </c>
      <c r="IZP6" t="n">
        <v>2014</v>
      </c>
      <c r="IZQ6" t="n">
        <v>2014</v>
      </c>
      <c r="IZR6" t="n">
        <v>2014</v>
      </c>
      <c r="IZS6" t="n">
        <v>2014</v>
      </c>
      <c r="IZT6" t="n">
        <v>2014</v>
      </c>
      <c r="IZU6" t="n">
        <v>2014</v>
      </c>
      <c r="IZV6" t="n">
        <v>2014</v>
      </c>
      <c r="IZW6" t="n">
        <v>2014</v>
      </c>
      <c r="IZX6" t="n">
        <v>2014</v>
      </c>
      <c r="IZY6" t="n">
        <v>2014</v>
      </c>
      <c r="IZZ6" t="n">
        <v>2014</v>
      </c>
      <c r="JAA6" t="n">
        <v>2014</v>
      </c>
      <c r="JAB6" t="n">
        <v>2014</v>
      </c>
      <c r="JAC6" t="n">
        <v>2014</v>
      </c>
      <c r="JAD6" t="n">
        <v>2014</v>
      </c>
      <c r="JAE6" t="n">
        <v>2014</v>
      </c>
      <c r="JAF6" t="n">
        <v>2014</v>
      </c>
      <c r="JAG6" t="n">
        <v>2014</v>
      </c>
      <c r="JAH6" t="n">
        <v>2014</v>
      </c>
      <c r="JAI6" t="n">
        <v>2014</v>
      </c>
      <c r="JAJ6" t="n">
        <v>2014</v>
      </c>
      <c r="JAK6" t="n">
        <v>2014</v>
      </c>
      <c r="JAL6" t="n">
        <v>2014</v>
      </c>
      <c r="JAM6" t="n">
        <v>2014</v>
      </c>
      <c r="JAN6" t="n">
        <v>2014</v>
      </c>
      <c r="JAO6" t="n">
        <v>2014</v>
      </c>
      <c r="JAP6" t="n">
        <v>2014</v>
      </c>
      <c r="JAQ6" t="n">
        <v>2014</v>
      </c>
      <c r="JAR6" t="n">
        <v>2014</v>
      </c>
      <c r="JAS6" t="n">
        <v>2014</v>
      </c>
      <c r="JAT6" t="n">
        <v>2014</v>
      </c>
      <c r="JAU6" t="n">
        <v>2014</v>
      </c>
      <c r="JAV6" t="n">
        <v>2014</v>
      </c>
      <c r="JAW6" t="n">
        <v>2014</v>
      </c>
      <c r="JAX6" t="n">
        <v>2014</v>
      </c>
      <c r="JAY6" t="n">
        <v>2014</v>
      </c>
      <c r="JAZ6" t="n">
        <v>2014</v>
      </c>
      <c r="JBA6" t="n">
        <v>2014</v>
      </c>
      <c r="JBB6" t="n">
        <v>2014</v>
      </c>
      <c r="JBC6" t="n">
        <v>2014</v>
      </c>
      <c r="JBD6" t="n">
        <v>2014</v>
      </c>
      <c r="JBE6" t="n">
        <v>2014</v>
      </c>
      <c r="JBF6" t="n">
        <v>2014</v>
      </c>
      <c r="JBG6" t="n">
        <v>2014</v>
      </c>
      <c r="JBH6" t="n">
        <v>2014</v>
      </c>
      <c r="JBI6" t="n">
        <v>2014</v>
      </c>
      <c r="JBJ6" t="n">
        <v>2014</v>
      </c>
      <c r="JBK6" t="n">
        <v>2014</v>
      </c>
      <c r="JBL6" t="n">
        <v>2014</v>
      </c>
      <c r="JBM6" t="n">
        <v>2014</v>
      </c>
      <c r="JBN6" t="n">
        <v>2014</v>
      </c>
      <c r="JBO6" t="n">
        <v>2014</v>
      </c>
      <c r="JBP6" t="n">
        <v>2014</v>
      </c>
      <c r="JBQ6" t="n">
        <v>2014</v>
      </c>
      <c r="JBR6" t="n">
        <v>2014</v>
      </c>
      <c r="JBS6" t="n">
        <v>2014</v>
      </c>
      <c r="JBT6" t="n">
        <v>2014</v>
      </c>
      <c r="JBU6" t="n">
        <v>2014</v>
      </c>
      <c r="JBV6" t="n">
        <v>2014</v>
      </c>
      <c r="JBW6" t="n">
        <v>2014</v>
      </c>
      <c r="JBX6" t="n">
        <v>2014</v>
      </c>
      <c r="JBY6" t="n">
        <v>2014</v>
      </c>
      <c r="JBZ6" t="n">
        <v>2014</v>
      </c>
      <c r="JCA6" t="n">
        <v>2014</v>
      </c>
      <c r="JCB6" t="n">
        <v>2014</v>
      </c>
      <c r="JCC6" t="n">
        <v>2014</v>
      </c>
      <c r="JCD6" t="n">
        <v>2014</v>
      </c>
      <c r="JCE6" t="n">
        <v>2014</v>
      </c>
      <c r="JCF6" t="n">
        <v>2014</v>
      </c>
      <c r="JCG6" t="n">
        <v>2014</v>
      </c>
      <c r="JCH6" t="n">
        <v>2014</v>
      </c>
      <c r="JCI6" t="n">
        <v>2014</v>
      </c>
      <c r="JCJ6" t="n">
        <v>2014</v>
      </c>
      <c r="JCK6" t="n">
        <v>2014</v>
      </c>
      <c r="JCL6" t="n">
        <v>2014</v>
      </c>
      <c r="JCM6" t="n">
        <v>2014</v>
      </c>
      <c r="JCN6" t="n">
        <v>2014</v>
      </c>
      <c r="JCO6" t="n">
        <v>2014</v>
      </c>
      <c r="JCP6" t="n">
        <v>2014</v>
      </c>
      <c r="JCQ6" t="n">
        <v>2014</v>
      </c>
      <c r="JCR6" t="n">
        <v>2014</v>
      </c>
      <c r="JCS6" t="n">
        <v>2014</v>
      </c>
      <c r="JCT6" t="n">
        <v>2014</v>
      </c>
      <c r="JCU6" t="n">
        <v>2014</v>
      </c>
      <c r="JCV6" t="n">
        <v>2014</v>
      </c>
      <c r="JCW6" t="n">
        <v>2014</v>
      </c>
      <c r="JCX6" t="n">
        <v>2014</v>
      </c>
      <c r="JCY6" t="n">
        <v>2014</v>
      </c>
      <c r="JCZ6" t="n">
        <v>2014</v>
      </c>
      <c r="JDA6" t="n">
        <v>2014</v>
      </c>
      <c r="JDB6" t="n">
        <v>2014</v>
      </c>
      <c r="JDC6" t="n">
        <v>2014</v>
      </c>
      <c r="JDD6" t="n">
        <v>2014</v>
      </c>
      <c r="JDE6" t="n">
        <v>2014</v>
      </c>
      <c r="JDF6" t="n">
        <v>2014</v>
      </c>
      <c r="JDG6" t="n">
        <v>2014</v>
      </c>
      <c r="JDH6" t="n">
        <v>2014</v>
      </c>
      <c r="JDI6" t="n">
        <v>2014</v>
      </c>
      <c r="JDJ6" t="n">
        <v>2014</v>
      </c>
      <c r="JDK6" t="n">
        <v>2014</v>
      </c>
      <c r="JDL6" t="n">
        <v>2014</v>
      </c>
      <c r="JDM6" t="n">
        <v>2014</v>
      </c>
      <c r="JDN6" t="n">
        <v>2014</v>
      </c>
      <c r="JDO6" t="n">
        <v>2014</v>
      </c>
      <c r="JDP6" t="n">
        <v>2014</v>
      </c>
      <c r="JDQ6" t="n">
        <v>2014</v>
      </c>
      <c r="JDR6" t="n">
        <v>2014</v>
      </c>
      <c r="JDS6" t="n">
        <v>2014</v>
      </c>
      <c r="JDT6" t="n">
        <v>2014</v>
      </c>
      <c r="JDU6" t="n">
        <v>2014</v>
      </c>
      <c r="JDV6" t="n">
        <v>2014</v>
      </c>
      <c r="JDW6" t="n">
        <v>2014</v>
      </c>
      <c r="JDX6" t="n">
        <v>2014</v>
      </c>
      <c r="JDY6" t="n">
        <v>2014</v>
      </c>
      <c r="JDZ6" t="n">
        <v>2014</v>
      </c>
      <c r="JEA6" t="n">
        <v>2014</v>
      </c>
      <c r="JEB6" t="n">
        <v>2014</v>
      </c>
      <c r="JEC6" t="n">
        <v>2014</v>
      </c>
      <c r="JED6" t="n">
        <v>2014</v>
      </c>
      <c r="JEE6" t="n">
        <v>2014</v>
      </c>
      <c r="JEF6" t="n">
        <v>2014</v>
      </c>
      <c r="JEG6" t="n">
        <v>2014</v>
      </c>
      <c r="JEH6" t="n">
        <v>2014</v>
      </c>
      <c r="JEI6" t="n">
        <v>2014</v>
      </c>
      <c r="JEJ6" t="n">
        <v>2014</v>
      </c>
      <c r="JEK6" t="n">
        <v>2014</v>
      </c>
      <c r="JEL6" t="n">
        <v>2014</v>
      </c>
      <c r="JEM6" t="n">
        <v>2014</v>
      </c>
      <c r="JEN6" t="n">
        <v>2014</v>
      </c>
      <c r="JEO6" t="n">
        <v>2014</v>
      </c>
      <c r="JEP6" t="n">
        <v>2014</v>
      </c>
      <c r="JEQ6" t="n">
        <v>2014</v>
      </c>
      <c r="JER6" t="n">
        <v>2014</v>
      </c>
      <c r="JES6" t="n">
        <v>2014</v>
      </c>
      <c r="JET6" t="n">
        <v>2014</v>
      </c>
      <c r="JEU6" t="n">
        <v>2014</v>
      </c>
      <c r="JEV6" t="n">
        <v>2014</v>
      </c>
      <c r="JEW6" t="n">
        <v>2014</v>
      </c>
      <c r="JEX6" t="n">
        <v>2014</v>
      </c>
      <c r="JEY6" t="n">
        <v>2014</v>
      </c>
      <c r="JEZ6" t="n">
        <v>2014</v>
      </c>
      <c r="JFA6" t="n">
        <v>2014</v>
      </c>
      <c r="JFB6" t="n">
        <v>2014</v>
      </c>
      <c r="JFC6" t="n">
        <v>2014</v>
      </c>
      <c r="JFD6" t="n">
        <v>2014</v>
      </c>
      <c r="JFE6" t="n">
        <v>2014</v>
      </c>
      <c r="JFF6" t="n">
        <v>2014</v>
      </c>
      <c r="JFG6" t="n">
        <v>2014</v>
      </c>
      <c r="JFH6" s="87" t="n">
        <v>2013</v>
      </c>
      <c r="JFI6" t="n">
        <v>2013</v>
      </c>
      <c r="JFJ6" t="n">
        <v>2013</v>
      </c>
      <c r="JFK6" t="n">
        <v>2013</v>
      </c>
      <c r="JFL6" t="n">
        <v>2013</v>
      </c>
      <c r="JFM6" t="n">
        <v>2013</v>
      </c>
      <c r="JFN6" t="n">
        <v>2013</v>
      </c>
      <c r="JFO6" t="n">
        <v>2013</v>
      </c>
      <c r="JFP6" t="n">
        <v>2013</v>
      </c>
      <c r="JFQ6" t="n">
        <v>2013</v>
      </c>
      <c r="JFR6" t="n">
        <v>2013</v>
      </c>
      <c r="JFS6" t="n">
        <v>2013</v>
      </c>
      <c r="JFT6" t="n">
        <v>2013</v>
      </c>
      <c r="JFU6" t="n">
        <v>2013</v>
      </c>
      <c r="JFV6" t="n">
        <v>2013</v>
      </c>
      <c r="JFW6" t="n">
        <v>2013</v>
      </c>
      <c r="JFX6" t="n">
        <v>2013</v>
      </c>
      <c r="JFY6" t="n">
        <v>2013</v>
      </c>
      <c r="JFZ6" t="n">
        <v>2013</v>
      </c>
      <c r="JGA6" t="n">
        <v>2013</v>
      </c>
      <c r="JGB6" t="n">
        <v>2013</v>
      </c>
      <c r="JGC6" t="n">
        <v>2013</v>
      </c>
      <c r="JGD6" t="n">
        <v>2013</v>
      </c>
      <c r="JGE6" t="n">
        <v>2013</v>
      </c>
      <c r="JGF6" t="n">
        <v>2013</v>
      </c>
      <c r="JGG6" t="n">
        <v>2013</v>
      </c>
      <c r="JGH6" t="n">
        <v>2013</v>
      </c>
      <c r="JGI6" t="n">
        <v>2013</v>
      </c>
      <c r="JGJ6" t="n">
        <v>2013</v>
      </c>
      <c r="JGK6" t="n">
        <v>2013</v>
      </c>
      <c r="JGL6" t="n">
        <v>2013</v>
      </c>
      <c r="JGM6" t="n">
        <v>2013</v>
      </c>
      <c r="JGN6" t="n">
        <v>2013</v>
      </c>
      <c r="JGO6" t="n">
        <v>2013</v>
      </c>
      <c r="JGP6" t="n">
        <v>2013</v>
      </c>
      <c r="JGQ6" t="n">
        <v>2013</v>
      </c>
      <c r="JGR6" t="n">
        <v>2013</v>
      </c>
      <c r="JGS6" t="n">
        <v>2013</v>
      </c>
      <c r="JGT6" t="n">
        <v>2013</v>
      </c>
      <c r="JGU6" t="n">
        <v>2013</v>
      </c>
      <c r="JGV6" t="n">
        <v>2013</v>
      </c>
      <c r="JGW6" t="n">
        <v>2013</v>
      </c>
      <c r="JGX6" t="n">
        <v>2013</v>
      </c>
      <c r="JGY6" t="n">
        <v>2013</v>
      </c>
      <c r="JGZ6" t="n">
        <v>2013</v>
      </c>
      <c r="JHA6" t="n">
        <v>2013</v>
      </c>
      <c r="JHB6" t="n">
        <v>2013</v>
      </c>
      <c r="JHC6" t="n">
        <v>2013</v>
      </c>
      <c r="JHD6" t="n">
        <v>2013</v>
      </c>
      <c r="JHE6" t="n">
        <v>2013</v>
      </c>
      <c r="JHF6" t="n">
        <v>2013</v>
      </c>
      <c r="JHG6" t="n">
        <v>2013</v>
      </c>
      <c r="JHH6" t="n">
        <v>2013</v>
      </c>
      <c r="JHI6" t="n">
        <v>2013</v>
      </c>
      <c r="JHJ6" t="n">
        <v>2013</v>
      </c>
      <c r="JHK6" t="n">
        <v>2013</v>
      </c>
      <c r="JHL6" t="n">
        <v>2013</v>
      </c>
      <c r="JHM6" t="n">
        <v>2013</v>
      </c>
      <c r="JHN6" t="n">
        <v>2013</v>
      </c>
      <c r="JHO6" t="n">
        <v>2013</v>
      </c>
      <c r="JHP6" t="n">
        <v>2013</v>
      </c>
      <c r="JHQ6" t="n">
        <v>2013</v>
      </c>
      <c r="JHR6" t="n">
        <v>2013</v>
      </c>
      <c r="JHS6" t="n">
        <v>2013</v>
      </c>
      <c r="JHT6" t="n">
        <v>2013</v>
      </c>
      <c r="JHU6" t="n">
        <v>2013</v>
      </c>
      <c r="JHV6" t="n">
        <v>2013</v>
      </c>
      <c r="JHW6" t="n">
        <v>2013</v>
      </c>
      <c r="JHX6" t="n">
        <v>2013</v>
      </c>
      <c r="JHY6" t="n">
        <v>2013</v>
      </c>
      <c r="JHZ6" t="n">
        <v>2013</v>
      </c>
      <c r="JIA6" t="n">
        <v>2013</v>
      </c>
      <c r="JIB6" t="n">
        <v>2013</v>
      </c>
      <c r="JIC6" t="n">
        <v>2013</v>
      </c>
      <c r="JID6" t="n">
        <v>2013</v>
      </c>
      <c r="JIE6" t="n">
        <v>2013</v>
      </c>
      <c r="JIF6" t="n">
        <v>2013</v>
      </c>
      <c r="JIG6" t="n">
        <v>2013</v>
      </c>
      <c r="JIH6" t="n">
        <v>2013</v>
      </c>
      <c r="JII6" t="n">
        <v>2013</v>
      </c>
      <c r="JIJ6" t="n">
        <v>2013</v>
      </c>
      <c r="JIK6" t="n">
        <v>2013</v>
      </c>
      <c r="JIL6" t="n">
        <v>2013</v>
      </c>
      <c r="JIM6" t="n">
        <v>2013</v>
      </c>
      <c r="JIN6" t="n">
        <v>2013</v>
      </c>
      <c r="JIO6" t="n">
        <v>2013</v>
      </c>
      <c r="JIP6" t="n">
        <v>2013</v>
      </c>
      <c r="JIQ6" t="n">
        <v>2013</v>
      </c>
      <c r="JIR6" t="n">
        <v>2013</v>
      </c>
      <c r="JIS6" t="n">
        <v>2013</v>
      </c>
      <c r="JIT6" t="n">
        <v>2013</v>
      </c>
      <c r="JIU6" t="n">
        <v>2013</v>
      </c>
      <c r="JIV6" t="n">
        <v>2013</v>
      </c>
      <c r="JIW6" t="n">
        <v>2013</v>
      </c>
      <c r="JIX6" t="n">
        <v>2013</v>
      </c>
      <c r="JIY6" t="n">
        <v>2013</v>
      </c>
      <c r="JIZ6" t="n">
        <v>2013</v>
      </c>
      <c r="JJA6" t="n">
        <v>2013</v>
      </c>
      <c r="JJB6" t="n">
        <v>2013</v>
      </c>
      <c r="JJC6" t="n">
        <v>2013</v>
      </c>
      <c r="JJD6" t="n">
        <v>2013</v>
      </c>
      <c r="JJE6" t="n">
        <v>2013</v>
      </c>
      <c r="JJF6" t="n">
        <v>2013</v>
      </c>
      <c r="JJG6" t="n">
        <v>2013</v>
      </c>
      <c r="JJH6" t="n">
        <v>2013</v>
      </c>
      <c r="JJI6" t="n">
        <v>2013</v>
      </c>
      <c r="JJJ6" t="n">
        <v>2013</v>
      </c>
      <c r="JJK6" t="n">
        <v>2013</v>
      </c>
      <c r="JJL6" t="n">
        <v>2013</v>
      </c>
      <c r="JJM6" t="n">
        <v>2013</v>
      </c>
      <c r="JJN6" t="n">
        <v>2013</v>
      </c>
      <c r="JJO6" t="n">
        <v>2013</v>
      </c>
      <c r="JJP6" t="n">
        <v>2013</v>
      </c>
      <c r="JJQ6" t="n">
        <v>2013</v>
      </c>
      <c r="JJR6" t="n">
        <v>2013</v>
      </c>
      <c r="JJS6" t="n">
        <v>2013</v>
      </c>
      <c r="JJT6" t="n">
        <v>2013</v>
      </c>
      <c r="JJU6" t="n">
        <v>2013</v>
      </c>
      <c r="JJV6" t="n">
        <v>2013</v>
      </c>
      <c r="JJW6" t="n">
        <v>2013</v>
      </c>
      <c r="JJX6" t="n">
        <v>2013</v>
      </c>
      <c r="JJY6" t="n">
        <v>2013</v>
      </c>
      <c r="JJZ6" t="n">
        <v>2013</v>
      </c>
      <c r="JKA6" t="n">
        <v>2013</v>
      </c>
      <c r="JKB6" t="n">
        <v>2013</v>
      </c>
      <c r="JKC6" t="n">
        <v>2013</v>
      </c>
      <c r="JKD6" t="n">
        <v>2013</v>
      </c>
      <c r="JKE6" t="n">
        <v>2013</v>
      </c>
      <c r="JKF6" t="n">
        <v>2013</v>
      </c>
      <c r="JKG6" t="n">
        <v>2013</v>
      </c>
      <c r="JKH6" t="n">
        <v>2013</v>
      </c>
      <c r="JKI6" t="n">
        <v>2013</v>
      </c>
      <c r="JKJ6" t="n">
        <v>2013</v>
      </c>
      <c r="JKK6" t="n">
        <v>2013</v>
      </c>
      <c r="JKL6" t="n">
        <v>2013</v>
      </c>
      <c r="JKM6" t="n">
        <v>2013</v>
      </c>
      <c r="JKN6" t="n">
        <v>2013</v>
      </c>
      <c r="JKO6" t="n">
        <v>2013</v>
      </c>
      <c r="JKP6" t="n">
        <v>2013</v>
      </c>
      <c r="JKQ6" t="n">
        <v>2013</v>
      </c>
      <c r="JKR6" t="n">
        <v>2013</v>
      </c>
      <c r="JKS6" t="n">
        <v>2013</v>
      </c>
      <c r="JKT6" t="n">
        <v>2013</v>
      </c>
      <c r="JKU6" t="n">
        <v>2013</v>
      </c>
      <c r="JKV6" t="n">
        <v>2013</v>
      </c>
      <c r="JKW6" t="n">
        <v>2013</v>
      </c>
      <c r="JKX6" t="n">
        <v>2013</v>
      </c>
      <c r="JKY6" t="n">
        <v>2013</v>
      </c>
      <c r="JKZ6" t="n">
        <v>2013</v>
      </c>
      <c r="JLA6" t="n">
        <v>2013</v>
      </c>
      <c r="JLB6" t="n">
        <v>2013</v>
      </c>
      <c r="JLC6" t="n">
        <v>2013</v>
      </c>
      <c r="JLD6" t="n">
        <v>2013</v>
      </c>
      <c r="JLE6" t="n">
        <v>2013</v>
      </c>
      <c r="JLF6" t="n">
        <v>2013</v>
      </c>
      <c r="JLG6" t="n">
        <v>2013</v>
      </c>
      <c r="JLH6" t="n">
        <v>2013</v>
      </c>
      <c r="JLI6" t="n">
        <v>2013</v>
      </c>
      <c r="JLJ6" t="n">
        <v>2013</v>
      </c>
      <c r="JLK6" t="n">
        <v>2013</v>
      </c>
      <c r="JLL6" t="n">
        <v>2013</v>
      </c>
      <c r="JLM6" t="n">
        <v>2013</v>
      </c>
      <c r="JLN6" t="n">
        <v>2013</v>
      </c>
      <c r="JLO6" t="n">
        <v>2013</v>
      </c>
      <c r="JLP6" t="n">
        <v>2013</v>
      </c>
      <c r="JLQ6" t="n">
        <v>2013</v>
      </c>
      <c r="JLR6" t="n">
        <v>2013</v>
      </c>
      <c r="JLS6" t="n">
        <v>2013</v>
      </c>
      <c r="JLT6" t="n">
        <v>2013</v>
      </c>
      <c r="JLU6" t="n">
        <v>2013</v>
      </c>
      <c r="JLV6" t="n">
        <v>2013</v>
      </c>
      <c r="JLW6" t="n">
        <v>2013</v>
      </c>
      <c r="JLX6" t="n">
        <v>2013</v>
      </c>
      <c r="JLY6" t="n">
        <v>2013</v>
      </c>
      <c r="JLZ6" t="n">
        <v>2013</v>
      </c>
      <c r="JMA6" t="n">
        <v>2013</v>
      </c>
      <c r="JMB6" t="n">
        <v>2013</v>
      </c>
      <c r="JMC6" t="n">
        <v>2013</v>
      </c>
      <c r="JMD6" t="n">
        <v>2013</v>
      </c>
      <c r="JME6" t="n">
        <v>2013</v>
      </c>
      <c r="JMF6" t="n">
        <v>2013</v>
      </c>
      <c r="JMG6" t="n">
        <v>2013</v>
      </c>
      <c r="JMH6" t="n">
        <v>2013</v>
      </c>
      <c r="JMI6" t="n">
        <v>2013</v>
      </c>
      <c r="JMJ6" t="n">
        <v>2013</v>
      </c>
      <c r="JMK6" t="n">
        <v>2013</v>
      </c>
      <c r="JML6" t="n">
        <v>2013</v>
      </c>
      <c r="JMM6" t="n">
        <v>2013</v>
      </c>
      <c r="JMN6" t="n">
        <v>2013</v>
      </c>
      <c r="JMO6" t="n">
        <v>2013</v>
      </c>
      <c r="JMP6" t="n">
        <v>2013</v>
      </c>
      <c r="JMQ6" t="n">
        <v>2013</v>
      </c>
      <c r="JMR6" t="n">
        <v>2013</v>
      </c>
      <c r="JMS6" t="n">
        <v>2013</v>
      </c>
      <c r="JMT6" t="n">
        <v>2013</v>
      </c>
      <c r="JMU6" t="n">
        <v>2013</v>
      </c>
      <c r="JMV6" t="n">
        <v>2013</v>
      </c>
      <c r="JMW6" t="n">
        <v>2013</v>
      </c>
      <c r="JMX6" t="n">
        <v>2013</v>
      </c>
      <c r="JMY6" t="n">
        <v>2013</v>
      </c>
      <c r="JMZ6" t="n">
        <v>2013</v>
      </c>
      <c r="JNA6" t="n">
        <v>2013</v>
      </c>
      <c r="JNB6" t="n">
        <v>2013</v>
      </c>
      <c r="JNC6" t="n">
        <v>2013</v>
      </c>
      <c r="JND6" t="n">
        <v>2013</v>
      </c>
      <c r="JNE6" t="n">
        <v>2013</v>
      </c>
      <c r="JNF6" t="n">
        <v>2013</v>
      </c>
      <c r="JNG6" t="n">
        <v>2013</v>
      </c>
      <c r="JNH6" t="n">
        <v>2013</v>
      </c>
      <c r="JNI6" t="n">
        <v>2013</v>
      </c>
      <c r="JNJ6" t="n">
        <v>2013</v>
      </c>
      <c r="JNK6" t="n">
        <v>2013</v>
      </c>
      <c r="JNL6" t="n">
        <v>2013</v>
      </c>
      <c r="JNM6" t="n">
        <v>2013</v>
      </c>
      <c r="JNN6" t="n">
        <v>2013</v>
      </c>
      <c r="JNO6" t="n">
        <v>2013</v>
      </c>
      <c r="JNP6" t="n">
        <v>2013</v>
      </c>
      <c r="JNQ6" t="n">
        <v>2013</v>
      </c>
      <c r="JNR6" t="n">
        <v>2013</v>
      </c>
      <c r="JNS6" t="n">
        <v>2013</v>
      </c>
      <c r="JNT6" t="n">
        <v>2013</v>
      </c>
      <c r="JNU6" t="n">
        <v>2013</v>
      </c>
      <c r="JNV6" t="n">
        <v>2013</v>
      </c>
      <c r="JNW6" t="n">
        <v>2013</v>
      </c>
      <c r="JNX6" t="n">
        <v>2013</v>
      </c>
      <c r="JNY6" t="n">
        <v>2013</v>
      </c>
      <c r="JNZ6" t="n">
        <v>2013</v>
      </c>
      <c r="JOA6" t="n">
        <v>2013</v>
      </c>
      <c r="JOB6" t="n">
        <v>2013</v>
      </c>
      <c r="JOC6" t="n">
        <v>2013</v>
      </c>
      <c r="JOD6" t="n">
        <v>2013</v>
      </c>
      <c r="JOE6" t="n">
        <v>2013</v>
      </c>
      <c r="JOF6" t="n">
        <v>2013</v>
      </c>
      <c r="JOG6" t="n">
        <v>2013</v>
      </c>
      <c r="JOH6" t="n">
        <v>2013</v>
      </c>
      <c r="JOI6" t="n">
        <v>2013</v>
      </c>
      <c r="JOJ6" t="n">
        <v>2013</v>
      </c>
      <c r="JOK6" t="n">
        <v>2013</v>
      </c>
      <c r="JOL6" t="n">
        <v>2013</v>
      </c>
      <c r="JOM6" t="n">
        <v>2013</v>
      </c>
      <c r="JON6" t="n">
        <v>2013</v>
      </c>
      <c r="JOO6" t="n">
        <v>2013</v>
      </c>
      <c r="JOP6" t="n">
        <v>2013</v>
      </c>
      <c r="JOQ6" t="n">
        <v>2013</v>
      </c>
      <c r="JOR6" t="n">
        <v>2013</v>
      </c>
      <c r="JOS6" t="n">
        <v>2013</v>
      </c>
      <c r="JOT6" t="n">
        <v>2013</v>
      </c>
      <c r="JOU6" t="n">
        <v>2013</v>
      </c>
      <c r="JOV6" t="n">
        <v>2013</v>
      </c>
      <c r="JOW6" t="n">
        <v>2013</v>
      </c>
      <c r="JOX6" t="n">
        <v>2013</v>
      </c>
      <c r="JOY6" t="n">
        <v>2013</v>
      </c>
      <c r="JOZ6" t="n">
        <v>2013</v>
      </c>
      <c r="JPA6" t="n">
        <v>2013</v>
      </c>
      <c r="JPB6" t="n">
        <v>2013</v>
      </c>
      <c r="JPC6" t="n">
        <v>2013</v>
      </c>
      <c r="JPD6" t="n">
        <v>2013</v>
      </c>
      <c r="JPE6" t="n">
        <v>2013</v>
      </c>
      <c r="JPF6" t="n">
        <v>2013</v>
      </c>
      <c r="JPG6" t="n">
        <v>2013</v>
      </c>
      <c r="JPH6" t="n">
        <v>2013</v>
      </c>
      <c r="JPI6" t="n">
        <v>2013</v>
      </c>
      <c r="JPJ6" t="n">
        <v>2013</v>
      </c>
      <c r="JPK6" t="n">
        <v>2013</v>
      </c>
      <c r="JPL6" t="n">
        <v>2013</v>
      </c>
      <c r="JPM6" t="n">
        <v>2013</v>
      </c>
      <c r="JPN6" t="n">
        <v>2013</v>
      </c>
      <c r="JPO6" t="n">
        <v>2013</v>
      </c>
      <c r="JPP6" t="n">
        <v>2013</v>
      </c>
      <c r="JPQ6" t="n">
        <v>2013</v>
      </c>
      <c r="JPR6" t="n">
        <v>2013</v>
      </c>
      <c r="JPS6" t="n">
        <v>2013</v>
      </c>
      <c r="JPT6" t="n">
        <v>2013</v>
      </c>
      <c r="JPU6" t="n">
        <v>2013</v>
      </c>
      <c r="JPV6" t="n">
        <v>2013</v>
      </c>
      <c r="JPW6" t="n">
        <v>2013</v>
      </c>
      <c r="JPX6" t="n">
        <v>2013</v>
      </c>
      <c r="JPY6" t="n">
        <v>2013</v>
      </c>
      <c r="JPZ6" t="n">
        <v>2013</v>
      </c>
      <c r="JQA6" t="n">
        <v>2013</v>
      </c>
      <c r="JQB6" t="n">
        <v>2013</v>
      </c>
      <c r="JQC6" t="n">
        <v>2013</v>
      </c>
      <c r="JQD6" t="n">
        <v>2013</v>
      </c>
      <c r="JQE6" t="n">
        <v>2013</v>
      </c>
      <c r="JQF6" t="n">
        <v>2013</v>
      </c>
      <c r="JQG6" t="n">
        <v>2013</v>
      </c>
      <c r="JQH6" t="n">
        <v>2013</v>
      </c>
      <c r="JQI6" t="n">
        <v>2013</v>
      </c>
      <c r="JQJ6" t="n">
        <v>2013</v>
      </c>
      <c r="JQK6" t="n">
        <v>2013</v>
      </c>
      <c r="JQL6" t="n">
        <v>2013</v>
      </c>
      <c r="JQM6" t="n">
        <v>2013</v>
      </c>
      <c r="JQN6" t="n">
        <v>2013</v>
      </c>
      <c r="JQO6" t="n">
        <v>2013</v>
      </c>
      <c r="JQP6" t="n">
        <v>2013</v>
      </c>
      <c r="JQQ6" t="n">
        <v>2013</v>
      </c>
      <c r="JQR6" t="n">
        <v>2013</v>
      </c>
      <c r="JQS6" t="n">
        <v>2013</v>
      </c>
      <c r="JQT6" t="n">
        <v>2013</v>
      </c>
      <c r="JQU6" t="n">
        <v>2013</v>
      </c>
      <c r="JQV6" t="n">
        <v>2013</v>
      </c>
      <c r="JQW6" t="n">
        <v>2013</v>
      </c>
      <c r="JQX6" t="n">
        <v>2013</v>
      </c>
      <c r="JQY6" t="n">
        <v>2013</v>
      </c>
      <c r="JQZ6" t="n">
        <v>2013</v>
      </c>
      <c r="JRA6" t="n">
        <v>2013</v>
      </c>
      <c r="JRB6" t="n">
        <v>2013</v>
      </c>
      <c r="JRC6" t="n">
        <v>2013</v>
      </c>
      <c r="JRD6" t="n">
        <v>2013</v>
      </c>
      <c r="JRE6" t="n">
        <v>2013</v>
      </c>
      <c r="JRF6" t="n">
        <v>2013</v>
      </c>
      <c r="JRG6" t="n">
        <v>2013</v>
      </c>
      <c r="JRH6" t="n">
        <v>2013</v>
      </c>
      <c r="JRI6" t="n">
        <v>2013</v>
      </c>
      <c r="JRJ6" t="n">
        <v>2013</v>
      </c>
      <c r="JRK6" t="n">
        <v>2013</v>
      </c>
      <c r="JRL6" t="n">
        <v>2013</v>
      </c>
      <c r="JRM6" t="n">
        <v>2013</v>
      </c>
      <c r="JRN6" t="n">
        <v>2013</v>
      </c>
      <c r="JRO6" t="n">
        <v>2013</v>
      </c>
      <c r="JRP6" t="n">
        <v>2013</v>
      </c>
      <c r="JRQ6" t="n">
        <v>2013</v>
      </c>
      <c r="JRR6" t="n">
        <v>2013</v>
      </c>
      <c r="JRS6" t="n">
        <v>2013</v>
      </c>
      <c r="JRT6" t="n">
        <v>2013</v>
      </c>
      <c r="JRU6" t="n">
        <v>2013</v>
      </c>
      <c r="JRV6" t="n">
        <v>2013</v>
      </c>
      <c r="JRW6" t="n">
        <v>2013</v>
      </c>
      <c r="JRX6" t="n">
        <v>2013</v>
      </c>
      <c r="JRY6" t="n">
        <v>2013</v>
      </c>
      <c r="JRZ6" t="n">
        <v>2013</v>
      </c>
      <c r="JSA6" t="n">
        <v>2013</v>
      </c>
      <c r="JSB6" t="n">
        <v>2013</v>
      </c>
      <c r="JSC6" t="n">
        <v>2013</v>
      </c>
      <c r="JSD6" t="n">
        <v>2013</v>
      </c>
      <c r="JSE6" t="n">
        <v>2013</v>
      </c>
      <c r="JSF6" t="n">
        <v>2013</v>
      </c>
      <c r="JSG6" t="n">
        <v>2013</v>
      </c>
      <c r="JSH6" t="n">
        <v>2013</v>
      </c>
      <c r="JSI6" t="n">
        <v>2013</v>
      </c>
      <c r="JSJ6" t="n">
        <v>2013</v>
      </c>
      <c r="JSK6" t="n">
        <v>2013</v>
      </c>
      <c r="JSL6" t="n">
        <v>2013</v>
      </c>
      <c r="JSM6" t="n">
        <v>2013</v>
      </c>
      <c r="JSN6" t="n">
        <v>2013</v>
      </c>
      <c r="JSO6" t="n">
        <v>2013</v>
      </c>
      <c r="JSP6" t="n">
        <v>2013</v>
      </c>
      <c r="JSQ6" t="n">
        <v>2013</v>
      </c>
      <c r="JSR6" t="n">
        <v>2013</v>
      </c>
      <c r="JSS6" t="n">
        <v>2013</v>
      </c>
      <c r="JST6" t="n">
        <v>2013</v>
      </c>
      <c r="JSU6" t="n">
        <v>2013</v>
      </c>
      <c r="JSV6" t="n">
        <v>2013</v>
      </c>
      <c r="JSW6" t="n">
        <v>2013</v>
      </c>
      <c r="JSX6" t="n">
        <v>2013</v>
      </c>
      <c r="JSY6" t="n">
        <v>2013</v>
      </c>
      <c r="JSZ6" t="n">
        <v>2013</v>
      </c>
      <c r="JTA6" t="n">
        <v>2013</v>
      </c>
      <c r="JTB6" t="n">
        <v>2013</v>
      </c>
      <c r="JTC6" t="n">
        <v>2013</v>
      </c>
      <c r="JTD6" t="n">
        <v>2013</v>
      </c>
      <c r="JTE6" t="n">
        <v>2013</v>
      </c>
      <c r="JTF6" t="n">
        <v>2013</v>
      </c>
      <c r="JTG6" t="n">
        <v>2013</v>
      </c>
      <c r="JTH6" t="n">
        <v>2013</v>
      </c>
      <c r="JTI6" t="n">
        <v>2013</v>
      </c>
      <c r="JTJ6" t="n">
        <v>2013</v>
      </c>
      <c r="JTK6" t="n">
        <v>2013</v>
      </c>
      <c r="JTL6" t="n">
        <v>2013</v>
      </c>
      <c r="JTM6" t="n">
        <v>2013</v>
      </c>
      <c r="JTN6" t="n">
        <v>2013</v>
      </c>
      <c r="JTO6" t="n">
        <v>2013</v>
      </c>
      <c r="JTP6" t="n">
        <v>2013</v>
      </c>
      <c r="JTQ6" t="n">
        <v>2013</v>
      </c>
      <c r="JTR6" t="n">
        <v>2013</v>
      </c>
      <c r="JTS6" t="n">
        <v>2013</v>
      </c>
      <c r="JTT6" t="n">
        <v>2013</v>
      </c>
      <c r="JTU6" t="n">
        <v>2013</v>
      </c>
      <c r="JTV6" t="n">
        <v>2013</v>
      </c>
      <c r="JTW6" t="n">
        <v>2013</v>
      </c>
      <c r="JTX6" t="n">
        <v>2013</v>
      </c>
      <c r="JTY6" t="n">
        <v>2013</v>
      </c>
      <c r="JTZ6" t="n">
        <v>2013</v>
      </c>
      <c r="JUA6" t="n">
        <v>2013</v>
      </c>
      <c r="JUB6" t="n">
        <v>2013</v>
      </c>
      <c r="JUC6" t="n">
        <v>2013</v>
      </c>
      <c r="JUD6" t="n">
        <v>2013</v>
      </c>
      <c r="JUE6" t="n">
        <v>2013</v>
      </c>
      <c r="JUF6" t="n">
        <v>2013</v>
      </c>
      <c r="JUG6" t="n">
        <v>2013</v>
      </c>
      <c r="JUH6" t="n">
        <v>2013</v>
      </c>
      <c r="JUI6" t="n">
        <v>2013</v>
      </c>
      <c r="JUJ6" t="n">
        <v>2013</v>
      </c>
      <c r="JUK6" t="n">
        <v>2013</v>
      </c>
      <c r="JUL6" t="n">
        <v>2013</v>
      </c>
      <c r="JUM6" t="n">
        <v>2013</v>
      </c>
      <c r="JUN6" t="n">
        <v>2013</v>
      </c>
      <c r="JUO6" t="n">
        <v>2013</v>
      </c>
      <c r="JUP6" t="n">
        <v>2013</v>
      </c>
      <c r="JUQ6" t="n">
        <v>2013</v>
      </c>
      <c r="JUR6" t="n">
        <v>2013</v>
      </c>
      <c r="JUS6" t="n">
        <v>2013</v>
      </c>
      <c r="JUT6" t="n">
        <v>2013</v>
      </c>
      <c r="JUU6" t="n">
        <v>2013</v>
      </c>
      <c r="JUV6" t="n">
        <v>2013</v>
      </c>
      <c r="JUW6" t="n">
        <v>2013</v>
      </c>
      <c r="JUX6" t="n">
        <v>2013</v>
      </c>
      <c r="JUY6" t="n">
        <v>2013</v>
      </c>
      <c r="JUZ6" t="n">
        <v>2013</v>
      </c>
      <c r="JVA6" t="n">
        <v>2013</v>
      </c>
      <c r="JVB6" t="n">
        <v>2013</v>
      </c>
      <c r="JVC6" t="n">
        <v>2013</v>
      </c>
      <c r="JVD6" t="n">
        <v>2013</v>
      </c>
      <c r="JVE6" t="n">
        <v>2013</v>
      </c>
      <c r="JVF6" t="n">
        <v>2013</v>
      </c>
      <c r="JVG6" t="n">
        <v>2013</v>
      </c>
      <c r="JVH6" t="n">
        <v>2013</v>
      </c>
      <c r="JVI6" t="n">
        <v>2013</v>
      </c>
      <c r="JVJ6" t="n">
        <v>2013</v>
      </c>
      <c r="JVK6" t="n">
        <v>2013</v>
      </c>
      <c r="JVL6" t="n">
        <v>2013</v>
      </c>
      <c r="JVM6" t="n">
        <v>2013</v>
      </c>
      <c r="JVN6" t="n">
        <v>2013</v>
      </c>
      <c r="JVO6" t="n">
        <v>2013</v>
      </c>
      <c r="JVP6" t="n">
        <v>2013</v>
      </c>
      <c r="JVQ6" t="n">
        <v>2013</v>
      </c>
      <c r="JVR6" t="n">
        <v>2013</v>
      </c>
      <c r="JVS6" t="n">
        <v>2013</v>
      </c>
      <c r="JVT6" t="n">
        <v>2013</v>
      </c>
      <c r="JVU6" t="n">
        <v>2013</v>
      </c>
      <c r="JVV6" t="n">
        <v>2013</v>
      </c>
      <c r="JVW6" t="n">
        <v>2013</v>
      </c>
      <c r="JVX6" t="n">
        <v>2013</v>
      </c>
      <c r="JVY6" t="n">
        <v>2013</v>
      </c>
      <c r="JVZ6" t="n">
        <v>2013</v>
      </c>
      <c r="JWA6" t="n">
        <v>2013</v>
      </c>
      <c r="JWB6" t="n">
        <v>2013</v>
      </c>
      <c r="JWC6" t="n">
        <v>2013</v>
      </c>
      <c r="JWD6" t="n">
        <v>2013</v>
      </c>
      <c r="JWE6" t="n">
        <v>2013</v>
      </c>
      <c r="JWF6" t="n">
        <v>2013</v>
      </c>
      <c r="JWG6" t="n">
        <v>2013</v>
      </c>
      <c r="JWH6" t="n">
        <v>2013</v>
      </c>
      <c r="JWI6" t="n">
        <v>2013</v>
      </c>
      <c r="JWJ6" t="n">
        <v>2013</v>
      </c>
      <c r="JWK6" t="n">
        <v>2013</v>
      </c>
      <c r="JWL6" t="n">
        <v>2013</v>
      </c>
      <c r="JWM6" t="n">
        <v>2013</v>
      </c>
      <c r="JWN6" t="n">
        <v>2013</v>
      </c>
      <c r="JWO6" t="n">
        <v>2013</v>
      </c>
      <c r="JWP6" t="n">
        <v>2013</v>
      </c>
      <c r="JWQ6" t="n">
        <v>2013</v>
      </c>
      <c r="JWR6" t="n">
        <v>2013</v>
      </c>
      <c r="JWS6" t="n">
        <v>2013</v>
      </c>
      <c r="JWT6" t="n">
        <v>2013</v>
      </c>
      <c r="JWU6" t="n">
        <v>2013</v>
      </c>
      <c r="JWV6" t="n">
        <v>2013</v>
      </c>
      <c r="JWW6" t="n">
        <v>2013</v>
      </c>
      <c r="JWX6" t="n">
        <v>2013</v>
      </c>
      <c r="JWY6" t="n">
        <v>2013</v>
      </c>
      <c r="JWZ6" t="n">
        <v>2013</v>
      </c>
      <c r="JXA6" t="n">
        <v>2013</v>
      </c>
      <c r="JXB6" t="n">
        <v>2013</v>
      </c>
      <c r="JXC6" t="n">
        <v>2013</v>
      </c>
      <c r="JXD6" t="n">
        <v>2013</v>
      </c>
      <c r="JXE6" t="n">
        <v>2013</v>
      </c>
      <c r="JXF6" t="n">
        <v>2013</v>
      </c>
      <c r="JXG6" t="n">
        <v>2013</v>
      </c>
      <c r="JXH6" t="n">
        <v>2013</v>
      </c>
      <c r="JXI6" t="n">
        <v>2013</v>
      </c>
      <c r="JXJ6" t="n">
        <v>2013</v>
      </c>
      <c r="JXK6" t="n">
        <v>2013</v>
      </c>
      <c r="JXL6" t="n">
        <v>2013</v>
      </c>
      <c r="JXM6" t="n">
        <v>2013</v>
      </c>
      <c r="JXN6" t="n">
        <v>2013</v>
      </c>
      <c r="JXO6" t="n">
        <v>2013</v>
      </c>
      <c r="JXP6" t="n">
        <v>2013</v>
      </c>
      <c r="JXQ6" t="n">
        <v>2013</v>
      </c>
      <c r="JXR6" t="n">
        <v>2013</v>
      </c>
      <c r="JXS6" t="n">
        <v>2013</v>
      </c>
      <c r="JXT6" t="n">
        <v>2013</v>
      </c>
      <c r="JXU6" t="n">
        <v>2013</v>
      </c>
      <c r="JXV6" t="n">
        <v>2013</v>
      </c>
      <c r="JXW6" t="n">
        <v>2013</v>
      </c>
      <c r="JXX6" t="n">
        <v>2013</v>
      </c>
      <c r="JXY6" t="n">
        <v>2013</v>
      </c>
      <c r="JXZ6" t="n">
        <v>2013</v>
      </c>
      <c r="JYA6" t="n">
        <v>2013</v>
      </c>
      <c r="JYB6" t="n">
        <v>2013</v>
      </c>
      <c r="JYC6" t="n">
        <v>2013</v>
      </c>
      <c r="JYD6" t="n">
        <v>2013</v>
      </c>
      <c r="JYE6" t="n">
        <v>2013</v>
      </c>
      <c r="JYF6" t="n">
        <v>2013</v>
      </c>
      <c r="JYG6" t="n">
        <v>2013</v>
      </c>
      <c r="JYH6" t="n">
        <v>2013</v>
      </c>
      <c r="JYI6" t="n">
        <v>2013</v>
      </c>
      <c r="JYJ6" t="n">
        <v>2013</v>
      </c>
      <c r="JYK6" t="n">
        <v>2013</v>
      </c>
      <c r="JYL6" t="n">
        <v>2013</v>
      </c>
      <c r="JYM6" t="n">
        <v>2013</v>
      </c>
      <c r="JYN6" t="n">
        <v>2013</v>
      </c>
      <c r="JYO6" t="n">
        <v>2013</v>
      </c>
      <c r="JYP6" t="n">
        <v>2013</v>
      </c>
      <c r="JYQ6" t="n">
        <v>2013</v>
      </c>
      <c r="JYR6" t="n">
        <v>2013</v>
      </c>
      <c r="JYS6" t="n">
        <v>2013</v>
      </c>
      <c r="JYT6" t="n">
        <v>2013</v>
      </c>
      <c r="JYU6" t="n">
        <v>2013</v>
      </c>
      <c r="JYV6" t="n">
        <v>2013</v>
      </c>
      <c r="JYW6" t="n">
        <v>2013</v>
      </c>
      <c r="JYX6" t="n">
        <v>2013</v>
      </c>
      <c r="JYY6" t="n">
        <v>2013</v>
      </c>
      <c r="JYZ6" t="n">
        <v>2013</v>
      </c>
      <c r="JZA6" t="n">
        <v>2013</v>
      </c>
      <c r="JZB6" t="n">
        <v>2013</v>
      </c>
      <c r="JZC6" t="n">
        <v>2013</v>
      </c>
      <c r="JZD6" t="n">
        <v>2013</v>
      </c>
      <c r="JZE6" t="n">
        <v>2013</v>
      </c>
      <c r="JZF6" t="n">
        <v>2013</v>
      </c>
      <c r="JZG6" t="n">
        <v>2013</v>
      </c>
      <c r="JZH6" t="n">
        <v>2013</v>
      </c>
      <c r="JZI6" t="n">
        <v>2013</v>
      </c>
      <c r="JZJ6" t="n">
        <v>2013</v>
      </c>
      <c r="JZK6" t="n">
        <v>2013</v>
      </c>
      <c r="JZL6" t="n">
        <v>2013</v>
      </c>
      <c r="JZM6" t="n">
        <v>2013</v>
      </c>
      <c r="JZN6" t="n">
        <v>2013</v>
      </c>
      <c r="JZO6" t="n">
        <v>2013</v>
      </c>
      <c r="JZP6" t="n">
        <v>2013</v>
      </c>
      <c r="JZQ6" t="n">
        <v>2013</v>
      </c>
      <c r="JZR6" t="n">
        <v>2013</v>
      </c>
      <c r="JZS6" t="n">
        <v>2013</v>
      </c>
      <c r="JZT6" t="n">
        <v>2013</v>
      </c>
      <c r="JZU6" t="n">
        <v>2013</v>
      </c>
      <c r="JZV6" t="n">
        <v>2013</v>
      </c>
      <c r="JZW6" t="n">
        <v>2013</v>
      </c>
      <c r="JZX6" t="n">
        <v>2013</v>
      </c>
      <c r="JZY6" t="n">
        <v>2013</v>
      </c>
      <c r="JZZ6" t="n">
        <v>2013</v>
      </c>
      <c r="KAA6" t="n">
        <v>2013</v>
      </c>
      <c r="KAB6" t="n">
        <v>2013</v>
      </c>
      <c r="KAC6" t="n">
        <v>2013</v>
      </c>
      <c r="KAD6" t="n">
        <v>2013</v>
      </c>
      <c r="KAE6" t="n">
        <v>2013</v>
      </c>
      <c r="KAF6" t="n">
        <v>2013</v>
      </c>
      <c r="KAG6" t="n">
        <v>2013</v>
      </c>
      <c r="KAH6" t="n">
        <v>2013</v>
      </c>
      <c r="KAI6" t="n">
        <v>2013</v>
      </c>
      <c r="KAJ6" t="n">
        <v>2013</v>
      </c>
      <c r="KAK6" t="n">
        <v>2013</v>
      </c>
      <c r="KAL6" t="n">
        <v>2013</v>
      </c>
      <c r="KAM6" t="n">
        <v>2013</v>
      </c>
      <c r="KAN6" t="n">
        <v>2013</v>
      </c>
      <c r="KAO6" t="n">
        <v>2013</v>
      </c>
      <c r="KAP6" t="n">
        <v>2013</v>
      </c>
      <c r="KAQ6" t="n">
        <v>2013</v>
      </c>
      <c r="KAR6" t="n">
        <v>2013</v>
      </c>
      <c r="KAS6" t="n">
        <v>2013</v>
      </c>
      <c r="KAT6" t="n">
        <v>2013</v>
      </c>
      <c r="KAU6" t="n">
        <v>2013</v>
      </c>
      <c r="KAV6" t="n">
        <v>2013</v>
      </c>
      <c r="KAW6" t="n">
        <v>2013</v>
      </c>
      <c r="KAX6" t="n">
        <v>2013</v>
      </c>
      <c r="KAY6" t="n">
        <v>2013</v>
      </c>
      <c r="KAZ6" t="n">
        <v>2013</v>
      </c>
      <c r="KBA6" t="n">
        <v>2013</v>
      </c>
      <c r="KBB6" t="n">
        <v>2013</v>
      </c>
      <c r="KBC6" t="n">
        <v>2013</v>
      </c>
      <c r="KBD6" t="n">
        <v>2013</v>
      </c>
      <c r="KBE6" t="n">
        <v>2013</v>
      </c>
      <c r="KBF6" t="n">
        <v>2013</v>
      </c>
      <c r="KBG6" t="n">
        <v>2013</v>
      </c>
      <c r="KBH6" t="n">
        <v>2013</v>
      </c>
      <c r="KBI6" t="n">
        <v>2013</v>
      </c>
      <c r="KBJ6" t="n">
        <v>2013</v>
      </c>
      <c r="KBK6" t="n">
        <v>2013</v>
      </c>
      <c r="KBL6" t="n">
        <v>2013</v>
      </c>
      <c r="KBM6" t="n">
        <v>2013</v>
      </c>
      <c r="KBN6" t="n">
        <v>2013</v>
      </c>
      <c r="KBO6" t="n">
        <v>2013</v>
      </c>
      <c r="KBP6" t="n">
        <v>2013</v>
      </c>
      <c r="KBQ6" t="n">
        <v>2013</v>
      </c>
      <c r="KBR6" t="n">
        <v>2013</v>
      </c>
      <c r="KBS6" t="n">
        <v>2013</v>
      </c>
      <c r="KBT6" t="n">
        <v>2013</v>
      </c>
      <c r="KBU6" t="n">
        <v>2013</v>
      </c>
      <c r="KBV6" t="n">
        <v>2013</v>
      </c>
      <c r="KBW6" t="n">
        <v>2013</v>
      </c>
      <c r="KBX6" t="n">
        <v>2013</v>
      </c>
      <c r="KBY6" t="n">
        <v>2013</v>
      </c>
      <c r="KBZ6" t="n">
        <v>2013</v>
      </c>
      <c r="KCA6" t="n">
        <v>2013</v>
      </c>
      <c r="KCB6" t="n">
        <v>2013</v>
      </c>
      <c r="KCC6" t="n">
        <v>2013</v>
      </c>
      <c r="KCD6" t="n">
        <v>2013</v>
      </c>
      <c r="KCE6" t="n">
        <v>2013</v>
      </c>
      <c r="KCF6" t="n">
        <v>2013</v>
      </c>
      <c r="KCG6" t="n">
        <v>2013</v>
      </c>
      <c r="KCH6" t="n">
        <v>2013</v>
      </c>
      <c r="KCI6" t="n">
        <v>2013</v>
      </c>
      <c r="KCJ6" t="n">
        <v>2013</v>
      </c>
      <c r="KCK6" t="n">
        <v>2013</v>
      </c>
      <c r="KCL6" t="n">
        <v>2013</v>
      </c>
      <c r="KCM6" t="n">
        <v>2013</v>
      </c>
      <c r="KCN6" t="n">
        <v>2013</v>
      </c>
      <c r="KCO6" t="n">
        <v>2013</v>
      </c>
      <c r="KCP6" t="n">
        <v>2013</v>
      </c>
      <c r="KCQ6" t="n">
        <v>2013</v>
      </c>
      <c r="KCR6" t="n">
        <v>2013</v>
      </c>
      <c r="KCS6" t="n">
        <v>2013</v>
      </c>
      <c r="KCT6" t="n">
        <v>2013</v>
      </c>
      <c r="KCU6" t="n">
        <v>2013</v>
      </c>
      <c r="KCV6" t="n">
        <v>2013</v>
      </c>
      <c r="KCW6" t="n">
        <v>2013</v>
      </c>
      <c r="KCX6" t="n">
        <v>2013</v>
      </c>
      <c r="KCY6" t="n">
        <v>2013</v>
      </c>
      <c r="KCZ6" t="n">
        <v>2013</v>
      </c>
      <c r="KDA6" t="n">
        <v>2013</v>
      </c>
      <c r="KDB6" t="n">
        <v>2013</v>
      </c>
      <c r="KDC6" t="n">
        <v>2013</v>
      </c>
      <c r="KDD6" t="n">
        <v>2013</v>
      </c>
      <c r="KDE6" t="n">
        <v>2013</v>
      </c>
      <c r="KDF6" t="n">
        <v>2013</v>
      </c>
      <c r="KDG6" t="n">
        <v>2013</v>
      </c>
      <c r="KDH6" t="n">
        <v>2013</v>
      </c>
      <c r="KDI6" t="n">
        <v>2013</v>
      </c>
      <c r="KDJ6" t="n">
        <v>2013</v>
      </c>
      <c r="KDK6" t="n">
        <v>2013</v>
      </c>
      <c r="KDL6" t="n">
        <v>2013</v>
      </c>
      <c r="KDM6" t="n">
        <v>2013</v>
      </c>
      <c r="KDN6" t="n">
        <v>2013</v>
      </c>
      <c r="KDO6" t="n">
        <v>2013</v>
      </c>
      <c r="KDP6" t="n">
        <v>2013</v>
      </c>
      <c r="KDQ6" t="n">
        <v>2013</v>
      </c>
      <c r="KDR6" t="n">
        <v>2013</v>
      </c>
      <c r="KDS6" t="n">
        <v>2013</v>
      </c>
      <c r="KDT6" t="n">
        <v>2013</v>
      </c>
      <c r="KDU6" t="n">
        <v>2013</v>
      </c>
      <c r="KDV6" t="n">
        <v>2013</v>
      </c>
      <c r="KDW6" t="n">
        <v>2013</v>
      </c>
      <c r="KDX6" t="n">
        <v>2013</v>
      </c>
      <c r="KDY6" t="n">
        <v>2013</v>
      </c>
      <c r="KDZ6" t="n">
        <v>2013</v>
      </c>
      <c r="KEA6" t="n">
        <v>2013</v>
      </c>
      <c r="KEB6" t="n">
        <v>2013</v>
      </c>
      <c r="KEC6" t="n">
        <v>2013</v>
      </c>
      <c r="KED6" t="n">
        <v>2013</v>
      </c>
      <c r="KEE6" t="n">
        <v>2013</v>
      </c>
      <c r="KEF6" t="n">
        <v>2013</v>
      </c>
      <c r="KEG6" t="n">
        <v>2013</v>
      </c>
      <c r="KEH6" t="n">
        <v>2013</v>
      </c>
      <c r="KEI6" t="n">
        <v>2013</v>
      </c>
      <c r="KEJ6" t="n">
        <v>2013</v>
      </c>
      <c r="KEK6" t="n">
        <v>2013</v>
      </c>
      <c r="KEL6" t="n">
        <v>2013</v>
      </c>
      <c r="KEM6" t="n">
        <v>2013</v>
      </c>
      <c r="KEN6" t="n">
        <v>2013</v>
      </c>
      <c r="KEO6" t="n">
        <v>2013</v>
      </c>
      <c r="KEP6" t="n">
        <v>2013</v>
      </c>
      <c r="KEQ6" t="n">
        <v>2013</v>
      </c>
      <c r="KER6" t="n">
        <v>2013</v>
      </c>
      <c r="KES6" t="n">
        <v>2013</v>
      </c>
      <c r="KET6" t="n">
        <v>2013</v>
      </c>
      <c r="KEU6" t="n">
        <v>2013</v>
      </c>
      <c r="KEV6" t="n">
        <v>2013</v>
      </c>
      <c r="KEW6" t="n">
        <v>2013</v>
      </c>
      <c r="KEX6" t="n">
        <v>2013</v>
      </c>
      <c r="KEY6" t="n">
        <v>2013</v>
      </c>
      <c r="KEZ6" t="n">
        <v>2013</v>
      </c>
      <c r="KFA6" t="n">
        <v>2013</v>
      </c>
      <c r="KFB6" t="n">
        <v>2013</v>
      </c>
      <c r="KFC6" t="n">
        <v>2013</v>
      </c>
      <c r="KFD6" t="n">
        <v>2013</v>
      </c>
      <c r="KFE6" t="n">
        <v>2013</v>
      </c>
      <c r="KFF6" t="n">
        <v>2013</v>
      </c>
      <c r="KFG6" t="n">
        <v>2013</v>
      </c>
      <c r="KFH6" t="n">
        <v>2013</v>
      </c>
      <c r="KFI6" t="n">
        <v>2013</v>
      </c>
    </row>
    <row r="7" ht="33" customHeight="1">
      <c r="A7" s="747" t="n"/>
      <c r="B7" s="742" t="n"/>
      <c r="C7" s="742" t="n"/>
      <c r="D7" s="747" t="n"/>
      <c r="E7" s="747" t="n"/>
      <c r="F7" s="747" t="n"/>
      <c r="G7" s="747" t="n"/>
      <c r="H7" s="747" t="n"/>
      <c r="I7" s="747" t="n"/>
      <c r="J7" s="747" t="n"/>
      <c r="K7" s="747" t="n"/>
      <c r="L7" s="747" t="n"/>
      <c r="M7" s="747" t="n"/>
      <c r="N7" s="743" t="n"/>
      <c r="O7" s="743" t="n"/>
      <c r="P7" s="743" t="n"/>
      <c r="Q7" s="743" t="n"/>
      <c r="R7" s="743" t="n"/>
      <c r="S7" s="743" t="n"/>
      <c r="T7" s="743" t="n"/>
      <c r="U7" s="743" t="n"/>
      <c r="V7" s="743" t="n"/>
      <c r="W7" s="743" t="n"/>
      <c r="X7" s="743" t="n"/>
      <c r="Y7" s="743" t="n"/>
      <c r="Z7" s="743" t="n"/>
      <c r="AA7" s="743" t="n"/>
      <c r="AB7" s="743" t="n"/>
      <c r="AC7" s="743" t="n"/>
      <c r="AD7" s="743" t="n"/>
      <c r="AE7" s="743" t="n"/>
      <c r="AF7" s="743" t="n"/>
      <c r="AG7" s="743" t="n"/>
      <c r="AH7" s="743" t="n"/>
      <c r="AI7" s="743" t="n"/>
      <c r="AJ7" s="743" t="n"/>
      <c r="AK7" s="743" t="n"/>
      <c r="AL7" s="743" t="n"/>
      <c r="AM7" s="743" t="n"/>
      <c r="AN7" s="743" t="n"/>
      <c r="AO7" s="743" t="n"/>
      <c r="AP7" s="743" t="n"/>
      <c r="AQ7" s="743" t="n"/>
      <c r="AR7" s="743" t="n"/>
      <c r="AS7" s="743" t="n"/>
      <c r="AT7" s="745" t="n"/>
      <c r="AU7" s="745" t="n"/>
      <c r="AV7" s="746" t="inlineStr">
        <is>
          <t>Bankrupt</t>
        </is>
      </c>
      <c r="AW7" s="747" t="inlineStr">
        <is>
          <t>Tax Year Filed</t>
        </is>
      </c>
      <c r="AX7" s="747" t="inlineStr">
        <is>
          <t>Taxing Province</t>
        </is>
      </c>
      <c r="AY7" s="747" t="inlineStr">
        <is>
          <t>Marital Status</t>
        </is>
      </c>
      <c r="AZ7" s="747" t="inlineStr">
        <is>
          <t>Balance before penalty and interest</t>
        </is>
      </c>
      <c r="BA7" s="747" t="inlineStr">
        <is>
          <t>Balance before penalty and interest</t>
        </is>
      </c>
      <c r="BB7" s="747" t="inlineStr">
        <is>
          <t>Final balance</t>
        </is>
      </c>
      <c r="BC7" s="747" t="inlineStr">
        <is>
          <t>Basic federal tax</t>
        </is>
      </c>
      <c r="BD7" s="747" t="inlineStr">
        <is>
          <t>Basic provincial or territorial tax</t>
        </is>
      </c>
      <c r="BE7" s="747" t="inlineStr">
        <is>
          <t>Ontario Health Premium</t>
        </is>
      </c>
      <c r="BF7" s="747" t="n">
        <v>10100</v>
      </c>
      <c r="BG7" s="747" t="n">
        <v>10120</v>
      </c>
      <c r="BH7" s="747" t="n">
        <v>10130</v>
      </c>
      <c r="BI7" s="747" t="n">
        <v>10400</v>
      </c>
      <c r="BJ7" s="747" t="n">
        <v>10699</v>
      </c>
      <c r="BK7" s="747" t="n">
        <v>10700</v>
      </c>
      <c r="BL7" s="747" t="n">
        <v>10999</v>
      </c>
      <c r="BM7" s="747" t="n">
        <v>11000</v>
      </c>
      <c r="BN7" s="747" t="n">
        <v>11300</v>
      </c>
      <c r="BO7" s="747" t="n">
        <v>11400</v>
      </c>
      <c r="BP7" s="747" t="n">
        <v>11500</v>
      </c>
      <c r="BQ7" s="747" t="n">
        <v>11600</v>
      </c>
      <c r="BR7" s="747" t="n">
        <v>11700</v>
      </c>
      <c r="BS7" s="747" t="n">
        <v>11900</v>
      </c>
      <c r="BT7" s="747" t="n">
        <v>12000</v>
      </c>
      <c r="BU7" s="747" t="n">
        <v>12100</v>
      </c>
      <c r="BV7" s="747" t="n">
        <v>12200</v>
      </c>
      <c r="BW7" s="747" t="n">
        <v>12399</v>
      </c>
      <c r="BX7" s="747" t="n">
        <v>12400</v>
      </c>
      <c r="BY7" s="747" t="n">
        <v>12500</v>
      </c>
      <c r="BZ7" s="747" t="n">
        <v>12600</v>
      </c>
      <c r="CA7" s="747" t="n">
        <v>12700</v>
      </c>
      <c r="CB7" s="747" t="n">
        <v>12800</v>
      </c>
      <c r="CC7" s="747" t="n">
        <v>12900</v>
      </c>
      <c r="CD7" s="747" t="n">
        <v>13000</v>
      </c>
      <c r="CE7" s="747" t="n">
        <v>13199</v>
      </c>
      <c r="CF7" s="747" t="n">
        <v>13200</v>
      </c>
      <c r="CG7" s="747" t="n">
        <v>13500</v>
      </c>
      <c r="CH7" s="747" t="n">
        <v>13599</v>
      </c>
      <c r="CI7" s="747" t="n">
        <v>13700</v>
      </c>
      <c r="CJ7" s="747" t="n">
        <v>13800</v>
      </c>
      <c r="CK7" s="747" t="n">
        <v>13900</v>
      </c>
      <c r="CL7" s="747" t="n">
        <v>14100</v>
      </c>
      <c r="CM7" s="747" t="n">
        <v>14300</v>
      </c>
      <c r="CN7" s="747" t="n">
        <v>14400</v>
      </c>
      <c r="CO7" s="747" t="n">
        <v>14500</v>
      </c>
      <c r="CP7" s="747" t="n">
        <v>14600</v>
      </c>
      <c r="CQ7" s="747" t="n">
        <v>15000</v>
      </c>
      <c r="CR7" s="747" t="n">
        <v>15199</v>
      </c>
      <c r="CS7" s="747" t="n">
        <v>11410</v>
      </c>
      <c r="CT7" s="747" t="n">
        <v>15300</v>
      </c>
      <c r="CU7" s="747" t="n">
        <v>15499</v>
      </c>
      <c r="CV7" s="747" t="n">
        <v>15500</v>
      </c>
      <c r="CW7" s="747" t="n">
        <v>12799</v>
      </c>
      <c r="CX7" s="747" t="n">
        <v>15800</v>
      </c>
      <c r="CY7" s="747" t="n">
        <v>15900</v>
      </c>
      <c r="CZ7" s="747" t="n">
        <v>12599</v>
      </c>
      <c r="DA7" s="747" t="n">
        <v>16100</v>
      </c>
      <c r="DB7" s="747" t="n">
        <v>13499</v>
      </c>
      <c r="DC7" s="747" t="n">
        <v>13699</v>
      </c>
      <c r="DD7" s="747" t="n">
        <v>13899</v>
      </c>
      <c r="DE7" s="747" t="n">
        <v>14099</v>
      </c>
      <c r="DF7" s="747" t="n">
        <v>14299</v>
      </c>
      <c r="DG7" s="747" t="n">
        <v>17400</v>
      </c>
      <c r="DH7" s="747" t="n">
        <v>17600</v>
      </c>
      <c r="DI7" s="747" t="n">
        <v>17800</v>
      </c>
      <c r="DJ7" s="747" t="n">
        <v>17900</v>
      </c>
      <c r="DK7" s="747" t="n">
        <v>12010</v>
      </c>
      <c r="DL7" s="747" t="n">
        <v>11701</v>
      </c>
      <c r="DM7" s="747" t="n">
        <v>20810</v>
      </c>
      <c r="DN7" s="747" t="n">
        <v>20600</v>
      </c>
      <c r="DO7" s="747" t="n">
        <v>20700</v>
      </c>
      <c r="DP7" s="747" t="n">
        <v>20800</v>
      </c>
      <c r="DQ7" s="747" t="n">
        <v>21000</v>
      </c>
      <c r="DR7" s="747" t="n">
        <v>21200</v>
      </c>
      <c r="DS7" s="747" t="n">
        <v>21300</v>
      </c>
      <c r="DT7" s="747" t="n">
        <v>21400</v>
      </c>
      <c r="DU7" s="747" t="n">
        <v>21500</v>
      </c>
      <c r="DV7" s="747" t="n">
        <v>21700</v>
      </c>
      <c r="DW7" s="747" t="n">
        <v>21900</v>
      </c>
      <c r="DX7" s="747" t="n">
        <v>22000</v>
      </c>
      <c r="DY7" s="747" t="n">
        <v>22100</v>
      </c>
      <c r="DZ7" s="747" t="n">
        <v>22200</v>
      </c>
      <c r="EA7" s="747" t="n">
        <v>22300</v>
      </c>
      <c r="EB7" s="747" t="n">
        <v>22400</v>
      </c>
      <c r="EC7" s="747" t="n">
        <v>21699</v>
      </c>
      <c r="ED7" s="747" t="n">
        <v>22900</v>
      </c>
      <c r="EE7" s="747" t="n">
        <v>21999</v>
      </c>
      <c r="EF7" s="747" t="n">
        <v>23100</v>
      </c>
      <c r="EG7" s="747" t="n">
        <v>23200</v>
      </c>
      <c r="EH7" s="747" t="n">
        <v>23500</v>
      </c>
      <c r="EI7" s="747" t="n">
        <v>23600</v>
      </c>
      <c r="EJ7" s="747" t="n">
        <v>24640</v>
      </c>
      <c r="EK7" s="747" t="n">
        <v>24400</v>
      </c>
      <c r="EL7" s="747" t="n">
        <v>24500</v>
      </c>
      <c r="EM7" s="747" t="n">
        <v>24600</v>
      </c>
      <c r="EN7" s="747" t="n">
        <v>24700</v>
      </c>
      <c r="EO7" s="747" t="n">
        <v>24900</v>
      </c>
      <c r="EP7" s="747" t="n">
        <v>25000</v>
      </c>
      <c r="EQ7" s="747" t="n">
        <v>25100</v>
      </c>
      <c r="ER7" s="747" t="n">
        <v>25200</v>
      </c>
      <c r="ES7" s="747" t="n">
        <v>25300</v>
      </c>
      <c r="ET7" s="747" t="n">
        <v>25400</v>
      </c>
      <c r="EU7" s="747" t="n">
        <v>25500</v>
      </c>
      <c r="EV7" s="747" t="n">
        <v>25600</v>
      </c>
      <c r="EW7" s="747" t="n">
        <v>25900</v>
      </c>
      <c r="EX7" s="747" t="n">
        <v>26000</v>
      </c>
      <c r="EY7" s="747" t="n">
        <v>24620</v>
      </c>
      <c r="EZ7" s="747" t="n">
        <v>26300</v>
      </c>
      <c r="FA7" s="747" t="n">
        <v>26400</v>
      </c>
      <c r="FB7" s="747" t="n">
        <v>26600</v>
      </c>
      <c r="FC7" s="747" t="n">
        <v>26700</v>
      </c>
      <c r="FD7" s="747" t="n">
        <v>30000</v>
      </c>
      <c r="FE7" s="747" t="n">
        <v>30100</v>
      </c>
      <c r="FF7" s="747" t="n">
        <v>30300</v>
      </c>
      <c r="FG7" s="747" t="n">
        <v>30425</v>
      </c>
      <c r="FH7" s="747" t="n">
        <v>30400</v>
      </c>
      <c r="FI7" s="747" t="n">
        <v>30450</v>
      </c>
      <c r="FJ7" s="747" t="n">
        <v>30800</v>
      </c>
      <c r="FK7" s="747" t="n">
        <v>31000</v>
      </c>
      <c r="FL7" s="747" t="n">
        <v>31200</v>
      </c>
      <c r="FM7" s="747" t="n">
        <v>31300</v>
      </c>
      <c r="FN7" s="747" t="n">
        <v>31400</v>
      </c>
      <c r="FO7" s="747" t="n">
        <v>31600</v>
      </c>
      <c r="FP7" s="747" t="n">
        <v>31217</v>
      </c>
      <c r="FQ7" s="747" t="n">
        <v>31800</v>
      </c>
      <c r="FR7" s="747" t="n">
        <v>31900</v>
      </c>
      <c r="FS7" s="747" t="n">
        <v>32000</v>
      </c>
      <c r="FT7" s="747" t="n">
        <v>32300</v>
      </c>
      <c r="FU7" s="747" t="n">
        <v>32400</v>
      </c>
      <c r="FV7" s="747" t="n">
        <v>32010</v>
      </c>
      <c r="FW7" s="747" t="n">
        <v>32600</v>
      </c>
      <c r="FX7" s="747" t="n">
        <v>32700</v>
      </c>
      <c r="FY7" s="747" t="n">
        <v>32020</v>
      </c>
      <c r="FZ7" s="747" t="n">
        <v>32900</v>
      </c>
      <c r="GA7" s="747" t="n">
        <v>33099</v>
      </c>
      <c r="GB7" s="747" t="n">
        <v>33199</v>
      </c>
      <c r="GC7" s="747" t="n">
        <v>33200</v>
      </c>
      <c r="GD7" s="747" t="n">
        <v>33300</v>
      </c>
      <c r="GE7" s="747" t="n">
        <v>33400</v>
      </c>
      <c r="GF7" s="747" t="n">
        <v>33700</v>
      </c>
      <c r="GG7" s="747" t="n">
        <v>33800</v>
      </c>
      <c r="GH7" s="747" t="n">
        <v>33900</v>
      </c>
      <c r="GI7" s="747" t="n">
        <v>34000</v>
      </c>
      <c r="GJ7" s="747" t="n">
        <v>34200</v>
      </c>
      <c r="GK7" s="747" t="n">
        <v>32005</v>
      </c>
      <c r="GL7" s="747" t="n">
        <v>34900</v>
      </c>
      <c r="GM7" s="747" t="n">
        <v>35000</v>
      </c>
      <c r="GN7" s="747" t="n">
        <v>36100</v>
      </c>
      <c r="GO7" s="747" t="n">
        <v>30499</v>
      </c>
      <c r="GP7" s="747" t="n">
        <v>35200</v>
      </c>
      <c r="GQ7" s="747" t="n">
        <v>34210</v>
      </c>
      <c r="GR7" s="747" t="n">
        <v>35500</v>
      </c>
      <c r="GS7" s="747" t="n">
        <v>35700</v>
      </c>
      <c r="GT7" s="747" t="n">
        <v>36000</v>
      </c>
      <c r="GU7" s="747" t="n">
        <v>35300</v>
      </c>
      <c r="GV7" s="747" t="n">
        <v>31220</v>
      </c>
      <c r="GW7" s="747" t="n">
        <v>31260</v>
      </c>
      <c r="GX7" s="747" t="n">
        <v>30500</v>
      </c>
      <c r="GY7" s="747" t="n">
        <v>31270</v>
      </c>
      <c r="GZ7" s="747" t="n">
        <v>50371</v>
      </c>
      <c r="HA7" s="747" t="n">
        <v>50372</v>
      </c>
      <c r="HB7" s="747" t="n">
        <v>50373</v>
      </c>
      <c r="HC7" s="747" t="n">
        <v>50374</v>
      </c>
      <c r="HD7" s="747" t="n">
        <v>31205</v>
      </c>
      <c r="HE7" s="747" t="n">
        <v>31210</v>
      </c>
      <c r="HF7" s="747" t="n">
        <v>31215</v>
      </c>
      <c r="HG7" s="747" t="n">
        <v>38100</v>
      </c>
      <c r="HH7" s="747" t="n">
        <v>38101</v>
      </c>
      <c r="HI7" s="747" t="n">
        <v>38106</v>
      </c>
      <c r="HJ7" s="747" t="n">
        <v>38107</v>
      </c>
      <c r="HK7" s="747" t="n">
        <v>38108</v>
      </c>
      <c r="HL7" s="747" t="n">
        <v>38109</v>
      </c>
      <c r="HM7" s="747" t="n">
        <v>38110</v>
      </c>
      <c r="HN7" s="747" t="n">
        <v>38102</v>
      </c>
      <c r="HO7" s="747" t="n">
        <v>38103</v>
      </c>
      <c r="HP7" s="747" t="n">
        <v>38104</v>
      </c>
      <c r="HQ7" s="747" t="n">
        <v>31240</v>
      </c>
      <c r="HR7" s="747" t="n">
        <v>31285</v>
      </c>
      <c r="HS7" s="747" t="n">
        <v>50399</v>
      </c>
      <c r="HT7" s="747" t="n">
        <v>40600</v>
      </c>
      <c r="HU7" s="747" t="n">
        <v>40900</v>
      </c>
      <c r="HV7" s="747" t="n">
        <v>41000</v>
      </c>
      <c r="HW7" s="747" t="n">
        <v>41200</v>
      </c>
      <c r="HX7" s="747" t="n">
        <v>41300</v>
      </c>
      <c r="HY7" s="747" t="n">
        <v>41400</v>
      </c>
      <c r="HZ7" s="747" t="n">
        <v>41500</v>
      </c>
      <c r="IA7" s="747" t="n">
        <v>41700</v>
      </c>
      <c r="IB7" s="747" t="n">
        <v>41800</v>
      </c>
      <c r="IC7" s="747" t="n">
        <v>42000</v>
      </c>
      <c r="ID7" s="747" t="n">
        <v>40424</v>
      </c>
      <c r="IE7" s="747" t="n">
        <v>40425</v>
      </c>
      <c r="IF7" s="747" t="n">
        <v>40427</v>
      </c>
      <c r="IG7" s="747" t="n">
        <v>42800</v>
      </c>
      <c r="IH7" s="747" t="n">
        <v>43100</v>
      </c>
      <c r="II7" s="747" t="n">
        <v>43200</v>
      </c>
      <c r="IJ7" s="747" t="n">
        <v>43300</v>
      </c>
      <c r="IK7" s="747" t="n">
        <v>43400</v>
      </c>
      <c r="IL7" s="747" t="n">
        <v>43500</v>
      </c>
      <c r="IM7" s="747" t="n">
        <v>43700</v>
      </c>
      <c r="IN7" s="747" t="n">
        <v>43800</v>
      </c>
      <c r="IO7" s="747" t="n">
        <v>43900</v>
      </c>
      <c r="IP7" s="747" t="n">
        <v>44000</v>
      </c>
      <c r="IQ7" s="747" t="n">
        <v>44100</v>
      </c>
      <c r="IR7" s="747" t="n">
        <v>44800</v>
      </c>
      <c r="IS7" s="747" t="n">
        <v>45110</v>
      </c>
      <c r="IT7" s="747" t="n">
        <v>45000</v>
      </c>
      <c r="IU7" s="747" t="n">
        <v>45200</v>
      </c>
      <c r="IV7" s="747" t="n">
        <v>45300</v>
      </c>
      <c r="IW7" s="747" t="n">
        <v>45400</v>
      </c>
      <c r="IX7" s="747" t="n">
        <v>45600</v>
      </c>
      <c r="IY7" s="747" t="n">
        <v>45700</v>
      </c>
      <c r="IZ7" s="747" t="n">
        <v>46000</v>
      </c>
      <c r="JA7" s="747" t="n">
        <v>46100</v>
      </c>
      <c r="JB7" s="747" t="n">
        <v>46200</v>
      </c>
      <c r="JC7" s="747" t="n">
        <v>46500</v>
      </c>
      <c r="JD7" s="747" t="n">
        <v>46600</v>
      </c>
      <c r="JE7" s="747" t="n">
        <v>46800</v>
      </c>
      <c r="JF7" s="747" t="n">
        <v>46900</v>
      </c>
      <c r="JG7" s="747" t="n">
        <v>47600</v>
      </c>
      <c r="JH7" s="747" t="n">
        <v>47900</v>
      </c>
      <c r="JI7" s="747" t="n">
        <v>48400</v>
      </c>
      <c r="JJ7" s="747" t="n">
        <v>48500</v>
      </c>
      <c r="JK7" s="747" t="n">
        <v>48600</v>
      </c>
      <c r="JL7" s="747" t="n">
        <v>48700</v>
      </c>
      <c r="JM7" s="747" t="n">
        <v>48800</v>
      </c>
      <c r="JN7" s="747" t="n">
        <v>49000</v>
      </c>
      <c r="JO7" s="747" t="n">
        <v>50260</v>
      </c>
      <c r="JP7" s="747" t="n">
        <v>50270</v>
      </c>
      <c r="JQ7" s="747" t="n">
        <v>50280</v>
      </c>
      <c r="JR7" s="747" t="n">
        <v>50290</v>
      </c>
      <c r="JS7" s="747" t="n">
        <v>50310</v>
      </c>
      <c r="JT7" s="747" t="n">
        <v>50320</v>
      </c>
      <c r="JU7" s="747" t="n">
        <v>50330</v>
      </c>
      <c r="JV7" s="747" t="n">
        <v>50340</v>
      </c>
      <c r="JW7" s="747" t="n">
        <v>50410</v>
      </c>
      <c r="JX7" s="747" t="n">
        <v>51106</v>
      </c>
      <c r="JY7" s="747" t="n">
        <v>51090</v>
      </c>
      <c r="JZ7" s="747" t="n">
        <v>51100</v>
      </c>
      <c r="KA7" s="747" t="n">
        <v>51120</v>
      </c>
      <c r="KB7" s="747" t="n">
        <v>51170</v>
      </c>
      <c r="KC7" s="747" t="n">
        <v>51180</v>
      </c>
      <c r="KD7" s="747" t="n">
        <v>51190</v>
      </c>
      <c r="KE7" s="747" t="n">
        <v>51200</v>
      </c>
      <c r="KF7" s="747" t="n">
        <v>51210</v>
      </c>
      <c r="KG7" s="747" t="n">
        <v>51220</v>
      </c>
      <c r="KH7" s="747" t="n">
        <v>51230</v>
      </c>
      <c r="KI7" s="747" t="n">
        <v>51204</v>
      </c>
      <c r="KJ7" s="747" t="n">
        <v>51205</v>
      </c>
      <c r="KK7" s="747" t="n">
        <v>52300</v>
      </c>
      <c r="KL7" s="747" t="n">
        <v>52630</v>
      </c>
      <c r="KM7" s="747" t="n">
        <v>52670</v>
      </c>
      <c r="KN7" s="747" t="n">
        <v>52730</v>
      </c>
      <c r="KO7" s="747" t="n">
        <v>52740</v>
      </c>
      <c r="KP7" s="747" t="n">
        <v>52750</v>
      </c>
      <c r="KQ7" s="747" t="n">
        <v>52760</v>
      </c>
      <c r="KR7" s="747" t="n">
        <v>52770</v>
      </c>
      <c r="KS7" s="747" t="n">
        <v>52780</v>
      </c>
      <c r="KT7" s="747" t="n">
        <v>52790</v>
      </c>
      <c r="KU7" s="747" t="n">
        <v>52800</v>
      </c>
      <c r="KV7" s="747" t="n">
        <v>52810</v>
      </c>
      <c r="KW7" s="747" t="n">
        <v>52820</v>
      </c>
      <c r="KX7" s="747" t="n">
        <v>52830</v>
      </c>
      <c r="KY7" s="747" t="n">
        <v>52840</v>
      </c>
      <c r="KZ7" s="747" t="n">
        <v>52850</v>
      </c>
      <c r="LA7" s="747" t="n">
        <v>52920</v>
      </c>
      <c r="LB7" s="747" t="n">
        <v>52930</v>
      </c>
      <c r="LC7" s="747" t="n">
        <v>53080</v>
      </c>
      <c r="LD7" s="747" t="n">
        <v>53210</v>
      </c>
      <c r="LE7" s="747" t="n">
        <v>50329</v>
      </c>
      <c r="LF7" s="747" t="n">
        <v>50339</v>
      </c>
      <c r="LG7" s="747" t="n">
        <v>53300</v>
      </c>
      <c r="LH7" s="747" t="n">
        <v>53350</v>
      </c>
      <c r="LI7" s="747" t="n">
        <v>53370</v>
      </c>
      <c r="LJ7" s="747" t="n">
        <v>53440</v>
      </c>
      <c r="LK7" s="747" t="n">
        <v>53450</v>
      </c>
      <c r="LL7" s="747" t="n">
        <v>53470</v>
      </c>
      <c r="LM7" s="747" t="n">
        <v>53490</v>
      </c>
      <c r="LN7" s="747" t="n">
        <v>53500</v>
      </c>
      <c r="LO7" s="747" t="n">
        <v>53510</v>
      </c>
      <c r="LP7" s="747" t="n">
        <v>53530</v>
      </c>
      <c r="LQ7" s="747" t="n">
        <v>53540</v>
      </c>
      <c r="LR7" s="747" t="n">
        <v>53550</v>
      </c>
      <c r="LS7" s="747" t="n">
        <v>53590</v>
      </c>
      <c r="LT7" s="747" t="n">
        <v>53670</v>
      </c>
      <c r="LU7" s="747" t="n">
        <v>53680</v>
      </c>
      <c r="LV7" s="747" t="n">
        <v>53755</v>
      </c>
      <c r="LW7" s="747" t="n">
        <v>54375</v>
      </c>
      <c r="LX7" s="747" t="n">
        <v>54377</v>
      </c>
      <c r="LY7" s="747" t="n">
        <v>54388</v>
      </c>
      <c r="LZ7" s="747" t="n">
        <v>54493</v>
      </c>
      <c r="MA7" s="747" t="n">
        <v>54494</v>
      </c>
      <c r="MB7" s="747" t="n">
        <v>54610</v>
      </c>
      <c r="MC7" s="747" t="n">
        <v>54780</v>
      </c>
      <c r="MD7" s="747" t="n">
        <v>54790</v>
      </c>
      <c r="ME7" s="747" t="n">
        <v>54920</v>
      </c>
      <c r="MF7" s="747" t="n">
        <v>54950</v>
      </c>
      <c r="MG7" s="747" t="n">
        <v>54960</v>
      </c>
      <c r="MH7" s="747" t="n">
        <v>55070</v>
      </c>
      <c r="MI7" s="747" t="n">
        <v>55080</v>
      </c>
      <c r="MJ7" s="747" t="n">
        <v>55110</v>
      </c>
      <c r="MK7" s="747" t="n">
        <v>55220</v>
      </c>
      <c r="ML7" s="747" t="n">
        <v>55270</v>
      </c>
      <c r="MM7" s="747" t="n">
        <v>55290</v>
      </c>
      <c r="MN7" s="747" t="n">
        <v>55300</v>
      </c>
      <c r="MO7" s="747" t="n">
        <v>55320</v>
      </c>
      <c r="MP7" s="747" t="n">
        <v>55360</v>
      </c>
      <c r="MQ7" s="747" t="n">
        <v>55370</v>
      </c>
      <c r="MR7" s="747" t="n">
        <v>55380</v>
      </c>
      <c r="MS7" s="747" t="n">
        <v>55400</v>
      </c>
      <c r="MT7" s="747" t="n">
        <v>55550</v>
      </c>
      <c r="MU7" s="747" t="n">
        <v>55660</v>
      </c>
      <c r="MV7" s="747" t="n">
        <v>58040</v>
      </c>
      <c r="MW7" s="747" t="n">
        <v>58080</v>
      </c>
      <c r="MX7" s="747" t="n">
        <v>58120</v>
      </c>
      <c r="MY7" s="747" t="n">
        <v>58160</v>
      </c>
      <c r="MZ7" s="747" t="n">
        <v>58170</v>
      </c>
      <c r="NA7" s="747" t="n">
        <v>58175</v>
      </c>
      <c r="NB7" s="747" t="n">
        <v>58180</v>
      </c>
      <c r="NC7" s="747" t="n">
        <v>58185</v>
      </c>
      <c r="ND7" s="747" t="n">
        <v>58189</v>
      </c>
      <c r="NE7" s="747" t="n">
        <v>58200</v>
      </c>
      <c r="NF7" s="747" t="n">
        <v>58209</v>
      </c>
      <c r="NG7" s="747" t="n">
        <v>58210</v>
      </c>
      <c r="NH7" s="747" t="n">
        <v>58220</v>
      </c>
      <c r="NI7" s="747" t="n">
        <v>58229</v>
      </c>
      <c r="NJ7" s="747" t="n">
        <v>58230</v>
      </c>
      <c r="NK7" s="747" t="n">
        <v>58240</v>
      </c>
      <c r="NL7" s="747" t="n">
        <v>58280</v>
      </c>
      <c r="NM7" s="747" t="n">
        <v>58300</v>
      </c>
      <c r="NN7" s="747" t="n">
        <v>58305</v>
      </c>
      <c r="NO7" s="747" t="n">
        <v>58310</v>
      </c>
      <c r="NP7" s="747" t="n">
        <v>58315</v>
      </c>
      <c r="NQ7" s="747" t="n">
        <v>58316</v>
      </c>
      <c r="NR7" s="747" t="n">
        <v>58320</v>
      </c>
      <c r="NS7" s="747" t="n">
        <v>58325</v>
      </c>
      <c r="NT7" s="747" t="n">
        <v>58326</v>
      </c>
      <c r="NU7" s="747" t="n">
        <v>58330</v>
      </c>
      <c r="NV7" s="747" t="n">
        <v>58357</v>
      </c>
      <c r="NW7" s="747" t="n">
        <v>58360</v>
      </c>
      <c r="NX7" s="747" t="n">
        <v>58400</v>
      </c>
      <c r="NY7" s="747" t="n">
        <v>58440</v>
      </c>
      <c r="NZ7" s="747" t="n">
        <v>58480</v>
      </c>
      <c r="OA7" s="747" t="n">
        <v>58500</v>
      </c>
      <c r="OB7" s="747" t="n">
        <v>58520</v>
      </c>
      <c r="OC7" s="747" t="n">
        <v>58560</v>
      </c>
      <c r="OD7" s="747" t="n">
        <v>58560</v>
      </c>
      <c r="OE7" s="747" t="n">
        <v>58560</v>
      </c>
      <c r="OF7" s="747" t="n">
        <v>58600</v>
      </c>
      <c r="OG7" s="747" t="n">
        <v>58600</v>
      </c>
      <c r="OH7" s="747" t="n">
        <v>58600</v>
      </c>
      <c r="OI7" s="747" t="n">
        <v>58640</v>
      </c>
      <c r="OJ7" s="747" t="n">
        <v>58689</v>
      </c>
      <c r="OK7" s="747" t="n">
        <v>58729</v>
      </c>
      <c r="OL7" s="747" t="n">
        <v>58750</v>
      </c>
      <c r="OM7" s="747" t="n">
        <v>58769</v>
      </c>
      <c r="ON7" s="747" t="n">
        <v>58800</v>
      </c>
      <c r="OO7" s="747" t="n">
        <v>58810</v>
      </c>
      <c r="OP7" s="747" t="n">
        <v>58820</v>
      </c>
      <c r="OQ7" s="747" t="n">
        <v>58830</v>
      </c>
      <c r="OR7" s="747" t="n">
        <v>58840</v>
      </c>
      <c r="OS7" s="747" t="n">
        <v>58840</v>
      </c>
      <c r="OT7" s="747" t="n">
        <v>58969</v>
      </c>
      <c r="OU7" s="747" t="n">
        <v>58970</v>
      </c>
      <c r="OV7" s="747" t="n">
        <v>58980</v>
      </c>
      <c r="OW7" s="747" t="n">
        <v>59000</v>
      </c>
      <c r="OX7" s="747" t="n">
        <v>59010</v>
      </c>
      <c r="OY7" s="747" t="n">
        <v>59020</v>
      </c>
      <c r="OZ7" s="747" t="n">
        <v>59030</v>
      </c>
      <c r="PA7" s="747" t="n">
        <v>59040</v>
      </c>
      <c r="PB7" s="747" t="n">
        <v>59050</v>
      </c>
      <c r="PC7" s="747" t="n">
        <v>59070</v>
      </c>
      <c r="PD7" s="747" t="n">
        <v>59090</v>
      </c>
      <c r="PE7" s="747" t="n">
        <v>59090</v>
      </c>
      <c r="PF7" s="747" t="n">
        <v>59090</v>
      </c>
      <c r="PG7" s="747" t="n">
        <v>59120</v>
      </c>
      <c r="PH7" s="747" t="n">
        <v>59140</v>
      </c>
      <c r="PI7" s="747" t="n">
        <v>59141</v>
      </c>
      <c r="PJ7" s="747" t="n">
        <v>59160</v>
      </c>
      <c r="PK7" s="747" t="n">
        <v>59160</v>
      </c>
      <c r="PL7" s="747" t="n">
        <v>59180</v>
      </c>
      <c r="PM7" s="747" t="n">
        <v>59180</v>
      </c>
      <c r="PN7" s="747" t="n">
        <v>59200</v>
      </c>
      <c r="PO7" s="747" t="n">
        <v>59200</v>
      </c>
      <c r="PP7" s="747" t="n">
        <v>59200</v>
      </c>
      <c r="PQ7" s="747" t="n">
        <v>59200</v>
      </c>
      <c r="PR7" s="747" t="n">
        <v>59310</v>
      </c>
      <c r="PS7" s="747" t="n">
        <v>59320</v>
      </c>
      <c r="PT7" s="747" t="n">
        <v>59330</v>
      </c>
      <c r="PU7" s="747" t="n">
        <v>59340</v>
      </c>
      <c r="PV7" s="747" t="n">
        <v>59360</v>
      </c>
      <c r="PW7" s="747" t="n">
        <v>59370</v>
      </c>
      <c r="PX7" s="747" t="n">
        <v>59430</v>
      </c>
      <c r="PY7" s="747" t="n">
        <v>59440</v>
      </c>
      <c r="PZ7" s="747" t="n">
        <v>59450</v>
      </c>
      <c r="QA7" s="747" t="n">
        <v>59460</v>
      </c>
      <c r="QB7" s="747" t="n">
        <v>59470</v>
      </c>
      <c r="QC7" s="747" t="n">
        <v>59700</v>
      </c>
      <c r="QD7" s="747" t="n">
        <v>59710</v>
      </c>
      <c r="QE7" s="747" t="n">
        <v>59720</v>
      </c>
      <c r="QF7" s="747" t="n">
        <v>59730</v>
      </c>
      <c r="QG7" s="747" t="n">
        <v>59740</v>
      </c>
      <c r="QH7" s="747" t="n">
        <v>59750</v>
      </c>
      <c r="QI7" s="747" t="n">
        <v>59760</v>
      </c>
      <c r="QJ7" s="747" t="n">
        <v>59770</v>
      </c>
      <c r="QK7" s="747" t="n">
        <v>59780</v>
      </c>
      <c r="QL7" s="747" t="n">
        <v>60030</v>
      </c>
      <c r="QM7" s="747" t="n">
        <v>60070</v>
      </c>
      <c r="QN7" s="747" t="n">
        <v>60100</v>
      </c>
      <c r="QO7" s="747" t="n">
        <v>60101</v>
      </c>
      <c r="QP7" s="747" t="n">
        <v>60102</v>
      </c>
      <c r="QQ7" s="747" t="n">
        <v>60103</v>
      </c>
      <c r="QR7" s="747" t="n">
        <v>60104</v>
      </c>
      <c r="QS7" s="747" t="n">
        <v>60330</v>
      </c>
      <c r="QT7" s="747" t="n">
        <v>60350</v>
      </c>
      <c r="QU7" s="747" t="n">
        <v>60360</v>
      </c>
      <c r="QV7" s="747" t="n">
        <v>60400</v>
      </c>
      <c r="QW7" s="747" t="n">
        <v>60450</v>
      </c>
      <c r="QX7" s="747" t="n">
        <v>60470</v>
      </c>
      <c r="QY7" s="747" t="n">
        <v>60480</v>
      </c>
      <c r="QZ7" s="747" t="n">
        <v>60490</v>
      </c>
      <c r="RA7" s="747" t="n">
        <v>60495</v>
      </c>
      <c r="RB7" s="747" t="n">
        <v>60510</v>
      </c>
      <c r="RC7" s="747" t="n">
        <v>60530</v>
      </c>
      <c r="RD7" s="747" t="n">
        <v>60550</v>
      </c>
      <c r="RE7" s="747" t="n">
        <v>60560</v>
      </c>
      <c r="RF7" s="747" t="n">
        <v>60570</v>
      </c>
      <c r="RG7" s="747" t="n">
        <v>60700</v>
      </c>
      <c r="RH7" s="747" t="n">
        <v>60710</v>
      </c>
      <c r="RI7" s="747" t="n">
        <v>60720</v>
      </c>
      <c r="RJ7" s="747" t="n">
        <v>60740</v>
      </c>
      <c r="RK7" s="747" t="n">
        <v>60760</v>
      </c>
      <c r="RL7" s="747" t="n">
        <v>60800</v>
      </c>
      <c r="RM7" s="747" t="n">
        <v>60830</v>
      </c>
      <c r="RN7" s="747" t="n">
        <v>60835</v>
      </c>
      <c r="RO7" s="747" t="n">
        <v>60850</v>
      </c>
      <c r="RP7" s="747" t="n">
        <v>60855</v>
      </c>
      <c r="RQ7" s="747" t="n">
        <v>60860</v>
      </c>
      <c r="RR7" s="747" t="n">
        <v>60890</v>
      </c>
      <c r="RS7" s="747" t="n">
        <v>60900</v>
      </c>
      <c r="RT7" s="747" t="n">
        <v>60920</v>
      </c>
      <c r="RU7" s="747" t="n">
        <v>60940</v>
      </c>
      <c r="RV7" s="747" t="n">
        <v>60950</v>
      </c>
      <c r="RW7" s="747" t="n">
        <v>60969</v>
      </c>
      <c r="RX7" s="747" t="n">
        <v>60970</v>
      </c>
      <c r="RY7" s="747" t="n">
        <v>60970</v>
      </c>
      <c r="RZ7" s="747" t="n">
        <v>60999</v>
      </c>
      <c r="SA7" s="747" t="n">
        <v>60999</v>
      </c>
      <c r="SB7" s="747" t="n">
        <v>61020</v>
      </c>
      <c r="SC7" s="747" t="n">
        <v>61040</v>
      </c>
      <c r="SD7" s="747" t="n">
        <v>61050</v>
      </c>
      <c r="SE7" s="747" t="n">
        <v>61060</v>
      </c>
      <c r="SF7" s="747" t="n">
        <v>61070</v>
      </c>
      <c r="SG7" s="747" t="n">
        <v>61080</v>
      </c>
      <c r="SH7" s="747" t="n">
        <v>61100</v>
      </c>
      <c r="SI7" s="747" t="n">
        <v>61120</v>
      </c>
      <c r="SJ7" s="747" t="n">
        <v>61120</v>
      </c>
      <c r="SK7" s="747" t="n">
        <v>61140</v>
      </c>
      <c r="SL7" s="747" t="n">
        <v>61140</v>
      </c>
      <c r="SM7" s="747" t="n">
        <v>61160</v>
      </c>
      <c r="SN7" s="747" t="n">
        <v>61170</v>
      </c>
      <c r="SO7" s="747" t="n">
        <v>61200</v>
      </c>
      <c r="SP7" s="747" t="n">
        <v>61210</v>
      </c>
      <c r="SQ7" s="747" t="n">
        <v>61220</v>
      </c>
      <c r="SR7" s="747" t="n">
        <v>61230</v>
      </c>
      <c r="SS7" s="747" t="n">
        <v>61240</v>
      </c>
      <c r="ST7" s="747" t="n">
        <v>61250</v>
      </c>
      <c r="SU7" s="747" t="n">
        <v>61255</v>
      </c>
      <c r="SV7" s="747" t="n">
        <v>61260</v>
      </c>
      <c r="SW7" s="747" t="n">
        <v>61268</v>
      </c>
      <c r="SX7" s="747" t="n">
        <v>61310</v>
      </c>
      <c r="SY7" s="747" t="n">
        <v>61340</v>
      </c>
      <c r="SZ7" s="747" t="n">
        <v>61380</v>
      </c>
      <c r="TA7" s="747" t="n">
        <v>61390</v>
      </c>
      <c r="TB7" s="747" t="n">
        <v>61430</v>
      </c>
      <c r="TC7" s="747" t="n">
        <v>61470</v>
      </c>
      <c r="TD7" s="747" t="n">
        <v>61480</v>
      </c>
      <c r="TE7" s="747" t="n">
        <v>61484</v>
      </c>
      <c r="TF7" s="747" t="n">
        <v>61490</v>
      </c>
      <c r="TG7" s="747" t="n">
        <v>61499</v>
      </c>
      <c r="TH7" s="747" t="n">
        <v>61500</v>
      </c>
      <c r="TI7" s="747" t="n">
        <v>61510</v>
      </c>
      <c r="TJ7" s="747" t="n">
        <v>61520</v>
      </c>
      <c r="TK7" s="747" t="n">
        <v>61540</v>
      </c>
      <c r="TL7" s="747" t="n">
        <v>61550</v>
      </c>
      <c r="TM7" s="747" t="n">
        <v>61560</v>
      </c>
      <c r="TN7" s="747" t="n">
        <v>61570</v>
      </c>
      <c r="TO7" s="747" t="n">
        <v>61580</v>
      </c>
      <c r="TP7" s="747" t="n">
        <v>61590</v>
      </c>
      <c r="TQ7" s="747" t="n">
        <v>61670</v>
      </c>
      <c r="TR7" s="747" t="n">
        <v>61690</v>
      </c>
      <c r="TS7" s="747" t="n">
        <v>61700</v>
      </c>
      <c r="TT7" s="747" t="n">
        <v>61710</v>
      </c>
      <c r="TU7" s="747" t="n">
        <v>61720</v>
      </c>
      <c r="TV7" s="747" t="n">
        <v>61740</v>
      </c>
      <c r="TW7" s="747" t="n">
        <v>61750</v>
      </c>
      <c r="TX7" s="747" t="n">
        <v>61770</v>
      </c>
      <c r="TY7" s="747" t="n">
        <v>61780</v>
      </c>
      <c r="TZ7" s="747" t="n">
        <v>61790</v>
      </c>
      <c r="UA7" s="747" t="n">
        <v>61794</v>
      </c>
      <c r="UB7" s="747" t="n">
        <v>61800</v>
      </c>
      <c r="UC7" s="747" t="n">
        <v>61820</v>
      </c>
      <c r="UD7" s="747" t="n">
        <v>61830</v>
      </c>
      <c r="UE7" s="747" t="n">
        <v>61840</v>
      </c>
      <c r="UF7" s="747" t="n">
        <v>61850</v>
      </c>
      <c r="UG7" s="747" t="n">
        <v>61860</v>
      </c>
      <c r="UH7" s="747" t="n">
        <v>61870</v>
      </c>
      <c r="UI7" s="747" t="n">
        <v>61880</v>
      </c>
      <c r="UJ7" s="747" t="n">
        <v>61890</v>
      </c>
      <c r="UK7" s="747" t="n">
        <v>61950</v>
      </c>
      <c r="UL7" s="747" t="n">
        <v>61970</v>
      </c>
      <c r="UM7" s="747" t="n">
        <v>61990</v>
      </c>
      <c r="UN7" s="747" t="n">
        <v>62100</v>
      </c>
      <c r="UO7" s="747" t="n">
        <v>62150</v>
      </c>
      <c r="UP7" s="747" t="n">
        <v>62150</v>
      </c>
      <c r="UQ7" s="747" t="n">
        <v>62180</v>
      </c>
      <c r="UR7" s="747" t="n">
        <v>62200</v>
      </c>
      <c r="US7" s="747" t="n">
        <v>62201</v>
      </c>
      <c r="UT7" s="747" t="n">
        <v>62202</v>
      </c>
      <c r="UU7" s="747" t="n">
        <v>62203</v>
      </c>
      <c r="UV7" s="747" t="n">
        <v>62290</v>
      </c>
      <c r="UW7" s="747" t="n">
        <v>62400</v>
      </c>
      <c r="UX7" s="747" t="n">
        <v>62450</v>
      </c>
      <c r="UY7" s="747" t="n">
        <v>62460</v>
      </c>
      <c r="UZ7" s="747" t="n">
        <v>62470</v>
      </c>
      <c r="VA7" s="747" t="n">
        <v>62480</v>
      </c>
      <c r="VB7" s="747" t="n">
        <v>62490</v>
      </c>
      <c r="VC7" s="747" t="n">
        <v>62510</v>
      </c>
      <c r="VD7" s="747" t="n">
        <v>62550</v>
      </c>
      <c r="VE7" s="747" t="n">
        <v>63100</v>
      </c>
      <c r="VF7" s="747" t="n">
        <v>63110</v>
      </c>
      <c r="VG7" s="747" t="n">
        <v>63220</v>
      </c>
      <c r="VH7" s="747" t="n">
        <v>63255</v>
      </c>
      <c r="VI7" s="747" t="n">
        <v>63260</v>
      </c>
      <c r="VJ7" s="747" t="n">
        <v>63265</v>
      </c>
      <c r="VK7" s="747" t="n">
        <v>63270</v>
      </c>
      <c r="VL7" s="747" t="n">
        <v>63280</v>
      </c>
      <c r="VM7" s="747" t="n">
        <v>63300</v>
      </c>
      <c r="VN7" s="747" t="n">
        <v>63360</v>
      </c>
      <c r="VO7" s="747" t="n">
        <v>63370</v>
      </c>
      <c r="VP7" s="747" t="n">
        <v>63380</v>
      </c>
      <c r="VQ7" s="747" t="n">
        <v>63390</v>
      </c>
      <c r="VR7" s="747" t="n">
        <v>63400</v>
      </c>
      <c r="VS7" s="747" t="n">
        <v>63410</v>
      </c>
      <c r="VT7" s="747" t="n">
        <v>63420</v>
      </c>
      <c r="VU7" s="747" t="n">
        <v>63430</v>
      </c>
      <c r="VV7" s="747" t="n">
        <v>63440</v>
      </c>
      <c r="VW7" s="747" t="n">
        <v>63450</v>
      </c>
      <c r="VX7" s="747" t="n">
        <v>63460</v>
      </c>
      <c r="VY7" s="747" t="n">
        <v>63470</v>
      </c>
      <c r="VZ7" s="747" t="n">
        <v>63480</v>
      </c>
      <c r="WA7" s="747" t="n">
        <v>63490</v>
      </c>
      <c r="WB7" s="747" t="n">
        <v>63500</v>
      </c>
      <c r="WC7" s="747" t="n">
        <v>63510</v>
      </c>
      <c r="WD7" s="747" t="n">
        <v>63554</v>
      </c>
      <c r="WE7" s="747" t="n">
        <v>63557</v>
      </c>
      <c r="WF7" s="747" t="n">
        <v>63600</v>
      </c>
      <c r="WG7" s="747" t="n">
        <v>63601</v>
      </c>
      <c r="WH7" s="747" t="n">
        <v>63602</v>
      </c>
      <c r="WI7" s="747" t="n">
        <v>63603</v>
      </c>
      <c r="WJ7" s="747" t="n">
        <v>63640</v>
      </c>
      <c r="WK7" s="747" t="n">
        <v>63710</v>
      </c>
      <c r="WL7" s="747" t="n">
        <v>63790</v>
      </c>
      <c r="WM7" s="747" t="n">
        <v>63800</v>
      </c>
      <c r="WN7" s="747" t="n">
        <v>63810</v>
      </c>
      <c r="WO7" s="747" t="n">
        <v>63811</v>
      </c>
      <c r="WP7" s="747" t="n">
        <v>63812</v>
      </c>
      <c r="WQ7" s="747" t="n">
        <v>63813</v>
      </c>
      <c r="WR7" s="747" t="n">
        <v>63830</v>
      </c>
      <c r="WS7" s="747" t="n">
        <v>63831</v>
      </c>
      <c r="WT7" s="747" t="n">
        <v>63832</v>
      </c>
      <c r="WU7" s="747" t="n">
        <v>63833</v>
      </c>
      <c r="WV7" s="747" t="n">
        <v>63840</v>
      </c>
      <c r="WW7" s="747" t="n">
        <v>63850</v>
      </c>
      <c r="WX7" s="747" t="n">
        <v>63860</v>
      </c>
      <c r="WY7" s="747" t="n">
        <v>63940</v>
      </c>
      <c r="WZ7" s="747" t="n">
        <v>63990</v>
      </c>
      <c r="XA7" s="747" t="n">
        <v>63991</v>
      </c>
      <c r="XB7" s="747" t="n">
        <v>64850</v>
      </c>
      <c r="XC7" s="747" t="n">
        <v>64857</v>
      </c>
      <c r="XD7" s="747" t="n">
        <v>64860</v>
      </c>
      <c r="XE7" s="747" t="n">
        <v>65210</v>
      </c>
      <c r="XF7" s="747" t="n">
        <v>65220</v>
      </c>
      <c r="XG7" s="747" t="n">
        <v>66250</v>
      </c>
      <c r="XH7" s="747" t="n">
        <v>66260</v>
      </c>
      <c r="XI7" s="747" t="n">
        <v>66270</v>
      </c>
      <c r="XJ7" s="747" t="n">
        <v>66300</v>
      </c>
      <c r="XK7" s="747" t="n">
        <v>66310</v>
      </c>
      <c r="XL7" s="747" t="n">
        <v>66320</v>
      </c>
      <c r="XM7" s="747" t="n">
        <v>66360</v>
      </c>
      <c r="XN7" s="747" t="n">
        <v>66370</v>
      </c>
      <c r="XO7" s="747" t="n">
        <v>66380</v>
      </c>
      <c r="XP7" s="747" t="n">
        <v>66420</v>
      </c>
      <c r="XQ7" s="747" t="n">
        <v>66430</v>
      </c>
      <c r="XR7" s="747" t="n">
        <v>66440</v>
      </c>
      <c r="XS7" s="747" t="n">
        <v>66480</v>
      </c>
      <c r="XT7" s="747" t="n">
        <v>66490</v>
      </c>
      <c r="XU7" s="747" t="n">
        <v>66500</v>
      </c>
      <c r="XV7" s="747" t="n">
        <v>66815</v>
      </c>
      <c r="XW7" s="747" t="n">
        <v>66840</v>
      </c>
      <c r="XX7" s="747" t="n">
        <v>66843</v>
      </c>
      <c r="XY7" s="747" t="n">
        <v>66844</v>
      </c>
      <c r="XZ7" s="747" t="n">
        <v>66848</v>
      </c>
      <c r="YA7" s="747" t="n">
        <v>66850</v>
      </c>
      <c r="YB7" s="747" t="n">
        <v>66883</v>
      </c>
      <c r="YC7" s="747" t="n">
        <v>66905</v>
      </c>
      <c r="YD7" s="747" t="n">
        <v>66910</v>
      </c>
      <c r="YE7" s="747" t="n">
        <v>66920</v>
      </c>
      <c r="YF7" s="747" t="n">
        <v>66960</v>
      </c>
      <c r="YG7" s="747" t="n">
        <v>66990</v>
      </c>
      <c r="YH7" s="747" t="n">
        <v>67030</v>
      </c>
      <c r="YI7" s="747" t="n">
        <v>67060</v>
      </c>
      <c r="YJ7" s="747" t="n">
        <v>67120</v>
      </c>
      <c r="YK7" s="747" t="n">
        <v>67130</v>
      </c>
      <c r="YL7" s="747" t="n">
        <v>67135</v>
      </c>
      <c r="YM7" s="747" t="n">
        <v>67140</v>
      </c>
      <c r="YN7" s="747" t="n">
        <v>67170</v>
      </c>
      <c r="YO7" s="747" t="n">
        <v>67180</v>
      </c>
      <c r="YP7" s="747" t="n">
        <v>67190</v>
      </c>
      <c r="YQ7" s="747" t="n">
        <v>67193</v>
      </c>
      <c r="YR7" s="747" t="n">
        <v>67195</v>
      </c>
      <c r="YS7" s="747" t="n">
        <v>67197</v>
      </c>
      <c r="YT7" s="747" t="n">
        <v>67200</v>
      </c>
      <c r="YU7" s="747" t="n">
        <v>67210</v>
      </c>
      <c r="YV7" s="747" t="n">
        <v>67220</v>
      </c>
      <c r="YW7" s="747" t="n">
        <v>67490</v>
      </c>
      <c r="YX7" s="747" t="n">
        <v>67507</v>
      </c>
      <c r="YY7" s="747" t="n">
        <v>67520</v>
      </c>
      <c r="YZ7" s="747" t="n">
        <v>67529</v>
      </c>
      <c r="ZA7" s="747" t="n">
        <v>67540</v>
      </c>
      <c r="ZB7" s="747" t="n">
        <v>67560</v>
      </c>
      <c r="ZC7" s="747" t="n">
        <v>67650</v>
      </c>
      <c r="ZD7" s="747" t="n">
        <v>67820</v>
      </c>
      <c r="ZE7" s="747" t="n">
        <v>67830</v>
      </c>
      <c r="ZF7" s="747" t="n">
        <v>67840</v>
      </c>
      <c r="ZG7" s="747" t="n">
        <v>67860</v>
      </c>
      <c r="ZH7" s="747" t="n">
        <v>67870</v>
      </c>
      <c r="ZI7" s="747" t="n">
        <v>67880</v>
      </c>
      <c r="ZJ7" s="747" t="n">
        <v>67890</v>
      </c>
      <c r="ZK7" s="747" t="n">
        <v>67910</v>
      </c>
      <c r="ZL7" s="747" t="n">
        <v>67914</v>
      </c>
      <c r="ZM7" s="747" t="n">
        <v>67918</v>
      </c>
      <c r="ZN7" s="747" t="n">
        <v>67920</v>
      </c>
      <c r="ZO7" s="747" t="n">
        <v>67930</v>
      </c>
      <c r="ZP7" s="747" t="n">
        <v>67950</v>
      </c>
      <c r="ZQ7" s="747" t="n">
        <v>67954</v>
      </c>
      <c r="ZR7" s="747" t="n">
        <v>67960</v>
      </c>
      <c r="ZS7" s="747" t="n">
        <v>67980</v>
      </c>
      <c r="ZT7" s="747" t="n">
        <v>67990</v>
      </c>
      <c r="ZU7" s="747" t="n">
        <v>68020</v>
      </c>
      <c r="ZV7" s="747" t="n">
        <v>68025</v>
      </c>
      <c r="ZW7" s="747" t="n">
        <v>68026</v>
      </c>
      <c r="ZX7" s="747" t="n">
        <v>68030</v>
      </c>
      <c r="ZY7" s="747" t="n">
        <v>68040</v>
      </c>
      <c r="ZZ7" s="747" t="n">
        <v>68050</v>
      </c>
      <c r="AAA7" s="747" t="n">
        <v>68080</v>
      </c>
      <c r="AAB7" s="747" t="n">
        <v>68100</v>
      </c>
      <c r="AAC7" s="747" t="n">
        <v>68110</v>
      </c>
      <c r="AAD7" s="747" t="n">
        <v>68140</v>
      </c>
      <c r="AAE7" s="747" t="n">
        <v>68150</v>
      </c>
      <c r="AAF7" s="747" t="n">
        <v>68200</v>
      </c>
      <c r="AAG7" s="747" t="n">
        <v>68210</v>
      </c>
      <c r="AAH7" s="747" t="n">
        <v>68220</v>
      </c>
      <c r="AAI7" s="747" t="n">
        <v>68230</v>
      </c>
      <c r="AAJ7" s="747" t="n">
        <v>68240</v>
      </c>
      <c r="AAK7" s="747" t="n">
        <v>68250</v>
      </c>
      <c r="AAL7" s="747" t="n">
        <v>68270</v>
      </c>
      <c r="AAM7" s="747" t="n">
        <v>68280</v>
      </c>
      <c r="AAN7" s="747" t="n">
        <v>68330</v>
      </c>
      <c r="AAO7" s="747" t="n">
        <v>68340</v>
      </c>
      <c r="AAP7" s="747" t="n">
        <v>68360</v>
      </c>
      <c r="AAQ7" s="747" t="n">
        <v>68370</v>
      </c>
      <c r="AAR7" s="747" t="n">
        <v>68380</v>
      </c>
      <c r="AAS7" s="747" t="n">
        <v>68800</v>
      </c>
      <c r="AAT7" s="747" t="n">
        <v>68810</v>
      </c>
      <c r="AAU7" s="747" t="n">
        <v>68820</v>
      </c>
      <c r="AAV7" s="747" t="n">
        <v>68830</v>
      </c>
      <c r="AAW7" s="747" t="n">
        <v>68840</v>
      </c>
      <c r="AAX7" s="747" t="n">
        <v>68850</v>
      </c>
      <c r="AAY7" s="747" t="n">
        <v>10019</v>
      </c>
      <c r="AAZ7" s="747" t="n">
        <v>10026</v>
      </c>
      <c r="ABA7" s="747" t="n">
        <v>59350</v>
      </c>
      <c r="ABB7" s="747" t="n">
        <v>60489</v>
      </c>
      <c r="ABC7" s="747" t="n">
        <v>60491</v>
      </c>
      <c r="ABD7" s="747" t="n">
        <v>60496</v>
      </c>
      <c r="ABE7" s="747" t="n">
        <v>62140</v>
      </c>
      <c r="ABF7" s="747" t="n">
        <v>62250</v>
      </c>
      <c r="ABG7" s="747" t="n">
        <v>62300</v>
      </c>
      <c r="ABH7" s="747" t="n">
        <v>63045</v>
      </c>
      <c r="ABI7" s="747" t="n">
        <v>63047</v>
      </c>
      <c r="ABJ7" s="747" t="n">
        <v>63050</v>
      </c>
      <c r="ABK7" s="747" t="n">
        <v>63855</v>
      </c>
      <c r="ABL7" s="747" t="n">
        <v>10105</v>
      </c>
      <c r="ABM7" s="747" t="n">
        <v>11905</v>
      </c>
      <c r="ABN7" s="747" t="n">
        <v>13010</v>
      </c>
      <c r="ABO7" s="747" t="n">
        <v>22215</v>
      </c>
      <c r="ABP7" s="747" t="n">
        <v>32001</v>
      </c>
      <c r="ABQ7" s="747" t="n">
        <v>38105</v>
      </c>
      <c r="ABR7" s="747" t="inlineStr">
        <is>
          <t>Tax Year Filed</t>
        </is>
      </c>
      <c r="ABS7" s="747" t="inlineStr">
        <is>
          <t>Taxing Province</t>
        </is>
      </c>
      <c r="ABT7" s="747" t="inlineStr">
        <is>
          <t>Marital Status</t>
        </is>
      </c>
      <c r="ABU7" s="747" t="inlineStr">
        <is>
          <t>Balance before penalty and interest</t>
        </is>
      </c>
      <c r="ABV7" s="747" t="inlineStr">
        <is>
          <t>Balance before penalty and interest</t>
        </is>
      </c>
      <c r="ABW7" s="747" t="inlineStr">
        <is>
          <t>Final balance</t>
        </is>
      </c>
      <c r="ABX7" s="747" t="inlineStr">
        <is>
          <t>Basic federal tax</t>
        </is>
      </c>
      <c r="ABY7" s="747" t="inlineStr">
        <is>
          <t>Basic provincial or territorial tax</t>
        </is>
      </c>
      <c r="ABZ7" s="747" t="inlineStr">
        <is>
          <t>Ontario Health Premium</t>
        </is>
      </c>
      <c r="ACA7" s="747" t="n">
        <v>10100</v>
      </c>
      <c r="ACB7" s="747" t="n">
        <v>10120</v>
      </c>
      <c r="ACC7" s="747" t="n">
        <v>10130</v>
      </c>
      <c r="ACD7" s="747" t="n">
        <v>10400</v>
      </c>
      <c r="ACE7" s="747" t="n">
        <v>10699</v>
      </c>
      <c r="ACF7" s="747" t="n">
        <v>10700</v>
      </c>
      <c r="ACG7" s="747" t="n">
        <v>10999</v>
      </c>
      <c r="ACH7" s="747" t="n">
        <v>11000</v>
      </c>
      <c r="ACI7" s="747" t="n">
        <v>11300</v>
      </c>
      <c r="ACJ7" s="747" t="n">
        <v>11400</v>
      </c>
      <c r="ACK7" s="747" t="n">
        <v>11500</v>
      </c>
      <c r="ACL7" s="747" t="n">
        <v>11600</v>
      </c>
      <c r="ACM7" s="747" t="n">
        <v>11700</v>
      </c>
      <c r="ACN7" s="747" t="n">
        <v>11900</v>
      </c>
      <c r="ACO7" s="747" t="n">
        <v>12000</v>
      </c>
      <c r="ACP7" s="747" t="n">
        <v>12100</v>
      </c>
      <c r="ACQ7" s="747" t="n">
        <v>12200</v>
      </c>
      <c r="ACR7" s="747" t="n">
        <v>12399</v>
      </c>
      <c r="ACS7" s="747" t="n">
        <v>12400</v>
      </c>
      <c r="ACT7" s="747" t="n">
        <v>12500</v>
      </c>
      <c r="ACU7" s="747" t="n">
        <v>12600</v>
      </c>
      <c r="ACV7" s="747" t="n">
        <v>12700</v>
      </c>
      <c r="ACW7" s="747" t="n">
        <v>12800</v>
      </c>
      <c r="ACX7" s="747" t="n">
        <v>12900</v>
      </c>
      <c r="ACY7" s="747" t="n">
        <v>13000</v>
      </c>
      <c r="ACZ7" s="747" t="n">
        <v>13199</v>
      </c>
      <c r="ADA7" s="747" t="n">
        <v>13200</v>
      </c>
      <c r="ADB7" s="747" t="n">
        <v>13500</v>
      </c>
      <c r="ADC7" s="747" t="n">
        <v>13599</v>
      </c>
      <c r="ADD7" s="747" t="n">
        <v>13700</v>
      </c>
      <c r="ADE7" s="747" t="n">
        <v>13800</v>
      </c>
      <c r="ADF7" s="747" t="n">
        <v>13900</v>
      </c>
      <c r="ADG7" s="747" t="n">
        <v>14100</v>
      </c>
      <c r="ADH7" s="747" t="n">
        <v>14300</v>
      </c>
      <c r="ADI7" s="747" t="n">
        <v>14400</v>
      </c>
      <c r="ADJ7" s="747" t="n">
        <v>14500</v>
      </c>
      <c r="ADK7" s="747" t="n">
        <v>14600</v>
      </c>
      <c r="ADL7" s="747" t="n">
        <v>15000</v>
      </c>
      <c r="ADM7" s="747" t="n">
        <v>15199</v>
      </c>
      <c r="ADN7" s="747" t="n">
        <v>11410</v>
      </c>
      <c r="ADO7" s="747" t="n">
        <v>15300</v>
      </c>
      <c r="ADP7" s="747" t="n">
        <v>15499</v>
      </c>
      <c r="ADQ7" s="747" t="n">
        <v>15500</v>
      </c>
      <c r="ADR7" s="747" t="n">
        <v>12799</v>
      </c>
      <c r="ADS7" s="747" t="n">
        <v>15800</v>
      </c>
      <c r="ADT7" s="747" t="n">
        <v>15900</v>
      </c>
      <c r="ADU7" s="747" t="n">
        <v>12599</v>
      </c>
      <c r="ADV7" s="747" t="n">
        <v>16100</v>
      </c>
      <c r="ADW7" s="747" t="n">
        <v>13499</v>
      </c>
      <c r="ADX7" s="747" t="n">
        <v>13699</v>
      </c>
      <c r="ADY7" s="747" t="n">
        <v>13899</v>
      </c>
      <c r="ADZ7" s="747" t="n">
        <v>14099</v>
      </c>
      <c r="AEA7" s="747" t="n">
        <v>14299</v>
      </c>
      <c r="AEB7" s="747" t="n">
        <v>17400</v>
      </c>
      <c r="AEC7" s="747" t="n">
        <v>17600</v>
      </c>
      <c r="AED7" s="747" t="n">
        <v>17800</v>
      </c>
      <c r="AEE7" s="747" t="n">
        <v>17900</v>
      </c>
      <c r="AEF7" s="747" t="n">
        <v>12010</v>
      </c>
      <c r="AEG7" s="747" t="n">
        <v>11701</v>
      </c>
      <c r="AEH7" s="747" t="n">
        <v>20810</v>
      </c>
      <c r="AEI7" s="747" t="n">
        <v>20600</v>
      </c>
      <c r="AEJ7" s="747" t="n">
        <v>20700</v>
      </c>
      <c r="AEK7" s="747" t="n">
        <v>20800</v>
      </c>
      <c r="AEL7" s="747" t="n">
        <v>21000</v>
      </c>
      <c r="AEM7" s="747" t="n">
        <v>21200</v>
      </c>
      <c r="AEN7" s="747" t="n">
        <v>21300</v>
      </c>
      <c r="AEO7" s="747" t="n">
        <v>21400</v>
      </c>
      <c r="AEP7" s="747" t="n">
        <v>21500</v>
      </c>
      <c r="AEQ7" s="747" t="n">
        <v>21700</v>
      </c>
      <c r="AER7" s="747" t="n">
        <v>21900</v>
      </c>
      <c r="AES7" s="747" t="n">
        <v>22000</v>
      </c>
      <c r="AET7" s="747" t="n">
        <v>22100</v>
      </c>
      <c r="AEU7" s="747" t="n">
        <v>22200</v>
      </c>
      <c r="AEV7" s="747" t="n">
        <v>22300</v>
      </c>
      <c r="AEW7" s="747" t="n">
        <v>22400</v>
      </c>
      <c r="AEX7" s="747" t="n">
        <v>21699</v>
      </c>
      <c r="AEY7" s="747" t="n">
        <v>22900</v>
      </c>
      <c r="AEZ7" s="747" t="n">
        <v>21999</v>
      </c>
      <c r="AFA7" s="747" t="n">
        <v>23100</v>
      </c>
      <c r="AFB7" s="747" t="n">
        <v>23200</v>
      </c>
      <c r="AFC7" s="747" t="n">
        <v>23500</v>
      </c>
      <c r="AFD7" s="747" t="n">
        <v>23600</v>
      </c>
      <c r="AFE7" s="747" t="n">
        <v>24640</v>
      </c>
      <c r="AFF7" s="747" t="n">
        <v>24400</v>
      </c>
      <c r="AFG7" s="747" t="n">
        <v>24500</v>
      </c>
      <c r="AFH7" s="747" t="n">
        <v>24600</v>
      </c>
      <c r="AFI7" s="747" t="n">
        <v>24700</v>
      </c>
      <c r="AFJ7" s="747" t="n">
        <v>24900</v>
      </c>
      <c r="AFK7" s="747" t="n">
        <v>25000</v>
      </c>
      <c r="AFL7" s="747" t="n">
        <v>25100</v>
      </c>
      <c r="AFM7" s="747" t="n">
        <v>25200</v>
      </c>
      <c r="AFN7" s="747" t="n">
        <v>25300</v>
      </c>
      <c r="AFO7" s="747" t="n">
        <v>25400</v>
      </c>
      <c r="AFP7" s="747" t="n">
        <v>25500</v>
      </c>
      <c r="AFQ7" s="747" t="n">
        <v>25600</v>
      </c>
      <c r="AFR7" s="747" t="n">
        <v>25900</v>
      </c>
      <c r="AFS7" s="747" t="n">
        <v>26000</v>
      </c>
      <c r="AFT7" s="747" t="n">
        <v>24620</v>
      </c>
      <c r="AFU7" s="747" t="n">
        <v>26300</v>
      </c>
      <c r="AFV7" s="747" t="n">
        <v>26400</v>
      </c>
      <c r="AFW7" s="747" t="n">
        <v>26600</v>
      </c>
      <c r="AFX7" s="747" t="n">
        <v>26700</v>
      </c>
      <c r="AFY7" s="747" t="n">
        <v>30000</v>
      </c>
      <c r="AFZ7" s="747" t="n">
        <v>30100</v>
      </c>
      <c r="AGA7" s="747" t="n">
        <v>30300</v>
      </c>
      <c r="AGB7" s="747" t="n">
        <v>30425</v>
      </c>
      <c r="AGC7" s="747" t="n">
        <v>30400</v>
      </c>
      <c r="AGD7" s="747" t="n">
        <v>30450</v>
      </c>
      <c r="AGE7" s="747" t="n">
        <v>30800</v>
      </c>
      <c r="AGF7" s="747" t="n">
        <v>31000</v>
      </c>
      <c r="AGG7" s="747" t="n">
        <v>31200</v>
      </c>
      <c r="AGH7" s="747" t="n">
        <v>31300</v>
      </c>
      <c r="AGI7" s="747" t="n">
        <v>31400</v>
      </c>
      <c r="AGJ7" s="747" t="n">
        <v>31600</v>
      </c>
      <c r="AGK7" s="747" t="n">
        <v>31217</v>
      </c>
      <c r="AGL7" s="747" t="n">
        <v>31800</v>
      </c>
      <c r="AGM7" s="747" t="n">
        <v>31900</v>
      </c>
      <c r="AGN7" s="747" t="n">
        <v>32000</v>
      </c>
      <c r="AGO7" s="747" t="n">
        <v>32300</v>
      </c>
      <c r="AGP7" s="747" t="n">
        <v>32400</v>
      </c>
      <c r="AGQ7" s="747" t="n">
        <v>32010</v>
      </c>
      <c r="AGR7" s="747" t="n">
        <v>32600</v>
      </c>
      <c r="AGS7" s="747" t="n">
        <v>32700</v>
      </c>
      <c r="AGT7" s="747" t="n">
        <v>32020</v>
      </c>
      <c r="AGU7" s="747" t="n">
        <v>32900</v>
      </c>
      <c r="AGV7" s="747" t="n">
        <v>33099</v>
      </c>
      <c r="AGW7" s="747" t="n">
        <v>33199</v>
      </c>
      <c r="AGX7" s="747" t="n">
        <v>33200</v>
      </c>
      <c r="AGY7" s="747" t="n">
        <v>33300</v>
      </c>
      <c r="AGZ7" s="747" t="n">
        <v>33400</v>
      </c>
      <c r="AHA7" s="747" t="n">
        <v>33700</v>
      </c>
      <c r="AHB7" s="747" t="n">
        <v>33800</v>
      </c>
      <c r="AHC7" s="747" t="n">
        <v>33900</v>
      </c>
      <c r="AHD7" s="747" t="n">
        <v>34000</v>
      </c>
      <c r="AHE7" s="747" t="n">
        <v>34200</v>
      </c>
      <c r="AHF7" s="747" t="n">
        <v>32005</v>
      </c>
      <c r="AHG7" s="747" t="n">
        <v>34900</v>
      </c>
      <c r="AHH7" s="747" t="n">
        <v>35000</v>
      </c>
      <c r="AHI7" s="747" t="n">
        <v>36100</v>
      </c>
      <c r="AHJ7" s="747" t="n">
        <v>30499</v>
      </c>
      <c r="AHK7" s="747" t="n">
        <v>35200</v>
      </c>
      <c r="AHL7" s="747" t="n">
        <v>34210</v>
      </c>
      <c r="AHM7" s="747" t="n">
        <v>35500</v>
      </c>
      <c r="AHN7" s="747" t="n">
        <v>35700</v>
      </c>
      <c r="AHO7" s="747" t="n">
        <v>36000</v>
      </c>
      <c r="AHP7" s="747" t="n">
        <v>35300</v>
      </c>
      <c r="AHQ7" s="747" t="n">
        <v>31220</v>
      </c>
      <c r="AHR7" s="747" t="n">
        <v>31260</v>
      </c>
      <c r="AHS7" s="747" t="n">
        <v>30500</v>
      </c>
      <c r="AHT7" s="747" t="n">
        <v>31270</v>
      </c>
      <c r="AHU7" s="747" t="n">
        <v>50371</v>
      </c>
      <c r="AHV7" s="747" t="n">
        <v>50372</v>
      </c>
      <c r="AHW7" s="747" t="n">
        <v>50373</v>
      </c>
      <c r="AHX7" s="747" t="n">
        <v>50374</v>
      </c>
      <c r="AHY7" s="747" t="n">
        <v>31205</v>
      </c>
      <c r="AHZ7" s="747" t="n">
        <v>31210</v>
      </c>
      <c r="AIA7" s="747" t="n">
        <v>31215</v>
      </c>
      <c r="AIB7" s="747" t="n">
        <v>38100</v>
      </c>
      <c r="AIC7" s="747" t="n">
        <v>38101</v>
      </c>
      <c r="AID7" s="747" t="n">
        <v>38106</v>
      </c>
      <c r="AIE7" s="747" t="n">
        <v>38107</v>
      </c>
      <c r="AIF7" s="747" t="n">
        <v>38108</v>
      </c>
      <c r="AIG7" s="747" t="n">
        <v>38109</v>
      </c>
      <c r="AIH7" s="747" t="n">
        <v>38110</v>
      </c>
      <c r="AII7" s="747" t="n">
        <v>38102</v>
      </c>
      <c r="AIJ7" s="747" t="n">
        <v>38103</v>
      </c>
      <c r="AIK7" s="747" t="n">
        <v>38104</v>
      </c>
      <c r="AIL7" s="747" t="n">
        <v>31240</v>
      </c>
      <c r="AIM7" s="747" t="n">
        <v>31285</v>
      </c>
      <c r="AIN7" s="747" t="n">
        <v>50399</v>
      </c>
      <c r="AIO7" s="747" t="n">
        <v>40600</v>
      </c>
      <c r="AIP7" s="747" t="n">
        <v>40900</v>
      </c>
      <c r="AIQ7" s="747" t="n">
        <v>41000</v>
      </c>
      <c r="AIR7" s="747" t="n">
        <v>41200</v>
      </c>
      <c r="AIS7" s="747" t="n">
        <v>41300</v>
      </c>
      <c r="AIT7" s="747" t="n">
        <v>41400</v>
      </c>
      <c r="AIU7" s="747" t="n">
        <v>41500</v>
      </c>
      <c r="AIV7" s="747" t="n">
        <v>41700</v>
      </c>
      <c r="AIW7" s="747" t="n">
        <v>41800</v>
      </c>
      <c r="AIX7" s="747" t="n">
        <v>42000</v>
      </c>
      <c r="AIY7" s="747" t="n">
        <v>40424</v>
      </c>
      <c r="AIZ7" s="747" t="n">
        <v>40425</v>
      </c>
      <c r="AJA7" s="747" t="n">
        <v>40427</v>
      </c>
      <c r="AJB7" s="747" t="n">
        <v>42800</v>
      </c>
      <c r="AJC7" s="747" t="n">
        <v>43100</v>
      </c>
      <c r="AJD7" s="747" t="n">
        <v>43200</v>
      </c>
      <c r="AJE7" s="747" t="n">
        <v>43300</v>
      </c>
      <c r="AJF7" s="747" t="n">
        <v>43400</v>
      </c>
      <c r="AJG7" s="747" t="n">
        <v>43500</v>
      </c>
      <c r="AJH7" s="747" t="n">
        <v>43700</v>
      </c>
      <c r="AJI7" s="747" t="n">
        <v>43800</v>
      </c>
      <c r="AJJ7" s="747" t="n">
        <v>43900</v>
      </c>
      <c r="AJK7" s="747" t="n">
        <v>44000</v>
      </c>
      <c r="AJL7" s="747" t="n">
        <v>44100</v>
      </c>
      <c r="AJM7" s="747" t="n">
        <v>44800</v>
      </c>
      <c r="AJN7" s="747" t="n">
        <v>45110</v>
      </c>
      <c r="AJO7" s="747" t="n">
        <v>45000</v>
      </c>
      <c r="AJP7" s="747" t="n">
        <v>45200</v>
      </c>
      <c r="AJQ7" s="747" t="n">
        <v>45300</v>
      </c>
      <c r="AJR7" s="747" t="n">
        <v>45400</v>
      </c>
      <c r="AJS7" s="747" t="n">
        <v>45600</v>
      </c>
      <c r="AJT7" s="747" t="n">
        <v>45700</v>
      </c>
      <c r="AJU7" s="747" t="n">
        <v>46000</v>
      </c>
      <c r="AJV7" s="747" t="n">
        <v>46100</v>
      </c>
      <c r="AJW7" s="747" t="n">
        <v>46200</v>
      </c>
      <c r="AJX7" s="747" t="n">
        <v>46500</v>
      </c>
      <c r="AJY7" s="747" t="n">
        <v>46600</v>
      </c>
      <c r="AJZ7" s="747" t="n">
        <v>46800</v>
      </c>
      <c r="AKA7" s="747" t="n">
        <v>46900</v>
      </c>
      <c r="AKB7" s="747" t="n">
        <v>47600</v>
      </c>
      <c r="AKC7" s="747" t="n">
        <v>47900</v>
      </c>
      <c r="AKD7" s="747" t="n">
        <v>48400</v>
      </c>
      <c r="AKE7" s="747" t="n">
        <v>48500</v>
      </c>
      <c r="AKF7" s="747" t="n">
        <v>48600</v>
      </c>
      <c r="AKG7" s="747" t="n">
        <v>48700</v>
      </c>
      <c r="AKH7" s="747" t="n">
        <v>48800</v>
      </c>
      <c r="AKI7" s="747" t="n">
        <v>49000</v>
      </c>
      <c r="AKJ7" s="747" t="n">
        <v>50260</v>
      </c>
      <c r="AKK7" s="747" t="n">
        <v>50270</v>
      </c>
      <c r="AKL7" s="747" t="n">
        <v>50280</v>
      </c>
      <c r="AKM7" s="747" t="n">
        <v>50290</v>
      </c>
      <c r="AKN7" s="747" t="n">
        <v>50310</v>
      </c>
      <c r="AKO7" s="747" t="n">
        <v>50320</v>
      </c>
      <c r="AKP7" s="747" t="n">
        <v>50330</v>
      </c>
      <c r="AKQ7" s="747" t="n">
        <v>50340</v>
      </c>
      <c r="AKR7" s="747" t="n">
        <v>50410</v>
      </c>
      <c r="AKS7" s="747" t="n">
        <v>51106</v>
      </c>
      <c r="AKT7" s="747" t="n">
        <v>51090</v>
      </c>
      <c r="AKU7" s="747" t="n">
        <v>51100</v>
      </c>
      <c r="AKV7" s="747" t="n">
        <v>51120</v>
      </c>
      <c r="AKW7" s="747" t="n">
        <v>51170</v>
      </c>
      <c r="AKX7" s="747" t="n">
        <v>51180</v>
      </c>
      <c r="AKY7" s="747" t="n">
        <v>51190</v>
      </c>
      <c r="AKZ7" s="747" t="n">
        <v>51200</v>
      </c>
      <c r="ALA7" s="747" t="n">
        <v>51210</v>
      </c>
      <c r="ALB7" s="747" t="n">
        <v>51220</v>
      </c>
      <c r="ALC7" s="747" t="n">
        <v>51230</v>
      </c>
      <c r="ALD7" s="747" t="n">
        <v>51204</v>
      </c>
      <c r="ALE7" s="747" t="n">
        <v>51205</v>
      </c>
      <c r="ALF7" s="747" t="n">
        <v>52300</v>
      </c>
      <c r="ALG7" s="747" t="n">
        <v>52630</v>
      </c>
      <c r="ALH7" s="747" t="n">
        <v>52670</v>
      </c>
      <c r="ALI7" s="747" t="n">
        <v>52730</v>
      </c>
      <c r="ALJ7" s="747" t="n">
        <v>52740</v>
      </c>
      <c r="ALK7" s="747" t="n">
        <v>52750</v>
      </c>
      <c r="ALL7" s="747" t="n">
        <v>52760</v>
      </c>
      <c r="ALM7" s="747" t="n">
        <v>52770</v>
      </c>
      <c r="ALN7" s="747" t="n">
        <v>52780</v>
      </c>
      <c r="ALO7" s="747" t="n">
        <v>52790</v>
      </c>
      <c r="ALP7" s="747" t="n">
        <v>52800</v>
      </c>
      <c r="ALQ7" s="747" t="n">
        <v>52810</v>
      </c>
      <c r="ALR7" s="747" t="n">
        <v>52820</v>
      </c>
      <c r="ALS7" s="747" t="n">
        <v>52830</v>
      </c>
      <c r="ALT7" s="747" t="n">
        <v>52840</v>
      </c>
      <c r="ALU7" s="747" t="n">
        <v>52850</v>
      </c>
      <c r="ALV7" s="747" t="n">
        <v>52920</v>
      </c>
      <c r="ALW7" s="747" t="n">
        <v>52930</v>
      </c>
      <c r="ALX7" s="747" t="n">
        <v>53080</v>
      </c>
      <c r="ALY7" s="747" t="n">
        <v>53210</v>
      </c>
      <c r="ALZ7" s="747" t="n">
        <v>50329</v>
      </c>
      <c r="AMA7" s="747" t="n">
        <v>50339</v>
      </c>
      <c r="AMB7" s="747" t="n">
        <v>53300</v>
      </c>
      <c r="AMC7" s="747" t="n">
        <v>53350</v>
      </c>
      <c r="AMD7" s="747" t="n">
        <v>53370</v>
      </c>
      <c r="AME7" s="747" t="n">
        <v>53440</v>
      </c>
      <c r="AMF7" s="747" t="n">
        <v>53450</v>
      </c>
      <c r="AMG7" s="747" t="n">
        <v>53470</v>
      </c>
      <c r="AMH7" s="747" t="n">
        <v>53490</v>
      </c>
      <c r="AMI7" s="747" t="n">
        <v>53500</v>
      </c>
      <c r="AMJ7" s="747" t="n">
        <v>53510</v>
      </c>
      <c r="AMK7" s="747" t="n">
        <v>53530</v>
      </c>
      <c r="AML7" s="747" t="n">
        <v>53540</v>
      </c>
      <c r="AMM7" s="747" t="n">
        <v>53550</v>
      </c>
      <c r="AMN7" s="747" t="n">
        <v>53590</v>
      </c>
      <c r="AMO7" s="747" t="n">
        <v>53670</v>
      </c>
      <c r="AMP7" s="747" t="n">
        <v>53680</v>
      </c>
      <c r="AMQ7" s="747" t="n">
        <v>53755</v>
      </c>
      <c r="AMR7" s="747" t="n">
        <v>54375</v>
      </c>
      <c r="AMS7" s="747" t="n">
        <v>54377</v>
      </c>
      <c r="AMT7" s="747" t="n">
        <v>54388</v>
      </c>
      <c r="AMU7" s="747" t="n">
        <v>54493</v>
      </c>
      <c r="AMV7" s="747" t="n">
        <v>54494</v>
      </c>
      <c r="AMW7" s="747" t="n">
        <v>54610</v>
      </c>
      <c r="AMX7" s="747" t="n">
        <v>54780</v>
      </c>
      <c r="AMY7" s="747" t="n">
        <v>54790</v>
      </c>
      <c r="AMZ7" s="747" t="n">
        <v>54920</v>
      </c>
      <c r="ANA7" s="747" t="n">
        <v>54950</v>
      </c>
      <c r="ANB7" s="747" t="n">
        <v>54960</v>
      </c>
      <c r="ANC7" s="747" t="n">
        <v>55070</v>
      </c>
      <c r="AND7" s="747" t="n">
        <v>55080</v>
      </c>
      <c r="ANE7" s="747" t="n">
        <v>55110</v>
      </c>
      <c r="ANF7" s="747" t="n">
        <v>55220</v>
      </c>
      <c r="ANG7" s="747" t="n">
        <v>55270</v>
      </c>
      <c r="ANH7" s="747" t="n">
        <v>55290</v>
      </c>
      <c r="ANI7" s="747" t="n">
        <v>55300</v>
      </c>
      <c r="ANJ7" s="747" t="n">
        <v>55320</v>
      </c>
      <c r="ANK7" s="747" t="n">
        <v>55360</v>
      </c>
      <c r="ANL7" s="747" t="n">
        <v>55370</v>
      </c>
      <c r="ANM7" s="747" t="n">
        <v>55380</v>
      </c>
      <c r="ANN7" s="747" t="n">
        <v>55400</v>
      </c>
      <c r="ANO7" s="747" t="n">
        <v>55550</v>
      </c>
      <c r="ANP7" s="747" t="n">
        <v>55660</v>
      </c>
      <c r="ANQ7" s="747" t="n">
        <v>58040</v>
      </c>
      <c r="ANR7" s="747" t="n">
        <v>58080</v>
      </c>
      <c r="ANS7" s="747" t="n">
        <v>58120</v>
      </c>
      <c r="ANT7" s="747" t="n">
        <v>58160</v>
      </c>
      <c r="ANU7" s="747" t="n">
        <v>58170</v>
      </c>
      <c r="ANV7" s="747" t="n">
        <v>58175</v>
      </c>
      <c r="ANW7" s="747" t="n">
        <v>58180</v>
      </c>
      <c r="ANX7" s="747" t="n">
        <v>58185</v>
      </c>
      <c r="ANY7" s="747" t="n">
        <v>58189</v>
      </c>
      <c r="ANZ7" s="747" t="n">
        <v>58200</v>
      </c>
      <c r="AOA7" s="747" t="n">
        <v>58209</v>
      </c>
      <c r="AOB7" s="747" t="n">
        <v>58210</v>
      </c>
      <c r="AOC7" s="747" t="n">
        <v>58220</v>
      </c>
      <c r="AOD7" s="747" t="n">
        <v>58229</v>
      </c>
      <c r="AOE7" s="747" t="n">
        <v>58230</v>
      </c>
      <c r="AOF7" s="747" t="n">
        <v>58240</v>
      </c>
      <c r="AOG7" s="747" t="n">
        <v>58280</v>
      </c>
      <c r="AOH7" s="747" t="n">
        <v>58300</v>
      </c>
      <c r="AOI7" s="747" t="n">
        <v>58305</v>
      </c>
      <c r="AOJ7" s="747" t="n">
        <v>58310</v>
      </c>
      <c r="AOK7" s="747" t="n">
        <v>58315</v>
      </c>
      <c r="AOL7" s="747" t="n">
        <v>58316</v>
      </c>
      <c r="AOM7" s="747" t="n">
        <v>58320</v>
      </c>
      <c r="AON7" s="747" t="n">
        <v>58325</v>
      </c>
      <c r="AOO7" s="747" t="n">
        <v>58326</v>
      </c>
      <c r="AOP7" s="747" t="n">
        <v>58330</v>
      </c>
      <c r="AOQ7" s="747" t="n">
        <v>58357</v>
      </c>
      <c r="AOR7" s="747" t="n">
        <v>58360</v>
      </c>
      <c r="AOS7" s="747" t="n">
        <v>58400</v>
      </c>
      <c r="AOT7" s="747" t="n">
        <v>58440</v>
      </c>
      <c r="AOU7" s="747" t="n">
        <v>58480</v>
      </c>
      <c r="AOV7" s="747" t="n">
        <v>58500</v>
      </c>
      <c r="AOW7" s="747" t="n">
        <v>58520</v>
      </c>
      <c r="AOX7" s="747" t="n">
        <v>58560</v>
      </c>
      <c r="AOY7" s="747" t="n">
        <v>58560</v>
      </c>
      <c r="AOZ7" s="747" t="n">
        <v>58560</v>
      </c>
      <c r="APA7" s="747" t="n">
        <v>58600</v>
      </c>
      <c r="APB7" s="747" t="n">
        <v>58600</v>
      </c>
      <c r="APC7" s="747" t="n">
        <v>58600</v>
      </c>
      <c r="APD7" s="747" t="n">
        <v>58640</v>
      </c>
      <c r="APE7" s="747" t="n">
        <v>58689</v>
      </c>
      <c r="APF7" s="747" t="n">
        <v>58729</v>
      </c>
      <c r="APG7" s="747" t="n">
        <v>58750</v>
      </c>
      <c r="APH7" s="747" t="n">
        <v>58769</v>
      </c>
      <c r="API7" s="747" t="n">
        <v>58800</v>
      </c>
      <c r="APJ7" s="747" t="n">
        <v>58810</v>
      </c>
      <c r="APK7" s="747" t="n">
        <v>58820</v>
      </c>
      <c r="APL7" s="747" t="n">
        <v>58830</v>
      </c>
      <c r="APM7" s="747" t="n">
        <v>58840</v>
      </c>
      <c r="APN7" s="747" t="n">
        <v>58840</v>
      </c>
      <c r="APO7" s="747" t="n">
        <v>58969</v>
      </c>
      <c r="APP7" s="747" t="n">
        <v>58970</v>
      </c>
      <c r="APQ7" s="747" t="n">
        <v>58980</v>
      </c>
      <c r="APR7" s="747" t="n">
        <v>59000</v>
      </c>
      <c r="APS7" s="747" t="n">
        <v>59010</v>
      </c>
      <c r="APT7" s="747" t="n">
        <v>59020</v>
      </c>
      <c r="APU7" s="747" t="n">
        <v>59030</v>
      </c>
      <c r="APV7" s="747" t="n">
        <v>59040</v>
      </c>
      <c r="APW7" s="747" t="n">
        <v>59050</v>
      </c>
      <c r="APX7" s="747" t="n">
        <v>59070</v>
      </c>
      <c r="APY7" s="747" t="n">
        <v>59090</v>
      </c>
      <c r="APZ7" s="747" t="n">
        <v>59090</v>
      </c>
      <c r="AQA7" s="747" t="n">
        <v>59090</v>
      </c>
      <c r="AQB7" s="747" t="n">
        <v>59120</v>
      </c>
      <c r="AQC7" s="747" t="n">
        <v>59140</v>
      </c>
      <c r="AQD7" s="747" t="n">
        <v>59141</v>
      </c>
      <c r="AQE7" s="747" t="n">
        <v>59160</v>
      </c>
      <c r="AQF7" s="747" t="n">
        <v>59160</v>
      </c>
      <c r="AQG7" s="747" t="n">
        <v>59180</v>
      </c>
      <c r="AQH7" s="747" t="n">
        <v>59180</v>
      </c>
      <c r="AQI7" s="747" t="n">
        <v>59200</v>
      </c>
      <c r="AQJ7" s="747" t="n">
        <v>59200</v>
      </c>
      <c r="AQK7" s="747" t="n">
        <v>59200</v>
      </c>
      <c r="AQL7" s="747" t="n">
        <v>59200</v>
      </c>
      <c r="AQM7" s="747" t="n">
        <v>59310</v>
      </c>
      <c r="AQN7" s="747" t="n">
        <v>59320</v>
      </c>
      <c r="AQO7" s="747" t="n">
        <v>59330</v>
      </c>
      <c r="AQP7" s="747" t="n">
        <v>59340</v>
      </c>
      <c r="AQQ7" s="747" t="n">
        <v>59360</v>
      </c>
      <c r="AQR7" s="747" t="n">
        <v>59370</v>
      </c>
      <c r="AQS7" s="747" t="n">
        <v>59430</v>
      </c>
      <c r="AQT7" s="747" t="n">
        <v>59440</v>
      </c>
      <c r="AQU7" s="747" t="n">
        <v>59450</v>
      </c>
      <c r="AQV7" s="747" t="n">
        <v>59460</v>
      </c>
      <c r="AQW7" s="747" t="n">
        <v>59470</v>
      </c>
      <c r="AQX7" s="747" t="n">
        <v>59700</v>
      </c>
      <c r="AQY7" s="747" t="n">
        <v>59710</v>
      </c>
      <c r="AQZ7" s="747" t="n">
        <v>59720</v>
      </c>
      <c r="ARA7" s="747" t="n">
        <v>59730</v>
      </c>
      <c r="ARB7" s="747" t="n">
        <v>59740</v>
      </c>
      <c r="ARC7" s="747" t="n">
        <v>59750</v>
      </c>
      <c r="ARD7" s="747" t="n">
        <v>59760</v>
      </c>
      <c r="ARE7" s="747" t="n">
        <v>59770</v>
      </c>
      <c r="ARF7" s="747" t="n">
        <v>59780</v>
      </c>
      <c r="ARG7" s="747" t="n">
        <v>60030</v>
      </c>
      <c r="ARH7" s="747" t="n">
        <v>60070</v>
      </c>
      <c r="ARI7" s="747" t="n">
        <v>60100</v>
      </c>
      <c r="ARJ7" s="747" t="n">
        <v>60101</v>
      </c>
      <c r="ARK7" s="747" t="n">
        <v>60102</v>
      </c>
      <c r="ARL7" s="747" t="n">
        <v>60103</v>
      </c>
      <c r="ARM7" s="747" t="n">
        <v>60104</v>
      </c>
      <c r="ARN7" s="747" t="n">
        <v>60330</v>
      </c>
      <c r="ARO7" s="747" t="n">
        <v>60350</v>
      </c>
      <c r="ARP7" s="747" t="n">
        <v>60360</v>
      </c>
      <c r="ARQ7" s="747" t="n">
        <v>60400</v>
      </c>
      <c r="ARR7" s="747" t="n">
        <v>60450</v>
      </c>
      <c r="ARS7" s="747" t="n">
        <v>60470</v>
      </c>
      <c r="ART7" s="747" t="n">
        <v>60480</v>
      </c>
      <c r="ARU7" s="747" t="n">
        <v>60490</v>
      </c>
      <c r="ARV7" s="747" t="n">
        <v>60495</v>
      </c>
      <c r="ARW7" s="747" t="n">
        <v>60510</v>
      </c>
      <c r="ARX7" s="747" t="n">
        <v>60530</v>
      </c>
      <c r="ARY7" s="747" t="n">
        <v>60550</v>
      </c>
      <c r="ARZ7" s="747" t="n">
        <v>60560</v>
      </c>
      <c r="ASA7" s="747" t="n">
        <v>60570</v>
      </c>
      <c r="ASB7" s="747" t="n">
        <v>60700</v>
      </c>
      <c r="ASC7" s="747" t="n">
        <v>60710</v>
      </c>
      <c r="ASD7" s="747" t="n">
        <v>60720</v>
      </c>
      <c r="ASE7" s="747" t="n">
        <v>60740</v>
      </c>
      <c r="ASF7" s="747" t="n">
        <v>60760</v>
      </c>
      <c r="ASG7" s="747" t="n">
        <v>60800</v>
      </c>
      <c r="ASH7" s="747" t="n">
        <v>60830</v>
      </c>
      <c r="ASI7" s="747" t="n">
        <v>60835</v>
      </c>
      <c r="ASJ7" s="747" t="n">
        <v>60850</v>
      </c>
      <c r="ASK7" s="747" t="n">
        <v>60855</v>
      </c>
      <c r="ASL7" s="747" t="n">
        <v>60860</v>
      </c>
      <c r="ASM7" s="747" t="n">
        <v>60890</v>
      </c>
      <c r="ASN7" s="747" t="n">
        <v>60900</v>
      </c>
      <c r="ASO7" s="747" t="n">
        <v>60920</v>
      </c>
      <c r="ASP7" s="747" t="n">
        <v>60940</v>
      </c>
      <c r="ASQ7" s="747" t="n">
        <v>60950</v>
      </c>
      <c r="ASR7" s="747" t="n">
        <v>60969</v>
      </c>
      <c r="ASS7" s="747" t="n">
        <v>60970</v>
      </c>
      <c r="AST7" s="747" t="n">
        <v>60970</v>
      </c>
      <c r="ASU7" s="747" t="n">
        <v>60999</v>
      </c>
      <c r="ASV7" s="747" t="n">
        <v>60999</v>
      </c>
      <c r="ASW7" s="747" t="n">
        <v>61020</v>
      </c>
      <c r="ASX7" s="747" t="n">
        <v>61040</v>
      </c>
      <c r="ASY7" s="747" t="n">
        <v>61050</v>
      </c>
      <c r="ASZ7" s="747" t="n">
        <v>61060</v>
      </c>
      <c r="ATA7" s="747" t="n">
        <v>61070</v>
      </c>
      <c r="ATB7" s="747" t="n">
        <v>61080</v>
      </c>
      <c r="ATC7" s="747" t="n">
        <v>61100</v>
      </c>
      <c r="ATD7" s="747" t="n">
        <v>61120</v>
      </c>
      <c r="ATE7" s="747" t="n">
        <v>61120</v>
      </c>
      <c r="ATF7" s="747" t="n">
        <v>61140</v>
      </c>
      <c r="ATG7" s="747" t="n">
        <v>61140</v>
      </c>
      <c r="ATH7" s="747" t="n">
        <v>61160</v>
      </c>
      <c r="ATI7" s="747" t="n">
        <v>61170</v>
      </c>
      <c r="ATJ7" s="747" t="n">
        <v>61200</v>
      </c>
      <c r="ATK7" s="747" t="n">
        <v>61210</v>
      </c>
      <c r="ATL7" s="747" t="n">
        <v>61220</v>
      </c>
      <c r="ATM7" s="747" t="n">
        <v>61230</v>
      </c>
      <c r="ATN7" s="747" t="n">
        <v>61240</v>
      </c>
      <c r="ATO7" s="747" t="n">
        <v>61250</v>
      </c>
      <c r="ATP7" s="747" t="n">
        <v>61255</v>
      </c>
      <c r="ATQ7" s="747" t="n">
        <v>61260</v>
      </c>
      <c r="ATR7" s="747" t="n">
        <v>61268</v>
      </c>
      <c r="ATS7" s="747" t="n">
        <v>61310</v>
      </c>
      <c r="ATT7" s="747" t="n">
        <v>61340</v>
      </c>
      <c r="ATU7" s="747" t="n">
        <v>61380</v>
      </c>
      <c r="ATV7" s="747" t="n">
        <v>61390</v>
      </c>
      <c r="ATW7" s="747" t="n">
        <v>61430</v>
      </c>
      <c r="ATX7" s="747" t="n">
        <v>61470</v>
      </c>
      <c r="ATY7" s="747" t="n">
        <v>61480</v>
      </c>
      <c r="ATZ7" s="747" t="n">
        <v>61484</v>
      </c>
      <c r="AUA7" s="747" t="n">
        <v>61490</v>
      </c>
      <c r="AUB7" s="747" t="n">
        <v>61499</v>
      </c>
      <c r="AUC7" s="747" t="n">
        <v>61500</v>
      </c>
      <c r="AUD7" s="747" t="n">
        <v>61510</v>
      </c>
      <c r="AUE7" s="747" t="n">
        <v>61520</v>
      </c>
      <c r="AUF7" s="747" t="n">
        <v>61540</v>
      </c>
      <c r="AUG7" s="747" t="n">
        <v>61550</v>
      </c>
      <c r="AUH7" s="747" t="n">
        <v>61560</v>
      </c>
      <c r="AUI7" s="747" t="n">
        <v>61570</v>
      </c>
      <c r="AUJ7" s="747" t="n">
        <v>61580</v>
      </c>
      <c r="AUK7" s="747" t="n">
        <v>61590</v>
      </c>
      <c r="AUL7" s="747" t="n">
        <v>61670</v>
      </c>
      <c r="AUM7" s="747" t="n">
        <v>61690</v>
      </c>
      <c r="AUN7" s="747" t="n">
        <v>61700</v>
      </c>
      <c r="AUO7" s="747" t="n">
        <v>61710</v>
      </c>
      <c r="AUP7" s="747" t="n">
        <v>61720</v>
      </c>
      <c r="AUQ7" s="747" t="n">
        <v>61740</v>
      </c>
      <c r="AUR7" s="747" t="n">
        <v>61750</v>
      </c>
      <c r="AUS7" s="747" t="n">
        <v>61770</v>
      </c>
      <c r="AUT7" s="747" t="n">
        <v>61780</v>
      </c>
      <c r="AUU7" s="747" t="n">
        <v>61790</v>
      </c>
      <c r="AUV7" s="747" t="n">
        <v>61794</v>
      </c>
      <c r="AUW7" s="747" t="n">
        <v>61800</v>
      </c>
      <c r="AUX7" s="747" t="n">
        <v>61820</v>
      </c>
      <c r="AUY7" s="747" t="n">
        <v>61830</v>
      </c>
      <c r="AUZ7" s="747" t="n">
        <v>61840</v>
      </c>
      <c r="AVA7" s="747" t="n">
        <v>61850</v>
      </c>
      <c r="AVB7" s="747" t="n">
        <v>61860</v>
      </c>
      <c r="AVC7" s="747" t="n">
        <v>61870</v>
      </c>
      <c r="AVD7" s="747" t="n">
        <v>61880</v>
      </c>
      <c r="AVE7" s="747" t="n">
        <v>61890</v>
      </c>
      <c r="AVF7" s="747" t="n">
        <v>61950</v>
      </c>
      <c r="AVG7" s="747" t="n">
        <v>61970</v>
      </c>
      <c r="AVH7" s="747" t="n">
        <v>61990</v>
      </c>
      <c r="AVI7" s="747" t="n">
        <v>62100</v>
      </c>
      <c r="AVJ7" s="747" t="n">
        <v>62150</v>
      </c>
      <c r="AVK7" s="747" t="n">
        <v>62150</v>
      </c>
      <c r="AVL7" s="747" t="n">
        <v>62180</v>
      </c>
      <c r="AVM7" s="747" t="n">
        <v>62200</v>
      </c>
      <c r="AVN7" s="747" t="n">
        <v>62201</v>
      </c>
      <c r="AVO7" s="747" t="n">
        <v>62202</v>
      </c>
      <c r="AVP7" s="747" t="n">
        <v>62203</v>
      </c>
      <c r="AVQ7" s="747" t="n">
        <v>62290</v>
      </c>
      <c r="AVR7" s="747" t="n">
        <v>62400</v>
      </c>
      <c r="AVS7" s="747" t="n">
        <v>62450</v>
      </c>
      <c r="AVT7" s="747" t="n">
        <v>62460</v>
      </c>
      <c r="AVU7" s="747" t="n">
        <v>62470</v>
      </c>
      <c r="AVV7" s="747" t="n">
        <v>62480</v>
      </c>
      <c r="AVW7" s="747" t="n">
        <v>62490</v>
      </c>
      <c r="AVX7" s="747" t="n">
        <v>62510</v>
      </c>
      <c r="AVY7" s="747" t="n">
        <v>62550</v>
      </c>
      <c r="AVZ7" s="747" t="n">
        <v>63100</v>
      </c>
      <c r="AWA7" s="747" t="n">
        <v>63110</v>
      </c>
      <c r="AWB7" s="747" t="n">
        <v>63220</v>
      </c>
      <c r="AWC7" s="747" t="n">
        <v>63255</v>
      </c>
      <c r="AWD7" s="747" t="n">
        <v>63260</v>
      </c>
      <c r="AWE7" s="747" t="n">
        <v>63265</v>
      </c>
      <c r="AWF7" s="747" t="n">
        <v>63270</v>
      </c>
      <c r="AWG7" s="747" t="n">
        <v>63280</v>
      </c>
      <c r="AWH7" s="747" t="n">
        <v>63300</v>
      </c>
      <c r="AWI7" s="747" t="n">
        <v>63360</v>
      </c>
      <c r="AWJ7" s="747" t="n">
        <v>63370</v>
      </c>
      <c r="AWK7" s="747" t="n">
        <v>63380</v>
      </c>
      <c r="AWL7" s="747" t="n">
        <v>63390</v>
      </c>
      <c r="AWM7" s="747" t="n">
        <v>63400</v>
      </c>
      <c r="AWN7" s="747" t="n">
        <v>63410</v>
      </c>
      <c r="AWO7" s="747" t="n">
        <v>63420</v>
      </c>
      <c r="AWP7" s="747" t="n">
        <v>63430</v>
      </c>
      <c r="AWQ7" s="747" t="n">
        <v>63440</v>
      </c>
      <c r="AWR7" s="747" t="n">
        <v>63450</v>
      </c>
      <c r="AWS7" s="747" t="n">
        <v>63460</v>
      </c>
      <c r="AWT7" s="747" t="n">
        <v>63470</v>
      </c>
      <c r="AWU7" s="747" t="n">
        <v>63480</v>
      </c>
      <c r="AWV7" s="747" t="n">
        <v>63490</v>
      </c>
      <c r="AWW7" s="747" t="n">
        <v>63500</v>
      </c>
      <c r="AWX7" s="747" t="n">
        <v>63510</v>
      </c>
      <c r="AWY7" s="747" t="n">
        <v>63554</v>
      </c>
      <c r="AWZ7" s="747" t="n">
        <v>63557</v>
      </c>
      <c r="AXA7" s="747" t="n">
        <v>63600</v>
      </c>
      <c r="AXB7" s="747" t="n">
        <v>63601</v>
      </c>
      <c r="AXC7" s="747" t="n">
        <v>63602</v>
      </c>
      <c r="AXD7" s="747" t="n">
        <v>63603</v>
      </c>
      <c r="AXE7" s="747" t="n">
        <v>63640</v>
      </c>
      <c r="AXF7" s="747" t="n">
        <v>63710</v>
      </c>
      <c r="AXG7" s="747" t="n">
        <v>63790</v>
      </c>
      <c r="AXH7" s="747" t="n">
        <v>63800</v>
      </c>
      <c r="AXI7" s="747" t="n">
        <v>63810</v>
      </c>
      <c r="AXJ7" s="747" t="n">
        <v>63811</v>
      </c>
      <c r="AXK7" s="747" t="n">
        <v>63812</v>
      </c>
      <c r="AXL7" s="747" t="n">
        <v>63813</v>
      </c>
      <c r="AXM7" s="747" t="n">
        <v>63830</v>
      </c>
      <c r="AXN7" s="747" t="n">
        <v>63831</v>
      </c>
      <c r="AXO7" s="747" t="n">
        <v>63832</v>
      </c>
      <c r="AXP7" s="747" t="n">
        <v>63833</v>
      </c>
      <c r="AXQ7" s="747" t="n">
        <v>63840</v>
      </c>
      <c r="AXR7" s="747" t="n">
        <v>63850</v>
      </c>
      <c r="AXS7" s="747" t="n">
        <v>63860</v>
      </c>
      <c r="AXT7" s="747" t="n">
        <v>63940</v>
      </c>
      <c r="AXU7" s="747" t="n">
        <v>63990</v>
      </c>
      <c r="AXV7" s="747" t="n">
        <v>63991</v>
      </c>
      <c r="AXW7" s="747" t="n">
        <v>64850</v>
      </c>
      <c r="AXX7" s="747" t="n">
        <v>64857</v>
      </c>
      <c r="AXY7" s="747" t="n">
        <v>64860</v>
      </c>
      <c r="AXZ7" s="747" t="n">
        <v>65210</v>
      </c>
      <c r="AYA7" s="747" t="n">
        <v>65220</v>
      </c>
      <c r="AYB7" s="747" t="n">
        <v>66250</v>
      </c>
      <c r="AYC7" s="747" t="n">
        <v>66260</v>
      </c>
      <c r="AYD7" s="747" t="n">
        <v>66270</v>
      </c>
      <c r="AYE7" s="747" t="n">
        <v>66300</v>
      </c>
      <c r="AYF7" s="747" t="n">
        <v>66310</v>
      </c>
      <c r="AYG7" s="747" t="n">
        <v>66320</v>
      </c>
      <c r="AYH7" s="747" t="n">
        <v>66360</v>
      </c>
      <c r="AYI7" s="747" t="n">
        <v>66370</v>
      </c>
      <c r="AYJ7" s="747" t="n">
        <v>66380</v>
      </c>
      <c r="AYK7" s="747" t="n">
        <v>66420</v>
      </c>
      <c r="AYL7" s="747" t="n">
        <v>66430</v>
      </c>
      <c r="AYM7" s="747" t="n">
        <v>66440</v>
      </c>
      <c r="AYN7" s="747" t="n">
        <v>66480</v>
      </c>
      <c r="AYO7" s="747" t="n">
        <v>66490</v>
      </c>
      <c r="AYP7" s="747" t="n">
        <v>66500</v>
      </c>
      <c r="AYQ7" s="747" t="n">
        <v>66815</v>
      </c>
      <c r="AYR7" s="747" t="n">
        <v>66840</v>
      </c>
      <c r="AYS7" s="747" t="n">
        <v>66843</v>
      </c>
      <c r="AYT7" s="747" t="n">
        <v>66844</v>
      </c>
      <c r="AYU7" s="747" t="n">
        <v>66848</v>
      </c>
      <c r="AYV7" s="747" t="n">
        <v>66850</v>
      </c>
      <c r="AYW7" s="747" t="n">
        <v>66883</v>
      </c>
      <c r="AYX7" s="747" t="n">
        <v>66905</v>
      </c>
      <c r="AYY7" s="747" t="n">
        <v>66910</v>
      </c>
      <c r="AYZ7" s="747" t="n">
        <v>66920</v>
      </c>
      <c r="AZA7" s="747" t="n">
        <v>66960</v>
      </c>
      <c r="AZB7" s="747" t="n">
        <v>66990</v>
      </c>
      <c r="AZC7" s="747" t="n">
        <v>67030</v>
      </c>
      <c r="AZD7" s="747" t="n">
        <v>67060</v>
      </c>
      <c r="AZE7" s="747" t="n">
        <v>67120</v>
      </c>
      <c r="AZF7" s="747" t="n">
        <v>67130</v>
      </c>
      <c r="AZG7" s="747" t="n">
        <v>67135</v>
      </c>
      <c r="AZH7" s="747" t="n">
        <v>67140</v>
      </c>
      <c r="AZI7" s="747" t="n">
        <v>67170</v>
      </c>
      <c r="AZJ7" s="747" t="n">
        <v>67180</v>
      </c>
      <c r="AZK7" s="747" t="n">
        <v>67190</v>
      </c>
      <c r="AZL7" s="747" t="n">
        <v>67193</v>
      </c>
      <c r="AZM7" s="747" t="n">
        <v>67195</v>
      </c>
      <c r="AZN7" s="747" t="n">
        <v>67197</v>
      </c>
      <c r="AZO7" s="747" t="n">
        <v>67200</v>
      </c>
      <c r="AZP7" s="747" t="n">
        <v>67210</v>
      </c>
      <c r="AZQ7" s="747" t="n">
        <v>67220</v>
      </c>
      <c r="AZR7" s="747" t="n">
        <v>67490</v>
      </c>
      <c r="AZS7" s="747" t="n">
        <v>67507</v>
      </c>
      <c r="AZT7" s="747" t="n">
        <v>67520</v>
      </c>
      <c r="AZU7" s="747" t="n">
        <v>67529</v>
      </c>
      <c r="AZV7" s="747" t="n">
        <v>67540</v>
      </c>
      <c r="AZW7" s="747" t="n">
        <v>67560</v>
      </c>
      <c r="AZX7" s="747" t="n">
        <v>67650</v>
      </c>
      <c r="AZY7" s="747" t="n">
        <v>67820</v>
      </c>
      <c r="AZZ7" s="747" t="n">
        <v>67830</v>
      </c>
      <c r="BAA7" s="747" t="n">
        <v>67840</v>
      </c>
      <c r="BAB7" s="747" t="n">
        <v>67860</v>
      </c>
      <c r="BAC7" s="747" t="n">
        <v>67870</v>
      </c>
      <c r="BAD7" s="747" t="n">
        <v>67880</v>
      </c>
      <c r="BAE7" s="747" t="n">
        <v>67890</v>
      </c>
      <c r="BAF7" s="747" t="n">
        <v>67910</v>
      </c>
      <c r="BAG7" s="747" t="n">
        <v>67914</v>
      </c>
      <c r="BAH7" s="747" t="n">
        <v>67918</v>
      </c>
      <c r="BAI7" s="747" t="n">
        <v>67920</v>
      </c>
      <c r="BAJ7" s="747" t="n">
        <v>67930</v>
      </c>
      <c r="BAK7" s="747" t="n">
        <v>67950</v>
      </c>
      <c r="BAL7" s="747" t="n">
        <v>67954</v>
      </c>
      <c r="BAM7" s="747" t="n">
        <v>67960</v>
      </c>
      <c r="BAN7" s="747" t="n">
        <v>67980</v>
      </c>
      <c r="BAO7" s="747" t="n">
        <v>67990</v>
      </c>
      <c r="BAP7" s="747" t="n">
        <v>68020</v>
      </c>
      <c r="BAQ7" s="747" t="n">
        <v>68025</v>
      </c>
      <c r="BAR7" s="747" t="n">
        <v>68026</v>
      </c>
      <c r="BAS7" s="747" t="n">
        <v>68030</v>
      </c>
      <c r="BAT7" s="747" t="n">
        <v>68040</v>
      </c>
      <c r="BAU7" s="747" t="n">
        <v>68050</v>
      </c>
      <c r="BAV7" s="747" t="n">
        <v>68080</v>
      </c>
      <c r="BAW7" s="747" t="n">
        <v>68100</v>
      </c>
      <c r="BAX7" s="747" t="n">
        <v>68110</v>
      </c>
      <c r="BAY7" s="747" t="n">
        <v>68140</v>
      </c>
      <c r="BAZ7" s="747" t="n">
        <v>68150</v>
      </c>
      <c r="BBA7" s="747" t="n">
        <v>68200</v>
      </c>
      <c r="BBB7" s="747" t="n">
        <v>68210</v>
      </c>
      <c r="BBC7" s="747" t="n">
        <v>68220</v>
      </c>
      <c r="BBD7" s="747" t="n">
        <v>68230</v>
      </c>
      <c r="BBE7" s="747" t="n">
        <v>68240</v>
      </c>
      <c r="BBF7" s="747" t="n">
        <v>68250</v>
      </c>
      <c r="BBG7" s="747" t="n">
        <v>68270</v>
      </c>
      <c r="BBH7" s="747" t="n">
        <v>68280</v>
      </c>
      <c r="BBI7" s="747" t="n">
        <v>68330</v>
      </c>
      <c r="BBJ7" s="747" t="n">
        <v>68340</v>
      </c>
      <c r="BBK7" s="747" t="n">
        <v>68360</v>
      </c>
      <c r="BBL7" s="747" t="n">
        <v>68370</v>
      </c>
      <c r="BBM7" s="747" t="n">
        <v>68380</v>
      </c>
      <c r="BBN7" s="747" t="n">
        <v>68800</v>
      </c>
      <c r="BBO7" s="747" t="n">
        <v>68810</v>
      </c>
      <c r="BBP7" s="747" t="n">
        <v>68820</v>
      </c>
      <c r="BBQ7" s="747" t="n">
        <v>68830</v>
      </c>
      <c r="BBR7" s="747" t="n">
        <v>68840</v>
      </c>
      <c r="BBS7" s="747" t="n">
        <v>68850</v>
      </c>
      <c r="BBT7" s="747" t="n">
        <v>10019</v>
      </c>
      <c r="BBU7" s="747" t="n">
        <v>10026</v>
      </c>
      <c r="BBV7" s="747" t="n">
        <v>59350</v>
      </c>
      <c r="BBW7" s="747" t="n">
        <v>60489</v>
      </c>
      <c r="BBX7" s="747" t="n">
        <v>60491</v>
      </c>
      <c r="BBY7" s="747" t="n">
        <v>60496</v>
      </c>
      <c r="BBZ7" s="747" t="n">
        <v>62140</v>
      </c>
      <c r="BCA7" s="747" t="n">
        <v>62250</v>
      </c>
      <c r="BCB7" s="747" t="n">
        <v>62300</v>
      </c>
      <c r="BCC7" s="747" t="n">
        <v>63045</v>
      </c>
      <c r="BCD7" s="747" t="n">
        <v>63047</v>
      </c>
      <c r="BCE7" s="747" t="n">
        <v>63050</v>
      </c>
      <c r="BCF7" s="747" t="n">
        <v>63855</v>
      </c>
      <c r="BCG7" s="747" t="n">
        <v>10105</v>
      </c>
      <c r="BCH7" s="747" t="n">
        <v>11905</v>
      </c>
      <c r="BCI7" s="747" t="n">
        <v>13010</v>
      </c>
      <c r="BCJ7" s="747" t="n">
        <v>22215</v>
      </c>
      <c r="BCK7" s="747" t="n">
        <v>32001</v>
      </c>
      <c r="BCL7" s="747" t="n">
        <v>38105</v>
      </c>
      <c r="BCM7" s="747" t="inlineStr">
        <is>
          <t>Tax Year Filed</t>
        </is>
      </c>
      <c r="BCN7" s="747" t="inlineStr">
        <is>
          <t>Taxing Province</t>
        </is>
      </c>
      <c r="BCO7" s="747" t="inlineStr">
        <is>
          <t>Marital Status</t>
        </is>
      </c>
      <c r="BCP7" s="747" t="inlineStr">
        <is>
          <t>Balance before penalty and interest</t>
        </is>
      </c>
      <c r="BCQ7" s="747" t="inlineStr">
        <is>
          <t>Balance before penalty and interest</t>
        </is>
      </c>
      <c r="BCR7" s="747" t="inlineStr">
        <is>
          <t>Final balance</t>
        </is>
      </c>
      <c r="BCS7" s="747" t="inlineStr">
        <is>
          <t>Basic federal tax</t>
        </is>
      </c>
      <c r="BCT7" s="747" t="inlineStr">
        <is>
          <t>Basic provincial or territorial tax</t>
        </is>
      </c>
      <c r="BCU7" s="747" t="inlineStr">
        <is>
          <t>Ontario Health Premium</t>
        </is>
      </c>
      <c r="BCV7" s="747" t="n">
        <v>10100</v>
      </c>
      <c r="BCW7" s="747" t="n">
        <v>10120</v>
      </c>
      <c r="BCX7" s="747" t="n">
        <v>10130</v>
      </c>
      <c r="BCY7" s="747" t="n">
        <v>10400</v>
      </c>
      <c r="BCZ7" s="747" t="n">
        <v>10699</v>
      </c>
      <c r="BDA7" s="747" t="n">
        <v>10700</v>
      </c>
      <c r="BDB7" s="747" t="n">
        <v>10999</v>
      </c>
      <c r="BDC7" s="747" t="n">
        <v>11000</v>
      </c>
      <c r="BDD7" s="747" t="n">
        <v>11300</v>
      </c>
      <c r="BDE7" s="747" t="n">
        <v>11400</v>
      </c>
      <c r="BDF7" s="747" t="n">
        <v>11500</v>
      </c>
      <c r="BDG7" s="747" t="n">
        <v>11600</v>
      </c>
      <c r="BDH7" s="747" t="n">
        <v>11700</v>
      </c>
      <c r="BDI7" s="747" t="n">
        <v>11900</v>
      </c>
      <c r="BDJ7" s="747" t="n">
        <v>12000</v>
      </c>
      <c r="BDK7" s="747" t="n">
        <v>12100</v>
      </c>
      <c r="BDL7" s="747" t="n">
        <v>12200</v>
      </c>
      <c r="BDM7" s="747" t="n">
        <v>12399</v>
      </c>
      <c r="BDN7" s="747" t="n">
        <v>12400</v>
      </c>
      <c r="BDO7" s="747" t="n">
        <v>12500</v>
      </c>
      <c r="BDP7" s="747" t="n">
        <v>12600</v>
      </c>
      <c r="BDQ7" s="747" t="n">
        <v>12700</v>
      </c>
      <c r="BDR7" s="747" t="n">
        <v>12800</v>
      </c>
      <c r="BDS7" s="747" t="n">
        <v>12900</v>
      </c>
      <c r="BDT7" s="747" t="n">
        <v>13000</v>
      </c>
      <c r="BDU7" s="747" t="n">
        <v>13199</v>
      </c>
      <c r="BDV7" s="747" t="n">
        <v>13200</v>
      </c>
      <c r="BDW7" s="747" t="n">
        <v>13500</v>
      </c>
      <c r="BDX7" s="747" t="n">
        <v>13599</v>
      </c>
      <c r="BDY7" s="747" t="n">
        <v>13700</v>
      </c>
      <c r="BDZ7" s="747" t="n">
        <v>13800</v>
      </c>
      <c r="BEA7" s="747" t="n">
        <v>13900</v>
      </c>
      <c r="BEB7" s="747" t="n">
        <v>14100</v>
      </c>
      <c r="BEC7" s="747" t="n">
        <v>14300</v>
      </c>
      <c r="BED7" s="747" t="n">
        <v>14400</v>
      </c>
      <c r="BEE7" s="747" t="n">
        <v>14500</v>
      </c>
      <c r="BEF7" s="747" t="n">
        <v>14600</v>
      </c>
      <c r="BEG7" s="747" t="n">
        <v>15000</v>
      </c>
      <c r="BEH7" s="747" t="n">
        <v>15199</v>
      </c>
      <c r="BEI7" s="747" t="n">
        <v>11410</v>
      </c>
      <c r="BEJ7" s="747" t="n">
        <v>15300</v>
      </c>
      <c r="BEK7" s="747" t="n">
        <v>15499</v>
      </c>
      <c r="BEL7" s="747" t="n">
        <v>15500</v>
      </c>
      <c r="BEM7" s="747" t="n">
        <v>12799</v>
      </c>
      <c r="BEN7" s="747" t="n">
        <v>15800</v>
      </c>
      <c r="BEO7" s="747" t="n">
        <v>15900</v>
      </c>
      <c r="BEP7" s="747" t="n">
        <v>12599</v>
      </c>
      <c r="BEQ7" s="747" t="n">
        <v>16100</v>
      </c>
      <c r="BER7" s="747" t="n">
        <v>13499</v>
      </c>
      <c r="BES7" s="747" t="n">
        <v>13699</v>
      </c>
      <c r="BET7" s="747" t="n">
        <v>13899</v>
      </c>
      <c r="BEU7" s="747" t="n">
        <v>14099</v>
      </c>
      <c r="BEV7" s="747" t="n">
        <v>14299</v>
      </c>
      <c r="BEW7" s="747" t="n">
        <v>17400</v>
      </c>
      <c r="BEX7" s="747" t="n">
        <v>17600</v>
      </c>
      <c r="BEY7" s="747" t="n">
        <v>17800</v>
      </c>
      <c r="BEZ7" s="747" t="n">
        <v>17900</v>
      </c>
      <c r="BFA7" s="747" t="n">
        <v>12010</v>
      </c>
      <c r="BFB7" s="747" t="n">
        <v>11701</v>
      </c>
      <c r="BFC7" s="747" t="n">
        <v>20810</v>
      </c>
      <c r="BFD7" s="747" t="n">
        <v>20600</v>
      </c>
      <c r="BFE7" s="747" t="n">
        <v>20700</v>
      </c>
      <c r="BFF7" s="747" t="n">
        <v>20800</v>
      </c>
      <c r="BFG7" s="747" t="n">
        <v>21000</v>
      </c>
      <c r="BFH7" s="747" t="n">
        <v>21200</v>
      </c>
      <c r="BFI7" s="747" t="n">
        <v>21300</v>
      </c>
      <c r="BFJ7" s="747" t="n">
        <v>21400</v>
      </c>
      <c r="BFK7" s="747" t="n">
        <v>21500</v>
      </c>
      <c r="BFL7" s="747" t="n">
        <v>21700</v>
      </c>
      <c r="BFM7" s="747" t="n">
        <v>21900</v>
      </c>
      <c r="BFN7" s="747" t="n">
        <v>22000</v>
      </c>
      <c r="BFO7" s="747" t="n">
        <v>22100</v>
      </c>
      <c r="BFP7" s="747" t="n">
        <v>22200</v>
      </c>
      <c r="BFQ7" s="747" t="n">
        <v>22300</v>
      </c>
      <c r="BFR7" s="747" t="n">
        <v>22400</v>
      </c>
      <c r="BFS7" s="747" t="n">
        <v>21699</v>
      </c>
      <c r="BFT7" s="747" t="n">
        <v>22900</v>
      </c>
      <c r="BFU7" s="747" t="n">
        <v>21999</v>
      </c>
      <c r="BFV7" s="747" t="n">
        <v>23100</v>
      </c>
      <c r="BFW7" s="747" t="n">
        <v>23200</v>
      </c>
      <c r="BFX7" s="747" t="n">
        <v>23500</v>
      </c>
      <c r="BFY7" s="747" t="n">
        <v>23600</v>
      </c>
      <c r="BFZ7" s="747" t="n">
        <v>24640</v>
      </c>
      <c r="BGA7" s="747" t="n">
        <v>24400</v>
      </c>
      <c r="BGB7" s="747" t="n">
        <v>24500</v>
      </c>
      <c r="BGC7" s="747" t="n">
        <v>24600</v>
      </c>
      <c r="BGD7" s="747" t="n">
        <v>24700</v>
      </c>
      <c r="BGE7" s="747" t="n">
        <v>24900</v>
      </c>
      <c r="BGF7" s="747" t="n">
        <v>25000</v>
      </c>
      <c r="BGG7" s="747" t="n">
        <v>25100</v>
      </c>
      <c r="BGH7" s="747" t="n">
        <v>25200</v>
      </c>
      <c r="BGI7" s="747" t="n">
        <v>25300</v>
      </c>
      <c r="BGJ7" s="747" t="n">
        <v>25400</v>
      </c>
      <c r="BGK7" s="747" t="n">
        <v>25500</v>
      </c>
      <c r="BGL7" s="747" t="n">
        <v>25600</v>
      </c>
      <c r="BGM7" s="747" t="n">
        <v>25900</v>
      </c>
      <c r="BGN7" s="747" t="n">
        <v>26000</v>
      </c>
      <c r="BGO7" s="747" t="n">
        <v>24620</v>
      </c>
      <c r="BGP7" s="747" t="n">
        <v>26300</v>
      </c>
      <c r="BGQ7" s="747" t="n">
        <v>26400</v>
      </c>
      <c r="BGR7" s="747" t="n">
        <v>26600</v>
      </c>
      <c r="BGS7" s="747" t="n">
        <v>26700</v>
      </c>
      <c r="BGT7" s="747" t="n">
        <v>30000</v>
      </c>
      <c r="BGU7" s="747" t="n">
        <v>30100</v>
      </c>
      <c r="BGV7" s="747" t="n">
        <v>30300</v>
      </c>
      <c r="BGW7" s="747" t="n">
        <v>30425</v>
      </c>
      <c r="BGX7" s="747" t="n">
        <v>30400</v>
      </c>
      <c r="BGY7" s="747" t="n">
        <v>30450</v>
      </c>
      <c r="BGZ7" s="747" t="n">
        <v>30800</v>
      </c>
      <c r="BHA7" s="747" t="n">
        <v>31000</v>
      </c>
      <c r="BHB7" s="747" t="n">
        <v>31200</v>
      </c>
      <c r="BHC7" s="747" t="n">
        <v>31300</v>
      </c>
      <c r="BHD7" s="747" t="n">
        <v>31400</v>
      </c>
      <c r="BHE7" s="747" t="n">
        <v>31600</v>
      </c>
      <c r="BHF7" s="747" t="n">
        <v>31217</v>
      </c>
      <c r="BHG7" s="747" t="n">
        <v>31800</v>
      </c>
      <c r="BHH7" s="747" t="n">
        <v>31900</v>
      </c>
      <c r="BHI7" s="747" t="n">
        <v>32000</v>
      </c>
      <c r="BHJ7" s="747" t="n">
        <v>32300</v>
      </c>
      <c r="BHK7" s="747" t="n">
        <v>32400</v>
      </c>
      <c r="BHL7" s="747" t="n">
        <v>32010</v>
      </c>
      <c r="BHM7" s="747" t="n">
        <v>32600</v>
      </c>
      <c r="BHN7" s="747" t="n">
        <v>32700</v>
      </c>
      <c r="BHO7" s="747" t="n">
        <v>32020</v>
      </c>
      <c r="BHP7" s="747" t="n">
        <v>32900</v>
      </c>
      <c r="BHQ7" s="747" t="n">
        <v>33099</v>
      </c>
      <c r="BHR7" s="747" t="n">
        <v>33199</v>
      </c>
      <c r="BHS7" s="747" t="n">
        <v>33200</v>
      </c>
      <c r="BHT7" s="747" t="n">
        <v>33300</v>
      </c>
      <c r="BHU7" s="747" t="n">
        <v>33400</v>
      </c>
      <c r="BHV7" s="747" t="n">
        <v>33700</v>
      </c>
      <c r="BHW7" s="747" t="n">
        <v>33800</v>
      </c>
      <c r="BHX7" s="747" t="n">
        <v>33900</v>
      </c>
      <c r="BHY7" s="747" t="n">
        <v>34000</v>
      </c>
      <c r="BHZ7" s="747" t="n">
        <v>34200</v>
      </c>
      <c r="BIA7" s="747" t="n">
        <v>32005</v>
      </c>
      <c r="BIB7" s="747" t="n">
        <v>34900</v>
      </c>
      <c r="BIC7" s="747" t="n">
        <v>35000</v>
      </c>
      <c r="BID7" s="747" t="n">
        <v>36100</v>
      </c>
      <c r="BIE7" s="747" t="n">
        <v>30499</v>
      </c>
      <c r="BIF7" s="747" t="n">
        <v>35200</v>
      </c>
      <c r="BIG7" s="747" t="n">
        <v>34210</v>
      </c>
      <c r="BIH7" s="747" t="n">
        <v>35500</v>
      </c>
      <c r="BII7" s="747" t="n">
        <v>35700</v>
      </c>
      <c r="BIJ7" s="747" t="n">
        <v>36000</v>
      </c>
      <c r="BIK7" s="747" t="n">
        <v>35300</v>
      </c>
      <c r="BIL7" s="747" t="n">
        <v>31220</v>
      </c>
      <c r="BIM7" s="747" t="n">
        <v>31260</v>
      </c>
      <c r="BIN7" s="747" t="n">
        <v>30500</v>
      </c>
      <c r="BIO7" s="747" t="n">
        <v>31270</v>
      </c>
      <c r="BIP7" s="747" t="n">
        <v>50371</v>
      </c>
      <c r="BIQ7" s="747" t="n">
        <v>50372</v>
      </c>
      <c r="BIR7" s="747" t="n">
        <v>50373</v>
      </c>
      <c r="BIS7" s="747" t="n">
        <v>50374</v>
      </c>
      <c r="BIT7" s="747" t="n">
        <v>31205</v>
      </c>
      <c r="BIU7" s="747" t="n">
        <v>31210</v>
      </c>
      <c r="BIV7" s="747" t="n">
        <v>31215</v>
      </c>
      <c r="BIW7" s="747" t="n">
        <v>38100</v>
      </c>
      <c r="BIX7" s="747" t="n">
        <v>38101</v>
      </c>
      <c r="BIY7" s="747" t="n">
        <v>38106</v>
      </c>
      <c r="BIZ7" s="747" t="n">
        <v>38107</v>
      </c>
      <c r="BJA7" s="747" t="n">
        <v>38108</v>
      </c>
      <c r="BJB7" s="747" t="n">
        <v>38109</v>
      </c>
      <c r="BJC7" s="747" t="n">
        <v>38110</v>
      </c>
      <c r="BJD7" s="747" t="n">
        <v>38102</v>
      </c>
      <c r="BJE7" s="747" t="n">
        <v>38103</v>
      </c>
      <c r="BJF7" s="747" t="n">
        <v>38104</v>
      </c>
      <c r="BJG7" s="747" t="n">
        <v>31240</v>
      </c>
      <c r="BJH7" s="747" t="n">
        <v>31285</v>
      </c>
      <c r="BJI7" s="747" t="n">
        <v>50399</v>
      </c>
      <c r="BJJ7" s="747" t="n">
        <v>40600</v>
      </c>
      <c r="BJK7" s="747" t="n">
        <v>40900</v>
      </c>
      <c r="BJL7" s="747" t="n">
        <v>41000</v>
      </c>
      <c r="BJM7" s="747" t="n">
        <v>41200</v>
      </c>
      <c r="BJN7" s="747" t="n">
        <v>41300</v>
      </c>
      <c r="BJO7" s="747" t="n">
        <v>41400</v>
      </c>
      <c r="BJP7" s="747" t="n">
        <v>41500</v>
      </c>
      <c r="BJQ7" s="747" t="n">
        <v>41700</v>
      </c>
      <c r="BJR7" s="747" t="n">
        <v>41800</v>
      </c>
      <c r="BJS7" s="747" t="n">
        <v>42000</v>
      </c>
      <c r="BJT7" s="747" t="n">
        <v>40424</v>
      </c>
      <c r="BJU7" s="747" t="n">
        <v>40425</v>
      </c>
      <c r="BJV7" s="747" t="n">
        <v>40427</v>
      </c>
      <c r="BJW7" s="747" t="n">
        <v>42800</v>
      </c>
      <c r="BJX7" s="747" t="n">
        <v>43100</v>
      </c>
      <c r="BJY7" s="747" t="n">
        <v>43200</v>
      </c>
      <c r="BJZ7" s="747" t="n">
        <v>43300</v>
      </c>
      <c r="BKA7" s="747" t="n">
        <v>43400</v>
      </c>
      <c r="BKB7" s="747" t="n">
        <v>43500</v>
      </c>
      <c r="BKC7" s="747" t="n">
        <v>43700</v>
      </c>
      <c r="BKD7" s="747" t="n">
        <v>43800</v>
      </c>
      <c r="BKE7" s="747" t="n">
        <v>43900</v>
      </c>
      <c r="BKF7" s="747" t="n">
        <v>44000</v>
      </c>
      <c r="BKG7" s="747" t="n">
        <v>44100</v>
      </c>
      <c r="BKH7" s="747" t="n">
        <v>44800</v>
      </c>
      <c r="BKI7" s="747" t="n">
        <v>45110</v>
      </c>
      <c r="BKJ7" s="747" t="n">
        <v>45000</v>
      </c>
      <c r="BKK7" s="747" t="n">
        <v>45200</v>
      </c>
      <c r="BKL7" s="747" t="n">
        <v>45300</v>
      </c>
      <c r="BKM7" s="747" t="n">
        <v>45400</v>
      </c>
      <c r="BKN7" s="747" t="n">
        <v>45600</v>
      </c>
      <c r="BKO7" s="747" t="n">
        <v>45700</v>
      </c>
      <c r="BKP7" s="747" t="n">
        <v>46000</v>
      </c>
      <c r="BKQ7" s="747" t="n">
        <v>46100</v>
      </c>
      <c r="BKR7" s="747" t="n">
        <v>46200</v>
      </c>
      <c r="BKS7" s="747" t="n">
        <v>46500</v>
      </c>
      <c r="BKT7" s="747" t="n">
        <v>46600</v>
      </c>
      <c r="BKU7" s="747" t="n">
        <v>46800</v>
      </c>
      <c r="BKV7" s="747" t="n">
        <v>46900</v>
      </c>
      <c r="BKW7" s="747" t="n">
        <v>47600</v>
      </c>
      <c r="BKX7" s="747" t="n">
        <v>47900</v>
      </c>
      <c r="BKY7" s="747" t="n">
        <v>48400</v>
      </c>
      <c r="BKZ7" s="747" t="n">
        <v>48500</v>
      </c>
      <c r="BLA7" s="747" t="n">
        <v>48600</v>
      </c>
      <c r="BLB7" s="747" t="n">
        <v>48700</v>
      </c>
      <c r="BLC7" s="747" t="n">
        <v>48800</v>
      </c>
      <c r="BLD7" s="747" t="n">
        <v>49000</v>
      </c>
      <c r="BLE7" s="747" t="n">
        <v>50260</v>
      </c>
      <c r="BLF7" s="747" t="n">
        <v>50270</v>
      </c>
      <c r="BLG7" s="747" t="n">
        <v>50280</v>
      </c>
      <c r="BLH7" s="747" t="n">
        <v>50290</v>
      </c>
      <c r="BLI7" s="747" t="n">
        <v>50310</v>
      </c>
      <c r="BLJ7" s="747" t="n">
        <v>50320</v>
      </c>
      <c r="BLK7" s="747" t="n">
        <v>50330</v>
      </c>
      <c r="BLL7" s="747" t="n">
        <v>50340</v>
      </c>
      <c r="BLM7" s="747" t="n">
        <v>50410</v>
      </c>
      <c r="BLN7" s="747" t="n">
        <v>51106</v>
      </c>
      <c r="BLO7" s="747" t="n">
        <v>51090</v>
      </c>
      <c r="BLP7" s="747" t="n">
        <v>51100</v>
      </c>
      <c r="BLQ7" s="747" t="n">
        <v>51120</v>
      </c>
      <c r="BLR7" s="747" t="n">
        <v>51170</v>
      </c>
      <c r="BLS7" s="747" t="n">
        <v>51180</v>
      </c>
      <c r="BLT7" s="747" t="n">
        <v>51190</v>
      </c>
      <c r="BLU7" s="747" t="n">
        <v>51200</v>
      </c>
      <c r="BLV7" s="747" t="n">
        <v>51210</v>
      </c>
      <c r="BLW7" s="747" t="n">
        <v>51220</v>
      </c>
      <c r="BLX7" s="747" t="n">
        <v>51230</v>
      </c>
      <c r="BLY7" s="747" t="n">
        <v>51204</v>
      </c>
      <c r="BLZ7" s="747" t="n">
        <v>51205</v>
      </c>
      <c r="BMA7" s="747" t="n">
        <v>52300</v>
      </c>
      <c r="BMB7" s="747" t="n">
        <v>52630</v>
      </c>
      <c r="BMC7" s="747" t="n">
        <v>52670</v>
      </c>
      <c r="BMD7" s="747" t="n">
        <v>52730</v>
      </c>
      <c r="BME7" s="747" t="n">
        <v>52740</v>
      </c>
      <c r="BMF7" s="747" t="n">
        <v>52750</v>
      </c>
      <c r="BMG7" s="747" t="n">
        <v>52760</v>
      </c>
      <c r="BMH7" s="747" t="n">
        <v>52770</v>
      </c>
      <c r="BMI7" s="747" t="n">
        <v>52780</v>
      </c>
      <c r="BMJ7" s="747" t="n">
        <v>52790</v>
      </c>
      <c r="BMK7" s="747" t="n">
        <v>52800</v>
      </c>
      <c r="BML7" s="747" t="n">
        <v>52810</v>
      </c>
      <c r="BMM7" s="747" t="n">
        <v>52820</v>
      </c>
      <c r="BMN7" s="747" t="n">
        <v>52830</v>
      </c>
      <c r="BMO7" s="747" t="n">
        <v>52840</v>
      </c>
      <c r="BMP7" s="747" t="n">
        <v>52850</v>
      </c>
      <c r="BMQ7" s="747" t="n">
        <v>52920</v>
      </c>
      <c r="BMR7" s="747" t="n">
        <v>52930</v>
      </c>
      <c r="BMS7" s="747" t="n">
        <v>53080</v>
      </c>
      <c r="BMT7" s="747" t="n">
        <v>53210</v>
      </c>
      <c r="BMU7" s="747" t="n">
        <v>50329</v>
      </c>
      <c r="BMV7" s="747" t="n">
        <v>50339</v>
      </c>
      <c r="BMW7" s="747" t="n">
        <v>53300</v>
      </c>
      <c r="BMX7" s="747" t="n">
        <v>53350</v>
      </c>
      <c r="BMY7" s="747" t="n">
        <v>53370</v>
      </c>
      <c r="BMZ7" s="747" t="n">
        <v>53440</v>
      </c>
      <c r="BNA7" s="747" t="n">
        <v>53450</v>
      </c>
      <c r="BNB7" s="747" t="n">
        <v>53470</v>
      </c>
      <c r="BNC7" s="747" t="n">
        <v>53490</v>
      </c>
      <c r="BND7" s="747" t="n">
        <v>53500</v>
      </c>
      <c r="BNE7" s="747" t="n">
        <v>53510</v>
      </c>
      <c r="BNF7" s="747" t="n">
        <v>53530</v>
      </c>
      <c r="BNG7" s="747" t="n">
        <v>53540</v>
      </c>
      <c r="BNH7" s="747" t="n">
        <v>53550</v>
      </c>
      <c r="BNI7" s="747" t="n">
        <v>53590</v>
      </c>
      <c r="BNJ7" s="747" t="n">
        <v>53670</v>
      </c>
      <c r="BNK7" s="747" t="n">
        <v>53680</v>
      </c>
      <c r="BNL7" s="747" t="n">
        <v>53755</v>
      </c>
      <c r="BNM7" s="747" t="n">
        <v>54375</v>
      </c>
      <c r="BNN7" s="747" t="n">
        <v>54377</v>
      </c>
      <c r="BNO7" s="747" t="n">
        <v>54388</v>
      </c>
      <c r="BNP7" s="747" t="n">
        <v>54493</v>
      </c>
      <c r="BNQ7" s="747" t="n">
        <v>54494</v>
      </c>
      <c r="BNR7" s="747" t="n">
        <v>54610</v>
      </c>
      <c r="BNS7" s="747" t="n">
        <v>54780</v>
      </c>
      <c r="BNT7" s="747" t="n">
        <v>54790</v>
      </c>
      <c r="BNU7" s="747" t="n">
        <v>54920</v>
      </c>
      <c r="BNV7" s="747" t="n">
        <v>54950</v>
      </c>
      <c r="BNW7" s="747" t="n">
        <v>54960</v>
      </c>
      <c r="BNX7" s="747" t="n">
        <v>55070</v>
      </c>
      <c r="BNY7" s="747" t="n">
        <v>55080</v>
      </c>
      <c r="BNZ7" s="747" t="n">
        <v>55110</v>
      </c>
      <c r="BOA7" s="747" t="n">
        <v>55220</v>
      </c>
      <c r="BOB7" s="747" t="n">
        <v>55270</v>
      </c>
      <c r="BOC7" s="747" t="n">
        <v>55290</v>
      </c>
      <c r="BOD7" s="747" t="n">
        <v>55300</v>
      </c>
      <c r="BOE7" s="747" t="n">
        <v>55320</v>
      </c>
      <c r="BOF7" s="747" t="n">
        <v>55360</v>
      </c>
      <c r="BOG7" s="747" t="n">
        <v>55370</v>
      </c>
      <c r="BOH7" s="747" t="n">
        <v>55380</v>
      </c>
      <c r="BOI7" s="747" t="n">
        <v>55400</v>
      </c>
      <c r="BOJ7" s="747" t="n">
        <v>55550</v>
      </c>
      <c r="BOK7" s="747" t="n">
        <v>55660</v>
      </c>
      <c r="BOL7" s="747" t="n">
        <v>58040</v>
      </c>
      <c r="BOM7" s="747" t="n">
        <v>58080</v>
      </c>
      <c r="BON7" s="747" t="n">
        <v>58120</v>
      </c>
      <c r="BOO7" s="747" t="n">
        <v>58160</v>
      </c>
      <c r="BOP7" s="747" t="n">
        <v>58170</v>
      </c>
      <c r="BOQ7" s="747" t="n">
        <v>58175</v>
      </c>
      <c r="BOR7" s="747" t="n">
        <v>58180</v>
      </c>
      <c r="BOS7" s="747" t="n">
        <v>58185</v>
      </c>
      <c r="BOT7" s="747" t="n">
        <v>58189</v>
      </c>
      <c r="BOU7" s="747" t="n">
        <v>58200</v>
      </c>
      <c r="BOV7" s="747" t="n">
        <v>58209</v>
      </c>
      <c r="BOW7" s="747" t="n">
        <v>58210</v>
      </c>
      <c r="BOX7" s="747" t="n">
        <v>58220</v>
      </c>
      <c r="BOY7" s="747" t="n">
        <v>58229</v>
      </c>
      <c r="BOZ7" s="747" t="n">
        <v>58230</v>
      </c>
      <c r="BPA7" s="747" t="n">
        <v>58240</v>
      </c>
      <c r="BPB7" s="747" t="n">
        <v>58280</v>
      </c>
      <c r="BPC7" s="747" t="n">
        <v>58300</v>
      </c>
      <c r="BPD7" s="747" t="n">
        <v>58305</v>
      </c>
      <c r="BPE7" s="747" t="n">
        <v>58310</v>
      </c>
      <c r="BPF7" s="747" t="n">
        <v>58315</v>
      </c>
      <c r="BPG7" s="747" t="n">
        <v>58316</v>
      </c>
      <c r="BPH7" s="747" t="n">
        <v>58320</v>
      </c>
      <c r="BPI7" s="747" t="n">
        <v>58325</v>
      </c>
      <c r="BPJ7" s="747" t="n">
        <v>58326</v>
      </c>
      <c r="BPK7" s="747" t="n">
        <v>58330</v>
      </c>
      <c r="BPL7" s="747" t="n">
        <v>58357</v>
      </c>
      <c r="BPM7" s="747" t="n">
        <v>58360</v>
      </c>
      <c r="BPN7" s="747" t="n">
        <v>58400</v>
      </c>
      <c r="BPO7" s="747" t="n">
        <v>58440</v>
      </c>
      <c r="BPP7" s="747" t="n">
        <v>58480</v>
      </c>
      <c r="BPQ7" s="747" t="n">
        <v>58500</v>
      </c>
      <c r="BPR7" s="747" t="n">
        <v>58520</v>
      </c>
      <c r="BPS7" s="747" t="n">
        <v>58560</v>
      </c>
      <c r="BPT7" s="747" t="n">
        <v>58560</v>
      </c>
      <c r="BPU7" s="747" t="n">
        <v>58560</v>
      </c>
      <c r="BPV7" s="747" t="n">
        <v>58600</v>
      </c>
      <c r="BPW7" s="747" t="n">
        <v>58600</v>
      </c>
      <c r="BPX7" s="747" t="n">
        <v>58600</v>
      </c>
      <c r="BPY7" s="747" t="n">
        <v>58640</v>
      </c>
      <c r="BPZ7" s="747" t="n">
        <v>58689</v>
      </c>
      <c r="BQA7" s="747" t="n">
        <v>58729</v>
      </c>
      <c r="BQB7" s="747" t="n">
        <v>58750</v>
      </c>
      <c r="BQC7" s="747" t="n">
        <v>58769</v>
      </c>
      <c r="BQD7" s="747" t="n">
        <v>58800</v>
      </c>
      <c r="BQE7" s="747" t="n">
        <v>58810</v>
      </c>
      <c r="BQF7" s="747" t="n">
        <v>58820</v>
      </c>
      <c r="BQG7" s="747" t="n">
        <v>58830</v>
      </c>
      <c r="BQH7" s="747" t="n">
        <v>58840</v>
      </c>
      <c r="BQI7" s="747" t="n">
        <v>58840</v>
      </c>
      <c r="BQJ7" s="747" t="n">
        <v>58969</v>
      </c>
      <c r="BQK7" s="747" t="n">
        <v>58970</v>
      </c>
      <c r="BQL7" s="747" t="n">
        <v>58980</v>
      </c>
      <c r="BQM7" s="747" t="n">
        <v>59000</v>
      </c>
      <c r="BQN7" s="747" t="n">
        <v>59010</v>
      </c>
      <c r="BQO7" s="747" t="n">
        <v>59020</v>
      </c>
      <c r="BQP7" s="747" t="n">
        <v>59030</v>
      </c>
      <c r="BQQ7" s="747" t="n">
        <v>59040</v>
      </c>
      <c r="BQR7" s="747" t="n">
        <v>59050</v>
      </c>
      <c r="BQS7" s="747" t="n">
        <v>59070</v>
      </c>
      <c r="BQT7" s="747" t="n">
        <v>59090</v>
      </c>
      <c r="BQU7" s="747" t="n">
        <v>59090</v>
      </c>
      <c r="BQV7" s="747" t="n">
        <v>59090</v>
      </c>
      <c r="BQW7" s="747" t="n">
        <v>59120</v>
      </c>
      <c r="BQX7" s="747" t="n">
        <v>59140</v>
      </c>
      <c r="BQY7" s="747" t="n">
        <v>59141</v>
      </c>
      <c r="BQZ7" s="747" t="n">
        <v>59160</v>
      </c>
      <c r="BRA7" s="747" t="n">
        <v>59160</v>
      </c>
      <c r="BRB7" s="747" t="n">
        <v>59180</v>
      </c>
      <c r="BRC7" s="747" t="n">
        <v>59180</v>
      </c>
      <c r="BRD7" s="747" t="n">
        <v>59200</v>
      </c>
      <c r="BRE7" s="747" t="n">
        <v>59200</v>
      </c>
      <c r="BRF7" s="747" t="n">
        <v>59200</v>
      </c>
      <c r="BRG7" s="747" t="n">
        <v>59200</v>
      </c>
      <c r="BRH7" s="747" t="n">
        <v>59310</v>
      </c>
      <c r="BRI7" s="747" t="n">
        <v>59320</v>
      </c>
      <c r="BRJ7" s="747" t="n">
        <v>59330</v>
      </c>
      <c r="BRK7" s="747" t="n">
        <v>59340</v>
      </c>
      <c r="BRL7" s="747" t="n">
        <v>59360</v>
      </c>
      <c r="BRM7" s="747" t="n">
        <v>59370</v>
      </c>
      <c r="BRN7" s="747" t="n">
        <v>59430</v>
      </c>
      <c r="BRO7" s="747" t="n">
        <v>59440</v>
      </c>
      <c r="BRP7" s="747" t="n">
        <v>59450</v>
      </c>
      <c r="BRQ7" s="747" t="n">
        <v>59460</v>
      </c>
      <c r="BRR7" s="747" t="n">
        <v>59470</v>
      </c>
      <c r="BRS7" s="747" t="n">
        <v>59700</v>
      </c>
      <c r="BRT7" s="747" t="n">
        <v>59710</v>
      </c>
      <c r="BRU7" s="747" t="n">
        <v>59720</v>
      </c>
      <c r="BRV7" s="747" t="n">
        <v>59730</v>
      </c>
      <c r="BRW7" s="747" t="n">
        <v>59740</v>
      </c>
      <c r="BRX7" s="747" t="n">
        <v>59750</v>
      </c>
      <c r="BRY7" s="747" t="n">
        <v>59760</v>
      </c>
      <c r="BRZ7" s="747" t="n">
        <v>59770</v>
      </c>
      <c r="BSA7" s="747" t="n">
        <v>59780</v>
      </c>
      <c r="BSB7" s="747" t="n">
        <v>60030</v>
      </c>
      <c r="BSC7" s="747" t="n">
        <v>60070</v>
      </c>
      <c r="BSD7" s="747" t="n">
        <v>60100</v>
      </c>
      <c r="BSE7" s="747" t="n">
        <v>60101</v>
      </c>
      <c r="BSF7" s="747" t="n">
        <v>60102</v>
      </c>
      <c r="BSG7" s="747" t="n">
        <v>60103</v>
      </c>
      <c r="BSH7" s="747" t="n">
        <v>60104</v>
      </c>
      <c r="BSI7" s="747" t="n">
        <v>60330</v>
      </c>
      <c r="BSJ7" s="747" t="n">
        <v>60350</v>
      </c>
      <c r="BSK7" s="747" t="n">
        <v>60360</v>
      </c>
      <c r="BSL7" s="747" t="n">
        <v>60400</v>
      </c>
      <c r="BSM7" s="747" t="n">
        <v>60450</v>
      </c>
      <c r="BSN7" s="747" t="n">
        <v>60470</v>
      </c>
      <c r="BSO7" s="747" t="n">
        <v>60480</v>
      </c>
      <c r="BSP7" s="747" t="n">
        <v>60490</v>
      </c>
      <c r="BSQ7" s="747" t="n">
        <v>60495</v>
      </c>
      <c r="BSR7" s="747" t="n">
        <v>60510</v>
      </c>
      <c r="BSS7" s="747" t="n">
        <v>60530</v>
      </c>
      <c r="BST7" s="747" t="n">
        <v>60550</v>
      </c>
      <c r="BSU7" s="747" t="n">
        <v>60560</v>
      </c>
      <c r="BSV7" s="747" t="n">
        <v>60570</v>
      </c>
      <c r="BSW7" s="747" t="n">
        <v>60700</v>
      </c>
      <c r="BSX7" s="747" t="n">
        <v>60710</v>
      </c>
      <c r="BSY7" s="747" t="n">
        <v>60720</v>
      </c>
      <c r="BSZ7" s="747" t="n">
        <v>60740</v>
      </c>
      <c r="BTA7" s="747" t="n">
        <v>60760</v>
      </c>
      <c r="BTB7" s="747" t="n">
        <v>60800</v>
      </c>
      <c r="BTC7" s="747" t="n">
        <v>60830</v>
      </c>
      <c r="BTD7" s="747" t="n">
        <v>60835</v>
      </c>
      <c r="BTE7" s="747" t="n">
        <v>60850</v>
      </c>
      <c r="BTF7" s="747" t="n">
        <v>60855</v>
      </c>
      <c r="BTG7" s="747" t="n">
        <v>60860</v>
      </c>
      <c r="BTH7" s="747" t="n">
        <v>60890</v>
      </c>
      <c r="BTI7" s="747" t="n">
        <v>60900</v>
      </c>
      <c r="BTJ7" s="747" t="n">
        <v>60920</v>
      </c>
      <c r="BTK7" s="747" t="n">
        <v>60940</v>
      </c>
      <c r="BTL7" s="747" t="n">
        <v>60950</v>
      </c>
      <c r="BTM7" s="747" t="n">
        <v>60969</v>
      </c>
      <c r="BTN7" s="747" t="n">
        <v>60970</v>
      </c>
      <c r="BTO7" s="747" t="n">
        <v>60970</v>
      </c>
      <c r="BTP7" s="747" t="n">
        <v>60999</v>
      </c>
      <c r="BTQ7" s="747" t="n">
        <v>60999</v>
      </c>
      <c r="BTR7" s="747" t="n">
        <v>61020</v>
      </c>
      <c r="BTS7" s="747" t="n">
        <v>61040</v>
      </c>
      <c r="BTT7" s="747" t="n">
        <v>61050</v>
      </c>
      <c r="BTU7" s="747" t="n">
        <v>61060</v>
      </c>
      <c r="BTV7" s="747" t="n">
        <v>61070</v>
      </c>
      <c r="BTW7" s="747" t="n">
        <v>61080</v>
      </c>
      <c r="BTX7" s="747" t="n">
        <v>61100</v>
      </c>
      <c r="BTY7" s="747" t="n">
        <v>61120</v>
      </c>
      <c r="BTZ7" s="747" t="n">
        <v>61120</v>
      </c>
      <c r="BUA7" s="747" t="n">
        <v>61140</v>
      </c>
      <c r="BUB7" s="747" t="n">
        <v>61140</v>
      </c>
      <c r="BUC7" s="747" t="n">
        <v>61160</v>
      </c>
      <c r="BUD7" s="747" t="n">
        <v>61170</v>
      </c>
      <c r="BUE7" s="747" t="n">
        <v>61200</v>
      </c>
      <c r="BUF7" s="747" t="n">
        <v>61210</v>
      </c>
      <c r="BUG7" s="747" t="n">
        <v>61220</v>
      </c>
      <c r="BUH7" s="747" t="n">
        <v>61230</v>
      </c>
      <c r="BUI7" s="747" t="n">
        <v>61240</v>
      </c>
      <c r="BUJ7" s="747" t="n">
        <v>61250</v>
      </c>
      <c r="BUK7" s="747" t="n">
        <v>61255</v>
      </c>
      <c r="BUL7" s="747" t="n">
        <v>61260</v>
      </c>
      <c r="BUM7" s="747" t="n">
        <v>61268</v>
      </c>
      <c r="BUN7" s="747" t="n">
        <v>61310</v>
      </c>
      <c r="BUO7" s="747" t="n">
        <v>61340</v>
      </c>
      <c r="BUP7" s="747" t="n">
        <v>61380</v>
      </c>
      <c r="BUQ7" s="747" t="n">
        <v>61390</v>
      </c>
      <c r="BUR7" s="747" t="n">
        <v>61430</v>
      </c>
      <c r="BUS7" s="747" t="n">
        <v>61470</v>
      </c>
      <c r="BUT7" s="747" t="n">
        <v>61480</v>
      </c>
      <c r="BUU7" s="747" t="n">
        <v>61484</v>
      </c>
      <c r="BUV7" s="747" t="n">
        <v>61490</v>
      </c>
      <c r="BUW7" s="747" t="n">
        <v>61499</v>
      </c>
      <c r="BUX7" s="747" t="n">
        <v>61500</v>
      </c>
      <c r="BUY7" s="747" t="n">
        <v>61510</v>
      </c>
      <c r="BUZ7" s="747" t="n">
        <v>61520</v>
      </c>
      <c r="BVA7" s="747" t="n">
        <v>61540</v>
      </c>
      <c r="BVB7" s="747" t="n">
        <v>61550</v>
      </c>
      <c r="BVC7" s="747" t="n">
        <v>61560</v>
      </c>
      <c r="BVD7" s="747" t="n">
        <v>61570</v>
      </c>
      <c r="BVE7" s="747" t="n">
        <v>61580</v>
      </c>
      <c r="BVF7" s="747" t="n">
        <v>61590</v>
      </c>
      <c r="BVG7" s="747" t="n">
        <v>61670</v>
      </c>
      <c r="BVH7" s="747" t="n">
        <v>61690</v>
      </c>
      <c r="BVI7" s="747" t="n">
        <v>61700</v>
      </c>
      <c r="BVJ7" s="747" t="n">
        <v>61710</v>
      </c>
      <c r="BVK7" s="747" t="n">
        <v>61720</v>
      </c>
      <c r="BVL7" s="747" t="n">
        <v>61740</v>
      </c>
      <c r="BVM7" s="747" t="n">
        <v>61750</v>
      </c>
      <c r="BVN7" s="747" t="n">
        <v>61770</v>
      </c>
      <c r="BVO7" s="747" t="n">
        <v>61780</v>
      </c>
      <c r="BVP7" s="747" t="n">
        <v>61790</v>
      </c>
      <c r="BVQ7" s="747" t="n">
        <v>61794</v>
      </c>
      <c r="BVR7" s="747" t="n">
        <v>61800</v>
      </c>
      <c r="BVS7" s="747" t="n">
        <v>61820</v>
      </c>
      <c r="BVT7" s="747" t="n">
        <v>61830</v>
      </c>
      <c r="BVU7" s="747" t="n">
        <v>61840</v>
      </c>
      <c r="BVV7" s="747" t="n">
        <v>61850</v>
      </c>
      <c r="BVW7" s="747" t="n">
        <v>61860</v>
      </c>
      <c r="BVX7" s="747" t="n">
        <v>61870</v>
      </c>
      <c r="BVY7" s="747" t="n">
        <v>61880</v>
      </c>
      <c r="BVZ7" s="747" t="n">
        <v>61890</v>
      </c>
      <c r="BWA7" s="747" t="n">
        <v>61950</v>
      </c>
      <c r="BWB7" s="747" t="n">
        <v>61970</v>
      </c>
      <c r="BWC7" s="747" t="n">
        <v>61990</v>
      </c>
      <c r="BWD7" s="747" t="n">
        <v>62100</v>
      </c>
      <c r="BWE7" s="747" t="n">
        <v>62150</v>
      </c>
      <c r="BWF7" s="747" t="n">
        <v>62150</v>
      </c>
      <c r="BWG7" s="747" t="n">
        <v>62180</v>
      </c>
      <c r="BWH7" s="747" t="n">
        <v>62200</v>
      </c>
      <c r="BWI7" s="747" t="n">
        <v>62201</v>
      </c>
      <c r="BWJ7" s="747" t="n">
        <v>62202</v>
      </c>
      <c r="BWK7" s="747" t="n">
        <v>62203</v>
      </c>
      <c r="BWL7" s="747" t="n">
        <v>62290</v>
      </c>
      <c r="BWM7" s="747" t="n">
        <v>62400</v>
      </c>
      <c r="BWN7" s="747" t="n">
        <v>62450</v>
      </c>
      <c r="BWO7" s="747" t="n">
        <v>62460</v>
      </c>
      <c r="BWP7" s="747" t="n">
        <v>62470</v>
      </c>
      <c r="BWQ7" s="747" t="n">
        <v>62480</v>
      </c>
      <c r="BWR7" s="747" t="n">
        <v>62490</v>
      </c>
      <c r="BWS7" s="747" t="n">
        <v>62510</v>
      </c>
      <c r="BWT7" s="747" t="n">
        <v>62550</v>
      </c>
      <c r="BWU7" s="747" t="n">
        <v>63100</v>
      </c>
      <c r="BWV7" s="747" t="n">
        <v>63110</v>
      </c>
      <c r="BWW7" s="747" t="n">
        <v>63220</v>
      </c>
      <c r="BWX7" s="747" t="n">
        <v>63255</v>
      </c>
      <c r="BWY7" s="747" t="n">
        <v>63260</v>
      </c>
      <c r="BWZ7" s="747" t="n">
        <v>63265</v>
      </c>
      <c r="BXA7" s="747" t="n">
        <v>63270</v>
      </c>
      <c r="BXB7" s="747" t="n">
        <v>63280</v>
      </c>
      <c r="BXC7" s="747" t="n">
        <v>63300</v>
      </c>
      <c r="BXD7" s="747" t="n">
        <v>63360</v>
      </c>
      <c r="BXE7" s="747" t="n">
        <v>63370</v>
      </c>
      <c r="BXF7" s="747" t="n">
        <v>63380</v>
      </c>
      <c r="BXG7" s="747" t="n">
        <v>63390</v>
      </c>
      <c r="BXH7" s="747" t="n">
        <v>63400</v>
      </c>
      <c r="BXI7" s="747" t="n">
        <v>63410</v>
      </c>
      <c r="BXJ7" s="747" t="n">
        <v>63420</v>
      </c>
      <c r="BXK7" s="747" t="n">
        <v>63430</v>
      </c>
      <c r="BXL7" s="747" t="n">
        <v>63440</v>
      </c>
      <c r="BXM7" s="747" t="n">
        <v>63450</v>
      </c>
      <c r="BXN7" s="747" t="n">
        <v>63460</v>
      </c>
      <c r="BXO7" s="747" t="n">
        <v>63470</v>
      </c>
      <c r="BXP7" s="747" t="n">
        <v>63480</v>
      </c>
      <c r="BXQ7" s="747" t="n">
        <v>63490</v>
      </c>
      <c r="BXR7" s="747" t="n">
        <v>63500</v>
      </c>
      <c r="BXS7" s="747" t="n">
        <v>63510</v>
      </c>
      <c r="BXT7" s="747" t="n">
        <v>63554</v>
      </c>
      <c r="BXU7" s="747" t="n">
        <v>63557</v>
      </c>
      <c r="BXV7" s="747" t="n">
        <v>63600</v>
      </c>
      <c r="BXW7" s="747" t="n">
        <v>63601</v>
      </c>
      <c r="BXX7" s="747" t="n">
        <v>63602</v>
      </c>
      <c r="BXY7" s="747" t="n">
        <v>63603</v>
      </c>
      <c r="BXZ7" s="747" t="n">
        <v>63640</v>
      </c>
      <c r="BYA7" s="747" t="n">
        <v>63710</v>
      </c>
      <c r="BYB7" s="747" t="n">
        <v>63790</v>
      </c>
      <c r="BYC7" s="747" t="n">
        <v>63800</v>
      </c>
      <c r="BYD7" s="747" t="n">
        <v>63810</v>
      </c>
      <c r="BYE7" s="747" t="n">
        <v>63811</v>
      </c>
      <c r="BYF7" s="747" t="n">
        <v>63812</v>
      </c>
      <c r="BYG7" s="747" t="n">
        <v>63813</v>
      </c>
      <c r="BYH7" s="747" t="n">
        <v>63830</v>
      </c>
      <c r="BYI7" s="747" t="n">
        <v>63831</v>
      </c>
      <c r="BYJ7" s="747" t="n">
        <v>63832</v>
      </c>
      <c r="BYK7" s="747" t="n">
        <v>63833</v>
      </c>
      <c r="BYL7" s="747" t="n">
        <v>63840</v>
      </c>
      <c r="BYM7" s="747" t="n">
        <v>63850</v>
      </c>
      <c r="BYN7" s="747" t="n">
        <v>63860</v>
      </c>
      <c r="BYO7" s="747" t="n">
        <v>63940</v>
      </c>
      <c r="BYP7" s="747" t="n">
        <v>63990</v>
      </c>
      <c r="BYQ7" s="747" t="n">
        <v>63991</v>
      </c>
      <c r="BYR7" s="747" t="n">
        <v>64850</v>
      </c>
      <c r="BYS7" s="747" t="n">
        <v>64857</v>
      </c>
      <c r="BYT7" s="747" t="n">
        <v>64860</v>
      </c>
      <c r="BYU7" s="747" t="n">
        <v>65210</v>
      </c>
      <c r="BYV7" s="747" t="n">
        <v>65220</v>
      </c>
      <c r="BYW7" s="747" t="n">
        <v>66250</v>
      </c>
      <c r="BYX7" s="747" t="n">
        <v>66260</v>
      </c>
      <c r="BYY7" s="747" t="n">
        <v>66270</v>
      </c>
      <c r="BYZ7" s="747" t="n">
        <v>66300</v>
      </c>
      <c r="BZA7" s="747" t="n">
        <v>66310</v>
      </c>
      <c r="BZB7" s="747" t="n">
        <v>66320</v>
      </c>
      <c r="BZC7" s="747" t="n">
        <v>66360</v>
      </c>
      <c r="BZD7" s="747" t="n">
        <v>66370</v>
      </c>
      <c r="BZE7" s="747" t="n">
        <v>66380</v>
      </c>
      <c r="BZF7" s="747" t="n">
        <v>66420</v>
      </c>
      <c r="BZG7" s="747" t="n">
        <v>66430</v>
      </c>
      <c r="BZH7" s="747" t="n">
        <v>66440</v>
      </c>
      <c r="BZI7" s="747" t="n">
        <v>66480</v>
      </c>
      <c r="BZJ7" s="747" t="n">
        <v>66490</v>
      </c>
      <c r="BZK7" s="747" t="n">
        <v>66500</v>
      </c>
      <c r="BZL7" s="747" t="n">
        <v>66815</v>
      </c>
      <c r="BZM7" s="747" t="n">
        <v>66840</v>
      </c>
      <c r="BZN7" s="747" t="n">
        <v>66843</v>
      </c>
      <c r="BZO7" s="747" t="n">
        <v>66844</v>
      </c>
      <c r="BZP7" s="747" t="n">
        <v>66848</v>
      </c>
      <c r="BZQ7" s="747" t="n">
        <v>66850</v>
      </c>
      <c r="BZR7" s="747" t="n">
        <v>66883</v>
      </c>
      <c r="BZS7" s="747" t="n">
        <v>66905</v>
      </c>
      <c r="BZT7" s="747" t="n">
        <v>66910</v>
      </c>
      <c r="BZU7" s="747" t="n">
        <v>66920</v>
      </c>
      <c r="BZV7" s="747" t="n">
        <v>66960</v>
      </c>
      <c r="BZW7" s="747" t="n">
        <v>66990</v>
      </c>
      <c r="BZX7" s="747" t="n">
        <v>67030</v>
      </c>
      <c r="BZY7" s="747" t="n">
        <v>67060</v>
      </c>
      <c r="BZZ7" s="747" t="n">
        <v>67120</v>
      </c>
      <c r="CAA7" s="747" t="n">
        <v>67130</v>
      </c>
      <c r="CAB7" s="747" t="n">
        <v>67135</v>
      </c>
      <c r="CAC7" s="747" t="n">
        <v>67140</v>
      </c>
      <c r="CAD7" s="747" t="n">
        <v>67170</v>
      </c>
      <c r="CAE7" s="747" t="n">
        <v>67180</v>
      </c>
      <c r="CAF7" s="747" t="n">
        <v>67190</v>
      </c>
      <c r="CAG7" s="747" t="n">
        <v>67193</v>
      </c>
      <c r="CAH7" s="747" t="n">
        <v>67195</v>
      </c>
      <c r="CAI7" s="747" t="n">
        <v>67197</v>
      </c>
      <c r="CAJ7" s="747" t="n">
        <v>67200</v>
      </c>
      <c r="CAK7" s="747" t="n">
        <v>67210</v>
      </c>
      <c r="CAL7" s="747" t="n">
        <v>67220</v>
      </c>
      <c r="CAM7" s="747" t="n">
        <v>67490</v>
      </c>
      <c r="CAN7" s="747" t="n">
        <v>67507</v>
      </c>
      <c r="CAO7" s="747" t="n">
        <v>67520</v>
      </c>
      <c r="CAP7" s="747" t="n">
        <v>67529</v>
      </c>
      <c r="CAQ7" s="747" t="n">
        <v>67540</v>
      </c>
      <c r="CAR7" s="747" t="n">
        <v>67560</v>
      </c>
      <c r="CAS7" s="747" t="n">
        <v>67650</v>
      </c>
      <c r="CAT7" s="747" t="n">
        <v>67820</v>
      </c>
      <c r="CAU7" s="747" t="n">
        <v>67830</v>
      </c>
      <c r="CAV7" s="747" t="n">
        <v>67840</v>
      </c>
      <c r="CAW7" s="747" t="n">
        <v>67860</v>
      </c>
      <c r="CAX7" s="747" t="n">
        <v>67870</v>
      </c>
      <c r="CAY7" s="747" t="n">
        <v>67880</v>
      </c>
      <c r="CAZ7" s="747" t="n">
        <v>67890</v>
      </c>
      <c r="CBA7" s="747" t="n">
        <v>67910</v>
      </c>
      <c r="CBB7" s="747" t="n">
        <v>67914</v>
      </c>
      <c r="CBC7" s="747" t="n">
        <v>67918</v>
      </c>
      <c r="CBD7" s="747" t="n">
        <v>67920</v>
      </c>
      <c r="CBE7" s="747" t="n">
        <v>67930</v>
      </c>
      <c r="CBF7" s="747" t="n">
        <v>67950</v>
      </c>
      <c r="CBG7" s="747" t="n">
        <v>67954</v>
      </c>
      <c r="CBH7" s="747" t="n">
        <v>67960</v>
      </c>
      <c r="CBI7" s="747" t="n">
        <v>67980</v>
      </c>
      <c r="CBJ7" s="747" t="n">
        <v>67990</v>
      </c>
      <c r="CBK7" s="747" t="n">
        <v>68020</v>
      </c>
      <c r="CBL7" s="747" t="n">
        <v>68025</v>
      </c>
      <c r="CBM7" s="747" t="n">
        <v>68026</v>
      </c>
      <c r="CBN7" s="747" t="n">
        <v>68030</v>
      </c>
      <c r="CBO7" s="747" t="n">
        <v>68040</v>
      </c>
      <c r="CBP7" s="747" t="n">
        <v>68050</v>
      </c>
      <c r="CBQ7" s="747" t="n">
        <v>68080</v>
      </c>
      <c r="CBR7" s="747" t="n">
        <v>68100</v>
      </c>
      <c r="CBS7" s="747" t="n">
        <v>68110</v>
      </c>
      <c r="CBT7" s="747" t="n">
        <v>68140</v>
      </c>
      <c r="CBU7" s="747" t="n">
        <v>68150</v>
      </c>
      <c r="CBV7" s="747" t="n">
        <v>68200</v>
      </c>
      <c r="CBW7" s="747" t="n">
        <v>68210</v>
      </c>
      <c r="CBX7" s="747" t="n">
        <v>68220</v>
      </c>
      <c r="CBY7" s="747" t="n">
        <v>68230</v>
      </c>
      <c r="CBZ7" s="747" t="n">
        <v>68240</v>
      </c>
      <c r="CCA7" s="747" t="n">
        <v>68250</v>
      </c>
      <c r="CCB7" s="747" t="n">
        <v>68270</v>
      </c>
      <c r="CCC7" s="747" t="n">
        <v>68280</v>
      </c>
      <c r="CCD7" s="747" t="n">
        <v>68330</v>
      </c>
      <c r="CCE7" s="747" t="n">
        <v>68340</v>
      </c>
      <c r="CCF7" s="747" t="n">
        <v>68360</v>
      </c>
      <c r="CCG7" s="747" t="n">
        <v>68370</v>
      </c>
      <c r="CCH7" s="747" t="n">
        <v>68380</v>
      </c>
      <c r="CCI7" s="747" t="n">
        <v>68800</v>
      </c>
      <c r="CCJ7" s="747" t="n">
        <v>68810</v>
      </c>
      <c r="CCK7" s="747" t="n">
        <v>68820</v>
      </c>
      <c r="CCL7" s="747" t="n">
        <v>68830</v>
      </c>
      <c r="CCM7" s="747" t="n">
        <v>68840</v>
      </c>
      <c r="CCN7" s="747" t="n">
        <v>68850</v>
      </c>
      <c r="CCO7" s="747" t="n">
        <v>10019</v>
      </c>
      <c r="CCP7" s="747" t="n">
        <v>10026</v>
      </c>
      <c r="CCQ7" s="747" t="n">
        <v>59350</v>
      </c>
      <c r="CCR7" s="747" t="n">
        <v>60489</v>
      </c>
      <c r="CCS7" s="747" t="n">
        <v>60491</v>
      </c>
      <c r="CCT7" s="747" t="n">
        <v>60496</v>
      </c>
      <c r="CCU7" s="747" t="n">
        <v>62140</v>
      </c>
      <c r="CCV7" s="747" t="n">
        <v>62250</v>
      </c>
      <c r="CCW7" s="747" t="n">
        <v>62300</v>
      </c>
      <c r="CCX7" s="747" t="n">
        <v>63045</v>
      </c>
      <c r="CCY7" s="747" t="n">
        <v>63047</v>
      </c>
      <c r="CCZ7" s="747" t="n">
        <v>63050</v>
      </c>
      <c r="CDA7" s="747" t="n">
        <v>63855</v>
      </c>
      <c r="CDB7" s="747" t="n">
        <v>10105</v>
      </c>
      <c r="CDC7" s="747" t="n">
        <v>11905</v>
      </c>
      <c r="CDD7" s="747" t="n">
        <v>13010</v>
      </c>
      <c r="CDE7" s="747" t="n">
        <v>22215</v>
      </c>
      <c r="CDF7" s="747" t="n">
        <v>32001</v>
      </c>
      <c r="CDG7" s="747" t="n">
        <v>38105</v>
      </c>
      <c r="CDH7" s="747" t="inlineStr">
        <is>
          <t>Tax Year Filed</t>
        </is>
      </c>
      <c r="CDI7" s="747" t="inlineStr">
        <is>
          <t>Taxing Province</t>
        </is>
      </c>
      <c r="CDJ7" s="747" t="inlineStr">
        <is>
          <t>Marital Status</t>
        </is>
      </c>
      <c r="CDK7" s="747" t="inlineStr">
        <is>
          <t>Balance before penalty and interest</t>
        </is>
      </c>
      <c r="CDL7" s="747" t="inlineStr">
        <is>
          <t>Balance before penalty and interest</t>
        </is>
      </c>
      <c r="CDM7" s="747" t="inlineStr">
        <is>
          <t>Final balance</t>
        </is>
      </c>
      <c r="CDN7" s="747" t="inlineStr">
        <is>
          <t>Basic federal tax</t>
        </is>
      </c>
      <c r="CDO7" s="747" t="inlineStr">
        <is>
          <t>Basic provincial or territorial tax</t>
        </is>
      </c>
      <c r="CDP7" s="747" t="inlineStr">
        <is>
          <t>Ontario Health Premium</t>
        </is>
      </c>
      <c r="CDQ7" s="747" t="n">
        <v>10100</v>
      </c>
      <c r="CDR7" s="747" t="n">
        <v>10120</v>
      </c>
      <c r="CDS7" s="747" t="n">
        <v>10130</v>
      </c>
      <c r="CDT7" s="747" t="n">
        <v>10400</v>
      </c>
      <c r="CDU7" s="747" t="n">
        <v>10699</v>
      </c>
      <c r="CDV7" s="747" t="n">
        <v>10700</v>
      </c>
      <c r="CDW7" s="747" t="n">
        <v>10999</v>
      </c>
      <c r="CDX7" s="747" t="n">
        <v>11000</v>
      </c>
      <c r="CDY7" s="747" t="n">
        <v>11300</v>
      </c>
      <c r="CDZ7" s="747" t="n">
        <v>11400</v>
      </c>
      <c r="CEA7" s="747" t="n">
        <v>11500</v>
      </c>
      <c r="CEB7" s="747" t="n">
        <v>11600</v>
      </c>
      <c r="CEC7" s="747" t="n">
        <v>11700</v>
      </c>
      <c r="CED7" s="747" t="n">
        <v>11900</v>
      </c>
      <c r="CEE7" s="747" t="n">
        <v>12000</v>
      </c>
      <c r="CEF7" s="747" t="n">
        <v>12100</v>
      </c>
      <c r="CEG7" s="747" t="n">
        <v>12200</v>
      </c>
      <c r="CEH7" s="747" t="n">
        <v>12399</v>
      </c>
      <c r="CEI7" s="747" t="n">
        <v>12400</v>
      </c>
      <c r="CEJ7" s="747" t="n">
        <v>12500</v>
      </c>
      <c r="CEK7" s="747" t="n">
        <v>12600</v>
      </c>
      <c r="CEL7" s="747" t="n">
        <v>12700</v>
      </c>
      <c r="CEM7" s="747" t="n">
        <v>12800</v>
      </c>
      <c r="CEN7" s="747" t="n">
        <v>12900</v>
      </c>
      <c r="CEO7" s="747" t="n">
        <v>13000</v>
      </c>
      <c r="CEP7" s="747" t="n">
        <v>13199</v>
      </c>
      <c r="CEQ7" s="747" t="n">
        <v>13200</v>
      </c>
      <c r="CER7" s="747" t="n">
        <v>13500</v>
      </c>
      <c r="CES7" s="747" t="n">
        <v>13599</v>
      </c>
      <c r="CET7" s="747" t="n">
        <v>13700</v>
      </c>
      <c r="CEU7" s="747" t="n">
        <v>13800</v>
      </c>
      <c r="CEV7" s="747" t="n">
        <v>13900</v>
      </c>
      <c r="CEW7" s="747" t="n">
        <v>14100</v>
      </c>
      <c r="CEX7" s="747" t="n">
        <v>14300</v>
      </c>
      <c r="CEY7" s="747" t="n">
        <v>14400</v>
      </c>
      <c r="CEZ7" s="747" t="n">
        <v>14500</v>
      </c>
      <c r="CFA7" s="747" t="n">
        <v>14600</v>
      </c>
      <c r="CFB7" s="747" t="n">
        <v>15000</v>
      </c>
      <c r="CFC7" s="747" t="n">
        <v>15199</v>
      </c>
      <c r="CFD7" s="747" t="n">
        <v>11410</v>
      </c>
      <c r="CFE7" s="747" t="n">
        <v>15300</v>
      </c>
      <c r="CFF7" s="747" t="n">
        <v>15499</v>
      </c>
      <c r="CFG7" s="747" t="n">
        <v>15500</v>
      </c>
      <c r="CFH7" s="747" t="n">
        <v>12799</v>
      </c>
      <c r="CFI7" s="747" t="n">
        <v>15800</v>
      </c>
      <c r="CFJ7" s="747" t="n">
        <v>15900</v>
      </c>
      <c r="CFK7" s="747" t="n">
        <v>12599</v>
      </c>
      <c r="CFL7" s="747" t="n">
        <v>16100</v>
      </c>
      <c r="CFM7" s="747" t="n">
        <v>13499</v>
      </c>
      <c r="CFN7" s="747" t="n">
        <v>13699</v>
      </c>
      <c r="CFO7" s="747" t="n">
        <v>13899</v>
      </c>
      <c r="CFP7" s="747" t="n">
        <v>14099</v>
      </c>
      <c r="CFQ7" s="747" t="n">
        <v>14299</v>
      </c>
      <c r="CFR7" s="747" t="n">
        <v>17400</v>
      </c>
      <c r="CFS7" s="747" t="n">
        <v>17600</v>
      </c>
      <c r="CFT7" s="747" t="n">
        <v>17800</v>
      </c>
      <c r="CFU7" s="747" t="n">
        <v>17900</v>
      </c>
      <c r="CFV7" s="747" t="n">
        <v>12010</v>
      </c>
      <c r="CFW7" s="747" t="n">
        <v>11701</v>
      </c>
      <c r="CFX7" s="747" t="n">
        <v>20810</v>
      </c>
      <c r="CFY7" s="747" t="n">
        <v>20600</v>
      </c>
      <c r="CFZ7" s="747" t="n">
        <v>20700</v>
      </c>
      <c r="CGA7" s="747" t="n">
        <v>20800</v>
      </c>
      <c r="CGB7" s="747" t="n">
        <v>21000</v>
      </c>
      <c r="CGC7" s="747" t="n">
        <v>21200</v>
      </c>
      <c r="CGD7" s="747" t="n">
        <v>21300</v>
      </c>
      <c r="CGE7" s="747" t="n">
        <v>21400</v>
      </c>
      <c r="CGF7" s="747" t="n">
        <v>21500</v>
      </c>
      <c r="CGG7" s="747" t="n">
        <v>21700</v>
      </c>
      <c r="CGH7" s="747" t="n">
        <v>21900</v>
      </c>
      <c r="CGI7" s="747" t="n">
        <v>22000</v>
      </c>
      <c r="CGJ7" s="747" t="n">
        <v>22100</v>
      </c>
      <c r="CGK7" s="747" t="n">
        <v>22200</v>
      </c>
      <c r="CGL7" s="747" t="n">
        <v>22300</v>
      </c>
      <c r="CGM7" s="747" t="n">
        <v>22400</v>
      </c>
      <c r="CGN7" s="747" t="n">
        <v>21699</v>
      </c>
      <c r="CGO7" s="747" t="n">
        <v>22900</v>
      </c>
      <c r="CGP7" s="747" t="n">
        <v>21999</v>
      </c>
      <c r="CGQ7" s="747" t="n">
        <v>23100</v>
      </c>
      <c r="CGR7" s="747" t="n">
        <v>23200</v>
      </c>
      <c r="CGS7" s="747" t="n">
        <v>23500</v>
      </c>
      <c r="CGT7" s="747" t="n">
        <v>23600</v>
      </c>
      <c r="CGU7" s="747" t="n">
        <v>24640</v>
      </c>
      <c r="CGV7" s="747" t="n">
        <v>24400</v>
      </c>
      <c r="CGW7" s="747" t="n">
        <v>24500</v>
      </c>
      <c r="CGX7" s="747" t="n">
        <v>24600</v>
      </c>
      <c r="CGY7" s="747" t="n">
        <v>24700</v>
      </c>
      <c r="CGZ7" s="747" t="n">
        <v>24900</v>
      </c>
      <c r="CHA7" s="747" t="n">
        <v>25000</v>
      </c>
      <c r="CHB7" s="747" t="n">
        <v>25100</v>
      </c>
      <c r="CHC7" s="747" t="n">
        <v>25200</v>
      </c>
      <c r="CHD7" s="747" t="n">
        <v>25300</v>
      </c>
      <c r="CHE7" s="747" t="n">
        <v>25400</v>
      </c>
      <c r="CHF7" s="747" t="n">
        <v>25500</v>
      </c>
      <c r="CHG7" s="747" t="n">
        <v>25600</v>
      </c>
      <c r="CHH7" s="747" t="n">
        <v>25900</v>
      </c>
      <c r="CHI7" s="747" t="n">
        <v>26000</v>
      </c>
      <c r="CHJ7" s="747" t="n">
        <v>24620</v>
      </c>
      <c r="CHK7" s="747" t="n">
        <v>26300</v>
      </c>
      <c r="CHL7" s="747" t="n">
        <v>26400</v>
      </c>
      <c r="CHM7" s="747" t="n">
        <v>26600</v>
      </c>
      <c r="CHN7" s="747" t="n">
        <v>26700</v>
      </c>
      <c r="CHO7" s="747" t="n">
        <v>30000</v>
      </c>
      <c r="CHP7" s="747" t="n">
        <v>30100</v>
      </c>
      <c r="CHQ7" s="747" t="n">
        <v>30300</v>
      </c>
      <c r="CHR7" s="747" t="n">
        <v>30425</v>
      </c>
      <c r="CHS7" s="747" t="n">
        <v>30400</v>
      </c>
      <c r="CHT7" s="747" t="n">
        <v>30450</v>
      </c>
      <c r="CHU7" s="747" t="n">
        <v>30800</v>
      </c>
      <c r="CHV7" s="747" t="n">
        <v>31000</v>
      </c>
      <c r="CHW7" s="747" t="n">
        <v>31200</v>
      </c>
      <c r="CHX7" s="747" t="n">
        <v>31300</v>
      </c>
      <c r="CHY7" s="747" t="n">
        <v>31400</v>
      </c>
      <c r="CHZ7" s="747" t="n">
        <v>31600</v>
      </c>
      <c r="CIA7" s="747" t="n">
        <v>31217</v>
      </c>
      <c r="CIB7" s="747" t="n">
        <v>31800</v>
      </c>
      <c r="CIC7" s="747" t="n">
        <v>31900</v>
      </c>
      <c r="CID7" s="747" t="n">
        <v>32000</v>
      </c>
      <c r="CIE7" s="747" t="n">
        <v>32300</v>
      </c>
      <c r="CIF7" s="747" t="n">
        <v>32400</v>
      </c>
      <c r="CIG7" s="747" t="n">
        <v>32010</v>
      </c>
      <c r="CIH7" s="747" t="n">
        <v>32600</v>
      </c>
      <c r="CII7" s="747" t="n">
        <v>32700</v>
      </c>
      <c r="CIJ7" s="747" t="n">
        <v>32020</v>
      </c>
      <c r="CIK7" s="747" t="n">
        <v>32900</v>
      </c>
      <c r="CIL7" s="747" t="n">
        <v>33099</v>
      </c>
      <c r="CIM7" s="747" t="n">
        <v>33199</v>
      </c>
      <c r="CIN7" s="747" t="n">
        <v>33200</v>
      </c>
      <c r="CIO7" s="747" t="n">
        <v>33300</v>
      </c>
      <c r="CIP7" s="747" t="n">
        <v>33400</v>
      </c>
      <c r="CIQ7" s="747" t="n">
        <v>33700</v>
      </c>
      <c r="CIR7" s="747" t="n">
        <v>33800</v>
      </c>
      <c r="CIS7" s="747" t="n">
        <v>33900</v>
      </c>
      <c r="CIT7" s="747" t="n">
        <v>34000</v>
      </c>
      <c r="CIU7" s="747" t="n">
        <v>34200</v>
      </c>
      <c r="CIV7" s="747" t="n">
        <v>32005</v>
      </c>
      <c r="CIW7" s="747" t="n">
        <v>34900</v>
      </c>
      <c r="CIX7" s="747" t="n">
        <v>35000</v>
      </c>
      <c r="CIY7" s="747" t="n">
        <v>36100</v>
      </c>
      <c r="CIZ7" s="747" t="n">
        <v>30499</v>
      </c>
      <c r="CJA7" s="747" t="n">
        <v>35200</v>
      </c>
      <c r="CJB7" s="747" t="n">
        <v>34210</v>
      </c>
      <c r="CJC7" s="747" t="n">
        <v>35500</v>
      </c>
      <c r="CJD7" s="747" t="n">
        <v>35700</v>
      </c>
      <c r="CJE7" s="747" t="n">
        <v>36000</v>
      </c>
      <c r="CJF7" s="747" t="n">
        <v>35300</v>
      </c>
      <c r="CJG7" s="747" t="n">
        <v>31220</v>
      </c>
      <c r="CJH7" s="747" t="n">
        <v>31260</v>
      </c>
      <c r="CJI7" s="747" t="n">
        <v>30500</v>
      </c>
      <c r="CJJ7" s="747" t="n">
        <v>31270</v>
      </c>
      <c r="CJK7" s="747" t="n">
        <v>50371</v>
      </c>
      <c r="CJL7" s="747" t="n">
        <v>50372</v>
      </c>
      <c r="CJM7" s="747" t="n">
        <v>50373</v>
      </c>
      <c r="CJN7" s="747" t="n">
        <v>50374</v>
      </c>
      <c r="CJO7" s="747" t="n">
        <v>31205</v>
      </c>
      <c r="CJP7" s="747" t="n">
        <v>31210</v>
      </c>
      <c r="CJQ7" s="747" t="n">
        <v>31215</v>
      </c>
      <c r="CJR7" s="747" t="n">
        <v>38100</v>
      </c>
      <c r="CJS7" s="747" t="n">
        <v>38101</v>
      </c>
      <c r="CJT7" s="747" t="n">
        <v>38106</v>
      </c>
      <c r="CJU7" s="747" t="n">
        <v>38107</v>
      </c>
      <c r="CJV7" s="747" t="n">
        <v>38108</v>
      </c>
      <c r="CJW7" s="747" t="n">
        <v>38109</v>
      </c>
      <c r="CJX7" s="747" t="n">
        <v>38110</v>
      </c>
      <c r="CJY7" s="747" t="n">
        <v>38102</v>
      </c>
      <c r="CJZ7" s="747" t="n">
        <v>38103</v>
      </c>
      <c r="CKA7" s="747" t="n">
        <v>38104</v>
      </c>
      <c r="CKB7" s="747" t="n">
        <v>31240</v>
      </c>
      <c r="CKC7" s="747" t="n">
        <v>31285</v>
      </c>
      <c r="CKD7" s="747" t="n">
        <v>50399</v>
      </c>
      <c r="CKE7" s="747" t="n">
        <v>40600</v>
      </c>
      <c r="CKF7" s="747" t="n">
        <v>40900</v>
      </c>
      <c r="CKG7" s="747" t="n">
        <v>41000</v>
      </c>
      <c r="CKH7" s="747" t="n">
        <v>41200</v>
      </c>
      <c r="CKI7" s="747" t="n">
        <v>41300</v>
      </c>
      <c r="CKJ7" s="747" t="n">
        <v>41400</v>
      </c>
      <c r="CKK7" s="747" t="n">
        <v>41500</v>
      </c>
      <c r="CKL7" s="747" t="n">
        <v>41700</v>
      </c>
      <c r="CKM7" s="747" t="n">
        <v>41800</v>
      </c>
      <c r="CKN7" s="747" t="n">
        <v>42000</v>
      </c>
      <c r="CKO7" s="747" t="n">
        <v>40424</v>
      </c>
      <c r="CKP7" s="747" t="n">
        <v>40425</v>
      </c>
      <c r="CKQ7" s="747" t="n">
        <v>40427</v>
      </c>
      <c r="CKR7" s="747" t="n">
        <v>42800</v>
      </c>
      <c r="CKS7" s="747" t="n">
        <v>43100</v>
      </c>
      <c r="CKT7" s="747" t="n">
        <v>43200</v>
      </c>
      <c r="CKU7" s="747" t="n">
        <v>43300</v>
      </c>
      <c r="CKV7" s="747" t="n">
        <v>43400</v>
      </c>
      <c r="CKW7" s="747" t="n">
        <v>43500</v>
      </c>
      <c r="CKX7" s="747" t="n">
        <v>43700</v>
      </c>
      <c r="CKY7" s="747" t="n">
        <v>43800</v>
      </c>
      <c r="CKZ7" s="747" t="n">
        <v>43900</v>
      </c>
      <c r="CLA7" s="747" t="n">
        <v>44000</v>
      </c>
      <c r="CLB7" s="747" t="n">
        <v>44100</v>
      </c>
      <c r="CLC7" s="747" t="n">
        <v>44800</v>
      </c>
      <c r="CLD7" s="747" t="n">
        <v>45110</v>
      </c>
      <c r="CLE7" s="747" t="n">
        <v>45000</v>
      </c>
      <c r="CLF7" s="747" t="n">
        <v>45200</v>
      </c>
      <c r="CLG7" s="747" t="n">
        <v>45300</v>
      </c>
      <c r="CLH7" s="747" t="n">
        <v>45400</v>
      </c>
      <c r="CLI7" s="747" t="n">
        <v>45600</v>
      </c>
      <c r="CLJ7" s="747" t="n">
        <v>45700</v>
      </c>
      <c r="CLK7" s="747" t="n">
        <v>46000</v>
      </c>
      <c r="CLL7" s="747" t="n">
        <v>46100</v>
      </c>
      <c r="CLM7" s="747" t="n">
        <v>46200</v>
      </c>
      <c r="CLN7" s="747" t="n">
        <v>46500</v>
      </c>
      <c r="CLO7" s="747" t="n">
        <v>46600</v>
      </c>
      <c r="CLP7" s="747" t="n">
        <v>46800</v>
      </c>
      <c r="CLQ7" s="747" t="n">
        <v>46900</v>
      </c>
      <c r="CLR7" s="747" t="n">
        <v>47600</v>
      </c>
      <c r="CLS7" s="747" t="n">
        <v>47900</v>
      </c>
      <c r="CLT7" s="747" t="n">
        <v>48400</v>
      </c>
      <c r="CLU7" s="747" t="n">
        <v>48500</v>
      </c>
      <c r="CLV7" s="747" t="n">
        <v>48600</v>
      </c>
      <c r="CLW7" s="747" t="n">
        <v>48700</v>
      </c>
      <c r="CLX7" s="747" t="n">
        <v>48800</v>
      </c>
      <c r="CLY7" s="747" t="n">
        <v>49000</v>
      </c>
      <c r="CLZ7" s="747" t="n">
        <v>50260</v>
      </c>
      <c r="CMA7" s="747" t="n">
        <v>50270</v>
      </c>
      <c r="CMB7" s="747" t="n">
        <v>50280</v>
      </c>
      <c r="CMC7" s="747" t="n">
        <v>50290</v>
      </c>
      <c r="CMD7" s="747" t="n">
        <v>50310</v>
      </c>
      <c r="CME7" s="747" t="n">
        <v>50320</v>
      </c>
      <c r="CMF7" s="747" t="n">
        <v>50330</v>
      </c>
      <c r="CMG7" s="747" t="n">
        <v>50340</v>
      </c>
      <c r="CMH7" s="747" t="n">
        <v>50410</v>
      </c>
      <c r="CMI7" s="747" t="n">
        <v>51106</v>
      </c>
      <c r="CMJ7" s="747" t="n">
        <v>51090</v>
      </c>
      <c r="CMK7" s="747" t="n">
        <v>51100</v>
      </c>
      <c r="CML7" s="747" t="n">
        <v>51120</v>
      </c>
      <c r="CMM7" s="747" t="n">
        <v>51170</v>
      </c>
      <c r="CMN7" s="747" t="n">
        <v>51180</v>
      </c>
      <c r="CMO7" s="747" t="n">
        <v>51190</v>
      </c>
      <c r="CMP7" s="747" t="n">
        <v>51200</v>
      </c>
      <c r="CMQ7" s="747" t="n">
        <v>51210</v>
      </c>
      <c r="CMR7" s="747" t="n">
        <v>51220</v>
      </c>
      <c r="CMS7" s="747" t="n">
        <v>51230</v>
      </c>
      <c r="CMT7" s="747" t="n">
        <v>51204</v>
      </c>
      <c r="CMU7" s="747" t="n">
        <v>51205</v>
      </c>
      <c r="CMV7" s="747" t="n">
        <v>52300</v>
      </c>
      <c r="CMW7" s="747" t="n">
        <v>52630</v>
      </c>
      <c r="CMX7" s="747" t="n">
        <v>52670</v>
      </c>
      <c r="CMY7" s="747" t="n">
        <v>52730</v>
      </c>
      <c r="CMZ7" s="747" t="n">
        <v>52740</v>
      </c>
      <c r="CNA7" s="747" t="n">
        <v>52750</v>
      </c>
      <c r="CNB7" s="747" t="n">
        <v>52760</v>
      </c>
      <c r="CNC7" s="747" t="n">
        <v>52770</v>
      </c>
      <c r="CND7" s="747" t="n">
        <v>52780</v>
      </c>
      <c r="CNE7" s="747" t="n">
        <v>52790</v>
      </c>
      <c r="CNF7" s="747" t="n">
        <v>52800</v>
      </c>
      <c r="CNG7" s="747" t="n">
        <v>52810</v>
      </c>
      <c r="CNH7" s="747" t="n">
        <v>52820</v>
      </c>
      <c r="CNI7" s="747" t="n">
        <v>52830</v>
      </c>
      <c r="CNJ7" s="747" t="n">
        <v>52840</v>
      </c>
      <c r="CNK7" s="747" t="n">
        <v>52850</v>
      </c>
      <c r="CNL7" s="747" t="n">
        <v>52920</v>
      </c>
      <c r="CNM7" s="747" t="n">
        <v>52930</v>
      </c>
      <c r="CNN7" s="747" t="n">
        <v>53080</v>
      </c>
      <c r="CNO7" s="747" t="n">
        <v>53210</v>
      </c>
      <c r="CNP7" s="747" t="n">
        <v>50329</v>
      </c>
      <c r="CNQ7" s="747" t="n">
        <v>50339</v>
      </c>
      <c r="CNR7" s="747" t="n">
        <v>53300</v>
      </c>
      <c r="CNS7" s="747" t="n">
        <v>53350</v>
      </c>
      <c r="CNT7" s="747" t="n">
        <v>53370</v>
      </c>
      <c r="CNU7" s="747" t="n">
        <v>53440</v>
      </c>
      <c r="CNV7" s="747" t="n">
        <v>53450</v>
      </c>
      <c r="CNW7" s="747" t="n">
        <v>53470</v>
      </c>
      <c r="CNX7" s="747" t="n">
        <v>53490</v>
      </c>
      <c r="CNY7" s="747" t="n">
        <v>53500</v>
      </c>
      <c r="CNZ7" s="747" t="n">
        <v>53510</v>
      </c>
      <c r="COA7" s="747" t="n">
        <v>53530</v>
      </c>
      <c r="COB7" s="747" t="n">
        <v>53540</v>
      </c>
      <c r="COC7" s="747" t="n">
        <v>53550</v>
      </c>
      <c r="COD7" s="747" t="n">
        <v>53590</v>
      </c>
      <c r="COE7" s="747" t="n">
        <v>53670</v>
      </c>
      <c r="COF7" s="747" t="n">
        <v>53680</v>
      </c>
      <c r="COG7" s="747" t="n">
        <v>53755</v>
      </c>
      <c r="COH7" s="747" t="n">
        <v>54375</v>
      </c>
      <c r="COI7" s="747" t="n">
        <v>54377</v>
      </c>
      <c r="COJ7" s="747" t="n">
        <v>54388</v>
      </c>
      <c r="COK7" s="747" t="n">
        <v>54493</v>
      </c>
      <c r="COL7" s="747" t="n">
        <v>54494</v>
      </c>
      <c r="COM7" s="747" t="n">
        <v>54610</v>
      </c>
      <c r="CON7" s="747" t="n">
        <v>54780</v>
      </c>
      <c r="COO7" s="747" t="n">
        <v>54790</v>
      </c>
      <c r="COP7" s="747" t="n">
        <v>54920</v>
      </c>
      <c r="COQ7" s="747" t="n">
        <v>54950</v>
      </c>
      <c r="COR7" s="747" t="n">
        <v>54960</v>
      </c>
      <c r="COS7" s="747" t="n">
        <v>55070</v>
      </c>
      <c r="COT7" s="747" t="n">
        <v>55080</v>
      </c>
      <c r="COU7" s="747" t="n">
        <v>55110</v>
      </c>
      <c r="COV7" s="747" t="n">
        <v>55220</v>
      </c>
      <c r="COW7" s="747" t="n">
        <v>55270</v>
      </c>
      <c r="COX7" s="747" t="n">
        <v>55290</v>
      </c>
      <c r="COY7" s="747" t="n">
        <v>55300</v>
      </c>
      <c r="COZ7" s="747" t="n">
        <v>55320</v>
      </c>
      <c r="CPA7" s="747" t="n">
        <v>55360</v>
      </c>
      <c r="CPB7" s="747" t="n">
        <v>55370</v>
      </c>
      <c r="CPC7" s="747" t="n">
        <v>55380</v>
      </c>
      <c r="CPD7" s="747" t="n">
        <v>55400</v>
      </c>
      <c r="CPE7" s="747" t="n">
        <v>55550</v>
      </c>
      <c r="CPF7" s="747" t="n">
        <v>55660</v>
      </c>
      <c r="CPG7" s="747" t="n">
        <v>58040</v>
      </c>
      <c r="CPH7" s="747" t="n">
        <v>58080</v>
      </c>
      <c r="CPI7" s="747" t="n">
        <v>58120</v>
      </c>
      <c r="CPJ7" s="747" t="n">
        <v>58160</v>
      </c>
      <c r="CPK7" s="747" t="n">
        <v>58170</v>
      </c>
      <c r="CPL7" s="747" t="n">
        <v>58175</v>
      </c>
      <c r="CPM7" s="747" t="n">
        <v>58180</v>
      </c>
      <c r="CPN7" s="747" t="n">
        <v>58185</v>
      </c>
      <c r="CPO7" s="747" t="n">
        <v>58189</v>
      </c>
      <c r="CPP7" s="747" t="n">
        <v>58200</v>
      </c>
      <c r="CPQ7" s="747" t="n">
        <v>58209</v>
      </c>
      <c r="CPR7" s="747" t="n">
        <v>58210</v>
      </c>
      <c r="CPS7" s="747" t="n">
        <v>58220</v>
      </c>
      <c r="CPT7" s="747" t="n">
        <v>58229</v>
      </c>
      <c r="CPU7" s="747" t="n">
        <v>58230</v>
      </c>
      <c r="CPV7" s="747" t="n">
        <v>58240</v>
      </c>
      <c r="CPW7" s="747" t="n">
        <v>58280</v>
      </c>
      <c r="CPX7" s="747" t="n">
        <v>58300</v>
      </c>
      <c r="CPY7" s="747" t="n">
        <v>58305</v>
      </c>
      <c r="CPZ7" s="747" t="n">
        <v>58310</v>
      </c>
      <c r="CQA7" s="747" t="n">
        <v>58315</v>
      </c>
      <c r="CQB7" s="747" t="n">
        <v>58316</v>
      </c>
      <c r="CQC7" s="747" t="n">
        <v>58320</v>
      </c>
      <c r="CQD7" s="747" t="n">
        <v>58325</v>
      </c>
      <c r="CQE7" s="747" t="n">
        <v>58326</v>
      </c>
      <c r="CQF7" s="747" t="n">
        <v>58330</v>
      </c>
      <c r="CQG7" s="747" t="n">
        <v>58357</v>
      </c>
      <c r="CQH7" s="747" t="n">
        <v>58360</v>
      </c>
      <c r="CQI7" s="747" t="n">
        <v>58400</v>
      </c>
      <c r="CQJ7" s="747" t="n">
        <v>58440</v>
      </c>
      <c r="CQK7" s="747" t="n">
        <v>58480</v>
      </c>
      <c r="CQL7" s="747" t="n">
        <v>58500</v>
      </c>
      <c r="CQM7" s="747" t="n">
        <v>58520</v>
      </c>
      <c r="CQN7" s="747" t="n">
        <v>58560</v>
      </c>
      <c r="CQO7" s="747" t="n">
        <v>58560</v>
      </c>
      <c r="CQP7" s="747" t="n">
        <v>58560</v>
      </c>
      <c r="CQQ7" s="747" t="n">
        <v>58600</v>
      </c>
      <c r="CQR7" s="747" t="n">
        <v>58600</v>
      </c>
      <c r="CQS7" s="747" t="n">
        <v>58600</v>
      </c>
      <c r="CQT7" s="747" t="n">
        <v>58640</v>
      </c>
      <c r="CQU7" s="747" t="n">
        <v>58689</v>
      </c>
      <c r="CQV7" s="747" t="n">
        <v>58729</v>
      </c>
      <c r="CQW7" s="747" t="n">
        <v>58750</v>
      </c>
      <c r="CQX7" s="747" t="n">
        <v>58769</v>
      </c>
      <c r="CQY7" s="747" t="n">
        <v>58800</v>
      </c>
      <c r="CQZ7" s="747" t="n">
        <v>58810</v>
      </c>
      <c r="CRA7" s="747" t="n">
        <v>58820</v>
      </c>
      <c r="CRB7" s="747" t="n">
        <v>58830</v>
      </c>
      <c r="CRC7" s="747" t="n">
        <v>58840</v>
      </c>
      <c r="CRD7" s="747" t="n">
        <v>58840</v>
      </c>
      <c r="CRE7" s="747" t="n">
        <v>58969</v>
      </c>
      <c r="CRF7" s="747" t="n">
        <v>58970</v>
      </c>
      <c r="CRG7" s="747" t="n">
        <v>58980</v>
      </c>
      <c r="CRH7" s="747" t="n">
        <v>59000</v>
      </c>
      <c r="CRI7" s="747" t="n">
        <v>59010</v>
      </c>
      <c r="CRJ7" s="747" t="n">
        <v>59020</v>
      </c>
      <c r="CRK7" s="747" t="n">
        <v>59030</v>
      </c>
      <c r="CRL7" s="747" t="n">
        <v>59040</v>
      </c>
      <c r="CRM7" s="747" t="n">
        <v>59050</v>
      </c>
      <c r="CRN7" s="747" t="n">
        <v>59070</v>
      </c>
      <c r="CRO7" s="747" t="n">
        <v>59090</v>
      </c>
      <c r="CRP7" s="747" t="n">
        <v>59090</v>
      </c>
      <c r="CRQ7" s="747" t="n">
        <v>59090</v>
      </c>
      <c r="CRR7" s="747" t="n">
        <v>59120</v>
      </c>
      <c r="CRS7" s="747" t="n">
        <v>59140</v>
      </c>
      <c r="CRT7" s="747" t="n">
        <v>59141</v>
      </c>
      <c r="CRU7" s="747" t="n">
        <v>59160</v>
      </c>
      <c r="CRV7" s="747" t="n">
        <v>59160</v>
      </c>
      <c r="CRW7" s="747" t="n">
        <v>59180</v>
      </c>
      <c r="CRX7" s="747" t="n">
        <v>59180</v>
      </c>
      <c r="CRY7" s="747" t="n">
        <v>59200</v>
      </c>
      <c r="CRZ7" s="747" t="n">
        <v>59200</v>
      </c>
      <c r="CSA7" s="747" t="n">
        <v>59200</v>
      </c>
      <c r="CSB7" s="747" t="n">
        <v>59200</v>
      </c>
      <c r="CSC7" s="747" t="n">
        <v>59310</v>
      </c>
      <c r="CSD7" s="747" t="n">
        <v>59320</v>
      </c>
      <c r="CSE7" s="747" t="n">
        <v>59330</v>
      </c>
      <c r="CSF7" s="747" t="n">
        <v>59340</v>
      </c>
      <c r="CSG7" s="747" t="n">
        <v>59360</v>
      </c>
      <c r="CSH7" s="747" t="n">
        <v>59370</v>
      </c>
      <c r="CSI7" s="747" t="n">
        <v>59430</v>
      </c>
      <c r="CSJ7" s="747" t="n">
        <v>59440</v>
      </c>
      <c r="CSK7" s="747" t="n">
        <v>59450</v>
      </c>
      <c r="CSL7" s="747" t="n">
        <v>59460</v>
      </c>
      <c r="CSM7" s="747" t="n">
        <v>59470</v>
      </c>
      <c r="CSN7" s="747" t="n">
        <v>59700</v>
      </c>
      <c r="CSO7" s="747" t="n">
        <v>59710</v>
      </c>
      <c r="CSP7" s="747" t="n">
        <v>59720</v>
      </c>
      <c r="CSQ7" s="747" t="n">
        <v>59730</v>
      </c>
      <c r="CSR7" s="747" t="n">
        <v>59740</v>
      </c>
      <c r="CSS7" s="747" t="n">
        <v>59750</v>
      </c>
      <c r="CST7" s="747" t="n">
        <v>59760</v>
      </c>
      <c r="CSU7" s="747" t="n">
        <v>59770</v>
      </c>
      <c r="CSV7" s="747" t="n">
        <v>59780</v>
      </c>
      <c r="CSW7" s="747" t="n">
        <v>60030</v>
      </c>
      <c r="CSX7" s="747" t="n">
        <v>60070</v>
      </c>
      <c r="CSY7" s="747" t="n">
        <v>60100</v>
      </c>
      <c r="CSZ7" s="747" t="n">
        <v>60101</v>
      </c>
      <c r="CTA7" s="747" t="n">
        <v>60102</v>
      </c>
      <c r="CTB7" s="747" t="n">
        <v>60103</v>
      </c>
      <c r="CTC7" s="747" t="n">
        <v>60104</v>
      </c>
      <c r="CTD7" s="747" t="n">
        <v>60330</v>
      </c>
      <c r="CTE7" s="747" t="n">
        <v>60350</v>
      </c>
      <c r="CTF7" s="747" t="n">
        <v>60360</v>
      </c>
      <c r="CTG7" s="747" t="n">
        <v>60400</v>
      </c>
      <c r="CTH7" s="747" t="n">
        <v>60450</v>
      </c>
      <c r="CTI7" s="747" t="n">
        <v>60470</v>
      </c>
      <c r="CTJ7" s="747" t="n">
        <v>60480</v>
      </c>
      <c r="CTK7" s="747" t="n">
        <v>60490</v>
      </c>
      <c r="CTL7" s="747" t="n">
        <v>60495</v>
      </c>
      <c r="CTM7" s="747" t="n">
        <v>60510</v>
      </c>
      <c r="CTN7" s="747" t="n">
        <v>60530</v>
      </c>
      <c r="CTO7" s="747" t="n">
        <v>60550</v>
      </c>
      <c r="CTP7" s="747" t="n">
        <v>60560</v>
      </c>
      <c r="CTQ7" s="747" t="n">
        <v>60570</v>
      </c>
      <c r="CTR7" s="747" t="n">
        <v>60700</v>
      </c>
      <c r="CTS7" s="747" t="n">
        <v>60710</v>
      </c>
      <c r="CTT7" s="747" t="n">
        <v>60720</v>
      </c>
      <c r="CTU7" s="747" t="n">
        <v>60740</v>
      </c>
      <c r="CTV7" s="747" t="n">
        <v>60760</v>
      </c>
      <c r="CTW7" s="747" t="n">
        <v>60800</v>
      </c>
      <c r="CTX7" s="747" t="n">
        <v>60830</v>
      </c>
      <c r="CTY7" s="747" t="n">
        <v>60835</v>
      </c>
      <c r="CTZ7" s="747" t="n">
        <v>60850</v>
      </c>
      <c r="CUA7" s="747" t="n">
        <v>60855</v>
      </c>
      <c r="CUB7" s="747" t="n">
        <v>60860</v>
      </c>
      <c r="CUC7" s="747" t="n">
        <v>60890</v>
      </c>
      <c r="CUD7" s="747" t="n">
        <v>60900</v>
      </c>
      <c r="CUE7" s="747" t="n">
        <v>60920</v>
      </c>
      <c r="CUF7" s="747" t="n">
        <v>60940</v>
      </c>
      <c r="CUG7" s="747" t="n">
        <v>60950</v>
      </c>
      <c r="CUH7" s="747" t="n">
        <v>60969</v>
      </c>
      <c r="CUI7" s="747" t="n">
        <v>60970</v>
      </c>
      <c r="CUJ7" s="747" t="n">
        <v>60970</v>
      </c>
      <c r="CUK7" s="747" t="n">
        <v>60999</v>
      </c>
      <c r="CUL7" s="747" t="n">
        <v>60999</v>
      </c>
      <c r="CUM7" s="747" t="n">
        <v>61020</v>
      </c>
      <c r="CUN7" s="747" t="n">
        <v>61040</v>
      </c>
      <c r="CUO7" s="747" t="n">
        <v>61050</v>
      </c>
      <c r="CUP7" s="747" t="n">
        <v>61060</v>
      </c>
      <c r="CUQ7" s="747" t="n">
        <v>61070</v>
      </c>
      <c r="CUR7" s="747" t="n">
        <v>61080</v>
      </c>
      <c r="CUS7" s="747" t="n">
        <v>61100</v>
      </c>
      <c r="CUT7" s="747" t="n">
        <v>61120</v>
      </c>
      <c r="CUU7" s="747" t="n">
        <v>61120</v>
      </c>
      <c r="CUV7" s="747" t="n">
        <v>61140</v>
      </c>
      <c r="CUW7" s="747" t="n">
        <v>61140</v>
      </c>
      <c r="CUX7" s="747" t="n">
        <v>61160</v>
      </c>
      <c r="CUY7" s="747" t="n">
        <v>61170</v>
      </c>
      <c r="CUZ7" s="747" t="n">
        <v>61200</v>
      </c>
      <c r="CVA7" s="747" t="n">
        <v>61210</v>
      </c>
      <c r="CVB7" s="747" t="n">
        <v>61220</v>
      </c>
      <c r="CVC7" s="747" t="n">
        <v>61230</v>
      </c>
      <c r="CVD7" s="747" t="n">
        <v>61240</v>
      </c>
      <c r="CVE7" s="747" t="n">
        <v>61250</v>
      </c>
      <c r="CVF7" s="747" t="n">
        <v>61255</v>
      </c>
      <c r="CVG7" s="747" t="n">
        <v>61260</v>
      </c>
      <c r="CVH7" s="747" t="n">
        <v>61268</v>
      </c>
      <c r="CVI7" s="747" t="n">
        <v>61310</v>
      </c>
      <c r="CVJ7" s="747" t="n">
        <v>61340</v>
      </c>
      <c r="CVK7" s="747" t="n">
        <v>61380</v>
      </c>
      <c r="CVL7" s="747" t="n">
        <v>61390</v>
      </c>
      <c r="CVM7" s="747" t="n">
        <v>61430</v>
      </c>
      <c r="CVN7" s="747" t="n">
        <v>61470</v>
      </c>
      <c r="CVO7" s="747" t="n">
        <v>61480</v>
      </c>
      <c r="CVP7" s="747" t="n">
        <v>61484</v>
      </c>
      <c r="CVQ7" s="747" t="n">
        <v>61490</v>
      </c>
      <c r="CVR7" s="747" t="n">
        <v>61499</v>
      </c>
      <c r="CVS7" s="747" t="n">
        <v>61500</v>
      </c>
      <c r="CVT7" s="747" t="n">
        <v>61510</v>
      </c>
      <c r="CVU7" s="747" t="n">
        <v>61520</v>
      </c>
      <c r="CVV7" s="747" t="n">
        <v>61540</v>
      </c>
      <c r="CVW7" s="747" t="n">
        <v>61550</v>
      </c>
      <c r="CVX7" s="747" t="n">
        <v>61560</v>
      </c>
      <c r="CVY7" s="747" t="n">
        <v>61570</v>
      </c>
      <c r="CVZ7" s="747" t="n">
        <v>61580</v>
      </c>
      <c r="CWA7" s="747" t="n">
        <v>61590</v>
      </c>
      <c r="CWB7" s="747" t="n">
        <v>61670</v>
      </c>
      <c r="CWC7" s="747" t="n">
        <v>61690</v>
      </c>
      <c r="CWD7" s="747" t="n">
        <v>61700</v>
      </c>
      <c r="CWE7" s="747" t="n">
        <v>61710</v>
      </c>
      <c r="CWF7" s="747" t="n">
        <v>61720</v>
      </c>
      <c r="CWG7" s="747" t="n">
        <v>61740</v>
      </c>
      <c r="CWH7" s="747" t="n">
        <v>61750</v>
      </c>
      <c r="CWI7" s="747" t="n">
        <v>61770</v>
      </c>
      <c r="CWJ7" s="747" t="n">
        <v>61780</v>
      </c>
      <c r="CWK7" s="747" t="n">
        <v>61790</v>
      </c>
      <c r="CWL7" s="747" t="n">
        <v>61794</v>
      </c>
      <c r="CWM7" s="747" t="n">
        <v>61800</v>
      </c>
      <c r="CWN7" s="747" t="n">
        <v>61820</v>
      </c>
      <c r="CWO7" s="747" t="n">
        <v>61830</v>
      </c>
      <c r="CWP7" s="747" t="n">
        <v>61840</v>
      </c>
      <c r="CWQ7" s="747" t="n">
        <v>61850</v>
      </c>
      <c r="CWR7" s="747" t="n">
        <v>61860</v>
      </c>
      <c r="CWS7" s="747" t="n">
        <v>61870</v>
      </c>
      <c r="CWT7" s="747" t="n">
        <v>61880</v>
      </c>
      <c r="CWU7" s="747" t="n">
        <v>61890</v>
      </c>
      <c r="CWV7" s="747" t="n">
        <v>61950</v>
      </c>
      <c r="CWW7" s="747" t="n">
        <v>61970</v>
      </c>
      <c r="CWX7" s="747" t="n">
        <v>61990</v>
      </c>
      <c r="CWY7" s="747" t="n">
        <v>62100</v>
      </c>
      <c r="CWZ7" s="747" t="n">
        <v>62150</v>
      </c>
      <c r="CXA7" s="747" t="n">
        <v>62150</v>
      </c>
      <c r="CXB7" s="747" t="n">
        <v>62180</v>
      </c>
      <c r="CXC7" s="747" t="n">
        <v>62200</v>
      </c>
      <c r="CXD7" s="747" t="n">
        <v>62201</v>
      </c>
      <c r="CXE7" s="747" t="n">
        <v>62202</v>
      </c>
      <c r="CXF7" s="747" t="n">
        <v>62203</v>
      </c>
      <c r="CXG7" s="747" t="n">
        <v>62290</v>
      </c>
      <c r="CXH7" s="747" t="n">
        <v>62400</v>
      </c>
      <c r="CXI7" s="747" t="n">
        <v>62450</v>
      </c>
      <c r="CXJ7" s="747" t="n">
        <v>62460</v>
      </c>
      <c r="CXK7" s="747" t="n">
        <v>62470</v>
      </c>
      <c r="CXL7" s="747" t="n">
        <v>62480</v>
      </c>
      <c r="CXM7" s="747" t="n">
        <v>62490</v>
      </c>
      <c r="CXN7" s="747" t="n">
        <v>62510</v>
      </c>
      <c r="CXO7" s="747" t="n">
        <v>62550</v>
      </c>
      <c r="CXP7" s="747" t="n">
        <v>63100</v>
      </c>
      <c r="CXQ7" s="747" t="n">
        <v>63110</v>
      </c>
      <c r="CXR7" s="747" t="n">
        <v>63220</v>
      </c>
      <c r="CXS7" s="747" t="n">
        <v>63255</v>
      </c>
      <c r="CXT7" s="747" t="n">
        <v>63260</v>
      </c>
      <c r="CXU7" s="747" t="n">
        <v>63265</v>
      </c>
      <c r="CXV7" s="747" t="n">
        <v>63270</v>
      </c>
      <c r="CXW7" s="747" t="n">
        <v>63280</v>
      </c>
      <c r="CXX7" s="747" t="n">
        <v>63300</v>
      </c>
      <c r="CXY7" s="747" t="n">
        <v>63360</v>
      </c>
      <c r="CXZ7" s="747" t="n">
        <v>63370</v>
      </c>
      <c r="CYA7" s="747" t="n">
        <v>63380</v>
      </c>
      <c r="CYB7" s="747" t="n">
        <v>63390</v>
      </c>
      <c r="CYC7" s="747" t="n">
        <v>63400</v>
      </c>
      <c r="CYD7" s="747" t="n">
        <v>63410</v>
      </c>
      <c r="CYE7" s="747" t="n">
        <v>63420</v>
      </c>
      <c r="CYF7" s="747" t="n">
        <v>63430</v>
      </c>
      <c r="CYG7" s="747" t="n">
        <v>63440</v>
      </c>
      <c r="CYH7" s="747" t="n">
        <v>63450</v>
      </c>
      <c r="CYI7" s="747" t="n">
        <v>63460</v>
      </c>
      <c r="CYJ7" s="747" t="n">
        <v>63470</v>
      </c>
      <c r="CYK7" s="747" t="n">
        <v>63480</v>
      </c>
      <c r="CYL7" s="747" t="n">
        <v>63490</v>
      </c>
      <c r="CYM7" s="747" t="n">
        <v>63500</v>
      </c>
      <c r="CYN7" s="747" t="n">
        <v>63510</v>
      </c>
      <c r="CYO7" s="747" t="n">
        <v>63554</v>
      </c>
      <c r="CYP7" s="747" t="n">
        <v>63557</v>
      </c>
      <c r="CYQ7" s="747" t="n">
        <v>63600</v>
      </c>
      <c r="CYR7" s="747" t="n">
        <v>63601</v>
      </c>
      <c r="CYS7" s="747" t="n">
        <v>63602</v>
      </c>
      <c r="CYT7" s="747" t="n">
        <v>63603</v>
      </c>
      <c r="CYU7" s="747" t="n">
        <v>63640</v>
      </c>
      <c r="CYV7" s="747" t="n">
        <v>63710</v>
      </c>
      <c r="CYW7" s="747" t="n">
        <v>63790</v>
      </c>
      <c r="CYX7" s="747" t="n">
        <v>63800</v>
      </c>
      <c r="CYY7" s="747" t="n">
        <v>63810</v>
      </c>
      <c r="CYZ7" s="747" t="n">
        <v>63811</v>
      </c>
      <c r="CZA7" s="747" t="n">
        <v>63812</v>
      </c>
      <c r="CZB7" s="747" t="n">
        <v>63813</v>
      </c>
      <c r="CZC7" s="747" t="n">
        <v>63830</v>
      </c>
      <c r="CZD7" s="747" t="n">
        <v>63831</v>
      </c>
      <c r="CZE7" s="747" t="n">
        <v>63832</v>
      </c>
      <c r="CZF7" s="747" t="n">
        <v>63833</v>
      </c>
      <c r="CZG7" s="747" t="n">
        <v>63840</v>
      </c>
      <c r="CZH7" s="747" t="n">
        <v>63850</v>
      </c>
      <c r="CZI7" s="747" t="n">
        <v>63860</v>
      </c>
      <c r="CZJ7" s="747" t="n">
        <v>63940</v>
      </c>
      <c r="CZK7" s="747" t="n">
        <v>63990</v>
      </c>
      <c r="CZL7" s="747" t="n">
        <v>63991</v>
      </c>
      <c r="CZM7" s="747" t="n">
        <v>64850</v>
      </c>
      <c r="CZN7" s="747" t="n">
        <v>64857</v>
      </c>
      <c r="CZO7" s="747" t="n">
        <v>64860</v>
      </c>
      <c r="CZP7" s="747" t="n">
        <v>65210</v>
      </c>
      <c r="CZQ7" s="747" t="n">
        <v>65220</v>
      </c>
      <c r="CZR7" s="747" t="n">
        <v>66250</v>
      </c>
      <c r="CZS7" s="747" t="n">
        <v>66260</v>
      </c>
      <c r="CZT7" s="747" t="n">
        <v>66270</v>
      </c>
      <c r="CZU7" s="747" t="n">
        <v>66300</v>
      </c>
      <c r="CZV7" s="747" t="n">
        <v>66310</v>
      </c>
      <c r="CZW7" s="747" t="n">
        <v>66320</v>
      </c>
      <c r="CZX7" s="747" t="n">
        <v>66360</v>
      </c>
      <c r="CZY7" s="747" t="n">
        <v>66370</v>
      </c>
      <c r="CZZ7" s="747" t="n">
        <v>66380</v>
      </c>
      <c r="DAA7" s="747" t="n">
        <v>66420</v>
      </c>
      <c r="DAB7" s="747" t="n">
        <v>66430</v>
      </c>
      <c r="DAC7" s="747" t="n">
        <v>66440</v>
      </c>
      <c r="DAD7" s="747" t="n">
        <v>66480</v>
      </c>
      <c r="DAE7" s="747" t="n">
        <v>66490</v>
      </c>
      <c r="DAF7" s="747" t="n">
        <v>66500</v>
      </c>
      <c r="DAG7" s="747" t="n">
        <v>66815</v>
      </c>
      <c r="DAH7" s="747" t="n">
        <v>66840</v>
      </c>
      <c r="DAI7" s="747" t="n">
        <v>66843</v>
      </c>
      <c r="DAJ7" s="747" t="n">
        <v>66844</v>
      </c>
      <c r="DAK7" s="747" t="n">
        <v>66848</v>
      </c>
      <c r="DAL7" s="747" t="n">
        <v>66850</v>
      </c>
      <c r="DAM7" s="747" t="n">
        <v>66883</v>
      </c>
      <c r="DAN7" s="747" t="n">
        <v>66905</v>
      </c>
      <c r="DAO7" s="747" t="n">
        <v>66910</v>
      </c>
      <c r="DAP7" s="747" t="n">
        <v>66920</v>
      </c>
      <c r="DAQ7" s="747" t="n">
        <v>66960</v>
      </c>
      <c r="DAR7" s="747" t="n">
        <v>66990</v>
      </c>
      <c r="DAS7" s="747" t="n">
        <v>67030</v>
      </c>
      <c r="DAT7" s="747" t="n">
        <v>67060</v>
      </c>
      <c r="DAU7" s="747" t="n">
        <v>67120</v>
      </c>
      <c r="DAV7" s="747" t="n">
        <v>67130</v>
      </c>
      <c r="DAW7" s="747" t="n">
        <v>67135</v>
      </c>
      <c r="DAX7" s="747" t="n">
        <v>67140</v>
      </c>
      <c r="DAY7" s="747" t="n">
        <v>67170</v>
      </c>
      <c r="DAZ7" s="747" t="n">
        <v>67180</v>
      </c>
      <c r="DBA7" s="747" t="n">
        <v>67190</v>
      </c>
      <c r="DBB7" s="747" t="n">
        <v>67193</v>
      </c>
      <c r="DBC7" s="747" t="n">
        <v>67195</v>
      </c>
      <c r="DBD7" s="747" t="n">
        <v>67197</v>
      </c>
      <c r="DBE7" s="747" t="n">
        <v>67200</v>
      </c>
      <c r="DBF7" s="747" t="n">
        <v>67210</v>
      </c>
      <c r="DBG7" s="747" t="n">
        <v>67220</v>
      </c>
      <c r="DBH7" s="747" t="n">
        <v>67490</v>
      </c>
      <c r="DBI7" s="747" t="n">
        <v>67507</v>
      </c>
      <c r="DBJ7" s="747" t="n">
        <v>67520</v>
      </c>
      <c r="DBK7" s="747" t="n">
        <v>67529</v>
      </c>
      <c r="DBL7" s="747" t="n">
        <v>67540</v>
      </c>
      <c r="DBM7" s="747" t="n">
        <v>67560</v>
      </c>
      <c r="DBN7" s="747" t="n">
        <v>67650</v>
      </c>
      <c r="DBO7" s="747" t="n">
        <v>67820</v>
      </c>
      <c r="DBP7" s="747" t="n">
        <v>67830</v>
      </c>
      <c r="DBQ7" s="747" t="n">
        <v>67840</v>
      </c>
      <c r="DBR7" s="747" t="n">
        <v>67860</v>
      </c>
      <c r="DBS7" s="747" t="n">
        <v>67870</v>
      </c>
      <c r="DBT7" s="747" t="n">
        <v>67880</v>
      </c>
      <c r="DBU7" s="747" t="n">
        <v>67890</v>
      </c>
      <c r="DBV7" s="747" t="n">
        <v>67910</v>
      </c>
      <c r="DBW7" s="747" t="n">
        <v>67914</v>
      </c>
      <c r="DBX7" s="747" t="n">
        <v>67918</v>
      </c>
      <c r="DBY7" s="747" t="n">
        <v>67920</v>
      </c>
      <c r="DBZ7" s="747" t="n">
        <v>67930</v>
      </c>
      <c r="DCA7" s="747" t="n">
        <v>67950</v>
      </c>
      <c r="DCB7" s="747" t="n">
        <v>67954</v>
      </c>
      <c r="DCC7" s="747" t="n">
        <v>67960</v>
      </c>
      <c r="DCD7" s="747" t="n">
        <v>67980</v>
      </c>
      <c r="DCE7" s="747" t="n">
        <v>67990</v>
      </c>
      <c r="DCF7" s="747" t="n">
        <v>68020</v>
      </c>
      <c r="DCG7" s="747" t="n">
        <v>68025</v>
      </c>
      <c r="DCH7" s="747" t="n">
        <v>68026</v>
      </c>
      <c r="DCI7" s="747" t="n">
        <v>68030</v>
      </c>
      <c r="DCJ7" s="747" t="n">
        <v>68040</v>
      </c>
      <c r="DCK7" s="747" t="n">
        <v>68050</v>
      </c>
      <c r="DCL7" s="747" t="n">
        <v>68080</v>
      </c>
      <c r="DCM7" s="747" t="n">
        <v>68100</v>
      </c>
      <c r="DCN7" s="747" t="n">
        <v>68110</v>
      </c>
      <c r="DCO7" s="747" t="n">
        <v>68140</v>
      </c>
      <c r="DCP7" s="747" t="n">
        <v>68150</v>
      </c>
      <c r="DCQ7" s="747" t="n">
        <v>68200</v>
      </c>
      <c r="DCR7" s="747" t="n">
        <v>68210</v>
      </c>
      <c r="DCS7" s="747" t="n">
        <v>68220</v>
      </c>
      <c r="DCT7" s="747" t="n">
        <v>68230</v>
      </c>
      <c r="DCU7" s="747" t="n">
        <v>68240</v>
      </c>
      <c r="DCV7" s="747" t="n">
        <v>68250</v>
      </c>
      <c r="DCW7" s="747" t="n">
        <v>68270</v>
      </c>
      <c r="DCX7" s="747" t="n">
        <v>68280</v>
      </c>
      <c r="DCY7" s="747" t="n">
        <v>68330</v>
      </c>
      <c r="DCZ7" s="747" t="n">
        <v>68340</v>
      </c>
      <c r="DDA7" s="747" t="n">
        <v>68360</v>
      </c>
      <c r="DDB7" s="747" t="n">
        <v>68370</v>
      </c>
      <c r="DDC7" s="747" t="n">
        <v>68380</v>
      </c>
      <c r="DDD7" s="747" t="n">
        <v>68800</v>
      </c>
      <c r="DDE7" s="747" t="n">
        <v>68810</v>
      </c>
      <c r="DDF7" s="747" t="n">
        <v>68820</v>
      </c>
      <c r="DDG7" s="747" t="n">
        <v>68830</v>
      </c>
      <c r="DDH7" s="747" t="n">
        <v>68840</v>
      </c>
      <c r="DDI7" s="747" t="n">
        <v>68850</v>
      </c>
      <c r="DDJ7" s="747" t="n">
        <v>10019</v>
      </c>
      <c r="DDK7" s="747" t="n">
        <v>10026</v>
      </c>
      <c r="DDL7" s="747" t="n">
        <v>59350</v>
      </c>
      <c r="DDM7" s="747" t="n">
        <v>60489</v>
      </c>
      <c r="DDN7" s="747" t="n">
        <v>60491</v>
      </c>
      <c r="DDO7" s="747" t="n">
        <v>60496</v>
      </c>
      <c r="DDP7" s="747" t="n">
        <v>62140</v>
      </c>
      <c r="DDQ7" s="747" t="n">
        <v>62250</v>
      </c>
      <c r="DDR7" s="747" t="n">
        <v>62300</v>
      </c>
      <c r="DDS7" s="747" t="n">
        <v>63045</v>
      </c>
      <c r="DDT7" s="747" t="n">
        <v>63047</v>
      </c>
      <c r="DDU7" s="747" t="n">
        <v>63050</v>
      </c>
      <c r="DDV7" s="747" t="n">
        <v>63855</v>
      </c>
      <c r="DDW7" s="747" t="n">
        <v>10105</v>
      </c>
      <c r="DDX7" s="747" t="n">
        <v>11905</v>
      </c>
      <c r="DDY7" s="747" t="n">
        <v>13010</v>
      </c>
      <c r="DDZ7" s="747" t="n">
        <v>22215</v>
      </c>
      <c r="DEA7" s="747" t="n">
        <v>32001</v>
      </c>
      <c r="DEB7" s="747" t="n">
        <v>38105</v>
      </c>
      <c r="DEC7" s="747" t="inlineStr">
        <is>
          <t>Tax Year Filed</t>
        </is>
      </c>
      <c r="DED7" s="747" t="inlineStr">
        <is>
          <t>Taxing Province</t>
        </is>
      </c>
      <c r="DEE7" s="747" t="inlineStr">
        <is>
          <t>Marital Status</t>
        </is>
      </c>
      <c r="DEF7" s="747" t="inlineStr">
        <is>
          <t>Balance before penalty and interest</t>
        </is>
      </c>
      <c r="DEG7" s="747" t="inlineStr">
        <is>
          <t>Balance before penalty and interest</t>
        </is>
      </c>
      <c r="DEH7" s="747" t="inlineStr">
        <is>
          <t>Final balance</t>
        </is>
      </c>
      <c r="DEI7" s="747" t="inlineStr">
        <is>
          <t>Basic federal tax</t>
        </is>
      </c>
      <c r="DEJ7" s="747" t="inlineStr">
        <is>
          <t>Basic provincial or territorial tax</t>
        </is>
      </c>
      <c r="DEK7" s="747" t="inlineStr">
        <is>
          <t>Ontario Health Premium</t>
        </is>
      </c>
      <c r="DEL7" s="747" t="n">
        <v>10100</v>
      </c>
      <c r="DEM7" s="747" t="n">
        <v>10120</v>
      </c>
      <c r="DEN7" s="747" t="n">
        <v>10130</v>
      </c>
      <c r="DEO7" s="747" t="n">
        <v>10400</v>
      </c>
      <c r="DEP7" s="747" t="n">
        <v>10699</v>
      </c>
      <c r="DEQ7" s="747" t="n">
        <v>10700</v>
      </c>
      <c r="DER7" s="747" t="n">
        <v>10999</v>
      </c>
      <c r="DES7" s="747" t="n">
        <v>11000</v>
      </c>
      <c r="DET7" s="747" t="n">
        <v>11300</v>
      </c>
      <c r="DEU7" s="747" t="n">
        <v>11400</v>
      </c>
      <c r="DEV7" s="747" t="n">
        <v>11500</v>
      </c>
      <c r="DEW7" s="747" t="n">
        <v>11600</v>
      </c>
      <c r="DEX7" s="747" t="n">
        <v>11700</v>
      </c>
      <c r="DEY7" s="747" t="n">
        <v>11900</v>
      </c>
      <c r="DEZ7" s="747" t="n">
        <v>12000</v>
      </c>
      <c r="DFA7" s="747" t="n">
        <v>12100</v>
      </c>
      <c r="DFB7" s="747" t="n">
        <v>12200</v>
      </c>
      <c r="DFC7" s="747" t="n">
        <v>12399</v>
      </c>
      <c r="DFD7" s="747" t="n">
        <v>12400</v>
      </c>
      <c r="DFE7" s="747" t="n">
        <v>12500</v>
      </c>
      <c r="DFF7" s="747" t="n">
        <v>12600</v>
      </c>
      <c r="DFG7" s="747" t="n">
        <v>12700</v>
      </c>
      <c r="DFH7" s="747" t="n">
        <v>12800</v>
      </c>
      <c r="DFI7" s="747" t="n">
        <v>12900</v>
      </c>
      <c r="DFJ7" s="747" t="n">
        <v>13000</v>
      </c>
      <c r="DFK7" s="747" t="n">
        <v>13199</v>
      </c>
      <c r="DFL7" s="747" t="n">
        <v>13200</v>
      </c>
      <c r="DFM7" s="747" t="n">
        <v>13500</v>
      </c>
      <c r="DFN7" s="747" t="n">
        <v>13599</v>
      </c>
      <c r="DFO7" s="747" t="n">
        <v>13700</v>
      </c>
      <c r="DFP7" s="747" t="n">
        <v>13800</v>
      </c>
      <c r="DFQ7" s="747" t="n">
        <v>13900</v>
      </c>
      <c r="DFR7" s="747" t="n">
        <v>14100</v>
      </c>
      <c r="DFS7" s="747" t="n">
        <v>14300</v>
      </c>
      <c r="DFT7" s="747" t="n">
        <v>14400</v>
      </c>
      <c r="DFU7" s="747" t="n">
        <v>14500</v>
      </c>
      <c r="DFV7" s="747" t="n">
        <v>14600</v>
      </c>
      <c r="DFW7" s="747" t="n">
        <v>15000</v>
      </c>
      <c r="DFX7" s="747" t="n">
        <v>15199</v>
      </c>
      <c r="DFY7" s="747" t="n">
        <v>11410</v>
      </c>
      <c r="DFZ7" s="747" t="n">
        <v>15300</v>
      </c>
      <c r="DGA7" s="747" t="n">
        <v>15499</v>
      </c>
      <c r="DGB7" s="747" t="n">
        <v>15500</v>
      </c>
      <c r="DGC7" s="747" t="n">
        <v>12799</v>
      </c>
      <c r="DGD7" s="747" t="n">
        <v>15800</v>
      </c>
      <c r="DGE7" s="747" t="n">
        <v>15900</v>
      </c>
      <c r="DGF7" s="747" t="n">
        <v>12599</v>
      </c>
      <c r="DGG7" s="747" t="n">
        <v>16100</v>
      </c>
      <c r="DGH7" s="747" t="n">
        <v>13499</v>
      </c>
      <c r="DGI7" s="747" t="n">
        <v>13699</v>
      </c>
      <c r="DGJ7" s="747" t="n">
        <v>13899</v>
      </c>
      <c r="DGK7" s="747" t="n">
        <v>14099</v>
      </c>
      <c r="DGL7" s="747" t="n">
        <v>14299</v>
      </c>
      <c r="DGM7" s="747" t="n">
        <v>17400</v>
      </c>
      <c r="DGN7" s="747" t="n">
        <v>17600</v>
      </c>
      <c r="DGO7" s="747" t="n">
        <v>17800</v>
      </c>
      <c r="DGP7" s="747" t="n">
        <v>17900</v>
      </c>
      <c r="DGQ7" s="747" t="n">
        <v>12010</v>
      </c>
      <c r="DGR7" s="747" t="n">
        <v>11701</v>
      </c>
      <c r="DGS7" s="747" t="n">
        <v>20810</v>
      </c>
      <c r="DGT7" s="747" t="n">
        <v>20600</v>
      </c>
      <c r="DGU7" s="747" t="n">
        <v>20700</v>
      </c>
      <c r="DGV7" s="747" t="n">
        <v>20800</v>
      </c>
      <c r="DGW7" s="747" t="n">
        <v>21000</v>
      </c>
      <c r="DGX7" s="747" t="n">
        <v>21200</v>
      </c>
      <c r="DGY7" s="747" t="n">
        <v>21300</v>
      </c>
      <c r="DGZ7" s="747" t="n">
        <v>21400</v>
      </c>
      <c r="DHA7" s="747" t="n">
        <v>21500</v>
      </c>
      <c r="DHB7" s="747" t="n">
        <v>21700</v>
      </c>
      <c r="DHC7" s="747" t="n">
        <v>21900</v>
      </c>
      <c r="DHD7" s="747" t="n">
        <v>22000</v>
      </c>
      <c r="DHE7" s="747" t="n">
        <v>22100</v>
      </c>
      <c r="DHF7" s="747" t="n">
        <v>22200</v>
      </c>
      <c r="DHG7" s="747" t="n">
        <v>22300</v>
      </c>
      <c r="DHH7" s="747" t="n">
        <v>22400</v>
      </c>
      <c r="DHI7" s="747" t="n">
        <v>21699</v>
      </c>
      <c r="DHJ7" s="747" t="n">
        <v>22900</v>
      </c>
      <c r="DHK7" s="747" t="n">
        <v>21999</v>
      </c>
      <c r="DHL7" s="747" t="n">
        <v>23100</v>
      </c>
      <c r="DHM7" s="747" t="n">
        <v>23200</v>
      </c>
      <c r="DHN7" s="747" t="n">
        <v>23500</v>
      </c>
      <c r="DHO7" s="747" t="n">
        <v>23600</v>
      </c>
      <c r="DHP7" s="747" t="n">
        <v>24640</v>
      </c>
      <c r="DHQ7" s="747" t="n">
        <v>24400</v>
      </c>
      <c r="DHR7" s="747" t="n">
        <v>24500</v>
      </c>
      <c r="DHS7" s="747" t="n">
        <v>24600</v>
      </c>
      <c r="DHT7" s="747" t="n">
        <v>24700</v>
      </c>
      <c r="DHU7" s="747" t="n">
        <v>24900</v>
      </c>
      <c r="DHV7" s="747" t="n">
        <v>25000</v>
      </c>
      <c r="DHW7" s="747" t="n">
        <v>25100</v>
      </c>
      <c r="DHX7" s="747" t="n">
        <v>25200</v>
      </c>
      <c r="DHY7" s="747" t="n">
        <v>25300</v>
      </c>
      <c r="DHZ7" s="747" t="n">
        <v>25400</v>
      </c>
      <c r="DIA7" s="747" t="n">
        <v>25500</v>
      </c>
      <c r="DIB7" s="747" t="n">
        <v>25600</v>
      </c>
      <c r="DIC7" s="747" t="n">
        <v>25900</v>
      </c>
      <c r="DID7" s="747" t="n">
        <v>26000</v>
      </c>
      <c r="DIE7" s="747" t="n">
        <v>24620</v>
      </c>
      <c r="DIF7" s="747" t="n">
        <v>26300</v>
      </c>
      <c r="DIG7" s="747" t="n">
        <v>26400</v>
      </c>
      <c r="DIH7" s="747" t="n">
        <v>26600</v>
      </c>
      <c r="DII7" s="747" t="n">
        <v>26700</v>
      </c>
      <c r="DIJ7" s="747" t="n">
        <v>30000</v>
      </c>
      <c r="DIK7" s="747" t="n">
        <v>30100</v>
      </c>
      <c r="DIL7" s="747" t="n">
        <v>30300</v>
      </c>
      <c r="DIM7" s="747" t="n">
        <v>30425</v>
      </c>
      <c r="DIN7" s="747" t="n">
        <v>30400</v>
      </c>
      <c r="DIO7" s="747" t="n">
        <v>30450</v>
      </c>
      <c r="DIP7" s="747" t="n">
        <v>30800</v>
      </c>
      <c r="DIQ7" s="747" t="n">
        <v>31000</v>
      </c>
      <c r="DIR7" s="747" t="n">
        <v>31200</v>
      </c>
      <c r="DIS7" s="747" t="n">
        <v>31300</v>
      </c>
      <c r="DIT7" s="747" t="n">
        <v>31400</v>
      </c>
      <c r="DIU7" s="747" t="n">
        <v>31600</v>
      </c>
      <c r="DIV7" s="747" t="n">
        <v>31217</v>
      </c>
      <c r="DIW7" s="747" t="n">
        <v>31800</v>
      </c>
      <c r="DIX7" s="747" t="n">
        <v>31900</v>
      </c>
      <c r="DIY7" s="747" t="n">
        <v>32000</v>
      </c>
      <c r="DIZ7" s="747" t="n">
        <v>32300</v>
      </c>
      <c r="DJA7" s="747" t="n">
        <v>32400</v>
      </c>
      <c r="DJB7" s="747" t="n">
        <v>32010</v>
      </c>
      <c r="DJC7" s="747" t="n">
        <v>32600</v>
      </c>
      <c r="DJD7" s="747" t="n">
        <v>32700</v>
      </c>
      <c r="DJE7" s="747" t="n">
        <v>32020</v>
      </c>
      <c r="DJF7" s="747" t="n">
        <v>32900</v>
      </c>
      <c r="DJG7" s="747" t="n">
        <v>33099</v>
      </c>
      <c r="DJH7" s="747" t="n">
        <v>33199</v>
      </c>
      <c r="DJI7" s="747" t="n">
        <v>33200</v>
      </c>
      <c r="DJJ7" s="747" t="n">
        <v>33300</v>
      </c>
      <c r="DJK7" s="747" t="n">
        <v>33400</v>
      </c>
      <c r="DJL7" s="747" t="n">
        <v>33700</v>
      </c>
      <c r="DJM7" s="747" t="n">
        <v>33800</v>
      </c>
      <c r="DJN7" s="747" t="n">
        <v>33900</v>
      </c>
      <c r="DJO7" s="747" t="n">
        <v>34000</v>
      </c>
      <c r="DJP7" s="747" t="n">
        <v>34200</v>
      </c>
      <c r="DJQ7" s="747" t="n">
        <v>32005</v>
      </c>
      <c r="DJR7" s="747" t="n">
        <v>34900</v>
      </c>
      <c r="DJS7" s="747" t="n">
        <v>35000</v>
      </c>
      <c r="DJT7" s="747" t="n">
        <v>36100</v>
      </c>
      <c r="DJU7" s="747" t="n">
        <v>30499</v>
      </c>
      <c r="DJV7" s="747" t="n">
        <v>35200</v>
      </c>
      <c r="DJW7" s="747" t="n">
        <v>34210</v>
      </c>
      <c r="DJX7" s="747" t="n">
        <v>35500</v>
      </c>
      <c r="DJY7" s="747" t="n">
        <v>35700</v>
      </c>
      <c r="DJZ7" s="747" t="n">
        <v>36000</v>
      </c>
      <c r="DKA7" s="747" t="n">
        <v>35300</v>
      </c>
      <c r="DKB7" s="747" t="n">
        <v>31220</v>
      </c>
      <c r="DKC7" s="747" t="n">
        <v>31260</v>
      </c>
      <c r="DKD7" s="747" t="n">
        <v>30500</v>
      </c>
      <c r="DKE7" s="747" t="n">
        <v>31270</v>
      </c>
      <c r="DKF7" s="747" t="n">
        <v>50371</v>
      </c>
      <c r="DKG7" s="747" t="n">
        <v>50372</v>
      </c>
      <c r="DKH7" s="747" t="n">
        <v>50373</v>
      </c>
      <c r="DKI7" s="747" t="n">
        <v>50374</v>
      </c>
      <c r="DKJ7" s="747" t="n">
        <v>31205</v>
      </c>
      <c r="DKK7" s="747" t="n">
        <v>31210</v>
      </c>
      <c r="DKL7" s="747" t="n">
        <v>31215</v>
      </c>
      <c r="DKM7" s="747" t="n">
        <v>38100</v>
      </c>
      <c r="DKN7" s="747" t="n">
        <v>38101</v>
      </c>
      <c r="DKO7" s="747" t="n">
        <v>38106</v>
      </c>
      <c r="DKP7" s="747" t="n">
        <v>38107</v>
      </c>
      <c r="DKQ7" s="747" t="n">
        <v>38108</v>
      </c>
      <c r="DKR7" s="747" t="n">
        <v>38109</v>
      </c>
      <c r="DKS7" s="747" t="n">
        <v>38110</v>
      </c>
      <c r="DKT7" s="747" t="n">
        <v>38102</v>
      </c>
      <c r="DKU7" s="747" t="n">
        <v>38103</v>
      </c>
      <c r="DKV7" s="747" t="n">
        <v>38104</v>
      </c>
      <c r="DKW7" s="747" t="n">
        <v>31240</v>
      </c>
      <c r="DKX7" s="747" t="n">
        <v>31285</v>
      </c>
      <c r="DKY7" s="747" t="n">
        <v>50399</v>
      </c>
      <c r="DKZ7" s="747" t="n">
        <v>40600</v>
      </c>
      <c r="DLA7" s="747" t="n">
        <v>40900</v>
      </c>
      <c r="DLB7" s="747" t="n">
        <v>41000</v>
      </c>
      <c r="DLC7" s="747" t="n">
        <v>41200</v>
      </c>
      <c r="DLD7" s="747" t="n">
        <v>41300</v>
      </c>
      <c r="DLE7" s="747" t="n">
        <v>41400</v>
      </c>
      <c r="DLF7" s="747" t="n">
        <v>41500</v>
      </c>
      <c r="DLG7" s="747" t="n">
        <v>41700</v>
      </c>
      <c r="DLH7" s="747" t="n">
        <v>41800</v>
      </c>
      <c r="DLI7" s="747" t="n">
        <v>42000</v>
      </c>
      <c r="DLJ7" s="747" t="n">
        <v>40424</v>
      </c>
      <c r="DLK7" s="747" t="n">
        <v>40425</v>
      </c>
      <c r="DLL7" s="747" t="n">
        <v>40427</v>
      </c>
      <c r="DLM7" s="747" t="n">
        <v>42800</v>
      </c>
      <c r="DLN7" s="747" t="n">
        <v>43100</v>
      </c>
      <c r="DLO7" s="747" t="n">
        <v>43200</v>
      </c>
      <c r="DLP7" s="747" t="n">
        <v>43300</v>
      </c>
      <c r="DLQ7" s="747" t="n">
        <v>43400</v>
      </c>
      <c r="DLR7" s="747" t="n">
        <v>43500</v>
      </c>
      <c r="DLS7" s="747" t="n">
        <v>43700</v>
      </c>
      <c r="DLT7" s="747" t="n">
        <v>43800</v>
      </c>
      <c r="DLU7" s="747" t="n">
        <v>43900</v>
      </c>
      <c r="DLV7" s="747" t="n">
        <v>44000</v>
      </c>
      <c r="DLW7" s="747" t="n">
        <v>44100</v>
      </c>
      <c r="DLX7" s="747" t="n">
        <v>44800</v>
      </c>
      <c r="DLY7" s="747" t="n">
        <v>45110</v>
      </c>
      <c r="DLZ7" s="747" t="n">
        <v>45000</v>
      </c>
      <c r="DMA7" s="747" t="n">
        <v>45200</v>
      </c>
      <c r="DMB7" s="747" t="n">
        <v>45300</v>
      </c>
      <c r="DMC7" s="747" t="n">
        <v>45400</v>
      </c>
      <c r="DMD7" s="747" t="n">
        <v>45600</v>
      </c>
      <c r="DME7" s="747" t="n">
        <v>45700</v>
      </c>
      <c r="DMF7" s="747" t="n">
        <v>46000</v>
      </c>
      <c r="DMG7" s="747" t="n">
        <v>46100</v>
      </c>
      <c r="DMH7" s="747" t="n">
        <v>46200</v>
      </c>
      <c r="DMI7" s="747" t="n">
        <v>46500</v>
      </c>
      <c r="DMJ7" s="747" t="n">
        <v>46600</v>
      </c>
      <c r="DMK7" s="747" t="n">
        <v>46800</v>
      </c>
      <c r="DML7" s="747" t="n">
        <v>46900</v>
      </c>
      <c r="DMM7" s="747" t="n">
        <v>47600</v>
      </c>
      <c r="DMN7" s="747" t="n">
        <v>47900</v>
      </c>
      <c r="DMO7" s="747" t="n">
        <v>48400</v>
      </c>
      <c r="DMP7" s="747" t="n">
        <v>48500</v>
      </c>
      <c r="DMQ7" s="747" t="n">
        <v>48600</v>
      </c>
      <c r="DMR7" s="747" t="n">
        <v>48700</v>
      </c>
      <c r="DMS7" s="747" t="n">
        <v>48800</v>
      </c>
      <c r="DMT7" s="747" t="n">
        <v>49000</v>
      </c>
      <c r="DMU7" s="747" t="n">
        <v>50260</v>
      </c>
      <c r="DMV7" s="747" t="n">
        <v>50270</v>
      </c>
      <c r="DMW7" s="747" t="n">
        <v>50280</v>
      </c>
      <c r="DMX7" s="747" t="n">
        <v>50290</v>
      </c>
      <c r="DMY7" s="747" t="n">
        <v>50310</v>
      </c>
      <c r="DMZ7" s="747" t="n">
        <v>50320</v>
      </c>
      <c r="DNA7" s="747" t="n">
        <v>50330</v>
      </c>
      <c r="DNB7" s="747" t="n">
        <v>50340</v>
      </c>
      <c r="DNC7" s="747" t="n">
        <v>50410</v>
      </c>
      <c r="DND7" s="747" t="n">
        <v>51106</v>
      </c>
      <c r="DNE7" s="747" t="n">
        <v>51090</v>
      </c>
      <c r="DNF7" s="747" t="n">
        <v>51100</v>
      </c>
      <c r="DNG7" s="747" t="n">
        <v>51120</v>
      </c>
      <c r="DNH7" s="747" t="n">
        <v>51170</v>
      </c>
      <c r="DNI7" s="747" t="n">
        <v>51180</v>
      </c>
      <c r="DNJ7" s="747" t="n">
        <v>51190</v>
      </c>
      <c r="DNK7" s="747" t="n">
        <v>51200</v>
      </c>
      <c r="DNL7" s="747" t="n">
        <v>51210</v>
      </c>
      <c r="DNM7" s="747" t="n">
        <v>51220</v>
      </c>
      <c r="DNN7" s="747" t="n">
        <v>51230</v>
      </c>
      <c r="DNO7" s="747" t="n">
        <v>51204</v>
      </c>
      <c r="DNP7" s="747" t="n">
        <v>51205</v>
      </c>
      <c r="DNQ7" s="747" t="n">
        <v>52300</v>
      </c>
      <c r="DNR7" s="747" t="n">
        <v>52630</v>
      </c>
      <c r="DNS7" s="747" t="n">
        <v>52670</v>
      </c>
      <c r="DNT7" s="747" t="n">
        <v>52730</v>
      </c>
      <c r="DNU7" s="747" t="n">
        <v>52740</v>
      </c>
      <c r="DNV7" s="747" t="n">
        <v>52750</v>
      </c>
      <c r="DNW7" s="747" t="n">
        <v>52760</v>
      </c>
      <c r="DNX7" s="747" t="n">
        <v>52770</v>
      </c>
      <c r="DNY7" s="747" t="n">
        <v>52780</v>
      </c>
      <c r="DNZ7" s="747" t="n">
        <v>52790</v>
      </c>
      <c r="DOA7" s="747" t="n">
        <v>52800</v>
      </c>
      <c r="DOB7" s="747" t="n">
        <v>52810</v>
      </c>
      <c r="DOC7" s="747" t="n">
        <v>52820</v>
      </c>
      <c r="DOD7" s="747" t="n">
        <v>52830</v>
      </c>
      <c r="DOE7" s="747" t="n">
        <v>52840</v>
      </c>
      <c r="DOF7" s="747" t="n">
        <v>52850</v>
      </c>
      <c r="DOG7" s="747" t="n">
        <v>52920</v>
      </c>
      <c r="DOH7" s="747" t="n">
        <v>52930</v>
      </c>
      <c r="DOI7" s="747" t="n">
        <v>53080</v>
      </c>
      <c r="DOJ7" s="747" t="n">
        <v>53210</v>
      </c>
      <c r="DOK7" s="747" t="n">
        <v>50329</v>
      </c>
      <c r="DOL7" s="747" t="n">
        <v>50339</v>
      </c>
      <c r="DOM7" s="747" t="n">
        <v>53300</v>
      </c>
      <c r="DON7" s="747" t="n">
        <v>53350</v>
      </c>
      <c r="DOO7" s="747" t="n">
        <v>53370</v>
      </c>
      <c r="DOP7" s="747" t="n">
        <v>53440</v>
      </c>
      <c r="DOQ7" s="747" t="n">
        <v>53450</v>
      </c>
      <c r="DOR7" s="747" t="n">
        <v>53470</v>
      </c>
      <c r="DOS7" s="747" t="n">
        <v>53490</v>
      </c>
      <c r="DOT7" s="747" t="n">
        <v>53500</v>
      </c>
      <c r="DOU7" s="747" t="n">
        <v>53510</v>
      </c>
      <c r="DOV7" s="747" t="n">
        <v>53530</v>
      </c>
      <c r="DOW7" s="747" t="n">
        <v>53540</v>
      </c>
      <c r="DOX7" s="747" t="n">
        <v>53550</v>
      </c>
      <c r="DOY7" s="747" t="n">
        <v>53590</v>
      </c>
      <c r="DOZ7" s="747" t="n">
        <v>53670</v>
      </c>
      <c r="DPA7" s="747" t="n">
        <v>53680</v>
      </c>
      <c r="DPB7" s="747" t="n">
        <v>53755</v>
      </c>
      <c r="DPC7" s="747" t="n">
        <v>54375</v>
      </c>
      <c r="DPD7" s="747" t="n">
        <v>54377</v>
      </c>
      <c r="DPE7" s="747" t="n">
        <v>54388</v>
      </c>
      <c r="DPF7" s="747" t="n">
        <v>54493</v>
      </c>
      <c r="DPG7" s="747" t="n">
        <v>54494</v>
      </c>
      <c r="DPH7" s="747" t="n">
        <v>54610</v>
      </c>
      <c r="DPI7" s="747" t="n">
        <v>54780</v>
      </c>
      <c r="DPJ7" s="747" t="n">
        <v>54790</v>
      </c>
      <c r="DPK7" s="747" t="n">
        <v>54920</v>
      </c>
      <c r="DPL7" s="747" t="n">
        <v>54950</v>
      </c>
      <c r="DPM7" s="747" t="n">
        <v>54960</v>
      </c>
      <c r="DPN7" s="747" t="n">
        <v>55070</v>
      </c>
      <c r="DPO7" s="747" t="n">
        <v>55080</v>
      </c>
      <c r="DPP7" s="747" t="n">
        <v>55110</v>
      </c>
      <c r="DPQ7" s="747" t="n">
        <v>55220</v>
      </c>
      <c r="DPR7" s="747" t="n">
        <v>55270</v>
      </c>
      <c r="DPS7" s="747" t="n">
        <v>55290</v>
      </c>
      <c r="DPT7" s="747" t="n">
        <v>55300</v>
      </c>
      <c r="DPU7" s="747" t="n">
        <v>55320</v>
      </c>
      <c r="DPV7" s="747" t="n">
        <v>55360</v>
      </c>
      <c r="DPW7" s="747" t="n">
        <v>55370</v>
      </c>
      <c r="DPX7" s="747" t="n">
        <v>55380</v>
      </c>
      <c r="DPY7" s="747" t="n">
        <v>55400</v>
      </c>
      <c r="DPZ7" s="747" t="n">
        <v>55550</v>
      </c>
      <c r="DQA7" s="747" t="n">
        <v>55660</v>
      </c>
      <c r="DQB7" s="747" t="n">
        <v>58040</v>
      </c>
      <c r="DQC7" s="747" t="n">
        <v>58080</v>
      </c>
      <c r="DQD7" s="747" t="n">
        <v>58120</v>
      </c>
      <c r="DQE7" s="747" t="n">
        <v>58160</v>
      </c>
      <c r="DQF7" s="747" t="n">
        <v>58170</v>
      </c>
      <c r="DQG7" s="747" t="n">
        <v>58175</v>
      </c>
      <c r="DQH7" s="747" t="n">
        <v>58180</v>
      </c>
      <c r="DQI7" s="747" t="n">
        <v>58185</v>
      </c>
      <c r="DQJ7" s="747" t="n">
        <v>58189</v>
      </c>
      <c r="DQK7" s="747" t="n">
        <v>58200</v>
      </c>
      <c r="DQL7" s="747" t="n">
        <v>58209</v>
      </c>
      <c r="DQM7" s="747" t="n">
        <v>58210</v>
      </c>
      <c r="DQN7" s="747" t="n">
        <v>58220</v>
      </c>
      <c r="DQO7" s="747" t="n">
        <v>58229</v>
      </c>
      <c r="DQP7" s="747" t="n">
        <v>58230</v>
      </c>
      <c r="DQQ7" s="747" t="n">
        <v>58240</v>
      </c>
      <c r="DQR7" s="747" t="n">
        <v>58280</v>
      </c>
      <c r="DQS7" s="747" t="n">
        <v>58300</v>
      </c>
      <c r="DQT7" s="747" t="n">
        <v>58305</v>
      </c>
      <c r="DQU7" s="747" t="n">
        <v>58310</v>
      </c>
      <c r="DQV7" s="747" t="n">
        <v>58315</v>
      </c>
      <c r="DQW7" s="747" t="n">
        <v>58316</v>
      </c>
      <c r="DQX7" s="747" t="n">
        <v>58320</v>
      </c>
      <c r="DQY7" s="747" t="n">
        <v>58325</v>
      </c>
      <c r="DQZ7" s="747" t="n">
        <v>58326</v>
      </c>
      <c r="DRA7" s="747" t="n">
        <v>58330</v>
      </c>
      <c r="DRB7" s="747" t="n">
        <v>58357</v>
      </c>
      <c r="DRC7" s="747" t="n">
        <v>58360</v>
      </c>
      <c r="DRD7" s="747" t="n">
        <v>58400</v>
      </c>
      <c r="DRE7" s="747" t="n">
        <v>58440</v>
      </c>
      <c r="DRF7" s="747" t="n">
        <v>58480</v>
      </c>
      <c r="DRG7" s="747" t="n">
        <v>58500</v>
      </c>
      <c r="DRH7" s="747" t="n">
        <v>58520</v>
      </c>
      <c r="DRI7" s="747" t="n">
        <v>58560</v>
      </c>
      <c r="DRJ7" s="747" t="n">
        <v>58560</v>
      </c>
      <c r="DRK7" s="747" t="n">
        <v>58560</v>
      </c>
      <c r="DRL7" s="747" t="n">
        <v>58600</v>
      </c>
      <c r="DRM7" s="747" t="n">
        <v>58600</v>
      </c>
      <c r="DRN7" s="747" t="n">
        <v>58600</v>
      </c>
      <c r="DRO7" s="747" t="n">
        <v>58640</v>
      </c>
      <c r="DRP7" s="747" t="n">
        <v>58689</v>
      </c>
      <c r="DRQ7" s="747" t="n">
        <v>58729</v>
      </c>
      <c r="DRR7" s="747" t="n">
        <v>58750</v>
      </c>
      <c r="DRS7" s="747" t="n">
        <v>58769</v>
      </c>
      <c r="DRT7" s="747" t="n">
        <v>58800</v>
      </c>
      <c r="DRU7" s="747" t="n">
        <v>58810</v>
      </c>
      <c r="DRV7" s="747" t="n">
        <v>58820</v>
      </c>
      <c r="DRW7" s="747" t="n">
        <v>58830</v>
      </c>
      <c r="DRX7" s="747" t="n">
        <v>58840</v>
      </c>
      <c r="DRY7" s="747" t="n">
        <v>58840</v>
      </c>
      <c r="DRZ7" s="747" t="n">
        <v>58969</v>
      </c>
      <c r="DSA7" s="747" t="n">
        <v>58970</v>
      </c>
      <c r="DSB7" s="747" t="n">
        <v>58980</v>
      </c>
      <c r="DSC7" s="747" t="n">
        <v>59000</v>
      </c>
      <c r="DSD7" s="747" t="n">
        <v>59010</v>
      </c>
      <c r="DSE7" s="747" t="n">
        <v>59020</v>
      </c>
      <c r="DSF7" s="747" t="n">
        <v>59030</v>
      </c>
      <c r="DSG7" s="747" t="n">
        <v>59040</v>
      </c>
      <c r="DSH7" s="747" t="n">
        <v>59050</v>
      </c>
      <c r="DSI7" s="747" t="n">
        <v>59070</v>
      </c>
      <c r="DSJ7" s="747" t="n">
        <v>59090</v>
      </c>
      <c r="DSK7" s="747" t="n">
        <v>59090</v>
      </c>
      <c r="DSL7" s="747" t="n">
        <v>59090</v>
      </c>
      <c r="DSM7" s="747" t="n">
        <v>59120</v>
      </c>
      <c r="DSN7" s="747" t="n">
        <v>59140</v>
      </c>
      <c r="DSO7" s="747" t="n">
        <v>59141</v>
      </c>
      <c r="DSP7" s="747" t="n">
        <v>59160</v>
      </c>
      <c r="DSQ7" s="747" t="n">
        <v>59160</v>
      </c>
      <c r="DSR7" s="747" t="n">
        <v>59180</v>
      </c>
      <c r="DSS7" s="747" t="n">
        <v>59180</v>
      </c>
      <c r="DST7" s="747" t="n">
        <v>59200</v>
      </c>
      <c r="DSU7" s="747" t="n">
        <v>59200</v>
      </c>
      <c r="DSV7" s="747" t="n">
        <v>59200</v>
      </c>
      <c r="DSW7" s="747" t="n">
        <v>59200</v>
      </c>
      <c r="DSX7" s="747" t="n">
        <v>59310</v>
      </c>
      <c r="DSY7" s="747" t="n">
        <v>59320</v>
      </c>
      <c r="DSZ7" s="747" t="n">
        <v>59330</v>
      </c>
      <c r="DTA7" s="747" t="n">
        <v>59340</v>
      </c>
      <c r="DTB7" s="747" t="n">
        <v>59360</v>
      </c>
      <c r="DTC7" s="747" t="n">
        <v>59370</v>
      </c>
      <c r="DTD7" s="747" t="n">
        <v>59430</v>
      </c>
      <c r="DTE7" s="747" t="n">
        <v>59440</v>
      </c>
      <c r="DTF7" s="747" t="n">
        <v>59450</v>
      </c>
      <c r="DTG7" s="747" t="n">
        <v>59460</v>
      </c>
      <c r="DTH7" s="747" t="n">
        <v>59470</v>
      </c>
      <c r="DTI7" s="747" t="n">
        <v>59700</v>
      </c>
      <c r="DTJ7" s="747" t="n">
        <v>59710</v>
      </c>
      <c r="DTK7" s="747" t="n">
        <v>59720</v>
      </c>
      <c r="DTL7" s="747" t="n">
        <v>59730</v>
      </c>
      <c r="DTM7" s="747" t="n">
        <v>59740</v>
      </c>
      <c r="DTN7" s="747" t="n">
        <v>59750</v>
      </c>
      <c r="DTO7" s="747" t="n">
        <v>59760</v>
      </c>
      <c r="DTP7" s="747" t="n">
        <v>59770</v>
      </c>
      <c r="DTQ7" s="747" t="n">
        <v>59780</v>
      </c>
      <c r="DTR7" s="747" t="n">
        <v>60030</v>
      </c>
      <c r="DTS7" s="747" t="n">
        <v>60070</v>
      </c>
      <c r="DTT7" s="747" t="n">
        <v>60100</v>
      </c>
      <c r="DTU7" s="747" t="n">
        <v>60101</v>
      </c>
      <c r="DTV7" s="747" t="n">
        <v>60102</v>
      </c>
      <c r="DTW7" s="747" t="n">
        <v>60103</v>
      </c>
      <c r="DTX7" s="747" t="n">
        <v>60104</v>
      </c>
      <c r="DTY7" s="747" t="n">
        <v>60330</v>
      </c>
      <c r="DTZ7" s="747" t="n">
        <v>60350</v>
      </c>
      <c r="DUA7" s="747" t="n">
        <v>60360</v>
      </c>
      <c r="DUB7" s="747" t="n">
        <v>60400</v>
      </c>
      <c r="DUC7" s="747" t="n">
        <v>60450</v>
      </c>
      <c r="DUD7" s="747" t="n">
        <v>60470</v>
      </c>
      <c r="DUE7" s="747" t="n">
        <v>60480</v>
      </c>
      <c r="DUF7" s="747" t="n">
        <v>60490</v>
      </c>
      <c r="DUG7" s="747" t="n">
        <v>60495</v>
      </c>
      <c r="DUH7" s="747" t="n">
        <v>60510</v>
      </c>
      <c r="DUI7" s="747" t="n">
        <v>60530</v>
      </c>
      <c r="DUJ7" s="747" t="n">
        <v>60550</v>
      </c>
      <c r="DUK7" s="747" t="n">
        <v>60560</v>
      </c>
      <c r="DUL7" s="747" t="n">
        <v>60570</v>
      </c>
      <c r="DUM7" s="747" t="n">
        <v>60700</v>
      </c>
      <c r="DUN7" s="747" t="n">
        <v>60710</v>
      </c>
      <c r="DUO7" s="747" t="n">
        <v>60720</v>
      </c>
      <c r="DUP7" s="747" t="n">
        <v>60740</v>
      </c>
      <c r="DUQ7" s="747" t="n">
        <v>60760</v>
      </c>
      <c r="DUR7" s="747" t="n">
        <v>60800</v>
      </c>
      <c r="DUS7" s="747" t="n">
        <v>60830</v>
      </c>
      <c r="DUT7" s="747" t="n">
        <v>60835</v>
      </c>
      <c r="DUU7" s="747" t="n">
        <v>60850</v>
      </c>
      <c r="DUV7" s="747" t="n">
        <v>60855</v>
      </c>
      <c r="DUW7" s="747" t="n">
        <v>60860</v>
      </c>
      <c r="DUX7" s="747" t="n">
        <v>60890</v>
      </c>
      <c r="DUY7" s="747" t="n">
        <v>60900</v>
      </c>
      <c r="DUZ7" s="747" t="n">
        <v>60920</v>
      </c>
      <c r="DVA7" s="747" t="n">
        <v>60940</v>
      </c>
      <c r="DVB7" s="747" t="n">
        <v>60950</v>
      </c>
      <c r="DVC7" s="747" t="n">
        <v>60969</v>
      </c>
      <c r="DVD7" s="747" t="n">
        <v>60970</v>
      </c>
      <c r="DVE7" s="747" t="n">
        <v>60970</v>
      </c>
      <c r="DVF7" s="747" t="n">
        <v>60999</v>
      </c>
      <c r="DVG7" s="747" t="n">
        <v>60999</v>
      </c>
      <c r="DVH7" s="747" t="n">
        <v>61020</v>
      </c>
      <c r="DVI7" s="747" t="n">
        <v>61040</v>
      </c>
      <c r="DVJ7" s="747" t="n">
        <v>61050</v>
      </c>
      <c r="DVK7" s="747" t="n">
        <v>61060</v>
      </c>
      <c r="DVL7" s="747" t="n">
        <v>61070</v>
      </c>
      <c r="DVM7" s="747" t="n">
        <v>61080</v>
      </c>
      <c r="DVN7" s="747" t="n">
        <v>61100</v>
      </c>
      <c r="DVO7" s="747" t="n">
        <v>61120</v>
      </c>
      <c r="DVP7" s="747" t="n">
        <v>61120</v>
      </c>
      <c r="DVQ7" s="747" t="n">
        <v>61140</v>
      </c>
      <c r="DVR7" s="747" t="n">
        <v>61140</v>
      </c>
      <c r="DVS7" s="747" t="n">
        <v>61160</v>
      </c>
      <c r="DVT7" s="747" t="n">
        <v>61170</v>
      </c>
      <c r="DVU7" s="747" t="n">
        <v>61200</v>
      </c>
      <c r="DVV7" s="747" t="n">
        <v>61210</v>
      </c>
      <c r="DVW7" s="747" t="n">
        <v>61220</v>
      </c>
      <c r="DVX7" s="747" t="n">
        <v>61230</v>
      </c>
      <c r="DVY7" s="747" t="n">
        <v>61240</v>
      </c>
      <c r="DVZ7" s="747" t="n">
        <v>61250</v>
      </c>
      <c r="DWA7" s="747" t="n">
        <v>61255</v>
      </c>
      <c r="DWB7" s="747" t="n">
        <v>61260</v>
      </c>
      <c r="DWC7" s="747" t="n">
        <v>61268</v>
      </c>
      <c r="DWD7" s="747" t="n">
        <v>61310</v>
      </c>
      <c r="DWE7" s="747" t="n">
        <v>61340</v>
      </c>
      <c r="DWF7" s="747" t="n">
        <v>61380</v>
      </c>
      <c r="DWG7" s="747" t="n">
        <v>61390</v>
      </c>
      <c r="DWH7" s="747" t="n">
        <v>61430</v>
      </c>
      <c r="DWI7" s="747" t="n">
        <v>61470</v>
      </c>
      <c r="DWJ7" s="747" t="n">
        <v>61480</v>
      </c>
      <c r="DWK7" s="747" t="n">
        <v>61484</v>
      </c>
      <c r="DWL7" s="747" t="n">
        <v>61490</v>
      </c>
      <c r="DWM7" s="747" t="n">
        <v>61499</v>
      </c>
      <c r="DWN7" s="747" t="n">
        <v>61500</v>
      </c>
      <c r="DWO7" s="747" t="n">
        <v>61510</v>
      </c>
      <c r="DWP7" s="747" t="n">
        <v>61520</v>
      </c>
      <c r="DWQ7" s="747" t="n">
        <v>61540</v>
      </c>
      <c r="DWR7" s="747" t="n">
        <v>61550</v>
      </c>
      <c r="DWS7" s="747" t="n">
        <v>61560</v>
      </c>
      <c r="DWT7" s="747" t="n">
        <v>61570</v>
      </c>
      <c r="DWU7" s="747" t="n">
        <v>61580</v>
      </c>
      <c r="DWV7" s="747" t="n">
        <v>61590</v>
      </c>
      <c r="DWW7" s="747" t="n">
        <v>61670</v>
      </c>
      <c r="DWX7" s="747" t="n">
        <v>61690</v>
      </c>
      <c r="DWY7" s="747" t="n">
        <v>61700</v>
      </c>
      <c r="DWZ7" s="747" t="n">
        <v>61710</v>
      </c>
      <c r="DXA7" s="747" t="n">
        <v>61720</v>
      </c>
      <c r="DXB7" s="747" t="n">
        <v>61740</v>
      </c>
      <c r="DXC7" s="747" t="n">
        <v>61750</v>
      </c>
      <c r="DXD7" s="747" t="n">
        <v>61770</v>
      </c>
      <c r="DXE7" s="747" t="n">
        <v>61780</v>
      </c>
      <c r="DXF7" s="747" t="n">
        <v>61790</v>
      </c>
      <c r="DXG7" s="747" t="n">
        <v>61794</v>
      </c>
      <c r="DXH7" s="747" t="n">
        <v>61800</v>
      </c>
      <c r="DXI7" s="747" t="n">
        <v>61820</v>
      </c>
      <c r="DXJ7" s="747" t="n">
        <v>61830</v>
      </c>
      <c r="DXK7" s="747" t="n">
        <v>61840</v>
      </c>
      <c r="DXL7" s="747" t="n">
        <v>61850</v>
      </c>
      <c r="DXM7" s="747" t="n">
        <v>61860</v>
      </c>
      <c r="DXN7" s="747" t="n">
        <v>61870</v>
      </c>
      <c r="DXO7" s="747" t="n">
        <v>61880</v>
      </c>
      <c r="DXP7" s="747" t="n">
        <v>61890</v>
      </c>
      <c r="DXQ7" s="747" t="n">
        <v>61950</v>
      </c>
      <c r="DXR7" s="747" t="n">
        <v>61970</v>
      </c>
      <c r="DXS7" s="747" t="n">
        <v>61990</v>
      </c>
      <c r="DXT7" s="747" t="n">
        <v>62100</v>
      </c>
      <c r="DXU7" s="747" t="n">
        <v>62150</v>
      </c>
      <c r="DXV7" s="747" t="n">
        <v>62150</v>
      </c>
      <c r="DXW7" s="747" t="n">
        <v>62180</v>
      </c>
      <c r="DXX7" s="747" t="n">
        <v>62200</v>
      </c>
      <c r="DXY7" s="747" t="n">
        <v>62201</v>
      </c>
      <c r="DXZ7" s="747" t="n">
        <v>62202</v>
      </c>
      <c r="DYA7" s="747" t="n">
        <v>62203</v>
      </c>
      <c r="DYB7" s="747" t="n">
        <v>62290</v>
      </c>
      <c r="DYC7" s="747" t="n">
        <v>62400</v>
      </c>
      <c r="DYD7" s="747" t="n">
        <v>62450</v>
      </c>
      <c r="DYE7" s="747" t="n">
        <v>62460</v>
      </c>
      <c r="DYF7" s="747" t="n">
        <v>62470</v>
      </c>
      <c r="DYG7" s="747" t="n">
        <v>62480</v>
      </c>
      <c r="DYH7" s="747" t="n">
        <v>62490</v>
      </c>
      <c r="DYI7" s="747" t="n">
        <v>62510</v>
      </c>
      <c r="DYJ7" s="747" t="n">
        <v>62550</v>
      </c>
      <c r="DYK7" s="747" t="n">
        <v>63100</v>
      </c>
      <c r="DYL7" s="747" t="n">
        <v>63110</v>
      </c>
      <c r="DYM7" s="747" t="n">
        <v>63220</v>
      </c>
      <c r="DYN7" s="747" t="n">
        <v>63255</v>
      </c>
      <c r="DYO7" s="747" t="n">
        <v>63260</v>
      </c>
      <c r="DYP7" s="747" t="n">
        <v>63265</v>
      </c>
      <c r="DYQ7" s="747" t="n">
        <v>63270</v>
      </c>
      <c r="DYR7" s="747" t="n">
        <v>63280</v>
      </c>
      <c r="DYS7" s="747" t="n">
        <v>63300</v>
      </c>
      <c r="DYT7" s="747" t="n">
        <v>63360</v>
      </c>
      <c r="DYU7" s="747" t="n">
        <v>63370</v>
      </c>
      <c r="DYV7" s="747" t="n">
        <v>63380</v>
      </c>
      <c r="DYW7" s="747" t="n">
        <v>63390</v>
      </c>
      <c r="DYX7" s="747" t="n">
        <v>63400</v>
      </c>
      <c r="DYY7" s="747" t="n">
        <v>63410</v>
      </c>
      <c r="DYZ7" s="747" t="n">
        <v>63420</v>
      </c>
      <c r="DZA7" s="747" t="n">
        <v>63430</v>
      </c>
      <c r="DZB7" s="747" t="n">
        <v>63440</v>
      </c>
      <c r="DZC7" s="747" t="n">
        <v>63450</v>
      </c>
      <c r="DZD7" s="747" t="n">
        <v>63460</v>
      </c>
      <c r="DZE7" s="747" t="n">
        <v>63470</v>
      </c>
      <c r="DZF7" s="747" t="n">
        <v>63480</v>
      </c>
      <c r="DZG7" s="747" t="n">
        <v>63490</v>
      </c>
      <c r="DZH7" s="747" t="n">
        <v>63500</v>
      </c>
      <c r="DZI7" s="747" t="n">
        <v>63510</v>
      </c>
      <c r="DZJ7" s="747" t="n">
        <v>63554</v>
      </c>
      <c r="DZK7" s="747" t="n">
        <v>63557</v>
      </c>
      <c r="DZL7" s="747" t="n">
        <v>63600</v>
      </c>
      <c r="DZM7" s="747" t="n">
        <v>63601</v>
      </c>
      <c r="DZN7" s="747" t="n">
        <v>63602</v>
      </c>
      <c r="DZO7" s="747" t="n">
        <v>63603</v>
      </c>
      <c r="DZP7" s="747" t="n">
        <v>63640</v>
      </c>
      <c r="DZQ7" s="747" t="n">
        <v>63710</v>
      </c>
      <c r="DZR7" s="747" t="n">
        <v>63790</v>
      </c>
      <c r="DZS7" s="747" t="n">
        <v>63800</v>
      </c>
      <c r="DZT7" s="747" t="n">
        <v>63810</v>
      </c>
      <c r="DZU7" s="747" t="n">
        <v>63811</v>
      </c>
      <c r="DZV7" s="747" t="n">
        <v>63812</v>
      </c>
      <c r="DZW7" s="747" t="n">
        <v>63813</v>
      </c>
      <c r="DZX7" s="747" t="n">
        <v>63830</v>
      </c>
      <c r="DZY7" s="747" t="n">
        <v>63831</v>
      </c>
      <c r="DZZ7" s="747" t="n">
        <v>63832</v>
      </c>
      <c r="EAA7" s="747" t="n">
        <v>63833</v>
      </c>
      <c r="EAB7" s="747" t="n">
        <v>63840</v>
      </c>
      <c r="EAC7" s="747" t="n">
        <v>63850</v>
      </c>
      <c r="EAD7" s="747" t="n">
        <v>63860</v>
      </c>
      <c r="EAE7" s="747" t="n">
        <v>63940</v>
      </c>
      <c r="EAF7" s="747" t="n">
        <v>63990</v>
      </c>
      <c r="EAG7" s="747" t="n">
        <v>63991</v>
      </c>
      <c r="EAH7" s="747" t="n">
        <v>64850</v>
      </c>
      <c r="EAI7" s="747" t="n">
        <v>64857</v>
      </c>
      <c r="EAJ7" s="747" t="n">
        <v>64860</v>
      </c>
      <c r="EAK7" s="747" t="n">
        <v>65210</v>
      </c>
      <c r="EAL7" s="747" t="n">
        <v>65220</v>
      </c>
      <c r="EAM7" s="747" t="n">
        <v>66250</v>
      </c>
      <c r="EAN7" s="747" t="n">
        <v>66260</v>
      </c>
      <c r="EAO7" s="747" t="n">
        <v>66270</v>
      </c>
      <c r="EAP7" s="747" t="n">
        <v>66300</v>
      </c>
      <c r="EAQ7" s="747" t="n">
        <v>66310</v>
      </c>
      <c r="EAR7" s="747" t="n">
        <v>66320</v>
      </c>
      <c r="EAS7" s="747" t="n">
        <v>66360</v>
      </c>
      <c r="EAT7" s="747" t="n">
        <v>66370</v>
      </c>
      <c r="EAU7" s="747" t="n">
        <v>66380</v>
      </c>
      <c r="EAV7" s="747" t="n">
        <v>66420</v>
      </c>
      <c r="EAW7" s="747" t="n">
        <v>66430</v>
      </c>
      <c r="EAX7" s="747" t="n">
        <v>66440</v>
      </c>
      <c r="EAY7" s="747" t="n">
        <v>66480</v>
      </c>
      <c r="EAZ7" s="747" t="n">
        <v>66490</v>
      </c>
      <c r="EBA7" s="747" t="n">
        <v>66500</v>
      </c>
      <c r="EBB7" s="747" t="n">
        <v>66815</v>
      </c>
      <c r="EBC7" s="747" t="n">
        <v>66840</v>
      </c>
      <c r="EBD7" s="747" t="n">
        <v>66843</v>
      </c>
      <c r="EBE7" s="747" t="n">
        <v>66844</v>
      </c>
      <c r="EBF7" s="747" t="n">
        <v>66848</v>
      </c>
      <c r="EBG7" s="747" t="n">
        <v>66850</v>
      </c>
      <c r="EBH7" s="747" t="n">
        <v>66883</v>
      </c>
      <c r="EBI7" s="747" t="n">
        <v>66905</v>
      </c>
      <c r="EBJ7" s="747" t="n">
        <v>66910</v>
      </c>
      <c r="EBK7" s="747" t="n">
        <v>66920</v>
      </c>
      <c r="EBL7" s="747" t="n">
        <v>66960</v>
      </c>
      <c r="EBM7" s="747" t="n">
        <v>66990</v>
      </c>
      <c r="EBN7" s="747" t="n">
        <v>67030</v>
      </c>
      <c r="EBO7" s="747" t="n">
        <v>67060</v>
      </c>
      <c r="EBP7" s="747" t="n">
        <v>67120</v>
      </c>
      <c r="EBQ7" s="747" t="n">
        <v>67130</v>
      </c>
      <c r="EBR7" s="747" t="n">
        <v>67135</v>
      </c>
      <c r="EBS7" s="747" t="n">
        <v>67140</v>
      </c>
      <c r="EBT7" s="747" t="n">
        <v>67170</v>
      </c>
      <c r="EBU7" s="747" t="n">
        <v>67180</v>
      </c>
      <c r="EBV7" s="747" t="n">
        <v>67190</v>
      </c>
      <c r="EBW7" s="747" t="n">
        <v>67193</v>
      </c>
      <c r="EBX7" s="747" t="n">
        <v>67195</v>
      </c>
      <c r="EBY7" s="747" t="n">
        <v>67197</v>
      </c>
      <c r="EBZ7" s="747" t="n">
        <v>67200</v>
      </c>
      <c r="ECA7" s="747" t="n">
        <v>67210</v>
      </c>
      <c r="ECB7" s="747" t="n">
        <v>67220</v>
      </c>
      <c r="ECC7" s="747" t="n">
        <v>67490</v>
      </c>
      <c r="ECD7" s="747" t="n">
        <v>67507</v>
      </c>
      <c r="ECE7" s="747" t="n">
        <v>67520</v>
      </c>
      <c r="ECF7" s="747" t="n">
        <v>67529</v>
      </c>
      <c r="ECG7" s="747" t="n">
        <v>67540</v>
      </c>
      <c r="ECH7" s="747" t="n">
        <v>67560</v>
      </c>
      <c r="ECI7" s="747" t="n">
        <v>67650</v>
      </c>
      <c r="ECJ7" s="747" t="n">
        <v>67820</v>
      </c>
      <c r="ECK7" s="747" t="n">
        <v>67830</v>
      </c>
      <c r="ECL7" s="747" t="n">
        <v>67840</v>
      </c>
      <c r="ECM7" s="747" t="n">
        <v>67860</v>
      </c>
      <c r="ECN7" s="747" t="n">
        <v>67870</v>
      </c>
      <c r="ECO7" s="747" t="n">
        <v>67880</v>
      </c>
      <c r="ECP7" s="747" t="n">
        <v>67890</v>
      </c>
      <c r="ECQ7" s="747" t="n">
        <v>67910</v>
      </c>
      <c r="ECR7" s="747" t="n">
        <v>67914</v>
      </c>
      <c r="ECS7" s="747" t="n">
        <v>67918</v>
      </c>
      <c r="ECT7" s="747" t="n">
        <v>67920</v>
      </c>
      <c r="ECU7" s="747" t="n">
        <v>67930</v>
      </c>
      <c r="ECV7" s="747" t="n">
        <v>67950</v>
      </c>
      <c r="ECW7" s="747" t="n">
        <v>67954</v>
      </c>
      <c r="ECX7" s="747" t="n">
        <v>67960</v>
      </c>
      <c r="ECY7" s="747" t="n">
        <v>67980</v>
      </c>
      <c r="ECZ7" s="747" t="n">
        <v>67990</v>
      </c>
      <c r="EDA7" s="747" t="n">
        <v>68020</v>
      </c>
      <c r="EDB7" s="747" t="n">
        <v>68025</v>
      </c>
      <c r="EDC7" s="747" t="n">
        <v>68026</v>
      </c>
      <c r="EDD7" s="747" t="n">
        <v>68030</v>
      </c>
      <c r="EDE7" s="747" t="n">
        <v>68040</v>
      </c>
      <c r="EDF7" s="747" t="n">
        <v>68050</v>
      </c>
      <c r="EDG7" s="747" t="n">
        <v>68080</v>
      </c>
      <c r="EDH7" s="747" t="n">
        <v>68100</v>
      </c>
      <c r="EDI7" s="747" t="n">
        <v>68110</v>
      </c>
      <c r="EDJ7" s="747" t="n">
        <v>68140</v>
      </c>
      <c r="EDK7" s="747" t="n">
        <v>68150</v>
      </c>
      <c r="EDL7" s="747" t="n">
        <v>68200</v>
      </c>
      <c r="EDM7" s="747" t="n">
        <v>68210</v>
      </c>
      <c r="EDN7" s="747" t="n">
        <v>68220</v>
      </c>
      <c r="EDO7" s="747" t="n">
        <v>68230</v>
      </c>
      <c r="EDP7" s="747" t="n">
        <v>68240</v>
      </c>
      <c r="EDQ7" s="747" t="n">
        <v>68250</v>
      </c>
      <c r="EDR7" s="747" t="n">
        <v>68270</v>
      </c>
      <c r="EDS7" s="747" t="n">
        <v>68280</v>
      </c>
      <c r="EDT7" s="747" t="n">
        <v>68330</v>
      </c>
      <c r="EDU7" s="747" t="n">
        <v>68340</v>
      </c>
      <c r="EDV7" s="747" t="n">
        <v>68360</v>
      </c>
      <c r="EDW7" s="747" t="n">
        <v>68370</v>
      </c>
      <c r="EDX7" s="747" t="n">
        <v>68380</v>
      </c>
      <c r="EDY7" s="747" t="n">
        <v>68800</v>
      </c>
      <c r="EDZ7" s="747" t="n">
        <v>68810</v>
      </c>
      <c r="EEA7" s="747" t="n">
        <v>68820</v>
      </c>
      <c r="EEB7" s="747" t="n">
        <v>68830</v>
      </c>
      <c r="EEC7" s="747" t="n">
        <v>68840</v>
      </c>
      <c r="EED7" s="747" t="n">
        <v>68850</v>
      </c>
      <c r="EEE7" s="747" t="n">
        <v>10019</v>
      </c>
      <c r="EEF7" s="747" t="n">
        <v>10026</v>
      </c>
      <c r="EEG7" s="747" t="n">
        <v>59350</v>
      </c>
      <c r="EEH7" s="747" t="n">
        <v>60489</v>
      </c>
      <c r="EEI7" s="747" t="n">
        <v>60491</v>
      </c>
      <c r="EEJ7" s="747" t="n">
        <v>60496</v>
      </c>
      <c r="EEK7" s="747" t="n">
        <v>62140</v>
      </c>
      <c r="EEL7" s="747" t="n">
        <v>62250</v>
      </c>
      <c r="EEM7" s="747" t="n">
        <v>62300</v>
      </c>
      <c r="EEN7" s="747" t="n">
        <v>63045</v>
      </c>
      <c r="EEO7" s="747" t="n">
        <v>63047</v>
      </c>
      <c r="EEP7" s="747" t="n">
        <v>63050</v>
      </c>
      <c r="EEQ7" s="747" t="n">
        <v>63855</v>
      </c>
      <c r="EER7" s="747" t="n">
        <v>10105</v>
      </c>
      <c r="EES7" s="747" t="n">
        <v>11905</v>
      </c>
      <c r="EET7" s="747" t="n">
        <v>13010</v>
      </c>
      <c r="EEU7" s="747" t="n">
        <v>22215</v>
      </c>
      <c r="EEV7" s="747" t="n">
        <v>32001</v>
      </c>
      <c r="EEW7" s="747" t="n">
        <v>38105</v>
      </c>
      <c r="EEX7" s="748" t="inlineStr">
        <is>
          <t>Tax Year Filed</t>
        </is>
      </c>
      <c r="EEY7" s="747" t="inlineStr">
        <is>
          <t>Taxing Province</t>
        </is>
      </c>
      <c r="EEZ7" s="747" t="inlineStr">
        <is>
          <t>Marital Status</t>
        </is>
      </c>
      <c r="EFA7" s="747" t="inlineStr">
        <is>
          <t>Balance before penalty and interest</t>
        </is>
      </c>
      <c r="EFB7" s="747" t="inlineStr">
        <is>
          <t>Balance before penalty and interest</t>
        </is>
      </c>
      <c r="EFC7" s="747" t="inlineStr">
        <is>
          <t>Final balance</t>
        </is>
      </c>
      <c r="EFD7" s="747" t="inlineStr">
        <is>
          <t>Basic federal tax</t>
        </is>
      </c>
      <c r="EFE7" s="747" t="inlineStr">
        <is>
          <t>Basic provincial or territorial tax</t>
        </is>
      </c>
      <c r="EFF7" s="747" t="inlineStr">
        <is>
          <t>Ontario Health Premium</t>
        </is>
      </c>
      <c r="EFG7" s="747" t="n">
        <v>101</v>
      </c>
      <c r="EFH7" s="747" t="n">
        <v>102</v>
      </c>
      <c r="EFI7" s="747" t="n">
        <v>103</v>
      </c>
      <c r="EFJ7" s="747" t="n">
        <v>104</v>
      </c>
      <c r="EFK7" s="747" t="n">
        <v>106</v>
      </c>
      <c r="EFL7" s="747" t="n">
        <v>107</v>
      </c>
      <c r="EFM7" s="747" t="n">
        <v>109</v>
      </c>
      <c r="EFN7" s="747" t="n">
        <v>110</v>
      </c>
      <c r="EFO7" s="747" t="n">
        <v>113</v>
      </c>
      <c r="EFP7" s="747" t="n">
        <v>114</v>
      </c>
      <c r="EFQ7" s="747" t="n">
        <v>115</v>
      </c>
      <c r="EFR7" s="747" t="n">
        <v>116</v>
      </c>
      <c r="EFS7" s="747" t="n">
        <v>117</v>
      </c>
      <c r="EFT7" s="747" t="n">
        <v>119</v>
      </c>
      <c r="EFU7" s="747" t="n">
        <v>120</v>
      </c>
      <c r="EFV7" s="747" t="n">
        <v>121</v>
      </c>
      <c r="EFW7" s="747" t="n">
        <v>122</v>
      </c>
      <c r="EFX7" s="747" t="n">
        <v>123</v>
      </c>
      <c r="EFY7" s="747" t="n">
        <v>124</v>
      </c>
      <c r="EFZ7" s="747" t="n">
        <v>125</v>
      </c>
      <c r="EGA7" s="747" t="n">
        <v>126</v>
      </c>
      <c r="EGB7" s="747" t="n">
        <v>127</v>
      </c>
      <c r="EGC7" s="747" t="n">
        <v>128</v>
      </c>
      <c r="EGD7" s="747" t="n">
        <v>129</v>
      </c>
      <c r="EGE7" s="747" t="n">
        <v>130</v>
      </c>
      <c r="EGF7" s="747" t="n">
        <v>131</v>
      </c>
      <c r="EGG7" s="747" t="n">
        <v>132</v>
      </c>
      <c r="EGH7" s="747" t="n">
        <v>135</v>
      </c>
      <c r="EGI7" s="747" t="n">
        <v>136</v>
      </c>
      <c r="EGJ7" s="747" t="n">
        <v>137</v>
      </c>
      <c r="EGK7" s="747" t="n">
        <v>138</v>
      </c>
      <c r="EGL7" s="747" t="n">
        <v>139</v>
      </c>
      <c r="EGM7" s="747" t="n">
        <v>141</v>
      </c>
      <c r="EGN7" s="747" t="n">
        <v>143</v>
      </c>
      <c r="EGO7" s="747" t="n">
        <v>144</v>
      </c>
      <c r="EGP7" s="747" t="n">
        <v>145</v>
      </c>
      <c r="EGQ7" s="747" t="n">
        <v>146</v>
      </c>
      <c r="EGR7" s="747" t="n">
        <v>150</v>
      </c>
      <c r="EGS7" s="747" t="n">
        <v>151</v>
      </c>
      <c r="EGT7" s="747" t="n">
        <v>152</v>
      </c>
      <c r="EGU7" s="747" t="n">
        <v>153</v>
      </c>
      <c r="EGV7" s="747" t="n">
        <v>154</v>
      </c>
      <c r="EGW7" s="747" t="n">
        <v>155</v>
      </c>
      <c r="EGX7" s="747" t="n">
        <v>156</v>
      </c>
      <c r="EGY7" s="747" t="n">
        <v>158</v>
      </c>
      <c r="EGZ7" s="747" t="n">
        <v>159</v>
      </c>
      <c r="EHA7" s="747" t="n">
        <v>160</v>
      </c>
      <c r="EHB7" s="747" t="n">
        <v>161</v>
      </c>
      <c r="EHC7" s="747" t="n">
        <v>162</v>
      </c>
      <c r="EHD7" s="747" t="n">
        <v>164</v>
      </c>
      <c r="EHE7" s="747" t="n">
        <v>166</v>
      </c>
      <c r="EHF7" s="747" t="n">
        <v>168</v>
      </c>
      <c r="EHG7" s="747" t="n">
        <v>170</v>
      </c>
      <c r="EHH7" s="747" t="n">
        <v>174</v>
      </c>
      <c r="EHI7" s="747" t="n">
        <v>176</v>
      </c>
      <c r="EHJ7" s="747" t="n">
        <v>178</v>
      </c>
      <c r="EHK7" s="747" t="n">
        <v>179</v>
      </c>
      <c r="EHL7" s="747" t="n">
        <v>180</v>
      </c>
      <c r="EHM7" s="747" t="n">
        <v>185</v>
      </c>
      <c r="EHN7" s="747" t="n">
        <v>205</v>
      </c>
      <c r="EHO7" s="747" t="n">
        <v>206</v>
      </c>
      <c r="EHP7" s="747" t="n">
        <v>207</v>
      </c>
      <c r="EHQ7" s="747" t="n">
        <v>208</v>
      </c>
      <c r="EHR7" s="747" t="n">
        <v>210</v>
      </c>
      <c r="EHS7" s="747" t="n">
        <v>212</v>
      </c>
      <c r="EHT7" s="747" t="n">
        <v>213</v>
      </c>
      <c r="EHU7" s="747" t="n">
        <v>214</v>
      </c>
      <c r="EHV7" s="747" t="n">
        <v>215</v>
      </c>
      <c r="EHW7" s="747" t="n">
        <v>217</v>
      </c>
      <c r="EHX7" s="747" t="n">
        <v>219</v>
      </c>
      <c r="EHY7" s="747" t="n">
        <v>220</v>
      </c>
      <c r="EHZ7" s="747" t="n">
        <v>221</v>
      </c>
      <c r="EIA7" s="747" t="n">
        <v>222</v>
      </c>
      <c r="EIB7" s="747" t="n">
        <v>223</v>
      </c>
      <c r="EIC7" s="747" t="n">
        <v>224</v>
      </c>
      <c r="EID7" s="747" t="n">
        <v>228</v>
      </c>
      <c r="EIE7" s="747" t="n">
        <v>229</v>
      </c>
      <c r="EIF7" s="747" t="n">
        <v>230</v>
      </c>
      <c r="EIG7" s="747" t="n">
        <v>231</v>
      </c>
      <c r="EIH7" s="747" t="n">
        <v>232</v>
      </c>
      <c r="EII7" s="747" t="n">
        <v>235</v>
      </c>
      <c r="EIJ7" s="747" t="n">
        <v>236</v>
      </c>
      <c r="EIK7" s="747" t="n">
        <v>240</v>
      </c>
      <c r="EIL7" s="747" t="n">
        <v>244</v>
      </c>
      <c r="EIM7" s="747" t="n">
        <v>245</v>
      </c>
      <c r="EIN7" s="747" t="n">
        <v>246</v>
      </c>
      <c r="EIO7" s="747" t="n">
        <v>247</v>
      </c>
      <c r="EIP7" s="747" t="n">
        <v>249</v>
      </c>
      <c r="EIQ7" s="747" t="n">
        <v>250</v>
      </c>
      <c r="EIR7" s="747" t="n">
        <v>251</v>
      </c>
      <c r="EIS7" s="747" t="n">
        <v>252</v>
      </c>
      <c r="EIT7" s="747" t="n">
        <v>253</v>
      </c>
      <c r="EIU7" s="747" t="n">
        <v>254</v>
      </c>
      <c r="EIV7" s="747" t="n">
        <v>255</v>
      </c>
      <c r="EIW7" s="747" t="n">
        <v>256</v>
      </c>
      <c r="EIX7" s="747" t="n">
        <v>259</v>
      </c>
      <c r="EIY7" s="747" t="n">
        <v>260</v>
      </c>
      <c r="EIZ7" s="747" t="n">
        <v>262</v>
      </c>
      <c r="EJA7" s="747" t="n">
        <v>263</v>
      </c>
      <c r="EJB7" s="747" t="n">
        <v>264</v>
      </c>
      <c r="EJC7" s="747" t="n">
        <v>266</v>
      </c>
      <c r="EJD7" s="747" t="n">
        <v>267</v>
      </c>
      <c r="EJE7" s="747" t="n">
        <v>300</v>
      </c>
      <c r="EJF7" s="747" t="n">
        <v>301</v>
      </c>
      <c r="EJG7" s="747" t="n">
        <v>303</v>
      </c>
      <c r="EJH7" s="747" t="n">
        <v>304</v>
      </c>
      <c r="EJI7" s="747" t="n">
        <v>305</v>
      </c>
      <c r="EJJ7" s="747" t="n">
        <v>307</v>
      </c>
      <c r="EJK7" s="747" t="n">
        <v>308</v>
      </c>
      <c r="EJL7" s="747" t="n">
        <v>310</v>
      </c>
      <c r="EJM7" s="747" t="n">
        <v>312</v>
      </c>
      <c r="EJN7" s="747" t="n">
        <v>313</v>
      </c>
      <c r="EJO7" s="747" t="n">
        <v>314</v>
      </c>
      <c r="EJP7" s="747" t="n">
        <v>316</v>
      </c>
      <c r="EJQ7" s="747" t="n">
        <v>317</v>
      </c>
      <c r="EJR7" s="747" t="n">
        <v>318</v>
      </c>
      <c r="EJS7" s="747" t="n">
        <v>319</v>
      </c>
      <c r="EJT7" s="747" t="n">
        <v>320</v>
      </c>
      <c r="EJU7" s="747" t="n">
        <v>323</v>
      </c>
      <c r="EJV7" s="747" t="n">
        <v>324</v>
      </c>
      <c r="EJW7" s="747" t="n">
        <v>325</v>
      </c>
      <c r="EJX7" s="747" t="n">
        <v>326</v>
      </c>
      <c r="EJY7" s="747" t="n">
        <v>327</v>
      </c>
      <c r="EJZ7" s="747" t="n">
        <v>328</v>
      </c>
      <c r="EKA7" s="747" t="n">
        <v>329</v>
      </c>
      <c r="EKB7" s="747" t="n">
        <v>330</v>
      </c>
      <c r="EKC7" s="747" t="n">
        <v>331</v>
      </c>
      <c r="EKD7" s="747" t="n">
        <v>332</v>
      </c>
      <c r="EKE7" s="747" t="n">
        <v>333</v>
      </c>
      <c r="EKF7" s="747" t="n">
        <v>334</v>
      </c>
      <c r="EKG7" s="747" t="n">
        <v>337</v>
      </c>
      <c r="EKH7" s="747" t="n">
        <v>338</v>
      </c>
      <c r="EKI7" s="747" t="n">
        <v>339</v>
      </c>
      <c r="EKJ7" s="747" t="n">
        <v>340</v>
      </c>
      <c r="EKK7" s="747" t="n">
        <v>342</v>
      </c>
      <c r="EKL7" s="747" t="n">
        <v>345</v>
      </c>
      <c r="EKM7" s="747" t="n">
        <v>349</v>
      </c>
      <c r="EKN7" s="747" t="n">
        <v>350</v>
      </c>
      <c r="EKO7" s="747" t="n">
        <v>351</v>
      </c>
      <c r="EKP7" s="747" t="n">
        <v>352</v>
      </c>
      <c r="EKQ7" s="747" t="n">
        <v>353</v>
      </c>
      <c r="EKR7" s="747" t="n">
        <v>354</v>
      </c>
      <c r="EKS7" s="747" t="n">
        <v>355</v>
      </c>
      <c r="EKT7" s="747" t="n">
        <v>357</v>
      </c>
      <c r="EKU7" s="747" t="n">
        <v>360</v>
      </c>
      <c r="EKV7" s="747" t="n">
        <v>361</v>
      </c>
      <c r="EKW7" s="747" t="n">
        <v>362</v>
      </c>
      <c r="EKX7" s="747" t="n">
        <v>363</v>
      </c>
      <c r="EKY7" s="747" t="n">
        <v>367</v>
      </c>
      <c r="EKZ7" s="747" t="n">
        <v>369</v>
      </c>
      <c r="ELA7" s="747" t="n">
        <v>371</v>
      </c>
      <c r="ELB7" s="747" t="n">
        <v>372</v>
      </c>
      <c r="ELC7" s="747" t="n">
        <v>373</v>
      </c>
      <c r="ELD7" s="747" t="n">
        <v>374</v>
      </c>
      <c r="ELE7" s="747" t="n">
        <v>375</v>
      </c>
      <c r="ELF7" s="747" t="n">
        <v>376</v>
      </c>
      <c r="ELG7" s="747" t="n">
        <v>378</v>
      </c>
      <c r="ELH7" s="747" t="n">
        <v>381</v>
      </c>
      <c r="ELI7" s="747" t="n">
        <v>382</v>
      </c>
      <c r="ELJ7" s="747" t="n">
        <v>383</v>
      </c>
      <c r="ELK7" s="747" t="n">
        <v>384</v>
      </c>
      <c r="ELL7" s="747" t="n">
        <v>385</v>
      </c>
      <c r="ELM7" s="747" t="n">
        <v>386</v>
      </c>
      <c r="ELN7" s="747" t="n">
        <v>387</v>
      </c>
      <c r="ELO7" s="747" t="n">
        <v>388</v>
      </c>
      <c r="ELP7" s="747" t="n">
        <v>389</v>
      </c>
      <c r="ELQ7" s="747" t="n">
        <v>390</v>
      </c>
      <c r="ELR7" s="747" t="n">
        <v>391</v>
      </c>
      <c r="ELS7" s="747" t="n">
        <v>392</v>
      </c>
      <c r="ELT7" s="747" t="n">
        <v>394</v>
      </c>
      <c r="ELU7" s="747" t="n">
        <v>395</v>
      </c>
      <c r="ELV7" s="747" t="n">
        <v>398</v>
      </c>
      <c r="ELW7" s="747" t="n">
        <v>399</v>
      </c>
      <c r="ELX7" s="747" t="n">
        <v>406</v>
      </c>
      <c r="ELY7" s="747" t="n">
        <v>409</v>
      </c>
      <c r="ELZ7" s="747" t="n">
        <v>410</v>
      </c>
      <c r="EMA7" s="747" t="n">
        <v>412</v>
      </c>
      <c r="EMB7" s="747" t="n">
        <v>413</v>
      </c>
      <c r="EMC7" s="747" t="n">
        <v>414</v>
      </c>
      <c r="EMD7" s="747" t="n">
        <v>415</v>
      </c>
      <c r="EME7" s="747" t="n">
        <v>417</v>
      </c>
      <c r="EMF7" s="747" t="n">
        <v>418</v>
      </c>
      <c r="EMG7" s="747" t="n">
        <v>420</v>
      </c>
      <c r="EMH7" s="747" t="n">
        <v>424</v>
      </c>
      <c r="EMI7" s="747" t="n">
        <v>425</v>
      </c>
      <c r="EMJ7" s="747" t="n">
        <v>427</v>
      </c>
      <c r="EMK7" s="747" t="n">
        <v>428</v>
      </c>
      <c r="EML7" s="747" t="n">
        <v>431</v>
      </c>
      <c r="EMM7" s="747" t="n">
        <v>432</v>
      </c>
      <c r="EMN7" s="747" t="n">
        <v>433</v>
      </c>
      <c r="EMO7" s="747" t="n">
        <v>434</v>
      </c>
      <c r="EMP7" s="747" t="n">
        <v>435</v>
      </c>
      <c r="EMQ7" s="747" t="n">
        <v>437</v>
      </c>
      <c r="EMR7" s="747" t="n">
        <v>438</v>
      </c>
      <c r="EMS7" s="747" t="n">
        <v>439</v>
      </c>
      <c r="EMT7" s="747" t="n">
        <v>440</v>
      </c>
      <c r="EMU7" s="747" t="n">
        <v>441</v>
      </c>
      <c r="EMV7" s="747" t="n">
        <v>448</v>
      </c>
      <c r="EMW7" s="747" t="n">
        <v>449</v>
      </c>
      <c r="EMX7" s="747" t="n">
        <v>450</v>
      </c>
      <c r="EMY7" s="747" t="n">
        <v>452</v>
      </c>
      <c r="EMZ7" s="747" t="n">
        <v>453</v>
      </c>
      <c r="ENA7" s="747" t="n">
        <v>454</v>
      </c>
      <c r="ENB7" s="747" t="n">
        <v>456</v>
      </c>
      <c r="ENC7" s="747" t="n">
        <v>457</v>
      </c>
      <c r="END7" s="747" t="n">
        <v>460</v>
      </c>
      <c r="ENE7" s="747" t="n">
        <v>461</v>
      </c>
      <c r="ENF7" s="747" t="n">
        <v>462</v>
      </c>
      <c r="ENG7" s="747" t="n">
        <v>465</v>
      </c>
      <c r="ENH7" s="747" t="n">
        <v>466</v>
      </c>
      <c r="ENI7" s="747" t="n">
        <v>468</v>
      </c>
      <c r="ENJ7" s="747" t="n">
        <v>469</v>
      </c>
      <c r="ENK7" s="747" t="n">
        <v>476</v>
      </c>
      <c r="ENL7" s="747" t="n">
        <v>479</v>
      </c>
      <c r="ENM7" s="747" t="n">
        <v>484</v>
      </c>
      <c r="ENN7" s="747" t="n">
        <v>485</v>
      </c>
      <c r="ENO7" s="747" t="n">
        <v>486</v>
      </c>
      <c r="ENP7" s="747" t="n">
        <v>487</v>
      </c>
      <c r="ENQ7" s="747" t="n">
        <v>488</v>
      </c>
      <c r="ENR7" s="747" t="n">
        <v>490</v>
      </c>
      <c r="ENS7" s="747" t="n">
        <v>5026</v>
      </c>
      <c r="ENT7" s="747" t="n">
        <v>5027</v>
      </c>
      <c r="ENU7" s="747" t="n">
        <v>5028</v>
      </c>
      <c r="ENV7" s="747" t="n">
        <v>5029</v>
      </c>
      <c r="ENW7" s="747" t="n">
        <v>5031</v>
      </c>
      <c r="ENX7" s="747" t="n">
        <v>5032</v>
      </c>
      <c r="ENY7" s="747" t="n">
        <v>5033</v>
      </c>
      <c r="ENZ7" s="747" t="n">
        <v>5034</v>
      </c>
      <c r="EOA7" s="747" t="n">
        <v>5041</v>
      </c>
      <c r="EOB7" s="747" t="n">
        <v>5106</v>
      </c>
      <c r="EOC7" s="747" t="n">
        <v>5109</v>
      </c>
      <c r="EOD7" s="747" t="n">
        <v>5110</v>
      </c>
      <c r="EOE7" s="747" t="n">
        <v>5112</v>
      </c>
      <c r="EOF7" s="747" t="n">
        <v>5117</v>
      </c>
      <c r="EOG7" s="747" t="n">
        <v>5118</v>
      </c>
      <c r="EOH7" s="747" t="n">
        <v>5119</v>
      </c>
      <c r="EOI7" s="747" t="n">
        <v>5120</v>
      </c>
      <c r="EOJ7" s="747" t="n">
        <v>5121</v>
      </c>
      <c r="EOK7" s="747" t="n">
        <v>5122</v>
      </c>
      <c r="EOL7" s="747" t="n">
        <v>5123</v>
      </c>
      <c r="EOM7" s="747" t="n">
        <v>5124</v>
      </c>
      <c r="EON7" s="747" t="n">
        <v>5125</v>
      </c>
      <c r="EOO7" s="747" t="n">
        <v>5230</v>
      </c>
      <c r="EOP7" s="747" t="n">
        <v>5263</v>
      </c>
      <c r="EOQ7" s="747" t="n">
        <v>5267</v>
      </c>
      <c r="EOR7" s="747" t="n">
        <v>5273</v>
      </c>
      <c r="EOS7" s="747" t="n">
        <v>5274</v>
      </c>
      <c r="EOT7" s="747" t="n">
        <v>5275</v>
      </c>
      <c r="EOU7" s="747" t="n">
        <v>5276</v>
      </c>
      <c r="EOV7" s="747" t="n">
        <v>5277</v>
      </c>
      <c r="EOW7" s="747" t="n">
        <v>5278</v>
      </c>
      <c r="EOX7" s="747" t="n">
        <v>5279</v>
      </c>
      <c r="EOY7" s="747" t="n">
        <v>5280</v>
      </c>
      <c r="EOZ7" s="747" t="n">
        <v>5281</v>
      </c>
      <c r="EPA7" s="747" t="n">
        <v>5282</v>
      </c>
      <c r="EPB7" s="747" t="n">
        <v>5283</v>
      </c>
      <c r="EPC7" s="747" t="n">
        <v>5284</v>
      </c>
      <c r="EPD7" s="747" t="n">
        <v>5285</v>
      </c>
      <c r="EPE7" s="747" t="n">
        <v>5292</v>
      </c>
      <c r="EPF7" s="747" t="n">
        <v>5293</v>
      </c>
      <c r="EPG7" s="747" t="n">
        <v>5308</v>
      </c>
      <c r="EPH7" s="747" t="n">
        <v>5321</v>
      </c>
      <c r="EPI7" s="747" t="n">
        <v>5548</v>
      </c>
      <c r="EPJ7" s="747" t="n">
        <v>5549</v>
      </c>
      <c r="EPK7" s="747" t="n">
        <v>5330</v>
      </c>
      <c r="EPL7" s="747" t="n">
        <v>5335</v>
      </c>
      <c r="EPM7" s="747" t="n">
        <v>5337</v>
      </c>
      <c r="EPN7" s="747" t="n">
        <v>5344</v>
      </c>
      <c r="EPO7" s="747" t="n">
        <v>5345</v>
      </c>
      <c r="EPP7" s="747" t="n">
        <v>5347</v>
      </c>
      <c r="EPQ7" s="747" t="n">
        <v>5349</v>
      </c>
      <c r="EPR7" s="747" t="n">
        <v>5350</v>
      </c>
      <c r="EPS7" s="747" t="n">
        <v>5351</v>
      </c>
      <c r="EPT7" s="747" t="n">
        <v>5353</v>
      </c>
      <c r="EPU7" s="747" t="n">
        <v>5354</v>
      </c>
      <c r="EPV7" s="747" t="n">
        <v>5355</v>
      </c>
      <c r="EPW7" s="747" t="n">
        <v>5369</v>
      </c>
      <c r="EPX7" s="747" t="n">
        <v>5367</v>
      </c>
      <c r="EPY7" s="747" t="n">
        <v>5368</v>
      </c>
      <c r="EPZ7" s="747" t="n">
        <v>379</v>
      </c>
      <c r="EQA7" s="747" t="n">
        <v>377</v>
      </c>
      <c r="EQB7" s="747" t="n">
        <v>380</v>
      </c>
      <c r="EQC7" s="747" t="n">
        <v>5493</v>
      </c>
      <c r="EQD7" s="747" t="n">
        <v>5494</v>
      </c>
      <c r="EQE7" s="747" t="n">
        <v>5461</v>
      </c>
      <c r="EQF7" s="747" t="n">
        <v>5478</v>
      </c>
      <c r="EQG7" s="747" t="n">
        <v>5479</v>
      </c>
      <c r="EQH7" s="747" t="n">
        <v>5492</v>
      </c>
      <c r="EQI7" s="747" t="n">
        <v>5495</v>
      </c>
      <c r="EQJ7" s="747" t="n">
        <v>5496</v>
      </c>
      <c r="EQK7" s="747" t="n">
        <v>5507</v>
      </c>
      <c r="EQL7" s="747" t="n">
        <v>5508</v>
      </c>
      <c r="EQM7" s="747" t="n">
        <v>5511</v>
      </c>
      <c r="EQN7" s="747" t="n">
        <v>5522</v>
      </c>
      <c r="EQO7" s="747" t="n">
        <v>5527</v>
      </c>
      <c r="EQP7" s="747" t="n">
        <v>5529</v>
      </c>
      <c r="EQQ7" s="747" t="n">
        <v>5530</v>
      </c>
      <c r="EQR7" s="747" t="n">
        <v>5532</v>
      </c>
      <c r="EQS7" s="747" t="n">
        <v>5536</v>
      </c>
      <c r="EQT7" s="747" t="n">
        <v>5537</v>
      </c>
      <c r="EQU7" s="747" t="n">
        <v>5538</v>
      </c>
      <c r="EQV7" s="747" t="n">
        <v>5540</v>
      </c>
      <c r="EQW7" s="747" t="n">
        <v>5555</v>
      </c>
      <c r="EQX7" s="747" t="n">
        <v>5566</v>
      </c>
      <c r="EQY7" s="747" t="n">
        <v>5804</v>
      </c>
      <c r="EQZ7" s="747" t="n">
        <v>5808</v>
      </c>
      <c r="ERA7" s="747" t="n">
        <v>5812</v>
      </c>
      <c r="ERB7" s="747" t="n">
        <v>5816</v>
      </c>
      <c r="ERC7" s="747" t="n">
        <v>5814</v>
      </c>
      <c r="ERD7" s="747" t="n">
        <v>5817</v>
      </c>
      <c r="ERE7" s="747" t="n">
        <v>5818</v>
      </c>
      <c r="ERF7" s="747" t="n">
        <v>5819</v>
      </c>
      <c r="ERG7" s="747" t="n">
        <v>5825</v>
      </c>
      <c r="ERH7" s="747" t="n">
        <v>5820</v>
      </c>
      <c r="ERI7" s="747" t="n">
        <v>6370</v>
      </c>
      <c r="ERJ7" s="747" t="n">
        <v>5821</v>
      </c>
      <c r="ERK7" s="747" t="n">
        <v>5822</v>
      </c>
      <c r="ERL7" s="747" t="n">
        <v>6372</v>
      </c>
      <c r="ERM7" s="747" t="n">
        <v>5823</v>
      </c>
      <c r="ERN7" s="747" t="n">
        <v>5824</v>
      </c>
      <c r="ERO7" s="747" t="n">
        <v>5828</v>
      </c>
      <c r="ERP7" s="747" t="n">
        <v>5832</v>
      </c>
      <c r="ERQ7" s="747" t="n">
        <v>5829</v>
      </c>
      <c r="ERR7" s="747" t="n">
        <v>5834</v>
      </c>
      <c r="ERS7" s="747" t="n">
        <v>5830</v>
      </c>
      <c r="ERT7" s="747" t="n">
        <v>5845</v>
      </c>
      <c r="ERU7" s="747" t="n">
        <v>5831</v>
      </c>
      <c r="ERV7" s="747" t="n">
        <v>5839</v>
      </c>
      <c r="ERW7" s="747" t="n">
        <v>5841</v>
      </c>
      <c r="ERX7" s="747" t="n">
        <v>5833</v>
      </c>
      <c r="ERY7" s="747" t="n">
        <v>5837</v>
      </c>
      <c r="ERZ7" s="747" t="n">
        <v>5836</v>
      </c>
      <c r="ESA7" s="747" t="n">
        <v>5840</v>
      </c>
      <c r="ESB7" s="747" t="n">
        <v>5844</v>
      </c>
      <c r="ESC7" s="747" t="n">
        <v>5848</v>
      </c>
      <c r="ESD7" s="747" t="n">
        <v>5850</v>
      </c>
      <c r="ESE7" s="747" t="n">
        <v>5852</v>
      </c>
      <c r="ESF7" s="747" t="n">
        <v>5856</v>
      </c>
      <c r="ESG7" s="747" t="n">
        <v>5856</v>
      </c>
      <c r="ESH7" s="747" t="n">
        <v>5856</v>
      </c>
      <c r="ESI7" s="747" t="n">
        <v>5860</v>
      </c>
      <c r="ESJ7" s="747" t="n">
        <v>5860</v>
      </c>
      <c r="ESK7" s="747" t="n">
        <v>5860</v>
      </c>
      <c r="ESL7" s="747" t="n">
        <v>5864</v>
      </c>
      <c r="ESM7" s="747" t="n">
        <v>5868</v>
      </c>
      <c r="ESN7" s="747" t="n">
        <v>5872</v>
      </c>
      <c r="ESO7" s="747" t="n">
        <v>5875</v>
      </c>
      <c r="ESP7" s="747" t="n">
        <v>5876</v>
      </c>
      <c r="ESQ7" s="747" t="n">
        <v>5880</v>
      </c>
      <c r="ESR7" s="747" t="n">
        <v>5881</v>
      </c>
      <c r="ESS7" s="747" t="n">
        <v>5882</v>
      </c>
      <c r="EST7" s="747" t="n">
        <v>5883</v>
      </c>
      <c r="ESU7" s="747" t="n">
        <v>5884</v>
      </c>
      <c r="ESV7" s="747" t="n">
        <v>5884</v>
      </c>
      <c r="ESW7" s="747" t="n">
        <v>5896</v>
      </c>
      <c r="ESX7" s="747" t="n">
        <v>5897</v>
      </c>
      <c r="ESY7" s="747" t="n">
        <v>5898</v>
      </c>
      <c r="ESZ7" s="747" t="n">
        <v>5900</v>
      </c>
      <c r="ETA7" s="747" t="n">
        <v>5901</v>
      </c>
      <c r="ETB7" s="747" t="n">
        <v>5902</v>
      </c>
      <c r="ETC7" s="747" t="n">
        <v>5903</v>
      </c>
      <c r="ETD7" s="747" t="n">
        <v>5904</v>
      </c>
      <c r="ETE7" s="747" t="n">
        <v>5905</v>
      </c>
      <c r="ETF7" s="747" t="n">
        <v>5907</v>
      </c>
      <c r="ETG7" s="747" t="n">
        <v>5909</v>
      </c>
      <c r="ETH7" s="747" t="n">
        <v>5909</v>
      </c>
      <c r="ETI7" s="747" t="n">
        <v>5909</v>
      </c>
      <c r="ETJ7" s="747" t="n">
        <v>5912</v>
      </c>
      <c r="ETK7" s="747" t="n">
        <v>5914</v>
      </c>
      <c r="ETL7" s="747" t="n">
        <v>5916</v>
      </c>
      <c r="ETM7" s="747" t="n">
        <v>5916</v>
      </c>
      <c r="ETN7" s="747" t="n">
        <v>5918</v>
      </c>
      <c r="ETO7" s="747" t="n">
        <v>5918</v>
      </c>
      <c r="ETP7" s="747" t="n">
        <v>5920</v>
      </c>
      <c r="ETQ7" s="747" t="n">
        <v>5920</v>
      </c>
      <c r="ETR7" s="747" t="n">
        <v>5920</v>
      </c>
      <c r="ETS7" s="747" t="n">
        <v>5920</v>
      </c>
      <c r="ETT7" s="747" t="n">
        <v>5931</v>
      </c>
      <c r="ETU7" s="747" t="n">
        <v>5932</v>
      </c>
      <c r="ETV7" s="747" t="n">
        <v>5933</v>
      </c>
      <c r="ETW7" s="747" t="n">
        <v>5934</v>
      </c>
      <c r="ETX7" s="747" t="n">
        <v>5936</v>
      </c>
      <c r="ETY7" s="747" t="n">
        <v>5937</v>
      </c>
      <c r="ETZ7" s="747" t="n">
        <v>5943</v>
      </c>
      <c r="EUA7" s="747" t="n">
        <v>5944</v>
      </c>
      <c r="EUB7" s="747" t="n">
        <v>5945</v>
      </c>
      <c r="EUC7" s="747" t="n">
        <v>5946</v>
      </c>
      <c r="EUD7" s="747" t="n">
        <v>5947</v>
      </c>
      <c r="EUE7" s="747" t="n">
        <v>5970</v>
      </c>
      <c r="EUF7" s="747" t="n">
        <v>5971</v>
      </c>
      <c r="EUG7" s="747" t="n">
        <v>5972</v>
      </c>
      <c r="EUH7" s="747" t="n">
        <v>5973</v>
      </c>
      <c r="EUI7" s="747" t="n">
        <v>5974</v>
      </c>
      <c r="EUJ7" s="747" t="n">
        <v>5975</v>
      </c>
      <c r="EUK7" s="747" t="n">
        <v>5976</v>
      </c>
      <c r="EUL7" s="747" t="n">
        <v>5977</v>
      </c>
      <c r="EUM7" s="747" t="n">
        <v>5978</v>
      </c>
      <c r="EUN7" s="747" t="n">
        <v>6003</v>
      </c>
      <c r="EUO7" s="747" t="n">
        <v>6007</v>
      </c>
      <c r="EUP7" s="747" t="n">
        <v>6010</v>
      </c>
      <c r="EUQ7" s="747" t="n">
        <v>6011</v>
      </c>
      <c r="EUR7" s="747" t="n">
        <v>6012</v>
      </c>
      <c r="EUS7" s="747" t="n">
        <v>6013</v>
      </c>
      <c r="EUT7" s="747" t="n">
        <v>6014</v>
      </c>
      <c r="EUU7" s="747" t="n">
        <v>6033</v>
      </c>
      <c r="EUV7" s="747" t="n">
        <v>6035</v>
      </c>
      <c r="EUW7" s="747" t="n">
        <v>6036</v>
      </c>
      <c r="EUX7" s="747" t="n">
        <v>6040</v>
      </c>
      <c r="EUY7" s="747" t="n">
        <v>6045</v>
      </c>
      <c r="EUZ7" s="747" t="n">
        <v>6047</v>
      </c>
      <c r="EVA7" s="747" t="n">
        <v>6048</v>
      </c>
      <c r="EVB7" s="747" t="n">
        <v>6049</v>
      </c>
      <c r="EVC7" s="747" t="n">
        <v>6050</v>
      </c>
      <c r="EVD7" s="747" t="n">
        <v>6051</v>
      </c>
      <c r="EVE7" s="747" t="n">
        <v>6053</v>
      </c>
      <c r="EVF7" s="747" t="n">
        <v>6055</v>
      </c>
      <c r="EVG7" s="747" t="n">
        <v>6056</v>
      </c>
      <c r="EVH7" s="747" t="n">
        <v>6063</v>
      </c>
      <c r="EVI7" s="747" t="n">
        <v>6070</v>
      </c>
      <c r="EVJ7" s="747" t="n">
        <v>6071</v>
      </c>
      <c r="EVK7" s="747" t="n">
        <v>6072</v>
      </c>
      <c r="EVL7" s="747" t="n">
        <v>6074</v>
      </c>
      <c r="EVM7" s="747" t="n">
        <v>6076</v>
      </c>
      <c r="EVN7" s="747" t="n">
        <v>6080</v>
      </c>
      <c r="EVO7" s="747" t="n">
        <v>6085</v>
      </c>
      <c r="EVP7" s="747" t="n">
        <v>6845</v>
      </c>
      <c r="EVQ7" s="747" t="n">
        <v>6092</v>
      </c>
      <c r="EVR7" s="747" t="n">
        <v>6091</v>
      </c>
      <c r="EVS7" s="747" t="n">
        <v>6096</v>
      </c>
      <c r="EVT7" s="747" t="n">
        <v>6089</v>
      </c>
      <c r="EVU7" s="747" t="n">
        <v>6090</v>
      </c>
      <c r="EVV7" s="747" t="n">
        <v>6083</v>
      </c>
      <c r="EVW7" s="747" t="n">
        <v>6094</v>
      </c>
      <c r="EVX7" s="747" t="n">
        <v>6095</v>
      </c>
      <c r="EVY7" s="747" t="n">
        <v>6269</v>
      </c>
      <c r="EVZ7" s="747" t="n">
        <v>6097</v>
      </c>
      <c r="EWA7" s="747" t="n">
        <v>6097</v>
      </c>
      <c r="EWB7" s="747" t="n">
        <v>6099</v>
      </c>
      <c r="EWC7" s="747" t="n">
        <v>6099</v>
      </c>
      <c r="EWD7" s="747" t="n">
        <v>6118</v>
      </c>
      <c r="EWE7" s="747" t="n">
        <v>6119</v>
      </c>
      <c r="EWF7" s="747" t="n">
        <v>6105</v>
      </c>
      <c r="EWG7" s="747" t="n">
        <v>6109</v>
      </c>
      <c r="EWH7" s="747" t="n">
        <v>6113</v>
      </c>
      <c r="EWI7" s="747" t="n">
        <v>6108</v>
      </c>
      <c r="EWJ7" s="747" t="n">
        <v>6110</v>
      </c>
      <c r="EWK7" s="747" t="n">
        <v>6112</v>
      </c>
      <c r="EWL7" s="747" t="n">
        <v>6112</v>
      </c>
      <c r="EWM7" s="747" t="n">
        <v>6114</v>
      </c>
      <c r="EWN7" s="747" t="n">
        <v>6114</v>
      </c>
      <c r="EWO7" s="747" t="n">
        <v>6116</v>
      </c>
      <c r="EWP7" s="747" t="n">
        <v>6106</v>
      </c>
      <c r="EWQ7" s="747" t="n">
        <v>6120</v>
      </c>
      <c r="EWR7" s="747" t="n">
        <v>6121</v>
      </c>
      <c r="EWS7" s="747" t="n">
        <v>6122</v>
      </c>
      <c r="EWT7" s="747" t="n">
        <v>6123</v>
      </c>
      <c r="EWU7" s="747" t="n">
        <v>6124</v>
      </c>
      <c r="EWV7" s="747" t="n">
        <v>6126</v>
      </c>
      <c r="EWW7" s="747" t="n">
        <v>6130</v>
      </c>
      <c r="EWX7" s="747" t="n">
        <v>6125</v>
      </c>
      <c r="EWY7" s="747" t="n">
        <v>6146</v>
      </c>
      <c r="EWZ7" s="747" t="n">
        <v>6131</v>
      </c>
      <c r="EXA7" s="747" t="n">
        <v>6134</v>
      </c>
      <c r="EXB7" s="747" t="n">
        <v>6138</v>
      </c>
      <c r="EXC7" s="747" t="n">
        <v>6139</v>
      </c>
      <c r="EXD7" s="747" t="n">
        <v>6143</v>
      </c>
      <c r="EXE7" s="747" t="n">
        <v>6147</v>
      </c>
      <c r="EXF7" s="747" t="n">
        <v>6148</v>
      </c>
      <c r="EXG7" s="747" t="n">
        <v>6135</v>
      </c>
      <c r="EXH7" s="747" t="n">
        <v>6137</v>
      </c>
      <c r="EXI7" s="747" t="n">
        <v>6355</v>
      </c>
      <c r="EXJ7" s="747" t="n">
        <v>6150</v>
      </c>
      <c r="EXK7" s="747" t="n">
        <v>6151</v>
      </c>
      <c r="EXL7" s="747" t="n">
        <v>6152</v>
      </c>
      <c r="EXM7" s="747" t="n">
        <v>6154</v>
      </c>
      <c r="EXN7" s="747" t="n">
        <v>6155</v>
      </c>
      <c r="EXO7" s="747" t="n">
        <v>6156</v>
      </c>
      <c r="EXP7" s="747" t="n">
        <v>6157</v>
      </c>
      <c r="EXQ7" s="747" t="n">
        <v>6158</v>
      </c>
      <c r="EXR7" s="747" t="n">
        <v>6159</v>
      </c>
      <c r="EXS7" s="747" t="n">
        <v>6167</v>
      </c>
      <c r="EXT7" s="747" t="n">
        <v>6169</v>
      </c>
      <c r="EXU7" s="747" t="n">
        <v>6170</v>
      </c>
      <c r="EXV7" s="747" t="n">
        <v>6171</v>
      </c>
      <c r="EXW7" s="747" t="n">
        <v>6172</v>
      </c>
      <c r="EXX7" s="747" t="n">
        <v>6174</v>
      </c>
      <c r="EXY7" s="747" t="n">
        <v>6175</v>
      </c>
      <c r="EXZ7" s="747" t="n">
        <v>6177</v>
      </c>
      <c r="EYA7" s="747" t="n">
        <v>6178</v>
      </c>
      <c r="EYB7" s="747" t="n">
        <v>6179</v>
      </c>
      <c r="EYC7" s="747" t="n">
        <v>6140</v>
      </c>
      <c r="EYD7" s="747" t="n">
        <v>6180</v>
      </c>
      <c r="EYE7" s="747" t="n">
        <v>6190</v>
      </c>
      <c r="EYF7" s="747" t="n">
        <v>6183</v>
      </c>
      <c r="EYG7" s="747" t="n">
        <v>6184</v>
      </c>
      <c r="EYH7" s="747" t="n">
        <v>6185</v>
      </c>
      <c r="EYI7" s="747" t="n">
        <v>6186</v>
      </c>
      <c r="EYJ7" s="747" t="n">
        <v>6187</v>
      </c>
      <c r="EYK7" s="747" t="n">
        <v>6188</v>
      </c>
      <c r="EYL7" s="747" t="n">
        <v>6189</v>
      </c>
      <c r="EYM7" s="747" t="n">
        <v>6195</v>
      </c>
      <c r="EYN7" s="747" t="n">
        <v>6197</v>
      </c>
      <c r="EYO7" s="747" t="n">
        <v>6199</v>
      </c>
      <c r="EYP7" s="747" t="n">
        <v>6210</v>
      </c>
      <c r="EYQ7" s="747" t="n">
        <v>6098</v>
      </c>
      <c r="EYR7" s="747" t="n">
        <v>6098</v>
      </c>
      <c r="EYS7" s="747" t="n">
        <v>6238</v>
      </c>
      <c r="EYT7" s="747" t="n">
        <v>6220</v>
      </c>
      <c r="EYU7" s="747" t="n">
        <v>6225</v>
      </c>
      <c r="EYV7" s="747" t="n">
        <v>6226</v>
      </c>
      <c r="EYW7" s="747" t="n">
        <v>6227</v>
      </c>
      <c r="EYX7" s="747" t="n">
        <v>6229</v>
      </c>
      <c r="EYY7" s="747" t="n">
        <v>6228</v>
      </c>
      <c r="EYZ7" s="747" t="n">
        <v>6054</v>
      </c>
      <c r="EZA7" s="747" t="n">
        <v>6250</v>
      </c>
      <c r="EZB7" s="747" t="n">
        <v>6247</v>
      </c>
      <c r="EZC7" s="747" t="n">
        <v>6248</v>
      </c>
      <c r="EZD7" s="747" t="n">
        <v>6249</v>
      </c>
      <c r="EZE7" s="747" t="n">
        <v>6251</v>
      </c>
      <c r="EZF7" s="747" t="n">
        <v>6255</v>
      </c>
      <c r="EZG7" s="747" t="n">
        <v>6305</v>
      </c>
      <c r="EZH7" s="747" t="n">
        <v>6310</v>
      </c>
      <c r="EZI7" s="747" t="n">
        <v>6266</v>
      </c>
      <c r="EZJ7" s="747" t="n">
        <v>6324</v>
      </c>
      <c r="EZK7" s="747" t="n">
        <v>6325</v>
      </c>
      <c r="EZL7" s="747" t="n">
        <v>6326</v>
      </c>
      <c r="EZM7" s="747" t="n">
        <v>6327</v>
      </c>
      <c r="EZN7" s="747" t="n">
        <v>6322</v>
      </c>
      <c r="EZO7" s="747" t="n">
        <v>6320</v>
      </c>
      <c r="EZP7" s="747" t="n">
        <v>6342</v>
      </c>
      <c r="EZQ7" s="747" t="n">
        <v>6339</v>
      </c>
      <c r="EZR7" s="747" t="n">
        <v>6336</v>
      </c>
      <c r="EZS7" s="747" t="n">
        <v>6340</v>
      </c>
      <c r="EZT7" s="747" t="n">
        <v>6337</v>
      </c>
      <c r="EZU7" s="747" t="n">
        <v>6341</v>
      </c>
      <c r="EZV7" s="747" t="n">
        <v>6338</v>
      </c>
      <c r="EZW7" s="747" t="n">
        <v>6343</v>
      </c>
      <c r="EZX7" s="747" t="n">
        <v>6344</v>
      </c>
      <c r="EZY7" s="747" t="n">
        <v>6345</v>
      </c>
      <c r="EZZ7" s="747" t="n">
        <v>6346</v>
      </c>
      <c r="FAA7" s="747" t="n">
        <v>6347</v>
      </c>
      <c r="FAB7" s="747" t="n">
        <v>6348</v>
      </c>
      <c r="FAC7" s="747" t="n">
        <v>6349</v>
      </c>
      <c r="FAD7" s="747" t="n">
        <v>6350</v>
      </c>
      <c r="FAE7" s="747" t="n">
        <v>6351</v>
      </c>
      <c r="FAF7" s="747" t="n">
        <v>6368</v>
      </c>
      <c r="FAG7" s="747" t="n">
        <v>6374</v>
      </c>
      <c r="FAH7" s="747" t="n">
        <v>6360</v>
      </c>
      <c r="FAI7" s="747" t="n">
        <v>6361</v>
      </c>
      <c r="FAJ7" s="747" t="n">
        <v>6362</v>
      </c>
      <c r="FAK7" s="747" t="n">
        <v>6363</v>
      </c>
      <c r="FAL7" s="747" t="n">
        <v>6364</v>
      </c>
      <c r="FAM7" s="747" t="n">
        <v>6371</v>
      </c>
      <c r="FAN7" s="747" t="n">
        <v>6392</v>
      </c>
      <c r="FAO7" s="747" t="n">
        <v>6387</v>
      </c>
      <c r="FAP7" s="747" t="n">
        <v>6380</v>
      </c>
      <c r="FAQ7" s="747" t="n">
        <v>6381</v>
      </c>
      <c r="FAR7" s="747" t="n">
        <v>6382</v>
      </c>
      <c r="FAS7" s="747" t="n">
        <v>6383</v>
      </c>
      <c r="FAT7" s="747" t="n">
        <v>6352</v>
      </c>
      <c r="FAU7" s="747" t="n">
        <v>6353</v>
      </c>
      <c r="FAV7" s="747" t="n">
        <v>6354</v>
      </c>
      <c r="FAW7" s="747" t="n">
        <v>6389</v>
      </c>
      <c r="FAX7" s="747" t="n">
        <v>6385</v>
      </c>
      <c r="FAY7" s="747" t="n">
        <v>6386</v>
      </c>
      <c r="FAZ7" s="747" t="n">
        <v>6394</v>
      </c>
      <c r="FBA7" s="747" t="n">
        <v>6390</v>
      </c>
      <c r="FBB7" s="747" t="n">
        <v>6391</v>
      </c>
      <c r="FBC7" s="747" t="n">
        <v>6485</v>
      </c>
      <c r="FBD7" s="747" t="n">
        <v>6487</v>
      </c>
      <c r="FBE7" s="747" t="n">
        <v>6486</v>
      </c>
      <c r="FBF7" s="747" t="n">
        <v>6521</v>
      </c>
      <c r="FBG7" s="747" t="n">
        <v>6522</v>
      </c>
      <c r="FBH7" s="747" t="n">
        <v>6625</v>
      </c>
      <c r="FBI7" s="747" t="n">
        <v>6626</v>
      </c>
      <c r="FBJ7" s="747" t="n">
        <v>6627</v>
      </c>
      <c r="FBK7" s="747" t="n">
        <v>6630</v>
      </c>
      <c r="FBL7" s="747" t="n">
        <v>6631</v>
      </c>
      <c r="FBM7" s="747" t="n">
        <v>6632</v>
      </c>
      <c r="FBN7" s="747" t="n">
        <v>6636</v>
      </c>
      <c r="FBO7" s="747" t="n">
        <v>6637</v>
      </c>
      <c r="FBP7" s="747" t="n">
        <v>6638</v>
      </c>
      <c r="FBQ7" s="747" t="n">
        <v>6642</v>
      </c>
      <c r="FBR7" s="747" t="n">
        <v>6643</v>
      </c>
      <c r="FBS7" s="747" t="n">
        <v>6644</v>
      </c>
      <c r="FBT7" s="747" t="n">
        <v>6648</v>
      </c>
      <c r="FBU7" s="747" t="n">
        <v>6649</v>
      </c>
      <c r="FBV7" s="747" t="n">
        <v>6650</v>
      </c>
      <c r="FBW7" s="747" t="n">
        <v>6708</v>
      </c>
      <c r="FBX7" s="747" t="n">
        <v>6684</v>
      </c>
      <c r="FBY7" s="747" t="n">
        <v>6701</v>
      </c>
      <c r="FBZ7" s="747" t="n">
        <v>6702</v>
      </c>
      <c r="FCA7" s="747" t="n">
        <v>6694</v>
      </c>
      <c r="FCB7" s="747" t="n">
        <v>6685</v>
      </c>
      <c r="FCC7" s="747" t="n">
        <v>6709</v>
      </c>
      <c r="FCD7" s="747" t="n">
        <v>6695</v>
      </c>
      <c r="FCE7" s="747" t="n">
        <v>6691</v>
      </c>
      <c r="FCF7" s="747" t="n">
        <v>6692</v>
      </c>
      <c r="FCG7" s="747" t="n">
        <v>6696</v>
      </c>
      <c r="FCH7" s="747" t="n">
        <v>6699</v>
      </c>
      <c r="FCI7" s="747" t="n">
        <v>6703</v>
      </c>
      <c r="FCJ7" s="747" t="n">
        <v>6706</v>
      </c>
      <c r="FCK7" s="747" t="n">
        <v>6712</v>
      </c>
      <c r="FCL7" s="747" t="n">
        <v>6715</v>
      </c>
      <c r="FCM7" s="747" t="n">
        <v>6725</v>
      </c>
      <c r="FCN7" s="747" t="n">
        <v>6714</v>
      </c>
      <c r="FCO7" s="747" t="n">
        <v>6717</v>
      </c>
      <c r="FCP7" s="747" t="n">
        <v>6718</v>
      </c>
      <c r="FCQ7" s="747" t="n">
        <v>6719</v>
      </c>
      <c r="FCR7" s="747" t="n">
        <v>6726</v>
      </c>
      <c r="FCS7" s="747" t="n">
        <v>6713</v>
      </c>
      <c r="FCT7" s="747" t="n">
        <v>6730</v>
      </c>
      <c r="FCU7" s="747" t="n">
        <v>6720</v>
      </c>
      <c r="FCV7" s="747" t="n">
        <v>6721</v>
      </c>
      <c r="FCW7" s="747" t="n">
        <v>6722</v>
      </c>
      <c r="FCX7" s="747" t="n">
        <v>6749</v>
      </c>
      <c r="FCY7" s="747" t="n">
        <v>6757</v>
      </c>
      <c r="FCZ7" s="747" t="n">
        <v>6752</v>
      </c>
      <c r="FDA7" s="747" t="n">
        <v>6759</v>
      </c>
      <c r="FDB7" s="747" t="n">
        <v>6754</v>
      </c>
      <c r="FDC7" s="747" t="n">
        <v>6756</v>
      </c>
      <c r="FDD7" s="747" t="n">
        <v>6765</v>
      </c>
      <c r="FDE7" s="747" t="n">
        <v>6782</v>
      </c>
      <c r="FDF7" s="747" t="n">
        <v>6783</v>
      </c>
      <c r="FDG7" s="747" t="n">
        <v>6784</v>
      </c>
      <c r="FDH7" s="747" t="n">
        <v>6786</v>
      </c>
      <c r="FDI7" s="747" t="n">
        <v>6787</v>
      </c>
      <c r="FDJ7" s="747" t="n">
        <v>6788</v>
      </c>
      <c r="FDK7" s="747" t="n">
        <v>6789</v>
      </c>
      <c r="FDL7" s="747" t="n">
        <v>5569</v>
      </c>
      <c r="FDM7" s="747" t="n">
        <v>5570</v>
      </c>
      <c r="FDN7" s="747" t="n">
        <v>5571</v>
      </c>
      <c r="FDO7" s="747" t="n">
        <v>6792</v>
      </c>
      <c r="FDP7" s="747" t="n">
        <v>6791</v>
      </c>
      <c r="FDQ7" s="747" t="n">
        <v>6795</v>
      </c>
      <c r="FDR7" s="747" t="n">
        <v>6794</v>
      </c>
      <c r="FDS7" s="747" t="n">
        <v>6796</v>
      </c>
      <c r="FDT7" s="747" t="n">
        <v>6798</v>
      </c>
      <c r="FDU7" s="747" t="n">
        <v>6801</v>
      </c>
      <c r="FDV7" s="747" t="n">
        <v>6802</v>
      </c>
      <c r="FDW7" s="747" t="n">
        <v>6807</v>
      </c>
      <c r="FDX7" s="747" t="n">
        <v>6806</v>
      </c>
      <c r="FDY7" s="747" t="n">
        <v>6803</v>
      </c>
      <c r="FDZ7" s="747" t="n">
        <v>6804</v>
      </c>
      <c r="FEA7" s="747" t="n">
        <v>6805</v>
      </c>
      <c r="FEB7" s="747" t="n">
        <v>6808</v>
      </c>
      <c r="FEC7" s="747" t="n">
        <v>6810</v>
      </c>
      <c r="FED7" s="747" t="n">
        <v>6811</v>
      </c>
      <c r="FEE7" s="747" t="n">
        <v>5334</v>
      </c>
      <c r="FEF7" s="747" t="n">
        <v>5365</v>
      </c>
      <c r="FEG7" s="747" t="n">
        <v>6820</v>
      </c>
      <c r="FEH7" s="747" t="n">
        <v>6821</v>
      </c>
      <c r="FEI7" s="747" t="n">
        <v>6822</v>
      </c>
      <c r="FEJ7" s="747" t="n">
        <v>6823</v>
      </c>
      <c r="FEK7" s="747" t="n">
        <v>6824</v>
      </c>
      <c r="FEL7" s="747" t="n">
        <v>6825</v>
      </c>
      <c r="FEM7" s="747" t="n">
        <v>6827</v>
      </c>
      <c r="FEN7" s="747" t="n">
        <v>6828</v>
      </c>
      <c r="FEO7" s="747" t="n">
        <v>6835</v>
      </c>
      <c r="FEP7" s="747" t="n">
        <v>6834</v>
      </c>
      <c r="FEQ7" s="747" t="n">
        <v>6836</v>
      </c>
      <c r="FER7" s="747" t="n">
        <v>6837</v>
      </c>
      <c r="FES7" s="747" t="n">
        <v>6838</v>
      </c>
      <c r="FET7" s="747" t="n">
        <v>6880</v>
      </c>
      <c r="FEU7" s="747" t="n">
        <v>6881</v>
      </c>
      <c r="FEV7" s="747" t="n">
        <v>6882</v>
      </c>
      <c r="FEW7" s="747" t="n">
        <v>6883</v>
      </c>
      <c r="FEX7" s="747" t="n">
        <v>6884</v>
      </c>
      <c r="FEY7" s="747" t="n">
        <v>6885</v>
      </c>
      <c r="FEZ7" s="748" t="inlineStr">
        <is>
          <t>Tax Year Filed</t>
        </is>
      </c>
      <c r="FFA7" s="747" t="inlineStr">
        <is>
          <t>Taxing Province</t>
        </is>
      </c>
      <c r="FFB7" s="747" t="inlineStr">
        <is>
          <t>Marital Status</t>
        </is>
      </c>
      <c r="FFC7" s="747" t="inlineStr">
        <is>
          <t>Balance before penalty and interest</t>
        </is>
      </c>
      <c r="FFD7" s="747" t="inlineStr">
        <is>
          <t>Balance before penalty and interest</t>
        </is>
      </c>
      <c r="FFE7" s="747" t="inlineStr">
        <is>
          <t>Final balance</t>
        </is>
      </c>
      <c r="FFF7" s="747" t="inlineStr">
        <is>
          <t>Basic federal tax</t>
        </is>
      </c>
      <c r="FFG7" s="747" t="inlineStr">
        <is>
          <t>Basic provincial or territorial tax</t>
        </is>
      </c>
      <c r="FFH7" s="747" t="inlineStr">
        <is>
          <t>Ontario Health Premium</t>
        </is>
      </c>
      <c r="FFI7" s="747" t="n">
        <v>101</v>
      </c>
      <c r="FFJ7" s="747" t="n">
        <v>102</v>
      </c>
      <c r="FFK7" s="747" t="n">
        <v>103</v>
      </c>
      <c r="FFL7" s="747" t="n">
        <v>104</v>
      </c>
      <c r="FFM7" s="747" t="n">
        <v>106</v>
      </c>
      <c r="FFN7" s="747" t="n">
        <v>107</v>
      </c>
      <c r="FFO7" s="747" t="n">
        <v>109</v>
      </c>
      <c r="FFP7" s="747" t="n">
        <v>110</v>
      </c>
      <c r="FFQ7" s="747" t="n">
        <v>113</v>
      </c>
      <c r="FFR7" s="747" t="n">
        <v>114</v>
      </c>
      <c r="FFS7" s="747" t="n">
        <v>115</v>
      </c>
      <c r="FFT7" s="747" t="n">
        <v>116</v>
      </c>
      <c r="FFU7" s="747" t="n">
        <v>117</v>
      </c>
      <c r="FFV7" s="747" t="n">
        <v>119</v>
      </c>
      <c r="FFW7" s="747" t="n">
        <v>120</v>
      </c>
      <c r="FFX7" s="747" t="n">
        <v>121</v>
      </c>
      <c r="FFY7" s="747" t="n">
        <v>122</v>
      </c>
      <c r="FFZ7" s="747" t="n">
        <v>123</v>
      </c>
      <c r="FGA7" s="747" t="n">
        <v>124</v>
      </c>
      <c r="FGB7" s="747" t="n">
        <v>125</v>
      </c>
      <c r="FGC7" s="747" t="n">
        <v>126</v>
      </c>
      <c r="FGD7" s="747" t="n">
        <v>127</v>
      </c>
      <c r="FGE7" s="747" t="n">
        <v>128</v>
      </c>
      <c r="FGF7" s="747" t="n">
        <v>129</v>
      </c>
      <c r="FGG7" s="747" t="n">
        <v>130</v>
      </c>
      <c r="FGH7" s="747" t="n">
        <v>131</v>
      </c>
      <c r="FGI7" s="747" t="n">
        <v>132</v>
      </c>
      <c r="FGJ7" s="747" t="n">
        <v>135</v>
      </c>
      <c r="FGK7" s="747" t="n">
        <v>136</v>
      </c>
      <c r="FGL7" s="747" t="n">
        <v>137</v>
      </c>
      <c r="FGM7" s="747" t="n">
        <v>138</v>
      </c>
      <c r="FGN7" s="747" t="n">
        <v>139</v>
      </c>
      <c r="FGO7" s="747" t="n">
        <v>141</v>
      </c>
      <c r="FGP7" s="747" t="n">
        <v>143</v>
      </c>
      <c r="FGQ7" s="747" t="n">
        <v>144</v>
      </c>
      <c r="FGR7" s="747" t="n">
        <v>145</v>
      </c>
      <c r="FGS7" s="747" t="n">
        <v>146</v>
      </c>
      <c r="FGT7" s="747" t="n">
        <v>150</v>
      </c>
      <c r="FGU7" s="747" t="n">
        <v>151</v>
      </c>
      <c r="FGV7" s="747" t="n">
        <v>152</v>
      </c>
      <c r="FGW7" s="747" t="n">
        <v>153</v>
      </c>
      <c r="FGX7" s="747" t="n">
        <v>154</v>
      </c>
      <c r="FGY7" s="747" t="n">
        <v>155</v>
      </c>
      <c r="FGZ7" s="747" t="n">
        <v>156</v>
      </c>
      <c r="FHA7" s="747" t="n">
        <v>158</v>
      </c>
      <c r="FHB7" s="747" t="n">
        <v>159</v>
      </c>
      <c r="FHC7" s="747" t="n">
        <v>160</v>
      </c>
      <c r="FHD7" s="747" t="n">
        <v>161</v>
      </c>
      <c r="FHE7" s="747" t="n">
        <v>162</v>
      </c>
      <c r="FHF7" s="747" t="n">
        <v>164</v>
      </c>
      <c r="FHG7" s="747" t="n">
        <v>166</v>
      </c>
      <c r="FHH7" s="747" t="n">
        <v>168</v>
      </c>
      <c r="FHI7" s="747" t="n">
        <v>170</v>
      </c>
      <c r="FHJ7" s="747" t="n">
        <v>174</v>
      </c>
      <c r="FHK7" s="747" t="n">
        <v>176</v>
      </c>
      <c r="FHL7" s="747" t="n">
        <v>178</v>
      </c>
      <c r="FHM7" s="747" t="n">
        <v>179</v>
      </c>
      <c r="FHN7" s="747" t="n">
        <v>180</v>
      </c>
      <c r="FHO7" s="747" t="n">
        <v>185</v>
      </c>
      <c r="FHP7" s="747" t="n">
        <v>205</v>
      </c>
      <c r="FHQ7" s="747" t="n">
        <v>206</v>
      </c>
      <c r="FHR7" s="747" t="n">
        <v>207</v>
      </c>
      <c r="FHS7" s="747" t="n">
        <v>208</v>
      </c>
      <c r="FHT7" s="747" t="n">
        <v>210</v>
      </c>
      <c r="FHU7" s="747" t="n">
        <v>212</v>
      </c>
      <c r="FHV7" s="747" t="n">
        <v>213</v>
      </c>
      <c r="FHW7" s="747" t="n">
        <v>214</v>
      </c>
      <c r="FHX7" s="747" t="n">
        <v>215</v>
      </c>
      <c r="FHY7" s="747" t="n">
        <v>217</v>
      </c>
      <c r="FHZ7" s="747" t="n">
        <v>219</v>
      </c>
      <c r="FIA7" s="747" t="n">
        <v>220</v>
      </c>
      <c r="FIB7" s="747" t="n">
        <v>221</v>
      </c>
      <c r="FIC7" s="747" t="n">
        <v>222</v>
      </c>
      <c r="FID7" s="747" t="n">
        <v>223</v>
      </c>
      <c r="FIE7" s="747" t="n">
        <v>224</v>
      </c>
      <c r="FIF7" s="747" t="n">
        <v>228</v>
      </c>
      <c r="FIG7" s="747" t="n">
        <v>229</v>
      </c>
      <c r="FIH7" s="747" t="n">
        <v>230</v>
      </c>
      <c r="FII7" s="747" t="n">
        <v>231</v>
      </c>
      <c r="FIJ7" s="747" t="n">
        <v>232</v>
      </c>
      <c r="FIK7" s="747" t="n">
        <v>235</v>
      </c>
      <c r="FIL7" s="747" t="n">
        <v>236</v>
      </c>
      <c r="FIM7" s="747" t="n">
        <v>240</v>
      </c>
      <c r="FIN7" s="747" t="n">
        <v>244</v>
      </c>
      <c r="FIO7" s="747" t="n">
        <v>245</v>
      </c>
      <c r="FIP7" s="747" t="n">
        <v>246</v>
      </c>
      <c r="FIQ7" s="747" t="n">
        <v>247</v>
      </c>
      <c r="FIR7" s="747" t="n">
        <v>249</v>
      </c>
      <c r="FIS7" s="747" t="n">
        <v>250</v>
      </c>
      <c r="FIT7" s="747" t="n">
        <v>251</v>
      </c>
      <c r="FIU7" s="747" t="n">
        <v>252</v>
      </c>
      <c r="FIV7" s="747" t="n">
        <v>253</v>
      </c>
      <c r="FIW7" s="747" t="n">
        <v>254</v>
      </c>
      <c r="FIX7" s="747" t="n">
        <v>255</v>
      </c>
      <c r="FIY7" s="747" t="n">
        <v>256</v>
      </c>
      <c r="FIZ7" s="747" t="n">
        <v>259</v>
      </c>
      <c r="FJA7" s="747" t="n">
        <v>260</v>
      </c>
      <c r="FJB7" s="747" t="n">
        <v>262</v>
      </c>
      <c r="FJC7" s="747" t="n">
        <v>263</v>
      </c>
      <c r="FJD7" s="747" t="n">
        <v>264</v>
      </c>
      <c r="FJE7" s="747" t="n">
        <v>266</v>
      </c>
      <c r="FJF7" s="747" t="n">
        <v>267</v>
      </c>
      <c r="FJG7" s="747" t="n">
        <v>300</v>
      </c>
      <c r="FJH7" s="747" t="n">
        <v>301</v>
      </c>
      <c r="FJI7" s="747" t="n">
        <v>303</v>
      </c>
      <c r="FJJ7" s="747" t="n">
        <v>304</v>
      </c>
      <c r="FJK7" s="747" t="n">
        <v>305</v>
      </c>
      <c r="FJL7" s="747" t="n">
        <v>307</v>
      </c>
      <c r="FJM7" s="747" t="n">
        <v>308</v>
      </c>
      <c r="FJN7" s="747" t="n">
        <v>310</v>
      </c>
      <c r="FJO7" s="747" t="n">
        <v>312</v>
      </c>
      <c r="FJP7" s="747" t="n">
        <v>313</v>
      </c>
      <c r="FJQ7" s="747" t="n">
        <v>314</v>
      </c>
      <c r="FJR7" s="747" t="n">
        <v>316</v>
      </c>
      <c r="FJS7" s="747" t="n">
        <v>317</v>
      </c>
      <c r="FJT7" s="747" t="n">
        <v>318</v>
      </c>
      <c r="FJU7" s="747" t="n">
        <v>319</v>
      </c>
      <c r="FJV7" s="747" t="n">
        <v>320</v>
      </c>
      <c r="FJW7" s="747" t="n">
        <v>323</v>
      </c>
      <c r="FJX7" s="747" t="n">
        <v>324</v>
      </c>
      <c r="FJY7" s="747" t="n">
        <v>325</v>
      </c>
      <c r="FJZ7" s="747" t="n">
        <v>326</v>
      </c>
      <c r="FKA7" s="747" t="n">
        <v>327</v>
      </c>
      <c r="FKB7" s="747" t="n">
        <v>328</v>
      </c>
      <c r="FKC7" s="747" t="n">
        <v>329</v>
      </c>
      <c r="FKD7" s="747" t="n">
        <v>330</v>
      </c>
      <c r="FKE7" s="747" t="n">
        <v>331</v>
      </c>
      <c r="FKF7" s="747" t="n">
        <v>332</v>
      </c>
      <c r="FKG7" s="747" t="n">
        <v>333</v>
      </c>
      <c r="FKH7" s="747" t="n">
        <v>334</v>
      </c>
      <c r="FKI7" s="747" t="n">
        <v>337</v>
      </c>
      <c r="FKJ7" s="747" t="n">
        <v>338</v>
      </c>
      <c r="FKK7" s="747" t="n">
        <v>339</v>
      </c>
      <c r="FKL7" s="747" t="n">
        <v>340</v>
      </c>
      <c r="FKM7" s="747" t="n">
        <v>342</v>
      </c>
      <c r="FKN7" s="747" t="n">
        <v>345</v>
      </c>
      <c r="FKO7" s="747" t="n">
        <v>349</v>
      </c>
      <c r="FKP7" s="747" t="n">
        <v>350</v>
      </c>
      <c r="FKQ7" s="747" t="n">
        <v>351</v>
      </c>
      <c r="FKR7" s="747" t="n">
        <v>352</v>
      </c>
      <c r="FKS7" s="747" t="n">
        <v>353</v>
      </c>
      <c r="FKT7" s="747" t="n">
        <v>354</v>
      </c>
      <c r="FKU7" s="747" t="n">
        <v>355</v>
      </c>
      <c r="FKV7" s="747" t="n">
        <v>357</v>
      </c>
      <c r="FKW7" s="747" t="n">
        <v>360</v>
      </c>
      <c r="FKX7" s="747" t="n">
        <v>361</v>
      </c>
      <c r="FKY7" s="747" t="n">
        <v>362</v>
      </c>
      <c r="FKZ7" s="747" t="n">
        <v>363</v>
      </c>
      <c r="FLA7" s="747" t="n">
        <v>367</v>
      </c>
      <c r="FLB7" s="747" t="n">
        <v>369</v>
      </c>
      <c r="FLC7" s="747" t="n">
        <v>371</v>
      </c>
      <c r="FLD7" s="747" t="n">
        <v>372</v>
      </c>
      <c r="FLE7" s="747" t="n">
        <v>373</v>
      </c>
      <c r="FLF7" s="747" t="n">
        <v>374</v>
      </c>
      <c r="FLG7" s="747" t="n">
        <v>375</v>
      </c>
      <c r="FLH7" s="747" t="n">
        <v>376</v>
      </c>
      <c r="FLI7" s="747" t="n">
        <v>378</v>
      </c>
      <c r="FLJ7" s="747" t="n">
        <v>381</v>
      </c>
      <c r="FLK7" s="747" t="n">
        <v>382</v>
      </c>
      <c r="FLL7" s="747" t="n">
        <v>383</v>
      </c>
      <c r="FLM7" s="747" t="n">
        <v>384</v>
      </c>
      <c r="FLN7" s="747" t="n">
        <v>385</v>
      </c>
      <c r="FLO7" s="747" t="n">
        <v>386</v>
      </c>
      <c r="FLP7" s="747" t="n">
        <v>387</v>
      </c>
      <c r="FLQ7" s="747" t="n">
        <v>388</v>
      </c>
      <c r="FLR7" s="747" t="n">
        <v>389</v>
      </c>
      <c r="FLS7" s="747" t="n">
        <v>390</v>
      </c>
      <c r="FLT7" s="747" t="n">
        <v>391</v>
      </c>
      <c r="FLU7" s="747" t="n">
        <v>392</v>
      </c>
      <c r="FLV7" s="747" t="n">
        <v>394</v>
      </c>
      <c r="FLW7" s="747" t="n">
        <v>395</v>
      </c>
      <c r="FLX7" s="747" t="n">
        <v>398</v>
      </c>
      <c r="FLY7" s="747" t="n">
        <v>399</v>
      </c>
      <c r="FLZ7" s="747" t="n">
        <v>406</v>
      </c>
      <c r="FMA7" s="747" t="n">
        <v>409</v>
      </c>
      <c r="FMB7" s="747" t="n">
        <v>410</v>
      </c>
      <c r="FMC7" s="747" t="n">
        <v>412</v>
      </c>
      <c r="FMD7" s="747" t="n">
        <v>413</v>
      </c>
      <c r="FME7" s="747" t="n">
        <v>414</v>
      </c>
      <c r="FMF7" s="747" t="n">
        <v>415</v>
      </c>
      <c r="FMG7" s="747" t="n">
        <v>417</v>
      </c>
      <c r="FMH7" s="747" t="n">
        <v>418</v>
      </c>
      <c r="FMI7" s="747" t="n">
        <v>420</v>
      </c>
      <c r="FMJ7" s="747" t="n">
        <v>424</v>
      </c>
      <c r="FMK7" s="747" t="n">
        <v>425</v>
      </c>
      <c r="FML7" s="747" t="n">
        <v>427</v>
      </c>
      <c r="FMM7" s="747" t="n">
        <v>428</v>
      </c>
      <c r="FMN7" s="747" t="n">
        <v>431</v>
      </c>
      <c r="FMO7" s="747" t="n">
        <v>432</v>
      </c>
      <c r="FMP7" s="747" t="n">
        <v>433</v>
      </c>
      <c r="FMQ7" s="747" t="n">
        <v>434</v>
      </c>
      <c r="FMR7" s="747" t="n">
        <v>435</v>
      </c>
      <c r="FMS7" s="747" t="n">
        <v>437</v>
      </c>
      <c r="FMT7" s="747" t="n">
        <v>438</v>
      </c>
      <c r="FMU7" s="747" t="n">
        <v>439</v>
      </c>
      <c r="FMV7" s="747" t="n">
        <v>440</v>
      </c>
      <c r="FMW7" s="747" t="n">
        <v>441</v>
      </c>
      <c r="FMX7" s="747" t="n">
        <v>448</v>
      </c>
      <c r="FMY7" s="747" t="n">
        <v>449</v>
      </c>
      <c r="FMZ7" s="747" t="n">
        <v>450</v>
      </c>
      <c r="FNA7" s="747" t="n">
        <v>452</v>
      </c>
      <c r="FNB7" s="747" t="n">
        <v>453</v>
      </c>
      <c r="FNC7" s="747" t="n">
        <v>454</v>
      </c>
      <c r="FND7" s="747" t="n">
        <v>456</v>
      </c>
      <c r="FNE7" s="747" t="n">
        <v>457</v>
      </c>
      <c r="FNF7" s="747" t="n">
        <v>460</v>
      </c>
      <c r="FNG7" s="747" t="n">
        <v>461</v>
      </c>
      <c r="FNH7" s="747" t="n">
        <v>462</v>
      </c>
      <c r="FNI7" s="747" t="n">
        <v>465</v>
      </c>
      <c r="FNJ7" s="747" t="n">
        <v>466</v>
      </c>
      <c r="FNK7" s="747" t="n">
        <v>468</v>
      </c>
      <c r="FNL7" s="747" t="n">
        <v>469</v>
      </c>
      <c r="FNM7" s="747" t="n">
        <v>476</v>
      </c>
      <c r="FNN7" s="747" t="n">
        <v>479</v>
      </c>
      <c r="FNO7" s="747" t="n">
        <v>484</v>
      </c>
      <c r="FNP7" s="747" t="n">
        <v>485</v>
      </c>
      <c r="FNQ7" s="747" t="n">
        <v>486</v>
      </c>
      <c r="FNR7" s="747" t="n">
        <v>487</v>
      </c>
      <c r="FNS7" s="747" t="n">
        <v>488</v>
      </c>
      <c r="FNT7" s="747" t="n">
        <v>490</v>
      </c>
      <c r="FNU7" s="747" t="n">
        <v>5026</v>
      </c>
      <c r="FNV7" s="747" t="n">
        <v>5027</v>
      </c>
      <c r="FNW7" s="747" t="n">
        <v>5028</v>
      </c>
      <c r="FNX7" s="747" t="n">
        <v>5029</v>
      </c>
      <c r="FNY7" s="747" t="n">
        <v>5031</v>
      </c>
      <c r="FNZ7" s="747" t="n">
        <v>5032</v>
      </c>
      <c r="FOA7" s="747" t="n">
        <v>5033</v>
      </c>
      <c r="FOB7" s="747" t="n">
        <v>5034</v>
      </c>
      <c r="FOC7" s="747" t="n">
        <v>5041</v>
      </c>
      <c r="FOD7" s="747" t="n">
        <v>5106</v>
      </c>
      <c r="FOE7" s="747" t="n">
        <v>5109</v>
      </c>
      <c r="FOF7" s="747" t="n">
        <v>5110</v>
      </c>
      <c r="FOG7" s="747" t="n">
        <v>5112</v>
      </c>
      <c r="FOH7" s="747" t="n">
        <v>5117</v>
      </c>
      <c r="FOI7" s="747" t="n">
        <v>5118</v>
      </c>
      <c r="FOJ7" s="747" t="n">
        <v>5119</v>
      </c>
      <c r="FOK7" s="747" t="n">
        <v>5120</v>
      </c>
      <c r="FOL7" s="747" t="n">
        <v>5121</v>
      </c>
      <c r="FOM7" s="747" t="n">
        <v>5122</v>
      </c>
      <c r="FON7" s="747" t="n">
        <v>5123</v>
      </c>
      <c r="FOO7" s="747" t="n">
        <v>5124</v>
      </c>
      <c r="FOP7" s="747" t="n">
        <v>5125</v>
      </c>
      <c r="FOQ7" s="747" t="n">
        <v>5230</v>
      </c>
      <c r="FOR7" s="747" t="n">
        <v>5263</v>
      </c>
      <c r="FOS7" s="747" t="n">
        <v>5267</v>
      </c>
      <c r="FOT7" s="747" t="n">
        <v>5273</v>
      </c>
      <c r="FOU7" s="747" t="n">
        <v>5274</v>
      </c>
      <c r="FOV7" s="747" t="n">
        <v>5275</v>
      </c>
      <c r="FOW7" s="747" t="n">
        <v>5276</v>
      </c>
      <c r="FOX7" s="747" t="n">
        <v>5277</v>
      </c>
      <c r="FOY7" s="747" t="n">
        <v>5278</v>
      </c>
      <c r="FOZ7" s="747" t="n">
        <v>5279</v>
      </c>
      <c r="FPA7" s="747" t="n">
        <v>5280</v>
      </c>
      <c r="FPB7" s="747" t="n">
        <v>5281</v>
      </c>
      <c r="FPC7" s="747" t="n">
        <v>5282</v>
      </c>
      <c r="FPD7" s="747" t="n">
        <v>5283</v>
      </c>
      <c r="FPE7" s="747" t="n">
        <v>5284</v>
      </c>
      <c r="FPF7" s="747" t="n">
        <v>5285</v>
      </c>
      <c r="FPG7" s="747" t="n">
        <v>5292</v>
      </c>
      <c r="FPH7" s="747" t="n">
        <v>5293</v>
      </c>
      <c r="FPI7" s="747" t="n">
        <v>5308</v>
      </c>
      <c r="FPJ7" s="747" t="n">
        <v>5321</v>
      </c>
      <c r="FPK7" s="747" t="n">
        <v>5548</v>
      </c>
      <c r="FPL7" s="747" t="n">
        <v>5549</v>
      </c>
      <c r="FPM7" s="747" t="n">
        <v>5330</v>
      </c>
      <c r="FPN7" s="747" t="n">
        <v>5335</v>
      </c>
      <c r="FPO7" s="747" t="n">
        <v>5337</v>
      </c>
      <c r="FPP7" s="747" t="n">
        <v>5344</v>
      </c>
      <c r="FPQ7" s="747" t="n">
        <v>5345</v>
      </c>
      <c r="FPR7" s="747" t="n">
        <v>5347</v>
      </c>
      <c r="FPS7" s="747" t="n">
        <v>5349</v>
      </c>
      <c r="FPT7" s="747" t="n">
        <v>5350</v>
      </c>
      <c r="FPU7" s="747" t="n">
        <v>5351</v>
      </c>
      <c r="FPV7" s="747" t="n">
        <v>5353</v>
      </c>
      <c r="FPW7" s="747" t="n">
        <v>5354</v>
      </c>
      <c r="FPX7" s="747" t="n">
        <v>5355</v>
      </c>
      <c r="FPY7" s="747" t="n">
        <v>5369</v>
      </c>
      <c r="FPZ7" s="747" t="n">
        <v>5367</v>
      </c>
      <c r="FQA7" s="747" t="n">
        <v>5368</v>
      </c>
      <c r="FQB7" s="747" t="n">
        <v>379</v>
      </c>
      <c r="FQC7" s="747" t="n">
        <v>377</v>
      </c>
      <c r="FQD7" s="747" t="n">
        <v>380</v>
      </c>
      <c r="FQE7" s="747" t="n">
        <v>5493</v>
      </c>
      <c r="FQF7" s="747" t="n">
        <v>5494</v>
      </c>
      <c r="FQG7" s="747" t="n">
        <v>5461</v>
      </c>
      <c r="FQH7" s="747" t="n">
        <v>5478</v>
      </c>
      <c r="FQI7" s="747" t="n">
        <v>5479</v>
      </c>
      <c r="FQJ7" s="747" t="n">
        <v>5492</v>
      </c>
      <c r="FQK7" s="747" t="n">
        <v>5495</v>
      </c>
      <c r="FQL7" s="747" t="n">
        <v>5496</v>
      </c>
      <c r="FQM7" s="747" t="n">
        <v>5507</v>
      </c>
      <c r="FQN7" s="747" t="n">
        <v>5508</v>
      </c>
      <c r="FQO7" s="747" t="n">
        <v>5511</v>
      </c>
      <c r="FQP7" s="747" t="n">
        <v>5522</v>
      </c>
      <c r="FQQ7" s="747" t="n">
        <v>5527</v>
      </c>
      <c r="FQR7" s="747" t="n">
        <v>5529</v>
      </c>
      <c r="FQS7" s="747" t="n">
        <v>5530</v>
      </c>
      <c r="FQT7" s="747" t="n">
        <v>5532</v>
      </c>
      <c r="FQU7" s="747" t="n">
        <v>5536</v>
      </c>
      <c r="FQV7" s="747" t="n">
        <v>5537</v>
      </c>
      <c r="FQW7" s="747" t="n">
        <v>5538</v>
      </c>
      <c r="FQX7" s="747" t="n">
        <v>5540</v>
      </c>
      <c r="FQY7" s="747" t="n">
        <v>5555</v>
      </c>
      <c r="FQZ7" s="747" t="n">
        <v>5566</v>
      </c>
      <c r="FRA7" s="747" t="n">
        <v>5804</v>
      </c>
      <c r="FRB7" s="747" t="n">
        <v>5808</v>
      </c>
      <c r="FRC7" s="747" t="n">
        <v>5812</v>
      </c>
      <c r="FRD7" s="747" t="n">
        <v>5816</v>
      </c>
      <c r="FRE7" s="747" t="n">
        <v>5814</v>
      </c>
      <c r="FRF7" s="747" t="n">
        <v>5817</v>
      </c>
      <c r="FRG7" s="747" t="n">
        <v>5818</v>
      </c>
      <c r="FRH7" s="747" t="n">
        <v>5819</v>
      </c>
      <c r="FRI7" s="747" t="n">
        <v>5825</v>
      </c>
      <c r="FRJ7" s="747" t="n">
        <v>5820</v>
      </c>
      <c r="FRK7" s="747" t="n">
        <v>6370</v>
      </c>
      <c r="FRL7" s="747" t="n">
        <v>5821</v>
      </c>
      <c r="FRM7" s="747" t="n">
        <v>5822</v>
      </c>
      <c r="FRN7" s="747" t="n">
        <v>6372</v>
      </c>
      <c r="FRO7" s="747" t="n">
        <v>5823</v>
      </c>
      <c r="FRP7" s="747" t="n">
        <v>5824</v>
      </c>
      <c r="FRQ7" s="747" t="n">
        <v>5828</v>
      </c>
      <c r="FRR7" s="747" t="n">
        <v>5832</v>
      </c>
      <c r="FRS7" s="747" t="n">
        <v>5829</v>
      </c>
      <c r="FRT7" s="747" t="n">
        <v>5834</v>
      </c>
      <c r="FRU7" s="747" t="n">
        <v>5830</v>
      </c>
      <c r="FRV7" s="747" t="n">
        <v>5845</v>
      </c>
      <c r="FRW7" s="747" t="n">
        <v>5831</v>
      </c>
      <c r="FRX7" s="747" t="n">
        <v>5839</v>
      </c>
      <c r="FRY7" s="747" t="n">
        <v>5841</v>
      </c>
      <c r="FRZ7" s="747" t="n">
        <v>5833</v>
      </c>
      <c r="FSA7" s="747" t="n">
        <v>5837</v>
      </c>
      <c r="FSB7" s="747" t="n">
        <v>5836</v>
      </c>
      <c r="FSC7" s="747" t="n">
        <v>5840</v>
      </c>
      <c r="FSD7" s="747" t="n">
        <v>5844</v>
      </c>
      <c r="FSE7" s="747" t="n">
        <v>5848</v>
      </c>
      <c r="FSF7" s="747" t="n">
        <v>5850</v>
      </c>
      <c r="FSG7" s="747" t="n">
        <v>5852</v>
      </c>
      <c r="FSH7" s="747" t="n">
        <v>5856</v>
      </c>
      <c r="FSI7" s="747" t="n">
        <v>5856</v>
      </c>
      <c r="FSJ7" s="747" t="n">
        <v>5856</v>
      </c>
      <c r="FSK7" s="747" t="n">
        <v>5860</v>
      </c>
      <c r="FSL7" s="747" t="n">
        <v>5860</v>
      </c>
      <c r="FSM7" s="747" t="n">
        <v>5860</v>
      </c>
      <c r="FSN7" s="747" t="n">
        <v>5864</v>
      </c>
      <c r="FSO7" s="747" t="n">
        <v>5868</v>
      </c>
      <c r="FSP7" s="747" t="n">
        <v>5872</v>
      </c>
      <c r="FSQ7" s="747" t="n">
        <v>5875</v>
      </c>
      <c r="FSR7" s="747" t="n">
        <v>5876</v>
      </c>
      <c r="FSS7" s="747" t="n">
        <v>5880</v>
      </c>
      <c r="FST7" s="747" t="n">
        <v>5881</v>
      </c>
      <c r="FSU7" s="747" t="n">
        <v>5882</v>
      </c>
      <c r="FSV7" s="747" t="n">
        <v>5883</v>
      </c>
      <c r="FSW7" s="747" t="n">
        <v>5884</v>
      </c>
      <c r="FSX7" s="747" t="n">
        <v>5884</v>
      </c>
      <c r="FSY7" s="747" t="n">
        <v>5896</v>
      </c>
      <c r="FSZ7" s="747" t="n">
        <v>5897</v>
      </c>
      <c r="FTA7" s="747" t="n">
        <v>5898</v>
      </c>
      <c r="FTB7" s="747" t="n">
        <v>5900</v>
      </c>
      <c r="FTC7" s="747" t="n">
        <v>5901</v>
      </c>
      <c r="FTD7" s="747" t="n">
        <v>5902</v>
      </c>
      <c r="FTE7" s="747" t="n">
        <v>5903</v>
      </c>
      <c r="FTF7" s="747" t="n">
        <v>5904</v>
      </c>
      <c r="FTG7" s="747" t="n">
        <v>5905</v>
      </c>
      <c r="FTH7" s="747" t="n">
        <v>5907</v>
      </c>
      <c r="FTI7" s="747" t="n">
        <v>5909</v>
      </c>
      <c r="FTJ7" s="747" t="n">
        <v>5909</v>
      </c>
      <c r="FTK7" s="747" t="n">
        <v>5909</v>
      </c>
      <c r="FTL7" s="747" t="n">
        <v>5912</v>
      </c>
      <c r="FTM7" s="747" t="n">
        <v>5914</v>
      </c>
      <c r="FTN7" s="747" t="n">
        <v>5916</v>
      </c>
      <c r="FTO7" s="747" t="n">
        <v>5916</v>
      </c>
      <c r="FTP7" s="747" t="n">
        <v>5918</v>
      </c>
      <c r="FTQ7" s="747" t="n">
        <v>5918</v>
      </c>
      <c r="FTR7" s="747" t="n">
        <v>5920</v>
      </c>
      <c r="FTS7" s="747" t="n">
        <v>5920</v>
      </c>
      <c r="FTT7" s="747" t="n">
        <v>5920</v>
      </c>
      <c r="FTU7" s="747" t="n">
        <v>5920</v>
      </c>
      <c r="FTV7" s="747" t="n">
        <v>5931</v>
      </c>
      <c r="FTW7" s="747" t="n">
        <v>5932</v>
      </c>
      <c r="FTX7" s="747" t="n">
        <v>5933</v>
      </c>
      <c r="FTY7" s="747" t="n">
        <v>5934</v>
      </c>
      <c r="FTZ7" s="747" t="n">
        <v>5936</v>
      </c>
      <c r="FUA7" s="747" t="n">
        <v>5937</v>
      </c>
      <c r="FUB7" s="747" t="n">
        <v>5943</v>
      </c>
      <c r="FUC7" s="747" t="n">
        <v>5944</v>
      </c>
      <c r="FUD7" s="747" t="n">
        <v>5945</v>
      </c>
      <c r="FUE7" s="747" t="n">
        <v>5946</v>
      </c>
      <c r="FUF7" s="747" t="n">
        <v>5947</v>
      </c>
      <c r="FUG7" s="747" t="n">
        <v>5970</v>
      </c>
      <c r="FUH7" s="747" t="n">
        <v>5971</v>
      </c>
      <c r="FUI7" s="747" t="n">
        <v>5972</v>
      </c>
      <c r="FUJ7" s="747" t="n">
        <v>5973</v>
      </c>
      <c r="FUK7" s="747" t="n">
        <v>5974</v>
      </c>
      <c r="FUL7" s="747" t="n">
        <v>5975</v>
      </c>
      <c r="FUM7" s="747" t="n">
        <v>5976</v>
      </c>
      <c r="FUN7" s="747" t="n">
        <v>5977</v>
      </c>
      <c r="FUO7" s="747" t="n">
        <v>5978</v>
      </c>
      <c r="FUP7" s="747" t="n">
        <v>6003</v>
      </c>
      <c r="FUQ7" s="747" t="n">
        <v>6007</v>
      </c>
      <c r="FUR7" s="747" t="n">
        <v>6010</v>
      </c>
      <c r="FUS7" s="747" t="n">
        <v>6011</v>
      </c>
      <c r="FUT7" s="747" t="n">
        <v>6012</v>
      </c>
      <c r="FUU7" s="747" t="n">
        <v>6013</v>
      </c>
      <c r="FUV7" s="747" t="n">
        <v>6014</v>
      </c>
      <c r="FUW7" s="747" t="n">
        <v>6033</v>
      </c>
      <c r="FUX7" s="747" t="n">
        <v>6035</v>
      </c>
      <c r="FUY7" s="747" t="n">
        <v>6036</v>
      </c>
      <c r="FUZ7" s="747" t="n">
        <v>6040</v>
      </c>
      <c r="FVA7" s="747" t="n">
        <v>6045</v>
      </c>
      <c r="FVB7" s="747" t="n">
        <v>6047</v>
      </c>
      <c r="FVC7" s="747" t="n">
        <v>6048</v>
      </c>
      <c r="FVD7" s="747" t="n">
        <v>6049</v>
      </c>
      <c r="FVE7" s="747" t="n">
        <v>6050</v>
      </c>
      <c r="FVF7" s="747" t="n">
        <v>6051</v>
      </c>
      <c r="FVG7" s="747" t="n">
        <v>6053</v>
      </c>
      <c r="FVH7" s="747" t="n">
        <v>6055</v>
      </c>
      <c r="FVI7" s="747" t="n">
        <v>6056</v>
      </c>
      <c r="FVJ7" s="747" t="n">
        <v>6063</v>
      </c>
      <c r="FVK7" s="747" t="n">
        <v>6070</v>
      </c>
      <c r="FVL7" s="747" t="n">
        <v>6071</v>
      </c>
      <c r="FVM7" s="747" t="n">
        <v>6072</v>
      </c>
      <c r="FVN7" s="747" t="n">
        <v>6074</v>
      </c>
      <c r="FVO7" s="747" t="n">
        <v>6076</v>
      </c>
      <c r="FVP7" s="747" t="n">
        <v>6080</v>
      </c>
      <c r="FVQ7" s="747" t="n">
        <v>6085</v>
      </c>
      <c r="FVR7" s="747" t="n">
        <v>6845</v>
      </c>
      <c r="FVS7" s="747" t="n">
        <v>6092</v>
      </c>
      <c r="FVT7" s="747" t="n">
        <v>6091</v>
      </c>
      <c r="FVU7" s="747" t="n">
        <v>6096</v>
      </c>
      <c r="FVV7" s="747" t="n">
        <v>6089</v>
      </c>
      <c r="FVW7" s="747" t="n">
        <v>6090</v>
      </c>
      <c r="FVX7" s="747" t="n">
        <v>6083</v>
      </c>
      <c r="FVY7" s="747" t="n">
        <v>6094</v>
      </c>
      <c r="FVZ7" s="747" t="n">
        <v>6095</v>
      </c>
      <c r="FWA7" s="747" t="n">
        <v>6269</v>
      </c>
      <c r="FWB7" s="747" t="n">
        <v>6097</v>
      </c>
      <c r="FWC7" s="747" t="n">
        <v>6097</v>
      </c>
      <c r="FWD7" s="747" t="n">
        <v>6099</v>
      </c>
      <c r="FWE7" s="747" t="n">
        <v>6099</v>
      </c>
      <c r="FWF7" s="747" t="n">
        <v>6118</v>
      </c>
      <c r="FWG7" s="747" t="n">
        <v>6119</v>
      </c>
      <c r="FWH7" s="747" t="n">
        <v>6105</v>
      </c>
      <c r="FWI7" s="747" t="n">
        <v>6109</v>
      </c>
      <c r="FWJ7" s="747" t="n">
        <v>6113</v>
      </c>
      <c r="FWK7" s="747" t="n">
        <v>6108</v>
      </c>
      <c r="FWL7" s="747" t="n">
        <v>6110</v>
      </c>
      <c r="FWM7" s="747" t="n">
        <v>6112</v>
      </c>
      <c r="FWN7" s="747" t="n">
        <v>6112</v>
      </c>
      <c r="FWO7" s="747" t="n">
        <v>6114</v>
      </c>
      <c r="FWP7" s="747" t="n">
        <v>6114</v>
      </c>
      <c r="FWQ7" s="747" t="n">
        <v>6116</v>
      </c>
      <c r="FWR7" s="747" t="n">
        <v>6106</v>
      </c>
      <c r="FWS7" s="747" t="n">
        <v>6120</v>
      </c>
      <c r="FWT7" s="747" t="n">
        <v>6121</v>
      </c>
      <c r="FWU7" s="747" t="n">
        <v>6122</v>
      </c>
      <c r="FWV7" s="747" t="n">
        <v>6123</v>
      </c>
      <c r="FWW7" s="747" t="n">
        <v>6124</v>
      </c>
      <c r="FWX7" s="747" t="n">
        <v>6126</v>
      </c>
      <c r="FWY7" s="747" t="n">
        <v>6130</v>
      </c>
      <c r="FWZ7" s="747" t="n">
        <v>6125</v>
      </c>
      <c r="FXA7" s="747" t="n">
        <v>6146</v>
      </c>
      <c r="FXB7" s="747" t="n">
        <v>6131</v>
      </c>
      <c r="FXC7" s="747" t="n">
        <v>6134</v>
      </c>
      <c r="FXD7" s="747" t="n">
        <v>6138</v>
      </c>
      <c r="FXE7" s="747" t="n">
        <v>6139</v>
      </c>
      <c r="FXF7" s="747" t="n">
        <v>6143</v>
      </c>
      <c r="FXG7" s="747" t="n">
        <v>6147</v>
      </c>
      <c r="FXH7" s="747" t="n">
        <v>6148</v>
      </c>
      <c r="FXI7" s="747" t="n">
        <v>6135</v>
      </c>
      <c r="FXJ7" s="747" t="n">
        <v>6137</v>
      </c>
      <c r="FXK7" s="747" t="n">
        <v>6355</v>
      </c>
      <c r="FXL7" s="747" t="n">
        <v>6150</v>
      </c>
      <c r="FXM7" s="747" t="n">
        <v>6151</v>
      </c>
      <c r="FXN7" s="747" t="n">
        <v>6152</v>
      </c>
      <c r="FXO7" s="747" t="n">
        <v>6154</v>
      </c>
      <c r="FXP7" s="747" t="n">
        <v>6155</v>
      </c>
      <c r="FXQ7" s="747" t="n">
        <v>6156</v>
      </c>
      <c r="FXR7" s="747" t="n">
        <v>6157</v>
      </c>
      <c r="FXS7" s="747" t="n">
        <v>6158</v>
      </c>
      <c r="FXT7" s="747" t="n">
        <v>6159</v>
      </c>
      <c r="FXU7" s="747" t="n">
        <v>6167</v>
      </c>
      <c r="FXV7" s="747" t="n">
        <v>6169</v>
      </c>
      <c r="FXW7" s="747" t="n">
        <v>6170</v>
      </c>
      <c r="FXX7" s="747" t="n">
        <v>6171</v>
      </c>
      <c r="FXY7" s="747" t="n">
        <v>6172</v>
      </c>
      <c r="FXZ7" s="747" t="n">
        <v>6174</v>
      </c>
      <c r="FYA7" s="747" t="n">
        <v>6175</v>
      </c>
      <c r="FYB7" s="747" t="n">
        <v>6177</v>
      </c>
      <c r="FYC7" s="747" t="n">
        <v>6178</v>
      </c>
      <c r="FYD7" s="747" t="n">
        <v>6179</v>
      </c>
      <c r="FYE7" s="747" t="n">
        <v>6140</v>
      </c>
      <c r="FYF7" s="747" t="n">
        <v>6180</v>
      </c>
      <c r="FYG7" s="747" t="n">
        <v>6190</v>
      </c>
      <c r="FYH7" s="747" t="n">
        <v>6183</v>
      </c>
      <c r="FYI7" s="747" t="n">
        <v>6184</v>
      </c>
      <c r="FYJ7" s="747" t="n">
        <v>6185</v>
      </c>
      <c r="FYK7" s="747" t="n">
        <v>6186</v>
      </c>
      <c r="FYL7" s="747" t="n">
        <v>6187</v>
      </c>
      <c r="FYM7" s="747" t="n">
        <v>6188</v>
      </c>
      <c r="FYN7" s="747" t="n">
        <v>6189</v>
      </c>
      <c r="FYO7" s="747" t="n">
        <v>6195</v>
      </c>
      <c r="FYP7" s="747" t="n">
        <v>6197</v>
      </c>
      <c r="FYQ7" s="747" t="n">
        <v>6199</v>
      </c>
      <c r="FYR7" s="747" t="n">
        <v>6210</v>
      </c>
      <c r="FYS7" s="747" t="n">
        <v>6098</v>
      </c>
      <c r="FYT7" s="747" t="n">
        <v>6098</v>
      </c>
      <c r="FYU7" s="747" t="n">
        <v>6238</v>
      </c>
      <c r="FYV7" s="747" t="n">
        <v>6220</v>
      </c>
      <c r="FYW7" s="747" t="n">
        <v>6225</v>
      </c>
      <c r="FYX7" s="747" t="n">
        <v>6226</v>
      </c>
      <c r="FYY7" s="747" t="n">
        <v>6227</v>
      </c>
      <c r="FYZ7" s="747" t="n">
        <v>6229</v>
      </c>
      <c r="FZA7" s="747" t="n">
        <v>6228</v>
      </c>
      <c r="FZB7" s="747" t="n">
        <v>6054</v>
      </c>
      <c r="FZC7" s="747" t="n">
        <v>6250</v>
      </c>
      <c r="FZD7" s="747" t="n">
        <v>6247</v>
      </c>
      <c r="FZE7" s="747" t="n">
        <v>6248</v>
      </c>
      <c r="FZF7" s="747" t="n">
        <v>6249</v>
      </c>
      <c r="FZG7" s="747" t="n">
        <v>6251</v>
      </c>
      <c r="FZH7" s="747" t="n">
        <v>6255</v>
      </c>
      <c r="FZI7" s="747" t="n">
        <v>6305</v>
      </c>
      <c r="FZJ7" s="747" t="n">
        <v>6310</v>
      </c>
      <c r="FZK7" s="747" t="n">
        <v>6266</v>
      </c>
      <c r="FZL7" s="747" t="n">
        <v>6324</v>
      </c>
      <c r="FZM7" s="747" t="n">
        <v>6325</v>
      </c>
      <c r="FZN7" s="747" t="n">
        <v>6326</v>
      </c>
      <c r="FZO7" s="747" t="n">
        <v>6327</v>
      </c>
      <c r="FZP7" s="747" t="n">
        <v>6322</v>
      </c>
      <c r="FZQ7" s="747" t="n">
        <v>6320</v>
      </c>
      <c r="FZR7" s="747" t="n">
        <v>6342</v>
      </c>
      <c r="FZS7" s="747" t="n">
        <v>6339</v>
      </c>
      <c r="FZT7" s="747" t="n">
        <v>6336</v>
      </c>
      <c r="FZU7" s="747" t="n">
        <v>6340</v>
      </c>
      <c r="FZV7" s="747" t="n">
        <v>6337</v>
      </c>
      <c r="FZW7" s="747" t="n">
        <v>6341</v>
      </c>
      <c r="FZX7" s="747" t="n">
        <v>6338</v>
      </c>
      <c r="FZY7" s="747" t="n">
        <v>6343</v>
      </c>
      <c r="FZZ7" s="747" t="n">
        <v>6344</v>
      </c>
      <c r="GAA7" s="747" t="n">
        <v>6345</v>
      </c>
      <c r="GAB7" s="747" t="n">
        <v>6346</v>
      </c>
      <c r="GAC7" s="747" t="n">
        <v>6347</v>
      </c>
      <c r="GAD7" s="747" t="n">
        <v>6348</v>
      </c>
      <c r="GAE7" s="747" t="n">
        <v>6349</v>
      </c>
      <c r="GAF7" s="747" t="n">
        <v>6350</v>
      </c>
      <c r="GAG7" s="747" t="n">
        <v>6351</v>
      </c>
      <c r="GAH7" s="747" t="n">
        <v>6368</v>
      </c>
      <c r="GAI7" s="747" t="n">
        <v>6374</v>
      </c>
      <c r="GAJ7" s="747" t="n">
        <v>6360</v>
      </c>
      <c r="GAK7" s="747" t="n">
        <v>6361</v>
      </c>
      <c r="GAL7" s="747" t="n">
        <v>6362</v>
      </c>
      <c r="GAM7" s="747" t="n">
        <v>6363</v>
      </c>
      <c r="GAN7" s="747" t="n">
        <v>6364</v>
      </c>
      <c r="GAO7" s="747" t="n">
        <v>6371</v>
      </c>
      <c r="GAP7" s="747" t="n">
        <v>6392</v>
      </c>
      <c r="GAQ7" s="747" t="n">
        <v>6387</v>
      </c>
      <c r="GAR7" s="747" t="n">
        <v>6380</v>
      </c>
      <c r="GAS7" s="747" t="n">
        <v>6381</v>
      </c>
      <c r="GAT7" s="747" t="n">
        <v>6382</v>
      </c>
      <c r="GAU7" s="747" t="n">
        <v>6383</v>
      </c>
      <c r="GAV7" s="747" t="n">
        <v>6352</v>
      </c>
      <c r="GAW7" s="747" t="n">
        <v>6353</v>
      </c>
      <c r="GAX7" s="747" t="n">
        <v>6354</v>
      </c>
      <c r="GAY7" s="747" t="n">
        <v>6389</v>
      </c>
      <c r="GAZ7" s="747" t="n">
        <v>6385</v>
      </c>
      <c r="GBA7" s="747" t="n">
        <v>6386</v>
      </c>
      <c r="GBB7" s="747" t="n">
        <v>6394</v>
      </c>
      <c r="GBC7" s="747" t="n">
        <v>6390</v>
      </c>
      <c r="GBD7" s="747" t="n">
        <v>6391</v>
      </c>
      <c r="GBE7" s="747" t="n">
        <v>6485</v>
      </c>
      <c r="GBF7" s="747" t="n">
        <v>6487</v>
      </c>
      <c r="GBG7" s="747" t="n">
        <v>6486</v>
      </c>
      <c r="GBH7" s="747" t="n">
        <v>6521</v>
      </c>
      <c r="GBI7" s="747" t="n">
        <v>6522</v>
      </c>
      <c r="GBJ7" s="747" t="n">
        <v>6625</v>
      </c>
      <c r="GBK7" s="747" t="n">
        <v>6626</v>
      </c>
      <c r="GBL7" s="747" t="n">
        <v>6627</v>
      </c>
      <c r="GBM7" s="747" t="n">
        <v>6630</v>
      </c>
      <c r="GBN7" s="747" t="n">
        <v>6631</v>
      </c>
      <c r="GBO7" s="747" t="n">
        <v>6632</v>
      </c>
      <c r="GBP7" s="747" t="n">
        <v>6636</v>
      </c>
      <c r="GBQ7" s="747" t="n">
        <v>6637</v>
      </c>
      <c r="GBR7" s="747" t="n">
        <v>6638</v>
      </c>
      <c r="GBS7" s="747" t="n">
        <v>6642</v>
      </c>
      <c r="GBT7" s="747" t="n">
        <v>6643</v>
      </c>
      <c r="GBU7" s="747" t="n">
        <v>6644</v>
      </c>
      <c r="GBV7" s="747" t="n">
        <v>6648</v>
      </c>
      <c r="GBW7" s="747" t="n">
        <v>6649</v>
      </c>
      <c r="GBX7" s="747" t="n">
        <v>6650</v>
      </c>
      <c r="GBY7" s="747" t="n">
        <v>6708</v>
      </c>
      <c r="GBZ7" s="747" t="n">
        <v>6684</v>
      </c>
      <c r="GCA7" s="747" t="n">
        <v>6701</v>
      </c>
      <c r="GCB7" s="747" t="n">
        <v>6702</v>
      </c>
      <c r="GCC7" s="747" t="n">
        <v>6694</v>
      </c>
      <c r="GCD7" s="747" t="n">
        <v>6685</v>
      </c>
      <c r="GCE7" s="747" t="n">
        <v>6709</v>
      </c>
      <c r="GCF7" s="747" t="n">
        <v>6695</v>
      </c>
      <c r="GCG7" s="747" t="n">
        <v>6691</v>
      </c>
      <c r="GCH7" s="747" t="n">
        <v>6692</v>
      </c>
      <c r="GCI7" s="747" t="n">
        <v>6696</v>
      </c>
      <c r="GCJ7" s="747" t="n">
        <v>6699</v>
      </c>
      <c r="GCK7" s="747" t="n">
        <v>6703</v>
      </c>
      <c r="GCL7" s="747" t="n">
        <v>6706</v>
      </c>
      <c r="GCM7" s="747" t="n">
        <v>6712</v>
      </c>
      <c r="GCN7" s="747" t="n">
        <v>6715</v>
      </c>
      <c r="GCO7" s="747" t="n">
        <v>6725</v>
      </c>
      <c r="GCP7" s="747" t="n">
        <v>6714</v>
      </c>
      <c r="GCQ7" s="747" t="n">
        <v>6717</v>
      </c>
      <c r="GCR7" s="747" t="n">
        <v>6718</v>
      </c>
      <c r="GCS7" s="747" t="n">
        <v>6719</v>
      </c>
      <c r="GCT7" s="747" t="n">
        <v>6726</v>
      </c>
      <c r="GCU7" s="747" t="n">
        <v>6713</v>
      </c>
      <c r="GCV7" s="747" t="n">
        <v>6730</v>
      </c>
      <c r="GCW7" s="747" t="n">
        <v>6720</v>
      </c>
      <c r="GCX7" s="747" t="n">
        <v>6721</v>
      </c>
      <c r="GCY7" s="747" t="n">
        <v>6722</v>
      </c>
      <c r="GCZ7" s="747" t="n">
        <v>6749</v>
      </c>
      <c r="GDA7" s="747" t="n">
        <v>6757</v>
      </c>
      <c r="GDB7" s="747" t="n">
        <v>6752</v>
      </c>
      <c r="GDC7" s="747" t="n">
        <v>6759</v>
      </c>
      <c r="GDD7" s="747" t="n">
        <v>6754</v>
      </c>
      <c r="GDE7" s="747" t="n">
        <v>6756</v>
      </c>
      <c r="GDF7" s="747" t="n">
        <v>6765</v>
      </c>
      <c r="GDG7" s="747" t="n">
        <v>6782</v>
      </c>
      <c r="GDH7" s="747" t="n">
        <v>6783</v>
      </c>
      <c r="GDI7" s="747" t="n">
        <v>6784</v>
      </c>
      <c r="GDJ7" s="747" t="n">
        <v>6786</v>
      </c>
      <c r="GDK7" s="747" t="n">
        <v>6787</v>
      </c>
      <c r="GDL7" s="747" t="n">
        <v>6788</v>
      </c>
      <c r="GDM7" s="747" t="n">
        <v>6789</v>
      </c>
      <c r="GDN7" s="747" t="n">
        <v>5569</v>
      </c>
      <c r="GDO7" s="747" t="n">
        <v>5570</v>
      </c>
      <c r="GDP7" s="747" t="n">
        <v>5571</v>
      </c>
      <c r="GDQ7" s="747" t="n">
        <v>6792</v>
      </c>
      <c r="GDR7" s="747" t="n">
        <v>6791</v>
      </c>
      <c r="GDS7" s="747" t="n">
        <v>6795</v>
      </c>
      <c r="GDT7" s="747" t="n">
        <v>6794</v>
      </c>
      <c r="GDU7" s="747" t="n">
        <v>6796</v>
      </c>
      <c r="GDV7" s="747" t="n">
        <v>6798</v>
      </c>
      <c r="GDW7" s="747" t="n">
        <v>6801</v>
      </c>
      <c r="GDX7" s="747" t="n">
        <v>6802</v>
      </c>
      <c r="GDY7" s="747" t="n">
        <v>6807</v>
      </c>
      <c r="GDZ7" s="747" t="n">
        <v>6806</v>
      </c>
      <c r="GEA7" s="747" t="n">
        <v>6803</v>
      </c>
      <c r="GEB7" s="747" t="n">
        <v>6804</v>
      </c>
      <c r="GEC7" s="747" t="n">
        <v>6805</v>
      </c>
      <c r="GED7" s="747" t="n">
        <v>6808</v>
      </c>
      <c r="GEE7" s="747" t="n">
        <v>6810</v>
      </c>
      <c r="GEF7" s="747" t="n">
        <v>6811</v>
      </c>
      <c r="GEG7" s="747" t="n">
        <v>5334</v>
      </c>
      <c r="GEH7" s="747" t="n">
        <v>5365</v>
      </c>
      <c r="GEI7" s="747" t="n">
        <v>6820</v>
      </c>
      <c r="GEJ7" s="747" t="n">
        <v>6821</v>
      </c>
      <c r="GEK7" s="747" t="n">
        <v>6822</v>
      </c>
      <c r="GEL7" s="747" t="n">
        <v>6823</v>
      </c>
      <c r="GEM7" s="747" t="n">
        <v>6824</v>
      </c>
      <c r="GEN7" s="747" t="n">
        <v>6825</v>
      </c>
      <c r="GEO7" s="747" t="n">
        <v>6827</v>
      </c>
      <c r="GEP7" s="747" t="n">
        <v>6828</v>
      </c>
      <c r="GEQ7" s="747" t="n">
        <v>6835</v>
      </c>
      <c r="GER7" s="747" t="n">
        <v>6834</v>
      </c>
      <c r="GES7" s="747" t="n">
        <v>6836</v>
      </c>
      <c r="GET7" s="747" t="n">
        <v>6837</v>
      </c>
      <c r="GEU7" s="747" t="n">
        <v>6838</v>
      </c>
      <c r="GEV7" s="747" t="n">
        <v>6880</v>
      </c>
      <c r="GEW7" s="747" t="n">
        <v>6881</v>
      </c>
      <c r="GEX7" s="747" t="n">
        <v>6882</v>
      </c>
      <c r="GEY7" s="747" t="n">
        <v>6883</v>
      </c>
      <c r="GEZ7" s="747" t="n">
        <v>6884</v>
      </c>
      <c r="GFA7" s="747" t="n">
        <v>6885</v>
      </c>
      <c r="GFB7" s="748" t="inlineStr">
        <is>
          <t>Tax Year Filed</t>
        </is>
      </c>
      <c r="GFC7" s="747" t="inlineStr">
        <is>
          <t>Taxing Province</t>
        </is>
      </c>
      <c r="GFD7" s="747" t="inlineStr">
        <is>
          <t>Marital Status</t>
        </is>
      </c>
      <c r="GFE7" s="747" t="inlineStr">
        <is>
          <t>Balance before penalty and interest</t>
        </is>
      </c>
      <c r="GFF7" s="747" t="inlineStr">
        <is>
          <t>Balance before penalty and interest</t>
        </is>
      </c>
      <c r="GFG7" s="747" t="inlineStr">
        <is>
          <t>Final balance</t>
        </is>
      </c>
      <c r="GFH7" s="747" t="inlineStr">
        <is>
          <t>Basic federal tax</t>
        </is>
      </c>
      <c r="GFI7" s="747" t="inlineStr">
        <is>
          <t>Basic provincial or territorial tax</t>
        </is>
      </c>
      <c r="GFJ7" s="747" t="inlineStr">
        <is>
          <t>Ontario Health Premium</t>
        </is>
      </c>
      <c r="GFK7" s="747" t="n">
        <v>101</v>
      </c>
      <c r="GFL7" s="747" t="n">
        <v>102</v>
      </c>
      <c r="GFM7" s="747" t="n">
        <v>103</v>
      </c>
      <c r="GFN7" s="747" t="n">
        <v>104</v>
      </c>
      <c r="GFO7" s="747" t="n">
        <v>106</v>
      </c>
      <c r="GFP7" s="747" t="n">
        <v>107</v>
      </c>
      <c r="GFQ7" s="747" t="n">
        <v>109</v>
      </c>
      <c r="GFR7" s="747" t="n">
        <v>110</v>
      </c>
      <c r="GFS7" s="747" t="n">
        <v>113</v>
      </c>
      <c r="GFT7" s="747" t="n">
        <v>114</v>
      </c>
      <c r="GFU7" s="747" t="n">
        <v>115</v>
      </c>
      <c r="GFV7" s="747" t="n">
        <v>116</v>
      </c>
      <c r="GFW7" s="747" t="n">
        <v>117</v>
      </c>
      <c r="GFX7" s="747" t="n">
        <v>119</v>
      </c>
      <c r="GFY7" s="747" t="n">
        <v>120</v>
      </c>
      <c r="GFZ7" s="747" t="n">
        <v>121</v>
      </c>
      <c r="GGA7" s="747" t="n">
        <v>122</v>
      </c>
      <c r="GGB7" s="747" t="n">
        <v>123</v>
      </c>
      <c r="GGC7" s="747" t="n">
        <v>124</v>
      </c>
      <c r="GGD7" s="747" t="n">
        <v>125</v>
      </c>
      <c r="GGE7" s="747" t="n">
        <v>126</v>
      </c>
      <c r="GGF7" s="747" t="n">
        <v>127</v>
      </c>
      <c r="GGG7" s="747" t="n">
        <v>128</v>
      </c>
      <c r="GGH7" s="747" t="n">
        <v>129</v>
      </c>
      <c r="GGI7" s="747" t="n">
        <v>130</v>
      </c>
      <c r="GGJ7" s="747" t="n">
        <v>131</v>
      </c>
      <c r="GGK7" s="747" t="n">
        <v>132</v>
      </c>
      <c r="GGL7" s="747" t="n">
        <v>135</v>
      </c>
      <c r="GGM7" s="747" t="n">
        <v>136</v>
      </c>
      <c r="GGN7" s="747" t="n">
        <v>137</v>
      </c>
      <c r="GGO7" s="747" t="n">
        <v>138</v>
      </c>
      <c r="GGP7" s="747" t="n">
        <v>139</v>
      </c>
      <c r="GGQ7" s="747" t="n">
        <v>141</v>
      </c>
      <c r="GGR7" s="747" t="n">
        <v>143</v>
      </c>
      <c r="GGS7" s="747" t="n">
        <v>144</v>
      </c>
      <c r="GGT7" s="747" t="n">
        <v>145</v>
      </c>
      <c r="GGU7" s="747" t="n">
        <v>146</v>
      </c>
      <c r="GGV7" s="747" t="n">
        <v>150</v>
      </c>
      <c r="GGW7" s="747" t="n">
        <v>151</v>
      </c>
      <c r="GGX7" s="747" t="n">
        <v>152</v>
      </c>
      <c r="GGY7" s="747" t="n">
        <v>153</v>
      </c>
      <c r="GGZ7" s="747" t="n">
        <v>154</v>
      </c>
      <c r="GHA7" s="747" t="n">
        <v>155</v>
      </c>
      <c r="GHB7" s="747" t="n">
        <v>156</v>
      </c>
      <c r="GHC7" s="747" t="n">
        <v>158</v>
      </c>
      <c r="GHD7" s="747" t="n">
        <v>159</v>
      </c>
      <c r="GHE7" s="747" t="n">
        <v>160</v>
      </c>
      <c r="GHF7" s="747" t="n">
        <v>161</v>
      </c>
      <c r="GHG7" s="747" t="n">
        <v>162</v>
      </c>
      <c r="GHH7" s="747" t="n">
        <v>164</v>
      </c>
      <c r="GHI7" s="747" t="n">
        <v>166</v>
      </c>
      <c r="GHJ7" s="747" t="n">
        <v>168</v>
      </c>
      <c r="GHK7" s="747" t="n">
        <v>170</v>
      </c>
      <c r="GHL7" s="747" t="n">
        <v>174</v>
      </c>
      <c r="GHM7" s="747" t="n">
        <v>176</v>
      </c>
      <c r="GHN7" s="747" t="n">
        <v>178</v>
      </c>
      <c r="GHO7" s="747" t="n">
        <v>179</v>
      </c>
      <c r="GHP7" s="747" t="n">
        <v>180</v>
      </c>
      <c r="GHQ7" s="747" t="n">
        <v>185</v>
      </c>
      <c r="GHR7" s="747" t="n">
        <v>205</v>
      </c>
      <c r="GHS7" s="747" t="n">
        <v>206</v>
      </c>
      <c r="GHT7" s="747" t="n">
        <v>207</v>
      </c>
      <c r="GHU7" s="747" t="n">
        <v>208</v>
      </c>
      <c r="GHV7" s="747" t="n">
        <v>210</v>
      </c>
      <c r="GHW7" s="747" t="n">
        <v>212</v>
      </c>
      <c r="GHX7" s="747" t="n">
        <v>213</v>
      </c>
      <c r="GHY7" s="747" t="n">
        <v>214</v>
      </c>
      <c r="GHZ7" s="747" t="n">
        <v>215</v>
      </c>
      <c r="GIA7" s="747" t="n">
        <v>217</v>
      </c>
      <c r="GIB7" s="747" t="n">
        <v>219</v>
      </c>
      <c r="GIC7" s="747" t="n">
        <v>220</v>
      </c>
      <c r="GID7" s="747" t="n">
        <v>221</v>
      </c>
      <c r="GIE7" s="747" t="n">
        <v>222</v>
      </c>
      <c r="GIF7" s="747" t="n">
        <v>223</v>
      </c>
      <c r="GIG7" s="747" t="n">
        <v>224</v>
      </c>
      <c r="GIH7" s="747" t="n">
        <v>228</v>
      </c>
      <c r="GII7" s="747" t="n">
        <v>229</v>
      </c>
      <c r="GIJ7" s="747" t="n">
        <v>230</v>
      </c>
      <c r="GIK7" s="747" t="n">
        <v>231</v>
      </c>
      <c r="GIL7" s="747" t="n">
        <v>232</v>
      </c>
      <c r="GIM7" s="747" t="n">
        <v>235</v>
      </c>
      <c r="GIN7" s="747" t="n">
        <v>236</v>
      </c>
      <c r="GIO7" s="747" t="n">
        <v>240</v>
      </c>
      <c r="GIP7" s="747" t="n">
        <v>244</v>
      </c>
      <c r="GIQ7" s="747" t="n">
        <v>245</v>
      </c>
      <c r="GIR7" s="747" t="n">
        <v>246</v>
      </c>
      <c r="GIS7" s="747" t="n">
        <v>247</v>
      </c>
      <c r="GIT7" s="747" t="n">
        <v>249</v>
      </c>
      <c r="GIU7" s="747" t="n">
        <v>250</v>
      </c>
      <c r="GIV7" s="747" t="n">
        <v>251</v>
      </c>
      <c r="GIW7" s="747" t="n">
        <v>252</v>
      </c>
      <c r="GIX7" s="747" t="n">
        <v>253</v>
      </c>
      <c r="GIY7" s="747" t="n">
        <v>254</v>
      </c>
      <c r="GIZ7" s="747" t="n">
        <v>255</v>
      </c>
      <c r="GJA7" s="747" t="n">
        <v>256</v>
      </c>
      <c r="GJB7" s="747" t="n">
        <v>259</v>
      </c>
      <c r="GJC7" s="747" t="n">
        <v>260</v>
      </c>
      <c r="GJD7" s="747" t="n">
        <v>262</v>
      </c>
      <c r="GJE7" s="747" t="n">
        <v>263</v>
      </c>
      <c r="GJF7" s="747" t="n">
        <v>264</v>
      </c>
      <c r="GJG7" s="747" t="n">
        <v>266</v>
      </c>
      <c r="GJH7" s="747" t="n">
        <v>267</v>
      </c>
      <c r="GJI7" s="747" t="n">
        <v>300</v>
      </c>
      <c r="GJJ7" s="747" t="n">
        <v>301</v>
      </c>
      <c r="GJK7" s="747" t="n">
        <v>303</v>
      </c>
      <c r="GJL7" s="747" t="n">
        <v>304</v>
      </c>
      <c r="GJM7" s="747" t="n">
        <v>305</v>
      </c>
      <c r="GJN7" s="747" t="n">
        <v>307</v>
      </c>
      <c r="GJO7" s="747" t="n">
        <v>308</v>
      </c>
      <c r="GJP7" s="747" t="n">
        <v>310</v>
      </c>
      <c r="GJQ7" s="747" t="n">
        <v>312</v>
      </c>
      <c r="GJR7" s="747" t="n">
        <v>313</v>
      </c>
      <c r="GJS7" s="747" t="n">
        <v>314</v>
      </c>
      <c r="GJT7" s="747" t="n">
        <v>316</v>
      </c>
      <c r="GJU7" s="747" t="n">
        <v>317</v>
      </c>
      <c r="GJV7" s="747" t="n">
        <v>318</v>
      </c>
      <c r="GJW7" s="747" t="n">
        <v>319</v>
      </c>
      <c r="GJX7" s="747" t="n">
        <v>320</v>
      </c>
      <c r="GJY7" s="747" t="n">
        <v>323</v>
      </c>
      <c r="GJZ7" s="747" t="n">
        <v>324</v>
      </c>
      <c r="GKA7" s="747" t="n">
        <v>325</v>
      </c>
      <c r="GKB7" s="747" t="n">
        <v>326</v>
      </c>
      <c r="GKC7" s="747" t="n">
        <v>327</v>
      </c>
      <c r="GKD7" s="747" t="n">
        <v>328</v>
      </c>
      <c r="GKE7" s="747" t="n">
        <v>329</v>
      </c>
      <c r="GKF7" s="747" t="n">
        <v>330</v>
      </c>
      <c r="GKG7" s="747" t="n">
        <v>331</v>
      </c>
      <c r="GKH7" s="747" t="n">
        <v>332</v>
      </c>
      <c r="GKI7" s="747" t="n">
        <v>333</v>
      </c>
      <c r="GKJ7" s="747" t="n">
        <v>334</v>
      </c>
      <c r="GKK7" s="747" t="n">
        <v>337</v>
      </c>
      <c r="GKL7" s="747" t="n">
        <v>338</v>
      </c>
      <c r="GKM7" s="747" t="n">
        <v>339</v>
      </c>
      <c r="GKN7" s="747" t="n">
        <v>340</v>
      </c>
      <c r="GKO7" s="747" t="n">
        <v>342</v>
      </c>
      <c r="GKP7" s="747" t="n">
        <v>345</v>
      </c>
      <c r="GKQ7" s="747" t="n">
        <v>349</v>
      </c>
      <c r="GKR7" s="747" t="n">
        <v>350</v>
      </c>
      <c r="GKS7" s="747" t="n">
        <v>351</v>
      </c>
      <c r="GKT7" s="747" t="n">
        <v>352</v>
      </c>
      <c r="GKU7" s="747" t="n">
        <v>353</v>
      </c>
      <c r="GKV7" s="747" t="n">
        <v>354</v>
      </c>
      <c r="GKW7" s="747" t="n">
        <v>355</v>
      </c>
      <c r="GKX7" s="747" t="n">
        <v>357</v>
      </c>
      <c r="GKY7" s="747" t="n">
        <v>360</v>
      </c>
      <c r="GKZ7" s="747" t="n">
        <v>361</v>
      </c>
      <c r="GLA7" s="747" t="n">
        <v>362</v>
      </c>
      <c r="GLB7" s="747" t="n">
        <v>363</v>
      </c>
      <c r="GLC7" s="747" t="n">
        <v>367</v>
      </c>
      <c r="GLD7" s="747" t="n">
        <v>369</v>
      </c>
      <c r="GLE7" s="747" t="n">
        <v>371</v>
      </c>
      <c r="GLF7" s="747" t="n">
        <v>372</v>
      </c>
      <c r="GLG7" s="747" t="n">
        <v>373</v>
      </c>
      <c r="GLH7" s="747" t="n">
        <v>374</v>
      </c>
      <c r="GLI7" s="747" t="n">
        <v>375</v>
      </c>
      <c r="GLJ7" s="747" t="n">
        <v>376</v>
      </c>
      <c r="GLK7" s="747" t="n">
        <v>378</v>
      </c>
      <c r="GLL7" s="747" t="n">
        <v>381</v>
      </c>
      <c r="GLM7" s="747" t="n">
        <v>382</v>
      </c>
      <c r="GLN7" s="747" t="n">
        <v>383</v>
      </c>
      <c r="GLO7" s="747" t="n">
        <v>384</v>
      </c>
      <c r="GLP7" s="747" t="n">
        <v>385</v>
      </c>
      <c r="GLQ7" s="747" t="n">
        <v>386</v>
      </c>
      <c r="GLR7" s="747" t="n">
        <v>387</v>
      </c>
      <c r="GLS7" s="747" t="n">
        <v>388</v>
      </c>
      <c r="GLT7" s="747" t="n">
        <v>389</v>
      </c>
      <c r="GLU7" s="747" t="n">
        <v>390</v>
      </c>
      <c r="GLV7" s="747" t="n">
        <v>391</v>
      </c>
      <c r="GLW7" s="747" t="n">
        <v>392</v>
      </c>
      <c r="GLX7" s="747" t="n">
        <v>394</v>
      </c>
      <c r="GLY7" s="747" t="n">
        <v>395</v>
      </c>
      <c r="GLZ7" s="747" t="n">
        <v>398</v>
      </c>
      <c r="GMA7" s="747" t="n">
        <v>399</v>
      </c>
      <c r="GMB7" s="747" t="n">
        <v>406</v>
      </c>
      <c r="GMC7" s="747" t="n">
        <v>409</v>
      </c>
      <c r="GMD7" s="747" t="n">
        <v>410</v>
      </c>
      <c r="GME7" s="747" t="n">
        <v>412</v>
      </c>
      <c r="GMF7" s="747" t="n">
        <v>413</v>
      </c>
      <c r="GMG7" s="747" t="n">
        <v>414</v>
      </c>
      <c r="GMH7" s="747" t="n">
        <v>415</v>
      </c>
      <c r="GMI7" s="747" t="n">
        <v>417</v>
      </c>
      <c r="GMJ7" s="747" t="n">
        <v>418</v>
      </c>
      <c r="GMK7" s="747" t="n">
        <v>420</v>
      </c>
      <c r="GML7" s="747" t="n">
        <v>424</v>
      </c>
      <c r="GMM7" s="747" t="n">
        <v>425</v>
      </c>
      <c r="GMN7" s="747" t="n">
        <v>427</v>
      </c>
      <c r="GMO7" s="747" t="n">
        <v>428</v>
      </c>
      <c r="GMP7" s="747" t="n">
        <v>431</v>
      </c>
      <c r="GMQ7" s="747" t="n">
        <v>432</v>
      </c>
      <c r="GMR7" s="747" t="n">
        <v>433</v>
      </c>
      <c r="GMS7" s="747" t="n">
        <v>434</v>
      </c>
      <c r="GMT7" s="747" t="n">
        <v>435</v>
      </c>
      <c r="GMU7" s="747" t="n">
        <v>437</v>
      </c>
      <c r="GMV7" s="747" t="n">
        <v>438</v>
      </c>
      <c r="GMW7" s="747" t="n">
        <v>439</v>
      </c>
      <c r="GMX7" s="747" t="n">
        <v>440</v>
      </c>
      <c r="GMY7" s="747" t="n">
        <v>441</v>
      </c>
      <c r="GMZ7" s="747" t="n">
        <v>448</v>
      </c>
      <c r="GNA7" s="747" t="n">
        <v>449</v>
      </c>
      <c r="GNB7" s="747" t="n">
        <v>450</v>
      </c>
      <c r="GNC7" s="747" t="n">
        <v>452</v>
      </c>
      <c r="GND7" s="747" t="n">
        <v>453</v>
      </c>
      <c r="GNE7" s="747" t="n">
        <v>454</v>
      </c>
      <c r="GNF7" s="747" t="n">
        <v>456</v>
      </c>
      <c r="GNG7" s="747" t="n">
        <v>457</v>
      </c>
      <c r="GNH7" s="747" t="n">
        <v>460</v>
      </c>
      <c r="GNI7" s="747" t="n">
        <v>461</v>
      </c>
      <c r="GNJ7" s="747" t="n">
        <v>462</v>
      </c>
      <c r="GNK7" s="747" t="n">
        <v>465</v>
      </c>
      <c r="GNL7" s="747" t="n">
        <v>466</v>
      </c>
      <c r="GNM7" s="747" t="n">
        <v>468</v>
      </c>
      <c r="GNN7" s="747" t="n">
        <v>469</v>
      </c>
      <c r="GNO7" s="747" t="n">
        <v>476</v>
      </c>
      <c r="GNP7" s="747" t="n">
        <v>479</v>
      </c>
      <c r="GNQ7" s="747" t="n">
        <v>484</v>
      </c>
      <c r="GNR7" s="747" t="n">
        <v>485</v>
      </c>
      <c r="GNS7" s="747" t="n">
        <v>486</v>
      </c>
      <c r="GNT7" s="747" t="n">
        <v>487</v>
      </c>
      <c r="GNU7" s="747" t="n">
        <v>488</v>
      </c>
      <c r="GNV7" s="747" t="n">
        <v>490</v>
      </c>
      <c r="GNW7" s="747" t="n">
        <v>5026</v>
      </c>
      <c r="GNX7" s="747" t="n">
        <v>5027</v>
      </c>
      <c r="GNY7" s="747" t="n">
        <v>5028</v>
      </c>
      <c r="GNZ7" s="747" t="n">
        <v>5029</v>
      </c>
      <c r="GOA7" s="747" t="n">
        <v>5031</v>
      </c>
      <c r="GOB7" s="747" t="n">
        <v>5032</v>
      </c>
      <c r="GOC7" s="747" t="n">
        <v>5033</v>
      </c>
      <c r="GOD7" s="747" t="n">
        <v>5034</v>
      </c>
      <c r="GOE7" s="747" t="n">
        <v>5041</v>
      </c>
      <c r="GOF7" s="747" t="n">
        <v>5106</v>
      </c>
      <c r="GOG7" s="747" t="n">
        <v>5109</v>
      </c>
      <c r="GOH7" s="747" t="n">
        <v>5110</v>
      </c>
      <c r="GOI7" s="747" t="n">
        <v>5112</v>
      </c>
      <c r="GOJ7" s="747" t="n">
        <v>5117</v>
      </c>
      <c r="GOK7" s="747" t="n">
        <v>5118</v>
      </c>
      <c r="GOL7" s="747" t="n">
        <v>5119</v>
      </c>
      <c r="GOM7" s="747" t="n">
        <v>5120</v>
      </c>
      <c r="GON7" s="747" t="n">
        <v>5121</v>
      </c>
      <c r="GOO7" s="747" t="n">
        <v>5122</v>
      </c>
      <c r="GOP7" s="747" t="n">
        <v>5123</v>
      </c>
      <c r="GOQ7" s="747" t="n">
        <v>5124</v>
      </c>
      <c r="GOR7" s="747" t="n">
        <v>5125</v>
      </c>
      <c r="GOS7" s="747" t="n">
        <v>5230</v>
      </c>
      <c r="GOT7" s="747" t="n">
        <v>5263</v>
      </c>
      <c r="GOU7" s="747" t="n">
        <v>5267</v>
      </c>
      <c r="GOV7" s="747" t="n">
        <v>5273</v>
      </c>
      <c r="GOW7" s="747" t="n">
        <v>5274</v>
      </c>
      <c r="GOX7" s="747" t="n">
        <v>5275</v>
      </c>
      <c r="GOY7" s="747" t="n">
        <v>5276</v>
      </c>
      <c r="GOZ7" s="747" t="n">
        <v>5277</v>
      </c>
      <c r="GPA7" s="747" t="n">
        <v>5278</v>
      </c>
      <c r="GPB7" s="747" t="n">
        <v>5279</v>
      </c>
      <c r="GPC7" s="747" t="n">
        <v>5280</v>
      </c>
      <c r="GPD7" s="747" t="n">
        <v>5281</v>
      </c>
      <c r="GPE7" s="747" t="n">
        <v>5282</v>
      </c>
      <c r="GPF7" s="747" t="n">
        <v>5283</v>
      </c>
      <c r="GPG7" s="747" t="n">
        <v>5284</v>
      </c>
      <c r="GPH7" s="747" t="n">
        <v>5285</v>
      </c>
      <c r="GPI7" s="747" t="n">
        <v>5292</v>
      </c>
      <c r="GPJ7" s="747" t="n">
        <v>5293</v>
      </c>
      <c r="GPK7" s="747" t="n">
        <v>5308</v>
      </c>
      <c r="GPL7" s="747" t="n">
        <v>5321</v>
      </c>
      <c r="GPM7" s="747" t="n">
        <v>5548</v>
      </c>
      <c r="GPN7" s="747" t="n">
        <v>5549</v>
      </c>
      <c r="GPO7" s="747" t="n">
        <v>5330</v>
      </c>
      <c r="GPP7" s="747" t="n">
        <v>5335</v>
      </c>
      <c r="GPQ7" s="747" t="n">
        <v>5337</v>
      </c>
      <c r="GPR7" s="747" t="n">
        <v>5344</v>
      </c>
      <c r="GPS7" s="747" t="n">
        <v>5345</v>
      </c>
      <c r="GPT7" s="747" t="n">
        <v>5347</v>
      </c>
      <c r="GPU7" s="747" t="n">
        <v>5349</v>
      </c>
      <c r="GPV7" s="747" t="n">
        <v>5350</v>
      </c>
      <c r="GPW7" s="747" t="n">
        <v>5351</v>
      </c>
      <c r="GPX7" s="747" t="n">
        <v>5353</v>
      </c>
      <c r="GPY7" s="747" t="n">
        <v>5354</v>
      </c>
      <c r="GPZ7" s="747" t="n">
        <v>5355</v>
      </c>
      <c r="GQA7" s="747" t="n">
        <v>5369</v>
      </c>
      <c r="GQB7" s="747" t="n">
        <v>5367</v>
      </c>
      <c r="GQC7" s="747" t="n">
        <v>5368</v>
      </c>
      <c r="GQD7" s="747" t="n">
        <v>379</v>
      </c>
      <c r="GQE7" s="747" t="n">
        <v>377</v>
      </c>
      <c r="GQF7" s="747" t="n">
        <v>380</v>
      </c>
      <c r="GQG7" s="747" t="n">
        <v>5493</v>
      </c>
      <c r="GQH7" s="747" t="n">
        <v>5494</v>
      </c>
      <c r="GQI7" s="747" t="n">
        <v>5461</v>
      </c>
      <c r="GQJ7" s="747" t="n">
        <v>5478</v>
      </c>
      <c r="GQK7" s="747" t="n">
        <v>5479</v>
      </c>
      <c r="GQL7" s="747" t="n">
        <v>5492</v>
      </c>
      <c r="GQM7" s="747" t="n">
        <v>5495</v>
      </c>
      <c r="GQN7" s="747" t="n">
        <v>5496</v>
      </c>
      <c r="GQO7" s="747" t="n">
        <v>5507</v>
      </c>
      <c r="GQP7" s="747" t="n">
        <v>5508</v>
      </c>
      <c r="GQQ7" s="747" t="n">
        <v>5511</v>
      </c>
      <c r="GQR7" s="747" t="n">
        <v>5522</v>
      </c>
      <c r="GQS7" s="747" t="n">
        <v>5527</v>
      </c>
      <c r="GQT7" s="747" t="n">
        <v>5529</v>
      </c>
      <c r="GQU7" s="747" t="n">
        <v>5530</v>
      </c>
      <c r="GQV7" s="747" t="n">
        <v>5532</v>
      </c>
      <c r="GQW7" s="747" t="n">
        <v>5536</v>
      </c>
      <c r="GQX7" s="747" t="n">
        <v>5537</v>
      </c>
      <c r="GQY7" s="747" t="n">
        <v>5538</v>
      </c>
      <c r="GQZ7" s="747" t="n">
        <v>5540</v>
      </c>
      <c r="GRA7" s="747" t="n">
        <v>5555</v>
      </c>
      <c r="GRB7" s="747" t="n">
        <v>5566</v>
      </c>
      <c r="GRC7" s="747" t="n">
        <v>5804</v>
      </c>
      <c r="GRD7" s="747" t="n">
        <v>5808</v>
      </c>
      <c r="GRE7" s="747" t="n">
        <v>5812</v>
      </c>
      <c r="GRF7" s="747" t="n">
        <v>5816</v>
      </c>
      <c r="GRG7" s="747" t="n">
        <v>5814</v>
      </c>
      <c r="GRH7" s="747" t="n">
        <v>5817</v>
      </c>
      <c r="GRI7" s="747" t="n">
        <v>5818</v>
      </c>
      <c r="GRJ7" s="747" t="n">
        <v>5819</v>
      </c>
      <c r="GRK7" s="747" t="n">
        <v>5825</v>
      </c>
      <c r="GRL7" s="747" t="n">
        <v>5820</v>
      </c>
      <c r="GRM7" s="747" t="n">
        <v>6370</v>
      </c>
      <c r="GRN7" s="747" t="n">
        <v>5821</v>
      </c>
      <c r="GRO7" s="747" t="n">
        <v>5822</v>
      </c>
      <c r="GRP7" s="747" t="n">
        <v>6372</v>
      </c>
      <c r="GRQ7" s="747" t="n">
        <v>5823</v>
      </c>
      <c r="GRR7" s="747" t="n">
        <v>5824</v>
      </c>
      <c r="GRS7" s="747" t="n">
        <v>5828</v>
      </c>
      <c r="GRT7" s="747" t="n">
        <v>5832</v>
      </c>
      <c r="GRU7" s="747" t="n">
        <v>5829</v>
      </c>
      <c r="GRV7" s="747" t="n">
        <v>5834</v>
      </c>
      <c r="GRW7" s="747" t="n">
        <v>5830</v>
      </c>
      <c r="GRX7" s="747" t="n">
        <v>5845</v>
      </c>
      <c r="GRY7" s="747" t="n">
        <v>5831</v>
      </c>
      <c r="GRZ7" s="747" t="n">
        <v>5839</v>
      </c>
      <c r="GSA7" s="747" t="n">
        <v>5841</v>
      </c>
      <c r="GSB7" s="747" t="n">
        <v>5833</v>
      </c>
      <c r="GSC7" s="747" t="n">
        <v>5837</v>
      </c>
      <c r="GSD7" s="747" t="n">
        <v>5836</v>
      </c>
      <c r="GSE7" s="747" t="n">
        <v>5840</v>
      </c>
      <c r="GSF7" s="747" t="n">
        <v>5844</v>
      </c>
      <c r="GSG7" s="747" t="n">
        <v>5848</v>
      </c>
      <c r="GSH7" s="747" t="n">
        <v>5850</v>
      </c>
      <c r="GSI7" s="747" t="n">
        <v>5852</v>
      </c>
      <c r="GSJ7" s="747" t="n">
        <v>5856</v>
      </c>
      <c r="GSK7" s="747" t="n">
        <v>5856</v>
      </c>
      <c r="GSL7" s="747" t="n">
        <v>5856</v>
      </c>
      <c r="GSM7" s="747" t="n">
        <v>5860</v>
      </c>
      <c r="GSN7" s="747" t="n">
        <v>5860</v>
      </c>
      <c r="GSO7" s="747" t="n">
        <v>5860</v>
      </c>
      <c r="GSP7" s="747" t="n">
        <v>5864</v>
      </c>
      <c r="GSQ7" s="747" t="n">
        <v>5868</v>
      </c>
      <c r="GSR7" s="747" t="n">
        <v>5872</v>
      </c>
      <c r="GSS7" s="747" t="n">
        <v>5875</v>
      </c>
      <c r="GST7" s="747" t="n">
        <v>5876</v>
      </c>
      <c r="GSU7" s="747" t="n">
        <v>5880</v>
      </c>
      <c r="GSV7" s="747" t="n">
        <v>5881</v>
      </c>
      <c r="GSW7" s="747" t="n">
        <v>5882</v>
      </c>
      <c r="GSX7" s="747" t="n">
        <v>5883</v>
      </c>
      <c r="GSY7" s="747" t="n">
        <v>5884</v>
      </c>
      <c r="GSZ7" s="747" t="n">
        <v>5884</v>
      </c>
      <c r="GTA7" s="747" t="n">
        <v>5896</v>
      </c>
      <c r="GTB7" s="747" t="n">
        <v>5897</v>
      </c>
      <c r="GTC7" s="747" t="n">
        <v>5898</v>
      </c>
      <c r="GTD7" s="747" t="n">
        <v>5900</v>
      </c>
      <c r="GTE7" s="747" t="n">
        <v>5901</v>
      </c>
      <c r="GTF7" s="747" t="n">
        <v>5902</v>
      </c>
      <c r="GTG7" s="747" t="n">
        <v>5903</v>
      </c>
      <c r="GTH7" s="747" t="n">
        <v>5904</v>
      </c>
      <c r="GTI7" s="747" t="n">
        <v>5905</v>
      </c>
      <c r="GTJ7" s="747" t="n">
        <v>5907</v>
      </c>
      <c r="GTK7" s="747" t="n">
        <v>5909</v>
      </c>
      <c r="GTL7" s="747" t="n">
        <v>5909</v>
      </c>
      <c r="GTM7" s="747" t="n">
        <v>5909</v>
      </c>
      <c r="GTN7" s="747" t="n">
        <v>5912</v>
      </c>
      <c r="GTO7" s="747" t="n">
        <v>5914</v>
      </c>
      <c r="GTP7" s="747" t="n">
        <v>5916</v>
      </c>
      <c r="GTQ7" s="747" t="n">
        <v>5916</v>
      </c>
      <c r="GTR7" s="747" t="n">
        <v>5918</v>
      </c>
      <c r="GTS7" s="747" t="n">
        <v>5918</v>
      </c>
      <c r="GTT7" s="747" t="n">
        <v>5920</v>
      </c>
      <c r="GTU7" s="747" t="n">
        <v>5920</v>
      </c>
      <c r="GTV7" s="747" t="n">
        <v>5920</v>
      </c>
      <c r="GTW7" s="747" t="n">
        <v>5920</v>
      </c>
      <c r="GTX7" s="747" t="n">
        <v>5931</v>
      </c>
      <c r="GTY7" s="747" t="n">
        <v>5932</v>
      </c>
      <c r="GTZ7" s="747" t="n">
        <v>5933</v>
      </c>
      <c r="GUA7" s="747" t="n">
        <v>5934</v>
      </c>
      <c r="GUB7" s="747" t="n">
        <v>5936</v>
      </c>
      <c r="GUC7" s="747" t="n">
        <v>5937</v>
      </c>
      <c r="GUD7" s="747" t="n">
        <v>5943</v>
      </c>
      <c r="GUE7" s="747" t="n">
        <v>5944</v>
      </c>
      <c r="GUF7" s="747" t="n">
        <v>5945</v>
      </c>
      <c r="GUG7" s="747" t="n">
        <v>5946</v>
      </c>
      <c r="GUH7" s="747" t="n">
        <v>5947</v>
      </c>
      <c r="GUI7" s="747" t="n">
        <v>5970</v>
      </c>
      <c r="GUJ7" s="747" t="n">
        <v>5971</v>
      </c>
      <c r="GUK7" s="747" t="n">
        <v>5972</v>
      </c>
      <c r="GUL7" s="747" t="n">
        <v>5973</v>
      </c>
      <c r="GUM7" s="747" t="n">
        <v>5974</v>
      </c>
      <c r="GUN7" s="747" t="n">
        <v>5975</v>
      </c>
      <c r="GUO7" s="747" t="n">
        <v>5976</v>
      </c>
      <c r="GUP7" s="747" t="n">
        <v>5977</v>
      </c>
      <c r="GUQ7" s="747" t="n">
        <v>5978</v>
      </c>
      <c r="GUR7" s="747" t="n">
        <v>6003</v>
      </c>
      <c r="GUS7" s="747" t="n">
        <v>6007</v>
      </c>
      <c r="GUT7" s="747" t="n">
        <v>6010</v>
      </c>
      <c r="GUU7" s="747" t="n">
        <v>6011</v>
      </c>
      <c r="GUV7" s="747" t="n">
        <v>6012</v>
      </c>
      <c r="GUW7" s="747" t="n">
        <v>6013</v>
      </c>
      <c r="GUX7" s="747" t="n">
        <v>6014</v>
      </c>
      <c r="GUY7" s="747" t="n">
        <v>6033</v>
      </c>
      <c r="GUZ7" s="747" t="n">
        <v>6035</v>
      </c>
      <c r="GVA7" s="747" t="n">
        <v>6036</v>
      </c>
      <c r="GVB7" s="747" t="n">
        <v>6040</v>
      </c>
      <c r="GVC7" s="747" t="n">
        <v>6045</v>
      </c>
      <c r="GVD7" s="747" t="n">
        <v>6047</v>
      </c>
      <c r="GVE7" s="747" t="n">
        <v>6048</v>
      </c>
      <c r="GVF7" s="747" t="n">
        <v>6049</v>
      </c>
      <c r="GVG7" s="747" t="n">
        <v>6050</v>
      </c>
      <c r="GVH7" s="747" t="n">
        <v>6051</v>
      </c>
      <c r="GVI7" s="747" t="n">
        <v>6053</v>
      </c>
      <c r="GVJ7" s="747" t="n">
        <v>6055</v>
      </c>
      <c r="GVK7" s="747" t="n">
        <v>6056</v>
      </c>
      <c r="GVL7" s="747" t="n">
        <v>6063</v>
      </c>
      <c r="GVM7" s="747" t="n">
        <v>6070</v>
      </c>
      <c r="GVN7" s="747" t="n">
        <v>6071</v>
      </c>
      <c r="GVO7" s="747" t="n">
        <v>6072</v>
      </c>
      <c r="GVP7" s="747" t="n">
        <v>6074</v>
      </c>
      <c r="GVQ7" s="747" t="n">
        <v>6076</v>
      </c>
      <c r="GVR7" s="747" t="n">
        <v>6080</v>
      </c>
      <c r="GVS7" s="747" t="n">
        <v>6085</v>
      </c>
      <c r="GVT7" s="747" t="n">
        <v>6845</v>
      </c>
      <c r="GVU7" s="747" t="n">
        <v>6092</v>
      </c>
      <c r="GVV7" s="747" t="n">
        <v>6091</v>
      </c>
      <c r="GVW7" s="747" t="n">
        <v>6096</v>
      </c>
      <c r="GVX7" s="747" t="n">
        <v>6089</v>
      </c>
      <c r="GVY7" s="747" t="n">
        <v>6090</v>
      </c>
      <c r="GVZ7" s="747" t="n">
        <v>6083</v>
      </c>
      <c r="GWA7" s="747" t="n">
        <v>6094</v>
      </c>
      <c r="GWB7" s="747" t="n">
        <v>6095</v>
      </c>
      <c r="GWC7" s="747" t="n">
        <v>6269</v>
      </c>
      <c r="GWD7" s="747" t="n">
        <v>6097</v>
      </c>
      <c r="GWE7" s="747" t="n">
        <v>6097</v>
      </c>
      <c r="GWF7" s="747" t="n">
        <v>6099</v>
      </c>
      <c r="GWG7" s="747" t="n">
        <v>6099</v>
      </c>
      <c r="GWH7" s="747" t="n">
        <v>6118</v>
      </c>
      <c r="GWI7" s="747" t="n">
        <v>6119</v>
      </c>
      <c r="GWJ7" s="747" t="n">
        <v>6105</v>
      </c>
      <c r="GWK7" s="747" t="n">
        <v>6109</v>
      </c>
      <c r="GWL7" s="747" t="n">
        <v>6113</v>
      </c>
      <c r="GWM7" s="747" t="n">
        <v>6108</v>
      </c>
      <c r="GWN7" s="747" t="n">
        <v>6110</v>
      </c>
      <c r="GWO7" s="747" t="n">
        <v>6112</v>
      </c>
      <c r="GWP7" s="747" t="n">
        <v>6112</v>
      </c>
      <c r="GWQ7" s="747" t="n">
        <v>6114</v>
      </c>
      <c r="GWR7" s="747" t="n">
        <v>6114</v>
      </c>
      <c r="GWS7" s="747" t="n">
        <v>6116</v>
      </c>
      <c r="GWT7" s="747" t="n">
        <v>6106</v>
      </c>
      <c r="GWU7" s="747" t="n">
        <v>6120</v>
      </c>
      <c r="GWV7" s="747" t="n">
        <v>6121</v>
      </c>
      <c r="GWW7" s="747" t="n">
        <v>6122</v>
      </c>
      <c r="GWX7" s="747" t="n">
        <v>6123</v>
      </c>
      <c r="GWY7" s="747" t="n">
        <v>6124</v>
      </c>
      <c r="GWZ7" s="747" t="n">
        <v>6126</v>
      </c>
      <c r="GXA7" s="747" t="n">
        <v>6130</v>
      </c>
      <c r="GXB7" s="747" t="n">
        <v>6125</v>
      </c>
      <c r="GXC7" s="747" t="n">
        <v>6146</v>
      </c>
      <c r="GXD7" s="747" t="n">
        <v>6131</v>
      </c>
      <c r="GXE7" s="747" t="n">
        <v>6134</v>
      </c>
      <c r="GXF7" s="747" t="n">
        <v>6138</v>
      </c>
      <c r="GXG7" s="747" t="n">
        <v>6139</v>
      </c>
      <c r="GXH7" s="747" t="n">
        <v>6143</v>
      </c>
      <c r="GXI7" s="747" t="n">
        <v>6147</v>
      </c>
      <c r="GXJ7" s="747" t="n">
        <v>6148</v>
      </c>
      <c r="GXK7" s="747" t="n">
        <v>6135</v>
      </c>
      <c r="GXL7" s="747" t="n">
        <v>6137</v>
      </c>
      <c r="GXM7" s="747" t="n">
        <v>6355</v>
      </c>
      <c r="GXN7" s="747" t="n">
        <v>6150</v>
      </c>
      <c r="GXO7" s="747" t="n">
        <v>6151</v>
      </c>
      <c r="GXP7" s="747" t="n">
        <v>6152</v>
      </c>
      <c r="GXQ7" s="747" t="n">
        <v>6154</v>
      </c>
      <c r="GXR7" s="747" t="n">
        <v>6155</v>
      </c>
      <c r="GXS7" s="747" t="n">
        <v>6156</v>
      </c>
      <c r="GXT7" s="747" t="n">
        <v>6157</v>
      </c>
      <c r="GXU7" s="747" t="n">
        <v>6158</v>
      </c>
      <c r="GXV7" s="747" t="n">
        <v>6159</v>
      </c>
      <c r="GXW7" s="747" t="n">
        <v>6167</v>
      </c>
      <c r="GXX7" s="747" t="n">
        <v>6169</v>
      </c>
      <c r="GXY7" s="747" t="n">
        <v>6170</v>
      </c>
      <c r="GXZ7" s="747" t="n">
        <v>6171</v>
      </c>
      <c r="GYA7" s="747" t="n">
        <v>6172</v>
      </c>
      <c r="GYB7" s="747" t="n">
        <v>6174</v>
      </c>
      <c r="GYC7" s="747" t="n">
        <v>6175</v>
      </c>
      <c r="GYD7" s="747" t="n">
        <v>6177</v>
      </c>
      <c r="GYE7" s="747" t="n">
        <v>6178</v>
      </c>
      <c r="GYF7" s="747" t="n">
        <v>6179</v>
      </c>
      <c r="GYG7" s="747" t="n">
        <v>6140</v>
      </c>
      <c r="GYH7" s="747" t="n">
        <v>6180</v>
      </c>
      <c r="GYI7" s="747" t="n">
        <v>6190</v>
      </c>
      <c r="GYJ7" s="747" t="n">
        <v>6183</v>
      </c>
      <c r="GYK7" s="747" t="n">
        <v>6184</v>
      </c>
      <c r="GYL7" s="747" t="n">
        <v>6185</v>
      </c>
      <c r="GYM7" s="747" t="n">
        <v>6186</v>
      </c>
      <c r="GYN7" s="747" t="n">
        <v>6187</v>
      </c>
      <c r="GYO7" s="747" t="n">
        <v>6188</v>
      </c>
      <c r="GYP7" s="747" t="n">
        <v>6189</v>
      </c>
      <c r="GYQ7" s="747" t="n">
        <v>6195</v>
      </c>
      <c r="GYR7" s="747" t="n">
        <v>6197</v>
      </c>
      <c r="GYS7" s="747" t="n">
        <v>6199</v>
      </c>
      <c r="GYT7" s="747" t="n">
        <v>6210</v>
      </c>
      <c r="GYU7" s="747" t="n">
        <v>6098</v>
      </c>
      <c r="GYV7" s="747" t="n">
        <v>6098</v>
      </c>
      <c r="GYW7" s="747" t="n">
        <v>6238</v>
      </c>
      <c r="GYX7" s="747" t="n">
        <v>6220</v>
      </c>
      <c r="GYY7" s="747" t="n">
        <v>6225</v>
      </c>
      <c r="GYZ7" s="747" t="n">
        <v>6226</v>
      </c>
      <c r="GZA7" s="747" t="n">
        <v>6227</v>
      </c>
      <c r="GZB7" s="747" t="n">
        <v>6229</v>
      </c>
      <c r="GZC7" s="747" t="n">
        <v>6228</v>
      </c>
      <c r="GZD7" s="747" t="n">
        <v>6054</v>
      </c>
      <c r="GZE7" s="747" t="n">
        <v>6250</v>
      </c>
      <c r="GZF7" s="747" t="n">
        <v>6247</v>
      </c>
      <c r="GZG7" s="747" t="n">
        <v>6248</v>
      </c>
      <c r="GZH7" s="747" t="n">
        <v>6249</v>
      </c>
      <c r="GZI7" s="747" t="n">
        <v>6251</v>
      </c>
      <c r="GZJ7" s="747" t="n">
        <v>6255</v>
      </c>
      <c r="GZK7" s="747" t="n">
        <v>6305</v>
      </c>
      <c r="GZL7" s="747" t="n">
        <v>6310</v>
      </c>
      <c r="GZM7" s="747" t="n">
        <v>6266</v>
      </c>
      <c r="GZN7" s="747" t="n">
        <v>6324</v>
      </c>
      <c r="GZO7" s="747" t="n">
        <v>6325</v>
      </c>
      <c r="GZP7" s="747" t="n">
        <v>6326</v>
      </c>
      <c r="GZQ7" s="747" t="n">
        <v>6327</v>
      </c>
      <c r="GZR7" s="747" t="n">
        <v>6322</v>
      </c>
      <c r="GZS7" s="747" t="n">
        <v>6320</v>
      </c>
      <c r="GZT7" s="747" t="n">
        <v>6342</v>
      </c>
      <c r="GZU7" s="747" t="n">
        <v>6339</v>
      </c>
      <c r="GZV7" s="747" t="n">
        <v>6336</v>
      </c>
      <c r="GZW7" s="747" t="n">
        <v>6340</v>
      </c>
      <c r="GZX7" s="747" t="n">
        <v>6337</v>
      </c>
      <c r="GZY7" s="747" t="n">
        <v>6341</v>
      </c>
      <c r="GZZ7" s="747" t="n">
        <v>6338</v>
      </c>
      <c r="HAA7" s="747" t="n">
        <v>6343</v>
      </c>
      <c r="HAB7" s="747" t="n">
        <v>6344</v>
      </c>
      <c r="HAC7" s="747" t="n">
        <v>6345</v>
      </c>
      <c r="HAD7" s="747" t="n">
        <v>6346</v>
      </c>
      <c r="HAE7" s="747" t="n">
        <v>6347</v>
      </c>
      <c r="HAF7" s="747" t="n">
        <v>6348</v>
      </c>
      <c r="HAG7" s="747" t="n">
        <v>6349</v>
      </c>
      <c r="HAH7" s="747" t="n">
        <v>6350</v>
      </c>
      <c r="HAI7" s="747" t="n">
        <v>6351</v>
      </c>
      <c r="HAJ7" s="747" t="n">
        <v>6368</v>
      </c>
      <c r="HAK7" s="747" t="n">
        <v>6374</v>
      </c>
      <c r="HAL7" s="747" t="n">
        <v>6360</v>
      </c>
      <c r="HAM7" s="747" t="n">
        <v>6361</v>
      </c>
      <c r="HAN7" s="747" t="n">
        <v>6362</v>
      </c>
      <c r="HAO7" s="747" t="n">
        <v>6363</v>
      </c>
      <c r="HAP7" s="747" t="n">
        <v>6364</v>
      </c>
      <c r="HAQ7" s="747" t="n">
        <v>6371</v>
      </c>
      <c r="HAR7" s="747" t="n">
        <v>6392</v>
      </c>
      <c r="HAS7" s="747" t="n">
        <v>6387</v>
      </c>
      <c r="HAT7" s="747" t="n">
        <v>6380</v>
      </c>
      <c r="HAU7" s="747" t="n">
        <v>6381</v>
      </c>
      <c r="HAV7" s="747" t="n">
        <v>6382</v>
      </c>
      <c r="HAW7" s="747" t="n">
        <v>6383</v>
      </c>
      <c r="HAX7" s="747" t="n">
        <v>6352</v>
      </c>
      <c r="HAY7" s="747" t="n">
        <v>6353</v>
      </c>
      <c r="HAZ7" s="747" t="n">
        <v>6354</v>
      </c>
      <c r="HBA7" s="747" t="n">
        <v>6389</v>
      </c>
      <c r="HBB7" s="747" t="n">
        <v>6385</v>
      </c>
      <c r="HBC7" s="747" t="n">
        <v>6386</v>
      </c>
      <c r="HBD7" s="747" t="n">
        <v>6394</v>
      </c>
      <c r="HBE7" s="747" t="n">
        <v>6390</v>
      </c>
      <c r="HBF7" s="747" t="n">
        <v>6391</v>
      </c>
      <c r="HBG7" s="747" t="n">
        <v>6485</v>
      </c>
      <c r="HBH7" s="747" t="n">
        <v>6487</v>
      </c>
      <c r="HBI7" s="747" t="n">
        <v>6486</v>
      </c>
      <c r="HBJ7" s="747" t="n">
        <v>6521</v>
      </c>
      <c r="HBK7" s="747" t="n">
        <v>6522</v>
      </c>
      <c r="HBL7" s="747" t="n">
        <v>6625</v>
      </c>
      <c r="HBM7" s="747" t="n">
        <v>6626</v>
      </c>
      <c r="HBN7" s="747" t="n">
        <v>6627</v>
      </c>
      <c r="HBO7" s="747" t="n">
        <v>6630</v>
      </c>
      <c r="HBP7" s="747" t="n">
        <v>6631</v>
      </c>
      <c r="HBQ7" s="747" t="n">
        <v>6632</v>
      </c>
      <c r="HBR7" s="747" t="n">
        <v>6636</v>
      </c>
      <c r="HBS7" s="747" t="n">
        <v>6637</v>
      </c>
      <c r="HBT7" s="747" t="n">
        <v>6638</v>
      </c>
      <c r="HBU7" s="747" t="n">
        <v>6642</v>
      </c>
      <c r="HBV7" s="747" t="n">
        <v>6643</v>
      </c>
      <c r="HBW7" s="747" t="n">
        <v>6644</v>
      </c>
      <c r="HBX7" s="747" t="n">
        <v>6648</v>
      </c>
      <c r="HBY7" s="747" t="n">
        <v>6649</v>
      </c>
      <c r="HBZ7" s="747" t="n">
        <v>6650</v>
      </c>
      <c r="HCA7" s="747" t="n">
        <v>6708</v>
      </c>
      <c r="HCB7" s="747" t="n">
        <v>6684</v>
      </c>
      <c r="HCC7" s="747" t="n">
        <v>6701</v>
      </c>
      <c r="HCD7" s="747" t="n">
        <v>6702</v>
      </c>
      <c r="HCE7" s="747" t="n">
        <v>6694</v>
      </c>
      <c r="HCF7" s="747" t="n">
        <v>6685</v>
      </c>
      <c r="HCG7" s="747" t="n">
        <v>6709</v>
      </c>
      <c r="HCH7" s="747" t="n">
        <v>6695</v>
      </c>
      <c r="HCI7" s="747" t="n">
        <v>6691</v>
      </c>
      <c r="HCJ7" s="747" t="n">
        <v>6692</v>
      </c>
      <c r="HCK7" s="747" t="n">
        <v>6696</v>
      </c>
      <c r="HCL7" s="747" t="n">
        <v>6699</v>
      </c>
      <c r="HCM7" s="747" t="n">
        <v>6703</v>
      </c>
      <c r="HCN7" s="747" t="n">
        <v>6706</v>
      </c>
      <c r="HCO7" s="747" t="n">
        <v>6712</v>
      </c>
      <c r="HCP7" s="747" t="n">
        <v>6715</v>
      </c>
      <c r="HCQ7" s="747" t="n">
        <v>6725</v>
      </c>
      <c r="HCR7" s="747" t="n">
        <v>6714</v>
      </c>
      <c r="HCS7" s="747" t="n">
        <v>6717</v>
      </c>
      <c r="HCT7" s="747" t="n">
        <v>6718</v>
      </c>
      <c r="HCU7" s="747" t="n">
        <v>6719</v>
      </c>
      <c r="HCV7" s="747" t="n">
        <v>6726</v>
      </c>
      <c r="HCW7" s="747" t="n">
        <v>6713</v>
      </c>
      <c r="HCX7" s="747" t="n">
        <v>6730</v>
      </c>
      <c r="HCY7" s="747" t="n">
        <v>6720</v>
      </c>
      <c r="HCZ7" s="747" t="n">
        <v>6721</v>
      </c>
      <c r="HDA7" s="747" t="n">
        <v>6722</v>
      </c>
      <c r="HDB7" s="747" t="n">
        <v>6749</v>
      </c>
      <c r="HDC7" s="747" t="n">
        <v>6757</v>
      </c>
      <c r="HDD7" s="747" t="n">
        <v>6752</v>
      </c>
      <c r="HDE7" s="747" t="n">
        <v>6759</v>
      </c>
      <c r="HDF7" s="747" t="n">
        <v>6754</v>
      </c>
      <c r="HDG7" s="747" t="n">
        <v>6756</v>
      </c>
      <c r="HDH7" s="747" t="n">
        <v>6765</v>
      </c>
      <c r="HDI7" s="747" t="n">
        <v>6782</v>
      </c>
      <c r="HDJ7" s="747" t="n">
        <v>6783</v>
      </c>
      <c r="HDK7" s="747" t="n">
        <v>6784</v>
      </c>
      <c r="HDL7" s="747" t="n">
        <v>6786</v>
      </c>
      <c r="HDM7" s="747" t="n">
        <v>6787</v>
      </c>
      <c r="HDN7" s="747" t="n">
        <v>6788</v>
      </c>
      <c r="HDO7" s="747" t="n">
        <v>6789</v>
      </c>
      <c r="HDP7" s="747" t="n">
        <v>5569</v>
      </c>
      <c r="HDQ7" s="747" t="n">
        <v>5570</v>
      </c>
      <c r="HDR7" s="747" t="n">
        <v>5571</v>
      </c>
      <c r="HDS7" s="747" t="n">
        <v>6792</v>
      </c>
      <c r="HDT7" s="747" t="n">
        <v>6791</v>
      </c>
      <c r="HDU7" s="747" t="n">
        <v>6795</v>
      </c>
      <c r="HDV7" s="747" t="n">
        <v>6794</v>
      </c>
      <c r="HDW7" s="747" t="n">
        <v>6796</v>
      </c>
      <c r="HDX7" s="747" t="n">
        <v>6798</v>
      </c>
      <c r="HDY7" s="747" t="n">
        <v>6801</v>
      </c>
      <c r="HDZ7" s="747" t="n">
        <v>6802</v>
      </c>
      <c r="HEA7" s="747" t="n">
        <v>6807</v>
      </c>
      <c r="HEB7" s="747" t="n">
        <v>6806</v>
      </c>
      <c r="HEC7" s="747" t="n">
        <v>6803</v>
      </c>
      <c r="HED7" s="747" t="n">
        <v>6804</v>
      </c>
      <c r="HEE7" s="747" t="n">
        <v>6805</v>
      </c>
      <c r="HEF7" s="747" t="n">
        <v>6808</v>
      </c>
      <c r="HEG7" s="747" t="n">
        <v>6810</v>
      </c>
      <c r="HEH7" s="747" t="n">
        <v>6811</v>
      </c>
      <c r="HEI7" s="747" t="n">
        <v>5334</v>
      </c>
      <c r="HEJ7" s="747" t="n">
        <v>5365</v>
      </c>
      <c r="HEK7" s="747" t="n">
        <v>6820</v>
      </c>
      <c r="HEL7" s="747" t="n">
        <v>6821</v>
      </c>
      <c r="HEM7" s="747" t="n">
        <v>6822</v>
      </c>
      <c r="HEN7" s="747" t="n">
        <v>6823</v>
      </c>
      <c r="HEO7" s="747" t="n">
        <v>6824</v>
      </c>
      <c r="HEP7" s="747" t="n">
        <v>6825</v>
      </c>
      <c r="HEQ7" s="747" t="n">
        <v>6827</v>
      </c>
      <c r="HER7" s="747" t="n">
        <v>6828</v>
      </c>
      <c r="HES7" s="747" t="n">
        <v>6835</v>
      </c>
      <c r="HET7" s="747" t="n">
        <v>6834</v>
      </c>
      <c r="HEU7" s="747" t="n">
        <v>6836</v>
      </c>
      <c r="HEV7" s="747" t="n">
        <v>6837</v>
      </c>
      <c r="HEW7" s="747" t="n">
        <v>6838</v>
      </c>
      <c r="HEX7" s="747" t="n">
        <v>6880</v>
      </c>
      <c r="HEY7" s="747" t="n">
        <v>6881</v>
      </c>
      <c r="HEZ7" s="747" t="n">
        <v>6882</v>
      </c>
      <c r="HFA7" s="747" t="n">
        <v>6883</v>
      </c>
      <c r="HFB7" s="747" t="n">
        <v>6884</v>
      </c>
      <c r="HFC7" s="747" t="n">
        <v>6885</v>
      </c>
      <c r="HFD7" s="748" t="inlineStr">
        <is>
          <t>Tax Year Filed</t>
        </is>
      </c>
      <c r="HFE7" s="747" t="inlineStr">
        <is>
          <t>Taxing Province</t>
        </is>
      </c>
      <c r="HFF7" s="747" t="inlineStr">
        <is>
          <t>Marital Status</t>
        </is>
      </c>
      <c r="HFG7" s="747" t="inlineStr">
        <is>
          <t>Balance before penalty and interest</t>
        </is>
      </c>
      <c r="HFH7" s="747" t="inlineStr">
        <is>
          <t>Balance before penalty and interest</t>
        </is>
      </c>
      <c r="HFI7" s="747" t="inlineStr">
        <is>
          <t>Final balance</t>
        </is>
      </c>
      <c r="HFJ7" s="747" t="inlineStr">
        <is>
          <t>Basic federal tax</t>
        </is>
      </c>
      <c r="HFK7" s="747" t="inlineStr">
        <is>
          <t>Basic provincial or territorial tax</t>
        </is>
      </c>
      <c r="HFL7" s="747" t="inlineStr">
        <is>
          <t>Ontario Health Premium</t>
        </is>
      </c>
      <c r="HFM7" s="747" t="n">
        <v>101</v>
      </c>
      <c r="HFN7" s="747" t="n">
        <v>102</v>
      </c>
      <c r="HFO7" s="747" t="n">
        <v>103</v>
      </c>
      <c r="HFP7" s="747" t="n">
        <v>104</v>
      </c>
      <c r="HFQ7" s="747" t="n">
        <v>106</v>
      </c>
      <c r="HFR7" s="747" t="n">
        <v>107</v>
      </c>
      <c r="HFS7" s="747" t="n">
        <v>109</v>
      </c>
      <c r="HFT7" s="747" t="n">
        <v>110</v>
      </c>
      <c r="HFU7" s="747" t="n">
        <v>113</v>
      </c>
      <c r="HFV7" s="747" t="n">
        <v>114</v>
      </c>
      <c r="HFW7" s="747" t="n">
        <v>115</v>
      </c>
      <c r="HFX7" s="747" t="n">
        <v>116</v>
      </c>
      <c r="HFY7" s="747" t="n">
        <v>117</v>
      </c>
      <c r="HFZ7" s="747" t="n">
        <v>119</v>
      </c>
      <c r="HGA7" s="747" t="n">
        <v>120</v>
      </c>
      <c r="HGB7" s="747" t="n">
        <v>121</v>
      </c>
      <c r="HGC7" s="747" t="n">
        <v>122</v>
      </c>
      <c r="HGD7" s="747" t="n">
        <v>123</v>
      </c>
      <c r="HGE7" s="747" t="n">
        <v>124</v>
      </c>
      <c r="HGF7" s="747" t="n">
        <v>125</v>
      </c>
      <c r="HGG7" s="747" t="n">
        <v>126</v>
      </c>
      <c r="HGH7" s="747" t="n">
        <v>127</v>
      </c>
      <c r="HGI7" s="747" t="n">
        <v>128</v>
      </c>
      <c r="HGJ7" s="747" t="n">
        <v>129</v>
      </c>
      <c r="HGK7" s="747" t="n">
        <v>130</v>
      </c>
      <c r="HGL7" s="747" t="n">
        <v>131</v>
      </c>
      <c r="HGM7" s="747" t="n">
        <v>132</v>
      </c>
      <c r="HGN7" s="747" t="n">
        <v>135</v>
      </c>
      <c r="HGO7" s="747" t="n">
        <v>136</v>
      </c>
      <c r="HGP7" s="747" t="n">
        <v>137</v>
      </c>
      <c r="HGQ7" s="747" t="n">
        <v>138</v>
      </c>
      <c r="HGR7" s="747" t="n">
        <v>139</v>
      </c>
      <c r="HGS7" s="747" t="n">
        <v>141</v>
      </c>
      <c r="HGT7" s="747" t="n">
        <v>143</v>
      </c>
      <c r="HGU7" s="747" t="n">
        <v>144</v>
      </c>
      <c r="HGV7" s="747" t="n">
        <v>145</v>
      </c>
      <c r="HGW7" s="747" t="n">
        <v>146</v>
      </c>
      <c r="HGX7" s="747" t="n">
        <v>150</v>
      </c>
      <c r="HGY7" s="747" t="n">
        <v>151</v>
      </c>
      <c r="HGZ7" s="747" t="n">
        <v>152</v>
      </c>
      <c r="HHA7" s="747" t="n">
        <v>153</v>
      </c>
      <c r="HHB7" s="747" t="n">
        <v>154</v>
      </c>
      <c r="HHC7" s="747" t="n">
        <v>155</v>
      </c>
      <c r="HHD7" s="747" t="n">
        <v>156</v>
      </c>
      <c r="HHE7" s="747" t="n">
        <v>158</v>
      </c>
      <c r="HHF7" s="747" t="n">
        <v>159</v>
      </c>
      <c r="HHG7" s="747" t="n">
        <v>160</v>
      </c>
      <c r="HHH7" s="747" t="n">
        <v>161</v>
      </c>
      <c r="HHI7" s="747" t="n">
        <v>162</v>
      </c>
      <c r="HHJ7" s="747" t="n">
        <v>164</v>
      </c>
      <c r="HHK7" s="747" t="n">
        <v>166</v>
      </c>
      <c r="HHL7" s="747" t="n">
        <v>168</v>
      </c>
      <c r="HHM7" s="747" t="n">
        <v>170</v>
      </c>
      <c r="HHN7" s="747" t="n">
        <v>174</v>
      </c>
      <c r="HHO7" s="747" t="n">
        <v>176</v>
      </c>
      <c r="HHP7" s="747" t="n">
        <v>178</v>
      </c>
      <c r="HHQ7" s="747" t="n">
        <v>179</v>
      </c>
      <c r="HHR7" s="747" t="n">
        <v>180</v>
      </c>
      <c r="HHS7" s="747" t="n">
        <v>185</v>
      </c>
      <c r="HHT7" s="747" t="n">
        <v>205</v>
      </c>
      <c r="HHU7" s="747" t="n">
        <v>206</v>
      </c>
      <c r="HHV7" s="747" t="n">
        <v>207</v>
      </c>
      <c r="HHW7" s="747" t="n">
        <v>208</v>
      </c>
      <c r="HHX7" s="747" t="n">
        <v>210</v>
      </c>
      <c r="HHY7" s="747" t="n">
        <v>212</v>
      </c>
      <c r="HHZ7" s="747" t="n">
        <v>213</v>
      </c>
      <c r="HIA7" s="747" t="n">
        <v>214</v>
      </c>
      <c r="HIB7" s="747" t="n">
        <v>215</v>
      </c>
      <c r="HIC7" s="747" t="n">
        <v>217</v>
      </c>
      <c r="HID7" s="747" t="n">
        <v>219</v>
      </c>
      <c r="HIE7" s="747" t="n">
        <v>220</v>
      </c>
      <c r="HIF7" s="747" t="n">
        <v>221</v>
      </c>
      <c r="HIG7" s="747" t="n">
        <v>222</v>
      </c>
      <c r="HIH7" s="747" t="n">
        <v>223</v>
      </c>
      <c r="HII7" s="747" t="n">
        <v>224</v>
      </c>
      <c r="HIJ7" s="747" t="n">
        <v>228</v>
      </c>
      <c r="HIK7" s="747" t="n">
        <v>229</v>
      </c>
      <c r="HIL7" s="747" t="n">
        <v>230</v>
      </c>
      <c r="HIM7" s="747" t="n">
        <v>231</v>
      </c>
      <c r="HIN7" s="747" t="n">
        <v>232</v>
      </c>
      <c r="HIO7" s="747" t="n">
        <v>235</v>
      </c>
      <c r="HIP7" s="747" t="n">
        <v>236</v>
      </c>
      <c r="HIQ7" s="747" t="n">
        <v>240</v>
      </c>
      <c r="HIR7" s="747" t="n">
        <v>244</v>
      </c>
      <c r="HIS7" s="747" t="n">
        <v>245</v>
      </c>
      <c r="HIT7" s="747" t="n">
        <v>246</v>
      </c>
      <c r="HIU7" s="747" t="n">
        <v>247</v>
      </c>
      <c r="HIV7" s="747" t="n">
        <v>249</v>
      </c>
      <c r="HIW7" s="747" t="n">
        <v>250</v>
      </c>
      <c r="HIX7" s="747" t="n">
        <v>251</v>
      </c>
      <c r="HIY7" s="747" t="n">
        <v>252</v>
      </c>
      <c r="HIZ7" s="747" t="n">
        <v>253</v>
      </c>
      <c r="HJA7" s="747" t="n">
        <v>254</v>
      </c>
      <c r="HJB7" s="747" t="n">
        <v>255</v>
      </c>
      <c r="HJC7" s="747" t="n">
        <v>256</v>
      </c>
      <c r="HJD7" s="747" t="n">
        <v>259</v>
      </c>
      <c r="HJE7" s="747" t="n">
        <v>260</v>
      </c>
      <c r="HJF7" s="747" t="n">
        <v>262</v>
      </c>
      <c r="HJG7" s="747" t="n">
        <v>263</v>
      </c>
      <c r="HJH7" s="747" t="n">
        <v>264</v>
      </c>
      <c r="HJI7" s="747" t="n">
        <v>266</v>
      </c>
      <c r="HJJ7" s="747" t="n">
        <v>267</v>
      </c>
      <c r="HJK7" s="747" t="n">
        <v>300</v>
      </c>
      <c r="HJL7" s="747" t="n">
        <v>301</v>
      </c>
      <c r="HJM7" s="747" t="n">
        <v>303</v>
      </c>
      <c r="HJN7" s="747" t="n">
        <v>304</v>
      </c>
      <c r="HJO7" s="747" t="n">
        <v>305</v>
      </c>
      <c r="HJP7" s="747" t="n">
        <v>307</v>
      </c>
      <c r="HJQ7" s="747" t="n">
        <v>308</v>
      </c>
      <c r="HJR7" s="747" t="n">
        <v>310</v>
      </c>
      <c r="HJS7" s="747" t="n">
        <v>312</v>
      </c>
      <c r="HJT7" s="747" t="n">
        <v>313</v>
      </c>
      <c r="HJU7" s="747" t="n">
        <v>314</v>
      </c>
      <c r="HJV7" s="747" t="n">
        <v>316</v>
      </c>
      <c r="HJW7" s="747" t="n">
        <v>317</v>
      </c>
      <c r="HJX7" s="747" t="n">
        <v>318</v>
      </c>
      <c r="HJY7" s="747" t="n">
        <v>319</v>
      </c>
      <c r="HJZ7" s="747" t="n">
        <v>320</v>
      </c>
      <c r="HKA7" s="747" t="n">
        <v>323</v>
      </c>
      <c r="HKB7" s="747" t="n">
        <v>324</v>
      </c>
      <c r="HKC7" s="747" t="n">
        <v>325</v>
      </c>
      <c r="HKD7" s="747" t="n">
        <v>326</v>
      </c>
      <c r="HKE7" s="747" t="n">
        <v>327</v>
      </c>
      <c r="HKF7" s="747" t="n">
        <v>328</v>
      </c>
      <c r="HKG7" s="747" t="n">
        <v>329</v>
      </c>
      <c r="HKH7" s="747" t="n">
        <v>330</v>
      </c>
      <c r="HKI7" s="747" t="n">
        <v>331</v>
      </c>
      <c r="HKJ7" s="747" t="n">
        <v>332</v>
      </c>
      <c r="HKK7" s="747" t="n">
        <v>333</v>
      </c>
      <c r="HKL7" s="747" t="n">
        <v>334</v>
      </c>
      <c r="HKM7" s="747" t="n">
        <v>337</v>
      </c>
      <c r="HKN7" s="747" t="n">
        <v>338</v>
      </c>
      <c r="HKO7" s="747" t="n">
        <v>339</v>
      </c>
      <c r="HKP7" s="747" t="n">
        <v>340</v>
      </c>
      <c r="HKQ7" s="747" t="n">
        <v>342</v>
      </c>
      <c r="HKR7" s="747" t="n">
        <v>345</v>
      </c>
      <c r="HKS7" s="747" t="n">
        <v>349</v>
      </c>
      <c r="HKT7" s="747" t="n">
        <v>350</v>
      </c>
      <c r="HKU7" s="747" t="n">
        <v>351</v>
      </c>
      <c r="HKV7" s="747" t="n">
        <v>352</v>
      </c>
      <c r="HKW7" s="747" t="n">
        <v>353</v>
      </c>
      <c r="HKX7" s="747" t="n">
        <v>354</v>
      </c>
      <c r="HKY7" s="747" t="n">
        <v>355</v>
      </c>
      <c r="HKZ7" s="747" t="n">
        <v>357</v>
      </c>
      <c r="HLA7" s="747" t="n">
        <v>360</v>
      </c>
      <c r="HLB7" s="747" t="n">
        <v>361</v>
      </c>
      <c r="HLC7" s="747" t="n">
        <v>362</v>
      </c>
      <c r="HLD7" s="747" t="n">
        <v>363</v>
      </c>
      <c r="HLE7" s="747" t="n">
        <v>367</v>
      </c>
      <c r="HLF7" s="747" t="n">
        <v>369</v>
      </c>
      <c r="HLG7" s="747" t="n">
        <v>371</v>
      </c>
      <c r="HLH7" s="747" t="n">
        <v>372</v>
      </c>
      <c r="HLI7" s="747" t="n">
        <v>373</v>
      </c>
      <c r="HLJ7" s="747" t="n">
        <v>374</v>
      </c>
      <c r="HLK7" s="747" t="n">
        <v>375</v>
      </c>
      <c r="HLL7" s="747" t="n">
        <v>376</v>
      </c>
      <c r="HLM7" s="747" t="n">
        <v>378</v>
      </c>
      <c r="HLN7" s="747" t="n">
        <v>381</v>
      </c>
      <c r="HLO7" s="747" t="n">
        <v>382</v>
      </c>
      <c r="HLP7" s="747" t="n">
        <v>383</v>
      </c>
      <c r="HLQ7" s="747" t="n">
        <v>384</v>
      </c>
      <c r="HLR7" s="747" t="n">
        <v>385</v>
      </c>
      <c r="HLS7" s="747" t="n">
        <v>386</v>
      </c>
      <c r="HLT7" s="747" t="n">
        <v>387</v>
      </c>
      <c r="HLU7" s="747" t="n">
        <v>388</v>
      </c>
      <c r="HLV7" s="747" t="n">
        <v>389</v>
      </c>
      <c r="HLW7" s="747" t="n">
        <v>390</v>
      </c>
      <c r="HLX7" s="747" t="n">
        <v>391</v>
      </c>
      <c r="HLY7" s="747" t="n">
        <v>392</v>
      </c>
      <c r="HLZ7" s="747" t="n">
        <v>394</v>
      </c>
      <c r="HMA7" s="747" t="n">
        <v>395</v>
      </c>
      <c r="HMB7" s="747" t="n">
        <v>398</v>
      </c>
      <c r="HMC7" s="747" t="n">
        <v>399</v>
      </c>
      <c r="HMD7" s="747" t="n">
        <v>406</v>
      </c>
      <c r="HME7" s="747" t="n">
        <v>409</v>
      </c>
      <c r="HMF7" s="747" t="n">
        <v>410</v>
      </c>
      <c r="HMG7" s="747" t="n">
        <v>412</v>
      </c>
      <c r="HMH7" s="747" t="n">
        <v>413</v>
      </c>
      <c r="HMI7" s="747" t="n">
        <v>414</v>
      </c>
      <c r="HMJ7" s="747" t="n">
        <v>415</v>
      </c>
      <c r="HMK7" s="747" t="n">
        <v>417</v>
      </c>
      <c r="HML7" s="747" t="n">
        <v>418</v>
      </c>
      <c r="HMM7" s="747" t="n">
        <v>420</v>
      </c>
      <c r="HMN7" s="747" t="n">
        <v>424</v>
      </c>
      <c r="HMO7" s="747" t="n">
        <v>425</v>
      </c>
      <c r="HMP7" s="747" t="n">
        <v>427</v>
      </c>
      <c r="HMQ7" s="747" t="n">
        <v>428</v>
      </c>
      <c r="HMR7" s="747" t="n">
        <v>431</v>
      </c>
      <c r="HMS7" s="747" t="n">
        <v>432</v>
      </c>
      <c r="HMT7" s="747" t="n">
        <v>433</v>
      </c>
      <c r="HMU7" s="747" t="n">
        <v>434</v>
      </c>
      <c r="HMV7" s="747" t="n">
        <v>435</v>
      </c>
      <c r="HMW7" s="747" t="n">
        <v>437</v>
      </c>
      <c r="HMX7" s="747" t="n">
        <v>438</v>
      </c>
      <c r="HMY7" s="747" t="n">
        <v>439</v>
      </c>
      <c r="HMZ7" s="747" t="n">
        <v>440</v>
      </c>
      <c r="HNA7" s="747" t="n">
        <v>441</v>
      </c>
      <c r="HNB7" s="747" t="n">
        <v>448</v>
      </c>
      <c r="HNC7" s="747" t="n">
        <v>449</v>
      </c>
      <c r="HND7" s="747" t="n">
        <v>450</v>
      </c>
      <c r="HNE7" s="747" t="n">
        <v>452</v>
      </c>
      <c r="HNF7" s="747" t="n">
        <v>453</v>
      </c>
      <c r="HNG7" s="747" t="n">
        <v>454</v>
      </c>
      <c r="HNH7" s="747" t="n">
        <v>456</v>
      </c>
      <c r="HNI7" s="747" t="n">
        <v>457</v>
      </c>
      <c r="HNJ7" s="747" t="n">
        <v>460</v>
      </c>
      <c r="HNK7" s="747" t="n">
        <v>461</v>
      </c>
      <c r="HNL7" s="747" t="n">
        <v>462</v>
      </c>
      <c r="HNM7" s="747" t="n">
        <v>465</v>
      </c>
      <c r="HNN7" s="747" t="n">
        <v>466</v>
      </c>
      <c r="HNO7" s="747" t="n">
        <v>468</v>
      </c>
      <c r="HNP7" s="747" t="n">
        <v>469</v>
      </c>
      <c r="HNQ7" s="747" t="n">
        <v>476</v>
      </c>
      <c r="HNR7" s="747" t="n">
        <v>479</v>
      </c>
      <c r="HNS7" s="747" t="n">
        <v>484</v>
      </c>
      <c r="HNT7" s="747" t="n">
        <v>485</v>
      </c>
      <c r="HNU7" s="747" t="n">
        <v>486</v>
      </c>
      <c r="HNV7" s="747" t="n">
        <v>487</v>
      </c>
      <c r="HNW7" s="747" t="n">
        <v>488</v>
      </c>
      <c r="HNX7" s="747" t="n">
        <v>490</v>
      </c>
      <c r="HNY7" s="747" t="n">
        <v>5026</v>
      </c>
      <c r="HNZ7" s="747" t="n">
        <v>5027</v>
      </c>
      <c r="HOA7" s="747" t="n">
        <v>5028</v>
      </c>
      <c r="HOB7" s="747" t="n">
        <v>5029</v>
      </c>
      <c r="HOC7" s="747" t="n">
        <v>5031</v>
      </c>
      <c r="HOD7" s="747" t="n">
        <v>5032</v>
      </c>
      <c r="HOE7" s="747" t="n">
        <v>5033</v>
      </c>
      <c r="HOF7" s="747" t="n">
        <v>5034</v>
      </c>
      <c r="HOG7" s="747" t="n">
        <v>5041</v>
      </c>
      <c r="HOH7" s="747" t="n">
        <v>5106</v>
      </c>
      <c r="HOI7" s="747" t="n">
        <v>5109</v>
      </c>
      <c r="HOJ7" s="747" t="n">
        <v>5110</v>
      </c>
      <c r="HOK7" s="747" t="n">
        <v>5112</v>
      </c>
      <c r="HOL7" s="747" t="n">
        <v>5117</v>
      </c>
      <c r="HOM7" s="747" t="n">
        <v>5118</v>
      </c>
      <c r="HON7" s="747" t="n">
        <v>5119</v>
      </c>
      <c r="HOO7" s="747" t="n">
        <v>5120</v>
      </c>
      <c r="HOP7" s="747" t="n">
        <v>5121</v>
      </c>
      <c r="HOQ7" s="747" t="n">
        <v>5122</v>
      </c>
      <c r="HOR7" s="747" t="n">
        <v>5123</v>
      </c>
      <c r="HOS7" s="747" t="n">
        <v>5124</v>
      </c>
      <c r="HOT7" s="747" t="n">
        <v>5125</v>
      </c>
      <c r="HOU7" s="747" t="n">
        <v>5230</v>
      </c>
      <c r="HOV7" s="747" t="n">
        <v>5263</v>
      </c>
      <c r="HOW7" s="747" t="n">
        <v>5267</v>
      </c>
      <c r="HOX7" s="747" t="n">
        <v>5273</v>
      </c>
      <c r="HOY7" s="747" t="n">
        <v>5274</v>
      </c>
      <c r="HOZ7" s="747" t="n">
        <v>5275</v>
      </c>
      <c r="HPA7" s="747" t="n">
        <v>5276</v>
      </c>
      <c r="HPB7" s="747" t="n">
        <v>5277</v>
      </c>
      <c r="HPC7" s="747" t="n">
        <v>5278</v>
      </c>
      <c r="HPD7" s="747" t="n">
        <v>5279</v>
      </c>
      <c r="HPE7" s="747" t="n">
        <v>5280</v>
      </c>
      <c r="HPF7" s="747" t="n">
        <v>5281</v>
      </c>
      <c r="HPG7" s="747" t="n">
        <v>5282</v>
      </c>
      <c r="HPH7" s="747" t="n">
        <v>5283</v>
      </c>
      <c r="HPI7" s="747" t="n">
        <v>5284</v>
      </c>
      <c r="HPJ7" s="747" t="n">
        <v>5285</v>
      </c>
      <c r="HPK7" s="747" t="n">
        <v>5292</v>
      </c>
      <c r="HPL7" s="747" t="n">
        <v>5293</v>
      </c>
      <c r="HPM7" s="747" t="n">
        <v>5308</v>
      </c>
      <c r="HPN7" s="747" t="n">
        <v>5321</v>
      </c>
      <c r="HPO7" s="747" t="n">
        <v>5548</v>
      </c>
      <c r="HPP7" s="747" t="n">
        <v>5549</v>
      </c>
      <c r="HPQ7" s="747" t="n">
        <v>5330</v>
      </c>
      <c r="HPR7" s="747" t="n">
        <v>5335</v>
      </c>
      <c r="HPS7" s="747" t="n">
        <v>5337</v>
      </c>
      <c r="HPT7" s="747" t="n">
        <v>5344</v>
      </c>
      <c r="HPU7" s="747" t="n">
        <v>5345</v>
      </c>
      <c r="HPV7" s="747" t="n">
        <v>5347</v>
      </c>
      <c r="HPW7" s="747" t="n">
        <v>5349</v>
      </c>
      <c r="HPX7" s="747" t="n">
        <v>5350</v>
      </c>
      <c r="HPY7" s="747" t="n">
        <v>5351</v>
      </c>
      <c r="HPZ7" s="747" t="n">
        <v>5353</v>
      </c>
      <c r="HQA7" s="747" t="n">
        <v>5354</v>
      </c>
      <c r="HQB7" s="747" t="n">
        <v>5355</v>
      </c>
      <c r="HQC7" s="747" t="n">
        <v>5369</v>
      </c>
      <c r="HQD7" s="747" t="n">
        <v>5367</v>
      </c>
      <c r="HQE7" s="747" t="n">
        <v>5368</v>
      </c>
      <c r="HQF7" s="747" t="n">
        <v>379</v>
      </c>
      <c r="HQG7" s="747" t="n">
        <v>377</v>
      </c>
      <c r="HQH7" s="747" t="n">
        <v>380</v>
      </c>
      <c r="HQI7" s="747" t="n">
        <v>5493</v>
      </c>
      <c r="HQJ7" s="747" t="n">
        <v>5494</v>
      </c>
      <c r="HQK7" s="747" t="n">
        <v>5461</v>
      </c>
      <c r="HQL7" s="747" t="n">
        <v>5478</v>
      </c>
      <c r="HQM7" s="747" t="n">
        <v>5479</v>
      </c>
      <c r="HQN7" s="747" t="n">
        <v>5492</v>
      </c>
      <c r="HQO7" s="747" t="n">
        <v>5495</v>
      </c>
      <c r="HQP7" s="747" t="n">
        <v>5496</v>
      </c>
      <c r="HQQ7" s="747" t="n">
        <v>5507</v>
      </c>
      <c r="HQR7" s="747" t="n">
        <v>5508</v>
      </c>
      <c r="HQS7" s="747" t="n">
        <v>5511</v>
      </c>
      <c r="HQT7" s="747" t="n">
        <v>5522</v>
      </c>
      <c r="HQU7" s="747" t="n">
        <v>5527</v>
      </c>
      <c r="HQV7" s="747" t="n">
        <v>5529</v>
      </c>
      <c r="HQW7" s="747" t="n">
        <v>5530</v>
      </c>
      <c r="HQX7" s="747" t="n">
        <v>5532</v>
      </c>
      <c r="HQY7" s="747" t="n">
        <v>5536</v>
      </c>
      <c r="HQZ7" s="747" t="n">
        <v>5537</v>
      </c>
      <c r="HRA7" s="747" t="n">
        <v>5538</v>
      </c>
      <c r="HRB7" s="747" t="n">
        <v>5540</v>
      </c>
      <c r="HRC7" s="747" t="n">
        <v>5555</v>
      </c>
      <c r="HRD7" s="747" t="n">
        <v>5566</v>
      </c>
      <c r="HRE7" s="747" t="n">
        <v>5804</v>
      </c>
      <c r="HRF7" s="747" t="n">
        <v>5808</v>
      </c>
      <c r="HRG7" s="747" t="n">
        <v>5812</v>
      </c>
      <c r="HRH7" s="747" t="n">
        <v>5816</v>
      </c>
      <c r="HRI7" s="747" t="n">
        <v>5814</v>
      </c>
      <c r="HRJ7" s="747" t="n">
        <v>5817</v>
      </c>
      <c r="HRK7" s="747" t="n">
        <v>5818</v>
      </c>
      <c r="HRL7" s="747" t="n">
        <v>5819</v>
      </c>
      <c r="HRM7" s="747" t="n">
        <v>5825</v>
      </c>
      <c r="HRN7" s="747" t="n">
        <v>5820</v>
      </c>
      <c r="HRO7" s="747" t="n">
        <v>6370</v>
      </c>
      <c r="HRP7" s="747" t="n">
        <v>5821</v>
      </c>
      <c r="HRQ7" s="747" t="n">
        <v>5822</v>
      </c>
      <c r="HRR7" s="747" t="n">
        <v>6372</v>
      </c>
      <c r="HRS7" s="747" t="n">
        <v>5823</v>
      </c>
      <c r="HRT7" s="747" t="n">
        <v>5824</v>
      </c>
      <c r="HRU7" s="747" t="n">
        <v>5828</v>
      </c>
      <c r="HRV7" s="747" t="n">
        <v>5832</v>
      </c>
      <c r="HRW7" s="747" t="n">
        <v>5829</v>
      </c>
      <c r="HRX7" s="747" t="n">
        <v>5834</v>
      </c>
      <c r="HRY7" s="747" t="n">
        <v>5830</v>
      </c>
      <c r="HRZ7" s="747" t="n">
        <v>5845</v>
      </c>
      <c r="HSA7" s="747" t="n">
        <v>5831</v>
      </c>
      <c r="HSB7" s="747" t="n">
        <v>5839</v>
      </c>
      <c r="HSC7" s="747" t="n">
        <v>5841</v>
      </c>
      <c r="HSD7" s="747" t="n">
        <v>5833</v>
      </c>
      <c r="HSE7" s="747" t="n">
        <v>5837</v>
      </c>
      <c r="HSF7" s="747" t="n">
        <v>5836</v>
      </c>
      <c r="HSG7" s="747" t="n">
        <v>5840</v>
      </c>
      <c r="HSH7" s="747" t="n">
        <v>5844</v>
      </c>
      <c r="HSI7" s="747" t="n">
        <v>5848</v>
      </c>
      <c r="HSJ7" s="747" t="n">
        <v>5850</v>
      </c>
      <c r="HSK7" s="747" t="n">
        <v>5852</v>
      </c>
      <c r="HSL7" s="747" t="n">
        <v>5856</v>
      </c>
      <c r="HSM7" s="747" t="n">
        <v>5856</v>
      </c>
      <c r="HSN7" s="747" t="n">
        <v>5856</v>
      </c>
      <c r="HSO7" s="747" t="n">
        <v>5860</v>
      </c>
      <c r="HSP7" s="747" t="n">
        <v>5860</v>
      </c>
      <c r="HSQ7" s="747" t="n">
        <v>5860</v>
      </c>
      <c r="HSR7" s="747" t="n">
        <v>5864</v>
      </c>
      <c r="HSS7" s="747" t="n">
        <v>5868</v>
      </c>
      <c r="HST7" s="747" t="n">
        <v>5872</v>
      </c>
      <c r="HSU7" s="747" t="n">
        <v>5875</v>
      </c>
      <c r="HSV7" s="747" t="n">
        <v>5876</v>
      </c>
      <c r="HSW7" s="747" t="n">
        <v>5880</v>
      </c>
      <c r="HSX7" s="747" t="n">
        <v>5881</v>
      </c>
      <c r="HSY7" s="747" t="n">
        <v>5882</v>
      </c>
      <c r="HSZ7" s="747" t="n">
        <v>5883</v>
      </c>
      <c r="HTA7" s="747" t="n">
        <v>5884</v>
      </c>
      <c r="HTB7" s="747" t="n">
        <v>5884</v>
      </c>
      <c r="HTC7" s="747" t="n">
        <v>5896</v>
      </c>
      <c r="HTD7" s="747" t="n">
        <v>5897</v>
      </c>
      <c r="HTE7" s="747" t="n">
        <v>5898</v>
      </c>
      <c r="HTF7" s="747" t="n">
        <v>5900</v>
      </c>
      <c r="HTG7" s="747" t="n">
        <v>5901</v>
      </c>
      <c r="HTH7" s="747" t="n">
        <v>5902</v>
      </c>
      <c r="HTI7" s="747" t="n">
        <v>5903</v>
      </c>
      <c r="HTJ7" s="747" t="n">
        <v>5904</v>
      </c>
      <c r="HTK7" s="747" t="n">
        <v>5905</v>
      </c>
      <c r="HTL7" s="747" t="n">
        <v>5907</v>
      </c>
      <c r="HTM7" s="747" t="n">
        <v>5909</v>
      </c>
      <c r="HTN7" s="747" t="n">
        <v>5909</v>
      </c>
      <c r="HTO7" s="747" t="n">
        <v>5909</v>
      </c>
      <c r="HTP7" s="747" t="n">
        <v>5912</v>
      </c>
      <c r="HTQ7" s="747" t="n">
        <v>5914</v>
      </c>
      <c r="HTR7" s="747" t="n">
        <v>5916</v>
      </c>
      <c r="HTS7" s="747" t="n">
        <v>5916</v>
      </c>
      <c r="HTT7" s="747" t="n">
        <v>5918</v>
      </c>
      <c r="HTU7" s="747" t="n">
        <v>5918</v>
      </c>
      <c r="HTV7" s="747" t="n">
        <v>5920</v>
      </c>
      <c r="HTW7" s="747" t="n">
        <v>5920</v>
      </c>
      <c r="HTX7" s="747" t="n">
        <v>5920</v>
      </c>
      <c r="HTY7" s="747" t="n">
        <v>5920</v>
      </c>
      <c r="HTZ7" s="747" t="n">
        <v>5931</v>
      </c>
      <c r="HUA7" s="747" t="n">
        <v>5932</v>
      </c>
      <c r="HUB7" s="747" t="n">
        <v>5933</v>
      </c>
      <c r="HUC7" s="747" t="n">
        <v>5934</v>
      </c>
      <c r="HUD7" s="747" t="n">
        <v>5936</v>
      </c>
      <c r="HUE7" s="747" t="n">
        <v>5937</v>
      </c>
      <c r="HUF7" s="747" t="n">
        <v>5943</v>
      </c>
      <c r="HUG7" s="747" t="n">
        <v>5944</v>
      </c>
      <c r="HUH7" s="747" t="n">
        <v>5945</v>
      </c>
      <c r="HUI7" s="747" t="n">
        <v>5946</v>
      </c>
      <c r="HUJ7" s="747" t="n">
        <v>5947</v>
      </c>
      <c r="HUK7" s="747" t="n">
        <v>5970</v>
      </c>
      <c r="HUL7" s="747" t="n">
        <v>5971</v>
      </c>
      <c r="HUM7" s="747" t="n">
        <v>5972</v>
      </c>
      <c r="HUN7" s="747" t="n">
        <v>5973</v>
      </c>
      <c r="HUO7" s="747" t="n">
        <v>5974</v>
      </c>
      <c r="HUP7" s="747" t="n">
        <v>5975</v>
      </c>
      <c r="HUQ7" s="747" t="n">
        <v>5976</v>
      </c>
      <c r="HUR7" s="747" t="n">
        <v>5977</v>
      </c>
      <c r="HUS7" s="747" t="n">
        <v>5978</v>
      </c>
      <c r="HUT7" s="747" t="n">
        <v>6003</v>
      </c>
      <c r="HUU7" s="747" t="n">
        <v>6007</v>
      </c>
      <c r="HUV7" s="747" t="n">
        <v>6010</v>
      </c>
      <c r="HUW7" s="747" t="n">
        <v>6011</v>
      </c>
      <c r="HUX7" s="747" t="n">
        <v>6012</v>
      </c>
      <c r="HUY7" s="747" t="n">
        <v>6013</v>
      </c>
      <c r="HUZ7" s="747" t="n">
        <v>6014</v>
      </c>
      <c r="HVA7" s="747" t="n">
        <v>6033</v>
      </c>
      <c r="HVB7" s="747" t="n">
        <v>6035</v>
      </c>
      <c r="HVC7" s="747" t="n">
        <v>6036</v>
      </c>
      <c r="HVD7" s="747" t="n">
        <v>6040</v>
      </c>
      <c r="HVE7" s="747" t="n">
        <v>6045</v>
      </c>
      <c r="HVF7" s="747" t="n">
        <v>6047</v>
      </c>
      <c r="HVG7" s="747" t="n">
        <v>6048</v>
      </c>
      <c r="HVH7" s="747" t="n">
        <v>6049</v>
      </c>
      <c r="HVI7" s="747" t="n">
        <v>6050</v>
      </c>
      <c r="HVJ7" s="747" t="n">
        <v>6051</v>
      </c>
      <c r="HVK7" s="747" t="n">
        <v>6053</v>
      </c>
      <c r="HVL7" s="747" t="n">
        <v>6055</v>
      </c>
      <c r="HVM7" s="747" t="n">
        <v>6056</v>
      </c>
      <c r="HVN7" s="747" t="n">
        <v>6063</v>
      </c>
      <c r="HVO7" s="747" t="n">
        <v>6070</v>
      </c>
      <c r="HVP7" s="747" t="n">
        <v>6071</v>
      </c>
      <c r="HVQ7" s="747" t="n">
        <v>6072</v>
      </c>
      <c r="HVR7" s="747" t="n">
        <v>6074</v>
      </c>
      <c r="HVS7" s="747" t="n">
        <v>6076</v>
      </c>
      <c r="HVT7" s="747" t="n">
        <v>6080</v>
      </c>
      <c r="HVU7" s="747" t="n">
        <v>6085</v>
      </c>
      <c r="HVV7" s="747" t="n">
        <v>6845</v>
      </c>
      <c r="HVW7" s="747" t="n">
        <v>6092</v>
      </c>
      <c r="HVX7" s="747" t="n">
        <v>6091</v>
      </c>
      <c r="HVY7" s="747" t="n">
        <v>6096</v>
      </c>
      <c r="HVZ7" s="747" t="n">
        <v>6089</v>
      </c>
      <c r="HWA7" s="747" t="n">
        <v>6090</v>
      </c>
      <c r="HWB7" s="747" t="n">
        <v>6083</v>
      </c>
      <c r="HWC7" s="747" t="n">
        <v>6094</v>
      </c>
      <c r="HWD7" s="747" t="n">
        <v>6095</v>
      </c>
      <c r="HWE7" s="747" t="n">
        <v>6269</v>
      </c>
      <c r="HWF7" s="747" t="n">
        <v>6097</v>
      </c>
      <c r="HWG7" s="747" t="n">
        <v>6097</v>
      </c>
      <c r="HWH7" s="747" t="n">
        <v>6099</v>
      </c>
      <c r="HWI7" s="747" t="n">
        <v>6099</v>
      </c>
      <c r="HWJ7" s="747" t="n">
        <v>6118</v>
      </c>
      <c r="HWK7" s="747" t="n">
        <v>6119</v>
      </c>
      <c r="HWL7" s="747" t="n">
        <v>6105</v>
      </c>
      <c r="HWM7" s="747" t="n">
        <v>6109</v>
      </c>
      <c r="HWN7" s="747" t="n">
        <v>6113</v>
      </c>
      <c r="HWO7" s="747" t="n">
        <v>6108</v>
      </c>
      <c r="HWP7" s="747" t="n">
        <v>6110</v>
      </c>
      <c r="HWQ7" s="747" t="n">
        <v>6112</v>
      </c>
      <c r="HWR7" s="747" t="n">
        <v>6112</v>
      </c>
      <c r="HWS7" s="747" t="n">
        <v>6114</v>
      </c>
      <c r="HWT7" s="747" t="n">
        <v>6114</v>
      </c>
      <c r="HWU7" s="747" t="n">
        <v>6116</v>
      </c>
      <c r="HWV7" s="747" t="n">
        <v>6106</v>
      </c>
      <c r="HWW7" s="747" t="n">
        <v>6120</v>
      </c>
      <c r="HWX7" s="747" t="n">
        <v>6121</v>
      </c>
      <c r="HWY7" s="747" t="n">
        <v>6122</v>
      </c>
      <c r="HWZ7" s="747" t="n">
        <v>6123</v>
      </c>
      <c r="HXA7" s="747" t="n">
        <v>6124</v>
      </c>
      <c r="HXB7" s="747" t="n">
        <v>6126</v>
      </c>
      <c r="HXC7" s="747" t="n">
        <v>6130</v>
      </c>
      <c r="HXD7" s="747" t="n">
        <v>6125</v>
      </c>
      <c r="HXE7" s="747" t="n">
        <v>6146</v>
      </c>
      <c r="HXF7" s="747" t="n">
        <v>6131</v>
      </c>
      <c r="HXG7" s="747" t="n">
        <v>6134</v>
      </c>
      <c r="HXH7" s="747" t="n">
        <v>6138</v>
      </c>
      <c r="HXI7" s="747" t="n">
        <v>6139</v>
      </c>
      <c r="HXJ7" s="747" t="n">
        <v>6143</v>
      </c>
      <c r="HXK7" s="747" t="n">
        <v>6147</v>
      </c>
      <c r="HXL7" s="747" t="n">
        <v>6148</v>
      </c>
      <c r="HXM7" s="747" t="n">
        <v>6135</v>
      </c>
      <c r="HXN7" s="747" t="n">
        <v>6137</v>
      </c>
      <c r="HXO7" s="747" t="n">
        <v>6355</v>
      </c>
      <c r="HXP7" s="747" t="n">
        <v>6150</v>
      </c>
      <c r="HXQ7" s="747" t="n">
        <v>6151</v>
      </c>
      <c r="HXR7" s="747" t="n">
        <v>6152</v>
      </c>
      <c r="HXS7" s="747" t="n">
        <v>6154</v>
      </c>
      <c r="HXT7" s="747" t="n">
        <v>6155</v>
      </c>
      <c r="HXU7" s="747" t="n">
        <v>6156</v>
      </c>
      <c r="HXV7" s="747" t="n">
        <v>6157</v>
      </c>
      <c r="HXW7" s="747" t="n">
        <v>6158</v>
      </c>
      <c r="HXX7" s="747" t="n">
        <v>6159</v>
      </c>
      <c r="HXY7" s="747" t="n">
        <v>6167</v>
      </c>
      <c r="HXZ7" s="747" t="n">
        <v>6169</v>
      </c>
      <c r="HYA7" s="747" t="n">
        <v>6170</v>
      </c>
      <c r="HYB7" s="747" t="n">
        <v>6171</v>
      </c>
      <c r="HYC7" s="747" t="n">
        <v>6172</v>
      </c>
      <c r="HYD7" s="747" t="n">
        <v>6174</v>
      </c>
      <c r="HYE7" s="747" t="n">
        <v>6175</v>
      </c>
      <c r="HYF7" s="747" t="n">
        <v>6177</v>
      </c>
      <c r="HYG7" s="747" t="n">
        <v>6178</v>
      </c>
      <c r="HYH7" s="747" t="n">
        <v>6179</v>
      </c>
      <c r="HYI7" s="747" t="n">
        <v>6140</v>
      </c>
      <c r="HYJ7" s="747" t="n">
        <v>6180</v>
      </c>
      <c r="HYK7" s="747" t="n">
        <v>6190</v>
      </c>
      <c r="HYL7" s="747" t="n">
        <v>6183</v>
      </c>
      <c r="HYM7" s="747" t="n">
        <v>6184</v>
      </c>
      <c r="HYN7" s="747" t="n">
        <v>6185</v>
      </c>
      <c r="HYO7" s="747" t="n">
        <v>6186</v>
      </c>
      <c r="HYP7" s="747" t="n">
        <v>6187</v>
      </c>
      <c r="HYQ7" s="747" t="n">
        <v>6188</v>
      </c>
      <c r="HYR7" s="747" t="n">
        <v>6189</v>
      </c>
      <c r="HYS7" s="747" t="n">
        <v>6195</v>
      </c>
      <c r="HYT7" s="747" t="n">
        <v>6197</v>
      </c>
      <c r="HYU7" s="747" t="n">
        <v>6199</v>
      </c>
      <c r="HYV7" s="747" t="n">
        <v>6210</v>
      </c>
      <c r="HYW7" s="747" t="n">
        <v>6098</v>
      </c>
      <c r="HYX7" s="747" t="n">
        <v>6098</v>
      </c>
      <c r="HYY7" s="747" t="n">
        <v>6238</v>
      </c>
      <c r="HYZ7" s="747" t="n">
        <v>6220</v>
      </c>
      <c r="HZA7" s="747" t="n">
        <v>6225</v>
      </c>
      <c r="HZB7" s="747" t="n">
        <v>6226</v>
      </c>
      <c r="HZC7" s="747" t="n">
        <v>6227</v>
      </c>
      <c r="HZD7" s="747" t="n">
        <v>6229</v>
      </c>
      <c r="HZE7" s="747" t="n">
        <v>6228</v>
      </c>
      <c r="HZF7" s="747" t="n">
        <v>6054</v>
      </c>
      <c r="HZG7" s="747" t="n">
        <v>6250</v>
      </c>
      <c r="HZH7" s="747" t="n">
        <v>6247</v>
      </c>
      <c r="HZI7" s="747" t="n">
        <v>6248</v>
      </c>
      <c r="HZJ7" s="747" t="n">
        <v>6249</v>
      </c>
      <c r="HZK7" s="747" t="n">
        <v>6251</v>
      </c>
      <c r="HZL7" s="747" t="n">
        <v>6255</v>
      </c>
      <c r="HZM7" s="747" t="n">
        <v>6305</v>
      </c>
      <c r="HZN7" s="747" t="n">
        <v>6310</v>
      </c>
      <c r="HZO7" s="747" t="n">
        <v>6266</v>
      </c>
      <c r="HZP7" s="747" t="n">
        <v>6324</v>
      </c>
      <c r="HZQ7" s="747" t="n">
        <v>6325</v>
      </c>
      <c r="HZR7" s="747" t="n">
        <v>6326</v>
      </c>
      <c r="HZS7" s="747" t="n">
        <v>6327</v>
      </c>
      <c r="HZT7" s="747" t="n">
        <v>6322</v>
      </c>
      <c r="HZU7" s="747" t="n">
        <v>6320</v>
      </c>
      <c r="HZV7" s="747" t="n">
        <v>6342</v>
      </c>
      <c r="HZW7" s="747" t="n">
        <v>6339</v>
      </c>
      <c r="HZX7" s="747" t="n">
        <v>6336</v>
      </c>
      <c r="HZY7" s="747" t="n">
        <v>6340</v>
      </c>
      <c r="HZZ7" s="747" t="n">
        <v>6337</v>
      </c>
      <c r="IAA7" s="747" t="n">
        <v>6341</v>
      </c>
      <c r="IAB7" s="747" t="n">
        <v>6338</v>
      </c>
      <c r="IAC7" s="747" t="n">
        <v>6343</v>
      </c>
      <c r="IAD7" s="747" t="n">
        <v>6344</v>
      </c>
      <c r="IAE7" s="747" t="n">
        <v>6345</v>
      </c>
      <c r="IAF7" s="747" t="n">
        <v>6346</v>
      </c>
      <c r="IAG7" s="747" t="n">
        <v>6347</v>
      </c>
      <c r="IAH7" s="747" t="n">
        <v>6348</v>
      </c>
      <c r="IAI7" s="747" t="n">
        <v>6349</v>
      </c>
      <c r="IAJ7" s="747" t="n">
        <v>6350</v>
      </c>
      <c r="IAK7" s="747" t="n">
        <v>6351</v>
      </c>
      <c r="IAL7" s="747" t="n">
        <v>6368</v>
      </c>
      <c r="IAM7" s="747" t="n">
        <v>6374</v>
      </c>
      <c r="IAN7" s="747" t="n">
        <v>6360</v>
      </c>
      <c r="IAO7" s="747" t="n">
        <v>6361</v>
      </c>
      <c r="IAP7" s="747" t="n">
        <v>6362</v>
      </c>
      <c r="IAQ7" s="747" t="n">
        <v>6363</v>
      </c>
      <c r="IAR7" s="747" t="n">
        <v>6364</v>
      </c>
      <c r="IAS7" s="747" t="n">
        <v>6371</v>
      </c>
      <c r="IAT7" s="747" t="n">
        <v>6392</v>
      </c>
      <c r="IAU7" s="747" t="n">
        <v>6387</v>
      </c>
      <c r="IAV7" s="747" t="n">
        <v>6380</v>
      </c>
      <c r="IAW7" s="747" t="n">
        <v>6381</v>
      </c>
      <c r="IAX7" s="747" t="n">
        <v>6382</v>
      </c>
      <c r="IAY7" s="747" t="n">
        <v>6383</v>
      </c>
      <c r="IAZ7" s="747" t="n">
        <v>6352</v>
      </c>
      <c r="IBA7" s="747" t="n">
        <v>6353</v>
      </c>
      <c r="IBB7" s="747" t="n">
        <v>6354</v>
      </c>
      <c r="IBC7" s="747" t="n">
        <v>6389</v>
      </c>
      <c r="IBD7" s="747" t="n">
        <v>6385</v>
      </c>
      <c r="IBE7" s="747" t="n">
        <v>6386</v>
      </c>
      <c r="IBF7" s="747" t="n">
        <v>6394</v>
      </c>
      <c r="IBG7" s="747" t="n">
        <v>6390</v>
      </c>
      <c r="IBH7" s="747" t="n">
        <v>6391</v>
      </c>
      <c r="IBI7" s="747" t="n">
        <v>6485</v>
      </c>
      <c r="IBJ7" s="747" t="n">
        <v>6487</v>
      </c>
      <c r="IBK7" s="747" t="n">
        <v>6486</v>
      </c>
      <c r="IBL7" s="747" t="n">
        <v>6521</v>
      </c>
      <c r="IBM7" s="747" t="n">
        <v>6522</v>
      </c>
      <c r="IBN7" s="747" t="n">
        <v>6625</v>
      </c>
      <c r="IBO7" s="747" t="n">
        <v>6626</v>
      </c>
      <c r="IBP7" s="747" t="n">
        <v>6627</v>
      </c>
      <c r="IBQ7" s="747" t="n">
        <v>6630</v>
      </c>
      <c r="IBR7" s="747" t="n">
        <v>6631</v>
      </c>
      <c r="IBS7" s="747" t="n">
        <v>6632</v>
      </c>
      <c r="IBT7" s="747" t="n">
        <v>6636</v>
      </c>
      <c r="IBU7" s="747" t="n">
        <v>6637</v>
      </c>
      <c r="IBV7" s="747" t="n">
        <v>6638</v>
      </c>
      <c r="IBW7" s="747" t="n">
        <v>6642</v>
      </c>
      <c r="IBX7" s="747" t="n">
        <v>6643</v>
      </c>
      <c r="IBY7" s="747" t="n">
        <v>6644</v>
      </c>
      <c r="IBZ7" s="747" t="n">
        <v>6648</v>
      </c>
      <c r="ICA7" s="747" t="n">
        <v>6649</v>
      </c>
      <c r="ICB7" s="747" t="n">
        <v>6650</v>
      </c>
      <c r="ICC7" s="747" t="n">
        <v>6708</v>
      </c>
      <c r="ICD7" s="747" t="n">
        <v>6684</v>
      </c>
      <c r="ICE7" s="747" t="n">
        <v>6701</v>
      </c>
      <c r="ICF7" s="747" t="n">
        <v>6702</v>
      </c>
      <c r="ICG7" s="747" t="n">
        <v>6694</v>
      </c>
      <c r="ICH7" s="747" t="n">
        <v>6685</v>
      </c>
      <c r="ICI7" s="747" t="n">
        <v>6709</v>
      </c>
      <c r="ICJ7" s="747" t="n">
        <v>6695</v>
      </c>
      <c r="ICK7" s="747" t="n">
        <v>6691</v>
      </c>
      <c r="ICL7" s="747" t="n">
        <v>6692</v>
      </c>
      <c r="ICM7" s="747" t="n">
        <v>6696</v>
      </c>
      <c r="ICN7" s="747" t="n">
        <v>6699</v>
      </c>
      <c r="ICO7" s="747" t="n">
        <v>6703</v>
      </c>
      <c r="ICP7" s="747" t="n">
        <v>6706</v>
      </c>
      <c r="ICQ7" s="747" t="n">
        <v>6712</v>
      </c>
      <c r="ICR7" s="747" t="n">
        <v>6715</v>
      </c>
      <c r="ICS7" s="747" t="n">
        <v>6725</v>
      </c>
      <c r="ICT7" s="747" t="n">
        <v>6714</v>
      </c>
      <c r="ICU7" s="747" t="n">
        <v>6717</v>
      </c>
      <c r="ICV7" s="747" t="n">
        <v>6718</v>
      </c>
      <c r="ICW7" s="747" t="n">
        <v>6719</v>
      </c>
      <c r="ICX7" s="747" t="n">
        <v>6726</v>
      </c>
      <c r="ICY7" s="747" t="n">
        <v>6713</v>
      </c>
      <c r="ICZ7" s="747" t="n">
        <v>6730</v>
      </c>
      <c r="IDA7" s="747" t="n">
        <v>6720</v>
      </c>
      <c r="IDB7" s="747" t="n">
        <v>6721</v>
      </c>
      <c r="IDC7" s="747" t="n">
        <v>6722</v>
      </c>
      <c r="IDD7" s="747" t="n">
        <v>6749</v>
      </c>
      <c r="IDE7" s="747" t="n">
        <v>6757</v>
      </c>
      <c r="IDF7" s="747" t="n">
        <v>6752</v>
      </c>
      <c r="IDG7" s="747" t="n">
        <v>6759</v>
      </c>
      <c r="IDH7" s="747" t="n">
        <v>6754</v>
      </c>
      <c r="IDI7" s="747" t="n">
        <v>6756</v>
      </c>
      <c r="IDJ7" s="747" t="n">
        <v>6765</v>
      </c>
      <c r="IDK7" s="747" t="n">
        <v>6782</v>
      </c>
      <c r="IDL7" s="747" t="n">
        <v>6783</v>
      </c>
      <c r="IDM7" s="747" t="n">
        <v>6784</v>
      </c>
      <c r="IDN7" s="747" t="n">
        <v>6786</v>
      </c>
      <c r="IDO7" s="747" t="n">
        <v>6787</v>
      </c>
      <c r="IDP7" s="747" t="n">
        <v>6788</v>
      </c>
      <c r="IDQ7" s="747" t="n">
        <v>6789</v>
      </c>
      <c r="IDR7" s="747" t="n">
        <v>5569</v>
      </c>
      <c r="IDS7" s="747" t="n">
        <v>5570</v>
      </c>
      <c r="IDT7" s="747" t="n">
        <v>5571</v>
      </c>
      <c r="IDU7" s="747" t="n">
        <v>6792</v>
      </c>
      <c r="IDV7" s="747" t="n">
        <v>6791</v>
      </c>
      <c r="IDW7" s="747" t="n">
        <v>6795</v>
      </c>
      <c r="IDX7" s="747" t="n">
        <v>6794</v>
      </c>
      <c r="IDY7" s="747" t="n">
        <v>6796</v>
      </c>
      <c r="IDZ7" s="747" t="n">
        <v>6798</v>
      </c>
      <c r="IEA7" s="747" t="n">
        <v>6801</v>
      </c>
      <c r="IEB7" s="747" t="n">
        <v>6802</v>
      </c>
      <c r="IEC7" s="747" t="n">
        <v>6807</v>
      </c>
      <c r="IED7" s="747" t="n">
        <v>6806</v>
      </c>
      <c r="IEE7" s="747" t="n">
        <v>6803</v>
      </c>
      <c r="IEF7" s="747" t="n">
        <v>6804</v>
      </c>
      <c r="IEG7" s="747" t="n">
        <v>6805</v>
      </c>
      <c r="IEH7" s="747" t="n">
        <v>6808</v>
      </c>
      <c r="IEI7" s="747" t="n">
        <v>6810</v>
      </c>
      <c r="IEJ7" s="747" t="n">
        <v>6811</v>
      </c>
      <c r="IEK7" s="747" t="n">
        <v>5334</v>
      </c>
      <c r="IEL7" s="747" t="n">
        <v>5365</v>
      </c>
      <c r="IEM7" s="747" t="n">
        <v>6820</v>
      </c>
      <c r="IEN7" s="747" t="n">
        <v>6821</v>
      </c>
      <c r="IEO7" s="747" t="n">
        <v>6822</v>
      </c>
      <c r="IEP7" s="747" t="n">
        <v>6823</v>
      </c>
      <c r="IEQ7" s="747" t="n">
        <v>6824</v>
      </c>
      <c r="IER7" s="747" t="n">
        <v>6825</v>
      </c>
      <c r="IES7" s="747" t="n">
        <v>6827</v>
      </c>
      <c r="IET7" s="747" t="n">
        <v>6828</v>
      </c>
      <c r="IEU7" s="747" t="n">
        <v>6835</v>
      </c>
      <c r="IEV7" s="747" t="n">
        <v>6834</v>
      </c>
      <c r="IEW7" s="747" t="n">
        <v>6836</v>
      </c>
      <c r="IEX7" s="747" t="n">
        <v>6837</v>
      </c>
      <c r="IEY7" s="747" t="n">
        <v>6838</v>
      </c>
      <c r="IEZ7" s="747" t="n">
        <v>6880</v>
      </c>
      <c r="IFA7" s="747" t="n">
        <v>6881</v>
      </c>
      <c r="IFB7" s="747" t="n">
        <v>6882</v>
      </c>
      <c r="IFC7" s="747" t="n">
        <v>6883</v>
      </c>
      <c r="IFD7" s="747" t="n">
        <v>6884</v>
      </c>
      <c r="IFE7" s="747" t="n">
        <v>6885</v>
      </c>
      <c r="IFF7" s="748" t="inlineStr">
        <is>
          <t>Tax Year Filed</t>
        </is>
      </c>
      <c r="IFG7" s="747" t="inlineStr">
        <is>
          <t>Taxing Province</t>
        </is>
      </c>
      <c r="IFH7" s="747" t="inlineStr">
        <is>
          <t>Marital Status</t>
        </is>
      </c>
      <c r="IFI7" s="747" t="inlineStr">
        <is>
          <t>Balance before penalty and interest</t>
        </is>
      </c>
      <c r="IFJ7" s="747" t="inlineStr">
        <is>
          <t>Balance before penalty and interest</t>
        </is>
      </c>
      <c r="IFK7" s="747" t="inlineStr">
        <is>
          <t>Final balance</t>
        </is>
      </c>
      <c r="IFL7" s="747" t="inlineStr">
        <is>
          <t>Basic federal tax</t>
        </is>
      </c>
      <c r="IFM7" s="747" t="inlineStr">
        <is>
          <t>Basic provincial or territorial tax</t>
        </is>
      </c>
      <c r="IFN7" s="747" t="inlineStr">
        <is>
          <t>Ontario Health Premium</t>
        </is>
      </c>
      <c r="IFO7" s="747" t="n">
        <v>101</v>
      </c>
      <c r="IFP7" s="747" t="n">
        <v>102</v>
      </c>
      <c r="IFQ7" s="747" t="n">
        <v>103</v>
      </c>
      <c r="IFR7" s="747" t="n">
        <v>104</v>
      </c>
      <c r="IFS7" s="747" t="n">
        <v>106</v>
      </c>
      <c r="IFT7" s="747" t="n">
        <v>107</v>
      </c>
      <c r="IFU7" s="747" t="n">
        <v>109</v>
      </c>
      <c r="IFV7" s="747" t="n">
        <v>110</v>
      </c>
      <c r="IFW7" s="747" t="n">
        <v>113</v>
      </c>
      <c r="IFX7" s="747" t="n">
        <v>114</v>
      </c>
      <c r="IFY7" s="747" t="n">
        <v>115</v>
      </c>
      <c r="IFZ7" s="747" t="n">
        <v>116</v>
      </c>
      <c r="IGA7" s="747" t="n">
        <v>117</v>
      </c>
      <c r="IGB7" s="747" t="n">
        <v>119</v>
      </c>
      <c r="IGC7" s="747" t="n">
        <v>120</v>
      </c>
      <c r="IGD7" s="747" t="n">
        <v>121</v>
      </c>
      <c r="IGE7" s="747" t="n">
        <v>122</v>
      </c>
      <c r="IGF7" s="747" t="n">
        <v>123</v>
      </c>
      <c r="IGG7" s="747" t="n">
        <v>124</v>
      </c>
      <c r="IGH7" s="747" t="n">
        <v>125</v>
      </c>
      <c r="IGI7" s="747" t="n">
        <v>126</v>
      </c>
      <c r="IGJ7" s="747" t="n">
        <v>127</v>
      </c>
      <c r="IGK7" s="747" t="n">
        <v>128</v>
      </c>
      <c r="IGL7" s="747" t="n">
        <v>129</v>
      </c>
      <c r="IGM7" s="747" t="n">
        <v>130</v>
      </c>
      <c r="IGN7" s="747" t="n">
        <v>131</v>
      </c>
      <c r="IGO7" s="747" t="n">
        <v>132</v>
      </c>
      <c r="IGP7" s="747" t="n">
        <v>135</v>
      </c>
      <c r="IGQ7" s="747" t="n">
        <v>136</v>
      </c>
      <c r="IGR7" s="747" t="n">
        <v>137</v>
      </c>
      <c r="IGS7" s="747" t="n">
        <v>138</v>
      </c>
      <c r="IGT7" s="747" t="n">
        <v>139</v>
      </c>
      <c r="IGU7" s="747" t="n">
        <v>141</v>
      </c>
      <c r="IGV7" s="747" t="n">
        <v>143</v>
      </c>
      <c r="IGW7" s="747" t="n">
        <v>144</v>
      </c>
      <c r="IGX7" s="747" t="n">
        <v>145</v>
      </c>
      <c r="IGY7" s="747" t="n">
        <v>146</v>
      </c>
      <c r="IGZ7" s="747" t="n">
        <v>150</v>
      </c>
      <c r="IHA7" s="747" t="n">
        <v>151</v>
      </c>
      <c r="IHB7" s="747" t="n">
        <v>152</v>
      </c>
      <c r="IHC7" s="747" t="n">
        <v>153</v>
      </c>
      <c r="IHD7" s="747" t="n">
        <v>154</v>
      </c>
      <c r="IHE7" s="747" t="n">
        <v>155</v>
      </c>
      <c r="IHF7" s="747" t="n">
        <v>156</v>
      </c>
      <c r="IHG7" s="747" t="n">
        <v>158</v>
      </c>
      <c r="IHH7" s="747" t="n">
        <v>159</v>
      </c>
      <c r="IHI7" s="747" t="n">
        <v>160</v>
      </c>
      <c r="IHJ7" s="747" t="n">
        <v>161</v>
      </c>
      <c r="IHK7" s="747" t="n">
        <v>162</v>
      </c>
      <c r="IHL7" s="747" t="n">
        <v>164</v>
      </c>
      <c r="IHM7" s="747" t="n">
        <v>166</v>
      </c>
      <c r="IHN7" s="747" t="n">
        <v>168</v>
      </c>
      <c r="IHO7" s="747" t="n">
        <v>170</v>
      </c>
      <c r="IHP7" s="747" t="n">
        <v>174</v>
      </c>
      <c r="IHQ7" s="747" t="n">
        <v>176</v>
      </c>
      <c r="IHR7" s="747" t="n">
        <v>178</v>
      </c>
      <c r="IHS7" s="747" t="n">
        <v>179</v>
      </c>
      <c r="IHT7" s="747" t="n">
        <v>180</v>
      </c>
      <c r="IHU7" s="747" t="n">
        <v>185</v>
      </c>
      <c r="IHV7" s="747" t="n">
        <v>205</v>
      </c>
      <c r="IHW7" s="747" t="n">
        <v>206</v>
      </c>
      <c r="IHX7" s="747" t="n">
        <v>207</v>
      </c>
      <c r="IHY7" s="747" t="n">
        <v>208</v>
      </c>
      <c r="IHZ7" s="747" t="n">
        <v>210</v>
      </c>
      <c r="IIA7" s="747" t="n">
        <v>212</v>
      </c>
      <c r="IIB7" s="747" t="n">
        <v>213</v>
      </c>
      <c r="IIC7" s="747" t="n">
        <v>214</v>
      </c>
      <c r="IID7" s="747" t="n">
        <v>215</v>
      </c>
      <c r="IIE7" s="747" t="n">
        <v>217</v>
      </c>
      <c r="IIF7" s="747" t="n">
        <v>219</v>
      </c>
      <c r="IIG7" s="747" t="n">
        <v>220</v>
      </c>
      <c r="IIH7" s="747" t="n">
        <v>221</v>
      </c>
      <c r="III7" s="747" t="n">
        <v>222</v>
      </c>
      <c r="IIJ7" s="747" t="n">
        <v>223</v>
      </c>
      <c r="IIK7" s="747" t="n">
        <v>224</v>
      </c>
      <c r="IIL7" s="747" t="n">
        <v>228</v>
      </c>
      <c r="IIM7" s="747" t="n">
        <v>229</v>
      </c>
      <c r="IIN7" s="747" t="n">
        <v>230</v>
      </c>
      <c r="IIO7" s="747" t="n">
        <v>231</v>
      </c>
      <c r="IIP7" s="747" t="n">
        <v>232</v>
      </c>
      <c r="IIQ7" s="747" t="n">
        <v>235</v>
      </c>
      <c r="IIR7" s="747" t="n">
        <v>236</v>
      </c>
      <c r="IIS7" s="747" t="n">
        <v>240</v>
      </c>
      <c r="IIT7" s="747" t="n">
        <v>244</v>
      </c>
      <c r="IIU7" s="747" t="n">
        <v>245</v>
      </c>
      <c r="IIV7" s="747" t="n">
        <v>246</v>
      </c>
      <c r="IIW7" s="747" t="n">
        <v>247</v>
      </c>
      <c r="IIX7" s="747" t="n">
        <v>249</v>
      </c>
      <c r="IIY7" s="747" t="n">
        <v>250</v>
      </c>
      <c r="IIZ7" s="747" t="n">
        <v>251</v>
      </c>
      <c r="IJA7" s="747" t="n">
        <v>252</v>
      </c>
      <c r="IJB7" s="747" t="n">
        <v>253</v>
      </c>
      <c r="IJC7" s="747" t="n">
        <v>254</v>
      </c>
      <c r="IJD7" s="747" t="n">
        <v>255</v>
      </c>
      <c r="IJE7" s="747" t="n">
        <v>256</v>
      </c>
      <c r="IJF7" s="747" t="n">
        <v>259</v>
      </c>
      <c r="IJG7" s="747" t="n">
        <v>260</v>
      </c>
      <c r="IJH7" s="747" t="n">
        <v>262</v>
      </c>
      <c r="IJI7" s="747" t="n">
        <v>263</v>
      </c>
      <c r="IJJ7" s="747" t="n">
        <v>264</v>
      </c>
      <c r="IJK7" s="747" t="n">
        <v>266</v>
      </c>
      <c r="IJL7" s="747" t="n">
        <v>267</v>
      </c>
      <c r="IJM7" s="747" t="n">
        <v>300</v>
      </c>
      <c r="IJN7" s="747" t="n">
        <v>301</v>
      </c>
      <c r="IJO7" s="747" t="n">
        <v>303</v>
      </c>
      <c r="IJP7" s="747" t="n">
        <v>304</v>
      </c>
      <c r="IJQ7" s="747" t="n">
        <v>305</v>
      </c>
      <c r="IJR7" s="747" t="n">
        <v>307</v>
      </c>
      <c r="IJS7" s="747" t="n">
        <v>308</v>
      </c>
      <c r="IJT7" s="747" t="n">
        <v>310</v>
      </c>
      <c r="IJU7" s="747" t="n">
        <v>312</v>
      </c>
      <c r="IJV7" s="747" t="n">
        <v>313</v>
      </c>
      <c r="IJW7" s="747" t="n">
        <v>314</v>
      </c>
      <c r="IJX7" s="747" t="n">
        <v>316</v>
      </c>
      <c r="IJY7" s="747" t="n">
        <v>317</v>
      </c>
      <c r="IJZ7" s="747" t="n">
        <v>318</v>
      </c>
      <c r="IKA7" s="747" t="n">
        <v>319</v>
      </c>
      <c r="IKB7" s="747" t="n">
        <v>320</v>
      </c>
      <c r="IKC7" s="747" t="n">
        <v>323</v>
      </c>
      <c r="IKD7" s="747" t="n">
        <v>324</v>
      </c>
      <c r="IKE7" s="747" t="n">
        <v>325</v>
      </c>
      <c r="IKF7" s="747" t="n">
        <v>326</v>
      </c>
      <c r="IKG7" s="747" t="n">
        <v>327</v>
      </c>
      <c r="IKH7" s="747" t="n">
        <v>328</v>
      </c>
      <c r="IKI7" s="747" t="n">
        <v>329</v>
      </c>
      <c r="IKJ7" s="747" t="n">
        <v>330</v>
      </c>
      <c r="IKK7" s="747" t="n">
        <v>331</v>
      </c>
      <c r="IKL7" s="747" t="n">
        <v>332</v>
      </c>
      <c r="IKM7" s="747" t="n">
        <v>333</v>
      </c>
      <c r="IKN7" s="747" t="n">
        <v>334</v>
      </c>
      <c r="IKO7" s="747" t="n">
        <v>337</v>
      </c>
      <c r="IKP7" s="747" t="n">
        <v>338</v>
      </c>
      <c r="IKQ7" s="747" t="n">
        <v>339</v>
      </c>
      <c r="IKR7" s="747" t="n">
        <v>340</v>
      </c>
      <c r="IKS7" s="747" t="n">
        <v>342</v>
      </c>
      <c r="IKT7" s="747" t="n">
        <v>345</v>
      </c>
      <c r="IKU7" s="747" t="n">
        <v>349</v>
      </c>
      <c r="IKV7" s="747" t="n">
        <v>350</v>
      </c>
      <c r="IKW7" s="747" t="n">
        <v>351</v>
      </c>
      <c r="IKX7" s="747" t="n">
        <v>352</v>
      </c>
      <c r="IKY7" s="747" t="n">
        <v>353</v>
      </c>
      <c r="IKZ7" s="747" t="n">
        <v>354</v>
      </c>
      <c r="ILA7" s="747" t="n">
        <v>355</v>
      </c>
      <c r="ILB7" s="747" t="n">
        <v>357</v>
      </c>
      <c r="ILC7" s="747" t="n">
        <v>360</v>
      </c>
      <c r="ILD7" s="747" t="n">
        <v>361</v>
      </c>
      <c r="ILE7" s="747" t="n">
        <v>362</v>
      </c>
      <c r="ILF7" s="747" t="n">
        <v>363</v>
      </c>
      <c r="ILG7" s="747" t="n">
        <v>367</v>
      </c>
      <c r="ILH7" s="747" t="n">
        <v>369</v>
      </c>
      <c r="ILI7" s="747" t="n">
        <v>371</v>
      </c>
      <c r="ILJ7" s="747" t="n">
        <v>372</v>
      </c>
      <c r="ILK7" s="747" t="n">
        <v>373</v>
      </c>
      <c r="ILL7" s="747" t="n">
        <v>374</v>
      </c>
      <c r="ILM7" s="747" t="n">
        <v>375</v>
      </c>
      <c r="ILN7" s="747" t="n">
        <v>376</v>
      </c>
      <c r="ILO7" s="747" t="n">
        <v>378</v>
      </c>
      <c r="ILP7" s="747" t="n">
        <v>381</v>
      </c>
      <c r="ILQ7" s="747" t="n">
        <v>382</v>
      </c>
      <c r="ILR7" s="747" t="n">
        <v>383</v>
      </c>
      <c r="ILS7" s="747" t="n">
        <v>384</v>
      </c>
      <c r="ILT7" s="747" t="n">
        <v>385</v>
      </c>
      <c r="ILU7" s="747" t="n">
        <v>386</v>
      </c>
      <c r="ILV7" s="747" t="n">
        <v>387</v>
      </c>
      <c r="ILW7" s="747" t="n">
        <v>388</v>
      </c>
      <c r="ILX7" s="747" t="n">
        <v>389</v>
      </c>
      <c r="ILY7" s="747" t="n">
        <v>390</v>
      </c>
      <c r="ILZ7" s="747" t="n">
        <v>391</v>
      </c>
      <c r="IMA7" s="747" t="n">
        <v>392</v>
      </c>
      <c r="IMB7" s="747" t="n">
        <v>394</v>
      </c>
      <c r="IMC7" s="747" t="n">
        <v>395</v>
      </c>
      <c r="IMD7" s="747" t="n">
        <v>398</v>
      </c>
      <c r="IME7" s="747" t="n">
        <v>399</v>
      </c>
      <c r="IMF7" s="747" t="n">
        <v>406</v>
      </c>
      <c r="IMG7" s="747" t="n">
        <v>409</v>
      </c>
      <c r="IMH7" s="747" t="n">
        <v>410</v>
      </c>
      <c r="IMI7" s="747" t="n">
        <v>412</v>
      </c>
      <c r="IMJ7" s="747" t="n">
        <v>413</v>
      </c>
      <c r="IMK7" s="747" t="n">
        <v>414</v>
      </c>
      <c r="IML7" s="747" t="n">
        <v>415</v>
      </c>
      <c r="IMM7" s="747" t="n">
        <v>417</v>
      </c>
      <c r="IMN7" s="747" t="n">
        <v>418</v>
      </c>
      <c r="IMO7" s="747" t="n">
        <v>420</v>
      </c>
      <c r="IMP7" s="747" t="n">
        <v>424</v>
      </c>
      <c r="IMQ7" s="747" t="n">
        <v>425</v>
      </c>
      <c r="IMR7" s="747" t="n">
        <v>427</v>
      </c>
      <c r="IMS7" s="747" t="n">
        <v>428</v>
      </c>
      <c r="IMT7" s="747" t="n">
        <v>431</v>
      </c>
      <c r="IMU7" s="747" t="n">
        <v>432</v>
      </c>
      <c r="IMV7" s="747" t="n">
        <v>433</v>
      </c>
      <c r="IMW7" s="747" t="n">
        <v>434</v>
      </c>
      <c r="IMX7" s="747" t="n">
        <v>435</v>
      </c>
      <c r="IMY7" s="747" t="n">
        <v>437</v>
      </c>
      <c r="IMZ7" s="747" t="n">
        <v>438</v>
      </c>
      <c r="INA7" s="747" t="n">
        <v>439</v>
      </c>
      <c r="INB7" s="747" t="n">
        <v>440</v>
      </c>
      <c r="INC7" s="747" t="n">
        <v>441</v>
      </c>
      <c r="IND7" s="747" t="n">
        <v>448</v>
      </c>
      <c r="INE7" s="747" t="n">
        <v>449</v>
      </c>
      <c r="INF7" s="747" t="n">
        <v>450</v>
      </c>
      <c r="ING7" s="747" t="n">
        <v>452</v>
      </c>
      <c r="INH7" s="747" t="n">
        <v>453</v>
      </c>
      <c r="INI7" s="747" t="n">
        <v>454</v>
      </c>
      <c r="INJ7" s="747" t="n">
        <v>456</v>
      </c>
      <c r="INK7" s="747" t="n">
        <v>457</v>
      </c>
      <c r="INL7" s="747" t="n">
        <v>460</v>
      </c>
      <c r="INM7" s="747" t="n">
        <v>461</v>
      </c>
      <c r="INN7" s="747" t="n">
        <v>462</v>
      </c>
      <c r="INO7" s="747" t="n">
        <v>465</v>
      </c>
      <c r="INP7" s="747" t="n">
        <v>466</v>
      </c>
      <c r="INQ7" s="747" t="n">
        <v>468</v>
      </c>
      <c r="INR7" s="747" t="n">
        <v>469</v>
      </c>
      <c r="INS7" s="747" t="n">
        <v>476</v>
      </c>
      <c r="INT7" s="747" t="n">
        <v>479</v>
      </c>
      <c r="INU7" s="747" t="n">
        <v>484</v>
      </c>
      <c r="INV7" s="747" t="n">
        <v>485</v>
      </c>
      <c r="INW7" s="747" t="n">
        <v>486</v>
      </c>
      <c r="INX7" s="747" t="n">
        <v>487</v>
      </c>
      <c r="INY7" s="747" t="n">
        <v>488</v>
      </c>
      <c r="INZ7" s="747" t="n">
        <v>490</v>
      </c>
      <c r="IOA7" s="747" t="n">
        <v>5026</v>
      </c>
      <c r="IOB7" s="747" t="n">
        <v>5027</v>
      </c>
      <c r="IOC7" s="747" t="n">
        <v>5028</v>
      </c>
      <c r="IOD7" s="747" t="n">
        <v>5029</v>
      </c>
      <c r="IOE7" s="747" t="n">
        <v>5031</v>
      </c>
      <c r="IOF7" s="747" t="n">
        <v>5032</v>
      </c>
      <c r="IOG7" s="747" t="n">
        <v>5033</v>
      </c>
      <c r="IOH7" s="747" t="n">
        <v>5034</v>
      </c>
      <c r="IOI7" s="747" t="n">
        <v>5041</v>
      </c>
      <c r="IOJ7" s="747" t="n">
        <v>5106</v>
      </c>
      <c r="IOK7" s="747" t="n">
        <v>5109</v>
      </c>
      <c r="IOL7" s="747" t="n">
        <v>5110</v>
      </c>
      <c r="IOM7" s="747" t="n">
        <v>5112</v>
      </c>
      <c r="ION7" s="747" t="n">
        <v>5117</v>
      </c>
      <c r="IOO7" s="747" t="n">
        <v>5118</v>
      </c>
      <c r="IOP7" s="747" t="n">
        <v>5119</v>
      </c>
      <c r="IOQ7" s="747" t="n">
        <v>5120</v>
      </c>
      <c r="IOR7" s="747" t="n">
        <v>5121</v>
      </c>
      <c r="IOS7" s="747" t="n">
        <v>5122</v>
      </c>
      <c r="IOT7" s="747" t="n">
        <v>5123</v>
      </c>
      <c r="IOU7" s="747" t="n">
        <v>5124</v>
      </c>
      <c r="IOV7" s="747" t="n">
        <v>5125</v>
      </c>
      <c r="IOW7" s="747" t="n">
        <v>5230</v>
      </c>
      <c r="IOX7" s="747" t="n">
        <v>5263</v>
      </c>
      <c r="IOY7" s="747" t="n">
        <v>5267</v>
      </c>
      <c r="IOZ7" s="747" t="n">
        <v>5273</v>
      </c>
      <c r="IPA7" s="747" t="n">
        <v>5274</v>
      </c>
      <c r="IPB7" s="747" t="n">
        <v>5275</v>
      </c>
      <c r="IPC7" s="747" t="n">
        <v>5276</v>
      </c>
      <c r="IPD7" s="747" t="n">
        <v>5277</v>
      </c>
      <c r="IPE7" s="747" t="n">
        <v>5278</v>
      </c>
      <c r="IPF7" s="747" t="n">
        <v>5279</v>
      </c>
      <c r="IPG7" s="747" t="n">
        <v>5280</v>
      </c>
      <c r="IPH7" s="747" t="n">
        <v>5281</v>
      </c>
      <c r="IPI7" s="747" t="n">
        <v>5282</v>
      </c>
      <c r="IPJ7" s="747" t="n">
        <v>5283</v>
      </c>
      <c r="IPK7" s="747" t="n">
        <v>5284</v>
      </c>
      <c r="IPL7" s="747" t="n">
        <v>5285</v>
      </c>
      <c r="IPM7" s="747" t="n">
        <v>5292</v>
      </c>
      <c r="IPN7" s="747" t="n">
        <v>5293</v>
      </c>
      <c r="IPO7" s="747" t="n">
        <v>5308</v>
      </c>
      <c r="IPP7" s="747" t="n">
        <v>5321</v>
      </c>
      <c r="IPQ7" s="747" t="n">
        <v>5548</v>
      </c>
      <c r="IPR7" s="747" t="n">
        <v>5549</v>
      </c>
      <c r="IPS7" s="747" t="n">
        <v>5330</v>
      </c>
      <c r="IPT7" s="747" t="n">
        <v>5335</v>
      </c>
      <c r="IPU7" s="747" t="n">
        <v>5337</v>
      </c>
      <c r="IPV7" s="747" t="n">
        <v>5344</v>
      </c>
      <c r="IPW7" s="747" t="n">
        <v>5345</v>
      </c>
      <c r="IPX7" s="747" t="n">
        <v>5347</v>
      </c>
      <c r="IPY7" s="747" t="n">
        <v>5349</v>
      </c>
      <c r="IPZ7" s="747" t="n">
        <v>5350</v>
      </c>
      <c r="IQA7" s="747" t="n">
        <v>5351</v>
      </c>
      <c r="IQB7" s="747" t="n">
        <v>5353</v>
      </c>
      <c r="IQC7" s="747" t="n">
        <v>5354</v>
      </c>
      <c r="IQD7" s="747" t="n">
        <v>5355</v>
      </c>
      <c r="IQE7" s="747" t="n">
        <v>5369</v>
      </c>
      <c r="IQF7" s="747" t="n">
        <v>5367</v>
      </c>
      <c r="IQG7" s="747" t="n">
        <v>5368</v>
      </c>
      <c r="IQH7" s="747" t="n">
        <v>379</v>
      </c>
      <c r="IQI7" s="747" t="n">
        <v>377</v>
      </c>
      <c r="IQJ7" s="747" t="n">
        <v>380</v>
      </c>
      <c r="IQK7" s="747" t="n">
        <v>5493</v>
      </c>
      <c r="IQL7" s="747" t="n">
        <v>5494</v>
      </c>
      <c r="IQM7" s="747" t="n">
        <v>5461</v>
      </c>
      <c r="IQN7" s="747" t="n">
        <v>5478</v>
      </c>
      <c r="IQO7" s="747" t="n">
        <v>5479</v>
      </c>
      <c r="IQP7" s="747" t="n">
        <v>5492</v>
      </c>
      <c r="IQQ7" s="747" t="n">
        <v>5495</v>
      </c>
      <c r="IQR7" s="747" t="n">
        <v>5496</v>
      </c>
      <c r="IQS7" s="747" t="n">
        <v>5507</v>
      </c>
      <c r="IQT7" s="747" t="n">
        <v>5508</v>
      </c>
      <c r="IQU7" s="747" t="n">
        <v>5511</v>
      </c>
      <c r="IQV7" s="747" t="n">
        <v>5522</v>
      </c>
      <c r="IQW7" s="747" t="n">
        <v>5527</v>
      </c>
      <c r="IQX7" s="747" t="n">
        <v>5529</v>
      </c>
      <c r="IQY7" s="747" t="n">
        <v>5530</v>
      </c>
      <c r="IQZ7" s="747" t="n">
        <v>5532</v>
      </c>
      <c r="IRA7" s="747" t="n">
        <v>5536</v>
      </c>
      <c r="IRB7" s="747" t="n">
        <v>5537</v>
      </c>
      <c r="IRC7" s="747" t="n">
        <v>5538</v>
      </c>
      <c r="IRD7" s="747" t="n">
        <v>5540</v>
      </c>
      <c r="IRE7" s="747" t="n">
        <v>5555</v>
      </c>
      <c r="IRF7" s="747" t="n">
        <v>5566</v>
      </c>
      <c r="IRG7" s="747" t="n">
        <v>5804</v>
      </c>
      <c r="IRH7" s="747" t="n">
        <v>5808</v>
      </c>
      <c r="IRI7" s="747" t="n">
        <v>5812</v>
      </c>
      <c r="IRJ7" s="747" t="n">
        <v>5816</v>
      </c>
      <c r="IRK7" s="747" t="n">
        <v>5814</v>
      </c>
      <c r="IRL7" s="747" t="n">
        <v>5817</v>
      </c>
      <c r="IRM7" s="747" t="n">
        <v>5818</v>
      </c>
      <c r="IRN7" s="747" t="n">
        <v>5819</v>
      </c>
      <c r="IRO7" s="747" t="n">
        <v>5825</v>
      </c>
      <c r="IRP7" s="747" t="n">
        <v>5820</v>
      </c>
      <c r="IRQ7" s="747" t="n">
        <v>6370</v>
      </c>
      <c r="IRR7" s="747" t="n">
        <v>5821</v>
      </c>
      <c r="IRS7" s="747" t="n">
        <v>5822</v>
      </c>
      <c r="IRT7" s="747" t="n">
        <v>6372</v>
      </c>
      <c r="IRU7" s="747" t="n">
        <v>5823</v>
      </c>
      <c r="IRV7" s="747" t="n">
        <v>5824</v>
      </c>
      <c r="IRW7" s="747" t="n">
        <v>5828</v>
      </c>
      <c r="IRX7" s="747" t="n">
        <v>5832</v>
      </c>
      <c r="IRY7" s="747" t="n">
        <v>5829</v>
      </c>
      <c r="IRZ7" s="747" t="n">
        <v>5834</v>
      </c>
      <c r="ISA7" s="747" t="n">
        <v>5830</v>
      </c>
      <c r="ISB7" s="747" t="n">
        <v>5845</v>
      </c>
      <c r="ISC7" s="747" t="n">
        <v>5831</v>
      </c>
      <c r="ISD7" s="747" t="n">
        <v>5839</v>
      </c>
      <c r="ISE7" s="747" t="n">
        <v>5841</v>
      </c>
      <c r="ISF7" s="747" t="n">
        <v>5833</v>
      </c>
      <c r="ISG7" s="747" t="n">
        <v>5837</v>
      </c>
      <c r="ISH7" s="747" t="n">
        <v>5836</v>
      </c>
      <c r="ISI7" s="747" t="n">
        <v>5840</v>
      </c>
      <c r="ISJ7" s="747" t="n">
        <v>5844</v>
      </c>
      <c r="ISK7" s="747" t="n">
        <v>5848</v>
      </c>
      <c r="ISL7" s="747" t="n">
        <v>5850</v>
      </c>
      <c r="ISM7" s="747" t="n">
        <v>5852</v>
      </c>
      <c r="ISN7" s="747" t="n">
        <v>5856</v>
      </c>
      <c r="ISO7" s="747" t="n">
        <v>5856</v>
      </c>
      <c r="ISP7" s="747" t="n">
        <v>5856</v>
      </c>
      <c r="ISQ7" s="747" t="n">
        <v>5860</v>
      </c>
      <c r="ISR7" s="747" t="n">
        <v>5860</v>
      </c>
      <c r="ISS7" s="747" t="n">
        <v>5860</v>
      </c>
      <c r="IST7" s="747" t="n">
        <v>5864</v>
      </c>
      <c r="ISU7" s="747" t="n">
        <v>5868</v>
      </c>
      <c r="ISV7" s="747" t="n">
        <v>5872</v>
      </c>
      <c r="ISW7" s="747" t="n">
        <v>5875</v>
      </c>
      <c r="ISX7" s="747" t="n">
        <v>5876</v>
      </c>
      <c r="ISY7" s="747" t="n">
        <v>5880</v>
      </c>
      <c r="ISZ7" s="747" t="n">
        <v>5881</v>
      </c>
      <c r="ITA7" s="747" t="n">
        <v>5882</v>
      </c>
      <c r="ITB7" s="747" t="n">
        <v>5883</v>
      </c>
      <c r="ITC7" s="747" t="n">
        <v>5884</v>
      </c>
      <c r="ITD7" s="747" t="n">
        <v>5884</v>
      </c>
      <c r="ITE7" s="747" t="n">
        <v>5896</v>
      </c>
      <c r="ITF7" s="747" t="n">
        <v>5897</v>
      </c>
      <c r="ITG7" s="747" t="n">
        <v>5898</v>
      </c>
      <c r="ITH7" s="747" t="n">
        <v>5900</v>
      </c>
      <c r="ITI7" s="747" t="n">
        <v>5901</v>
      </c>
      <c r="ITJ7" s="747" t="n">
        <v>5902</v>
      </c>
      <c r="ITK7" s="747" t="n">
        <v>5903</v>
      </c>
      <c r="ITL7" s="747" t="n">
        <v>5904</v>
      </c>
      <c r="ITM7" s="747" t="n">
        <v>5905</v>
      </c>
      <c r="ITN7" s="747" t="n">
        <v>5907</v>
      </c>
      <c r="ITO7" s="747" t="n">
        <v>5909</v>
      </c>
      <c r="ITP7" s="747" t="n">
        <v>5909</v>
      </c>
      <c r="ITQ7" s="747" t="n">
        <v>5909</v>
      </c>
      <c r="ITR7" s="747" t="n">
        <v>5912</v>
      </c>
      <c r="ITS7" s="747" t="n">
        <v>5914</v>
      </c>
      <c r="ITT7" s="747" t="n">
        <v>5916</v>
      </c>
      <c r="ITU7" s="747" t="n">
        <v>5916</v>
      </c>
      <c r="ITV7" s="747" t="n">
        <v>5918</v>
      </c>
      <c r="ITW7" s="747" t="n">
        <v>5918</v>
      </c>
      <c r="ITX7" s="747" t="n">
        <v>5920</v>
      </c>
      <c r="ITY7" s="747" t="n">
        <v>5920</v>
      </c>
      <c r="ITZ7" s="747" t="n">
        <v>5920</v>
      </c>
      <c r="IUA7" s="747" t="n">
        <v>5920</v>
      </c>
      <c r="IUB7" s="747" t="n">
        <v>5931</v>
      </c>
      <c r="IUC7" s="747" t="n">
        <v>5932</v>
      </c>
      <c r="IUD7" s="747" t="n">
        <v>5933</v>
      </c>
      <c r="IUE7" s="747" t="n">
        <v>5934</v>
      </c>
      <c r="IUF7" s="747" t="n">
        <v>5936</v>
      </c>
      <c r="IUG7" s="747" t="n">
        <v>5937</v>
      </c>
      <c r="IUH7" s="747" t="n">
        <v>5943</v>
      </c>
      <c r="IUI7" s="747" t="n">
        <v>5944</v>
      </c>
      <c r="IUJ7" s="747" t="n">
        <v>5945</v>
      </c>
      <c r="IUK7" s="747" t="n">
        <v>5946</v>
      </c>
      <c r="IUL7" s="747" t="n">
        <v>5947</v>
      </c>
      <c r="IUM7" s="747" t="n">
        <v>5970</v>
      </c>
      <c r="IUN7" s="747" t="n">
        <v>5971</v>
      </c>
      <c r="IUO7" s="747" t="n">
        <v>5972</v>
      </c>
      <c r="IUP7" s="747" t="n">
        <v>5973</v>
      </c>
      <c r="IUQ7" s="747" t="n">
        <v>5974</v>
      </c>
      <c r="IUR7" s="747" t="n">
        <v>5975</v>
      </c>
      <c r="IUS7" s="747" t="n">
        <v>5976</v>
      </c>
      <c r="IUT7" s="747" t="n">
        <v>5977</v>
      </c>
      <c r="IUU7" s="747" t="n">
        <v>5978</v>
      </c>
      <c r="IUV7" s="747" t="n">
        <v>6003</v>
      </c>
      <c r="IUW7" s="747" t="n">
        <v>6007</v>
      </c>
      <c r="IUX7" s="747" t="n">
        <v>6010</v>
      </c>
      <c r="IUY7" s="747" t="n">
        <v>6011</v>
      </c>
      <c r="IUZ7" s="747" t="n">
        <v>6012</v>
      </c>
      <c r="IVA7" s="747" t="n">
        <v>6013</v>
      </c>
      <c r="IVB7" s="747" t="n">
        <v>6014</v>
      </c>
      <c r="IVC7" s="747" t="n">
        <v>6033</v>
      </c>
      <c r="IVD7" s="747" t="n">
        <v>6035</v>
      </c>
      <c r="IVE7" s="747" t="n">
        <v>6036</v>
      </c>
      <c r="IVF7" s="747" t="n">
        <v>6040</v>
      </c>
      <c r="IVG7" s="747" t="n">
        <v>6045</v>
      </c>
      <c r="IVH7" s="747" t="n">
        <v>6047</v>
      </c>
      <c r="IVI7" s="747" t="n">
        <v>6048</v>
      </c>
      <c r="IVJ7" s="747" t="n">
        <v>6049</v>
      </c>
      <c r="IVK7" s="747" t="n">
        <v>6050</v>
      </c>
      <c r="IVL7" s="747" t="n">
        <v>6051</v>
      </c>
      <c r="IVM7" s="747" t="n">
        <v>6053</v>
      </c>
      <c r="IVN7" s="747" t="n">
        <v>6055</v>
      </c>
      <c r="IVO7" s="747" t="n">
        <v>6056</v>
      </c>
      <c r="IVP7" s="747" t="n">
        <v>6063</v>
      </c>
      <c r="IVQ7" s="747" t="n">
        <v>6070</v>
      </c>
      <c r="IVR7" s="747" t="n">
        <v>6071</v>
      </c>
      <c r="IVS7" s="747" t="n">
        <v>6072</v>
      </c>
      <c r="IVT7" s="747" t="n">
        <v>6074</v>
      </c>
      <c r="IVU7" s="747" t="n">
        <v>6076</v>
      </c>
      <c r="IVV7" s="747" t="n">
        <v>6080</v>
      </c>
      <c r="IVW7" s="747" t="n">
        <v>6085</v>
      </c>
      <c r="IVX7" s="747" t="n">
        <v>6845</v>
      </c>
      <c r="IVY7" s="747" t="n">
        <v>6092</v>
      </c>
      <c r="IVZ7" s="747" t="n">
        <v>6091</v>
      </c>
      <c r="IWA7" s="747" t="n">
        <v>6096</v>
      </c>
      <c r="IWB7" s="747" t="n">
        <v>6089</v>
      </c>
      <c r="IWC7" s="747" t="n">
        <v>6090</v>
      </c>
      <c r="IWD7" s="747" t="n">
        <v>6083</v>
      </c>
      <c r="IWE7" s="747" t="n">
        <v>6094</v>
      </c>
      <c r="IWF7" s="747" t="n">
        <v>6095</v>
      </c>
      <c r="IWG7" s="747" t="n">
        <v>6269</v>
      </c>
      <c r="IWH7" s="747" t="n">
        <v>6097</v>
      </c>
      <c r="IWI7" s="747" t="n">
        <v>6097</v>
      </c>
      <c r="IWJ7" s="747" t="n">
        <v>6099</v>
      </c>
      <c r="IWK7" s="747" t="n">
        <v>6099</v>
      </c>
      <c r="IWL7" s="747" t="n">
        <v>6118</v>
      </c>
      <c r="IWM7" s="747" t="n">
        <v>6119</v>
      </c>
      <c r="IWN7" s="747" t="n">
        <v>6105</v>
      </c>
      <c r="IWO7" s="747" t="n">
        <v>6109</v>
      </c>
      <c r="IWP7" s="747" t="n">
        <v>6113</v>
      </c>
      <c r="IWQ7" s="747" t="n">
        <v>6108</v>
      </c>
      <c r="IWR7" s="747" t="n">
        <v>6110</v>
      </c>
      <c r="IWS7" s="747" t="n">
        <v>6112</v>
      </c>
      <c r="IWT7" s="747" t="n">
        <v>6112</v>
      </c>
      <c r="IWU7" s="747" t="n">
        <v>6114</v>
      </c>
      <c r="IWV7" s="747" t="n">
        <v>6114</v>
      </c>
      <c r="IWW7" s="747" t="n">
        <v>6116</v>
      </c>
      <c r="IWX7" s="747" t="n">
        <v>6106</v>
      </c>
      <c r="IWY7" s="747" t="n">
        <v>6120</v>
      </c>
      <c r="IWZ7" s="747" t="n">
        <v>6121</v>
      </c>
      <c r="IXA7" s="747" t="n">
        <v>6122</v>
      </c>
      <c r="IXB7" s="747" t="n">
        <v>6123</v>
      </c>
      <c r="IXC7" s="747" t="n">
        <v>6124</v>
      </c>
      <c r="IXD7" s="747" t="n">
        <v>6126</v>
      </c>
      <c r="IXE7" s="747" t="n">
        <v>6130</v>
      </c>
      <c r="IXF7" s="747" t="n">
        <v>6125</v>
      </c>
      <c r="IXG7" s="747" t="n">
        <v>6146</v>
      </c>
      <c r="IXH7" s="747" t="n">
        <v>6131</v>
      </c>
      <c r="IXI7" s="747" t="n">
        <v>6134</v>
      </c>
      <c r="IXJ7" s="747" t="n">
        <v>6138</v>
      </c>
      <c r="IXK7" s="747" t="n">
        <v>6139</v>
      </c>
      <c r="IXL7" s="747" t="n">
        <v>6143</v>
      </c>
      <c r="IXM7" s="747" t="n">
        <v>6147</v>
      </c>
      <c r="IXN7" s="747" t="n">
        <v>6148</v>
      </c>
      <c r="IXO7" s="747" t="n">
        <v>6135</v>
      </c>
      <c r="IXP7" s="747" t="n">
        <v>6137</v>
      </c>
      <c r="IXQ7" s="747" t="n">
        <v>6355</v>
      </c>
      <c r="IXR7" s="747" t="n">
        <v>6150</v>
      </c>
      <c r="IXS7" s="747" t="n">
        <v>6151</v>
      </c>
      <c r="IXT7" s="747" t="n">
        <v>6152</v>
      </c>
      <c r="IXU7" s="747" t="n">
        <v>6154</v>
      </c>
      <c r="IXV7" s="747" t="n">
        <v>6155</v>
      </c>
      <c r="IXW7" s="747" t="n">
        <v>6156</v>
      </c>
      <c r="IXX7" s="747" t="n">
        <v>6157</v>
      </c>
      <c r="IXY7" s="747" t="n">
        <v>6158</v>
      </c>
      <c r="IXZ7" s="747" t="n">
        <v>6159</v>
      </c>
      <c r="IYA7" s="747" t="n">
        <v>6167</v>
      </c>
      <c r="IYB7" s="747" t="n">
        <v>6169</v>
      </c>
      <c r="IYC7" s="747" t="n">
        <v>6170</v>
      </c>
      <c r="IYD7" s="747" t="n">
        <v>6171</v>
      </c>
      <c r="IYE7" s="747" t="n">
        <v>6172</v>
      </c>
      <c r="IYF7" s="747" t="n">
        <v>6174</v>
      </c>
      <c r="IYG7" s="747" t="n">
        <v>6175</v>
      </c>
      <c r="IYH7" s="747" t="n">
        <v>6177</v>
      </c>
      <c r="IYI7" s="747" t="n">
        <v>6178</v>
      </c>
      <c r="IYJ7" s="747" t="n">
        <v>6179</v>
      </c>
      <c r="IYK7" s="747" t="n">
        <v>6140</v>
      </c>
      <c r="IYL7" s="747" t="n">
        <v>6180</v>
      </c>
      <c r="IYM7" s="747" t="n">
        <v>6190</v>
      </c>
      <c r="IYN7" s="747" t="n">
        <v>6183</v>
      </c>
      <c r="IYO7" s="747" t="n">
        <v>6184</v>
      </c>
      <c r="IYP7" s="747" t="n">
        <v>6185</v>
      </c>
      <c r="IYQ7" s="747" t="n">
        <v>6186</v>
      </c>
      <c r="IYR7" s="747" t="n">
        <v>6187</v>
      </c>
      <c r="IYS7" s="747" t="n">
        <v>6188</v>
      </c>
      <c r="IYT7" s="747" t="n">
        <v>6189</v>
      </c>
      <c r="IYU7" s="747" t="n">
        <v>6195</v>
      </c>
      <c r="IYV7" s="747" t="n">
        <v>6197</v>
      </c>
      <c r="IYW7" s="747" t="n">
        <v>6199</v>
      </c>
      <c r="IYX7" s="747" t="n">
        <v>6210</v>
      </c>
      <c r="IYY7" s="747" t="n">
        <v>6098</v>
      </c>
      <c r="IYZ7" s="747" t="n">
        <v>6098</v>
      </c>
      <c r="IZA7" s="747" t="n">
        <v>6238</v>
      </c>
      <c r="IZB7" s="747" t="n">
        <v>6220</v>
      </c>
      <c r="IZC7" s="747" t="n">
        <v>6225</v>
      </c>
      <c r="IZD7" s="747" t="n">
        <v>6226</v>
      </c>
      <c r="IZE7" s="747" t="n">
        <v>6227</v>
      </c>
      <c r="IZF7" s="747" t="n">
        <v>6229</v>
      </c>
      <c r="IZG7" s="747" t="n">
        <v>6228</v>
      </c>
      <c r="IZH7" s="747" t="n">
        <v>6054</v>
      </c>
      <c r="IZI7" s="747" t="n">
        <v>6250</v>
      </c>
      <c r="IZJ7" s="747" t="n">
        <v>6247</v>
      </c>
      <c r="IZK7" s="747" t="n">
        <v>6248</v>
      </c>
      <c r="IZL7" s="747" t="n">
        <v>6249</v>
      </c>
      <c r="IZM7" s="747" t="n">
        <v>6251</v>
      </c>
      <c r="IZN7" s="747" t="n">
        <v>6255</v>
      </c>
      <c r="IZO7" s="747" t="n">
        <v>6305</v>
      </c>
      <c r="IZP7" s="747" t="n">
        <v>6310</v>
      </c>
      <c r="IZQ7" s="747" t="n">
        <v>6266</v>
      </c>
      <c r="IZR7" s="747" t="n">
        <v>6324</v>
      </c>
      <c r="IZS7" s="747" t="n">
        <v>6325</v>
      </c>
      <c r="IZT7" s="747" t="n">
        <v>6326</v>
      </c>
      <c r="IZU7" s="747" t="n">
        <v>6327</v>
      </c>
      <c r="IZV7" s="747" t="n">
        <v>6322</v>
      </c>
      <c r="IZW7" s="747" t="n">
        <v>6320</v>
      </c>
      <c r="IZX7" s="747" t="n">
        <v>6342</v>
      </c>
      <c r="IZY7" s="747" t="n">
        <v>6339</v>
      </c>
      <c r="IZZ7" s="747" t="n">
        <v>6336</v>
      </c>
      <c r="JAA7" s="747" t="n">
        <v>6340</v>
      </c>
      <c r="JAB7" s="747" t="n">
        <v>6337</v>
      </c>
      <c r="JAC7" s="747" t="n">
        <v>6341</v>
      </c>
      <c r="JAD7" s="747" t="n">
        <v>6338</v>
      </c>
      <c r="JAE7" s="747" t="n">
        <v>6343</v>
      </c>
      <c r="JAF7" s="747" t="n">
        <v>6344</v>
      </c>
      <c r="JAG7" s="747" t="n">
        <v>6345</v>
      </c>
      <c r="JAH7" s="747" t="n">
        <v>6346</v>
      </c>
      <c r="JAI7" s="747" t="n">
        <v>6347</v>
      </c>
      <c r="JAJ7" s="747" t="n">
        <v>6348</v>
      </c>
      <c r="JAK7" s="747" t="n">
        <v>6349</v>
      </c>
      <c r="JAL7" s="747" t="n">
        <v>6350</v>
      </c>
      <c r="JAM7" s="747" t="n">
        <v>6351</v>
      </c>
      <c r="JAN7" s="747" t="n">
        <v>6368</v>
      </c>
      <c r="JAO7" s="747" t="n">
        <v>6374</v>
      </c>
      <c r="JAP7" s="747" t="n">
        <v>6360</v>
      </c>
      <c r="JAQ7" s="747" t="n">
        <v>6361</v>
      </c>
      <c r="JAR7" s="747" t="n">
        <v>6362</v>
      </c>
      <c r="JAS7" s="747" t="n">
        <v>6363</v>
      </c>
      <c r="JAT7" s="747" t="n">
        <v>6364</v>
      </c>
      <c r="JAU7" s="747" t="n">
        <v>6371</v>
      </c>
      <c r="JAV7" s="747" t="n">
        <v>6392</v>
      </c>
      <c r="JAW7" s="747" t="n">
        <v>6387</v>
      </c>
      <c r="JAX7" s="747" t="n">
        <v>6380</v>
      </c>
      <c r="JAY7" s="747" t="n">
        <v>6381</v>
      </c>
      <c r="JAZ7" s="747" t="n">
        <v>6382</v>
      </c>
      <c r="JBA7" s="747" t="n">
        <v>6383</v>
      </c>
      <c r="JBB7" s="747" t="n">
        <v>6352</v>
      </c>
      <c r="JBC7" s="747" t="n">
        <v>6353</v>
      </c>
      <c r="JBD7" s="747" t="n">
        <v>6354</v>
      </c>
      <c r="JBE7" s="747" t="n">
        <v>6389</v>
      </c>
      <c r="JBF7" s="747" t="n">
        <v>6385</v>
      </c>
      <c r="JBG7" s="747" t="n">
        <v>6386</v>
      </c>
      <c r="JBH7" s="747" t="n">
        <v>6394</v>
      </c>
      <c r="JBI7" s="747" t="n">
        <v>6390</v>
      </c>
      <c r="JBJ7" s="747" t="n">
        <v>6391</v>
      </c>
      <c r="JBK7" s="747" t="n">
        <v>6485</v>
      </c>
      <c r="JBL7" s="747" t="n">
        <v>6487</v>
      </c>
      <c r="JBM7" s="747" t="n">
        <v>6486</v>
      </c>
      <c r="JBN7" s="747" t="n">
        <v>6521</v>
      </c>
      <c r="JBO7" s="747" t="n">
        <v>6522</v>
      </c>
      <c r="JBP7" s="747" t="n">
        <v>6625</v>
      </c>
      <c r="JBQ7" s="747" t="n">
        <v>6626</v>
      </c>
      <c r="JBR7" s="747" t="n">
        <v>6627</v>
      </c>
      <c r="JBS7" s="747" t="n">
        <v>6630</v>
      </c>
      <c r="JBT7" s="747" t="n">
        <v>6631</v>
      </c>
      <c r="JBU7" s="747" t="n">
        <v>6632</v>
      </c>
      <c r="JBV7" s="747" t="n">
        <v>6636</v>
      </c>
      <c r="JBW7" s="747" t="n">
        <v>6637</v>
      </c>
      <c r="JBX7" s="747" t="n">
        <v>6638</v>
      </c>
      <c r="JBY7" s="747" t="n">
        <v>6642</v>
      </c>
      <c r="JBZ7" s="747" t="n">
        <v>6643</v>
      </c>
      <c r="JCA7" s="747" t="n">
        <v>6644</v>
      </c>
      <c r="JCB7" s="747" t="n">
        <v>6648</v>
      </c>
      <c r="JCC7" s="747" t="n">
        <v>6649</v>
      </c>
      <c r="JCD7" s="747" t="n">
        <v>6650</v>
      </c>
      <c r="JCE7" s="747" t="n">
        <v>6708</v>
      </c>
      <c r="JCF7" s="747" t="n">
        <v>6684</v>
      </c>
      <c r="JCG7" s="747" t="n">
        <v>6701</v>
      </c>
      <c r="JCH7" s="747" t="n">
        <v>6702</v>
      </c>
      <c r="JCI7" s="747" t="n">
        <v>6694</v>
      </c>
      <c r="JCJ7" s="747" t="n">
        <v>6685</v>
      </c>
      <c r="JCK7" s="747" t="n">
        <v>6709</v>
      </c>
      <c r="JCL7" s="747" t="n">
        <v>6695</v>
      </c>
      <c r="JCM7" s="747" t="n">
        <v>6691</v>
      </c>
      <c r="JCN7" s="747" t="n">
        <v>6692</v>
      </c>
      <c r="JCO7" s="747" t="n">
        <v>6696</v>
      </c>
      <c r="JCP7" s="747" t="n">
        <v>6699</v>
      </c>
      <c r="JCQ7" s="747" t="n">
        <v>6703</v>
      </c>
      <c r="JCR7" s="747" t="n">
        <v>6706</v>
      </c>
      <c r="JCS7" s="747" t="n">
        <v>6712</v>
      </c>
      <c r="JCT7" s="747" t="n">
        <v>6715</v>
      </c>
      <c r="JCU7" s="747" t="n">
        <v>6725</v>
      </c>
      <c r="JCV7" s="747" t="n">
        <v>6714</v>
      </c>
      <c r="JCW7" s="747" t="n">
        <v>6717</v>
      </c>
      <c r="JCX7" s="747" t="n">
        <v>6718</v>
      </c>
      <c r="JCY7" s="747" t="n">
        <v>6719</v>
      </c>
      <c r="JCZ7" s="747" t="n">
        <v>6726</v>
      </c>
      <c r="JDA7" s="747" t="n">
        <v>6713</v>
      </c>
      <c r="JDB7" s="747" t="n">
        <v>6730</v>
      </c>
      <c r="JDC7" s="747" t="n">
        <v>6720</v>
      </c>
      <c r="JDD7" s="747" t="n">
        <v>6721</v>
      </c>
      <c r="JDE7" s="747" t="n">
        <v>6722</v>
      </c>
      <c r="JDF7" s="747" t="n">
        <v>6749</v>
      </c>
      <c r="JDG7" s="747" t="n">
        <v>6757</v>
      </c>
      <c r="JDH7" s="747" t="n">
        <v>6752</v>
      </c>
      <c r="JDI7" s="747" t="n">
        <v>6759</v>
      </c>
      <c r="JDJ7" s="747" t="n">
        <v>6754</v>
      </c>
      <c r="JDK7" s="747" t="n">
        <v>6756</v>
      </c>
      <c r="JDL7" s="747" t="n">
        <v>6765</v>
      </c>
      <c r="JDM7" s="747" t="n">
        <v>6782</v>
      </c>
      <c r="JDN7" s="747" t="n">
        <v>6783</v>
      </c>
      <c r="JDO7" s="747" t="n">
        <v>6784</v>
      </c>
      <c r="JDP7" s="747" t="n">
        <v>6786</v>
      </c>
      <c r="JDQ7" s="747" t="n">
        <v>6787</v>
      </c>
      <c r="JDR7" s="747" t="n">
        <v>6788</v>
      </c>
      <c r="JDS7" s="747" t="n">
        <v>6789</v>
      </c>
      <c r="JDT7" s="747" t="n">
        <v>5569</v>
      </c>
      <c r="JDU7" s="747" t="n">
        <v>5570</v>
      </c>
      <c r="JDV7" s="747" t="n">
        <v>5571</v>
      </c>
      <c r="JDW7" s="747" t="n">
        <v>6792</v>
      </c>
      <c r="JDX7" s="747" t="n">
        <v>6791</v>
      </c>
      <c r="JDY7" s="747" t="n">
        <v>6795</v>
      </c>
      <c r="JDZ7" s="747" t="n">
        <v>6794</v>
      </c>
      <c r="JEA7" s="747" t="n">
        <v>6796</v>
      </c>
      <c r="JEB7" s="747" t="n">
        <v>6798</v>
      </c>
      <c r="JEC7" s="747" t="n">
        <v>6801</v>
      </c>
      <c r="JED7" s="747" t="n">
        <v>6802</v>
      </c>
      <c r="JEE7" s="747" t="n">
        <v>6807</v>
      </c>
      <c r="JEF7" s="747" t="n">
        <v>6806</v>
      </c>
      <c r="JEG7" s="747" t="n">
        <v>6803</v>
      </c>
      <c r="JEH7" s="747" t="n">
        <v>6804</v>
      </c>
      <c r="JEI7" s="747" t="n">
        <v>6805</v>
      </c>
      <c r="JEJ7" s="747" t="n">
        <v>6808</v>
      </c>
      <c r="JEK7" s="747" t="n">
        <v>6810</v>
      </c>
      <c r="JEL7" s="747" t="n">
        <v>6811</v>
      </c>
      <c r="JEM7" s="747" t="n">
        <v>5334</v>
      </c>
      <c r="JEN7" s="747" t="n">
        <v>5365</v>
      </c>
      <c r="JEO7" s="747" t="n">
        <v>6820</v>
      </c>
      <c r="JEP7" s="747" t="n">
        <v>6821</v>
      </c>
      <c r="JEQ7" s="747" t="n">
        <v>6822</v>
      </c>
      <c r="JER7" s="747" t="n">
        <v>6823</v>
      </c>
      <c r="JES7" s="747" t="n">
        <v>6824</v>
      </c>
      <c r="JET7" s="747" t="n">
        <v>6825</v>
      </c>
      <c r="JEU7" s="747" t="n">
        <v>6827</v>
      </c>
      <c r="JEV7" s="747" t="n">
        <v>6828</v>
      </c>
      <c r="JEW7" s="747" t="n">
        <v>6835</v>
      </c>
      <c r="JEX7" s="747" t="n">
        <v>6834</v>
      </c>
      <c r="JEY7" s="747" t="n">
        <v>6836</v>
      </c>
      <c r="JEZ7" s="747" t="n">
        <v>6837</v>
      </c>
      <c r="JFA7" s="747" t="n">
        <v>6838</v>
      </c>
      <c r="JFB7" s="747" t="n">
        <v>6880</v>
      </c>
      <c r="JFC7" s="747" t="n">
        <v>6881</v>
      </c>
      <c r="JFD7" s="747" t="n">
        <v>6882</v>
      </c>
      <c r="JFE7" s="747" t="n">
        <v>6883</v>
      </c>
      <c r="JFF7" s="747" t="n">
        <v>6884</v>
      </c>
      <c r="JFG7" s="747" t="n">
        <v>6885</v>
      </c>
      <c r="JFH7" s="748" t="inlineStr">
        <is>
          <t>Tax Year Filed</t>
        </is>
      </c>
      <c r="JFI7" s="747" t="inlineStr">
        <is>
          <t>Taxing Province</t>
        </is>
      </c>
      <c r="JFJ7" s="747" t="inlineStr">
        <is>
          <t>Marital Status</t>
        </is>
      </c>
      <c r="JFK7" s="747" t="inlineStr">
        <is>
          <t>Balance before penalty and interest</t>
        </is>
      </c>
      <c r="JFL7" s="747" t="inlineStr">
        <is>
          <t>Balance before penalty and interest</t>
        </is>
      </c>
      <c r="JFM7" s="747" t="inlineStr">
        <is>
          <t>Final balance</t>
        </is>
      </c>
      <c r="JFN7" s="747" t="inlineStr">
        <is>
          <t>Basic federal tax</t>
        </is>
      </c>
      <c r="JFO7" s="747" t="inlineStr">
        <is>
          <t>Basic provincial or territorial tax</t>
        </is>
      </c>
      <c r="JFP7" s="747" t="inlineStr">
        <is>
          <t>Ontario Health Premium</t>
        </is>
      </c>
      <c r="JFQ7" s="747" t="n">
        <v>101</v>
      </c>
      <c r="JFR7" s="747" t="n">
        <v>102</v>
      </c>
      <c r="JFS7" s="747" t="n">
        <v>103</v>
      </c>
      <c r="JFT7" s="747" t="n">
        <v>104</v>
      </c>
      <c r="JFU7" s="747" t="n">
        <v>106</v>
      </c>
      <c r="JFV7" s="747" t="n">
        <v>107</v>
      </c>
      <c r="JFW7" s="747" t="n">
        <v>109</v>
      </c>
      <c r="JFX7" s="747" t="n">
        <v>110</v>
      </c>
      <c r="JFY7" s="747" t="n">
        <v>113</v>
      </c>
      <c r="JFZ7" s="747" t="n">
        <v>114</v>
      </c>
      <c r="JGA7" s="747" t="n">
        <v>115</v>
      </c>
      <c r="JGB7" s="747" t="n">
        <v>116</v>
      </c>
      <c r="JGC7" s="747" t="n">
        <v>117</v>
      </c>
      <c r="JGD7" s="747" t="n">
        <v>119</v>
      </c>
      <c r="JGE7" s="747" t="n">
        <v>120</v>
      </c>
      <c r="JGF7" s="747" t="n">
        <v>121</v>
      </c>
      <c r="JGG7" s="747" t="n">
        <v>122</v>
      </c>
      <c r="JGH7" s="747" t="n">
        <v>123</v>
      </c>
      <c r="JGI7" s="747" t="n">
        <v>124</v>
      </c>
      <c r="JGJ7" s="747" t="n">
        <v>125</v>
      </c>
      <c r="JGK7" s="747" t="n">
        <v>126</v>
      </c>
      <c r="JGL7" s="747" t="n">
        <v>127</v>
      </c>
      <c r="JGM7" s="747" t="n">
        <v>128</v>
      </c>
      <c r="JGN7" s="747" t="n">
        <v>129</v>
      </c>
      <c r="JGO7" s="747" t="n">
        <v>130</v>
      </c>
      <c r="JGP7" s="747" t="n">
        <v>131</v>
      </c>
      <c r="JGQ7" s="747" t="n">
        <v>132</v>
      </c>
      <c r="JGR7" s="747" t="n">
        <v>135</v>
      </c>
      <c r="JGS7" s="747" t="n">
        <v>136</v>
      </c>
      <c r="JGT7" s="747" t="n">
        <v>137</v>
      </c>
      <c r="JGU7" s="747" t="n">
        <v>138</v>
      </c>
      <c r="JGV7" s="747" t="n">
        <v>139</v>
      </c>
      <c r="JGW7" s="747" t="n">
        <v>141</v>
      </c>
      <c r="JGX7" s="747" t="n">
        <v>143</v>
      </c>
      <c r="JGY7" s="747" t="n">
        <v>144</v>
      </c>
      <c r="JGZ7" s="747" t="n">
        <v>145</v>
      </c>
      <c r="JHA7" s="747" t="n">
        <v>146</v>
      </c>
      <c r="JHB7" s="747" t="n">
        <v>150</v>
      </c>
      <c r="JHC7" s="747" t="n">
        <v>151</v>
      </c>
      <c r="JHD7" s="747" t="n">
        <v>152</v>
      </c>
      <c r="JHE7" s="747" t="n">
        <v>153</v>
      </c>
      <c r="JHF7" s="747" t="n">
        <v>154</v>
      </c>
      <c r="JHG7" s="747" t="n">
        <v>155</v>
      </c>
      <c r="JHH7" s="747" t="n">
        <v>156</v>
      </c>
      <c r="JHI7" s="747" t="n">
        <v>158</v>
      </c>
      <c r="JHJ7" s="747" t="n">
        <v>159</v>
      </c>
      <c r="JHK7" s="747" t="n">
        <v>160</v>
      </c>
      <c r="JHL7" s="747" t="n">
        <v>161</v>
      </c>
      <c r="JHM7" s="747" t="n">
        <v>162</v>
      </c>
      <c r="JHN7" s="747" t="n">
        <v>164</v>
      </c>
      <c r="JHO7" s="747" t="n">
        <v>166</v>
      </c>
      <c r="JHP7" s="747" t="n">
        <v>168</v>
      </c>
      <c r="JHQ7" s="747" t="n">
        <v>170</v>
      </c>
      <c r="JHR7" s="747" t="n">
        <v>174</v>
      </c>
      <c r="JHS7" s="747" t="n">
        <v>176</v>
      </c>
      <c r="JHT7" s="747" t="n">
        <v>178</v>
      </c>
      <c r="JHU7" s="747" t="n">
        <v>179</v>
      </c>
      <c r="JHV7" s="747" t="n">
        <v>180</v>
      </c>
      <c r="JHW7" s="747" t="n">
        <v>185</v>
      </c>
      <c r="JHX7" s="747" t="n">
        <v>205</v>
      </c>
      <c r="JHY7" s="747" t="n">
        <v>206</v>
      </c>
      <c r="JHZ7" s="747" t="n">
        <v>207</v>
      </c>
      <c r="JIA7" s="747" t="n">
        <v>208</v>
      </c>
      <c r="JIB7" s="747" t="n">
        <v>210</v>
      </c>
      <c r="JIC7" s="747" t="n">
        <v>212</v>
      </c>
      <c r="JID7" s="747" t="n">
        <v>213</v>
      </c>
      <c r="JIE7" s="747" t="n">
        <v>214</v>
      </c>
      <c r="JIF7" s="747" t="n">
        <v>215</v>
      </c>
      <c r="JIG7" s="747" t="n">
        <v>217</v>
      </c>
      <c r="JIH7" s="747" t="n">
        <v>219</v>
      </c>
      <c r="JII7" s="747" t="n">
        <v>220</v>
      </c>
      <c r="JIJ7" s="747" t="n">
        <v>221</v>
      </c>
      <c r="JIK7" s="747" t="n">
        <v>222</v>
      </c>
      <c r="JIL7" s="747" t="n">
        <v>223</v>
      </c>
      <c r="JIM7" s="747" t="n">
        <v>224</v>
      </c>
      <c r="JIN7" s="747" t="n">
        <v>228</v>
      </c>
      <c r="JIO7" s="747" t="n">
        <v>229</v>
      </c>
      <c r="JIP7" s="747" t="n">
        <v>230</v>
      </c>
      <c r="JIQ7" s="747" t="n">
        <v>231</v>
      </c>
      <c r="JIR7" s="747" t="n">
        <v>232</v>
      </c>
      <c r="JIS7" s="747" t="n">
        <v>235</v>
      </c>
      <c r="JIT7" s="747" t="n">
        <v>236</v>
      </c>
      <c r="JIU7" s="747" t="n">
        <v>240</v>
      </c>
      <c r="JIV7" s="747" t="n">
        <v>244</v>
      </c>
      <c r="JIW7" s="747" t="n">
        <v>245</v>
      </c>
      <c r="JIX7" s="747" t="n">
        <v>246</v>
      </c>
      <c r="JIY7" s="747" t="n">
        <v>247</v>
      </c>
      <c r="JIZ7" s="747" t="n">
        <v>249</v>
      </c>
      <c r="JJA7" s="747" t="n">
        <v>250</v>
      </c>
      <c r="JJB7" s="747" t="n">
        <v>251</v>
      </c>
      <c r="JJC7" s="747" t="n">
        <v>252</v>
      </c>
      <c r="JJD7" s="747" t="n">
        <v>253</v>
      </c>
      <c r="JJE7" s="747" t="n">
        <v>254</v>
      </c>
      <c r="JJF7" s="747" t="n">
        <v>255</v>
      </c>
      <c r="JJG7" s="747" t="n">
        <v>256</v>
      </c>
      <c r="JJH7" s="747" t="n">
        <v>259</v>
      </c>
      <c r="JJI7" s="747" t="n">
        <v>260</v>
      </c>
      <c r="JJJ7" s="747" t="n">
        <v>262</v>
      </c>
      <c r="JJK7" s="747" t="n">
        <v>263</v>
      </c>
      <c r="JJL7" s="747" t="n">
        <v>264</v>
      </c>
      <c r="JJM7" s="747" t="n">
        <v>266</v>
      </c>
      <c r="JJN7" s="747" t="n">
        <v>267</v>
      </c>
      <c r="JJO7" s="747" t="n">
        <v>300</v>
      </c>
      <c r="JJP7" s="747" t="n">
        <v>301</v>
      </c>
      <c r="JJQ7" s="747" t="n">
        <v>303</v>
      </c>
      <c r="JJR7" s="747" t="n">
        <v>304</v>
      </c>
      <c r="JJS7" s="747" t="n">
        <v>305</v>
      </c>
      <c r="JJT7" s="747" t="n">
        <v>307</v>
      </c>
      <c r="JJU7" s="747" t="n">
        <v>308</v>
      </c>
      <c r="JJV7" s="747" t="n">
        <v>310</v>
      </c>
      <c r="JJW7" s="747" t="n">
        <v>312</v>
      </c>
      <c r="JJX7" s="747" t="n">
        <v>313</v>
      </c>
      <c r="JJY7" s="747" t="n">
        <v>314</v>
      </c>
      <c r="JJZ7" s="747" t="n">
        <v>316</v>
      </c>
      <c r="JKA7" s="747" t="n">
        <v>317</v>
      </c>
      <c r="JKB7" s="747" t="n">
        <v>318</v>
      </c>
      <c r="JKC7" s="747" t="n">
        <v>319</v>
      </c>
      <c r="JKD7" s="747" t="n">
        <v>320</v>
      </c>
      <c r="JKE7" s="747" t="n">
        <v>323</v>
      </c>
      <c r="JKF7" s="747" t="n">
        <v>324</v>
      </c>
      <c r="JKG7" s="747" t="n">
        <v>325</v>
      </c>
      <c r="JKH7" s="747" t="n">
        <v>326</v>
      </c>
      <c r="JKI7" s="747" t="n">
        <v>327</v>
      </c>
      <c r="JKJ7" s="747" t="n">
        <v>328</v>
      </c>
      <c r="JKK7" s="747" t="n">
        <v>329</v>
      </c>
      <c r="JKL7" s="747" t="n">
        <v>330</v>
      </c>
      <c r="JKM7" s="747" t="n">
        <v>331</v>
      </c>
      <c r="JKN7" s="747" t="n">
        <v>332</v>
      </c>
      <c r="JKO7" s="747" t="n">
        <v>333</v>
      </c>
      <c r="JKP7" s="747" t="n">
        <v>334</v>
      </c>
      <c r="JKQ7" s="747" t="n">
        <v>337</v>
      </c>
      <c r="JKR7" s="747" t="n">
        <v>338</v>
      </c>
      <c r="JKS7" s="747" t="n">
        <v>339</v>
      </c>
      <c r="JKT7" s="747" t="n">
        <v>340</v>
      </c>
      <c r="JKU7" s="747" t="n">
        <v>342</v>
      </c>
      <c r="JKV7" s="747" t="n">
        <v>345</v>
      </c>
      <c r="JKW7" s="747" t="n">
        <v>349</v>
      </c>
      <c r="JKX7" s="747" t="n">
        <v>350</v>
      </c>
      <c r="JKY7" s="747" t="n">
        <v>351</v>
      </c>
      <c r="JKZ7" s="747" t="n">
        <v>352</v>
      </c>
      <c r="JLA7" s="747" t="n">
        <v>353</v>
      </c>
      <c r="JLB7" s="747" t="n">
        <v>354</v>
      </c>
      <c r="JLC7" s="747" t="n">
        <v>355</v>
      </c>
      <c r="JLD7" s="747" t="n">
        <v>357</v>
      </c>
      <c r="JLE7" s="747" t="n">
        <v>360</v>
      </c>
      <c r="JLF7" s="747" t="n">
        <v>361</v>
      </c>
      <c r="JLG7" s="747" t="n">
        <v>362</v>
      </c>
      <c r="JLH7" s="747" t="n">
        <v>363</v>
      </c>
      <c r="JLI7" s="747" t="n">
        <v>367</v>
      </c>
      <c r="JLJ7" s="747" t="n">
        <v>369</v>
      </c>
      <c r="JLK7" s="747" t="n">
        <v>371</v>
      </c>
      <c r="JLL7" s="747" t="n">
        <v>372</v>
      </c>
      <c r="JLM7" s="747" t="n">
        <v>373</v>
      </c>
      <c r="JLN7" s="747" t="n">
        <v>374</v>
      </c>
      <c r="JLO7" s="747" t="n">
        <v>375</v>
      </c>
      <c r="JLP7" s="747" t="n">
        <v>376</v>
      </c>
      <c r="JLQ7" s="747" t="n">
        <v>378</v>
      </c>
      <c r="JLR7" s="747" t="n">
        <v>381</v>
      </c>
      <c r="JLS7" s="747" t="n">
        <v>382</v>
      </c>
      <c r="JLT7" s="747" t="n">
        <v>383</v>
      </c>
      <c r="JLU7" s="747" t="n">
        <v>384</v>
      </c>
      <c r="JLV7" s="747" t="n">
        <v>385</v>
      </c>
      <c r="JLW7" s="747" t="n">
        <v>386</v>
      </c>
      <c r="JLX7" s="747" t="n">
        <v>387</v>
      </c>
      <c r="JLY7" s="747" t="n">
        <v>388</v>
      </c>
      <c r="JLZ7" s="747" t="n">
        <v>389</v>
      </c>
      <c r="JMA7" s="747" t="n">
        <v>390</v>
      </c>
      <c r="JMB7" s="747" t="n">
        <v>391</v>
      </c>
      <c r="JMC7" s="747" t="n">
        <v>392</v>
      </c>
      <c r="JMD7" s="747" t="n">
        <v>394</v>
      </c>
      <c r="JME7" s="747" t="n">
        <v>395</v>
      </c>
      <c r="JMF7" s="747" t="n">
        <v>398</v>
      </c>
      <c r="JMG7" s="747" t="n">
        <v>399</v>
      </c>
      <c r="JMH7" s="747" t="n">
        <v>406</v>
      </c>
      <c r="JMI7" s="747" t="n">
        <v>409</v>
      </c>
      <c r="JMJ7" s="747" t="n">
        <v>410</v>
      </c>
      <c r="JMK7" s="747" t="n">
        <v>412</v>
      </c>
      <c r="JML7" s="747" t="n">
        <v>413</v>
      </c>
      <c r="JMM7" s="747" t="n">
        <v>414</v>
      </c>
      <c r="JMN7" s="747" t="n">
        <v>415</v>
      </c>
      <c r="JMO7" s="747" t="n">
        <v>417</v>
      </c>
      <c r="JMP7" s="747" t="n">
        <v>418</v>
      </c>
      <c r="JMQ7" s="747" t="n">
        <v>420</v>
      </c>
      <c r="JMR7" s="747" t="n">
        <v>424</v>
      </c>
      <c r="JMS7" s="747" t="n">
        <v>425</v>
      </c>
      <c r="JMT7" s="747" t="n">
        <v>427</v>
      </c>
      <c r="JMU7" s="747" t="n">
        <v>428</v>
      </c>
      <c r="JMV7" s="747" t="n">
        <v>431</v>
      </c>
      <c r="JMW7" s="747" t="n">
        <v>432</v>
      </c>
      <c r="JMX7" s="747" t="n">
        <v>433</v>
      </c>
      <c r="JMY7" s="747" t="n">
        <v>434</v>
      </c>
      <c r="JMZ7" s="747" t="n">
        <v>435</v>
      </c>
      <c r="JNA7" s="747" t="n">
        <v>437</v>
      </c>
      <c r="JNB7" s="747" t="n">
        <v>438</v>
      </c>
      <c r="JNC7" s="747" t="n">
        <v>439</v>
      </c>
      <c r="JND7" s="747" t="n">
        <v>440</v>
      </c>
      <c r="JNE7" s="747" t="n">
        <v>441</v>
      </c>
      <c r="JNF7" s="747" t="n">
        <v>448</v>
      </c>
      <c r="JNG7" s="747" t="n">
        <v>449</v>
      </c>
      <c r="JNH7" s="747" t="n">
        <v>450</v>
      </c>
      <c r="JNI7" s="747" t="n">
        <v>452</v>
      </c>
      <c r="JNJ7" s="747" t="n">
        <v>453</v>
      </c>
      <c r="JNK7" s="747" t="n">
        <v>454</v>
      </c>
      <c r="JNL7" s="747" t="n">
        <v>456</v>
      </c>
      <c r="JNM7" s="747" t="n">
        <v>457</v>
      </c>
      <c r="JNN7" s="747" t="n">
        <v>460</v>
      </c>
      <c r="JNO7" s="747" t="n">
        <v>461</v>
      </c>
      <c r="JNP7" s="747" t="n">
        <v>462</v>
      </c>
      <c r="JNQ7" s="747" t="n">
        <v>465</v>
      </c>
      <c r="JNR7" s="747" t="n">
        <v>466</v>
      </c>
      <c r="JNS7" s="747" t="n">
        <v>468</v>
      </c>
      <c r="JNT7" s="747" t="n">
        <v>469</v>
      </c>
      <c r="JNU7" s="747" t="n">
        <v>476</v>
      </c>
      <c r="JNV7" s="747" t="n">
        <v>479</v>
      </c>
      <c r="JNW7" s="747" t="n">
        <v>484</v>
      </c>
      <c r="JNX7" s="747" t="n">
        <v>485</v>
      </c>
      <c r="JNY7" s="747" t="n">
        <v>486</v>
      </c>
      <c r="JNZ7" s="747" t="n">
        <v>487</v>
      </c>
      <c r="JOA7" s="747" t="n">
        <v>488</v>
      </c>
      <c r="JOB7" s="747" t="n">
        <v>490</v>
      </c>
      <c r="JOC7" s="747" t="n">
        <v>5026</v>
      </c>
      <c r="JOD7" s="747" t="n">
        <v>5027</v>
      </c>
      <c r="JOE7" s="747" t="n">
        <v>5028</v>
      </c>
      <c r="JOF7" s="747" t="n">
        <v>5029</v>
      </c>
      <c r="JOG7" s="747" t="n">
        <v>5031</v>
      </c>
      <c r="JOH7" s="747" t="n">
        <v>5032</v>
      </c>
      <c r="JOI7" s="747" t="n">
        <v>5033</v>
      </c>
      <c r="JOJ7" s="747" t="n">
        <v>5034</v>
      </c>
      <c r="JOK7" s="747" t="n">
        <v>5041</v>
      </c>
      <c r="JOL7" s="747" t="n">
        <v>5106</v>
      </c>
      <c r="JOM7" s="747" t="n">
        <v>5109</v>
      </c>
      <c r="JON7" s="747" t="n">
        <v>5110</v>
      </c>
      <c r="JOO7" s="747" t="n">
        <v>5112</v>
      </c>
      <c r="JOP7" s="747" t="n">
        <v>5117</v>
      </c>
      <c r="JOQ7" s="747" t="n">
        <v>5118</v>
      </c>
      <c r="JOR7" s="747" t="n">
        <v>5119</v>
      </c>
      <c r="JOS7" s="747" t="n">
        <v>5120</v>
      </c>
      <c r="JOT7" s="747" t="n">
        <v>5121</v>
      </c>
      <c r="JOU7" s="747" t="n">
        <v>5122</v>
      </c>
      <c r="JOV7" s="747" t="n">
        <v>5123</v>
      </c>
      <c r="JOW7" s="747" t="n">
        <v>5124</v>
      </c>
      <c r="JOX7" s="747" t="n">
        <v>5125</v>
      </c>
      <c r="JOY7" s="747" t="n">
        <v>5230</v>
      </c>
      <c r="JOZ7" s="747" t="n">
        <v>5263</v>
      </c>
      <c r="JPA7" s="747" t="n">
        <v>5267</v>
      </c>
      <c r="JPB7" s="747" t="n">
        <v>5273</v>
      </c>
      <c r="JPC7" s="747" t="n">
        <v>5274</v>
      </c>
      <c r="JPD7" s="747" t="n">
        <v>5275</v>
      </c>
      <c r="JPE7" s="747" t="n">
        <v>5276</v>
      </c>
      <c r="JPF7" s="747" t="n">
        <v>5277</v>
      </c>
      <c r="JPG7" s="747" t="n">
        <v>5278</v>
      </c>
      <c r="JPH7" s="747" t="n">
        <v>5279</v>
      </c>
      <c r="JPI7" s="747" t="n">
        <v>5280</v>
      </c>
      <c r="JPJ7" s="747" t="n">
        <v>5281</v>
      </c>
      <c r="JPK7" s="747" t="n">
        <v>5282</v>
      </c>
      <c r="JPL7" s="747" t="n">
        <v>5283</v>
      </c>
      <c r="JPM7" s="747" t="n">
        <v>5284</v>
      </c>
      <c r="JPN7" s="747" t="n">
        <v>5285</v>
      </c>
      <c r="JPO7" s="747" t="n">
        <v>5292</v>
      </c>
      <c r="JPP7" s="747" t="n">
        <v>5293</v>
      </c>
      <c r="JPQ7" s="747" t="n">
        <v>5308</v>
      </c>
      <c r="JPR7" s="747" t="n">
        <v>5321</v>
      </c>
      <c r="JPS7" s="747" t="n">
        <v>5548</v>
      </c>
      <c r="JPT7" s="747" t="n">
        <v>5549</v>
      </c>
      <c r="JPU7" s="747" t="n">
        <v>5330</v>
      </c>
      <c r="JPV7" s="747" t="n">
        <v>5335</v>
      </c>
      <c r="JPW7" s="747" t="n">
        <v>5337</v>
      </c>
      <c r="JPX7" s="747" t="n">
        <v>5344</v>
      </c>
      <c r="JPY7" s="747" t="n">
        <v>5345</v>
      </c>
      <c r="JPZ7" s="747" t="n">
        <v>5347</v>
      </c>
      <c r="JQA7" s="747" t="n">
        <v>5349</v>
      </c>
      <c r="JQB7" s="747" t="n">
        <v>5350</v>
      </c>
      <c r="JQC7" s="747" t="n">
        <v>5351</v>
      </c>
      <c r="JQD7" s="747" t="n">
        <v>5353</v>
      </c>
      <c r="JQE7" s="747" t="n">
        <v>5354</v>
      </c>
      <c r="JQF7" s="747" t="n">
        <v>5355</v>
      </c>
      <c r="JQG7" s="747" t="n">
        <v>5369</v>
      </c>
      <c r="JQH7" s="747" t="n">
        <v>5367</v>
      </c>
      <c r="JQI7" s="747" t="n">
        <v>5368</v>
      </c>
      <c r="JQJ7" s="747" t="n">
        <v>379</v>
      </c>
      <c r="JQK7" s="747" t="n">
        <v>377</v>
      </c>
      <c r="JQL7" s="747" t="n">
        <v>380</v>
      </c>
      <c r="JQM7" s="747" t="n">
        <v>5493</v>
      </c>
      <c r="JQN7" s="747" t="n">
        <v>5494</v>
      </c>
      <c r="JQO7" s="747" t="n">
        <v>5461</v>
      </c>
      <c r="JQP7" s="747" t="n">
        <v>5478</v>
      </c>
      <c r="JQQ7" s="747" t="n">
        <v>5479</v>
      </c>
      <c r="JQR7" s="747" t="n">
        <v>5492</v>
      </c>
      <c r="JQS7" s="747" t="n">
        <v>5495</v>
      </c>
      <c r="JQT7" s="747" t="n">
        <v>5496</v>
      </c>
      <c r="JQU7" s="747" t="n">
        <v>5507</v>
      </c>
      <c r="JQV7" s="747" t="n">
        <v>5508</v>
      </c>
      <c r="JQW7" s="747" t="n">
        <v>5511</v>
      </c>
      <c r="JQX7" s="747" t="n">
        <v>5522</v>
      </c>
      <c r="JQY7" s="747" t="n">
        <v>5527</v>
      </c>
      <c r="JQZ7" s="747" t="n">
        <v>5529</v>
      </c>
      <c r="JRA7" s="747" t="n">
        <v>5530</v>
      </c>
      <c r="JRB7" s="747" t="n">
        <v>5532</v>
      </c>
      <c r="JRC7" s="747" t="n">
        <v>5536</v>
      </c>
      <c r="JRD7" s="747" t="n">
        <v>5537</v>
      </c>
      <c r="JRE7" s="747" t="n">
        <v>5538</v>
      </c>
      <c r="JRF7" s="747" t="n">
        <v>5540</v>
      </c>
      <c r="JRG7" s="747" t="n">
        <v>5555</v>
      </c>
      <c r="JRH7" s="747" t="n">
        <v>5566</v>
      </c>
      <c r="JRI7" s="747" t="n">
        <v>5804</v>
      </c>
      <c r="JRJ7" s="747" t="n">
        <v>5808</v>
      </c>
      <c r="JRK7" s="747" t="n">
        <v>5812</v>
      </c>
      <c r="JRL7" s="747" t="n">
        <v>5816</v>
      </c>
      <c r="JRM7" s="747" t="n">
        <v>5814</v>
      </c>
      <c r="JRN7" s="747" t="n">
        <v>5817</v>
      </c>
      <c r="JRO7" s="747" t="n">
        <v>5818</v>
      </c>
      <c r="JRP7" s="747" t="n">
        <v>5819</v>
      </c>
      <c r="JRQ7" s="747" t="n">
        <v>5825</v>
      </c>
      <c r="JRR7" s="747" t="n">
        <v>5820</v>
      </c>
      <c r="JRS7" s="747" t="n">
        <v>6370</v>
      </c>
      <c r="JRT7" s="747" t="n">
        <v>5821</v>
      </c>
      <c r="JRU7" s="747" t="n">
        <v>5822</v>
      </c>
      <c r="JRV7" s="747" t="n">
        <v>6372</v>
      </c>
      <c r="JRW7" s="747" t="n">
        <v>5823</v>
      </c>
      <c r="JRX7" s="747" t="n">
        <v>5824</v>
      </c>
      <c r="JRY7" s="747" t="n">
        <v>5828</v>
      </c>
      <c r="JRZ7" s="747" t="n">
        <v>5832</v>
      </c>
      <c r="JSA7" s="747" t="n">
        <v>5829</v>
      </c>
      <c r="JSB7" s="747" t="n">
        <v>5834</v>
      </c>
      <c r="JSC7" s="747" t="n">
        <v>5830</v>
      </c>
      <c r="JSD7" s="747" t="n">
        <v>5845</v>
      </c>
      <c r="JSE7" s="747" t="n">
        <v>5831</v>
      </c>
      <c r="JSF7" s="747" t="n">
        <v>5839</v>
      </c>
      <c r="JSG7" s="747" t="n">
        <v>5841</v>
      </c>
      <c r="JSH7" s="747" t="n">
        <v>5833</v>
      </c>
      <c r="JSI7" s="747" t="n">
        <v>5837</v>
      </c>
      <c r="JSJ7" s="747" t="n">
        <v>5836</v>
      </c>
      <c r="JSK7" s="747" t="n">
        <v>5840</v>
      </c>
      <c r="JSL7" s="747" t="n">
        <v>5844</v>
      </c>
      <c r="JSM7" s="747" t="n">
        <v>5848</v>
      </c>
      <c r="JSN7" s="747" t="n">
        <v>5850</v>
      </c>
      <c r="JSO7" s="747" t="n">
        <v>5852</v>
      </c>
      <c r="JSP7" s="747" t="n">
        <v>5856</v>
      </c>
      <c r="JSQ7" s="747" t="n">
        <v>5856</v>
      </c>
      <c r="JSR7" s="747" t="n">
        <v>5856</v>
      </c>
      <c r="JSS7" s="747" t="n">
        <v>5860</v>
      </c>
      <c r="JST7" s="747" t="n">
        <v>5860</v>
      </c>
      <c r="JSU7" s="747" t="n">
        <v>5860</v>
      </c>
      <c r="JSV7" s="747" t="n">
        <v>5864</v>
      </c>
      <c r="JSW7" s="747" t="n">
        <v>5868</v>
      </c>
      <c r="JSX7" s="747" t="n">
        <v>5872</v>
      </c>
      <c r="JSY7" s="747" t="n">
        <v>5875</v>
      </c>
      <c r="JSZ7" s="747" t="n">
        <v>5876</v>
      </c>
      <c r="JTA7" s="747" t="n">
        <v>5880</v>
      </c>
      <c r="JTB7" s="747" t="n">
        <v>5881</v>
      </c>
      <c r="JTC7" s="747" t="n">
        <v>5882</v>
      </c>
      <c r="JTD7" s="747" t="n">
        <v>5883</v>
      </c>
      <c r="JTE7" s="747" t="n">
        <v>5884</v>
      </c>
      <c r="JTF7" s="747" t="n">
        <v>5884</v>
      </c>
      <c r="JTG7" s="747" t="n">
        <v>5896</v>
      </c>
      <c r="JTH7" s="747" t="n">
        <v>5897</v>
      </c>
      <c r="JTI7" s="747" t="n">
        <v>5898</v>
      </c>
      <c r="JTJ7" s="747" t="n">
        <v>5900</v>
      </c>
      <c r="JTK7" s="747" t="n">
        <v>5901</v>
      </c>
      <c r="JTL7" s="747" t="n">
        <v>5902</v>
      </c>
      <c r="JTM7" s="747" t="n">
        <v>5903</v>
      </c>
      <c r="JTN7" s="747" t="n">
        <v>5904</v>
      </c>
      <c r="JTO7" s="747" t="n">
        <v>5905</v>
      </c>
      <c r="JTP7" s="747" t="n">
        <v>5907</v>
      </c>
      <c r="JTQ7" s="747" t="n">
        <v>5909</v>
      </c>
      <c r="JTR7" s="747" t="n">
        <v>5909</v>
      </c>
      <c r="JTS7" s="747" t="n">
        <v>5909</v>
      </c>
      <c r="JTT7" s="747" t="n">
        <v>5912</v>
      </c>
      <c r="JTU7" s="747" t="n">
        <v>5914</v>
      </c>
      <c r="JTV7" s="747" t="n">
        <v>5916</v>
      </c>
      <c r="JTW7" s="747" t="n">
        <v>5916</v>
      </c>
      <c r="JTX7" s="747" t="n">
        <v>5918</v>
      </c>
      <c r="JTY7" s="747" t="n">
        <v>5918</v>
      </c>
      <c r="JTZ7" s="747" t="n">
        <v>5920</v>
      </c>
      <c r="JUA7" s="747" t="n">
        <v>5920</v>
      </c>
      <c r="JUB7" s="747" t="n">
        <v>5920</v>
      </c>
      <c r="JUC7" s="747" t="n">
        <v>5920</v>
      </c>
      <c r="JUD7" s="747" t="n">
        <v>5931</v>
      </c>
      <c r="JUE7" s="747" t="n">
        <v>5932</v>
      </c>
      <c r="JUF7" s="747" t="n">
        <v>5933</v>
      </c>
      <c r="JUG7" s="747" t="n">
        <v>5934</v>
      </c>
      <c r="JUH7" s="747" t="n">
        <v>5936</v>
      </c>
      <c r="JUI7" s="747" t="n">
        <v>5937</v>
      </c>
      <c r="JUJ7" s="747" t="n">
        <v>5943</v>
      </c>
      <c r="JUK7" s="747" t="n">
        <v>5944</v>
      </c>
      <c r="JUL7" s="747" t="n">
        <v>5945</v>
      </c>
      <c r="JUM7" s="747" t="n">
        <v>5946</v>
      </c>
      <c r="JUN7" s="747" t="n">
        <v>5947</v>
      </c>
      <c r="JUO7" s="747" t="n">
        <v>5970</v>
      </c>
      <c r="JUP7" s="747" t="n">
        <v>5971</v>
      </c>
      <c r="JUQ7" s="747" t="n">
        <v>5972</v>
      </c>
      <c r="JUR7" s="747" t="n">
        <v>5973</v>
      </c>
      <c r="JUS7" s="747" t="n">
        <v>5974</v>
      </c>
      <c r="JUT7" s="747" t="n">
        <v>5975</v>
      </c>
      <c r="JUU7" s="747" t="n">
        <v>5976</v>
      </c>
      <c r="JUV7" s="747" t="n">
        <v>5977</v>
      </c>
      <c r="JUW7" s="747" t="n">
        <v>5978</v>
      </c>
      <c r="JUX7" s="747" t="n">
        <v>6003</v>
      </c>
      <c r="JUY7" s="747" t="n">
        <v>6007</v>
      </c>
      <c r="JUZ7" s="747" t="n">
        <v>6010</v>
      </c>
      <c r="JVA7" s="747" t="n">
        <v>6011</v>
      </c>
      <c r="JVB7" s="747" t="n">
        <v>6012</v>
      </c>
      <c r="JVC7" s="747" t="n">
        <v>6013</v>
      </c>
      <c r="JVD7" s="747" t="n">
        <v>6014</v>
      </c>
      <c r="JVE7" s="747" t="n">
        <v>6033</v>
      </c>
      <c r="JVF7" s="747" t="n">
        <v>6035</v>
      </c>
      <c r="JVG7" s="747" t="n">
        <v>6036</v>
      </c>
      <c r="JVH7" s="747" t="n">
        <v>6040</v>
      </c>
      <c r="JVI7" s="747" t="n">
        <v>6045</v>
      </c>
      <c r="JVJ7" s="747" t="n">
        <v>6047</v>
      </c>
      <c r="JVK7" s="747" t="n">
        <v>6048</v>
      </c>
      <c r="JVL7" s="747" t="n">
        <v>6049</v>
      </c>
      <c r="JVM7" s="747" t="n">
        <v>6050</v>
      </c>
      <c r="JVN7" s="747" t="n">
        <v>6051</v>
      </c>
      <c r="JVO7" s="747" t="n">
        <v>6053</v>
      </c>
      <c r="JVP7" s="747" t="n">
        <v>6055</v>
      </c>
      <c r="JVQ7" s="747" t="n">
        <v>6056</v>
      </c>
      <c r="JVR7" s="747" t="n">
        <v>6063</v>
      </c>
      <c r="JVS7" s="747" t="n">
        <v>6070</v>
      </c>
      <c r="JVT7" s="747" t="n">
        <v>6071</v>
      </c>
      <c r="JVU7" s="747" t="n">
        <v>6072</v>
      </c>
      <c r="JVV7" s="747" t="n">
        <v>6074</v>
      </c>
      <c r="JVW7" s="747" t="n">
        <v>6076</v>
      </c>
      <c r="JVX7" s="747" t="n">
        <v>6080</v>
      </c>
      <c r="JVY7" s="747" t="n">
        <v>6085</v>
      </c>
      <c r="JVZ7" s="747" t="n">
        <v>6845</v>
      </c>
      <c r="JWA7" s="747" t="n">
        <v>6092</v>
      </c>
      <c r="JWB7" s="747" t="n">
        <v>6091</v>
      </c>
      <c r="JWC7" s="747" t="n">
        <v>6096</v>
      </c>
      <c r="JWD7" s="747" t="n">
        <v>6089</v>
      </c>
      <c r="JWE7" s="747" t="n">
        <v>6090</v>
      </c>
      <c r="JWF7" s="747" t="n">
        <v>6083</v>
      </c>
      <c r="JWG7" s="747" t="n">
        <v>6094</v>
      </c>
      <c r="JWH7" s="747" t="n">
        <v>6095</v>
      </c>
      <c r="JWI7" s="747" t="n">
        <v>6269</v>
      </c>
      <c r="JWJ7" s="747" t="n">
        <v>6097</v>
      </c>
      <c r="JWK7" s="747" t="n">
        <v>6097</v>
      </c>
      <c r="JWL7" s="747" t="n">
        <v>6099</v>
      </c>
      <c r="JWM7" s="747" t="n">
        <v>6099</v>
      </c>
      <c r="JWN7" s="747" t="n">
        <v>6118</v>
      </c>
      <c r="JWO7" s="747" t="n">
        <v>6119</v>
      </c>
      <c r="JWP7" s="747" t="n">
        <v>6105</v>
      </c>
      <c r="JWQ7" s="747" t="n">
        <v>6109</v>
      </c>
      <c r="JWR7" s="747" t="n">
        <v>6113</v>
      </c>
      <c r="JWS7" s="747" t="n">
        <v>6108</v>
      </c>
      <c r="JWT7" s="747" t="n">
        <v>6110</v>
      </c>
      <c r="JWU7" s="747" t="n">
        <v>6112</v>
      </c>
      <c r="JWV7" s="747" t="n">
        <v>6112</v>
      </c>
      <c r="JWW7" s="747" t="n">
        <v>6114</v>
      </c>
      <c r="JWX7" s="747" t="n">
        <v>6114</v>
      </c>
      <c r="JWY7" s="747" t="n">
        <v>6116</v>
      </c>
      <c r="JWZ7" s="747" t="n">
        <v>6106</v>
      </c>
      <c r="JXA7" s="747" t="n">
        <v>6120</v>
      </c>
      <c r="JXB7" s="747" t="n">
        <v>6121</v>
      </c>
      <c r="JXC7" s="747" t="n">
        <v>6122</v>
      </c>
      <c r="JXD7" s="747" t="n">
        <v>6123</v>
      </c>
      <c r="JXE7" s="747" t="n">
        <v>6124</v>
      </c>
      <c r="JXF7" s="747" t="n">
        <v>6126</v>
      </c>
      <c r="JXG7" s="747" t="n">
        <v>6130</v>
      </c>
      <c r="JXH7" s="747" t="n">
        <v>6125</v>
      </c>
      <c r="JXI7" s="747" t="n">
        <v>6146</v>
      </c>
      <c r="JXJ7" s="747" t="n">
        <v>6131</v>
      </c>
      <c r="JXK7" s="747" t="n">
        <v>6134</v>
      </c>
      <c r="JXL7" s="747" t="n">
        <v>6138</v>
      </c>
      <c r="JXM7" s="747" t="n">
        <v>6139</v>
      </c>
      <c r="JXN7" s="747" t="n">
        <v>6143</v>
      </c>
      <c r="JXO7" s="747" t="n">
        <v>6147</v>
      </c>
      <c r="JXP7" s="747" t="n">
        <v>6148</v>
      </c>
      <c r="JXQ7" s="747" t="n">
        <v>6135</v>
      </c>
      <c r="JXR7" s="747" t="n">
        <v>6137</v>
      </c>
      <c r="JXS7" s="747" t="n">
        <v>6355</v>
      </c>
      <c r="JXT7" s="747" t="n">
        <v>6150</v>
      </c>
      <c r="JXU7" s="747" t="n">
        <v>6151</v>
      </c>
      <c r="JXV7" s="747" t="n">
        <v>6152</v>
      </c>
      <c r="JXW7" s="747" t="n">
        <v>6154</v>
      </c>
      <c r="JXX7" s="747" t="n">
        <v>6155</v>
      </c>
      <c r="JXY7" s="747" t="n">
        <v>6156</v>
      </c>
      <c r="JXZ7" s="747" t="n">
        <v>6157</v>
      </c>
      <c r="JYA7" s="747" t="n">
        <v>6158</v>
      </c>
      <c r="JYB7" s="747" t="n">
        <v>6159</v>
      </c>
      <c r="JYC7" s="747" t="n">
        <v>6167</v>
      </c>
      <c r="JYD7" s="747" t="n">
        <v>6169</v>
      </c>
      <c r="JYE7" s="747" t="n">
        <v>6170</v>
      </c>
      <c r="JYF7" s="747" t="n">
        <v>6171</v>
      </c>
      <c r="JYG7" s="747" t="n">
        <v>6172</v>
      </c>
      <c r="JYH7" s="747" t="n">
        <v>6174</v>
      </c>
      <c r="JYI7" s="747" t="n">
        <v>6175</v>
      </c>
      <c r="JYJ7" s="747" t="n">
        <v>6177</v>
      </c>
      <c r="JYK7" s="747" t="n">
        <v>6178</v>
      </c>
      <c r="JYL7" s="747" t="n">
        <v>6179</v>
      </c>
      <c r="JYM7" s="747" t="n">
        <v>6140</v>
      </c>
      <c r="JYN7" s="747" t="n">
        <v>6180</v>
      </c>
      <c r="JYO7" s="747" t="n">
        <v>6190</v>
      </c>
      <c r="JYP7" s="747" t="n">
        <v>6183</v>
      </c>
      <c r="JYQ7" s="747" t="n">
        <v>6184</v>
      </c>
      <c r="JYR7" s="747" t="n">
        <v>6185</v>
      </c>
      <c r="JYS7" s="747" t="n">
        <v>6186</v>
      </c>
      <c r="JYT7" s="747" t="n">
        <v>6187</v>
      </c>
      <c r="JYU7" s="747" t="n">
        <v>6188</v>
      </c>
      <c r="JYV7" s="747" t="n">
        <v>6189</v>
      </c>
      <c r="JYW7" s="747" t="n">
        <v>6195</v>
      </c>
      <c r="JYX7" s="747" t="n">
        <v>6197</v>
      </c>
      <c r="JYY7" s="747" t="n">
        <v>6199</v>
      </c>
      <c r="JYZ7" s="747" t="n">
        <v>6210</v>
      </c>
      <c r="JZA7" s="747" t="n">
        <v>6098</v>
      </c>
      <c r="JZB7" s="747" t="n">
        <v>6098</v>
      </c>
      <c r="JZC7" s="747" t="n">
        <v>6238</v>
      </c>
      <c r="JZD7" s="747" t="n">
        <v>6220</v>
      </c>
      <c r="JZE7" s="747" t="n">
        <v>6225</v>
      </c>
      <c r="JZF7" s="747" t="n">
        <v>6226</v>
      </c>
      <c r="JZG7" s="747" t="n">
        <v>6227</v>
      </c>
      <c r="JZH7" s="747" t="n">
        <v>6229</v>
      </c>
      <c r="JZI7" s="747" t="n">
        <v>6228</v>
      </c>
      <c r="JZJ7" s="747" t="n">
        <v>6054</v>
      </c>
      <c r="JZK7" s="747" t="n">
        <v>6250</v>
      </c>
      <c r="JZL7" s="747" t="n">
        <v>6247</v>
      </c>
      <c r="JZM7" s="747" t="n">
        <v>6248</v>
      </c>
      <c r="JZN7" s="747" t="n">
        <v>6249</v>
      </c>
      <c r="JZO7" s="747" t="n">
        <v>6251</v>
      </c>
      <c r="JZP7" s="747" t="n">
        <v>6255</v>
      </c>
      <c r="JZQ7" s="747" t="n">
        <v>6305</v>
      </c>
      <c r="JZR7" s="747" t="n">
        <v>6310</v>
      </c>
      <c r="JZS7" s="747" t="n">
        <v>6266</v>
      </c>
      <c r="JZT7" s="747" t="n">
        <v>6324</v>
      </c>
      <c r="JZU7" s="747" t="n">
        <v>6325</v>
      </c>
      <c r="JZV7" s="747" t="n">
        <v>6326</v>
      </c>
      <c r="JZW7" s="747" t="n">
        <v>6327</v>
      </c>
      <c r="JZX7" s="747" t="n">
        <v>6322</v>
      </c>
      <c r="JZY7" s="747" t="n">
        <v>6320</v>
      </c>
      <c r="JZZ7" s="747" t="n">
        <v>6342</v>
      </c>
      <c r="KAA7" s="747" t="n">
        <v>6339</v>
      </c>
      <c r="KAB7" s="747" t="n">
        <v>6336</v>
      </c>
      <c r="KAC7" s="747" t="n">
        <v>6340</v>
      </c>
      <c r="KAD7" s="747" t="n">
        <v>6337</v>
      </c>
      <c r="KAE7" s="747" t="n">
        <v>6341</v>
      </c>
      <c r="KAF7" s="747" t="n">
        <v>6338</v>
      </c>
      <c r="KAG7" s="747" t="n">
        <v>6343</v>
      </c>
      <c r="KAH7" s="747" t="n">
        <v>6344</v>
      </c>
      <c r="KAI7" s="747" t="n">
        <v>6345</v>
      </c>
      <c r="KAJ7" s="747" t="n">
        <v>6346</v>
      </c>
      <c r="KAK7" s="747" t="n">
        <v>6347</v>
      </c>
      <c r="KAL7" s="747" t="n">
        <v>6348</v>
      </c>
      <c r="KAM7" s="747" t="n">
        <v>6349</v>
      </c>
      <c r="KAN7" s="747" t="n">
        <v>6350</v>
      </c>
      <c r="KAO7" s="747" t="n">
        <v>6351</v>
      </c>
      <c r="KAP7" s="747" t="n">
        <v>6368</v>
      </c>
      <c r="KAQ7" s="747" t="n">
        <v>6374</v>
      </c>
      <c r="KAR7" s="747" t="n">
        <v>6360</v>
      </c>
      <c r="KAS7" s="747" t="n">
        <v>6361</v>
      </c>
      <c r="KAT7" s="747" t="n">
        <v>6362</v>
      </c>
      <c r="KAU7" s="747" t="n">
        <v>6363</v>
      </c>
      <c r="KAV7" s="747" t="n">
        <v>6364</v>
      </c>
      <c r="KAW7" s="747" t="n">
        <v>6371</v>
      </c>
      <c r="KAX7" s="747" t="n">
        <v>6392</v>
      </c>
      <c r="KAY7" s="747" t="n">
        <v>6387</v>
      </c>
      <c r="KAZ7" s="747" t="n">
        <v>6380</v>
      </c>
      <c r="KBA7" s="747" t="n">
        <v>6381</v>
      </c>
      <c r="KBB7" s="747" t="n">
        <v>6382</v>
      </c>
      <c r="KBC7" s="747" t="n">
        <v>6383</v>
      </c>
      <c r="KBD7" s="747" t="n">
        <v>6352</v>
      </c>
      <c r="KBE7" s="747" t="n">
        <v>6353</v>
      </c>
      <c r="KBF7" s="747" t="n">
        <v>6354</v>
      </c>
      <c r="KBG7" s="747" t="n">
        <v>6389</v>
      </c>
      <c r="KBH7" s="747" t="n">
        <v>6385</v>
      </c>
      <c r="KBI7" s="747" t="n">
        <v>6386</v>
      </c>
      <c r="KBJ7" s="747" t="n">
        <v>6394</v>
      </c>
      <c r="KBK7" s="747" t="n">
        <v>6390</v>
      </c>
      <c r="KBL7" s="747" t="n">
        <v>6391</v>
      </c>
      <c r="KBM7" s="747" t="n">
        <v>6485</v>
      </c>
      <c r="KBN7" s="747" t="n">
        <v>6487</v>
      </c>
      <c r="KBO7" s="747" t="n">
        <v>6486</v>
      </c>
      <c r="KBP7" s="747" t="n">
        <v>6521</v>
      </c>
      <c r="KBQ7" s="747" t="n">
        <v>6522</v>
      </c>
      <c r="KBR7" s="747" t="n">
        <v>6625</v>
      </c>
      <c r="KBS7" s="747" t="n">
        <v>6626</v>
      </c>
      <c r="KBT7" s="747" t="n">
        <v>6627</v>
      </c>
      <c r="KBU7" s="747" t="n">
        <v>6630</v>
      </c>
      <c r="KBV7" s="747" t="n">
        <v>6631</v>
      </c>
      <c r="KBW7" s="747" t="n">
        <v>6632</v>
      </c>
      <c r="KBX7" s="747" t="n">
        <v>6636</v>
      </c>
      <c r="KBY7" s="747" t="n">
        <v>6637</v>
      </c>
      <c r="KBZ7" s="747" t="n">
        <v>6638</v>
      </c>
      <c r="KCA7" s="747" t="n">
        <v>6642</v>
      </c>
      <c r="KCB7" s="747" t="n">
        <v>6643</v>
      </c>
      <c r="KCC7" s="747" t="n">
        <v>6644</v>
      </c>
      <c r="KCD7" s="747" t="n">
        <v>6648</v>
      </c>
      <c r="KCE7" s="747" t="n">
        <v>6649</v>
      </c>
      <c r="KCF7" s="747" t="n">
        <v>6650</v>
      </c>
      <c r="KCG7" s="747" t="n">
        <v>6708</v>
      </c>
      <c r="KCH7" s="747" t="n">
        <v>6684</v>
      </c>
      <c r="KCI7" s="747" t="n">
        <v>6701</v>
      </c>
      <c r="KCJ7" s="747" t="n">
        <v>6702</v>
      </c>
      <c r="KCK7" s="747" t="n">
        <v>6694</v>
      </c>
      <c r="KCL7" s="747" t="n">
        <v>6685</v>
      </c>
      <c r="KCM7" s="747" t="n">
        <v>6709</v>
      </c>
      <c r="KCN7" s="747" t="n">
        <v>6695</v>
      </c>
      <c r="KCO7" s="747" t="n">
        <v>6691</v>
      </c>
      <c r="KCP7" s="747" t="n">
        <v>6692</v>
      </c>
      <c r="KCQ7" s="747" t="n">
        <v>6696</v>
      </c>
      <c r="KCR7" s="747" t="n">
        <v>6699</v>
      </c>
      <c r="KCS7" s="747" t="n">
        <v>6703</v>
      </c>
      <c r="KCT7" s="747" t="n">
        <v>6706</v>
      </c>
      <c r="KCU7" s="747" t="n">
        <v>6712</v>
      </c>
      <c r="KCV7" s="747" t="n">
        <v>6715</v>
      </c>
      <c r="KCW7" s="747" t="n">
        <v>6725</v>
      </c>
      <c r="KCX7" s="747" t="n">
        <v>6714</v>
      </c>
      <c r="KCY7" s="747" t="n">
        <v>6717</v>
      </c>
      <c r="KCZ7" s="747" t="n">
        <v>6718</v>
      </c>
      <c r="KDA7" s="747" t="n">
        <v>6719</v>
      </c>
      <c r="KDB7" s="747" t="n">
        <v>6726</v>
      </c>
      <c r="KDC7" s="747" t="n">
        <v>6713</v>
      </c>
      <c r="KDD7" s="747" t="n">
        <v>6730</v>
      </c>
      <c r="KDE7" s="747" t="n">
        <v>6720</v>
      </c>
      <c r="KDF7" s="747" t="n">
        <v>6721</v>
      </c>
      <c r="KDG7" s="747" t="n">
        <v>6722</v>
      </c>
      <c r="KDH7" s="747" t="n">
        <v>6749</v>
      </c>
      <c r="KDI7" s="747" t="n">
        <v>6757</v>
      </c>
      <c r="KDJ7" s="747" t="n">
        <v>6752</v>
      </c>
      <c r="KDK7" s="747" t="n">
        <v>6759</v>
      </c>
      <c r="KDL7" s="747" t="n">
        <v>6754</v>
      </c>
      <c r="KDM7" s="747" t="n">
        <v>6756</v>
      </c>
      <c r="KDN7" s="747" t="n">
        <v>6765</v>
      </c>
      <c r="KDO7" s="747" t="n">
        <v>6782</v>
      </c>
      <c r="KDP7" s="747" t="n">
        <v>6783</v>
      </c>
      <c r="KDQ7" s="747" t="n">
        <v>6784</v>
      </c>
      <c r="KDR7" s="747" t="n">
        <v>6786</v>
      </c>
      <c r="KDS7" s="747" t="n">
        <v>6787</v>
      </c>
      <c r="KDT7" s="747" t="n">
        <v>6788</v>
      </c>
      <c r="KDU7" s="747" t="n">
        <v>6789</v>
      </c>
      <c r="KDV7" s="747" t="n">
        <v>5569</v>
      </c>
      <c r="KDW7" s="747" t="n">
        <v>5570</v>
      </c>
      <c r="KDX7" s="747" t="n">
        <v>5571</v>
      </c>
      <c r="KDY7" s="747" t="n">
        <v>6792</v>
      </c>
      <c r="KDZ7" s="747" t="n">
        <v>6791</v>
      </c>
      <c r="KEA7" s="747" t="n">
        <v>6795</v>
      </c>
      <c r="KEB7" s="747" t="n">
        <v>6794</v>
      </c>
      <c r="KEC7" s="747" t="n">
        <v>6796</v>
      </c>
      <c r="KED7" s="747" t="n">
        <v>6798</v>
      </c>
      <c r="KEE7" s="747" t="n">
        <v>6801</v>
      </c>
      <c r="KEF7" s="747" t="n">
        <v>6802</v>
      </c>
      <c r="KEG7" s="747" t="n">
        <v>6807</v>
      </c>
      <c r="KEH7" s="747" t="n">
        <v>6806</v>
      </c>
      <c r="KEI7" s="747" t="n">
        <v>6803</v>
      </c>
      <c r="KEJ7" s="747" t="n">
        <v>6804</v>
      </c>
      <c r="KEK7" s="747" t="n">
        <v>6805</v>
      </c>
      <c r="KEL7" s="747" t="n">
        <v>6808</v>
      </c>
      <c r="KEM7" s="747" t="n">
        <v>6810</v>
      </c>
      <c r="KEN7" s="747" t="n">
        <v>6811</v>
      </c>
      <c r="KEO7" s="747" t="n">
        <v>5334</v>
      </c>
      <c r="KEP7" s="747" t="n">
        <v>5365</v>
      </c>
      <c r="KEQ7" s="747" t="n">
        <v>6820</v>
      </c>
      <c r="KER7" s="747" t="n">
        <v>6821</v>
      </c>
      <c r="KES7" s="747" t="n">
        <v>6822</v>
      </c>
      <c r="KET7" s="747" t="n">
        <v>6823</v>
      </c>
      <c r="KEU7" s="747" t="n">
        <v>6824</v>
      </c>
      <c r="KEV7" s="747" t="n">
        <v>6825</v>
      </c>
      <c r="KEW7" s="747" t="n">
        <v>6827</v>
      </c>
      <c r="KEX7" s="747" t="n">
        <v>6828</v>
      </c>
      <c r="KEY7" s="747" t="n">
        <v>6835</v>
      </c>
      <c r="KEZ7" s="747" t="n">
        <v>6834</v>
      </c>
      <c r="KFA7" s="747" t="n">
        <v>6836</v>
      </c>
      <c r="KFB7" s="747" t="n">
        <v>6837</v>
      </c>
      <c r="KFC7" s="747" t="n">
        <v>6838</v>
      </c>
      <c r="KFD7" s="747" t="n">
        <v>6880</v>
      </c>
      <c r="KFE7" s="747" t="n">
        <v>6881</v>
      </c>
      <c r="KFF7" s="747" t="n">
        <v>6882</v>
      </c>
      <c r="KFG7" s="747" t="n">
        <v>6883</v>
      </c>
      <c r="KFH7" s="747" t="n">
        <v>6884</v>
      </c>
      <c r="KFI7" s="747" t="n">
        <v>6885</v>
      </c>
    </row>
    <row r="8">
      <c r="B8" s="275" t="inlineStr">
        <is>
          <t>Client ID</t>
        </is>
      </c>
      <c r="C8" s="275" t="inlineStr">
        <is>
          <t>Application ID</t>
        </is>
      </c>
      <c r="D8" s="2" t="inlineStr">
        <is>
          <t>TNDS</t>
        </is>
      </c>
      <c r="E8" s="2" t="inlineStr">
        <is>
          <t>Full Name</t>
        </is>
      </c>
      <c r="F8" t="inlineStr">
        <is>
          <t>First Name</t>
        </is>
      </c>
      <c r="G8" t="inlineStr">
        <is>
          <t>Last Name</t>
        </is>
      </c>
      <c r="H8" t="inlineStr">
        <is>
          <t>CRA NAME</t>
        </is>
      </c>
      <c r="I8" t="inlineStr">
        <is>
          <t>Affected Since</t>
        </is>
      </c>
      <c r="J8" t="inlineStr">
        <is>
          <t>Error</t>
        </is>
      </c>
      <c r="K8" t="inlineStr">
        <is>
          <t xml:space="preserve">Insolvency </t>
        </is>
      </c>
      <c r="L8" s="2" t="inlineStr">
        <is>
          <t>Previous Debt</t>
        </is>
      </c>
      <c r="M8" t="inlineStr">
        <is>
          <t>Account Balance</t>
        </is>
      </c>
      <c r="N8" t="inlineStr">
        <is>
          <t>Previous DTC</t>
        </is>
      </c>
      <c r="O8" t="inlineStr">
        <is>
          <t>DTC for Self Eligibility</t>
        </is>
      </c>
      <c r="P8" t="inlineStr">
        <is>
          <t>DTC for Self Start Year</t>
        </is>
      </c>
      <c r="Q8" t="inlineStr">
        <is>
          <t>DTC for Self End Year</t>
        </is>
      </c>
      <c r="R8" t="inlineStr">
        <is>
          <t>DTC for Spouse Eligibility</t>
        </is>
      </c>
      <c r="S8" t="inlineStr">
        <is>
          <t>DTC for Spouse Start Year</t>
        </is>
      </c>
      <c r="T8" t="inlineStr">
        <is>
          <t>DTC for Spouse End Year</t>
        </is>
      </c>
      <c r="U8" t="inlineStr">
        <is>
          <t>DTC for Depenedent 1 Eligibility</t>
        </is>
      </c>
      <c r="V8" t="inlineStr">
        <is>
          <t>Dependent 1 Birth Year</t>
        </is>
      </c>
      <c r="W8" t="inlineStr">
        <is>
          <t>DTC for Dependent 1 Name</t>
        </is>
      </c>
      <c r="X8" t="inlineStr">
        <is>
          <t>DTC For Dependent 1 Start Year</t>
        </is>
      </c>
      <c r="Y8" t="inlineStr">
        <is>
          <t>DTC for Depenedent 1 End Year</t>
        </is>
      </c>
      <c r="Z8" t="inlineStr">
        <is>
          <t>DTC for Depenedent 2 Eligibility</t>
        </is>
      </c>
      <c r="AA8" t="inlineStr">
        <is>
          <t>Dependent 2 Birth Year</t>
        </is>
      </c>
      <c r="AB8" t="inlineStr">
        <is>
          <t>DTC for Depenedent 2 Name</t>
        </is>
      </c>
      <c r="AC8" t="inlineStr">
        <is>
          <t>DTC For Dependent 2 Start Year</t>
        </is>
      </c>
      <c r="AD8" t="inlineStr">
        <is>
          <t>DTC for Depenedent 2 End Year</t>
        </is>
      </c>
      <c r="AE8" t="inlineStr">
        <is>
          <t>DTC for Depenedent 3 Eligibility</t>
        </is>
      </c>
      <c r="AF8" t="inlineStr">
        <is>
          <t>Dependent 3 Birth Year</t>
        </is>
      </c>
      <c r="AG8" t="inlineStr">
        <is>
          <t>DTC for Depenedent 3 Name</t>
        </is>
      </c>
      <c r="AH8" t="inlineStr">
        <is>
          <t>DTC for Dependent 3 Start Year</t>
        </is>
      </c>
      <c r="AI8" t="inlineStr">
        <is>
          <t>DTC for Dependent 3 End Year</t>
        </is>
      </c>
      <c r="AJ8" t="inlineStr">
        <is>
          <t>DTC for Depenedent 4 Eligibility</t>
        </is>
      </c>
      <c r="AK8" t="inlineStr">
        <is>
          <t>Dependent 4 Birth Year</t>
        </is>
      </c>
      <c r="AL8" t="inlineStr">
        <is>
          <t>DTC for Depenedent 4 Name</t>
        </is>
      </c>
      <c r="AM8" t="inlineStr">
        <is>
          <t>DTC for Dependent 4 Start Year</t>
        </is>
      </c>
      <c r="AN8" t="inlineStr">
        <is>
          <t>DTC for Dependent 4 End Year</t>
        </is>
      </c>
      <c r="AO8" t="inlineStr">
        <is>
          <t>DTC for Depenedent 5 Eligibility</t>
        </is>
      </c>
      <c r="AP8" t="inlineStr">
        <is>
          <t>Dependent 5 Birth Year</t>
        </is>
      </c>
      <c r="AQ8" t="inlineStr">
        <is>
          <t>DTC for Depenedent 5 Name</t>
        </is>
      </c>
      <c r="AR8" t="inlineStr">
        <is>
          <t>DTC for Dependent 5 Start Year</t>
        </is>
      </c>
      <c r="AS8" t="inlineStr">
        <is>
          <t>DTC for Dependent 5 End Year</t>
        </is>
      </c>
      <c r="AT8" s="267" t="inlineStr">
        <is>
          <t>Direct Deposit (TAX)</t>
        </is>
      </c>
      <c r="AU8" s="264" t="inlineStr">
        <is>
          <t>Direct Deposit (CCB)</t>
        </is>
      </c>
      <c r="AV8" s="272" t="inlineStr">
        <is>
          <t>Bankrupt</t>
        </is>
      </c>
      <c r="AW8" t="inlineStr">
        <is>
          <t>Tax Year Filed</t>
        </is>
      </c>
      <c r="AX8" t="inlineStr">
        <is>
          <t>Taxing Province</t>
        </is>
      </c>
      <c r="AY8" t="inlineStr">
        <is>
          <t>Marital Status</t>
        </is>
      </c>
      <c r="AZ8" t="inlineStr">
        <is>
          <t>Balance before penalty and interest</t>
        </is>
      </c>
      <c r="BA8" t="inlineStr">
        <is>
          <t>Balance before penalty and interest</t>
        </is>
      </c>
      <c r="BB8" t="inlineStr">
        <is>
          <t>Final balance</t>
        </is>
      </c>
      <c r="BC8" t="inlineStr">
        <is>
          <t>Basic federal tax</t>
        </is>
      </c>
      <c r="BD8" t="inlineStr">
        <is>
          <t>Basic provincial or territorial tax</t>
        </is>
      </c>
      <c r="BE8" t="inlineStr">
        <is>
          <t>Ontario Health Premium</t>
        </is>
      </c>
      <c r="BF8" t="inlineStr">
        <is>
          <t>Employment income from T4 slips</t>
        </is>
      </c>
      <c r="BG8" t="inlineStr">
        <is>
          <t>Commissions included on line 10100</t>
        </is>
      </c>
      <c r="BH8" t="inlineStr">
        <is>
          <t>Wage-loss replacement contributions</t>
        </is>
      </c>
      <c r="BI8" t="inlineStr">
        <is>
          <t>Other employment income</t>
        </is>
      </c>
      <c r="BJ8" t="inlineStr">
        <is>
          <t>Proceeds from disposition of qualified small business corporation shares</t>
        </is>
      </c>
      <c r="BK8" t="inlineStr">
        <is>
          <t>Gain (or loss) from disposition of qualified small business corporation shares</t>
        </is>
      </c>
      <c r="BL8" t="inlineStr">
        <is>
          <t>Proceeds from disposition of qualified farm or fishing property</t>
        </is>
      </c>
      <c r="BM8" t="inlineStr">
        <is>
          <t>Gain (or loss) from disposition of qualified farm or fishing property</t>
        </is>
      </c>
      <c r="BN8" t="inlineStr">
        <is>
          <t>Old age security pension</t>
        </is>
      </c>
      <c r="BO8" t="inlineStr">
        <is>
          <t>CPP or QPP benefits</t>
        </is>
      </c>
      <c r="BP8" t="inlineStr">
        <is>
          <t>Other pensions and superannuation</t>
        </is>
      </c>
      <c r="BQ8" t="inlineStr">
        <is>
          <t>Elected split-pension amount</t>
        </is>
      </c>
      <c r="BR8" t="inlineStr">
        <is>
          <t>Universal child care benefit (UCCB)</t>
        </is>
      </c>
      <c r="BS8" t="inlineStr">
        <is>
          <t>Employment insurance and other benefits</t>
        </is>
      </c>
      <c r="BT8" t="inlineStr">
        <is>
          <t>Taxable amount of dividends (eligible and other than eligible) from taxable Canadian corporations</t>
        </is>
      </c>
      <c r="BU8" t="inlineStr">
        <is>
          <t>Interest and other investment income</t>
        </is>
      </c>
      <c r="BV8" t="inlineStr">
        <is>
          <t>Net partnership income: limited or non-active partners only</t>
        </is>
      </c>
      <c r="BW8" t="inlineStr">
        <is>
          <t>Proceeds from disposition of mortgage foreclosures and conditional sales repossessions of a qualified farm or fishing property</t>
        </is>
      </c>
      <c r="BX8" t="inlineStr">
        <is>
          <t>Gain (or loss) from disposition of mortgage foreclosures and conditional sales repossessions of a qualified farm or fishing property</t>
        </is>
      </c>
      <c r="BY8" t="inlineStr">
        <is>
          <t>Registered disability savings plan (RDSP) income</t>
        </is>
      </c>
      <c r="BZ8" t="inlineStr">
        <is>
          <t>Net rental income (loss)</t>
        </is>
      </c>
      <c r="CA8" t="inlineStr">
        <is>
          <t>Taxable capital gains (or net capital loss)</t>
        </is>
      </c>
      <c r="CB8" t="inlineStr">
        <is>
          <t>Taxable amount of support payments received Registered retirement savings plan (RRSP) income Other income</t>
        </is>
      </c>
      <c r="CC8" t="inlineStr">
        <is>
          <t>Registered retirement savings plan (RRSP) income</t>
        </is>
      </c>
      <c r="CD8" t="inlineStr">
        <is>
          <t>Other income</t>
        </is>
      </c>
      <c r="CE8" t="inlineStr">
        <is>
          <t>Proceeds from disposition of publicly traded shares, mutual fund units, deferral of eligible small business corporation shares, and other shares</t>
        </is>
      </c>
      <c r="CF8" t="inlineStr">
        <is>
          <t>Gain (or loss) from disposition of publicly traded shares, mutual fund units, deferral of eligible small business corporation shares, and other shares</t>
        </is>
      </c>
      <c r="CG8" t="inlineStr">
        <is>
          <t>Net business income (loss)</t>
        </is>
      </c>
      <c r="CH8" t="inlineStr">
        <is>
          <t>Proceeds from disposition of real estate, depreciable property, and other properties</t>
        </is>
      </c>
      <c r="CI8" t="inlineStr">
        <is>
          <t>Net professional income (loss)</t>
        </is>
      </c>
      <c r="CJ8" t="inlineStr">
        <is>
          <t>Gain (or loss) from disposition of real estate, depreciable property, and other properties</t>
        </is>
      </c>
      <c r="CK8" t="inlineStr">
        <is>
          <t>Net commission income (loss)</t>
        </is>
      </c>
      <c r="CL8" t="inlineStr">
        <is>
          <t>Net farming income (loss)</t>
        </is>
      </c>
      <c r="CM8" t="inlineStr">
        <is>
          <t>Net fishing income (loss)</t>
        </is>
      </c>
      <c r="CN8" t="inlineStr">
        <is>
          <t>Workers’ compensation benefits</t>
        </is>
      </c>
      <c r="CO8" t="inlineStr">
        <is>
          <t>Social assistance payments</t>
        </is>
      </c>
      <c r="CP8" t="inlineStr">
        <is>
          <t>Net federal supplements</t>
        </is>
      </c>
      <c r="CQ8" t="inlineStr">
        <is>
          <t>Total income</t>
        </is>
      </c>
      <c r="CR8" t="inlineStr">
        <is>
          <t>Proceeds from disposition of bonds, debentures, promissory notes, and other similar properties</t>
        </is>
      </c>
      <c r="CS8" t="inlineStr">
        <is>
          <t>Disability benefits included on line 11400</t>
        </is>
      </c>
      <c r="CT8" t="inlineStr">
        <is>
          <t>Gain (or loss) from disposition of bonds, debentures, promissory notes, and other similar properties Proceeds from disposition of other mortgage foreclosures and conditional sales repossessions</t>
        </is>
      </c>
      <c r="CU8" t="inlineStr">
        <is>
          <t>Proceeds from disposition of other mortgage foreclosures and conditional sales repossessions</t>
        </is>
      </c>
      <c r="CV8" t="inlineStr">
        <is>
          <t>Gain (or loss) from disposition of other mortgage foreclosures and conditional sales repossessions</t>
        </is>
      </c>
      <c r="CW8" t="inlineStr">
        <is>
          <t>Total support payments received</t>
        </is>
      </c>
      <c r="CX8" t="inlineStr">
        <is>
          <t>Gain from disposition of personal-use property</t>
        </is>
      </c>
      <c r="CY8" t="inlineStr">
        <is>
          <t>Net gain from disposition of listed personal property Capital gains deferral from qualifying dispositions of eligible small business corporation shares</t>
        </is>
      </c>
      <c r="CZ8" t="inlineStr">
        <is>
          <t>Gross rental income</t>
        </is>
      </c>
      <c r="DA8" t="inlineStr">
        <is>
          <t>Capital gains deferral from qualifying dispositions of eligible small business corporation shares</t>
        </is>
      </c>
      <c r="DB8" t="inlineStr">
        <is>
          <t>Gross business income</t>
        </is>
      </c>
      <c r="DC8" t="inlineStr">
        <is>
          <t>Gross professional income</t>
        </is>
      </c>
      <c r="DD8" t="inlineStr">
        <is>
          <t>Gross commission income</t>
        </is>
      </c>
      <c r="DE8" t="inlineStr">
        <is>
          <t>Gross farming income</t>
        </is>
      </c>
      <c r="DF8" t="inlineStr">
        <is>
          <t>Gross fishing income</t>
        </is>
      </c>
      <c r="DG8" t="inlineStr">
        <is>
          <t>T5, T5013, and T4PS information slips – Capital gains (or losses)</t>
        </is>
      </c>
      <c r="DH8" t="inlineStr">
        <is>
          <t>T3 information slips – Capital gains (or losses)</t>
        </is>
      </c>
      <c r="DI8" t="inlineStr">
        <is>
          <t>Capital loss from a reduction in the business investment loss</t>
        </is>
      </c>
      <c r="DJ8" t="inlineStr">
        <is>
          <t>Principal residence designation</t>
        </is>
      </c>
      <c r="DK8" t="inlineStr">
        <is>
          <t>Taxable amount of dividends other than eligible dividends, included on line 12000, from taxable Canadian corporations</t>
        </is>
      </c>
      <c r="DL8" t="inlineStr">
        <is>
          <t>UCCB amount designated to a dependant</t>
        </is>
      </c>
      <c r="DM8" t="inlineStr">
        <is>
          <t>Pooled registered pension plan (PRPP) employer contributions</t>
        </is>
      </c>
      <c r="DN8" t="inlineStr">
        <is>
          <t>Pension adjustment</t>
        </is>
      </c>
      <c r="DO8" t="inlineStr">
        <is>
          <t>Registered pension plan deduction</t>
        </is>
      </c>
      <c r="DP8" t="inlineStr">
        <is>
          <t>RRSP deduction</t>
        </is>
      </c>
      <c r="DQ8" t="inlineStr">
        <is>
          <t>Deduction for elected split-pension amount</t>
        </is>
      </c>
      <c r="DR8" t="inlineStr">
        <is>
          <t>Annual union, professional, or like dues</t>
        </is>
      </c>
      <c r="DS8" t="inlineStr">
        <is>
          <t>Universal child care benefit repayment</t>
        </is>
      </c>
      <c r="DT8" t="inlineStr">
        <is>
          <t>Child care expenses</t>
        </is>
      </c>
      <c r="DU8" t="inlineStr">
        <is>
          <t>Disability supports deduction</t>
        </is>
      </c>
      <c r="DV8" t="inlineStr">
        <is>
          <t>Allowable business investment loss deduction</t>
        </is>
      </c>
      <c r="DW8" t="inlineStr">
        <is>
          <t>Moving expenses</t>
        </is>
      </c>
      <c r="DX8" t="inlineStr">
        <is>
          <t>Allowable deduction for support payments made</t>
        </is>
      </c>
      <c r="DY8" t="inlineStr">
        <is>
          <t>Carrying charges and interest expenses</t>
        </is>
      </c>
      <c r="DZ8" t="inlineStr">
        <is>
          <t>Deduction for CPP or QPP contributions on self-employment and other earnings</t>
        </is>
      </c>
      <c r="EA8" t="inlineStr">
        <is>
          <t>Deduction for PPIP premiums on self-employment income</t>
        </is>
      </c>
      <c r="EB8" t="inlineStr">
        <is>
          <t>Exploration and development expenses</t>
        </is>
      </c>
      <c r="EC8" t="inlineStr">
        <is>
          <t>Gross business investment loss</t>
        </is>
      </c>
      <c r="ED8" t="inlineStr">
        <is>
          <t>Other employment expenses</t>
        </is>
      </c>
      <c r="EE8" t="inlineStr">
        <is>
          <t>Total support payments made</t>
        </is>
      </c>
      <c r="EF8" t="inlineStr">
        <is>
          <t>Clergy residence deduction</t>
        </is>
      </c>
      <c r="EG8" t="inlineStr">
        <is>
          <t>Other deductions</t>
        </is>
      </c>
      <c r="EH8" t="inlineStr">
        <is>
          <t>Social benefits repayment</t>
        </is>
      </c>
      <c r="EI8" t="inlineStr">
        <is>
          <t>Net income</t>
        </is>
      </c>
      <c r="EJ8" t="inlineStr">
        <is>
          <t>Transfers to an RRSP/PRPP/SPP</t>
        </is>
      </c>
      <c r="EK8" t="inlineStr">
        <is>
          <t>Canadian Forces personnel and police deduction</t>
        </is>
      </c>
      <c r="EL8" t="inlineStr">
        <is>
          <t>Total RRSP, SPP, and PRPP contributions from March 2, 2019 to March 2, 2020</t>
        </is>
      </c>
      <c r="EM8" t="inlineStr">
        <is>
          <t>Contributions designated as a repayment under the Home Buyers’ Plan</t>
        </is>
      </c>
      <c r="EN8" t="inlineStr">
        <is>
          <t>Current year withdrawals for the HBP on T4RSP slips</t>
        </is>
      </c>
      <c r="EO8" t="inlineStr">
        <is>
          <t>Security options deductions</t>
        </is>
      </c>
      <c r="EP8" t="inlineStr">
        <is>
          <t>Other payments deduction</t>
        </is>
      </c>
      <c r="EQ8" t="inlineStr">
        <is>
          <t>Limited partnership losses of other years</t>
        </is>
      </c>
      <c r="ER8" t="inlineStr">
        <is>
          <t>Non-capital losses of other years</t>
        </is>
      </c>
      <c r="ES8" t="inlineStr">
        <is>
          <t>Net capital losses of other years</t>
        </is>
      </c>
      <c r="ET8" t="inlineStr">
        <is>
          <t>Capital gains deduction</t>
        </is>
      </c>
      <c r="EU8" t="inlineStr">
        <is>
          <t>Northern residents deductions</t>
        </is>
      </c>
      <c r="EV8" t="inlineStr">
        <is>
          <t>Additional deductions</t>
        </is>
      </c>
      <c r="EW8" t="inlineStr">
        <is>
          <t>Address of home purchased under the HBP is the same as on page 1 of return</t>
        </is>
      </c>
      <c r="EX8" t="inlineStr">
        <is>
          <t>Taxable income</t>
        </is>
      </c>
      <c r="EY8" t="inlineStr">
        <is>
          <t>Contributions designated as a repayment under the Lifelong Learning Plan</t>
        </is>
      </c>
      <c r="EZ8" t="inlineStr">
        <is>
          <t>Current year withdrawals for the LLP on T4RSP slips</t>
        </is>
      </c>
      <c r="FA8" t="inlineStr">
        <is>
          <t>Designation of the spouse or common-law partner as the student for whom the funds were withdrawn under the LLP</t>
        </is>
      </c>
      <c r="FB8" t="inlineStr">
        <is>
          <t>Foreign property held in the current tax year with a total cost of more than CAN$100,000</t>
        </is>
      </c>
      <c r="FC8" t="inlineStr">
        <is>
          <t>Current year contributions to an amateur athlete trust</t>
        </is>
      </c>
      <c r="FD8" t="inlineStr">
        <is>
          <t>Basic personal amount</t>
        </is>
      </c>
      <c r="FE8" t="inlineStr">
        <is>
          <t>Age amount</t>
        </is>
      </c>
      <c r="FF8" t="inlineStr">
        <is>
          <t>Spouse or common-law partner amount</t>
        </is>
      </c>
      <c r="FG8" t="inlineStr">
        <is>
          <t>Canada caregiver amount for spouse or common-law partner, or eligible dependant age 18 or older</t>
        </is>
      </c>
      <c r="FH8" t="inlineStr">
        <is>
          <t>Amount for an eligible dependant</t>
        </is>
      </c>
      <c r="FI8" t="inlineStr">
        <is>
          <t>Canada caregiver amount for other infirm dependants age 18 or older</t>
        </is>
      </c>
      <c r="FJ8" t="inlineStr">
        <is>
          <t>CPP contributions</t>
        </is>
      </c>
      <c r="FK8" t="inlineStr">
        <is>
          <t>CPP contributions on self-employment and other earnings</t>
        </is>
      </c>
      <c r="FL8" t="inlineStr">
        <is>
          <t>Employment insurance premiums</t>
        </is>
      </c>
      <c r="FM8" t="inlineStr">
        <is>
          <t>Adoption expenses</t>
        </is>
      </c>
      <c r="FN8" t="inlineStr">
        <is>
          <t>Pension income amount</t>
        </is>
      </c>
      <c r="FO8" t="inlineStr">
        <is>
          <t>Disability amount (for self)</t>
        </is>
      </c>
      <c r="FP8" t="inlineStr">
        <is>
          <t>Employment insurance premiums on self-employment and other eligible earnings</t>
        </is>
      </c>
      <c r="FQ8" t="inlineStr">
        <is>
          <t>Disability amount transferred from a dependant Interest paid on your student loans</t>
        </is>
      </c>
      <c r="FR8" t="inlineStr">
        <is>
          <t>Interest paid on your student loans</t>
        </is>
      </c>
      <c r="FS8" t="inlineStr">
        <is>
          <t>Eligible tuition fees paid to Canadian educational institutions for the current tax year</t>
        </is>
      </c>
      <c r="FT8" t="inlineStr">
        <is>
          <t>Your tuition, education, and textbook amounts</t>
        </is>
      </c>
      <c r="FU8" t="inlineStr">
        <is>
          <t>Tuition amount transferred from a child</t>
        </is>
      </c>
      <c r="FV8" t="inlineStr">
        <is>
          <t>Number of months enrolled as a part-time student</t>
        </is>
      </c>
      <c r="FW8" t="inlineStr">
        <is>
          <t>Amounts transferred from your spouse or common-law partner</t>
        </is>
      </c>
      <c r="FX8" t="inlineStr">
        <is>
          <t>Federal tuition amount transferred</t>
        </is>
      </c>
      <c r="FY8" t="inlineStr">
        <is>
          <t>Number of months enrolled as a full-time student</t>
        </is>
      </c>
      <c r="FZ8" t="inlineStr">
        <is>
          <t>Donations made to government bodies</t>
        </is>
      </c>
      <c r="GA8" t="inlineStr">
        <is>
          <t>Medical expenses for self, spouse or common-law partner, and dependent children under 18 years of age</t>
        </is>
      </c>
      <c r="GB8" t="inlineStr">
        <is>
          <t>Allowable amount of medical expenses for other dependants</t>
        </is>
      </c>
      <c r="GC8" t="inlineStr">
        <is>
          <t>Allowable amount of medical expenses</t>
        </is>
      </c>
      <c r="GD8" t="inlineStr">
        <is>
          <t>Donations made to registered universities outside Canada</t>
        </is>
      </c>
      <c r="GE8" t="inlineStr">
        <is>
          <t>Donations made to the United Nations, its agencies, and certain registered foreign charitable organizations</t>
        </is>
      </c>
      <c r="GF8" t="inlineStr">
        <is>
          <t>Gifts of depreciable property</t>
        </is>
      </c>
      <c r="GG8" t="inlineStr">
        <is>
          <t>Non-refundable tax credits before donations and gifts</t>
        </is>
      </c>
      <c r="GH8" t="inlineStr">
        <is>
          <t>Gifts of capital property</t>
        </is>
      </c>
      <c r="GI8" t="inlineStr">
        <is>
          <t>Allowable charitable donations</t>
        </is>
      </c>
      <c r="GJ8" t="inlineStr">
        <is>
          <t>Eligible amount of cultural and ecological gifts</t>
        </is>
      </c>
      <c r="GK8" t="inlineStr">
        <is>
          <t>Not enrolled full-time due to effects of impairment Number of months enrolled as a part-time student Number of months enrolled as a full-time student</t>
        </is>
      </c>
      <c r="GL8" t="inlineStr">
        <is>
          <t>Donations and gifts</t>
        </is>
      </c>
      <c r="GM8" t="inlineStr">
        <is>
          <t>Total federal non-refundable tax credits</t>
        </is>
      </c>
      <c r="GN8" t="inlineStr">
        <is>
          <t>Spouse’s or common-law partner’s adjusted taxable income</t>
        </is>
      </c>
      <c r="GO8" t="inlineStr">
        <is>
          <t>Number of children for whom you are claiming the Canada caregiver amount for infirm children under 18 years of age</t>
        </is>
      </c>
      <c r="GP8" t="inlineStr">
        <is>
          <t>Spouse’s or common-law partner’s age amount</t>
        </is>
      </c>
      <c r="GQ8" t="inlineStr">
        <is>
          <t>Total of donations made before 2016</t>
        </is>
      </c>
      <c r="GR8" t="inlineStr">
        <is>
          <t>Spouse’s or common-law partner’s pension income amount</t>
        </is>
      </c>
      <c r="GS8" t="inlineStr">
        <is>
          <t>Spouse’s or common-law partner’s disability amount</t>
        </is>
      </c>
      <c r="GT8" t="inlineStr">
        <is>
          <t>Tuition amount designated by your spouse or common-law partner</t>
        </is>
      </c>
      <c r="GU8" t="inlineStr">
        <is>
          <t>Spouse’s or common-law partner’s Canada caregiver amount for infirm children under 18 years of age</t>
        </is>
      </c>
      <c r="GV8" t="inlineStr">
        <is>
          <t>Volunteer firefighters’ amount</t>
        </is>
      </c>
      <c r="GW8" t="inlineStr">
        <is>
          <t>Canada employment amount Home buyers’ amount</t>
        </is>
      </c>
      <c r="GX8" t="inlineStr">
        <is>
          <t>Canada caregiver amount for infirm children under 18 years of age</t>
        </is>
      </c>
      <c r="GY8" t="inlineStr">
        <is>
          <t>Home buyers’ amount</t>
        </is>
      </c>
      <c r="GZ8" t="inlineStr">
        <is>
          <t>Net business income/Pensionable net self-employment earnings</t>
        </is>
      </c>
      <c r="HA8" t="inlineStr">
        <is>
          <t>Effective date of the electing to stop contributing to CPP on self-employment earnings</t>
        </is>
      </c>
      <c r="HB8" t="inlineStr">
        <is>
          <t>Employment earnings not shown on a T4 slip on which you elect to pay additional CPP contributions/Income on which you wish to make optional contributions</t>
        </is>
      </c>
      <c r="HC8" t="inlineStr">
        <is>
          <t>Effective date to revoke an election made in a prior year to stop contributing to CPP on self-employment earnings</t>
        </is>
      </c>
      <c r="HD8" t="inlineStr">
        <is>
          <t>PPIP premiums paid</t>
        </is>
      </c>
      <c r="HE8" t="inlineStr">
        <is>
          <t>PPIP premiums payable on employment income</t>
        </is>
      </c>
      <c r="HF8" t="inlineStr">
        <is>
          <t>PPIP premiums payable on self-employment income</t>
        </is>
      </c>
      <c r="HG8" t="inlineStr">
        <is>
          <t>Do you have an eligible dependant?</t>
        </is>
      </c>
      <c r="HH8" t="inlineStr">
        <is>
          <t>Do you have an eligible spouse?</t>
        </is>
      </c>
      <c r="HI8" t="inlineStr">
        <is>
          <t>Eligible spouse’s taxable part of scholarship and grant income</t>
        </is>
      </c>
      <c r="HJ8" t="inlineStr">
        <is>
          <t>Eligible spouse’s tax-exempt part of working income earned on a reserve or an allowance received as an emergency volunteer</t>
        </is>
      </c>
      <c r="HK8" t="inlineStr">
        <is>
          <t>Eligible spouse’s working income</t>
        </is>
      </c>
      <c r="HL8" t="inlineStr">
        <is>
          <t>Eligible spouse’s tax-exempt part of all income earned or received on a reserve less the deductions related to that income or an allowance received as an emergency volunteer</t>
        </is>
      </c>
      <c r="HM8" t="inlineStr">
        <is>
          <t>Eligible spouse’s adjusted net income</t>
        </is>
      </c>
      <c r="HN8" t="inlineStr">
        <is>
          <t>Are you eligible for the CWB/WITB?</t>
        </is>
      </c>
      <c r="HO8" t="inlineStr">
        <is>
          <t>Are you eligible for the disability tax credit?</t>
        </is>
      </c>
      <c r="HP8" t="inlineStr">
        <is>
          <t>Is your eligible spouse eligible for the disability tax credit for themselves?</t>
        </is>
      </c>
      <c r="HQ8" t="inlineStr">
        <is>
          <t>Search and rescue volunteers’ amount</t>
        </is>
      </c>
      <c r="HR8" t="inlineStr">
        <is>
          <t>Home accessibility expenses</t>
        </is>
      </c>
      <c r="HS8" t="inlineStr">
        <is>
          <t>Employment earnings shown on a T4 slip on which you elect to pay additional CPP contributions</t>
        </is>
      </c>
      <c r="HT8" t="inlineStr">
        <is>
          <t>Federal tax</t>
        </is>
      </c>
      <c r="HU8" t="inlineStr">
        <is>
          <t>Total federal political contributions</t>
        </is>
      </c>
      <c r="HV8" t="inlineStr">
        <is>
          <t>Federal political contribution tax credit</t>
        </is>
      </c>
      <c r="HW8" t="inlineStr">
        <is>
          <t>Investment tax credit</t>
        </is>
      </c>
      <c r="HX8" t="inlineStr">
        <is>
          <t>Labour-sponsored funds tax credit – Net cost</t>
        </is>
      </c>
      <c r="HY8" t="inlineStr">
        <is>
          <t>Labour-sponsored funds tax credit – Allowable credit</t>
        </is>
      </c>
      <c r="HZ8" t="inlineStr">
        <is>
          <t>Canada workers benefit advance payments received</t>
        </is>
      </c>
      <c r="IA8" t="inlineStr">
        <is>
          <t>Net federal tax before inclusion of CWB advance payments and special taxes</t>
        </is>
      </c>
      <c r="IB8" t="inlineStr">
        <is>
          <t>Special taxes</t>
        </is>
      </c>
      <c r="IC8" t="inlineStr">
        <is>
          <t>Net Federal Tax</t>
        </is>
      </c>
      <c r="ID8" t="inlineStr">
        <is>
          <t>Federal tax on split income</t>
        </is>
      </c>
      <c r="IE8" t="inlineStr">
        <is>
          <t>Federal dividend tax credit</t>
        </is>
      </c>
      <c r="IF8" t="inlineStr">
        <is>
          <t>Minimum tax carry-over</t>
        </is>
      </c>
      <c r="IG8" t="inlineStr">
        <is>
          <t>Provincial or territorial tax</t>
        </is>
      </c>
      <c r="IH8" t="inlineStr">
        <is>
          <t>Non-business income tax paid to a foreign country</t>
        </is>
      </c>
      <c r="II8" t="inlineStr">
        <is>
          <t>Yukon First Nations tax</t>
        </is>
      </c>
      <c r="IJ8" t="inlineStr">
        <is>
          <t>Net foreign non-business income</t>
        </is>
      </c>
      <c r="IK8" t="inlineStr">
        <is>
          <t>Business income tax paid to a foreign country</t>
        </is>
      </c>
      <c r="IL8" t="inlineStr">
        <is>
          <t>Total payable</t>
        </is>
      </c>
      <c r="IM8" t="inlineStr">
        <is>
          <t>Total income tax deducted</t>
        </is>
      </c>
      <c r="IN8" t="inlineStr">
        <is>
          <t>Tax transfer for residents of Quebec</t>
        </is>
      </c>
      <c r="IO8" t="inlineStr">
        <is>
          <t>Net foreign business income</t>
        </is>
      </c>
      <c r="IP8" t="inlineStr">
        <is>
          <t>Refundable Quebec abatement</t>
        </is>
      </c>
      <c r="IQ8" t="inlineStr">
        <is>
          <t>Federal refundable First Nations abatement</t>
        </is>
      </c>
      <c r="IR8" t="inlineStr">
        <is>
          <t>CPP overpayment</t>
        </is>
      </c>
      <c r="IS8" t="inlineStr">
        <is>
          <t>Climate action incentive</t>
        </is>
      </c>
      <c r="IT8" t="inlineStr">
        <is>
          <t>Employment insurance overpayment</t>
        </is>
      </c>
      <c r="IU8" t="inlineStr">
        <is>
          <t>Refundable medical expense supplement</t>
        </is>
      </c>
      <c r="IV8" t="inlineStr">
        <is>
          <t>Canada workers benefit (Working income tax benefit)</t>
        </is>
      </c>
      <c r="IW8" t="inlineStr">
        <is>
          <t>Refund of investment tax credit</t>
        </is>
      </c>
      <c r="IX8" t="inlineStr">
        <is>
          <t>Part XII.2 trust tax credit</t>
        </is>
      </c>
      <c r="IY8" t="inlineStr">
        <is>
          <t>Employee and partner GST/HST rebate</t>
        </is>
      </c>
      <c r="IZ8" t="inlineStr">
        <is>
          <t>Direct deposit – Branch number</t>
        </is>
      </c>
      <c r="JA8" t="inlineStr">
        <is>
          <t>Direct deposit – Institution number</t>
        </is>
      </c>
      <c r="JB8" t="inlineStr">
        <is>
          <t>Direct deposit – Account number</t>
        </is>
      </c>
      <c r="JC8" t="inlineStr">
        <is>
          <t>Donation to the Ontario opportunities fund</t>
        </is>
      </c>
      <c r="JD8" t="inlineStr">
        <is>
          <t>Net refund</t>
        </is>
      </c>
      <c r="JE8" t="inlineStr">
        <is>
          <t>Supplies expenses for eligible educator school supply tax credit</t>
        </is>
      </c>
      <c r="JF8" t="inlineStr">
        <is>
          <t>Eligible educator school supply tax credit</t>
        </is>
      </c>
      <c r="JG8" t="inlineStr">
        <is>
          <t>Tax paid by instalments</t>
        </is>
      </c>
      <c r="JH8" t="inlineStr">
        <is>
          <t>Provincial or territorial credits</t>
        </is>
      </c>
      <c r="JI8" t="inlineStr">
        <is>
          <t>Refund</t>
        </is>
      </c>
      <c r="JJ8" t="inlineStr">
        <is>
          <t>Balance owing</t>
        </is>
      </c>
      <c r="JK8" t="inlineStr">
        <is>
          <t>Amount enclosed</t>
        </is>
      </c>
      <c r="JL8" t="inlineStr">
        <is>
          <t>Volunteer program</t>
        </is>
      </c>
      <c r="JM8" t="inlineStr">
        <is>
          <t>Refund transfer</t>
        </is>
      </c>
      <c r="JN8" t="inlineStr">
        <is>
          <t>Tax preparer code</t>
        </is>
      </c>
      <c r="JO8" t="inlineStr">
        <is>
          <t>EI and PPIP premiums (non-Quebec return)</t>
        </is>
      </c>
      <c r="JP8" t="inlineStr">
        <is>
          <t>Total PPIP premiums</t>
        </is>
      </c>
      <c r="JQ8" t="inlineStr">
        <is>
          <t>Total EI premiums</t>
        </is>
      </c>
      <c r="JR8" t="inlineStr">
        <is>
          <t>PPIP indicator</t>
        </is>
      </c>
      <c r="JS8" t="inlineStr">
        <is>
          <t>QPP contributions</t>
        </is>
      </c>
      <c r="JT8" t="inlineStr">
        <is>
          <t>QPP contributions on self-employment and other earnings</t>
        </is>
      </c>
      <c r="JU8" t="inlineStr">
        <is>
          <t>Actual total contributions on QPP pensionable earnings</t>
        </is>
      </c>
      <c r="JV8" t="inlineStr">
        <is>
          <t>Actual total contributions on CPP pensionable earnings</t>
        </is>
      </c>
      <c r="JW8" t="inlineStr">
        <is>
          <t>Capital gains at 100%</t>
        </is>
      </c>
      <c r="JX8" t="inlineStr">
        <is>
          <t>Dependant’s net income (line 23600 of his or her return)</t>
        </is>
      </c>
      <c r="JY8" t="inlineStr">
        <is>
          <t>Canada caregiver amount for spouse or common-law partner</t>
        </is>
      </c>
      <c r="JZ8" t="inlineStr">
        <is>
          <t>Canada caregiver amount for a dependant (other than an infirm child under 18 year of age)</t>
        </is>
      </c>
      <c r="KA8" t="inlineStr">
        <is>
          <t>Total number of dependants</t>
        </is>
      </c>
      <c r="KB8" t="inlineStr">
        <is>
          <t>Number of full weeks in attendance at a designated educational institution or secondary school</t>
        </is>
      </c>
      <c r="KC8" t="inlineStr">
        <is>
          <t>Earnings for services performed in Canada on which the foreign social security contributions were made</t>
        </is>
      </c>
      <c r="KD8" t="inlineStr">
        <is>
          <t>Amount contributed to a foreign social security arrangement</t>
        </is>
      </c>
      <c r="KE8" t="inlineStr">
        <is>
          <t>Allowable non-refundable tax credit for contributions to a foreign social security arrangement</t>
        </is>
      </c>
      <c r="KF8" t="inlineStr">
        <is>
          <t>Contributions to a foreign employer-sponsored pension plan</t>
        </is>
      </c>
      <c r="KG8" t="inlineStr">
        <is>
          <t>Resident compensation from employment services</t>
        </is>
      </c>
      <c r="KH8" t="inlineStr">
        <is>
          <t>Pension adjustment from a U.S. retirement plan/Prescribed amount from a U.S. retirement plan/Pension adjustment from a foreign employer-sponsored pension plan</t>
        </is>
      </c>
      <c r="KI8" t="inlineStr">
        <is>
          <t>Contributions to a U.S. retirement plan</t>
        </is>
      </c>
      <c r="KJ8" t="inlineStr">
        <is>
          <t>Contributions to a U.S. retirement plan</t>
        </is>
      </c>
      <c r="KK8" t="inlineStr">
        <is>
          <t>Spouse’s or common-law partner’s capital gains from mortgage foreclosures and conditional sales repossessions</t>
        </is>
      </c>
      <c r="KL8" t="inlineStr">
        <is>
          <t>Spouse’s or common-law partner’s net-income while the taxpayer is living in Canada</t>
        </is>
      </c>
      <c r="KM8" t="inlineStr">
        <is>
          <t>Spouse’s or common-law partner’s net-income while the taxpayer is living outside of Canada</t>
        </is>
      </c>
      <c r="KN8" t="inlineStr">
        <is>
          <t>Net foreign non-business income from the first foreign country</t>
        </is>
      </c>
      <c r="KO8" t="inlineStr">
        <is>
          <t>Net foreign non-business income from the second foreign country</t>
        </is>
      </c>
      <c r="KP8" t="inlineStr">
        <is>
          <t>Net foreign non-business income from the third foreign country</t>
        </is>
      </c>
      <c r="KQ8" t="inlineStr">
        <is>
          <t>Business income tax paid to the first foreign country</t>
        </is>
      </c>
      <c r="KR8" t="inlineStr">
        <is>
          <t>Non-business income tax paid to first foreign country</t>
        </is>
      </c>
      <c r="KS8" t="inlineStr">
        <is>
          <t>Non-business income tax paid to second foreign country</t>
        </is>
      </c>
      <c r="KT8" t="inlineStr">
        <is>
          <t>Non-business income tax paid to third foreign country</t>
        </is>
      </c>
      <c r="KU8" t="inlineStr">
        <is>
          <t>Net business income from the first foreign country</t>
        </is>
      </c>
      <c r="KV8" t="inlineStr">
        <is>
          <t>Net business income from the second foreign country</t>
        </is>
      </c>
      <c r="KW8" t="inlineStr">
        <is>
          <t>Net business income from the third foreign country</t>
        </is>
      </c>
      <c r="KX8" t="inlineStr">
        <is>
          <t>Business income tax paid to the second foreign country</t>
        </is>
      </c>
      <c r="KY8" t="inlineStr">
        <is>
          <t>Business income tax paid to the third foreign country</t>
        </is>
      </c>
      <c r="KZ8" t="inlineStr">
        <is>
          <t>Vow of perpetual poverty</t>
        </is>
      </c>
      <c r="LA8" t="inlineStr">
        <is>
          <t>Canadian sourced non-resident income, excluding the income subject to Part XIII tax</t>
        </is>
      </c>
      <c r="LB8" t="inlineStr">
        <is>
          <t>Canadian sourced non-resident income subject to Part XIII tax plus foreign sourced non-resident income</t>
        </is>
      </c>
      <c r="LC8" t="inlineStr">
        <is>
          <t>BC logging tax paid</t>
        </is>
      </c>
      <c r="LD8" t="inlineStr">
        <is>
          <t>QC logging tax paid</t>
        </is>
      </c>
      <c r="LE8" t="inlineStr">
        <is>
          <t>Total QPP pensionable earnings</t>
        </is>
      </c>
      <c r="LF8" t="inlineStr">
        <is>
          <t>Total CPP pensionable earnings</t>
        </is>
      </c>
      <c r="LG8" t="inlineStr">
        <is>
          <t>Indicator for filing due date for tax shelter, or inactive or active business income</t>
        </is>
      </c>
      <c r="LH8" t="inlineStr">
        <is>
          <t>BC logging income</t>
        </is>
      </c>
      <c r="LI8" t="inlineStr">
        <is>
          <t>CCA on certified film property</t>
        </is>
      </c>
      <c r="LJ8" t="inlineStr">
        <is>
          <t>Ineligible pension income</t>
        </is>
      </c>
      <c r="LK8" t="inlineStr">
        <is>
          <t>Income with tax withheld supported by information slips</t>
        </is>
      </c>
      <c r="LL8" t="inlineStr">
        <is>
          <t>T4 earning reduction</t>
        </is>
      </c>
      <c r="LM8" t="inlineStr">
        <is>
          <t>Quebec tax deducted (from slips in the taxpayer's name)</t>
        </is>
      </c>
      <c r="LN8" t="inlineStr">
        <is>
          <t>Income on which Quebec tax was withheld (from slips in the taxpayer's name)</t>
        </is>
      </c>
      <c r="LO8" t="inlineStr">
        <is>
          <t>Amount of OAS pension repaid</t>
        </is>
      </c>
      <c r="LP8" t="inlineStr">
        <is>
          <t>Limited partnership loss carryforward from 1986 and 1987</t>
        </is>
      </c>
      <c r="LQ8" t="inlineStr">
        <is>
          <t>Limited partnership loss available for carryforward</t>
        </is>
      </c>
      <c r="LR8" t="inlineStr">
        <is>
          <t>Amount of self-employment net earnings reported at self-employed lines in relation to T4 self-employment on which EI premiums through employment were deducted</t>
        </is>
      </c>
      <c r="LS8" t="inlineStr">
        <is>
          <t>Shareholder's loan repayment</t>
        </is>
      </c>
      <c r="LT8" t="inlineStr">
        <is>
          <t>QC logging income</t>
        </is>
      </c>
      <c r="LU8" t="inlineStr">
        <is>
          <t>Spouse's or common-law partner's total split income</t>
        </is>
      </c>
      <c r="LV8" t="inlineStr">
        <is>
          <t>CWB income from other returns</t>
        </is>
      </c>
      <c r="LW8" t="inlineStr">
        <is>
          <t>Net business income (amount from line 27 of Schedule L of the Quebec provincial income tax return)</t>
        </is>
      </c>
      <c r="LX8" t="inlineStr">
        <is>
          <t>Employment income where the province or territory of employment is other than Quebec</t>
        </is>
      </c>
      <c r="LY8" t="inlineStr">
        <is>
          <t>PPIP insurable earnings</t>
        </is>
      </c>
      <c r="LZ8" t="inlineStr">
        <is>
          <t>Shareholder earnings</t>
        </is>
      </c>
      <c r="MA8" t="inlineStr">
        <is>
          <t>Tax-exempt self-employment income earned by a status indian</t>
        </is>
      </c>
      <c r="MB8" t="inlineStr">
        <is>
          <t>Taxable income from the post-bankruptcy period</t>
        </is>
      </c>
      <c r="MC8" t="inlineStr">
        <is>
          <t>EI insurable earnings</t>
        </is>
      </c>
      <c r="MD8" t="inlineStr">
        <is>
          <t>EI and other benefits repaid</t>
        </is>
      </c>
      <c r="ME8" t="inlineStr">
        <is>
          <t>Farm/fish loss</t>
        </is>
      </c>
      <c r="MF8" t="inlineStr">
        <is>
          <t>Total section 31 farm loss</t>
        </is>
      </c>
      <c r="MG8" t="inlineStr">
        <is>
          <t>Restricted farm loss</t>
        </is>
      </c>
      <c r="MH8" t="inlineStr">
        <is>
          <t>RRSP earned income calculation</t>
        </is>
      </c>
      <c r="MI8" t="inlineStr">
        <is>
          <t>Home Buyers' Plan (HBP) participant repayment amount</t>
        </is>
      </c>
      <c r="MJ8" t="inlineStr">
        <is>
          <t>Lifelong Learning Plan (LLP) participant repayment amount</t>
        </is>
      </c>
      <c r="MK8" t="inlineStr">
        <is>
          <t>Indicator for marital status change</t>
        </is>
      </c>
      <c r="ML8" t="inlineStr">
        <is>
          <t>Spousal indicator</t>
        </is>
      </c>
      <c r="MM8" t="inlineStr">
        <is>
          <t>Marital status change indicator for the amount for an eligible dependant</t>
        </is>
      </c>
      <c r="MN8" t="inlineStr">
        <is>
          <t>Earned income adjustment amount</t>
        </is>
      </c>
      <c r="MO8" t="inlineStr">
        <is>
          <t>Net self-employment income (loss) adjustment amount</t>
        </is>
      </c>
      <c r="MP8" t="inlineStr">
        <is>
          <t>RDSP repayment by taxpayer</t>
        </is>
      </c>
      <c r="MQ8" t="inlineStr">
        <is>
          <t>RDSP income of spouse or common-law partner</t>
        </is>
      </c>
      <c r="MR8" t="inlineStr">
        <is>
          <t>RDSP repayment by spouse or common-law partner</t>
        </is>
      </c>
      <c r="MS8" t="inlineStr">
        <is>
          <t>Number of months of retirement</t>
        </is>
      </c>
      <c r="MT8" t="inlineStr">
        <is>
          <t>Number of months of disability</t>
        </is>
      </c>
      <c r="MU8" t="inlineStr">
        <is>
          <t>CPP/QPP retirement benefits</t>
        </is>
      </c>
      <c r="MV8" t="inlineStr">
        <is>
          <t>Basic personal amount</t>
        </is>
      </c>
      <c r="MW8" t="inlineStr">
        <is>
          <t>Age amount</t>
        </is>
      </c>
      <c r="MX8" t="inlineStr">
        <is>
          <t>Spousal or common-law law partner amount</t>
        </is>
      </c>
      <c r="MY8" t="inlineStr">
        <is>
          <t>Amount for an eligible dependant</t>
        </is>
      </c>
      <c r="MZ8" t="inlineStr">
        <is>
          <t>Caregiver amount for spouse or common-law partner, or eligible dependant age 18 or older</t>
        </is>
      </c>
      <c r="NA8" t="inlineStr">
        <is>
          <t>British Columbia caregiver amount</t>
        </is>
      </c>
      <c r="NB8" t="inlineStr">
        <is>
          <t>Caregiver amount for infirm dependants age 18 or older</t>
        </is>
      </c>
      <c r="NC8" t="inlineStr">
        <is>
          <t>Ontario caregiver amount</t>
        </is>
      </c>
      <c r="ND8" t="inlineStr">
        <is>
          <t>Caregiver amount for infirm children under 18 years of age</t>
        </is>
      </c>
      <c r="NE8" t="inlineStr">
        <is>
          <t>Amount for infirm dependants age 18 or older</t>
        </is>
      </c>
      <c r="NF8" t="inlineStr">
        <is>
          <t>Number of children</t>
        </is>
      </c>
      <c r="NG8" t="inlineStr">
        <is>
          <t>Amount for dependent children age 18 or younger</t>
        </is>
      </c>
      <c r="NH8" t="inlineStr">
        <is>
          <t>Senior supplementary amount</t>
        </is>
      </c>
      <c r="NI8" t="inlineStr">
        <is>
          <t>Number of months being claimed for all qualifying children</t>
        </is>
      </c>
      <c r="NJ8" t="inlineStr">
        <is>
          <t>Amount for young children</t>
        </is>
      </c>
      <c r="NK8" t="inlineStr">
        <is>
          <t>CPP or QPP contributions</t>
        </is>
      </c>
      <c r="NL8" t="inlineStr">
        <is>
          <t>CPP or QPP contributions on self-employment and other earnings</t>
        </is>
      </c>
      <c r="NM8" t="inlineStr">
        <is>
          <t>Employment insurance premiums</t>
        </is>
      </c>
      <c r="NN8" t="inlineStr">
        <is>
          <t>Employment insurance premiums on self-employment and other eligible earnings</t>
        </is>
      </c>
      <c r="NO8" t="inlineStr">
        <is>
          <t>Canada employment amount</t>
        </is>
      </c>
      <c r="NP8" t="inlineStr">
        <is>
          <t>Volunteer firefighters’ amount</t>
        </is>
      </c>
      <c r="NQ8" t="inlineStr">
        <is>
          <t>Search and rescue volunteers’ amount</t>
        </is>
      </c>
      <c r="NR8" t="inlineStr">
        <is>
          <t>Child care amount</t>
        </is>
      </c>
      <c r="NS8" t="inlineStr">
        <is>
          <t>Fitness amount</t>
        </is>
      </c>
      <c r="NT8" t="inlineStr">
        <is>
          <t>Children’s arts amount</t>
        </is>
      </c>
      <c r="NU8" t="inlineStr">
        <is>
          <t>Adoption expenses</t>
        </is>
      </c>
      <c r="NV8" t="inlineStr">
        <is>
          <t>First-time home buyers’ amount</t>
        </is>
      </c>
      <c r="NW8" t="inlineStr">
        <is>
          <t>Pension income amount</t>
        </is>
      </c>
      <c r="NX8" t="inlineStr">
        <is>
          <t>Caregiver amount</t>
        </is>
      </c>
      <c r="NY8" t="inlineStr">
        <is>
          <t>Disability amount (for self)</t>
        </is>
      </c>
      <c r="NZ8" t="inlineStr">
        <is>
          <t>Disability amount transferred from a dependant</t>
        </is>
      </c>
      <c r="OA8" t="inlineStr">
        <is>
          <t>Teacher school supply amount</t>
        </is>
      </c>
      <c r="OB8" t="inlineStr">
        <is>
          <t>Interest paid on your student loans</t>
        </is>
      </c>
      <c r="OC8" t="inlineStr">
        <is>
          <t>Your tuition and education amounts</t>
        </is>
      </c>
      <c r="OD8" t="inlineStr">
        <is>
          <t>Your unused tuition and education amounts</t>
        </is>
      </c>
      <c r="OE8" t="inlineStr">
        <is>
          <t>Your tuition, education, and textbook amounts</t>
        </is>
      </c>
      <c r="OF8" t="inlineStr">
        <is>
          <t>Tuition and education amounts transferred from a child</t>
        </is>
      </c>
      <c r="OG8" t="inlineStr">
        <is>
          <t>Tuition amounts transferred from a child NB428</t>
        </is>
      </c>
      <c r="OH8" t="inlineStr">
        <is>
          <t>Tuition, education, and textbook amounts transferred from a child</t>
        </is>
      </c>
      <c r="OI8" t="inlineStr">
        <is>
          <t>Amounts transferred from your spouse or common-law partner</t>
        </is>
      </c>
      <c r="OJ8" t="inlineStr">
        <is>
          <t>Medical expenses for self, spouse or common-law partner, and your dependent children under 18 years of age</t>
        </is>
      </c>
      <c r="OK8" t="inlineStr">
        <is>
          <t>Allowable amount of medical expenses for other dependants</t>
        </is>
      </c>
      <c r="OL8" t="inlineStr">
        <is>
          <t>Total tax-exempt employment earnings</t>
        </is>
      </c>
      <c r="OM8" t="inlineStr">
        <is>
          <t>Allowable amount of medical expenses</t>
        </is>
      </c>
      <c r="ON8" t="inlineStr">
        <is>
          <t>Add lines 58040 to 58640 (and line 61470 for MB) and line 58769</t>
        </is>
      </c>
      <c r="OO8" t="inlineStr">
        <is>
          <t>Total tax-exempt self-employment earnings and other tax-exempt earned income</t>
        </is>
      </c>
      <c r="OP8" t="inlineStr">
        <is>
          <t>Total eligible PRPP contributions from tax-exempt income</t>
        </is>
      </c>
      <c r="OQ8" t="inlineStr">
        <is>
          <t>PRPP contributions from tax-exempt income designated as a repayment under the HBP</t>
        </is>
      </c>
      <c r="OR8" t="inlineStr">
        <is>
          <t>Provincial or territorial non-refundable tax credits before donations and gifts</t>
        </is>
      </c>
      <c r="OS8" t="inlineStr">
        <is>
          <t>Non-refundable tax credits before donations and gifts and the farmers’ food donation tax credit</t>
        </is>
      </c>
      <c r="OT8" t="inlineStr">
        <is>
          <t>Donations and gifts</t>
        </is>
      </c>
      <c r="OU8" t="inlineStr">
        <is>
          <t>PRPP contributions from tax-exempt income designated as a repayment under the LLP</t>
        </is>
      </c>
      <c r="OV8" t="inlineStr">
        <is>
          <t>BC farmers’ food donation tax credit</t>
        </is>
      </c>
      <c r="OW8" t="inlineStr">
        <is>
          <t>Spouse’s or common-law partner’s amount for young children less than 6 years of age</t>
        </is>
      </c>
      <c r="OX8" t="inlineStr">
        <is>
          <t>Spouse’s or common-law partner’s amount for dependent children age 18 or younger</t>
        </is>
      </c>
      <c r="OY8" t="inlineStr">
        <is>
          <t>Spouse’s or common-law partner’s age amount</t>
        </is>
      </c>
      <c r="OZ8" t="inlineStr">
        <is>
          <t>Spouse’s or common-law partner’s senior supplementary amount</t>
        </is>
      </c>
      <c r="PA8" t="inlineStr">
        <is>
          <t>Spouse’s or common-law partner’s provincial/territorial caregiver amount for infirm children under 18 years of age</t>
        </is>
      </c>
      <c r="PB8" t="inlineStr">
        <is>
          <t>Spouse’s or common-law partner’s pension income amount</t>
        </is>
      </c>
      <c r="PC8" t="inlineStr">
        <is>
          <t>Spouse’s or common-law partner’s disability amount</t>
        </is>
      </c>
      <c r="PD8" t="inlineStr">
        <is>
          <t>Tuition and education amounts designated by your spouse or common-law partner</t>
        </is>
      </c>
      <c r="PE8" t="inlineStr">
        <is>
          <t>Tuition amounts designated by your spouse or common-law partner</t>
        </is>
      </c>
      <c r="PF8" t="inlineStr">
        <is>
          <t>Tuition, education, and textbook amounts designated by your spouse or common-law partner</t>
        </is>
      </c>
      <c r="PG8" t="inlineStr">
        <is>
          <t>Spouse’s or common-law partner’s adjusted taxable income</t>
        </is>
      </c>
      <c r="PH8" t="inlineStr">
        <is>
          <t>Eligible tuition fees paid for the current tax year</t>
        </is>
      </c>
      <c r="PI8" t="inlineStr">
        <is>
          <t>Eligible tuition fees paid for 2017 and 2018</t>
        </is>
      </c>
      <c r="PJ8" t="inlineStr">
        <is>
          <t>Part-time education amount</t>
        </is>
      </c>
      <c r="PK8" t="inlineStr">
        <is>
          <t>Part-time education and textbook amounts</t>
        </is>
      </c>
      <c r="PL8" t="inlineStr">
        <is>
          <t>Full-time education amount</t>
        </is>
      </c>
      <c r="PM8" t="inlineStr">
        <is>
          <t>Full-time education and textbook amounts</t>
        </is>
      </c>
      <c r="PN8" t="inlineStr">
        <is>
          <t>Provincial amount transferred</t>
        </is>
      </c>
      <c r="PO8" t="inlineStr">
        <is>
          <t>Territorial amount transferred</t>
        </is>
      </c>
      <c r="PP8" t="inlineStr">
        <is>
          <t>Provincial tuition amount transferred</t>
        </is>
      </c>
      <c r="PQ8" t="inlineStr">
        <is>
          <t>Territorial tuition amount transferred</t>
        </is>
      </c>
      <c r="PR8" t="inlineStr">
        <is>
          <t>Amount for infirm dependants age 18 or older</t>
        </is>
      </c>
      <c r="PS8" t="inlineStr">
        <is>
          <t>Caregiver amount</t>
        </is>
      </c>
      <c r="PT8" t="inlineStr">
        <is>
          <t>Disability amount (for self)</t>
        </is>
      </c>
      <c r="PU8" t="inlineStr">
        <is>
          <t>Disability amount transferred from a dependant</t>
        </is>
      </c>
      <c r="PV8" t="inlineStr">
        <is>
          <t>Amounts transferred from your spouse or common-law partner</t>
        </is>
      </c>
      <c r="PW8" t="inlineStr">
        <is>
          <t>Allowable amount of medical expenses for other dependants</t>
        </is>
      </c>
      <c r="PX8" t="inlineStr">
        <is>
          <t>Disability amount (for self)</t>
        </is>
      </c>
      <c r="PY8" t="inlineStr">
        <is>
          <t>Disability amount transferred from a dependant</t>
        </is>
      </c>
      <c r="PZ8" t="inlineStr">
        <is>
          <t>Total provincial amounts designated to you by a student</t>
        </is>
      </c>
      <c r="QA8" t="inlineStr">
        <is>
          <t>Amounts transferred from your spouse or common-law partner</t>
        </is>
      </c>
      <c r="QB8" t="inlineStr">
        <is>
          <t>Allowable amount of medical expenses for other dependants</t>
        </is>
      </c>
      <c r="QC8" t="inlineStr">
        <is>
          <t>Program type from the current tax year</t>
        </is>
      </c>
      <c r="QD8" t="inlineStr">
        <is>
          <t>Eligible tuition fees paid</t>
        </is>
      </c>
      <c r="QE8" t="inlineStr">
        <is>
          <t>“Eligibility Maximum” from the current tax year</t>
        </is>
      </c>
      <c r="QF8" t="inlineStr">
        <is>
          <t>Program type from the current tax year</t>
        </is>
      </c>
      <c r="QG8" t="inlineStr">
        <is>
          <t>Eligible tuition fees paid</t>
        </is>
      </c>
      <c r="QH8" t="inlineStr">
        <is>
          <t>Eligibility Maximum from the current tax year</t>
        </is>
      </c>
      <c r="QI8" t="inlineStr">
        <is>
          <t>Program type from the current tax year</t>
        </is>
      </c>
      <c r="QJ8" t="inlineStr">
        <is>
          <t>Eligible tuition fees paid</t>
        </is>
      </c>
      <c r="QK8" t="inlineStr">
        <is>
          <t>Eligibility Maximum from the current tax year</t>
        </is>
      </c>
      <c r="QL8" t="inlineStr">
        <is>
          <t>AB political contributions tax credit</t>
        </is>
      </c>
      <c r="QM8" t="inlineStr">
        <is>
          <t>Investor tax credit – Current tax year</t>
        </is>
      </c>
      <c r="QN8" t="inlineStr">
        <is>
          <t>Climate action incentive – Basic amount</t>
        </is>
      </c>
      <c r="QO8" t="inlineStr">
        <is>
          <t>Climate action incentive – Amount for an eligible spouse or common-law partner</t>
        </is>
      </c>
      <c r="QP8" t="inlineStr">
        <is>
          <t>Climate action incentive – Amount for a single parent’s qualified dependant</t>
        </is>
      </c>
      <c r="QQ8" t="inlineStr">
        <is>
          <t>Climate action incentive – Number of qualified dependants</t>
        </is>
      </c>
      <c r="QR8" t="inlineStr">
        <is>
          <t>Climate action incentive – Do you reside outside of a census metropolitan area on December 31 of the tax year, as defined by Statistics Canada?</t>
        </is>
      </c>
      <c r="QS8" t="inlineStr">
        <is>
          <t>Basic sales tax credit</t>
        </is>
      </c>
      <c r="QT8" t="inlineStr">
        <is>
          <t>Additional sales tax credit for spouse or common-law partner</t>
        </is>
      </c>
      <c r="QU8" t="inlineStr">
        <is>
          <t>Home renovation expenses</t>
        </is>
      </c>
      <c r="QV8" t="inlineStr">
        <is>
          <t>BC political contribution tax credit</t>
        </is>
      </c>
      <c r="QW8" t="inlineStr">
        <is>
          <t>Employee share ownership plan tax credit</t>
        </is>
      </c>
      <c r="QX8" t="inlineStr">
        <is>
          <t>Employee venture capital tax credit</t>
        </is>
      </c>
      <c r="QY8" t="inlineStr">
        <is>
          <t>Home renovation expenses for seniors and persons with disabilities</t>
        </is>
      </c>
      <c r="QZ8" t="inlineStr">
        <is>
          <t>Venture capital tax credit – Current tax year</t>
        </is>
      </c>
      <c r="RA8" t="inlineStr">
        <is>
          <t>Venture capital tax credit – First 60 days subsequent to the current tax year</t>
        </is>
      </c>
      <c r="RB8" t="inlineStr">
        <is>
          <t>Mining exploration tax credit</t>
        </is>
      </c>
      <c r="RC8" t="inlineStr">
        <is>
          <t>Mining exploration tax credit allocated from a partnership</t>
        </is>
      </c>
      <c r="RD8" t="inlineStr">
        <is>
          <t>Training tax credit (Individuals)</t>
        </is>
      </c>
      <c r="RE8" t="inlineStr">
        <is>
          <t>Training tax credit (Employers)</t>
        </is>
      </c>
      <c r="RF8" t="inlineStr">
        <is>
          <t>Shipbuilding and ship repair industry tax credit</t>
        </is>
      </c>
      <c r="RG8" t="inlineStr">
        <is>
          <t>Age amount for spouse or common-law partner</t>
        </is>
      </c>
      <c r="RH8" t="inlineStr">
        <is>
          <t>Disability amount for spouse or common-law partner</t>
        </is>
      </c>
      <c r="RI8" t="inlineStr">
        <is>
          <t>Number of disability claims for self or a dependant other than your spouse or common-law partner</t>
        </is>
      </c>
      <c r="RJ8" t="inlineStr">
        <is>
          <t>Number of disabled dependants 18 years of age or older</t>
        </is>
      </c>
      <c r="RK8" t="inlineStr">
        <is>
          <t>Number of dependent children 18 years of age or younger</t>
        </is>
      </c>
      <c r="RL8" t="inlineStr">
        <is>
          <t>Labour-sponsored funds tax credit</t>
        </is>
      </c>
      <c r="RM8" t="inlineStr">
        <is>
          <t>Community enterprise development tax credit claimed</t>
        </is>
      </c>
      <c r="RN8" t="inlineStr">
        <is>
          <t>Community enterprise development tax credit amount from Slip T2CEDTC (MAN.)</t>
        </is>
      </c>
      <c r="RO8" t="inlineStr">
        <is>
          <t>Small business venture capital tax credit claimed</t>
        </is>
      </c>
      <c r="RP8" t="inlineStr">
        <is>
          <t>Credit amount from Slip T2SBVCTC (MAN.)</t>
        </is>
      </c>
      <c r="RQ8" t="inlineStr">
        <is>
          <t>Employee share purchase tax credit claimed</t>
        </is>
      </c>
      <c r="RR8" t="inlineStr">
        <is>
          <t>Involuntary separation indicator</t>
        </is>
      </c>
      <c r="RS8" t="inlineStr">
        <is>
          <t>Basic, age, and disability credits for spouse or common-law partner</t>
        </is>
      </c>
      <c r="RT8" t="inlineStr">
        <is>
          <t>Mineral exploration tax credit claimed</t>
        </is>
      </c>
      <c r="RU8" t="inlineStr">
        <is>
          <t>Total credit amounts from ESOP receipt(s)</t>
        </is>
      </c>
      <c r="RV8" t="inlineStr">
        <is>
          <t>Number of disability claims for self or for a dependant other than your spouse or common-law partner</t>
        </is>
      </c>
      <c r="RW8" t="inlineStr">
        <is>
          <t>Number of dependent children 18 years of age or younger</t>
        </is>
      </c>
      <c r="RX8" t="inlineStr">
        <is>
          <t>Number of disabled dependants 18 years of age or older</t>
        </is>
      </c>
      <c r="RY8" t="inlineStr">
        <is>
          <t>Number dependants with a mental or physical infirmity</t>
        </is>
      </c>
      <c r="RZ8" t="inlineStr">
        <is>
          <t>Number of dependent children – Reduction for dependent children age 18 or younger</t>
        </is>
      </c>
      <c r="SA8" t="inlineStr">
        <is>
          <t>Number of dependent children – Credit for dependent children age 18 or younger</t>
        </is>
      </c>
      <c r="SB8" t="inlineStr">
        <is>
          <t>Application for the ON energy and property tax credit</t>
        </is>
      </c>
      <c r="SC8" t="inlineStr">
        <is>
          <t>Application for the Northern ON energy credit</t>
        </is>
      </c>
      <c r="SD8" t="inlineStr">
        <is>
          <t>Total personal tax credits</t>
        </is>
      </c>
      <c r="SE8" t="inlineStr">
        <is>
          <t>Choice for delayed single OTB payment</t>
        </is>
      </c>
      <c r="SF8" t="inlineStr">
        <is>
          <t>Application for the ON senior homeowners’ property tax grant</t>
        </is>
      </c>
      <c r="SG8" t="inlineStr">
        <is>
          <t>Involuntary separation indicator</t>
        </is>
      </c>
      <c r="SH8" t="inlineStr">
        <is>
          <t>Total rent paid</t>
        </is>
      </c>
      <c r="SI8" t="inlineStr">
        <is>
          <t>Total property tax paid</t>
        </is>
      </c>
      <c r="SJ8" t="inlineStr">
        <is>
          <t>School taxes paid</t>
        </is>
      </c>
      <c r="SK8" t="inlineStr">
        <is>
          <t>Education property tax credit advance received</t>
        </is>
      </c>
      <c r="SL8" t="inlineStr">
        <is>
          <t>Residing in a designated student residence</t>
        </is>
      </c>
      <c r="SM8" t="inlineStr">
        <is>
          <t>Occupancy cost</t>
        </is>
      </c>
      <c r="SN8" t="inlineStr">
        <is>
          <t>Gross school taxes assessed</t>
        </is>
      </c>
      <c r="SO8" t="inlineStr">
        <is>
          <t>Family income from the homeowners’ school tax credit table</t>
        </is>
      </c>
      <c r="SP8" t="inlineStr">
        <is>
          <t>Total home energy costs for principal residence on a reserve</t>
        </is>
      </c>
      <c r="SQ8" t="inlineStr">
        <is>
          <t>School taxes assessed</t>
        </is>
      </c>
      <c r="SR8" t="inlineStr">
        <is>
          <t>Total accommodation in a public long-term care home or non-profit long-term care home</t>
        </is>
      </c>
      <c r="SS8" t="inlineStr">
        <is>
          <t>School tax credit for homeowners</t>
        </is>
      </c>
      <c r="ST8" t="inlineStr">
        <is>
          <t>Total rent assist benefits received</t>
        </is>
      </c>
      <c r="SU8" t="inlineStr">
        <is>
          <t>Percentage of social assistance</t>
        </is>
      </c>
      <c r="SV8" t="inlineStr">
        <is>
          <t>Primary caregiver tax credit</t>
        </is>
      </c>
      <c r="SW8" t="inlineStr">
        <is>
          <t>Fertility treatment tax credit</t>
        </is>
      </c>
      <c r="SX8" t="inlineStr">
        <is>
          <t>Paid work experience tax credit</t>
        </is>
      </c>
      <c r="SY8" t="inlineStr">
        <is>
          <t>Odour-control tax credit</t>
        </is>
      </c>
      <c r="SZ8" t="inlineStr">
        <is>
          <t>Green energy equipment tax credit (purchaser)</t>
        </is>
      </c>
      <c r="TA8" t="inlineStr">
        <is>
          <t>Green energy equipment tax credit (manufacturer)</t>
        </is>
      </c>
      <c r="TB8" t="inlineStr">
        <is>
          <t>Book publishing tax credit</t>
        </is>
      </c>
      <c r="TC8" t="inlineStr">
        <is>
          <t>Family tax benefit</t>
        </is>
      </c>
      <c r="TD8" t="inlineStr">
        <is>
          <t>Cultural industries printing tax credit</t>
        </is>
      </c>
      <c r="TE8" t="inlineStr">
        <is>
          <t>Community enterprise development tax credit</t>
        </is>
      </c>
      <c r="TF8" t="inlineStr">
        <is>
          <t>Employee share purchase tax credit</t>
        </is>
      </c>
      <c r="TG8" t="inlineStr">
        <is>
          <t>Farm and small business capital gains tax credit</t>
        </is>
      </c>
      <c r="TH8" t="inlineStr">
        <is>
          <t>Provincial or territorial non-refundable tax credits</t>
        </is>
      </c>
      <c r="TI8" t="inlineStr">
        <is>
          <t>Provincial or territorial tax on split income</t>
        </is>
      </c>
      <c r="TJ8" t="inlineStr">
        <is>
          <t>Provincial or territorial dividend tax credit</t>
        </is>
      </c>
      <c r="TK8" t="inlineStr">
        <is>
          <t>Provincial or territorial minimum tax carryover</t>
        </is>
      </c>
      <c r="TL8" t="inlineStr">
        <is>
          <t>NB political contribution tax credit</t>
        </is>
      </c>
      <c r="TM8" t="inlineStr">
        <is>
          <t>Unused low-income tax reduction from spouse or common-law partner</t>
        </is>
      </c>
      <c r="TN8" t="inlineStr">
        <is>
          <t>Basic low-income tax reduction</t>
        </is>
      </c>
      <c r="TO8" t="inlineStr">
        <is>
          <t>Low-income tax reduction for spouse or common-law partner</t>
        </is>
      </c>
      <c r="TP8" t="inlineStr">
        <is>
          <t>Low-income tax reduction for an eligible dependant claimed on 30400</t>
        </is>
      </c>
      <c r="TQ8" t="inlineStr">
        <is>
          <t>Labour-sponsored venture capital tax credit</t>
        </is>
      </c>
      <c r="TR8" t="inlineStr">
        <is>
          <t>Small business investor tax credit</t>
        </is>
      </c>
      <c r="TS8" t="inlineStr">
        <is>
          <t>Amount to carry back to the first prior year</t>
        </is>
      </c>
      <c r="TT8" t="inlineStr">
        <is>
          <t>Amount to carry back to the second prior year</t>
        </is>
      </c>
      <c r="TU8" t="inlineStr">
        <is>
          <t>Amount to carry back to the third prior year</t>
        </is>
      </c>
      <c r="TV8" t="inlineStr">
        <is>
          <t>Resort property investment tax credit</t>
        </is>
      </c>
      <c r="TW8" t="inlineStr">
        <is>
          <t>NL political contribution tax credit</t>
        </is>
      </c>
      <c r="TX8" t="inlineStr">
        <is>
          <t>Direct equity tax credit</t>
        </is>
      </c>
      <c r="TY8" t="inlineStr">
        <is>
          <t>Amount to carry back to the first prior year</t>
        </is>
      </c>
      <c r="TZ8" t="inlineStr">
        <is>
          <t>Amount to carry back to the second prior year</t>
        </is>
      </c>
      <c r="UA8" t="inlineStr">
        <is>
          <t>MB political contribution tax credit</t>
        </is>
      </c>
      <c r="UB8" t="inlineStr">
        <is>
          <t>Amount to carry back to the third prior year</t>
        </is>
      </c>
      <c r="UC8" t="inlineStr">
        <is>
          <t>Venture capital tax credit</t>
        </is>
      </c>
      <c r="UD8" t="inlineStr">
        <is>
          <t>Amount to carry back to the first prior year</t>
        </is>
      </c>
      <c r="UE8" t="inlineStr">
        <is>
          <t>Amount to carry back to the second prior year</t>
        </is>
      </c>
      <c r="UF8" t="inlineStr">
        <is>
          <t>Amount to carry back to the third prior year</t>
        </is>
      </c>
      <c r="UG8" t="inlineStr">
        <is>
          <t>Unused low-income tax reduction from the spouse or common-law partner</t>
        </is>
      </c>
      <c r="UH8" t="inlineStr">
        <is>
          <t>Basic low-income tax reduction</t>
        </is>
      </c>
      <c r="UI8" t="inlineStr">
        <is>
          <t>Reduction for your spouse or common-law partner</t>
        </is>
      </c>
      <c r="UJ8" t="inlineStr">
        <is>
          <t>Reduction for an eligible dependant</t>
        </is>
      </c>
      <c r="UK8" t="inlineStr">
        <is>
          <t>Basic low-income tax reduction</t>
        </is>
      </c>
      <c r="UL8" t="inlineStr">
        <is>
          <t>Low-income tax reduction for spouse or common-law partner</t>
        </is>
      </c>
      <c r="UM8" t="inlineStr">
        <is>
          <t>Low-income tax reduction for an eligible dependant</t>
        </is>
      </c>
      <c r="UN8" t="inlineStr">
        <is>
          <t>NS political contribution tax credit</t>
        </is>
      </c>
      <c r="UO8" t="inlineStr">
        <is>
          <t>Food bank tax credit for farmers</t>
        </is>
      </c>
      <c r="UP8" t="inlineStr">
        <is>
          <t>Community food program donation tax credit for farmers</t>
        </is>
      </c>
      <c r="UQ8" t="inlineStr">
        <is>
          <t>Labour-sponsored venture capital tax credit</t>
        </is>
      </c>
      <c r="UR8" t="inlineStr">
        <is>
          <t>Equity tax credit</t>
        </is>
      </c>
      <c r="US8" t="inlineStr">
        <is>
          <t>Amount to carry back to the first prior year</t>
        </is>
      </c>
      <c r="UT8" t="inlineStr">
        <is>
          <t>Amount to carry back to the second prior year</t>
        </is>
      </c>
      <c r="UU8" t="inlineStr">
        <is>
          <t>Amount to carry back to the third prior year</t>
        </is>
      </c>
      <c r="UV8" t="inlineStr">
        <is>
          <t>Volunteer firefighters’ tax credit</t>
        </is>
      </c>
      <c r="UW8" t="inlineStr">
        <is>
          <t>Volunteer firefighters and ground search and rescue tax credit</t>
        </is>
      </c>
      <c r="UX8" t="inlineStr">
        <is>
          <t>Amount claimed for foreign income on 25600 of the return that is exempt under a tax treaty</t>
        </is>
      </c>
      <c r="UY8" t="inlineStr">
        <is>
          <t>Basic cost of living tax credit for self</t>
        </is>
      </c>
      <c r="UZ8" t="inlineStr">
        <is>
          <t>Cost of living tax credit supplement for spouse or common-law partner</t>
        </is>
      </c>
      <c r="VA8" t="inlineStr">
        <is>
          <t>The basic credit for self claimed by the spouse or common-law partner</t>
        </is>
      </c>
      <c r="VB8" t="inlineStr">
        <is>
          <t>Cost of living tax credit supplement</t>
        </is>
      </c>
      <c r="VC8" t="inlineStr">
        <is>
          <t>Northwest territories credit</t>
        </is>
      </c>
      <c r="VD8" t="inlineStr">
        <is>
          <t>NT political contribution tax credit</t>
        </is>
      </c>
      <c r="VE8" t="inlineStr">
        <is>
          <t>Seniors’ public transit tax credit</t>
        </is>
      </c>
      <c r="VF8" t="inlineStr">
        <is>
          <t>ON political contribution tax credit</t>
        </is>
      </c>
      <c r="VG8" t="inlineStr">
        <is>
          <t>Focused flow-through share tax credit</t>
        </is>
      </c>
      <c r="VH8" t="inlineStr">
        <is>
          <t>Tax credits for self-employed individuals – Apprenticeships</t>
        </is>
      </c>
      <c r="VI8" t="inlineStr">
        <is>
          <t>Tax credits for self-employed individuals – Work placements</t>
        </is>
      </c>
      <c r="VJ8" t="inlineStr">
        <is>
          <t>Tax credits claimed as a member of a partnership</t>
        </is>
      </c>
      <c r="VK8" t="inlineStr">
        <is>
          <t>Business number</t>
        </is>
      </c>
      <c r="VL8" t="inlineStr">
        <is>
          <t>Apprenticeship training tax credit</t>
        </is>
      </c>
      <c r="VM8" t="inlineStr">
        <is>
          <t>Co-operative education tax credit</t>
        </is>
      </c>
      <c r="VN8" t="inlineStr">
        <is>
          <t>Unused low-income tax reduction from spouse or common-law partner</t>
        </is>
      </c>
      <c r="VO8" t="inlineStr">
        <is>
          <t>Basic low-income tax reduction</t>
        </is>
      </c>
      <c r="VP8" t="inlineStr">
        <is>
          <t>Age reduction for self</t>
        </is>
      </c>
      <c r="VQ8" t="inlineStr">
        <is>
          <t>Low-income tax reduction for spouse or common-law partner</t>
        </is>
      </c>
      <c r="VR8" t="inlineStr">
        <is>
          <t>Age reduction for spouse or common-law partner</t>
        </is>
      </c>
      <c r="VS8" t="inlineStr">
        <is>
          <t>Low-income tax reduction for an eligible dependant</t>
        </is>
      </c>
      <c r="VT8" t="inlineStr">
        <is>
          <t>PE political contribution tax credit</t>
        </is>
      </c>
      <c r="VU8" t="inlineStr">
        <is>
          <t>Basic and certification tax credits (level 1 and/or level 2 of a non-Red Seal programs)</t>
        </is>
      </c>
      <c r="VV8" t="inlineStr">
        <is>
          <t>Completion and certification tax credit (level 3 of a Red Seal or non-Red Seal program)</t>
        </is>
      </c>
      <c r="VW8" t="inlineStr">
        <is>
          <t>Completion and certification tax credit (level 4 of a Red Seal or non-Red Seal program)</t>
        </is>
      </c>
      <c r="VX8" t="inlineStr">
        <is>
          <t>Enhanced tax credit</t>
        </is>
      </c>
      <c r="VY8" t="inlineStr">
        <is>
          <t>Basic tax credit</t>
        </is>
      </c>
      <c r="VZ8" t="inlineStr">
        <is>
          <t>Completion tax credit</t>
        </is>
      </c>
      <c r="WA8" t="inlineStr">
        <is>
          <t>Enhanced tax credit</t>
        </is>
      </c>
      <c r="WB8" t="inlineStr">
        <is>
          <t>Equity tax credit</t>
        </is>
      </c>
      <c r="WC8" t="inlineStr">
        <is>
          <t>Volunteer firefighter tax credit</t>
        </is>
      </c>
      <c r="WD8" t="inlineStr">
        <is>
          <t>SK political contribution tax credit</t>
        </is>
      </c>
      <c r="WE8" t="inlineStr">
        <is>
          <t>Labour-sponsored venture capital tax credit</t>
        </is>
      </c>
      <c r="WF8" t="inlineStr">
        <is>
          <t>Mineral exploration tax credit</t>
        </is>
      </c>
      <c r="WG8" t="inlineStr">
        <is>
          <t>Amount to carry back to the first prior year</t>
        </is>
      </c>
      <c r="WH8" t="inlineStr">
        <is>
          <t>Amount to carry back to the second prior year</t>
        </is>
      </c>
      <c r="WI8" t="inlineStr">
        <is>
          <t>Amount to carry back to the third prior year</t>
        </is>
      </c>
      <c r="WJ8" t="inlineStr">
        <is>
          <t>Graduate tuition tax credit</t>
        </is>
      </c>
      <c r="WK8" t="inlineStr">
        <is>
          <t>Number of qualifying children under 6 years of age</t>
        </is>
      </c>
      <c r="WL8" t="inlineStr">
        <is>
          <t>Do you reside outside of Whitehorse on December 31 of the tax year?</t>
        </is>
      </c>
      <c r="WM8" t="inlineStr">
        <is>
          <t>Children’s fitness tax credit</t>
        </is>
      </c>
      <c r="WN8" t="inlineStr">
        <is>
          <t>Small business investment tax credit</t>
        </is>
      </c>
      <c r="WO8" t="inlineStr">
        <is>
          <t>Amount to carry back to the first prior year</t>
        </is>
      </c>
      <c r="WP8" t="inlineStr">
        <is>
          <t>Amount to carry back to the second prior year</t>
        </is>
      </c>
      <c r="WQ8" t="inlineStr">
        <is>
          <t>Amount to carry back to the third prior year</t>
        </is>
      </c>
      <c r="WR8" t="inlineStr">
        <is>
          <t>Labour-sponsored venture capital corporation tax credit</t>
        </is>
      </c>
      <c r="WS8" t="inlineStr">
        <is>
          <t>Amount to carry back to the first prior year</t>
        </is>
      </c>
      <c r="WT8" t="inlineStr">
        <is>
          <t>Amount to carry back to the second prior year</t>
        </is>
      </c>
      <c r="WU8" t="inlineStr">
        <is>
          <t>Amount to carry back to the third prior year</t>
        </is>
      </c>
      <c r="WV8" t="inlineStr">
        <is>
          <t>Research and development tax credit</t>
        </is>
      </c>
      <c r="WW8" t="inlineStr">
        <is>
          <t>YT political contribution tax credit</t>
        </is>
      </c>
      <c r="WX8" t="inlineStr">
        <is>
          <t>Yukon First Nations income tax credit</t>
        </is>
      </c>
      <c r="WY8" t="inlineStr">
        <is>
          <t>Cost of living supplement</t>
        </is>
      </c>
      <c r="WZ8" t="inlineStr">
        <is>
          <t>Total cost of living tax credit</t>
        </is>
      </c>
      <c r="XA8" t="inlineStr">
        <is>
          <t>NU political contribution tax credit</t>
        </is>
      </c>
      <c r="XB8" t="inlineStr">
        <is>
          <t>Total expenses eligible for the GST rebate</t>
        </is>
      </c>
      <c r="XC8" t="inlineStr">
        <is>
          <t>Total expenses eligible for the HST rebate</t>
        </is>
      </c>
      <c r="XD8" t="inlineStr">
        <is>
          <t>Total expenses eligible for the HST rebate</t>
        </is>
      </c>
      <c r="XE8" t="inlineStr">
        <is>
          <t>Benefits that can no longer be deferred</t>
        </is>
      </c>
      <c r="XF8" t="inlineStr">
        <is>
          <t>Closing balance of deferred security option benefits</t>
        </is>
      </c>
      <c r="XG8" t="inlineStr">
        <is>
          <t>Non-capital loss to be applied to the third prior year</t>
        </is>
      </c>
      <c r="XH8" t="inlineStr">
        <is>
          <t>Non-capital loss to be applied to the second prior year</t>
        </is>
      </c>
      <c r="XI8" t="inlineStr">
        <is>
          <t>Non-capital loss to be applied to the first prior year</t>
        </is>
      </c>
      <c r="XJ8" t="inlineStr">
        <is>
          <t>Farming or fishing loss to be applied to the third prior year</t>
        </is>
      </c>
      <c r="XK8" t="inlineStr">
        <is>
          <t>Farming or fishing loss to be applied to the second prior year</t>
        </is>
      </c>
      <c r="XL8" t="inlineStr">
        <is>
          <t>Farming or fishing loss to be applied to the first prior year</t>
        </is>
      </c>
      <c r="XM8" t="inlineStr">
        <is>
          <t>Net capital loss to be applied to the third prior year</t>
        </is>
      </c>
      <c r="XN8" t="inlineStr">
        <is>
          <t>Net capital loss to be applied to the second prior year</t>
        </is>
      </c>
      <c r="XO8" t="inlineStr">
        <is>
          <t>Net capital loss to be applied to the first prior year</t>
        </is>
      </c>
      <c r="XP8" t="inlineStr">
        <is>
          <t>Listed personal property net loss to be applied to the third prior year listed personal property net gains</t>
        </is>
      </c>
      <c r="XQ8" t="inlineStr">
        <is>
          <t>Listed personal property net loss to be applied to the second prior year listed personal property net gains</t>
        </is>
      </c>
      <c r="XR8" t="inlineStr">
        <is>
          <t>Listed personal property net loss to be applied to the first prior year listed personal property net gains</t>
        </is>
      </c>
      <c r="XS8" t="inlineStr">
        <is>
          <t>Restricted farm loss to be applied to the third prior year</t>
        </is>
      </c>
      <c r="XT8" t="inlineStr">
        <is>
          <t>Restricted farm loss to be applied to the second prior year</t>
        </is>
      </c>
      <c r="XU8" t="inlineStr">
        <is>
          <t>Restricted farm loss to be applied to the first prior year</t>
        </is>
      </c>
      <c r="XV8" t="inlineStr">
        <is>
          <t>Amount of 2018 reserve for dispositions of QFFP to your child after 2009, and before April 21, 2015 and all other dispositions of QFFP after 2014 and before April 21, 2015</t>
        </is>
      </c>
      <c r="XW8" t="inlineStr">
        <is>
          <t>Amount of 2019 reserve for dispositions of QFFP to your child after 2010, and before April 21, 2015, and all other dispositions of QFFP after 2015 and before April 21, 2015</t>
        </is>
      </c>
      <c r="XX8" t="inlineStr">
        <is>
          <t>Amount of 2018 reserve for dispositions of QFFP after April 20, 2015</t>
        </is>
      </c>
      <c r="XY8" t="inlineStr">
        <is>
          <t>Amount of 2019 reserve for dispositions of QFFP after April 20, 2015</t>
        </is>
      </c>
      <c r="XZ8" t="inlineStr">
        <is>
          <t>Amount of the most recent reserve claimed on line 66840</t>
        </is>
      </c>
      <c r="YA8" t="inlineStr">
        <is>
          <t>Amount of 2019 reserve for dispositions of QSBCS to your child after 2010, and all other dispositions of QSBCS after 2015</t>
        </is>
      </c>
      <c r="YB8" t="inlineStr">
        <is>
          <t>Amount of 2018 reserve for dispositions of QSBCS to your child after 2009, and all other dispositions of QSBCS after 2014</t>
        </is>
      </c>
      <c r="YC8" t="inlineStr">
        <is>
          <t>Amount of the most recent reserve claimed on line 66850</t>
        </is>
      </c>
      <c r="YD8" t="inlineStr">
        <is>
          <t>Amount of 2018 reserve for dispositions to your child after 2009, of family farm or fishing property other than QFFP and of shares of capital stock of a small business corporation other than QSBCS</t>
        </is>
      </c>
      <c r="YE8" t="inlineStr">
        <is>
          <t>Amount of 2019 reserve for dispositions to your child after 2010, of family farm or fishing property other than QFFP and of shares of capital stock of a small business corporation other than QSBCS</t>
        </is>
      </c>
      <c r="YF8" t="inlineStr">
        <is>
          <t>Amount of 2018 reserve for dispositions of property after 2014, other than dispositions listed on lines 66815, 66843, 66883, and 66910</t>
        </is>
      </c>
      <c r="YG8" t="inlineStr">
        <is>
          <t>Amount of 2019 reserve for dispositions of property after 2015, other than dispositions listed on lines 66840, 66844, 66850, and 66920</t>
        </is>
      </c>
      <c r="YH8" t="inlineStr">
        <is>
          <t>Amount of 2018 reserve for dispositions before November 13, 1981</t>
        </is>
      </c>
      <c r="YI8" t="inlineStr">
        <is>
          <t>Total capital reserves</t>
        </is>
      </c>
      <c r="YJ8" t="inlineStr">
        <is>
          <t>ITC for total qualified expenditures for SR&amp;ED</t>
        </is>
      </c>
      <c r="YK8" t="inlineStr">
        <is>
          <t>80% of total contributions made to agricultural organizations for SR&amp;ED</t>
        </is>
      </c>
      <c r="YL8" t="inlineStr">
        <is>
          <t>ITC allocated from a partnership for SR&amp;ED</t>
        </is>
      </c>
      <c r="YM8" t="inlineStr">
        <is>
          <t>ITC for total investments in qualified property</t>
        </is>
      </c>
      <c r="YN8" t="inlineStr">
        <is>
          <t>Total flow-through mining expenditures</t>
        </is>
      </c>
      <c r="YO8" t="inlineStr">
        <is>
          <t>Total apprenticeship job creation tax credit</t>
        </is>
      </c>
      <c r="YP8" t="inlineStr">
        <is>
          <t>ITC for child care spaces</t>
        </is>
      </c>
      <c r="YQ8" t="inlineStr">
        <is>
          <t>Amount of expenditure on which ITC is recaptured at 15%</t>
        </is>
      </c>
      <c r="YR8" t="inlineStr">
        <is>
          <t>Amount of expenditure on which ITC is recaptured at 20%</t>
        </is>
      </c>
      <c r="YS8" t="inlineStr">
        <is>
          <t>Total recapture of ITC for child care spaces</t>
        </is>
      </c>
      <c r="YT8" t="inlineStr">
        <is>
          <t>Amount of carryback to the third previous year</t>
        </is>
      </c>
      <c r="YU8" t="inlineStr">
        <is>
          <t>Amount of carryback to the second previous year</t>
        </is>
      </c>
      <c r="YV8" t="inlineStr">
        <is>
          <t>Amount of carryback to the first previous year</t>
        </is>
      </c>
      <c r="YW8" t="inlineStr">
        <is>
          <t>Maximum residency amount for residents of prescribed northern zones</t>
        </is>
      </c>
      <c r="YX8" t="inlineStr">
        <is>
          <t>Non-taxable benefits for board and lodging at a special work site in a prescribed northern zone</t>
        </is>
      </c>
      <c r="YY8" t="inlineStr">
        <is>
          <t>Maximum residency amount for residents of prescribed intermediate zones</t>
        </is>
      </c>
      <c r="YZ8" t="inlineStr">
        <is>
          <t>Non-taxable benefits for board and lodging at a special work site in a prescribed intermediate zone</t>
        </is>
      </c>
      <c r="ZA8" t="inlineStr">
        <is>
          <t>Total travel amount for trips from a prescribed northern zone</t>
        </is>
      </c>
      <c r="ZB8" t="inlineStr">
        <is>
          <t>Total travel amount for trips from a prescribed intermediate zone</t>
        </is>
      </c>
      <c r="ZC8" t="inlineStr">
        <is>
          <t>Claim for tax shelter loss or deduction</t>
        </is>
      </c>
      <c r="ZD8" t="inlineStr">
        <is>
          <t>Amount of loss created or increased by CCA and carrying charges on certified film property</t>
        </is>
      </c>
      <c r="ZE8" t="inlineStr">
        <is>
          <t>Amount of loss created or increased by CCA and carrying charges on rental and leasing property</t>
        </is>
      </c>
      <c r="ZF8" t="inlineStr">
        <is>
          <t>Losses, amounts deductible and carrying charges for tax shelters, limited partnership, and non-active partners</t>
        </is>
      </c>
      <c r="ZG8" t="inlineStr">
        <is>
          <t>Total of all resource expenditures, depletion allowances, and carrying charges for resource property and flow-through shares</t>
        </is>
      </c>
      <c r="ZH8" t="inlineStr">
        <is>
          <t>Certain capital gains from graduated rate estates</t>
        </is>
      </c>
      <c r="ZI8" t="inlineStr">
        <is>
          <t>Part of total capital gains that is exempt from Canadian tax under a tax treaty</t>
        </is>
      </c>
      <c r="ZJ8" t="inlineStr">
        <is>
          <t>Capital gains on gifts of property to qualified donees</t>
        </is>
      </c>
      <c r="ZK8" t="inlineStr">
        <is>
          <t>Security options deductions under paragraph 110(1)(d)</t>
        </is>
      </c>
      <c r="ZL8" t="inlineStr">
        <is>
          <t>Gifts of securities acquired under a security option plan</t>
        </is>
      </c>
      <c r="ZM8" t="inlineStr">
        <is>
          <t>Other security options deductions included on line 24900</t>
        </is>
      </c>
      <c r="ZN8" t="inlineStr">
        <is>
          <t>Limited partnership losses incurred in prior years that are tax shelters</t>
        </is>
      </c>
      <c r="ZO8" t="inlineStr">
        <is>
          <t>Federal tax payable under alternative minimum tax</t>
        </is>
      </c>
      <c r="ZP8" t="inlineStr">
        <is>
          <t>Total child care expenses paid in the year</t>
        </is>
      </c>
      <c r="ZQ8" t="inlineStr">
        <is>
          <t>Child care expenses incurred for a child age 6 or younger</t>
        </is>
      </c>
      <c r="ZR8" t="inlineStr">
        <is>
          <t>Basic limit for eligible children born in the current tax year or earlier for whom the disability amount can be claimed</t>
        </is>
      </c>
      <c r="ZS8" t="inlineStr">
        <is>
          <t>Part C – Child care expenses paid by the other person with lower net income</t>
        </is>
      </c>
      <c r="ZT8" t="inlineStr">
        <is>
          <t>Part D – Child care expenses paid while enrolled in an educational program</t>
        </is>
      </c>
      <c r="ZU8" t="inlineStr">
        <is>
          <t>Total eligible pensions or superannuation, annuity and RRSP/RRIF payments (including life income fund) received</t>
        </is>
      </c>
      <c r="ZV8" t="inlineStr">
        <is>
          <t>Veteran’s benefits on T4A slips eligible for pension income splitting</t>
        </is>
      </c>
      <c r="ZW8" t="inlineStr">
        <is>
          <t>Distributions on T4A-RCA slips eligible for pension income splitting</t>
        </is>
      </c>
      <c r="ZX8" t="inlineStr">
        <is>
          <t>Number of months married or living common-law in the current tax year</t>
        </is>
      </c>
      <c r="ZY8" t="inlineStr">
        <is>
          <t>Total tax deducted from the transferring spouse’s or common-law partner’s pension income</t>
        </is>
      </c>
      <c r="ZZ8" t="inlineStr">
        <is>
          <t>Tax deducted for the elected split-pension amount</t>
        </is>
      </c>
      <c r="AAA8" t="inlineStr">
        <is>
          <t>Any other investment expenses claimed in the current tax year to earn property income</t>
        </is>
      </c>
      <c r="AAB8" t="inlineStr">
        <is>
          <t>Any other property income reported in the current tax year</t>
        </is>
      </c>
      <c r="AAC8" t="inlineStr">
        <is>
          <t>50% of income from the recovery of exploration and development expenses</t>
        </is>
      </c>
      <c r="AAD8" t="inlineStr">
        <is>
          <t>Capital gains from T3 slips</t>
        </is>
      </c>
      <c r="AAE8" t="inlineStr">
        <is>
          <t>Non-eligible capital gains from T3 slips</t>
        </is>
      </c>
      <c r="AAF8" t="inlineStr">
        <is>
          <t>Special tax for Quebec LSVCC</t>
        </is>
      </c>
      <c r="AAG8" t="inlineStr">
        <is>
          <t>Excess employees profit-sharing plan amounts</t>
        </is>
      </c>
      <c r="AAH8" t="inlineStr">
        <is>
          <t>Proceeds from disposition of publicly traded shares, other shares and mutual fund units</t>
        </is>
      </c>
      <c r="AAI8" t="inlineStr">
        <is>
          <t>Gains eligible for 0% inclusion rate from the disposition of publicly traded shares, other shares and mutual funds units</t>
        </is>
      </c>
      <c r="AAJ8" t="inlineStr">
        <is>
          <t>Proceeds from disposition of bonds, debentures, promissory notes, and other properties (including ecologically sensitive land)</t>
        </is>
      </c>
      <c r="AAK8" t="inlineStr">
        <is>
          <t>Gains eligible for 0% inclusion rate from the disposition of bonds, debentures, promissory notes, and other properties (including ecologically sensitive land)</t>
        </is>
      </c>
      <c r="AAL8" t="inlineStr">
        <is>
          <t>Total of all accumulated income payments</t>
        </is>
      </c>
      <c r="AAM8" t="inlineStr">
        <is>
          <t>Total of all accumulated income payments</t>
        </is>
      </c>
      <c r="AAN8" t="inlineStr">
        <is>
          <t>Taxable amount of dividends (eligible and other than eligible) from taxable Canadian corporations</t>
        </is>
      </c>
      <c r="AAO8" t="inlineStr">
        <is>
          <t>Taxable amount of dividends other than eligible dividends, included on line 68330, from taxable Canadian corporations</t>
        </is>
      </c>
      <c r="AAP8" t="inlineStr">
        <is>
          <t>Total split income</t>
        </is>
      </c>
      <c r="AAQ8" t="inlineStr">
        <is>
          <t>Split income from foreign sources</t>
        </is>
      </c>
      <c r="AAR8" t="inlineStr">
        <is>
          <t>Total income from foreign sources</t>
        </is>
      </c>
      <c r="AAS8" t="inlineStr">
        <is>
          <t>Current-year credit available</t>
        </is>
      </c>
      <c r="AAT8" t="inlineStr">
        <is>
          <t>Mining flow-through share tax credit</t>
        </is>
      </c>
      <c r="AAU8" t="inlineStr">
        <is>
          <t>Amount to carry back to the first prior year</t>
        </is>
      </c>
      <c r="AAV8" t="inlineStr">
        <is>
          <t>Amount to carry back to the second prior year</t>
        </is>
      </c>
      <c r="AAW8" t="inlineStr">
        <is>
          <t>Amount to carry back to the third prior year</t>
        </is>
      </c>
      <c r="AAX8" t="inlineStr">
        <is>
          <t>Current year tax credit available</t>
        </is>
      </c>
      <c r="AAY8" t="inlineStr">
        <is>
          <t>EI and PPIP maternity and paternal benefits</t>
        </is>
      </c>
      <c r="AAZ8" t="inlineStr">
        <is>
          <t>Net exempt income</t>
        </is>
      </c>
      <c r="ABA8" t="inlineStr">
        <is>
          <t>Total provincial amounts designated to you by a studen</t>
        </is>
      </c>
      <c r="ABB8" t="inlineStr">
        <is>
          <t>Venture capital tax credit - January 1 to February 19, 2019</t>
        </is>
      </c>
      <c r="ABC8" t="inlineStr">
        <is>
          <t>Certificate number - Shares acquired after February 19, 2019</t>
        </is>
      </c>
      <c r="ABD8" t="inlineStr">
        <is>
          <t>Certificate number - Shares purchases during the first 60 days of the year following the tax year</t>
        </is>
      </c>
      <c r="ABE8" t="inlineStr">
        <is>
          <t>Low-income individuals and families tax credit</t>
        </is>
      </c>
      <c r="ABF8" t="inlineStr">
        <is>
          <t>Innovation equity tax credit</t>
        </is>
      </c>
      <c r="ABG8" t="inlineStr">
        <is>
          <t>Venture capital tax credit</t>
        </is>
      </c>
      <c r="ABH8" t="inlineStr">
        <is>
          <t>Child care expenses deduction of the other supporting person(s)</t>
        </is>
      </c>
      <c r="ABI8" t="inlineStr">
        <is>
          <t>Adjusted income of the other supporting person(s)</t>
        </is>
      </c>
      <c r="ABJ8" t="inlineStr">
        <is>
          <t>Childcare access and relief from expense tax credit</t>
        </is>
      </c>
      <c r="ABK8" t="inlineStr">
        <is>
          <t>Business carbon price rebate</t>
        </is>
      </c>
      <c r="ABL8" t="inlineStr">
        <is>
          <t>Employment income from T4 slips</t>
        </is>
      </c>
      <c r="ABM8" t="inlineStr">
        <is>
          <t>EI maternity and paternal benefits and PPIP maternity and paternity benefits</t>
        </is>
      </c>
      <c r="ABN8" t="inlineStr">
        <is>
          <t>Taxable scholarship, fellowships, bursaries, and artists’ project grants</t>
        </is>
      </c>
      <c r="ABO8" t="inlineStr">
        <is>
          <t>Deduction for CPP/QPP enhanced contributions on employment income</t>
        </is>
      </c>
      <c r="ABP8" t="inlineStr">
        <is>
          <t>Eligible tuition fees paid to foreign educational institutions for the current tax year</t>
        </is>
      </c>
      <c r="ABQ8" t="inlineStr">
        <is>
          <t>Are you choosing to include tax-exempt income in calculating the CWB?</t>
        </is>
      </c>
      <c r="ABR8" t="inlineStr">
        <is>
          <t>Tax Year Filed</t>
        </is>
      </c>
      <c r="ABS8" t="inlineStr">
        <is>
          <t>Taxing Province</t>
        </is>
      </c>
      <c r="ABT8" t="inlineStr">
        <is>
          <t>Marital Status</t>
        </is>
      </c>
      <c r="ABU8" t="inlineStr">
        <is>
          <t>Balance before penalty and interest</t>
        </is>
      </c>
      <c r="ABV8" t="inlineStr">
        <is>
          <t>Balance before penalty and interest</t>
        </is>
      </c>
      <c r="ABW8" t="inlineStr">
        <is>
          <t>Final balance</t>
        </is>
      </c>
      <c r="ABX8" t="inlineStr">
        <is>
          <t>Basic federal tax</t>
        </is>
      </c>
      <c r="ABY8" t="inlineStr">
        <is>
          <t>Basic provincial or territorial tax</t>
        </is>
      </c>
      <c r="ABZ8" t="inlineStr">
        <is>
          <t>Ontario Health Premium</t>
        </is>
      </c>
      <c r="ACA8" t="inlineStr">
        <is>
          <t>Employment income from T4 slips</t>
        </is>
      </c>
      <c r="ACB8" t="inlineStr">
        <is>
          <t>Commissions included on line 10100</t>
        </is>
      </c>
      <c r="ACC8" t="inlineStr">
        <is>
          <t>Wage-loss replacement contributions</t>
        </is>
      </c>
      <c r="ACD8" t="inlineStr">
        <is>
          <t>Other employment income</t>
        </is>
      </c>
      <c r="ACE8" t="inlineStr">
        <is>
          <t>Proceeds from disposition of qualified small business corporation shares</t>
        </is>
      </c>
      <c r="ACF8" t="inlineStr">
        <is>
          <t>Gain (or loss) from disposition of qualified small business corporation shares</t>
        </is>
      </c>
      <c r="ACG8" t="inlineStr">
        <is>
          <t>Proceeds from disposition of qualified farm or fishing property</t>
        </is>
      </c>
      <c r="ACH8" t="inlineStr">
        <is>
          <t>Gain (or loss) from disposition of qualified farm or fishing property</t>
        </is>
      </c>
      <c r="ACI8" t="inlineStr">
        <is>
          <t>Old age security pension</t>
        </is>
      </c>
      <c r="ACJ8" t="inlineStr">
        <is>
          <t>CPP or QPP benefits</t>
        </is>
      </c>
      <c r="ACK8" t="inlineStr">
        <is>
          <t>Other pensions and superannuation</t>
        </is>
      </c>
      <c r="ACL8" t="inlineStr">
        <is>
          <t>Elected split-pension amount</t>
        </is>
      </c>
      <c r="ACM8" t="inlineStr">
        <is>
          <t>Universal child care benefit (UCCB)</t>
        </is>
      </c>
      <c r="ACN8" t="inlineStr">
        <is>
          <t>Employment insurance and other benefits</t>
        </is>
      </c>
      <c r="ACO8" t="inlineStr">
        <is>
          <t>Taxable amount of dividends (eligible and other than eligible) from taxable Canadian corporations</t>
        </is>
      </c>
      <c r="ACP8" t="inlineStr">
        <is>
          <t>Interest and other investment income</t>
        </is>
      </c>
      <c r="ACQ8" t="inlineStr">
        <is>
          <t>Net partnership income: limited or non-active partners only</t>
        </is>
      </c>
      <c r="ACR8" t="inlineStr">
        <is>
          <t>Proceeds from disposition of mortgage foreclosures and conditional sales repossessions of a qualified farm or fishing property</t>
        </is>
      </c>
      <c r="ACS8" t="inlineStr">
        <is>
          <t>Gain (or loss) from disposition of mortgage foreclosures and conditional sales repossessions of a qualified farm or fishing property</t>
        </is>
      </c>
      <c r="ACT8" t="inlineStr">
        <is>
          <t>Registered disability savings plan (RDSP) income</t>
        </is>
      </c>
      <c r="ACU8" t="inlineStr">
        <is>
          <t>Net rental income (loss)</t>
        </is>
      </c>
      <c r="ACV8" t="inlineStr">
        <is>
          <t>Taxable capital gains (or net capital loss)</t>
        </is>
      </c>
      <c r="ACW8" t="inlineStr">
        <is>
          <t>Taxable amount of support payments received Registered retirement savings plan (RRSP) income Other income</t>
        </is>
      </c>
      <c r="ACX8" t="inlineStr">
        <is>
          <t>Registered retirement savings plan (RRSP) income</t>
        </is>
      </c>
      <c r="ACY8" t="inlineStr">
        <is>
          <t>Other income</t>
        </is>
      </c>
      <c r="ACZ8" t="inlineStr">
        <is>
          <t>Proceeds from disposition of publicly traded shares, mutual fund units, deferral of eligible small business corporation shares, and other shares</t>
        </is>
      </c>
      <c r="ADA8" t="inlineStr">
        <is>
          <t>Gain (or loss) from disposition of publicly traded shares, mutual fund units, deferral of eligible small business corporation shares, and other shares</t>
        </is>
      </c>
      <c r="ADB8" t="inlineStr">
        <is>
          <t>Net business income (loss)</t>
        </is>
      </c>
      <c r="ADC8" t="inlineStr">
        <is>
          <t>Proceeds from disposition of real estate, depreciable property, and other properties</t>
        </is>
      </c>
      <c r="ADD8" t="inlineStr">
        <is>
          <t>Net professional income (loss)</t>
        </is>
      </c>
      <c r="ADE8" t="inlineStr">
        <is>
          <t>Gain (or loss) from disposition of real estate, depreciable property, and other properties</t>
        </is>
      </c>
      <c r="ADF8" t="inlineStr">
        <is>
          <t>Net commission income (loss)</t>
        </is>
      </c>
      <c r="ADG8" t="inlineStr">
        <is>
          <t>Net farming income (loss)</t>
        </is>
      </c>
      <c r="ADH8" t="inlineStr">
        <is>
          <t>Net fishing income (loss)</t>
        </is>
      </c>
      <c r="ADI8" t="inlineStr">
        <is>
          <t>Workers’ compensation benefits</t>
        </is>
      </c>
      <c r="ADJ8" t="inlineStr">
        <is>
          <t>Social assistance payments</t>
        </is>
      </c>
      <c r="ADK8" t="inlineStr">
        <is>
          <t>Net federal supplements</t>
        </is>
      </c>
      <c r="ADL8" t="inlineStr">
        <is>
          <t>Total income</t>
        </is>
      </c>
      <c r="ADM8" t="inlineStr">
        <is>
          <t>Proceeds from disposition of bonds, debentures, promissory notes, and other similar properties</t>
        </is>
      </c>
      <c r="ADN8" t="inlineStr">
        <is>
          <t>Disability benefits included on line 11400</t>
        </is>
      </c>
      <c r="ADO8" t="inlineStr">
        <is>
          <t>Gain (or loss) from disposition of bonds, debentures, promissory notes, and other similar properties Proceeds from disposition of other mortgage foreclosures and conditional sales repossessions</t>
        </is>
      </c>
      <c r="ADP8" t="inlineStr">
        <is>
          <t>Proceeds from disposition of other mortgage foreclosures and conditional sales repossessions</t>
        </is>
      </c>
      <c r="ADQ8" t="inlineStr">
        <is>
          <t>Gain (or loss) from disposition of other mortgage foreclosures and conditional sales repossessions</t>
        </is>
      </c>
      <c r="ADR8" t="inlineStr">
        <is>
          <t>Total support payments received</t>
        </is>
      </c>
      <c r="ADS8" t="inlineStr">
        <is>
          <t>Gain from disposition of personal-use property</t>
        </is>
      </c>
      <c r="ADT8" t="inlineStr">
        <is>
          <t>Net gain from disposition of listed personal property Capital gains deferral from qualifying dispositions of eligible small business corporation shares</t>
        </is>
      </c>
      <c r="ADU8" t="inlineStr">
        <is>
          <t>Gross rental income</t>
        </is>
      </c>
      <c r="ADV8" t="inlineStr">
        <is>
          <t>Capital gains deferral from qualifying dispositions of eligible small business corporation shares</t>
        </is>
      </c>
      <c r="ADW8" t="inlineStr">
        <is>
          <t>Gross business income</t>
        </is>
      </c>
      <c r="ADX8" t="inlineStr">
        <is>
          <t>Gross professional income</t>
        </is>
      </c>
      <c r="ADY8" t="inlineStr">
        <is>
          <t>Gross commission income</t>
        </is>
      </c>
      <c r="ADZ8" t="inlineStr">
        <is>
          <t>Gross farming income</t>
        </is>
      </c>
      <c r="AEA8" t="inlineStr">
        <is>
          <t>Gross fishing income</t>
        </is>
      </c>
      <c r="AEB8" t="inlineStr">
        <is>
          <t>T5, T5013, and T4PS information slips – Capital gains (or losses)</t>
        </is>
      </c>
      <c r="AEC8" t="inlineStr">
        <is>
          <t>T3 information slips – Capital gains (or losses)</t>
        </is>
      </c>
      <c r="AED8" t="inlineStr">
        <is>
          <t>Capital loss from a reduction in the business investment loss</t>
        </is>
      </c>
      <c r="AEE8" t="inlineStr">
        <is>
          <t>Principal residence designation</t>
        </is>
      </c>
      <c r="AEF8" t="inlineStr">
        <is>
          <t>Taxable amount of dividends other than eligible dividends, included on line 12000, from taxable Canadian corporations</t>
        </is>
      </c>
      <c r="AEG8" t="inlineStr">
        <is>
          <t>UCCB amount designated to a dependant</t>
        </is>
      </c>
      <c r="AEH8" t="inlineStr">
        <is>
          <t>Pooled registered pension plan (PRPP) employer contributions</t>
        </is>
      </c>
      <c r="AEI8" t="inlineStr">
        <is>
          <t>Pension adjustment</t>
        </is>
      </c>
      <c r="AEJ8" t="inlineStr">
        <is>
          <t>Registered pension plan deduction</t>
        </is>
      </c>
      <c r="AEK8" t="inlineStr">
        <is>
          <t>RRSP deduction</t>
        </is>
      </c>
      <c r="AEL8" t="inlineStr">
        <is>
          <t>Deduction for elected split-pension amount</t>
        </is>
      </c>
      <c r="AEM8" t="inlineStr">
        <is>
          <t>Annual union, professional, or like dues</t>
        </is>
      </c>
      <c r="AEN8" t="inlineStr">
        <is>
          <t>Universal child care benefit repayment</t>
        </is>
      </c>
      <c r="AEO8" t="inlineStr">
        <is>
          <t>Child care expenses</t>
        </is>
      </c>
      <c r="AEP8" t="inlineStr">
        <is>
          <t>Disability supports deduction</t>
        </is>
      </c>
      <c r="AEQ8" t="inlineStr">
        <is>
          <t>Allowable business investment loss deduction</t>
        </is>
      </c>
      <c r="AER8" t="inlineStr">
        <is>
          <t>Moving expenses</t>
        </is>
      </c>
      <c r="AES8" t="inlineStr">
        <is>
          <t>Allowable deduction for support payments made</t>
        </is>
      </c>
      <c r="AET8" t="inlineStr">
        <is>
          <t>Carrying charges and interest expenses</t>
        </is>
      </c>
      <c r="AEU8" t="inlineStr">
        <is>
          <t>Deduction for CPP or QPP contributions on self-employment and other earnings</t>
        </is>
      </c>
      <c r="AEV8" t="inlineStr">
        <is>
          <t>Deduction for PPIP premiums on self-employment income</t>
        </is>
      </c>
      <c r="AEW8" t="inlineStr">
        <is>
          <t>Exploration and development expenses</t>
        </is>
      </c>
      <c r="AEX8" t="inlineStr">
        <is>
          <t>Gross business investment loss</t>
        </is>
      </c>
      <c r="AEY8" t="inlineStr">
        <is>
          <t>Other employment expenses</t>
        </is>
      </c>
      <c r="AEZ8" t="inlineStr">
        <is>
          <t>Total support payments made</t>
        </is>
      </c>
      <c r="AFA8" t="inlineStr">
        <is>
          <t>Clergy residence deduction</t>
        </is>
      </c>
      <c r="AFB8" t="inlineStr">
        <is>
          <t>Other deductions</t>
        </is>
      </c>
      <c r="AFC8" t="inlineStr">
        <is>
          <t>Social benefits repayment</t>
        </is>
      </c>
      <c r="AFD8" t="inlineStr">
        <is>
          <t>Net income</t>
        </is>
      </c>
      <c r="AFE8" t="inlineStr">
        <is>
          <t>Transfers to an RRSP/PRPP/SPP</t>
        </is>
      </c>
      <c r="AFF8" t="inlineStr">
        <is>
          <t>Canadian Forces personnel and police deduction</t>
        </is>
      </c>
      <c r="AFG8" t="inlineStr">
        <is>
          <t>Total RRSP, SPP, and PRPP contributions from March 2, 2019 to March 2, 2020</t>
        </is>
      </c>
      <c r="AFH8" t="inlineStr">
        <is>
          <t>Contributions designated as a repayment under the Home Buyers’ Plan</t>
        </is>
      </c>
      <c r="AFI8" t="inlineStr">
        <is>
          <t>Current year withdrawals for the HBP on T4RSP slips</t>
        </is>
      </c>
      <c r="AFJ8" t="inlineStr">
        <is>
          <t>Security options deductions</t>
        </is>
      </c>
      <c r="AFK8" t="inlineStr">
        <is>
          <t>Other payments deduction</t>
        </is>
      </c>
      <c r="AFL8" t="inlineStr">
        <is>
          <t>Limited partnership losses of other years</t>
        </is>
      </c>
      <c r="AFM8" t="inlineStr">
        <is>
          <t>Non-capital losses of other years</t>
        </is>
      </c>
      <c r="AFN8" t="inlineStr">
        <is>
          <t>Net capital losses of other years</t>
        </is>
      </c>
      <c r="AFO8" t="inlineStr">
        <is>
          <t>Capital gains deduction</t>
        </is>
      </c>
      <c r="AFP8" t="inlineStr">
        <is>
          <t>Northern residents deductions</t>
        </is>
      </c>
      <c r="AFQ8" t="inlineStr">
        <is>
          <t>Additional deductions</t>
        </is>
      </c>
      <c r="AFR8" t="inlineStr">
        <is>
          <t>Address of home purchased under the HBP is the same as on page 1 of return</t>
        </is>
      </c>
      <c r="AFS8" t="inlineStr">
        <is>
          <t>Taxable income</t>
        </is>
      </c>
      <c r="AFT8" t="inlineStr">
        <is>
          <t>Contributions designated as a repayment under the Lifelong Learning Plan</t>
        </is>
      </c>
      <c r="AFU8" t="inlineStr">
        <is>
          <t>Current year withdrawals for the LLP on T4RSP slips</t>
        </is>
      </c>
      <c r="AFV8" t="inlineStr">
        <is>
          <t>Designation of the spouse or common-law partner as the student for whom the funds were withdrawn under the LLP</t>
        </is>
      </c>
      <c r="AFW8" t="inlineStr">
        <is>
          <t>Foreign property held in the current tax year with a total cost of more than CAN$100,000</t>
        </is>
      </c>
      <c r="AFX8" t="inlineStr">
        <is>
          <t>Current year contributions to an amateur athlete trust</t>
        </is>
      </c>
      <c r="AFY8" t="inlineStr">
        <is>
          <t>Basic personal amount</t>
        </is>
      </c>
      <c r="AFZ8" t="inlineStr">
        <is>
          <t>Age amount</t>
        </is>
      </c>
      <c r="AGA8" t="inlineStr">
        <is>
          <t>Spouse or common-law partner amount</t>
        </is>
      </c>
      <c r="AGB8" t="inlineStr">
        <is>
          <t>Canada caregiver amount for spouse or common-law partner, or eligible dependant age 18 or older</t>
        </is>
      </c>
      <c r="AGC8" t="inlineStr">
        <is>
          <t>Amount for an eligible dependant</t>
        </is>
      </c>
      <c r="AGD8" t="inlineStr">
        <is>
          <t>Canada caregiver amount for other infirm dependants age 18 or older</t>
        </is>
      </c>
      <c r="AGE8" t="inlineStr">
        <is>
          <t>CPP contributions</t>
        </is>
      </c>
      <c r="AGF8" t="inlineStr">
        <is>
          <t>CPP contributions on self-employment and other earnings</t>
        </is>
      </c>
      <c r="AGG8" t="inlineStr">
        <is>
          <t>Employment insurance premiums</t>
        </is>
      </c>
      <c r="AGH8" t="inlineStr">
        <is>
          <t>Adoption expenses</t>
        </is>
      </c>
      <c r="AGI8" t="inlineStr">
        <is>
          <t>Pension income amount</t>
        </is>
      </c>
      <c r="AGJ8" t="inlineStr">
        <is>
          <t>Disability amount (for self)</t>
        </is>
      </c>
      <c r="AGK8" t="inlineStr">
        <is>
          <t>Employment insurance premiums on self-employment and other eligible earnings</t>
        </is>
      </c>
      <c r="AGL8" t="inlineStr">
        <is>
          <t>Disability amount transferred from a dependant Interest paid on your student loans</t>
        </is>
      </c>
      <c r="AGM8" t="inlineStr">
        <is>
          <t>Interest paid on your student loans</t>
        </is>
      </c>
      <c r="AGN8" t="inlineStr">
        <is>
          <t>Eligible tuition fees paid to Canadian educational institutions for the current tax year</t>
        </is>
      </c>
      <c r="AGO8" t="inlineStr">
        <is>
          <t>Your tuition, education, and textbook amounts</t>
        </is>
      </c>
      <c r="AGP8" t="inlineStr">
        <is>
          <t>Tuition amount transferred from a child</t>
        </is>
      </c>
      <c r="AGQ8" t="inlineStr">
        <is>
          <t>Number of months enrolled as a part-time student</t>
        </is>
      </c>
      <c r="AGR8" t="inlineStr">
        <is>
          <t>Amounts transferred from your spouse or common-law partner</t>
        </is>
      </c>
      <c r="AGS8" t="inlineStr">
        <is>
          <t>Federal tuition amount transferred</t>
        </is>
      </c>
      <c r="AGT8" t="inlineStr">
        <is>
          <t>Number of months enrolled as a full-time student</t>
        </is>
      </c>
      <c r="AGU8" t="inlineStr">
        <is>
          <t>Donations made to government bodies</t>
        </is>
      </c>
      <c r="AGV8" t="inlineStr">
        <is>
          <t>Medical expenses for self, spouse or common-law partner, and dependent children under 18 years of age</t>
        </is>
      </c>
      <c r="AGW8" t="inlineStr">
        <is>
          <t>Allowable amount of medical expenses for other dependants</t>
        </is>
      </c>
      <c r="AGX8" t="inlineStr">
        <is>
          <t>Allowable amount of medical expenses</t>
        </is>
      </c>
      <c r="AGY8" t="inlineStr">
        <is>
          <t>Donations made to registered universities outside Canada</t>
        </is>
      </c>
      <c r="AGZ8" t="inlineStr">
        <is>
          <t>Donations made to the United Nations, its agencies, and certain registered foreign charitable organizations</t>
        </is>
      </c>
      <c r="AHA8" t="inlineStr">
        <is>
          <t>Gifts of depreciable property</t>
        </is>
      </c>
      <c r="AHB8" t="inlineStr">
        <is>
          <t>Non-refundable tax credits before donations and gifts</t>
        </is>
      </c>
      <c r="AHC8" t="inlineStr">
        <is>
          <t>Gifts of capital property</t>
        </is>
      </c>
      <c r="AHD8" t="inlineStr">
        <is>
          <t>Allowable charitable donations</t>
        </is>
      </c>
      <c r="AHE8" t="inlineStr">
        <is>
          <t>Eligible amount of cultural and ecological gifts</t>
        </is>
      </c>
      <c r="AHF8" t="inlineStr">
        <is>
          <t>Not enrolled full-time due to effects of impairment Number of months enrolled as a part-time student Number of months enrolled as a full-time student</t>
        </is>
      </c>
      <c r="AHG8" t="inlineStr">
        <is>
          <t>Donations and gifts</t>
        </is>
      </c>
      <c r="AHH8" t="inlineStr">
        <is>
          <t>Total federal non-refundable tax credits</t>
        </is>
      </c>
      <c r="AHI8" t="inlineStr">
        <is>
          <t>Spouse’s or common-law partner’s adjusted taxable income</t>
        </is>
      </c>
      <c r="AHJ8" t="inlineStr">
        <is>
          <t>Number of children for whom you are claiming the Canada caregiver amount for infirm children under 18 years of age</t>
        </is>
      </c>
      <c r="AHK8" t="inlineStr">
        <is>
          <t>Spouse’s or common-law partner’s age amount</t>
        </is>
      </c>
      <c r="AHL8" t="inlineStr">
        <is>
          <t>Total of donations made before 2016</t>
        </is>
      </c>
      <c r="AHM8" t="inlineStr">
        <is>
          <t>Spouse’s or common-law partner’s pension income amount</t>
        </is>
      </c>
      <c r="AHN8" t="inlineStr">
        <is>
          <t>Spouse’s or common-law partner’s disability amount</t>
        </is>
      </c>
      <c r="AHO8" t="inlineStr">
        <is>
          <t>Tuition amount designated by your spouse or common-law partner</t>
        </is>
      </c>
      <c r="AHP8" t="inlineStr">
        <is>
          <t>Spouse’s or common-law partner’s Canada caregiver amount for infirm children under 18 years of age</t>
        </is>
      </c>
      <c r="AHQ8" t="inlineStr">
        <is>
          <t>Volunteer firefighters’ amount</t>
        </is>
      </c>
      <c r="AHR8" t="inlineStr">
        <is>
          <t>Canada employment amount Home buyers’ amount</t>
        </is>
      </c>
      <c r="AHS8" t="inlineStr">
        <is>
          <t>Canada caregiver amount for infirm children under 18 years of age</t>
        </is>
      </c>
      <c r="AHT8" t="inlineStr">
        <is>
          <t>Home buyers’ amount</t>
        </is>
      </c>
      <c r="AHU8" t="inlineStr">
        <is>
          <t>Net business income/Pensionable net self-employment earnings</t>
        </is>
      </c>
      <c r="AHV8" t="inlineStr">
        <is>
          <t>Effective date of the electing to stop contributing to CPP on self-employment earnings</t>
        </is>
      </c>
      <c r="AHW8" t="inlineStr">
        <is>
          <t>Employment earnings not shown on a T4 slip on which you elect to pay additional CPP contributions/Income on which you wish to make optional contributions</t>
        </is>
      </c>
      <c r="AHX8" t="inlineStr">
        <is>
          <t>Effective date to revoke an election made in a prior year to stop contributing to CPP on self-employment earnings</t>
        </is>
      </c>
      <c r="AHY8" t="inlineStr">
        <is>
          <t>PPIP premiums paid</t>
        </is>
      </c>
      <c r="AHZ8" t="inlineStr">
        <is>
          <t>PPIP premiums payable on employment income</t>
        </is>
      </c>
      <c r="AIA8" t="inlineStr">
        <is>
          <t>PPIP premiums payable on self-employment income</t>
        </is>
      </c>
      <c r="AIB8" t="inlineStr">
        <is>
          <t>Do you have an eligible dependant?</t>
        </is>
      </c>
      <c r="AIC8" t="inlineStr">
        <is>
          <t>Do you have an eligible spouse?</t>
        </is>
      </c>
      <c r="AID8" t="inlineStr">
        <is>
          <t>Eligible spouse’s taxable part of scholarship and grant income</t>
        </is>
      </c>
      <c r="AIE8" t="inlineStr">
        <is>
          <t>Eligible spouse’s tax-exempt part of working income earned on a reserve or an allowance received as an emergency volunteer</t>
        </is>
      </c>
      <c r="AIF8" t="inlineStr">
        <is>
          <t>Eligible spouse’s working income</t>
        </is>
      </c>
      <c r="AIG8" t="inlineStr">
        <is>
          <t>Eligible spouse’s tax-exempt part of all income earned or received on a reserve less the deductions related to that income or an allowance received as an emergency volunteer</t>
        </is>
      </c>
      <c r="AIH8" t="inlineStr">
        <is>
          <t>Eligible spouse’s adjusted net income</t>
        </is>
      </c>
      <c r="AII8" t="inlineStr">
        <is>
          <t>Are you eligible for the CWB/WITB?</t>
        </is>
      </c>
      <c r="AIJ8" t="inlineStr">
        <is>
          <t>Are you eligible for the disability tax credit?</t>
        </is>
      </c>
      <c r="AIK8" t="inlineStr">
        <is>
          <t>Is your eligible spouse eligible for the disability tax credit for themselves?</t>
        </is>
      </c>
      <c r="AIL8" t="inlineStr">
        <is>
          <t>Search and rescue volunteers’ amount</t>
        </is>
      </c>
      <c r="AIM8" t="inlineStr">
        <is>
          <t>Home accessibility expenses</t>
        </is>
      </c>
      <c r="AIN8" t="inlineStr">
        <is>
          <t>Employment earnings shown on a T4 slip on which you elect to pay additional CPP contributions</t>
        </is>
      </c>
      <c r="AIO8" t="inlineStr">
        <is>
          <t>Federal tax</t>
        </is>
      </c>
      <c r="AIP8" t="inlineStr">
        <is>
          <t>Total federal political contributions</t>
        </is>
      </c>
      <c r="AIQ8" t="inlineStr">
        <is>
          <t>Federal political contribution tax credit</t>
        </is>
      </c>
      <c r="AIR8" t="inlineStr">
        <is>
          <t>Investment tax credit</t>
        </is>
      </c>
      <c r="AIS8" t="inlineStr">
        <is>
          <t>Labour-sponsored funds tax credit – Net cost</t>
        </is>
      </c>
      <c r="AIT8" t="inlineStr">
        <is>
          <t>Labour-sponsored funds tax credit – Allowable credit</t>
        </is>
      </c>
      <c r="AIU8" t="inlineStr">
        <is>
          <t>Canada workers benefit advance payments received</t>
        </is>
      </c>
      <c r="AIV8" t="inlineStr">
        <is>
          <t>Net federal tax before inclusion of CWB advance payments and special taxes</t>
        </is>
      </c>
      <c r="AIW8" t="inlineStr">
        <is>
          <t>Special taxes</t>
        </is>
      </c>
      <c r="AIX8" t="inlineStr">
        <is>
          <t>Net Federal Tax</t>
        </is>
      </c>
      <c r="AIY8" t="inlineStr">
        <is>
          <t>Federal tax on split income</t>
        </is>
      </c>
      <c r="AIZ8" t="inlineStr">
        <is>
          <t>Federal dividend tax credit</t>
        </is>
      </c>
      <c r="AJA8" t="inlineStr">
        <is>
          <t>Minimum tax carry-over</t>
        </is>
      </c>
      <c r="AJB8" t="inlineStr">
        <is>
          <t>Provincial or territorial tax</t>
        </is>
      </c>
      <c r="AJC8" t="inlineStr">
        <is>
          <t>Non-business income tax paid to a foreign country</t>
        </is>
      </c>
      <c r="AJD8" t="inlineStr">
        <is>
          <t>Yukon First Nations tax</t>
        </is>
      </c>
      <c r="AJE8" t="inlineStr">
        <is>
          <t>Net foreign non-business income</t>
        </is>
      </c>
      <c r="AJF8" t="inlineStr">
        <is>
          <t>Business income tax paid to a foreign country</t>
        </is>
      </c>
      <c r="AJG8" t="inlineStr">
        <is>
          <t>Total payable</t>
        </is>
      </c>
      <c r="AJH8" t="inlineStr">
        <is>
          <t>Total income tax deducted</t>
        </is>
      </c>
      <c r="AJI8" t="inlineStr">
        <is>
          <t>Tax transfer for residents of Quebec</t>
        </is>
      </c>
      <c r="AJJ8" t="inlineStr">
        <is>
          <t>Net foreign business income</t>
        </is>
      </c>
      <c r="AJK8" t="inlineStr">
        <is>
          <t>Refundable Quebec abatement</t>
        </is>
      </c>
      <c r="AJL8" t="inlineStr">
        <is>
          <t>Federal refundable First Nations abatement</t>
        </is>
      </c>
      <c r="AJM8" t="inlineStr">
        <is>
          <t>CPP overpayment</t>
        </is>
      </c>
      <c r="AJN8" t="inlineStr">
        <is>
          <t>Climate action incentive</t>
        </is>
      </c>
      <c r="AJO8" t="inlineStr">
        <is>
          <t>Employment insurance overpayment</t>
        </is>
      </c>
      <c r="AJP8" t="inlineStr">
        <is>
          <t>Refundable medical expense supplement</t>
        </is>
      </c>
      <c r="AJQ8" t="inlineStr">
        <is>
          <t>Canada workers benefit (Working income tax benefit)</t>
        </is>
      </c>
      <c r="AJR8" t="inlineStr">
        <is>
          <t>Refund of investment tax credit</t>
        </is>
      </c>
      <c r="AJS8" t="inlineStr">
        <is>
          <t>Part XII.2 trust tax credit</t>
        </is>
      </c>
      <c r="AJT8" t="inlineStr">
        <is>
          <t>Employee and partner GST/HST rebate</t>
        </is>
      </c>
      <c r="AJU8" t="inlineStr">
        <is>
          <t>Direct deposit – Branch number</t>
        </is>
      </c>
      <c r="AJV8" t="inlineStr">
        <is>
          <t>Direct deposit – Institution number</t>
        </is>
      </c>
      <c r="AJW8" t="inlineStr">
        <is>
          <t>Direct deposit – Account number</t>
        </is>
      </c>
      <c r="AJX8" t="inlineStr">
        <is>
          <t>Donation to the Ontario opportunities fund</t>
        </is>
      </c>
      <c r="AJY8" t="inlineStr">
        <is>
          <t>Net refund</t>
        </is>
      </c>
      <c r="AJZ8" t="inlineStr">
        <is>
          <t>Supplies expenses for eligible educator school supply tax credit</t>
        </is>
      </c>
      <c r="AKA8" t="inlineStr">
        <is>
          <t>Eligible educator school supply tax credit</t>
        </is>
      </c>
      <c r="AKB8" t="inlineStr">
        <is>
          <t>Tax paid by instalments</t>
        </is>
      </c>
      <c r="AKC8" t="inlineStr">
        <is>
          <t>Provincial or territorial credits</t>
        </is>
      </c>
      <c r="AKD8" t="inlineStr">
        <is>
          <t>Refund</t>
        </is>
      </c>
      <c r="AKE8" t="inlineStr">
        <is>
          <t>Balance owing</t>
        </is>
      </c>
      <c r="AKF8" t="inlineStr">
        <is>
          <t>Amount enclosed</t>
        </is>
      </c>
      <c r="AKG8" t="inlineStr">
        <is>
          <t>Volunteer program</t>
        </is>
      </c>
      <c r="AKH8" t="inlineStr">
        <is>
          <t>Refund transfer</t>
        </is>
      </c>
      <c r="AKI8" t="inlineStr">
        <is>
          <t>Tax preparer code</t>
        </is>
      </c>
      <c r="AKJ8" t="inlineStr">
        <is>
          <t>EI and PPIP premiums (non-Quebec return)</t>
        </is>
      </c>
      <c r="AKK8" t="inlineStr">
        <is>
          <t>Total PPIP premiums</t>
        </is>
      </c>
      <c r="AKL8" t="inlineStr">
        <is>
          <t>Total EI premiums</t>
        </is>
      </c>
      <c r="AKM8" t="inlineStr">
        <is>
          <t>PPIP indicator</t>
        </is>
      </c>
      <c r="AKN8" t="inlineStr">
        <is>
          <t>QPP contributions</t>
        </is>
      </c>
      <c r="AKO8" t="inlineStr">
        <is>
          <t>QPP contributions on self-employment and other earnings</t>
        </is>
      </c>
      <c r="AKP8" t="inlineStr">
        <is>
          <t>Actual total contributions on QPP pensionable earnings</t>
        </is>
      </c>
      <c r="AKQ8" t="inlineStr">
        <is>
          <t>Actual total contributions on CPP pensionable earnings</t>
        </is>
      </c>
      <c r="AKR8" t="inlineStr">
        <is>
          <t>Capital gains at 100%</t>
        </is>
      </c>
      <c r="AKS8" t="inlineStr">
        <is>
          <t>Dependant’s net income (line 23600 of his or her return)</t>
        </is>
      </c>
      <c r="AKT8" t="inlineStr">
        <is>
          <t>Canada caregiver amount for spouse or common-law partner</t>
        </is>
      </c>
      <c r="AKU8" t="inlineStr">
        <is>
          <t>Canada caregiver amount for a dependant (other than an infirm child under 18 year of age)</t>
        </is>
      </c>
      <c r="AKV8" t="inlineStr">
        <is>
          <t>Total number of dependants</t>
        </is>
      </c>
      <c r="AKW8" t="inlineStr">
        <is>
          <t>Number of full weeks in attendance at a designated educational institution or secondary school</t>
        </is>
      </c>
      <c r="AKX8" t="inlineStr">
        <is>
          <t>Earnings for services performed in Canada on which the foreign social security contributions were made</t>
        </is>
      </c>
      <c r="AKY8" t="inlineStr">
        <is>
          <t>Amount contributed to a foreign social security arrangement</t>
        </is>
      </c>
      <c r="AKZ8" t="inlineStr">
        <is>
          <t>Allowable non-refundable tax credit for contributions to a foreign social security arrangement</t>
        </is>
      </c>
      <c r="ALA8" t="inlineStr">
        <is>
          <t>Contributions to a foreign employer-sponsored pension plan</t>
        </is>
      </c>
      <c r="ALB8" t="inlineStr">
        <is>
          <t>Resident compensation from employment services</t>
        </is>
      </c>
      <c r="ALC8" t="inlineStr">
        <is>
          <t>Pension adjustment from a U.S. retirement plan/Prescribed amount from a U.S. retirement plan/Pension adjustment from a foreign employer-sponsored pension plan</t>
        </is>
      </c>
      <c r="ALD8" t="inlineStr">
        <is>
          <t>Contributions to a U.S. retirement plan</t>
        </is>
      </c>
      <c r="ALE8" t="inlineStr">
        <is>
          <t>Contributions to a U.S. retirement plan</t>
        </is>
      </c>
      <c r="ALF8" t="inlineStr">
        <is>
          <t>Spouse’s or common-law partner’s capital gains from mortgage foreclosures and conditional sales repossessions</t>
        </is>
      </c>
      <c r="ALG8" t="inlineStr">
        <is>
          <t>Spouse’s or common-law partner’s net-income while the taxpayer is living in Canada</t>
        </is>
      </c>
      <c r="ALH8" t="inlineStr">
        <is>
          <t>Spouse’s or common-law partner’s net-income while the taxpayer is living outside of Canada</t>
        </is>
      </c>
      <c r="ALI8" t="inlineStr">
        <is>
          <t>Net foreign non-business income from the first foreign country</t>
        </is>
      </c>
      <c r="ALJ8" t="inlineStr">
        <is>
          <t>Net foreign non-business income from the second foreign country</t>
        </is>
      </c>
      <c r="ALK8" t="inlineStr">
        <is>
          <t>Net foreign non-business income from the third foreign country</t>
        </is>
      </c>
      <c r="ALL8" t="inlineStr">
        <is>
          <t>Business income tax paid to the first foreign country</t>
        </is>
      </c>
      <c r="ALM8" t="inlineStr">
        <is>
          <t>Non-business income tax paid to first foreign country</t>
        </is>
      </c>
      <c r="ALN8" t="inlineStr">
        <is>
          <t>Non-business income tax paid to second foreign country</t>
        </is>
      </c>
      <c r="ALO8" t="inlineStr">
        <is>
          <t>Non-business income tax paid to third foreign country</t>
        </is>
      </c>
      <c r="ALP8" t="inlineStr">
        <is>
          <t>Net business income from the first foreign country</t>
        </is>
      </c>
      <c r="ALQ8" t="inlineStr">
        <is>
          <t>Net business income from the second foreign country</t>
        </is>
      </c>
      <c r="ALR8" t="inlineStr">
        <is>
          <t>Net business income from the third foreign country</t>
        </is>
      </c>
      <c r="ALS8" t="inlineStr">
        <is>
          <t>Business income tax paid to the second foreign country</t>
        </is>
      </c>
      <c r="ALT8" t="inlineStr">
        <is>
          <t>Business income tax paid to the third foreign country</t>
        </is>
      </c>
      <c r="ALU8" t="inlineStr">
        <is>
          <t>Vow of perpetual poverty</t>
        </is>
      </c>
      <c r="ALV8" t="inlineStr">
        <is>
          <t>Canadian sourced non-resident income, excluding the income subject to Part XIII tax</t>
        </is>
      </c>
      <c r="ALW8" t="inlineStr">
        <is>
          <t>Canadian sourced non-resident income subject to Part XIII tax plus foreign sourced non-resident income</t>
        </is>
      </c>
      <c r="ALX8" t="inlineStr">
        <is>
          <t>BC logging tax paid</t>
        </is>
      </c>
      <c r="ALY8" t="inlineStr">
        <is>
          <t>QC logging tax paid</t>
        </is>
      </c>
      <c r="ALZ8" t="inlineStr">
        <is>
          <t>Total QPP pensionable earnings</t>
        </is>
      </c>
      <c r="AMA8" t="inlineStr">
        <is>
          <t>Total CPP pensionable earnings</t>
        </is>
      </c>
      <c r="AMB8" t="inlineStr">
        <is>
          <t>Indicator for filing due date for tax shelter, or inactive or active business income</t>
        </is>
      </c>
      <c r="AMC8" t="inlineStr">
        <is>
          <t>BC logging income</t>
        </is>
      </c>
      <c r="AMD8" t="inlineStr">
        <is>
          <t>CCA on certified film property</t>
        </is>
      </c>
      <c r="AME8" t="inlineStr">
        <is>
          <t>Ineligible pension income</t>
        </is>
      </c>
      <c r="AMF8" t="inlineStr">
        <is>
          <t>Income with tax withheld supported by information slips</t>
        </is>
      </c>
      <c r="AMG8" t="inlineStr">
        <is>
          <t>T4 earning reduction</t>
        </is>
      </c>
      <c r="AMH8" t="inlineStr">
        <is>
          <t>Quebec tax deducted (from slips in the taxpayer's name)</t>
        </is>
      </c>
      <c r="AMI8" t="inlineStr">
        <is>
          <t>Income on which Quebec tax was withheld (from slips in the taxpayer's name)</t>
        </is>
      </c>
      <c r="AMJ8" t="inlineStr">
        <is>
          <t>Amount of OAS pension repaid</t>
        </is>
      </c>
      <c r="AMK8" t="inlineStr">
        <is>
          <t>Limited partnership loss carryforward from 1986 and 1987</t>
        </is>
      </c>
      <c r="AML8" t="inlineStr">
        <is>
          <t>Limited partnership loss available for carryforward</t>
        </is>
      </c>
      <c r="AMM8" t="inlineStr">
        <is>
          <t>Amount of self-employment net earnings reported at self-employed lines in relation to T4 self-employment on which EI premiums through employment were deducted</t>
        </is>
      </c>
      <c r="AMN8" t="inlineStr">
        <is>
          <t>Shareholder's loan repayment</t>
        </is>
      </c>
      <c r="AMO8" t="inlineStr">
        <is>
          <t>QC logging income</t>
        </is>
      </c>
      <c r="AMP8" t="inlineStr">
        <is>
          <t>Spouse's or common-law partner's total split income</t>
        </is>
      </c>
      <c r="AMQ8" t="inlineStr">
        <is>
          <t>CWB income from other returns</t>
        </is>
      </c>
      <c r="AMR8" t="inlineStr">
        <is>
          <t>Net business income (amount from line 27 of Schedule L of the Quebec provincial income tax return)</t>
        </is>
      </c>
      <c r="AMS8" t="inlineStr">
        <is>
          <t>Employment income where the province or territory of employment is other than Quebec</t>
        </is>
      </c>
      <c r="AMT8" t="inlineStr">
        <is>
          <t>PPIP insurable earnings</t>
        </is>
      </c>
      <c r="AMU8" t="inlineStr">
        <is>
          <t>Shareholder earnings</t>
        </is>
      </c>
      <c r="AMV8" t="inlineStr">
        <is>
          <t>Tax-exempt self-employment income earned by a status indian</t>
        </is>
      </c>
      <c r="AMW8" t="inlineStr">
        <is>
          <t>Taxable income from the post-bankruptcy period</t>
        </is>
      </c>
      <c r="AMX8" t="inlineStr">
        <is>
          <t>EI insurable earnings</t>
        </is>
      </c>
      <c r="AMY8" t="inlineStr">
        <is>
          <t>EI and other benefits repaid</t>
        </is>
      </c>
      <c r="AMZ8" t="inlineStr">
        <is>
          <t>Farm/fish loss</t>
        </is>
      </c>
      <c r="ANA8" t="inlineStr">
        <is>
          <t>Total section 31 farm loss</t>
        </is>
      </c>
      <c r="ANB8" t="inlineStr">
        <is>
          <t>Restricted farm loss</t>
        </is>
      </c>
      <c r="ANC8" t="inlineStr">
        <is>
          <t>RRSP earned income calculation</t>
        </is>
      </c>
      <c r="AND8" t="inlineStr">
        <is>
          <t>Home Buyers' Plan (HBP) participant repayment amount</t>
        </is>
      </c>
      <c r="ANE8" t="inlineStr">
        <is>
          <t>Lifelong Learning Plan (LLP) participant repayment amount</t>
        </is>
      </c>
      <c r="ANF8" t="inlineStr">
        <is>
          <t>Indicator for marital status change</t>
        </is>
      </c>
      <c r="ANG8" t="inlineStr">
        <is>
          <t>Spousal indicator</t>
        </is>
      </c>
      <c r="ANH8" t="inlineStr">
        <is>
          <t>Marital status change indicator for the amount for an eligible dependant</t>
        </is>
      </c>
      <c r="ANI8" t="inlineStr">
        <is>
          <t>Earned income adjustment amount</t>
        </is>
      </c>
      <c r="ANJ8" t="inlineStr">
        <is>
          <t>Net self-employment income (loss) adjustment amount</t>
        </is>
      </c>
      <c r="ANK8" t="inlineStr">
        <is>
          <t>RDSP repayment by taxpayer</t>
        </is>
      </c>
      <c r="ANL8" t="inlineStr">
        <is>
          <t>RDSP income of spouse or common-law partner</t>
        </is>
      </c>
      <c r="ANM8" t="inlineStr">
        <is>
          <t>RDSP repayment by spouse or common-law partner</t>
        </is>
      </c>
      <c r="ANN8" t="inlineStr">
        <is>
          <t>Number of months of retirement</t>
        </is>
      </c>
      <c r="ANO8" t="inlineStr">
        <is>
          <t>Number of months of disability</t>
        </is>
      </c>
      <c r="ANP8" t="inlineStr">
        <is>
          <t>CPP/QPP retirement benefits</t>
        </is>
      </c>
      <c r="ANQ8" t="inlineStr">
        <is>
          <t>Basic personal amount</t>
        </is>
      </c>
      <c r="ANR8" t="inlineStr">
        <is>
          <t>Age amount</t>
        </is>
      </c>
      <c r="ANS8" t="inlineStr">
        <is>
          <t>Spousal or common-law law partner amount</t>
        </is>
      </c>
      <c r="ANT8" t="inlineStr">
        <is>
          <t>Amount for an eligible dependant</t>
        </is>
      </c>
      <c r="ANU8" t="inlineStr">
        <is>
          <t>Caregiver amount for spouse or common-law partner, or eligible dependant age 18 or older</t>
        </is>
      </c>
      <c r="ANV8" t="inlineStr">
        <is>
          <t>British Columbia caregiver amount</t>
        </is>
      </c>
      <c r="ANW8" t="inlineStr">
        <is>
          <t>Caregiver amount for infirm dependants age 18 or older</t>
        </is>
      </c>
      <c r="ANX8" t="inlineStr">
        <is>
          <t>Ontario caregiver amount</t>
        </is>
      </c>
      <c r="ANY8" t="inlineStr">
        <is>
          <t>Caregiver amount for infirm children under 18 years of age</t>
        </is>
      </c>
      <c r="ANZ8" t="inlineStr">
        <is>
          <t>Amount for infirm dependants age 18 or older</t>
        </is>
      </c>
      <c r="AOA8" t="inlineStr">
        <is>
          <t>Number of children</t>
        </is>
      </c>
      <c r="AOB8" t="inlineStr">
        <is>
          <t>Amount for dependent children age 18 or younger</t>
        </is>
      </c>
      <c r="AOC8" t="inlineStr">
        <is>
          <t>Senior supplementary amount</t>
        </is>
      </c>
      <c r="AOD8" t="inlineStr">
        <is>
          <t>Number of months being claimed for all qualifying children</t>
        </is>
      </c>
      <c r="AOE8" t="inlineStr">
        <is>
          <t>Amount for young children</t>
        </is>
      </c>
      <c r="AOF8" t="inlineStr">
        <is>
          <t>CPP or QPP contributions</t>
        </is>
      </c>
      <c r="AOG8" t="inlineStr">
        <is>
          <t>CPP or QPP contributions on self-employment and other earnings</t>
        </is>
      </c>
      <c r="AOH8" t="inlineStr">
        <is>
          <t>Employment insurance premiums</t>
        </is>
      </c>
      <c r="AOI8" t="inlineStr">
        <is>
          <t>Employment insurance premiums on self-employment and other eligible earnings</t>
        </is>
      </c>
      <c r="AOJ8" t="inlineStr">
        <is>
          <t>Canada employment amount</t>
        </is>
      </c>
      <c r="AOK8" t="inlineStr">
        <is>
          <t>Volunteer firefighters’ amount</t>
        </is>
      </c>
      <c r="AOL8" t="inlineStr">
        <is>
          <t>Search and rescue volunteers’ amount</t>
        </is>
      </c>
      <c r="AOM8" t="inlineStr">
        <is>
          <t>Child care amount</t>
        </is>
      </c>
      <c r="AON8" t="inlineStr">
        <is>
          <t>Fitness amount</t>
        </is>
      </c>
      <c r="AOO8" t="inlineStr">
        <is>
          <t>Children’s arts amount</t>
        </is>
      </c>
      <c r="AOP8" t="inlineStr">
        <is>
          <t>Adoption expenses</t>
        </is>
      </c>
      <c r="AOQ8" t="inlineStr">
        <is>
          <t>First-time home buyers’ amount</t>
        </is>
      </c>
      <c r="AOR8" t="inlineStr">
        <is>
          <t>Pension income amount</t>
        </is>
      </c>
      <c r="AOS8" t="inlineStr">
        <is>
          <t>Caregiver amount</t>
        </is>
      </c>
      <c r="AOT8" t="inlineStr">
        <is>
          <t>Disability amount (for self)</t>
        </is>
      </c>
      <c r="AOU8" t="inlineStr">
        <is>
          <t>Disability amount transferred from a dependant</t>
        </is>
      </c>
      <c r="AOV8" t="inlineStr">
        <is>
          <t>Teacher school supply amount</t>
        </is>
      </c>
      <c r="AOW8" t="inlineStr">
        <is>
          <t>Interest paid on your student loans</t>
        </is>
      </c>
      <c r="AOX8" t="inlineStr">
        <is>
          <t>Your tuition and education amounts</t>
        </is>
      </c>
      <c r="AOY8" t="inlineStr">
        <is>
          <t>Your unused tuition and education amounts</t>
        </is>
      </c>
      <c r="AOZ8" t="inlineStr">
        <is>
          <t>Your tuition, education, and textbook amounts</t>
        </is>
      </c>
      <c r="APA8" t="inlineStr">
        <is>
          <t>Tuition and education amounts transferred from a child</t>
        </is>
      </c>
      <c r="APB8" t="inlineStr">
        <is>
          <t>Tuition amounts transferred from a child NB428</t>
        </is>
      </c>
      <c r="APC8" t="inlineStr">
        <is>
          <t>Tuition, education, and textbook amounts transferred from a child</t>
        </is>
      </c>
      <c r="APD8" t="inlineStr">
        <is>
          <t>Amounts transferred from your spouse or common-law partner</t>
        </is>
      </c>
      <c r="APE8" t="inlineStr">
        <is>
          <t>Medical expenses for self, spouse or common-law partner, and your dependent children under 18 years of age</t>
        </is>
      </c>
      <c r="APF8" t="inlineStr">
        <is>
          <t>Allowable amount of medical expenses for other dependants</t>
        </is>
      </c>
      <c r="APG8" t="inlineStr">
        <is>
          <t>Total tax-exempt employment earnings</t>
        </is>
      </c>
      <c r="APH8" t="inlineStr">
        <is>
          <t>Allowable amount of medical expenses</t>
        </is>
      </c>
      <c r="API8" t="inlineStr">
        <is>
          <t>Add lines 58040 to 58640 (and line 61470 for MB) and line 58769</t>
        </is>
      </c>
      <c r="APJ8" t="inlineStr">
        <is>
          <t>Total tax-exempt self-employment earnings and other tax-exempt earned income</t>
        </is>
      </c>
      <c r="APK8" t="inlineStr">
        <is>
          <t>Total eligible PRPP contributions from tax-exempt income</t>
        </is>
      </c>
      <c r="APL8" t="inlineStr">
        <is>
          <t>PRPP contributions from tax-exempt income designated as a repayment under the HBP</t>
        </is>
      </c>
      <c r="APM8" t="inlineStr">
        <is>
          <t>Provincial or territorial non-refundable tax credits before donations and gifts</t>
        </is>
      </c>
      <c r="APN8" t="inlineStr">
        <is>
          <t>Non-refundable tax credits before donations and gifts and the farmers’ food donation tax credit</t>
        </is>
      </c>
      <c r="APO8" t="inlineStr">
        <is>
          <t>Donations and gifts</t>
        </is>
      </c>
      <c r="APP8" t="inlineStr">
        <is>
          <t>PRPP contributions from tax-exempt income designated as a repayment under the LLP</t>
        </is>
      </c>
      <c r="APQ8" t="inlineStr">
        <is>
          <t>BC farmers’ food donation tax credit</t>
        </is>
      </c>
      <c r="APR8" t="inlineStr">
        <is>
          <t>Spouse’s or common-law partner’s amount for young children less than 6 years of age</t>
        </is>
      </c>
      <c r="APS8" t="inlineStr">
        <is>
          <t>Spouse’s or common-law partner’s amount for dependent children age 18 or younger</t>
        </is>
      </c>
      <c r="APT8" t="inlineStr">
        <is>
          <t>Spouse’s or common-law partner’s age amount</t>
        </is>
      </c>
      <c r="APU8" t="inlineStr">
        <is>
          <t>Spouse’s or common-law partner’s senior supplementary amount</t>
        </is>
      </c>
      <c r="APV8" t="inlineStr">
        <is>
          <t>Spouse’s or common-law partner’s provincial/territorial caregiver amount for infirm children under 18 years of age</t>
        </is>
      </c>
      <c r="APW8" t="inlineStr">
        <is>
          <t>Spouse’s or common-law partner’s pension income amount</t>
        </is>
      </c>
      <c r="APX8" t="inlineStr">
        <is>
          <t>Spouse’s or common-law partner’s disability amount</t>
        </is>
      </c>
      <c r="APY8" t="inlineStr">
        <is>
          <t>Tuition and education amounts designated by your spouse or common-law partner</t>
        </is>
      </c>
      <c r="APZ8" t="inlineStr">
        <is>
          <t>Tuition amounts designated by your spouse or common-law partner</t>
        </is>
      </c>
      <c r="AQA8" t="inlineStr">
        <is>
          <t>Tuition, education, and textbook amounts designated by your spouse or common-law partner</t>
        </is>
      </c>
      <c r="AQB8" t="inlineStr">
        <is>
          <t>Spouse’s or common-law partner’s adjusted taxable income</t>
        </is>
      </c>
      <c r="AQC8" t="inlineStr">
        <is>
          <t>Eligible tuition fees paid for the current tax year</t>
        </is>
      </c>
      <c r="AQD8" t="inlineStr">
        <is>
          <t>Eligible tuition fees paid for 2017 and 2018</t>
        </is>
      </c>
      <c r="AQE8" t="inlineStr">
        <is>
          <t>Part-time education amount</t>
        </is>
      </c>
      <c r="AQF8" t="inlineStr">
        <is>
          <t>Part-time education and textbook amounts</t>
        </is>
      </c>
      <c r="AQG8" t="inlineStr">
        <is>
          <t>Full-time education amount</t>
        </is>
      </c>
      <c r="AQH8" t="inlineStr">
        <is>
          <t>Full-time education and textbook amounts</t>
        </is>
      </c>
      <c r="AQI8" t="inlineStr">
        <is>
          <t>Provincial amount transferred</t>
        </is>
      </c>
      <c r="AQJ8" t="inlineStr">
        <is>
          <t>Territorial amount transferred</t>
        </is>
      </c>
      <c r="AQK8" t="inlineStr">
        <is>
          <t>Provincial tuition amount transferred</t>
        </is>
      </c>
      <c r="AQL8" t="inlineStr">
        <is>
          <t>Territorial tuition amount transferred</t>
        </is>
      </c>
      <c r="AQM8" t="inlineStr">
        <is>
          <t>Amount for infirm dependants age 18 or older</t>
        </is>
      </c>
      <c r="AQN8" t="inlineStr">
        <is>
          <t>Caregiver amount</t>
        </is>
      </c>
      <c r="AQO8" t="inlineStr">
        <is>
          <t>Disability amount (for self)</t>
        </is>
      </c>
      <c r="AQP8" t="inlineStr">
        <is>
          <t>Disability amount transferred from a dependant</t>
        </is>
      </c>
      <c r="AQQ8" t="inlineStr">
        <is>
          <t>Amounts transferred from your spouse or common-law partner</t>
        </is>
      </c>
      <c r="AQR8" t="inlineStr">
        <is>
          <t>Allowable amount of medical expenses for other dependants</t>
        </is>
      </c>
      <c r="AQS8" t="inlineStr">
        <is>
          <t>Disability amount (for self)</t>
        </is>
      </c>
      <c r="AQT8" t="inlineStr">
        <is>
          <t>Disability amount transferred from a dependant</t>
        </is>
      </c>
      <c r="AQU8" t="inlineStr">
        <is>
          <t>Total provincial amounts designated to you by a student</t>
        </is>
      </c>
      <c r="AQV8" t="inlineStr">
        <is>
          <t>Amounts transferred from your spouse or common-law partner</t>
        </is>
      </c>
      <c r="AQW8" t="inlineStr">
        <is>
          <t>Allowable amount of medical expenses for other dependants</t>
        </is>
      </c>
      <c r="AQX8" t="inlineStr">
        <is>
          <t>Program type from the current tax year</t>
        </is>
      </c>
      <c r="AQY8" t="inlineStr">
        <is>
          <t>Eligible tuition fees paid</t>
        </is>
      </c>
      <c r="AQZ8" t="inlineStr">
        <is>
          <t>“Eligibility Maximum” from the current tax year</t>
        </is>
      </c>
      <c r="ARA8" t="inlineStr">
        <is>
          <t>Program type from the current tax year</t>
        </is>
      </c>
      <c r="ARB8" t="inlineStr">
        <is>
          <t>Eligible tuition fees paid</t>
        </is>
      </c>
      <c r="ARC8" t="inlineStr">
        <is>
          <t>Eligibility Maximum from the current tax year</t>
        </is>
      </c>
      <c r="ARD8" t="inlineStr">
        <is>
          <t>Program type from the current tax year</t>
        </is>
      </c>
      <c r="ARE8" t="inlineStr">
        <is>
          <t>Eligible tuition fees paid</t>
        </is>
      </c>
      <c r="ARF8" t="inlineStr">
        <is>
          <t>Eligibility Maximum from the current tax year</t>
        </is>
      </c>
      <c r="ARG8" t="inlineStr">
        <is>
          <t>AB political contributions tax credit</t>
        </is>
      </c>
      <c r="ARH8" t="inlineStr">
        <is>
          <t>Investor tax credit – Current tax year</t>
        </is>
      </c>
      <c r="ARI8" t="inlineStr">
        <is>
          <t>Climate action incentive – Basic amount</t>
        </is>
      </c>
      <c r="ARJ8" t="inlineStr">
        <is>
          <t>Climate action incentive – Amount for an eligible spouse or common-law partner</t>
        </is>
      </c>
      <c r="ARK8" t="inlineStr">
        <is>
          <t>Climate action incentive – Amount for a single parent’s qualified dependant</t>
        </is>
      </c>
      <c r="ARL8" t="inlineStr">
        <is>
          <t>Climate action incentive – Number of qualified dependants</t>
        </is>
      </c>
      <c r="ARM8" t="inlineStr">
        <is>
          <t>Climate action incentive – Do you reside outside of a census metropolitan area on December 31 of the tax year, as defined by Statistics Canada?</t>
        </is>
      </c>
      <c r="ARN8" t="inlineStr">
        <is>
          <t>Basic sales tax credit</t>
        </is>
      </c>
      <c r="ARO8" t="inlineStr">
        <is>
          <t>Additional sales tax credit for spouse or common-law partner</t>
        </is>
      </c>
      <c r="ARP8" t="inlineStr">
        <is>
          <t>Home renovation expenses</t>
        </is>
      </c>
      <c r="ARQ8" t="inlineStr">
        <is>
          <t>BC political contribution tax credit</t>
        </is>
      </c>
      <c r="ARR8" t="inlineStr">
        <is>
          <t>Employee share ownership plan tax credit</t>
        </is>
      </c>
      <c r="ARS8" t="inlineStr">
        <is>
          <t>Employee venture capital tax credit</t>
        </is>
      </c>
      <c r="ART8" t="inlineStr">
        <is>
          <t>Home renovation expenses for seniors and persons with disabilities</t>
        </is>
      </c>
      <c r="ARU8" t="inlineStr">
        <is>
          <t>Venture capital tax credit – Current tax year</t>
        </is>
      </c>
      <c r="ARV8" t="inlineStr">
        <is>
          <t>Venture capital tax credit – First 60 days subsequent to the current tax year</t>
        </is>
      </c>
      <c r="ARW8" t="inlineStr">
        <is>
          <t>Mining exploration tax credit</t>
        </is>
      </c>
      <c r="ARX8" t="inlineStr">
        <is>
          <t>Mining exploration tax credit allocated from a partnership</t>
        </is>
      </c>
      <c r="ARY8" t="inlineStr">
        <is>
          <t>Training tax credit (Individuals)</t>
        </is>
      </c>
      <c r="ARZ8" t="inlineStr">
        <is>
          <t>Training tax credit (Employers)</t>
        </is>
      </c>
      <c r="ASA8" t="inlineStr">
        <is>
          <t>Shipbuilding and ship repair industry tax credit</t>
        </is>
      </c>
      <c r="ASB8" t="inlineStr">
        <is>
          <t>Age amount for spouse or common-law partner</t>
        </is>
      </c>
      <c r="ASC8" t="inlineStr">
        <is>
          <t>Disability amount for spouse or common-law partner</t>
        </is>
      </c>
      <c r="ASD8" t="inlineStr">
        <is>
          <t>Number of disability claims for self or a dependant other than your spouse or common-law partner</t>
        </is>
      </c>
      <c r="ASE8" t="inlineStr">
        <is>
          <t>Number of disabled dependants 18 years of age or older</t>
        </is>
      </c>
      <c r="ASF8" t="inlineStr">
        <is>
          <t>Number of dependent children 18 years of age or younger</t>
        </is>
      </c>
      <c r="ASG8" t="inlineStr">
        <is>
          <t>Labour-sponsored funds tax credit</t>
        </is>
      </c>
      <c r="ASH8" t="inlineStr">
        <is>
          <t>Community enterprise development tax credit claimed</t>
        </is>
      </c>
      <c r="ASI8" t="inlineStr">
        <is>
          <t>Community enterprise development tax credit amount from Slip T2CEDTC (MAN.)</t>
        </is>
      </c>
      <c r="ASJ8" t="inlineStr">
        <is>
          <t>Small business venture capital tax credit claimed</t>
        </is>
      </c>
      <c r="ASK8" t="inlineStr">
        <is>
          <t>Credit amount from Slip T2SBVCTC (MAN.)</t>
        </is>
      </c>
      <c r="ASL8" t="inlineStr">
        <is>
          <t>Employee share purchase tax credit claimed</t>
        </is>
      </c>
      <c r="ASM8" t="inlineStr">
        <is>
          <t>Involuntary separation indicator</t>
        </is>
      </c>
      <c r="ASN8" t="inlineStr">
        <is>
          <t>Basic, age, and disability credits for spouse or common-law partner</t>
        </is>
      </c>
      <c r="ASO8" t="inlineStr">
        <is>
          <t>Mineral exploration tax credit claimed</t>
        </is>
      </c>
      <c r="ASP8" t="inlineStr">
        <is>
          <t>Total credit amounts from ESOP receipt(s)</t>
        </is>
      </c>
      <c r="ASQ8" t="inlineStr">
        <is>
          <t>Number of disability claims for self or for a dependant other than your spouse or common-law partner</t>
        </is>
      </c>
      <c r="ASR8" t="inlineStr">
        <is>
          <t>Number of dependent children 18 years of age or younger</t>
        </is>
      </c>
      <c r="ASS8" t="inlineStr">
        <is>
          <t>Number of disabled dependants 18 years of age or older</t>
        </is>
      </c>
      <c r="AST8" t="inlineStr">
        <is>
          <t>Number dependants with a mental or physical infirmity</t>
        </is>
      </c>
      <c r="ASU8" t="inlineStr">
        <is>
          <t>Number of dependent children – Reduction for dependent children age 18 or younger</t>
        </is>
      </c>
      <c r="ASV8" t="inlineStr">
        <is>
          <t>Number of dependent children – Credit for dependent children age 18 or younger</t>
        </is>
      </c>
      <c r="ASW8" t="inlineStr">
        <is>
          <t>Application for the ON energy and property tax credit</t>
        </is>
      </c>
      <c r="ASX8" t="inlineStr">
        <is>
          <t>Application for the Northern ON energy credit</t>
        </is>
      </c>
      <c r="ASY8" t="inlineStr">
        <is>
          <t>Total personal tax credits</t>
        </is>
      </c>
      <c r="ASZ8" t="inlineStr">
        <is>
          <t>Choice for delayed single OTB payment</t>
        </is>
      </c>
      <c r="ATA8" t="inlineStr">
        <is>
          <t>Application for the ON senior homeowners’ property tax grant</t>
        </is>
      </c>
      <c r="ATB8" t="inlineStr">
        <is>
          <t>Involuntary separation indicator</t>
        </is>
      </c>
      <c r="ATC8" t="inlineStr">
        <is>
          <t>Total rent paid</t>
        </is>
      </c>
      <c r="ATD8" t="inlineStr">
        <is>
          <t>Total property tax paid</t>
        </is>
      </c>
      <c r="ATE8" t="inlineStr">
        <is>
          <t>School taxes paid</t>
        </is>
      </c>
      <c r="ATF8" t="inlineStr">
        <is>
          <t>Education property tax credit advance received</t>
        </is>
      </c>
      <c r="ATG8" t="inlineStr">
        <is>
          <t>Residing in a designated student residence</t>
        </is>
      </c>
      <c r="ATH8" t="inlineStr">
        <is>
          <t>Occupancy cost</t>
        </is>
      </c>
      <c r="ATI8" t="inlineStr">
        <is>
          <t>Gross school taxes assessed</t>
        </is>
      </c>
      <c r="ATJ8" t="inlineStr">
        <is>
          <t>Family income from the homeowners’ school tax credit table</t>
        </is>
      </c>
      <c r="ATK8" t="inlineStr">
        <is>
          <t>Total home energy costs for principal residence on a reserve</t>
        </is>
      </c>
      <c r="ATL8" t="inlineStr">
        <is>
          <t>School taxes assessed</t>
        </is>
      </c>
      <c r="ATM8" t="inlineStr">
        <is>
          <t>Total accommodation in a public long-term care home or non-profit long-term care home</t>
        </is>
      </c>
      <c r="ATN8" t="inlineStr">
        <is>
          <t>School tax credit for homeowners</t>
        </is>
      </c>
      <c r="ATO8" t="inlineStr">
        <is>
          <t>Total rent assist benefits received</t>
        </is>
      </c>
      <c r="ATP8" t="inlineStr">
        <is>
          <t>Percentage of social assistance</t>
        </is>
      </c>
      <c r="ATQ8" t="inlineStr">
        <is>
          <t>Primary caregiver tax credit</t>
        </is>
      </c>
      <c r="ATR8" t="inlineStr">
        <is>
          <t>Fertility treatment tax credit</t>
        </is>
      </c>
      <c r="ATS8" t="inlineStr">
        <is>
          <t>Paid work experience tax credit</t>
        </is>
      </c>
      <c r="ATT8" t="inlineStr">
        <is>
          <t>Odour-control tax credit</t>
        </is>
      </c>
      <c r="ATU8" t="inlineStr">
        <is>
          <t>Green energy equipment tax credit (purchaser)</t>
        </is>
      </c>
      <c r="ATV8" t="inlineStr">
        <is>
          <t>Green energy equipment tax credit (manufacturer)</t>
        </is>
      </c>
      <c r="ATW8" t="inlineStr">
        <is>
          <t>Book publishing tax credit</t>
        </is>
      </c>
      <c r="ATX8" t="inlineStr">
        <is>
          <t>Family tax benefit</t>
        </is>
      </c>
      <c r="ATY8" t="inlineStr">
        <is>
          <t>Cultural industries printing tax credit</t>
        </is>
      </c>
      <c r="ATZ8" t="inlineStr">
        <is>
          <t>Community enterprise development tax credit</t>
        </is>
      </c>
      <c r="AUA8" t="inlineStr">
        <is>
          <t>Employee share purchase tax credit</t>
        </is>
      </c>
      <c r="AUB8" t="inlineStr">
        <is>
          <t>Farm and small business capital gains tax credit</t>
        </is>
      </c>
      <c r="AUC8" t="inlineStr">
        <is>
          <t>Provincial or territorial non-refundable tax credits</t>
        </is>
      </c>
      <c r="AUD8" t="inlineStr">
        <is>
          <t>Provincial or territorial tax on split income</t>
        </is>
      </c>
      <c r="AUE8" t="inlineStr">
        <is>
          <t>Provincial or territorial dividend tax credit</t>
        </is>
      </c>
      <c r="AUF8" t="inlineStr">
        <is>
          <t>Provincial or territorial minimum tax carryover</t>
        </is>
      </c>
      <c r="AUG8" t="inlineStr">
        <is>
          <t>NB political contribution tax credit</t>
        </is>
      </c>
      <c r="AUH8" t="inlineStr">
        <is>
          <t>Unused low-income tax reduction from spouse or common-law partner</t>
        </is>
      </c>
      <c r="AUI8" t="inlineStr">
        <is>
          <t>Basic low-income tax reduction</t>
        </is>
      </c>
      <c r="AUJ8" t="inlineStr">
        <is>
          <t>Low-income tax reduction for spouse or common-law partner</t>
        </is>
      </c>
      <c r="AUK8" t="inlineStr">
        <is>
          <t>Low-income tax reduction for an eligible dependant claimed on 30400</t>
        </is>
      </c>
      <c r="AUL8" t="inlineStr">
        <is>
          <t>Labour-sponsored venture capital tax credit</t>
        </is>
      </c>
      <c r="AUM8" t="inlineStr">
        <is>
          <t>Small business investor tax credit</t>
        </is>
      </c>
      <c r="AUN8" t="inlineStr">
        <is>
          <t>Amount to carry back to the first prior year</t>
        </is>
      </c>
      <c r="AUO8" t="inlineStr">
        <is>
          <t>Amount to carry back to the second prior year</t>
        </is>
      </c>
      <c r="AUP8" t="inlineStr">
        <is>
          <t>Amount to carry back to the third prior year</t>
        </is>
      </c>
      <c r="AUQ8" t="inlineStr">
        <is>
          <t>Resort property investment tax credit</t>
        </is>
      </c>
      <c r="AUR8" t="inlineStr">
        <is>
          <t>NL political contribution tax credit</t>
        </is>
      </c>
      <c r="AUS8" t="inlineStr">
        <is>
          <t>Direct equity tax credit</t>
        </is>
      </c>
      <c r="AUT8" t="inlineStr">
        <is>
          <t>Amount to carry back to the first prior year</t>
        </is>
      </c>
      <c r="AUU8" t="inlineStr">
        <is>
          <t>Amount to carry back to the second prior year</t>
        </is>
      </c>
      <c r="AUV8" t="inlineStr">
        <is>
          <t>MB political contribution tax credit</t>
        </is>
      </c>
      <c r="AUW8" t="inlineStr">
        <is>
          <t>Amount to carry back to the third prior year</t>
        </is>
      </c>
      <c r="AUX8" t="inlineStr">
        <is>
          <t>Venture capital tax credit</t>
        </is>
      </c>
      <c r="AUY8" t="inlineStr">
        <is>
          <t>Amount to carry back to the first prior year</t>
        </is>
      </c>
      <c r="AUZ8" t="inlineStr">
        <is>
          <t>Amount to carry back to the second prior year</t>
        </is>
      </c>
      <c r="AVA8" t="inlineStr">
        <is>
          <t>Amount to carry back to the third prior year</t>
        </is>
      </c>
      <c r="AVB8" t="inlineStr">
        <is>
          <t>Unused low-income tax reduction from the spouse or common-law partner</t>
        </is>
      </c>
      <c r="AVC8" t="inlineStr">
        <is>
          <t>Basic low-income tax reduction</t>
        </is>
      </c>
      <c r="AVD8" t="inlineStr">
        <is>
          <t>Reduction for your spouse or common-law partner</t>
        </is>
      </c>
      <c r="AVE8" t="inlineStr">
        <is>
          <t>Reduction for an eligible dependant</t>
        </is>
      </c>
      <c r="AVF8" t="inlineStr">
        <is>
          <t>Basic low-income tax reduction</t>
        </is>
      </c>
      <c r="AVG8" t="inlineStr">
        <is>
          <t>Low-income tax reduction for spouse or common-law partner</t>
        </is>
      </c>
      <c r="AVH8" t="inlineStr">
        <is>
          <t>Low-income tax reduction for an eligible dependant</t>
        </is>
      </c>
      <c r="AVI8" t="inlineStr">
        <is>
          <t>NS political contribution tax credit</t>
        </is>
      </c>
      <c r="AVJ8" t="inlineStr">
        <is>
          <t>Food bank tax credit for farmers</t>
        </is>
      </c>
      <c r="AVK8" t="inlineStr">
        <is>
          <t>Community food program donation tax credit for farmers</t>
        </is>
      </c>
      <c r="AVL8" t="inlineStr">
        <is>
          <t>Labour-sponsored venture capital tax credit</t>
        </is>
      </c>
      <c r="AVM8" t="inlineStr">
        <is>
          <t>Equity tax credit</t>
        </is>
      </c>
      <c r="AVN8" t="inlineStr">
        <is>
          <t>Amount to carry back to the first prior year</t>
        </is>
      </c>
      <c r="AVO8" t="inlineStr">
        <is>
          <t>Amount to carry back to the second prior year</t>
        </is>
      </c>
      <c r="AVP8" t="inlineStr">
        <is>
          <t>Amount to carry back to the third prior year</t>
        </is>
      </c>
      <c r="AVQ8" t="inlineStr">
        <is>
          <t>Volunteer firefighters’ tax credit</t>
        </is>
      </c>
      <c r="AVR8" t="inlineStr">
        <is>
          <t>Volunteer firefighters and ground search and rescue tax credit</t>
        </is>
      </c>
      <c r="AVS8" t="inlineStr">
        <is>
          <t>Amount claimed for foreign income on 25600 of the return that is exempt under a tax treaty</t>
        </is>
      </c>
      <c r="AVT8" t="inlineStr">
        <is>
          <t>Basic cost of living tax credit for self</t>
        </is>
      </c>
      <c r="AVU8" t="inlineStr">
        <is>
          <t>Cost of living tax credit supplement for spouse or common-law partner</t>
        </is>
      </c>
      <c r="AVV8" t="inlineStr">
        <is>
          <t>The basic credit for self claimed by the spouse or common-law partner</t>
        </is>
      </c>
      <c r="AVW8" t="inlineStr">
        <is>
          <t>Cost of living tax credit supplement</t>
        </is>
      </c>
      <c r="AVX8" t="inlineStr">
        <is>
          <t>Northwest territories credit</t>
        </is>
      </c>
      <c r="AVY8" t="inlineStr">
        <is>
          <t>NT political contribution tax credit</t>
        </is>
      </c>
      <c r="AVZ8" t="inlineStr">
        <is>
          <t>Seniors’ public transit tax credit</t>
        </is>
      </c>
      <c r="AWA8" t="inlineStr">
        <is>
          <t>ON political contribution tax credit</t>
        </is>
      </c>
      <c r="AWB8" t="inlineStr">
        <is>
          <t>Focused flow-through share tax credit</t>
        </is>
      </c>
      <c r="AWC8" t="inlineStr">
        <is>
          <t>Tax credits for self-employed individuals – Apprenticeships</t>
        </is>
      </c>
      <c r="AWD8" t="inlineStr">
        <is>
          <t>Tax credits for self-employed individuals – Work placements</t>
        </is>
      </c>
      <c r="AWE8" t="inlineStr">
        <is>
          <t>Tax credits claimed as a member of a partnership</t>
        </is>
      </c>
      <c r="AWF8" t="inlineStr">
        <is>
          <t>Business number</t>
        </is>
      </c>
      <c r="AWG8" t="inlineStr">
        <is>
          <t>Apprenticeship training tax credit</t>
        </is>
      </c>
      <c r="AWH8" t="inlineStr">
        <is>
          <t>Co-operative education tax credit</t>
        </is>
      </c>
      <c r="AWI8" t="inlineStr">
        <is>
          <t>Unused low-income tax reduction from spouse or common-law partner</t>
        </is>
      </c>
      <c r="AWJ8" t="inlineStr">
        <is>
          <t>Basic low-income tax reduction</t>
        </is>
      </c>
      <c r="AWK8" t="inlineStr">
        <is>
          <t>Age reduction for self</t>
        </is>
      </c>
      <c r="AWL8" t="inlineStr">
        <is>
          <t>Low-income tax reduction for spouse or common-law partner</t>
        </is>
      </c>
      <c r="AWM8" t="inlineStr">
        <is>
          <t>Age reduction for spouse or common-law partner</t>
        </is>
      </c>
      <c r="AWN8" t="inlineStr">
        <is>
          <t>Low-income tax reduction for an eligible dependant</t>
        </is>
      </c>
      <c r="AWO8" t="inlineStr">
        <is>
          <t>PE political contribution tax credit</t>
        </is>
      </c>
      <c r="AWP8" t="inlineStr">
        <is>
          <t>Basic and certification tax credits (level 1 and/or level 2 of a non-Red Seal programs)</t>
        </is>
      </c>
      <c r="AWQ8" t="inlineStr">
        <is>
          <t>Completion and certification tax credit (level 3 of a Red Seal or non-Red Seal program)</t>
        </is>
      </c>
      <c r="AWR8" t="inlineStr">
        <is>
          <t>Completion and certification tax credit (level 4 of a Red Seal or non-Red Seal program)</t>
        </is>
      </c>
      <c r="AWS8" t="inlineStr">
        <is>
          <t>Enhanced tax credit</t>
        </is>
      </c>
      <c r="AWT8" t="inlineStr">
        <is>
          <t>Basic tax credit</t>
        </is>
      </c>
      <c r="AWU8" t="inlineStr">
        <is>
          <t>Completion tax credit</t>
        </is>
      </c>
      <c r="AWV8" t="inlineStr">
        <is>
          <t>Enhanced tax credit</t>
        </is>
      </c>
      <c r="AWW8" t="inlineStr">
        <is>
          <t>Equity tax credit</t>
        </is>
      </c>
      <c r="AWX8" t="inlineStr">
        <is>
          <t>Volunteer firefighter tax credit</t>
        </is>
      </c>
      <c r="AWY8" t="inlineStr">
        <is>
          <t>SK political contribution tax credit</t>
        </is>
      </c>
      <c r="AWZ8" t="inlineStr">
        <is>
          <t>Labour-sponsored venture capital tax credit</t>
        </is>
      </c>
      <c r="AXA8" t="inlineStr">
        <is>
          <t>Mineral exploration tax credit</t>
        </is>
      </c>
      <c r="AXB8" t="inlineStr">
        <is>
          <t>Amount to carry back to the first prior year</t>
        </is>
      </c>
      <c r="AXC8" t="inlineStr">
        <is>
          <t>Amount to carry back to the second prior year</t>
        </is>
      </c>
      <c r="AXD8" t="inlineStr">
        <is>
          <t>Amount to carry back to the third prior year</t>
        </is>
      </c>
      <c r="AXE8" t="inlineStr">
        <is>
          <t>Graduate tuition tax credit</t>
        </is>
      </c>
      <c r="AXF8" t="inlineStr">
        <is>
          <t>Number of qualifying children under 6 years of age</t>
        </is>
      </c>
      <c r="AXG8" t="inlineStr">
        <is>
          <t>Do you reside outside of Whitehorse on December 31 of the tax year?</t>
        </is>
      </c>
      <c r="AXH8" t="inlineStr">
        <is>
          <t>Children’s fitness tax credit</t>
        </is>
      </c>
      <c r="AXI8" t="inlineStr">
        <is>
          <t>Small business investment tax credit</t>
        </is>
      </c>
      <c r="AXJ8" t="inlineStr">
        <is>
          <t>Amount to carry back to the first prior year</t>
        </is>
      </c>
      <c r="AXK8" t="inlineStr">
        <is>
          <t>Amount to carry back to the second prior year</t>
        </is>
      </c>
      <c r="AXL8" t="inlineStr">
        <is>
          <t>Amount to carry back to the third prior year</t>
        </is>
      </c>
      <c r="AXM8" t="inlineStr">
        <is>
          <t>Labour-sponsored venture capital corporation tax credit</t>
        </is>
      </c>
      <c r="AXN8" t="inlineStr">
        <is>
          <t>Amount to carry back to the first prior year</t>
        </is>
      </c>
      <c r="AXO8" t="inlineStr">
        <is>
          <t>Amount to carry back to the second prior year</t>
        </is>
      </c>
      <c r="AXP8" t="inlineStr">
        <is>
          <t>Amount to carry back to the third prior year</t>
        </is>
      </c>
      <c r="AXQ8" t="inlineStr">
        <is>
          <t>Research and development tax credit</t>
        </is>
      </c>
      <c r="AXR8" t="inlineStr">
        <is>
          <t>YT political contribution tax credit</t>
        </is>
      </c>
      <c r="AXS8" t="inlineStr">
        <is>
          <t>Yukon First Nations income tax credit</t>
        </is>
      </c>
      <c r="AXT8" t="inlineStr">
        <is>
          <t>Cost of living supplement</t>
        </is>
      </c>
      <c r="AXU8" t="inlineStr">
        <is>
          <t>Total cost of living tax credit</t>
        </is>
      </c>
      <c r="AXV8" t="inlineStr">
        <is>
          <t>NU political contribution tax credit</t>
        </is>
      </c>
      <c r="AXW8" t="inlineStr">
        <is>
          <t>Total expenses eligible for the GST rebate</t>
        </is>
      </c>
      <c r="AXX8" t="inlineStr">
        <is>
          <t>Total expenses eligible for the HST rebate</t>
        </is>
      </c>
      <c r="AXY8" t="inlineStr">
        <is>
          <t>Total expenses eligible for the HST rebate</t>
        </is>
      </c>
      <c r="AXZ8" t="inlineStr">
        <is>
          <t>Benefits that can no longer be deferred</t>
        </is>
      </c>
      <c r="AYA8" t="inlineStr">
        <is>
          <t>Closing balance of deferred security option benefits</t>
        </is>
      </c>
      <c r="AYB8" t="inlineStr">
        <is>
          <t>Non-capital loss to be applied to the third prior year</t>
        </is>
      </c>
      <c r="AYC8" t="inlineStr">
        <is>
          <t>Non-capital loss to be applied to the second prior year</t>
        </is>
      </c>
      <c r="AYD8" t="inlineStr">
        <is>
          <t>Non-capital loss to be applied to the first prior year</t>
        </is>
      </c>
      <c r="AYE8" t="inlineStr">
        <is>
          <t>Farming or fishing loss to be applied to the third prior year</t>
        </is>
      </c>
      <c r="AYF8" t="inlineStr">
        <is>
          <t>Farming or fishing loss to be applied to the second prior year</t>
        </is>
      </c>
      <c r="AYG8" t="inlineStr">
        <is>
          <t>Farming or fishing loss to be applied to the first prior year</t>
        </is>
      </c>
      <c r="AYH8" t="inlineStr">
        <is>
          <t>Net capital loss to be applied to the third prior year</t>
        </is>
      </c>
      <c r="AYI8" t="inlineStr">
        <is>
          <t>Net capital loss to be applied to the second prior year</t>
        </is>
      </c>
      <c r="AYJ8" t="inlineStr">
        <is>
          <t>Net capital loss to be applied to the first prior year</t>
        </is>
      </c>
      <c r="AYK8" t="inlineStr">
        <is>
          <t>Listed personal property net loss to be applied to the third prior year listed personal property net gains</t>
        </is>
      </c>
      <c r="AYL8" t="inlineStr">
        <is>
          <t>Listed personal property net loss to be applied to the second prior year listed personal property net gains</t>
        </is>
      </c>
      <c r="AYM8" t="inlineStr">
        <is>
          <t>Listed personal property net loss to be applied to the first prior year listed personal property net gains</t>
        </is>
      </c>
      <c r="AYN8" t="inlineStr">
        <is>
          <t>Restricted farm loss to be applied to the third prior year</t>
        </is>
      </c>
      <c r="AYO8" t="inlineStr">
        <is>
          <t>Restricted farm loss to be applied to the second prior year</t>
        </is>
      </c>
      <c r="AYP8" t="inlineStr">
        <is>
          <t>Restricted farm loss to be applied to the first prior year</t>
        </is>
      </c>
      <c r="AYQ8" t="inlineStr">
        <is>
          <t>Amount of 2018 reserve for dispositions of QFFP to your child after 2009, and before April 21, 2015 and all other dispositions of QFFP after 2014 and before April 21, 2015</t>
        </is>
      </c>
      <c r="AYR8" t="inlineStr">
        <is>
          <t>Amount of 2019 reserve for dispositions of QFFP to your child after 2010, and before April 21, 2015, and all other dispositions of QFFP after 2015 and before April 21, 2015</t>
        </is>
      </c>
      <c r="AYS8" t="inlineStr">
        <is>
          <t>Amount of 2018 reserve for dispositions of QFFP after April 20, 2015</t>
        </is>
      </c>
      <c r="AYT8" t="inlineStr">
        <is>
          <t>Amount of 2019 reserve for dispositions of QFFP after April 20, 2015</t>
        </is>
      </c>
      <c r="AYU8" t="inlineStr">
        <is>
          <t>Amount of the most recent reserve claimed on line 66840</t>
        </is>
      </c>
      <c r="AYV8" t="inlineStr">
        <is>
          <t>Amount of 2019 reserve for dispositions of QSBCS to your child after 2010, and all other dispositions of QSBCS after 2015</t>
        </is>
      </c>
      <c r="AYW8" t="inlineStr">
        <is>
          <t>Amount of 2018 reserve for dispositions of QSBCS to your child after 2009, and all other dispositions of QSBCS after 2014</t>
        </is>
      </c>
      <c r="AYX8" t="inlineStr">
        <is>
          <t>Amount of the most recent reserve claimed on line 66850</t>
        </is>
      </c>
      <c r="AYY8" t="inlineStr">
        <is>
          <t>Amount of 2018 reserve for dispositions to your child after 2009, of family farm or fishing property other than QFFP and of shares of capital stock of a small business corporation other than QSBCS</t>
        </is>
      </c>
      <c r="AYZ8" t="inlineStr">
        <is>
          <t>Amount of 2019 reserve for dispositions to your child after 2010, of family farm or fishing property other than QFFP and of shares of capital stock of a small business corporation other than QSBCS</t>
        </is>
      </c>
      <c r="AZA8" t="inlineStr">
        <is>
          <t>Amount of 2018 reserve for dispositions of property after 2014, other than dispositions listed on lines 66815, 66843, 66883, and 66910</t>
        </is>
      </c>
      <c r="AZB8" t="inlineStr">
        <is>
          <t>Amount of 2019 reserve for dispositions of property after 2015, other than dispositions listed on lines 66840, 66844, 66850, and 66920</t>
        </is>
      </c>
      <c r="AZC8" t="inlineStr">
        <is>
          <t>Amount of 2018 reserve for dispositions before November 13, 1981</t>
        </is>
      </c>
      <c r="AZD8" t="inlineStr">
        <is>
          <t>Total capital reserves</t>
        </is>
      </c>
      <c r="AZE8" t="inlineStr">
        <is>
          <t>ITC for total qualified expenditures for SR&amp;ED</t>
        </is>
      </c>
      <c r="AZF8" t="inlineStr">
        <is>
          <t>80% of total contributions made to agricultural organizations for SR&amp;ED</t>
        </is>
      </c>
      <c r="AZG8" t="inlineStr">
        <is>
          <t>ITC allocated from a partnership for SR&amp;ED</t>
        </is>
      </c>
      <c r="AZH8" t="inlineStr">
        <is>
          <t>ITC for total investments in qualified property</t>
        </is>
      </c>
      <c r="AZI8" t="inlineStr">
        <is>
          <t>Total flow-through mining expenditures</t>
        </is>
      </c>
      <c r="AZJ8" t="inlineStr">
        <is>
          <t>Total apprenticeship job creation tax credit</t>
        </is>
      </c>
      <c r="AZK8" t="inlineStr">
        <is>
          <t>ITC for child care spaces</t>
        </is>
      </c>
      <c r="AZL8" t="inlineStr">
        <is>
          <t>Amount of expenditure on which ITC is recaptured at 15%</t>
        </is>
      </c>
      <c r="AZM8" t="inlineStr">
        <is>
          <t>Amount of expenditure on which ITC is recaptured at 20%</t>
        </is>
      </c>
      <c r="AZN8" t="inlineStr">
        <is>
          <t>Total recapture of ITC for child care spaces</t>
        </is>
      </c>
      <c r="AZO8" t="inlineStr">
        <is>
          <t>Amount of carryback to the third previous year</t>
        </is>
      </c>
      <c r="AZP8" t="inlineStr">
        <is>
          <t>Amount of carryback to the second previous year</t>
        </is>
      </c>
      <c r="AZQ8" t="inlineStr">
        <is>
          <t>Amount of carryback to the first previous year</t>
        </is>
      </c>
      <c r="AZR8" t="inlineStr">
        <is>
          <t>Maximum residency amount for residents of prescribed northern zones</t>
        </is>
      </c>
      <c r="AZS8" t="inlineStr">
        <is>
          <t>Non-taxable benefits for board and lodging at a special work site in a prescribed northern zone</t>
        </is>
      </c>
      <c r="AZT8" t="inlineStr">
        <is>
          <t>Maximum residency amount for residents of prescribed intermediate zones</t>
        </is>
      </c>
      <c r="AZU8" t="inlineStr">
        <is>
          <t>Non-taxable benefits for board and lodging at a special work site in a prescribed intermediate zone</t>
        </is>
      </c>
      <c r="AZV8" t="inlineStr">
        <is>
          <t>Total travel amount for trips from a prescribed northern zone</t>
        </is>
      </c>
      <c r="AZW8" t="inlineStr">
        <is>
          <t>Total travel amount for trips from a prescribed intermediate zone</t>
        </is>
      </c>
      <c r="AZX8" t="inlineStr">
        <is>
          <t>Claim for tax shelter loss or deduction</t>
        </is>
      </c>
      <c r="AZY8" t="inlineStr">
        <is>
          <t>Amount of loss created or increased by CCA and carrying charges on certified film property</t>
        </is>
      </c>
      <c r="AZZ8" t="inlineStr">
        <is>
          <t>Amount of loss created or increased by CCA and carrying charges on rental and leasing property</t>
        </is>
      </c>
      <c r="BAA8" t="inlineStr">
        <is>
          <t>Losses, amounts deductible and carrying charges for tax shelters, limited partnership, and non-active partners</t>
        </is>
      </c>
      <c r="BAB8" t="inlineStr">
        <is>
          <t>Total of all resource expenditures, depletion allowances, and carrying charges for resource property and flow-through shares</t>
        </is>
      </c>
      <c r="BAC8" t="inlineStr">
        <is>
          <t>Certain capital gains from graduated rate estates</t>
        </is>
      </c>
      <c r="BAD8" t="inlineStr">
        <is>
          <t>Part of total capital gains that is exempt from Canadian tax under a tax treaty</t>
        </is>
      </c>
      <c r="BAE8" t="inlineStr">
        <is>
          <t>Capital gains on gifts of property to qualified donees</t>
        </is>
      </c>
      <c r="BAF8" t="inlineStr">
        <is>
          <t>Security options deductions under paragraph 110(1)(d)</t>
        </is>
      </c>
      <c r="BAG8" t="inlineStr">
        <is>
          <t>Gifts of securities acquired under a security option plan</t>
        </is>
      </c>
      <c r="BAH8" t="inlineStr">
        <is>
          <t>Other security options deductions included on line 24900</t>
        </is>
      </c>
      <c r="BAI8" t="inlineStr">
        <is>
          <t>Limited partnership losses incurred in prior years that are tax shelters</t>
        </is>
      </c>
      <c r="BAJ8" t="inlineStr">
        <is>
          <t>Federal tax payable under alternative minimum tax</t>
        </is>
      </c>
      <c r="BAK8" t="inlineStr">
        <is>
          <t>Total child care expenses paid in the year</t>
        </is>
      </c>
      <c r="BAL8" t="inlineStr">
        <is>
          <t>Child care expenses incurred for a child age 6 or younger</t>
        </is>
      </c>
      <c r="BAM8" t="inlineStr">
        <is>
          <t>Basic limit for eligible children born in the current tax year or earlier for whom the disability amount can be claimed</t>
        </is>
      </c>
      <c r="BAN8" t="inlineStr">
        <is>
          <t>Part C – Child care expenses paid by the other person with lower net income</t>
        </is>
      </c>
      <c r="BAO8" t="inlineStr">
        <is>
          <t>Part D – Child care expenses paid while enrolled in an educational program</t>
        </is>
      </c>
      <c r="BAP8" t="inlineStr">
        <is>
          <t>Total eligible pensions or superannuation, annuity and RRSP/RRIF payments (including life income fund) received</t>
        </is>
      </c>
      <c r="BAQ8" t="inlineStr">
        <is>
          <t>Veteran’s benefits on T4A slips eligible for pension income splitting</t>
        </is>
      </c>
      <c r="BAR8" t="inlineStr">
        <is>
          <t>Distributions on T4A-RCA slips eligible for pension income splitting</t>
        </is>
      </c>
      <c r="BAS8" t="inlineStr">
        <is>
          <t>Number of months married or living common-law in the current tax year</t>
        </is>
      </c>
      <c r="BAT8" t="inlineStr">
        <is>
          <t>Total tax deducted from the transferring spouse’s or common-law partner’s pension income</t>
        </is>
      </c>
      <c r="BAU8" t="inlineStr">
        <is>
          <t>Tax deducted for the elected split-pension amount</t>
        </is>
      </c>
      <c r="BAV8" t="inlineStr">
        <is>
          <t>Any other investment expenses claimed in the current tax year to earn property income</t>
        </is>
      </c>
      <c r="BAW8" t="inlineStr">
        <is>
          <t>Any other property income reported in the current tax year</t>
        </is>
      </c>
      <c r="BAX8" t="inlineStr">
        <is>
          <t>50% of income from the recovery of exploration and development expenses</t>
        </is>
      </c>
      <c r="BAY8" t="inlineStr">
        <is>
          <t>Capital gains from T3 slips</t>
        </is>
      </c>
      <c r="BAZ8" t="inlineStr">
        <is>
          <t>Non-eligible capital gains from T3 slips</t>
        </is>
      </c>
      <c r="BBA8" t="inlineStr">
        <is>
          <t>Special tax for Quebec LSVCC</t>
        </is>
      </c>
      <c r="BBB8" t="inlineStr">
        <is>
          <t>Excess employees profit-sharing plan amounts</t>
        </is>
      </c>
      <c r="BBC8" t="inlineStr">
        <is>
          <t>Proceeds from disposition of publicly traded shares, other shares and mutual fund units</t>
        </is>
      </c>
      <c r="BBD8" t="inlineStr">
        <is>
          <t>Gains eligible for 0% inclusion rate from the disposition of publicly traded shares, other shares and mutual funds units</t>
        </is>
      </c>
      <c r="BBE8" t="inlineStr">
        <is>
          <t>Proceeds from disposition of bonds, debentures, promissory notes, and other properties (including ecologically sensitive land)</t>
        </is>
      </c>
      <c r="BBF8" t="inlineStr">
        <is>
          <t>Gains eligible for 0% inclusion rate from the disposition of bonds, debentures, promissory notes, and other properties (including ecologically sensitive land)</t>
        </is>
      </c>
      <c r="BBG8" t="inlineStr">
        <is>
          <t>Total of all accumulated income payments</t>
        </is>
      </c>
      <c r="BBH8" t="inlineStr">
        <is>
          <t>Total of all accumulated income payments</t>
        </is>
      </c>
      <c r="BBI8" t="inlineStr">
        <is>
          <t>Taxable amount of dividends (eligible and other than eligible) from taxable Canadian corporations</t>
        </is>
      </c>
      <c r="BBJ8" t="inlineStr">
        <is>
          <t>Taxable amount of dividends other than eligible dividends, included on line 68330, from taxable Canadian corporations</t>
        </is>
      </c>
      <c r="BBK8" t="inlineStr">
        <is>
          <t>Total split income</t>
        </is>
      </c>
      <c r="BBL8" t="inlineStr">
        <is>
          <t>Split income from foreign sources</t>
        </is>
      </c>
      <c r="BBM8" t="inlineStr">
        <is>
          <t>Total income from foreign sources</t>
        </is>
      </c>
      <c r="BBN8" t="inlineStr">
        <is>
          <t>Current-year credit available</t>
        </is>
      </c>
      <c r="BBO8" t="inlineStr">
        <is>
          <t>Mining flow-through share tax credit</t>
        </is>
      </c>
      <c r="BBP8" t="inlineStr">
        <is>
          <t>Amount to carry back to the first prior year</t>
        </is>
      </c>
      <c r="BBQ8" t="inlineStr">
        <is>
          <t>Amount to carry back to the second prior year</t>
        </is>
      </c>
      <c r="BBR8" t="inlineStr">
        <is>
          <t>Amount to carry back to the third prior year</t>
        </is>
      </c>
      <c r="BBS8" t="inlineStr">
        <is>
          <t>Current year tax credit available</t>
        </is>
      </c>
      <c r="BBT8" t="inlineStr">
        <is>
          <t>EI and PPIP maternity and paternal benefits</t>
        </is>
      </c>
      <c r="BBU8" t="inlineStr">
        <is>
          <t>Net exempt income</t>
        </is>
      </c>
      <c r="BBV8" t="inlineStr">
        <is>
          <t>Total provincial amounts designated to you by a studen</t>
        </is>
      </c>
      <c r="BBW8" t="inlineStr">
        <is>
          <t>Venture capital tax credit - January 1 to February 19, 2019</t>
        </is>
      </c>
      <c r="BBX8" t="inlineStr">
        <is>
          <t>Certificate number - Shares acquired after February 19, 2019</t>
        </is>
      </c>
      <c r="BBY8" t="inlineStr">
        <is>
          <t>Certificate number - Shares purchases during the first 60 days of the year following the tax year</t>
        </is>
      </c>
      <c r="BBZ8" t="inlineStr">
        <is>
          <t>Low-income individuals and families tax credit</t>
        </is>
      </c>
      <c r="BCA8" t="inlineStr">
        <is>
          <t>Innovation equity tax credit</t>
        </is>
      </c>
      <c r="BCB8" t="inlineStr">
        <is>
          <t>Venture capital tax credit</t>
        </is>
      </c>
      <c r="BCC8" t="inlineStr">
        <is>
          <t>Child care expenses deduction of the other supporting person(s)</t>
        </is>
      </c>
      <c r="BCD8" t="inlineStr">
        <is>
          <t>Adjusted income of the other supporting person(s)</t>
        </is>
      </c>
      <c r="BCE8" t="inlineStr">
        <is>
          <t>Childcare access and relief from expense tax credit</t>
        </is>
      </c>
      <c r="BCF8" t="inlineStr">
        <is>
          <t>Business carbon price rebate</t>
        </is>
      </c>
      <c r="BCG8" t="inlineStr">
        <is>
          <t>Employment income from T4 slips</t>
        </is>
      </c>
      <c r="BCH8" t="inlineStr">
        <is>
          <t>EI maternity and paternal benefits and PPIP maternity and paternity benefits</t>
        </is>
      </c>
      <c r="BCI8" t="inlineStr">
        <is>
          <t>Taxable scholarship, fellowships, bursaries, and artists’ project grants</t>
        </is>
      </c>
      <c r="BCJ8" t="inlineStr">
        <is>
          <t>Deduction for CPP/QPP enhanced contributions on employment income</t>
        </is>
      </c>
      <c r="BCK8" t="inlineStr">
        <is>
          <t>Eligible tuition fees paid to foreign educational institutions for the current tax year</t>
        </is>
      </c>
      <c r="BCL8" t="inlineStr">
        <is>
          <t>Are you choosing to include tax-exempt income in calculating the CWB?</t>
        </is>
      </c>
      <c r="BCM8" t="inlineStr">
        <is>
          <t>Tax Year Filed</t>
        </is>
      </c>
      <c r="BCN8" t="inlineStr">
        <is>
          <t>Taxing Province</t>
        </is>
      </c>
      <c r="BCO8" t="inlineStr">
        <is>
          <t>Marital Status</t>
        </is>
      </c>
      <c r="BCP8" t="inlineStr">
        <is>
          <t>Balance before penalty and interest</t>
        </is>
      </c>
      <c r="BCQ8" t="inlineStr">
        <is>
          <t>Balance before penalty and interest</t>
        </is>
      </c>
      <c r="BCR8" t="inlineStr">
        <is>
          <t>Final balance</t>
        </is>
      </c>
      <c r="BCS8" t="inlineStr">
        <is>
          <t>Basic federal tax</t>
        </is>
      </c>
      <c r="BCT8" t="inlineStr">
        <is>
          <t>Basic provincial or territorial tax</t>
        </is>
      </c>
      <c r="BCU8" t="inlineStr">
        <is>
          <t>Ontario Health Premium</t>
        </is>
      </c>
      <c r="BCV8" t="inlineStr">
        <is>
          <t>Employment income from T4 slips</t>
        </is>
      </c>
      <c r="BCW8" t="inlineStr">
        <is>
          <t>Commissions included on line 10100</t>
        </is>
      </c>
      <c r="BCX8" t="inlineStr">
        <is>
          <t>Wage-loss replacement contributions</t>
        </is>
      </c>
      <c r="BCY8" t="inlineStr">
        <is>
          <t>Other employment income</t>
        </is>
      </c>
      <c r="BCZ8" t="inlineStr">
        <is>
          <t>Proceeds from disposition of qualified small business corporation shares</t>
        </is>
      </c>
      <c r="BDA8" t="inlineStr">
        <is>
          <t>Gain (or loss) from disposition of qualified small business corporation shares</t>
        </is>
      </c>
      <c r="BDB8" t="inlineStr">
        <is>
          <t>Proceeds from disposition of qualified farm or fishing property</t>
        </is>
      </c>
      <c r="BDC8" t="inlineStr">
        <is>
          <t>Gain (or loss) from disposition of qualified farm or fishing property</t>
        </is>
      </c>
      <c r="BDD8" t="inlineStr">
        <is>
          <t>Old age security pension</t>
        </is>
      </c>
      <c r="BDE8" t="inlineStr">
        <is>
          <t>CPP or QPP benefits</t>
        </is>
      </c>
      <c r="BDF8" t="inlineStr">
        <is>
          <t>Other pensions and superannuation</t>
        </is>
      </c>
      <c r="BDG8" t="inlineStr">
        <is>
          <t>Elected split-pension amount</t>
        </is>
      </c>
      <c r="BDH8" t="inlineStr">
        <is>
          <t>Universal child care benefit (UCCB)</t>
        </is>
      </c>
      <c r="BDI8" t="inlineStr">
        <is>
          <t>Employment insurance and other benefits</t>
        </is>
      </c>
      <c r="BDJ8" t="inlineStr">
        <is>
          <t>Taxable amount of dividends (eligible and other than eligible) from taxable Canadian corporations</t>
        </is>
      </c>
      <c r="BDK8" t="inlineStr">
        <is>
          <t>Interest and other investment income</t>
        </is>
      </c>
      <c r="BDL8" t="inlineStr">
        <is>
          <t>Net partnership income: limited or non-active partners only</t>
        </is>
      </c>
      <c r="BDM8" t="inlineStr">
        <is>
          <t>Proceeds from disposition of mortgage foreclosures and conditional sales repossessions of a qualified farm or fishing property</t>
        </is>
      </c>
      <c r="BDN8" t="inlineStr">
        <is>
          <t>Gain (or loss) from disposition of mortgage foreclosures and conditional sales repossessions of a qualified farm or fishing property</t>
        </is>
      </c>
      <c r="BDO8" t="inlineStr">
        <is>
          <t>Registered disability savings plan (RDSP) income</t>
        </is>
      </c>
      <c r="BDP8" t="inlineStr">
        <is>
          <t>Net rental income (loss)</t>
        </is>
      </c>
      <c r="BDQ8" t="inlineStr">
        <is>
          <t>Taxable capital gains (or net capital loss)</t>
        </is>
      </c>
      <c r="BDR8" t="inlineStr">
        <is>
          <t>Taxable amount of support payments received Registered retirement savings plan (RRSP) income Other income</t>
        </is>
      </c>
      <c r="BDS8" t="inlineStr">
        <is>
          <t>Registered retirement savings plan (RRSP) income</t>
        </is>
      </c>
      <c r="BDT8" t="inlineStr">
        <is>
          <t>Other income</t>
        </is>
      </c>
      <c r="BDU8" t="inlineStr">
        <is>
          <t>Proceeds from disposition of publicly traded shares, mutual fund units, deferral of eligible small business corporation shares, and other shares</t>
        </is>
      </c>
      <c r="BDV8" t="inlineStr">
        <is>
          <t>Gain (or loss) from disposition of publicly traded shares, mutual fund units, deferral of eligible small business corporation shares, and other shares</t>
        </is>
      </c>
      <c r="BDW8" t="inlineStr">
        <is>
          <t>Net business income (loss)</t>
        </is>
      </c>
      <c r="BDX8" t="inlineStr">
        <is>
          <t>Proceeds from disposition of real estate, depreciable property, and other properties</t>
        </is>
      </c>
      <c r="BDY8" t="inlineStr">
        <is>
          <t>Net professional income (loss)</t>
        </is>
      </c>
      <c r="BDZ8" t="inlineStr">
        <is>
          <t>Gain (or loss) from disposition of real estate, depreciable property, and other properties</t>
        </is>
      </c>
      <c r="BEA8" t="inlineStr">
        <is>
          <t>Net commission income (loss)</t>
        </is>
      </c>
      <c r="BEB8" t="inlineStr">
        <is>
          <t>Net farming income (loss)</t>
        </is>
      </c>
      <c r="BEC8" t="inlineStr">
        <is>
          <t>Net fishing income (loss)</t>
        </is>
      </c>
      <c r="BED8" t="inlineStr">
        <is>
          <t>Workers’ compensation benefits</t>
        </is>
      </c>
      <c r="BEE8" t="inlineStr">
        <is>
          <t>Social assistance payments</t>
        </is>
      </c>
      <c r="BEF8" t="inlineStr">
        <is>
          <t>Net federal supplements</t>
        </is>
      </c>
      <c r="BEG8" t="inlineStr">
        <is>
          <t>Total income</t>
        </is>
      </c>
      <c r="BEH8" t="inlineStr">
        <is>
          <t>Proceeds from disposition of bonds, debentures, promissory notes, and other similar properties</t>
        </is>
      </c>
      <c r="BEI8" t="inlineStr">
        <is>
          <t>Disability benefits included on line 11400</t>
        </is>
      </c>
      <c r="BEJ8" t="inlineStr">
        <is>
          <t>Gain (or loss) from disposition of bonds, debentures, promissory notes, and other similar properties Proceeds from disposition of other mortgage foreclosures and conditional sales repossessions</t>
        </is>
      </c>
      <c r="BEK8" t="inlineStr">
        <is>
          <t>Proceeds from disposition of other mortgage foreclosures and conditional sales repossessions</t>
        </is>
      </c>
      <c r="BEL8" t="inlineStr">
        <is>
          <t>Gain (or loss) from disposition of other mortgage foreclosures and conditional sales repossessions</t>
        </is>
      </c>
      <c r="BEM8" t="inlineStr">
        <is>
          <t>Total support payments received</t>
        </is>
      </c>
      <c r="BEN8" t="inlineStr">
        <is>
          <t>Gain from disposition of personal-use property</t>
        </is>
      </c>
      <c r="BEO8" t="inlineStr">
        <is>
          <t>Net gain from disposition of listed personal property Capital gains deferral from qualifying dispositions of eligible small business corporation shares</t>
        </is>
      </c>
      <c r="BEP8" t="inlineStr">
        <is>
          <t>Gross rental income</t>
        </is>
      </c>
      <c r="BEQ8" t="inlineStr">
        <is>
          <t>Capital gains deferral from qualifying dispositions of eligible small business corporation shares</t>
        </is>
      </c>
      <c r="BER8" t="inlineStr">
        <is>
          <t>Gross business income</t>
        </is>
      </c>
      <c r="BES8" t="inlineStr">
        <is>
          <t>Gross professional income</t>
        </is>
      </c>
      <c r="BET8" t="inlineStr">
        <is>
          <t>Gross commission income</t>
        </is>
      </c>
      <c r="BEU8" t="inlineStr">
        <is>
          <t>Gross farming income</t>
        </is>
      </c>
      <c r="BEV8" t="inlineStr">
        <is>
          <t>Gross fishing income</t>
        </is>
      </c>
      <c r="BEW8" t="inlineStr">
        <is>
          <t>T5, T5013, and T4PS information slips – Capital gains (or losses)</t>
        </is>
      </c>
      <c r="BEX8" t="inlineStr">
        <is>
          <t>T3 information slips – Capital gains (or losses)</t>
        </is>
      </c>
      <c r="BEY8" t="inlineStr">
        <is>
          <t>Capital loss from a reduction in the business investment loss</t>
        </is>
      </c>
      <c r="BEZ8" t="inlineStr">
        <is>
          <t>Principal residence designation</t>
        </is>
      </c>
      <c r="BFA8" t="inlineStr">
        <is>
          <t>Taxable amount of dividends other than eligible dividends, included on line 12000, from taxable Canadian corporations</t>
        </is>
      </c>
      <c r="BFB8" t="inlineStr">
        <is>
          <t>UCCB amount designated to a dependant</t>
        </is>
      </c>
      <c r="BFC8" t="inlineStr">
        <is>
          <t>Pooled registered pension plan (PRPP) employer contributions</t>
        </is>
      </c>
      <c r="BFD8" t="inlineStr">
        <is>
          <t>Pension adjustment</t>
        </is>
      </c>
      <c r="BFE8" t="inlineStr">
        <is>
          <t>Registered pension plan deduction</t>
        </is>
      </c>
      <c r="BFF8" t="inlineStr">
        <is>
          <t>RRSP deduction</t>
        </is>
      </c>
      <c r="BFG8" t="inlineStr">
        <is>
          <t>Deduction for elected split-pension amount</t>
        </is>
      </c>
      <c r="BFH8" t="inlineStr">
        <is>
          <t>Annual union, professional, or like dues</t>
        </is>
      </c>
      <c r="BFI8" t="inlineStr">
        <is>
          <t>Universal child care benefit repayment</t>
        </is>
      </c>
      <c r="BFJ8" t="inlineStr">
        <is>
          <t>Child care expenses</t>
        </is>
      </c>
      <c r="BFK8" t="inlineStr">
        <is>
          <t>Disability supports deduction</t>
        </is>
      </c>
      <c r="BFL8" t="inlineStr">
        <is>
          <t>Allowable business investment loss deduction</t>
        </is>
      </c>
      <c r="BFM8" t="inlineStr">
        <is>
          <t>Moving expenses</t>
        </is>
      </c>
      <c r="BFN8" t="inlineStr">
        <is>
          <t>Allowable deduction for support payments made</t>
        </is>
      </c>
      <c r="BFO8" t="inlineStr">
        <is>
          <t>Carrying charges and interest expenses</t>
        </is>
      </c>
      <c r="BFP8" t="inlineStr">
        <is>
          <t>Deduction for CPP or QPP contributions on self-employment and other earnings</t>
        </is>
      </c>
      <c r="BFQ8" t="inlineStr">
        <is>
          <t>Deduction for PPIP premiums on self-employment income</t>
        </is>
      </c>
      <c r="BFR8" t="inlineStr">
        <is>
          <t>Exploration and development expenses</t>
        </is>
      </c>
      <c r="BFS8" t="inlineStr">
        <is>
          <t>Gross business investment loss</t>
        </is>
      </c>
      <c r="BFT8" t="inlineStr">
        <is>
          <t>Other employment expenses</t>
        </is>
      </c>
      <c r="BFU8" t="inlineStr">
        <is>
          <t>Total support payments made</t>
        </is>
      </c>
      <c r="BFV8" t="inlineStr">
        <is>
          <t>Clergy residence deduction</t>
        </is>
      </c>
      <c r="BFW8" t="inlineStr">
        <is>
          <t>Other deductions</t>
        </is>
      </c>
      <c r="BFX8" t="inlineStr">
        <is>
          <t>Social benefits repayment</t>
        </is>
      </c>
      <c r="BFY8" t="inlineStr">
        <is>
          <t>Net income</t>
        </is>
      </c>
      <c r="BFZ8" t="inlineStr">
        <is>
          <t>Transfers to an RRSP/PRPP/SPP</t>
        </is>
      </c>
      <c r="BGA8" t="inlineStr">
        <is>
          <t>Canadian Forces personnel and police deduction</t>
        </is>
      </c>
      <c r="BGB8" t="inlineStr">
        <is>
          <t>Total RRSP, SPP, and PRPP contributions from March 2, 2019 to March 2, 2020</t>
        </is>
      </c>
      <c r="BGC8" t="inlineStr">
        <is>
          <t>Contributions designated as a repayment under the Home Buyers’ Plan</t>
        </is>
      </c>
      <c r="BGD8" t="inlineStr">
        <is>
          <t>Current year withdrawals for the HBP on T4RSP slips</t>
        </is>
      </c>
      <c r="BGE8" t="inlineStr">
        <is>
          <t>Security options deductions</t>
        </is>
      </c>
      <c r="BGF8" t="inlineStr">
        <is>
          <t>Other payments deduction</t>
        </is>
      </c>
      <c r="BGG8" t="inlineStr">
        <is>
          <t>Limited partnership losses of other years</t>
        </is>
      </c>
      <c r="BGH8" t="inlineStr">
        <is>
          <t>Non-capital losses of other years</t>
        </is>
      </c>
      <c r="BGI8" t="inlineStr">
        <is>
          <t>Net capital losses of other years</t>
        </is>
      </c>
      <c r="BGJ8" t="inlineStr">
        <is>
          <t>Capital gains deduction</t>
        </is>
      </c>
      <c r="BGK8" t="inlineStr">
        <is>
          <t>Northern residents deductions</t>
        </is>
      </c>
      <c r="BGL8" t="inlineStr">
        <is>
          <t>Additional deductions</t>
        </is>
      </c>
      <c r="BGM8" t="inlineStr">
        <is>
          <t>Address of home purchased under the HBP is the same as on page 1 of return</t>
        </is>
      </c>
      <c r="BGN8" t="inlineStr">
        <is>
          <t>Taxable income</t>
        </is>
      </c>
      <c r="BGO8" t="inlineStr">
        <is>
          <t>Contributions designated as a repayment under the Lifelong Learning Plan</t>
        </is>
      </c>
      <c r="BGP8" t="inlineStr">
        <is>
          <t>Current year withdrawals for the LLP on T4RSP slips</t>
        </is>
      </c>
      <c r="BGQ8" t="inlineStr">
        <is>
          <t>Designation of the spouse or common-law partner as the student for whom the funds were withdrawn under the LLP</t>
        </is>
      </c>
      <c r="BGR8" t="inlineStr">
        <is>
          <t>Foreign property held in the current tax year with a total cost of more than CAN$100,000</t>
        </is>
      </c>
      <c r="BGS8" t="inlineStr">
        <is>
          <t>Current year contributions to an amateur athlete trust</t>
        </is>
      </c>
      <c r="BGT8" t="inlineStr">
        <is>
          <t>Basic personal amount</t>
        </is>
      </c>
      <c r="BGU8" t="inlineStr">
        <is>
          <t>Age amount</t>
        </is>
      </c>
      <c r="BGV8" t="inlineStr">
        <is>
          <t>Spouse or common-law partner amount</t>
        </is>
      </c>
      <c r="BGW8" t="inlineStr">
        <is>
          <t>Canada caregiver amount for spouse or common-law partner, or eligible dependant age 18 or older</t>
        </is>
      </c>
      <c r="BGX8" t="inlineStr">
        <is>
          <t>Amount for an eligible dependant</t>
        </is>
      </c>
      <c r="BGY8" t="inlineStr">
        <is>
          <t>Canada caregiver amount for other infirm dependants age 18 or older</t>
        </is>
      </c>
      <c r="BGZ8" t="inlineStr">
        <is>
          <t>CPP contributions</t>
        </is>
      </c>
      <c r="BHA8" t="inlineStr">
        <is>
          <t>CPP contributions on self-employment and other earnings</t>
        </is>
      </c>
      <c r="BHB8" t="inlineStr">
        <is>
          <t>Employment insurance premiums</t>
        </is>
      </c>
      <c r="BHC8" t="inlineStr">
        <is>
          <t>Adoption expenses</t>
        </is>
      </c>
      <c r="BHD8" t="inlineStr">
        <is>
          <t>Pension income amount</t>
        </is>
      </c>
      <c r="BHE8" t="inlineStr">
        <is>
          <t>Disability amount (for self)</t>
        </is>
      </c>
      <c r="BHF8" t="inlineStr">
        <is>
          <t>Employment insurance premiums on self-employment and other eligible earnings</t>
        </is>
      </c>
      <c r="BHG8" t="inlineStr">
        <is>
          <t>Disability amount transferred from a dependant Interest paid on your student loans</t>
        </is>
      </c>
      <c r="BHH8" t="inlineStr">
        <is>
          <t>Interest paid on your student loans</t>
        </is>
      </c>
      <c r="BHI8" t="inlineStr">
        <is>
          <t>Eligible tuition fees paid to Canadian educational institutions for the current tax year</t>
        </is>
      </c>
      <c r="BHJ8" t="inlineStr">
        <is>
          <t>Your tuition, education, and textbook amounts</t>
        </is>
      </c>
      <c r="BHK8" t="inlineStr">
        <is>
          <t>Tuition amount transferred from a child</t>
        </is>
      </c>
      <c r="BHL8" t="inlineStr">
        <is>
          <t>Number of months enrolled as a part-time student</t>
        </is>
      </c>
      <c r="BHM8" t="inlineStr">
        <is>
          <t>Amounts transferred from your spouse or common-law partner</t>
        </is>
      </c>
      <c r="BHN8" t="inlineStr">
        <is>
          <t>Federal tuition amount transferred</t>
        </is>
      </c>
      <c r="BHO8" t="inlineStr">
        <is>
          <t>Number of months enrolled as a full-time student</t>
        </is>
      </c>
      <c r="BHP8" t="inlineStr">
        <is>
          <t>Donations made to government bodies</t>
        </is>
      </c>
      <c r="BHQ8" t="inlineStr">
        <is>
          <t>Medical expenses for self, spouse or common-law partner, and dependent children under 18 years of age</t>
        </is>
      </c>
      <c r="BHR8" t="inlineStr">
        <is>
          <t>Allowable amount of medical expenses for other dependants</t>
        </is>
      </c>
      <c r="BHS8" t="inlineStr">
        <is>
          <t>Allowable amount of medical expenses</t>
        </is>
      </c>
      <c r="BHT8" t="inlineStr">
        <is>
          <t>Donations made to registered universities outside Canada</t>
        </is>
      </c>
      <c r="BHU8" t="inlineStr">
        <is>
          <t>Donations made to the United Nations, its agencies, and certain registered foreign charitable organizations</t>
        </is>
      </c>
      <c r="BHV8" t="inlineStr">
        <is>
          <t>Gifts of depreciable property</t>
        </is>
      </c>
      <c r="BHW8" t="inlineStr">
        <is>
          <t>Non-refundable tax credits before donations and gifts</t>
        </is>
      </c>
      <c r="BHX8" t="inlineStr">
        <is>
          <t>Gifts of capital property</t>
        </is>
      </c>
      <c r="BHY8" t="inlineStr">
        <is>
          <t>Allowable charitable donations</t>
        </is>
      </c>
      <c r="BHZ8" t="inlineStr">
        <is>
          <t>Eligible amount of cultural and ecological gifts</t>
        </is>
      </c>
      <c r="BIA8" t="inlineStr">
        <is>
          <t>Not enrolled full-time due to effects of impairment Number of months enrolled as a part-time student Number of months enrolled as a full-time student</t>
        </is>
      </c>
      <c r="BIB8" t="inlineStr">
        <is>
          <t>Donations and gifts</t>
        </is>
      </c>
      <c r="BIC8" t="inlineStr">
        <is>
          <t>Total federal non-refundable tax credits</t>
        </is>
      </c>
      <c r="BID8" t="inlineStr">
        <is>
          <t>Spouse’s or common-law partner’s adjusted taxable income</t>
        </is>
      </c>
      <c r="BIE8" t="inlineStr">
        <is>
          <t>Number of children for whom you are claiming the Canada caregiver amount for infirm children under 18 years of age</t>
        </is>
      </c>
      <c r="BIF8" t="inlineStr">
        <is>
          <t>Spouse’s or common-law partner’s age amount</t>
        </is>
      </c>
      <c r="BIG8" t="inlineStr">
        <is>
          <t>Total of donations made before 2016</t>
        </is>
      </c>
      <c r="BIH8" t="inlineStr">
        <is>
          <t>Spouse’s or common-law partner’s pension income amount</t>
        </is>
      </c>
      <c r="BII8" t="inlineStr">
        <is>
          <t>Spouse’s or common-law partner’s disability amount</t>
        </is>
      </c>
      <c r="BIJ8" t="inlineStr">
        <is>
          <t>Tuition amount designated by your spouse or common-law partner</t>
        </is>
      </c>
      <c r="BIK8" t="inlineStr">
        <is>
          <t>Spouse’s or common-law partner’s Canada caregiver amount for infirm children under 18 years of age</t>
        </is>
      </c>
      <c r="BIL8" t="inlineStr">
        <is>
          <t>Volunteer firefighters’ amount</t>
        </is>
      </c>
      <c r="BIM8" t="inlineStr">
        <is>
          <t>Canada employment amount Home buyers’ amount</t>
        </is>
      </c>
      <c r="BIN8" t="inlineStr">
        <is>
          <t>Canada caregiver amount for infirm children under 18 years of age</t>
        </is>
      </c>
      <c r="BIO8" t="inlineStr">
        <is>
          <t>Home buyers’ amount</t>
        </is>
      </c>
      <c r="BIP8" t="inlineStr">
        <is>
          <t>Net business income/Pensionable net self-employment earnings</t>
        </is>
      </c>
      <c r="BIQ8" t="inlineStr">
        <is>
          <t>Effective date of the electing to stop contributing to CPP on self-employment earnings</t>
        </is>
      </c>
      <c r="BIR8" t="inlineStr">
        <is>
          <t>Employment earnings not shown on a T4 slip on which you elect to pay additional CPP contributions/Income on which you wish to make optional contributions</t>
        </is>
      </c>
      <c r="BIS8" t="inlineStr">
        <is>
          <t>Effective date to revoke an election made in a prior year to stop contributing to CPP on self-employment earnings</t>
        </is>
      </c>
      <c r="BIT8" t="inlineStr">
        <is>
          <t>PPIP premiums paid</t>
        </is>
      </c>
      <c r="BIU8" t="inlineStr">
        <is>
          <t>PPIP premiums payable on employment income</t>
        </is>
      </c>
      <c r="BIV8" t="inlineStr">
        <is>
          <t>PPIP premiums payable on self-employment income</t>
        </is>
      </c>
      <c r="BIW8" t="inlineStr">
        <is>
          <t>Do you have an eligible dependant?</t>
        </is>
      </c>
      <c r="BIX8" t="inlineStr">
        <is>
          <t>Do you have an eligible spouse?</t>
        </is>
      </c>
      <c r="BIY8" t="inlineStr">
        <is>
          <t>Eligible spouse’s taxable part of scholarship and grant income</t>
        </is>
      </c>
      <c r="BIZ8" t="inlineStr">
        <is>
          <t>Eligible spouse’s tax-exempt part of working income earned on a reserve or an allowance received as an emergency volunteer</t>
        </is>
      </c>
      <c r="BJA8" t="inlineStr">
        <is>
          <t>Eligible spouse’s working income</t>
        </is>
      </c>
      <c r="BJB8" t="inlineStr">
        <is>
          <t>Eligible spouse’s tax-exempt part of all income earned or received on a reserve less the deductions related to that income or an allowance received as an emergency volunteer</t>
        </is>
      </c>
      <c r="BJC8" t="inlineStr">
        <is>
          <t>Eligible spouse’s adjusted net income</t>
        </is>
      </c>
      <c r="BJD8" t="inlineStr">
        <is>
          <t>Are you eligible for the CWB/WITB?</t>
        </is>
      </c>
      <c r="BJE8" t="inlineStr">
        <is>
          <t>Are you eligible for the disability tax credit?</t>
        </is>
      </c>
      <c r="BJF8" t="inlineStr">
        <is>
          <t>Is your eligible spouse eligible for the disability tax credit for themselves?</t>
        </is>
      </c>
      <c r="BJG8" t="inlineStr">
        <is>
          <t>Search and rescue volunteers’ amount</t>
        </is>
      </c>
      <c r="BJH8" t="inlineStr">
        <is>
          <t>Home accessibility expenses</t>
        </is>
      </c>
      <c r="BJI8" t="inlineStr">
        <is>
          <t>Employment earnings shown on a T4 slip on which you elect to pay additional CPP contributions</t>
        </is>
      </c>
      <c r="BJJ8" t="inlineStr">
        <is>
          <t>Federal tax</t>
        </is>
      </c>
      <c r="BJK8" t="inlineStr">
        <is>
          <t>Total federal political contributions</t>
        </is>
      </c>
      <c r="BJL8" t="inlineStr">
        <is>
          <t>Federal political contribution tax credit</t>
        </is>
      </c>
      <c r="BJM8" t="inlineStr">
        <is>
          <t>Investment tax credit</t>
        </is>
      </c>
      <c r="BJN8" t="inlineStr">
        <is>
          <t>Labour-sponsored funds tax credit – Net cost</t>
        </is>
      </c>
      <c r="BJO8" t="inlineStr">
        <is>
          <t>Labour-sponsored funds tax credit – Allowable credit</t>
        </is>
      </c>
      <c r="BJP8" t="inlineStr">
        <is>
          <t>Canada workers benefit advance payments received</t>
        </is>
      </c>
      <c r="BJQ8" t="inlineStr">
        <is>
          <t>Net federal tax before inclusion of CWB advance payments and special taxes</t>
        </is>
      </c>
      <c r="BJR8" t="inlineStr">
        <is>
          <t>Special taxes</t>
        </is>
      </c>
      <c r="BJS8" t="inlineStr">
        <is>
          <t>Net Federal Tax</t>
        </is>
      </c>
      <c r="BJT8" t="inlineStr">
        <is>
          <t>Federal tax on split income</t>
        </is>
      </c>
      <c r="BJU8" t="inlineStr">
        <is>
          <t>Federal dividend tax credit</t>
        </is>
      </c>
      <c r="BJV8" t="inlineStr">
        <is>
          <t>Minimum tax carry-over</t>
        </is>
      </c>
      <c r="BJW8" t="inlineStr">
        <is>
          <t>Provincial or territorial tax</t>
        </is>
      </c>
      <c r="BJX8" t="inlineStr">
        <is>
          <t>Non-business income tax paid to a foreign country</t>
        </is>
      </c>
      <c r="BJY8" t="inlineStr">
        <is>
          <t>Yukon First Nations tax</t>
        </is>
      </c>
      <c r="BJZ8" t="inlineStr">
        <is>
          <t>Net foreign non-business income</t>
        </is>
      </c>
      <c r="BKA8" t="inlineStr">
        <is>
          <t>Business income tax paid to a foreign country</t>
        </is>
      </c>
      <c r="BKB8" t="inlineStr">
        <is>
          <t>Total payable</t>
        </is>
      </c>
      <c r="BKC8" t="inlineStr">
        <is>
          <t>Total income tax deducted</t>
        </is>
      </c>
      <c r="BKD8" t="inlineStr">
        <is>
          <t>Tax transfer for residents of Quebec</t>
        </is>
      </c>
      <c r="BKE8" t="inlineStr">
        <is>
          <t>Net foreign business income</t>
        </is>
      </c>
      <c r="BKF8" t="inlineStr">
        <is>
          <t>Refundable Quebec abatement</t>
        </is>
      </c>
      <c r="BKG8" t="inlineStr">
        <is>
          <t>Federal refundable First Nations abatement</t>
        </is>
      </c>
      <c r="BKH8" t="inlineStr">
        <is>
          <t>CPP overpayment</t>
        </is>
      </c>
      <c r="BKI8" t="inlineStr">
        <is>
          <t>Climate action incentive</t>
        </is>
      </c>
      <c r="BKJ8" t="inlineStr">
        <is>
          <t>Employment insurance overpayment</t>
        </is>
      </c>
      <c r="BKK8" t="inlineStr">
        <is>
          <t>Refundable medical expense supplement</t>
        </is>
      </c>
      <c r="BKL8" t="inlineStr">
        <is>
          <t>Canada workers benefit (Working income tax benefit)</t>
        </is>
      </c>
      <c r="BKM8" t="inlineStr">
        <is>
          <t>Refund of investment tax credit</t>
        </is>
      </c>
      <c r="BKN8" t="inlineStr">
        <is>
          <t>Part XII.2 trust tax credit</t>
        </is>
      </c>
      <c r="BKO8" t="inlineStr">
        <is>
          <t>Employee and partner GST/HST rebate</t>
        </is>
      </c>
      <c r="BKP8" t="inlineStr">
        <is>
          <t>Direct deposit – Branch number</t>
        </is>
      </c>
      <c r="BKQ8" t="inlineStr">
        <is>
          <t>Direct deposit – Institution number</t>
        </is>
      </c>
      <c r="BKR8" t="inlineStr">
        <is>
          <t>Direct deposit – Account number</t>
        </is>
      </c>
      <c r="BKS8" t="inlineStr">
        <is>
          <t>Donation to the Ontario opportunities fund</t>
        </is>
      </c>
      <c r="BKT8" t="inlineStr">
        <is>
          <t>Net refund</t>
        </is>
      </c>
      <c r="BKU8" t="inlineStr">
        <is>
          <t>Supplies expenses for eligible educator school supply tax credit</t>
        </is>
      </c>
      <c r="BKV8" t="inlineStr">
        <is>
          <t>Eligible educator school supply tax credit</t>
        </is>
      </c>
      <c r="BKW8" t="inlineStr">
        <is>
          <t>Tax paid by instalments</t>
        </is>
      </c>
      <c r="BKX8" t="inlineStr">
        <is>
          <t>Provincial or territorial credits</t>
        </is>
      </c>
      <c r="BKY8" t="inlineStr">
        <is>
          <t>Refund</t>
        </is>
      </c>
      <c r="BKZ8" t="inlineStr">
        <is>
          <t>Balance owing</t>
        </is>
      </c>
      <c r="BLA8" t="inlineStr">
        <is>
          <t>Amount enclosed</t>
        </is>
      </c>
      <c r="BLB8" t="inlineStr">
        <is>
          <t>Volunteer program</t>
        </is>
      </c>
      <c r="BLC8" t="inlineStr">
        <is>
          <t>Refund transfer</t>
        </is>
      </c>
      <c r="BLD8" t="inlineStr">
        <is>
          <t>Tax preparer code</t>
        </is>
      </c>
      <c r="BLE8" t="inlineStr">
        <is>
          <t>EI and PPIP premiums (non-Quebec return)</t>
        </is>
      </c>
      <c r="BLF8" t="inlineStr">
        <is>
          <t>Total PPIP premiums</t>
        </is>
      </c>
      <c r="BLG8" t="inlineStr">
        <is>
          <t>Total EI premiums</t>
        </is>
      </c>
      <c r="BLH8" t="inlineStr">
        <is>
          <t>PPIP indicator</t>
        </is>
      </c>
      <c r="BLI8" t="inlineStr">
        <is>
          <t>QPP contributions</t>
        </is>
      </c>
      <c r="BLJ8" t="inlineStr">
        <is>
          <t>QPP contributions on self-employment and other earnings</t>
        </is>
      </c>
      <c r="BLK8" t="inlineStr">
        <is>
          <t>Actual total contributions on QPP pensionable earnings</t>
        </is>
      </c>
      <c r="BLL8" t="inlineStr">
        <is>
          <t>Actual total contributions on CPP pensionable earnings</t>
        </is>
      </c>
      <c r="BLM8" t="inlineStr">
        <is>
          <t>Capital gains at 100%</t>
        </is>
      </c>
      <c r="BLN8" t="inlineStr">
        <is>
          <t>Dependant’s net income (line 23600 of his or her return)</t>
        </is>
      </c>
      <c r="BLO8" t="inlineStr">
        <is>
          <t>Canada caregiver amount for spouse or common-law partner</t>
        </is>
      </c>
      <c r="BLP8" t="inlineStr">
        <is>
          <t>Canada caregiver amount for a dependant (other than an infirm child under 18 year of age)</t>
        </is>
      </c>
      <c r="BLQ8" t="inlineStr">
        <is>
          <t>Total number of dependants</t>
        </is>
      </c>
      <c r="BLR8" t="inlineStr">
        <is>
          <t>Number of full weeks in attendance at a designated educational institution or secondary school</t>
        </is>
      </c>
      <c r="BLS8" t="inlineStr">
        <is>
          <t>Earnings for services performed in Canada on which the foreign social security contributions were made</t>
        </is>
      </c>
      <c r="BLT8" t="inlineStr">
        <is>
          <t>Amount contributed to a foreign social security arrangement</t>
        </is>
      </c>
      <c r="BLU8" t="inlineStr">
        <is>
          <t>Allowable non-refundable tax credit for contributions to a foreign social security arrangement</t>
        </is>
      </c>
      <c r="BLV8" t="inlineStr">
        <is>
          <t>Contributions to a foreign employer-sponsored pension plan</t>
        </is>
      </c>
      <c r="BLW8" t="inlineStr">
        <is>
          <t>Resident compensation from employment services</t>
        </is>
      </c>
      <c r="BLX8" t="inlineStr">
        <is>
          <t>Pension adjustment from a U.S. retirement plan/Prescribed amount from a U.S. retirement plan/Pension adjustment from a foreign employer-sponsored pension plan</t>
        </is>
      </c>
      <c r="BLY8" t="inlineStr">
        <is>
          <t>Contributions to a U.S. retirement plan</t>
        </is>
      </c>
      <c r="BLZ8" t="inlineStr">
        <is>
          <t>Contributions to a U.S. retirement plan</t>
        </is>
      </c>
      <c r="BMA8" t="inlineStr">
        <is>
          <t>Spouse’s or common-law partner’s capital gains from mortgage foreclosures and conditional sales repossessions</t>
        </is>
      </c>
      <c r="BMB8" t="inlineStr">
        <is>
          <t>Spouse’s or common-law partner’s net-income while the taxpayer is living in Canada</t>
        </is>
      </c>
      <c r="BMC8" t="inlineStr">
        <is>
          <t>Spouse’s or common-law partner’s net-income while the taxpayer is living outside of Canada</t>
        </is>
      </c>
      <c r="BMD8" t="inlineStr">
        <is>
          <t>Net foreign non-business income from the first foreign country</t>
        </is>
      </c>
      <c r="BME8" t="inlineStr">
        <is>
          <t>Net foreign non-business income from the second foreign country</t>
        </is>
      </c>
      <c r="BMF8" t="inlineStr">
        <is>
          <t>Net foreign non-business income from the third foreign country</t>
        </is>
      </c>
      <c r="BMG8" t="inlineStr">
        <is>
          <t>Business income tax paid to the first foreign country</t>
        </is>
      </c>
      <c r="BMH8" t="inlineStr">
        <is>
          <t>Non-business income tax paid to first foreign country</t>
        </is>
      </c>
      <c r="BMI8" t="inlineStr">
        <is>
          <t>Non-business income tax paid to second foreign country</t>
        </is>
      </c>
      <c r="BMJ8" t="inlineStr">
        <is>
          <t>Non-business income tax paid to third foreign country</t>
        </is>
      </c>
      <c r="BMK8" t="inlineStr">
        <is>
          <t>Net business income from the first foreign country</t>
        </is>
      </c>
      <c r="BML8" t="inlineStr">
        <is>
          <t>Net business income from the second foreign country</t>
        </is>
      </c>
      <c r="BMM8" t="inlineStr">
        <is>
          <t>Net business income from the third foreign country</t>
        </is>
      </c>
      <c r="BMN8" t="inlineStr">
        <is>
          <t>Business income tax paid to the second foreign country</t>
        </is>
      </c>
      <c r="BMO8" t="inlineStr">
        <is>
          <t>Business income tax paid to the third foreign country</t>
        </is>
      </c>
      <c r="BMP8" t="inlineStr">
        <is>
          <t>Vow of perpetual poverty</t>
        </is>
      </c>
      <c r="BMQ8" t="inlineStr">
        <is>
          <t>Canadian sourced non-resident income, excluding the income subject to Part XIII tax</t>
        </is>
      </c>
      <c r="BMR8" t="inlineStr">
        <is>
          <t>Canadian sourced non-resident income subject to Part XIII tax plus foreign sourced non-resident income</t>
        </is>
      </c>
      <c r="BMS8" t="inlineStr">
        <is>
          <t>BC logging tax paid</t>
        </is>
      </c>
      <c r="BMT8" t="inlineStr">
        <is>
          <t>QC logging tax paid</t>
        </is>
      </c>
      <c r="BMU8" t="inlineStr">
        <is>
          <t>Total QPP pensionable earnings</t>
        </is>
      </c>
      <c r="BMV8" t="inlineStr">
        <is>
          <t>Total CPP pensionable earnings</t>
        </is>
      </c>
      <c r="BMW8" t="inlineStr">
        <is>
          <t>Indicator for filing due date for tax shelter, or inactive or active business income</t>
        </is>
      </c>
      <c r="BMX8" t="inlineStr">
        <is>
          <t>BC logging income</t>
        </is>
      </c>
      <c r="BMY8" t="inlineStr">
        <is>
          <t>CCA on certified film property</t>
        </is>
      </c>
      <c r="BMZ8" t="inlineStr">
        <is>
          <t>Ineligible pension income</t>
        </is>
      </c>
      <c r="BNA8" t="inlineStr">
        <is>
          <t>Income with tax withheld supported by information slips</t>
        </is>
      </c>
      <c r="BNB8" t="inlineStr">
        <is>
          <t>T4 earning reduction</t>
        </is>
      </c>
      <c r="BNC8" t="inlineStr">
        <is>
          <t>Quebec tax deducted (from slips in the taxpayer's name)</t>
        </is>
      </c>
      <c r="BND8" t="inlineStr">
        <is>
          <t>Income on which Quebec tax was withheld (from slips in the taxpayer's name)</t>
        </is>
      </c>
      <c r="BNE8" t="inlineStr">
        <is>
          <t>Amount of OAS pension repaid</t>
        </is>
      </c>
      <c r="BNF8" t="inlineStr">
        <is>
          <t>Limited partnership loss carryforward from 1986 and 1987</t>
        </is>
      </c>
      <c r="BNG8" t="inlineStr">
        <is>
          <t>Limited partnership loss available for carryforward</t>
        </is>
      </c>
      <c r="BNH8" t="inlineStr">
        <is>
          <t>Amount of self-employment net earnings reported at self-employed lines in relation to T4 self-employment on which EI premiums through employment were deducted</t>
        </is>
      </c>
      <c r="BNI8" t="inlineStr">
        <is>
          <t>Shareholder's loan repayment</t>
        </is>
      </c>
      <c r="BNJ8" t="inlineStr">
        <is>
          <t>QC logging income</t>
        </is>
      </c>
      <c r="BNK8" t="inlineStr">
        <is>
          <t>Spouse's or common-law partner's total split income</t>
        </is>
      </c>
      <c r="BNL8" t="inlineStr">
        <is>
          <t>CWB income from other returns</t>
        </is>
      </c>
      <c r="BNM8" t="inlineStr">
        <is>
          <t>Net business income (amount from line 27 of Schedule L of the Quebec provincial income tax return)</t>
        </is>
      </c>
      <c r="BNN8" t="inlineStr">
        <is>
          <t>Employment income where the province or territory of employment is other than Quebec</t>
        </is>
      </c>
      <c r="BNO8" t="inlineStr">
        <is>
          <t>PPIP insurable earnings</t>
        </is>
      </c>
      <c r="BNP8" t="inlineStr">
        <is>
          <t>Shareholder earnings</t>
        </is>
      </c>
      <c r="BNQ8" t="inlineStr">
        <is>
          <t>Tax-exempt self-employment income earned by a status indian</t>
        </is>
      </c>
      <c r="BNR8" t="inlineStr">
        <is>
          <t>Taxable income from the post-bankruptcy period</t>
        </is>
      </c>
      <c r="BNS8" t="inlineStr">
        <is>
          <t>EI insurable earnings</t>
        </is>
      </c>
      <c r="BNT8" t="inlineStr">
        <is>
          <t>EI and other benefits repaid</t>
        </is>
      </c>
      <c r="BNU8" t="inlineStr">
        <is>
          <t>Farm/fish loss</t>
        </is>
      </c>
      <c r="BNV8" t="inlineStr">
        <is>
          <t>Total section 31 farm loss</t>
        </is>
      </c>
      <c r="BNW8" t="inlineStr">
        <is>
          <t>Restricted farm loss</t>
        </is>
      </c>
      <c r="BNX8" t="inlineStr">
        <is>
          <t>RRSP earned income calculation</t>
        </is>
      </c>
      <c r="BNY8" t="inlineStr">
        <is>
          <t>Home Buyers' Plan (HBP) participant repayment amount</t>
        </is>
      </c>
      <c r="BNZ8" t="inlineStr">
        <is>
          <t>Lifelong Learning Plan (LLP) participant repayment amount</t>
        </is>
      </c>
      <c r="BOA8" t="inlineStr">
        <is>
          <t>Indicator for marital status change</t>
        </is>
      </c>
      <c r="BOB8" t="inlineStr">
        <is>
          <t>Spousal indicator</t>
        </is>
      </c>
      <c r="BOC8" t="inlineStr">
        <is>
          <t>Marital status change indicator for the amount for an eligible dependant</t>
        </is>
      </c>
      <c r="BOD8" t="inlineStr">
        <is>
          <t>Earned income adjustment amount</t>
        </is>
      </c>
      <c r="BOE8" t="inlineStr">
        <is>
          <t>Net self-employment income (loss) adjustment amount</t>
        </is>
      </c>
      <c r="BOF8" t="inlineStr">
        <is>
          <t>RDSP repayment by taxpayer</t>
        </is>
      </c>
      <c r="BOG8" t="inlineStr">
        <is>
          <t>RDSP income of spouse or common-law partner</t>
        </is>
      </c>
      <c r="BOH8" t="inlineStr">
        <is>
          <t>RDSP repayment by spouse or common-law partner</t>
        </is>
      </c>
      <c r="BOI8" t="inlineStr">
        <is>
          <t>Number of months of retirement</t>
        </is>
      </c>
      <c r="BOJ8" t="inlineStr">
        <is>
          <t>Number of months of disability</t>
        </is>
      </c>
      <c r="BOK8" t="inlineStr">
        <is>
          <t>CPP/QPP retirement benefits</t>
        </is>
      </c>
      <c r="BOL8" t="inlineStr">
        <is>
          <t>Basic personal amount</t>
        </is>
      </c>
      <c r="BOM8" t="inlineStr">
        <is>
          <t>Age amount</t>
        </is>
      </c>
      <c r="BON8" t="inlineStr">
        <is>
          <t>Spousal or common-law law partner amount</t>
        </is>
      </c>
      <c r="BOO8" t="inlineStr">
        <is>
          <t>Amount for an eligible dependant</t>
        </is>
      </c>
      <c r="BOP8" t="inlineStr">
        <is>
          <t>Caregiver amount for spouse or common-law partner, or eligible dependant age 18 or older</t>
        </is>
      </c>
      <c r="BOQ8" t="inlineStr">
        <is>
          <t>British Columbia caregiver amount</t>
        </is>
      </c>
      <c r="BOR8" t="inlineStr">
        <is>
          <t>Caregiver amount for infirm dependants age 18 or older</t>
        </is>
      </c>
      <c r="BOS8" t="inlineStr">
        <is>
          <t>Ontario caregiver amount</t>
        </is>
      </c>
      <c r="BOT8" t="inlineStr">
        <is>
          <t>Caregiver amount for infirm children under 18 years of age</t>
        </is>
      </c>
      <c r="BOU8" t="inlineStr">
        <is>
          <t>Amount for infirm dependants age 18 or older</t>
        </is>
      </c>
      <c r="BOV8" t="inlineStr">
        <is>
          <t>Number of children</t>
        </is>
      </c>
      <c r="BOW8" t="inlineStr">
        <is>
          <t>Amount for dependent children age 18 or younger</t>
        </is>
      </c>
      <c r="BOX8" t="inlineStr">
        <is>
          <t>Senior supplementary amount</t>
        </is>
      </c>
      <c r="BOY8" t="inlineStr">
        <is>
          <t>Number of months being claimed for all qualifying children</t>
        </is>
      </c>
      <c r="BOZ8" t="inlineStr">
        <is>
          <t>Amount for young children</t>
        </is>
      </c>
      <c r="BPA8" t="inlineStr">
        <is>
          <t>CPP or QPP contributions</t>
        </is>
      </c>
      <c r="BPB8" t="inlineStr">
        <is>
          <t>CPP or QPP contributions on self-employment and other earnings</t>
        </is>
      </c>
      <c r="BPC8" t="inlineStr">
        <is>
          <t>Employment insurance premiums</t>
        </is>
      </c>
      <c r="BPD8" t="inlineStr">
        <is>
          <t>Employment insurance premiums on self-employment and other eligible earnings</t>
        </is>
      </c>
      <c r="BPE8" t="inlineStr">
        <is>
          <t>Canada employment amount</t>
        </is>
      </c>
      <c r="BPF8" t="inlineStr">
        <is>
          <t>Volunteer firefighters’ amount</t>
        </is>
      </c>
      <c r="BPG8" t="inlineStr">
        <is>
          <t>Search and rescue volunteers’ amount</t>
        </is>
      </c>
      <c r="BPH8" t="inlineStr">
        <is>
          <t>Child care amount</t>
        </is>
      </c>
      <c r="BPI8" t="inlineStr">
        <is>
          <t>Fitness amount</t>
        </is>
      </c>
      <c r="BPJ8" t="inlineStr">
        <is>
          <t>Children’s arts amount</t>
        </is>
      </c>
      <c r="BPK8" t="inlineStr">
        <is>
          <t>Adoption expenses</t>
        </is>
      </c>
      <c r="BPL8" t="inlineStr">
        <is>
          <t>First-time home buyers’ amount</t>
        </is>
      </c>
      <c r="BPM8" t="inlineStr">
        <is>
          <t>Pension income amount</t>
        </is>
      </c>
      <c r="BPN8" t="inlineStr">
        <is>
          <t>Caregiver amount</t>
        </is>
      </c>
      <c r="BPO8" t="inlineStr">
        <is>
          <t>Disability amount (for self)</t>
        </is>
      </c>
      <c r="BPP8" t="inlineStr">
        <is>
          <t>Disability amount transferred from a dependant</t>
        </is>
      </c>
      <c r="BPQ8" t="inlineStr">
        <is>
          <t>Teacher school supply amount</t>
        </is>
      </c>
      <c r="BPR8" t="inlineStr">
        <is>
          <t>Interest paid on your student loans</t>
        </is>
      </c>
      <c r="BPS8" t="inlineStr">
        <is>
          <t>Your tuition and education amounts</t>
        </is>
      </c>
      <c r="BPT8" t="inlineStr">
        <is>
          <t>Your unused tuition and education amounts</t>
        </is>
      </c>
      <c r="BPU8" t="inlineStr">
        <is>
          <t>Your tuition, education, and textbook amounts</t>
        </is>
      </c>
      <c r="BPV8" t="inlineStr">
        <is>
          <t>Tuition and education amounts transferred from a child</t>
        </is>
      </c>
      <c r="BPW8" t="inlineStr">
        <is>
          <t>Tuition amounts transferred from a child NB428</t>
        </is>
      </c>
      <c r="BPX8" t="inlineStr">
        <is>
          <t>Tuition, education, and textbook amounts transferred from a child</t>
        </is>
      </c>
      <c r="BPY8" t="inlineStr">
        <is>
          <t>Amounts transferred from your spouse or common-law partner</t>
        </is>
      </c>
      <c r="BPZ8" t="inlineStr">
        <is>
          <t>Medical expenses for self, spouse or common-law partner, and your dependent children under 18 years of age</t>
        </is>
      </c>
      <c r="BQA8" t="inlineStr">
        <is>
          <t>Allowable amount of medical expenses for other dependants</t>
        </is>
      </c>
      <c r="BQB8" t="inlineStr">
        <is>
          <t>Total tax-exempt employment earnings</t>
        </is>
      </c>
      <c r="BQC8" t="inlineStr">
        <is>
          <t>Allowable amount of medical expenses</t>
        </is>
      </c>
      <c r="BQD8" t="inlineStr">
        <is>
          <t>Add lines 58040 to 58640 (and line 61470 for MB) and line 58769</t>
        </is>
      </c>
      <c r="BQE8" t="inlineStr">
        <is>
          <t>Total tax-exempt self-employment earnings and other tax-exempt earned income</t>
        </is>
      </c>
      <c r="BQF8" t="inlineStr">
        <is>
          <t>Total eligible PRPP contributions from tax-exempt income</t>
        </is>
      </c>
      <c r="BQG8" t="inlineStr">
        <is>
          <t>PRPP contributions from tax-exempt income designated as a repayment under the HBP</t>
        </is>
      </c>
      <c r="BQH8" t="inlineStr">
        <is>
          <t>Provincial or territorial non-refundable tax credits before donations and gifts</t>
        </is>
      </c>
      <c r="BQI8" t="inlineStr">
        <is>
          <t>Non-refundable tax credits before donations and gifts and the farmers’ food donation tax credit</t>
        </is>
      </c>
      <c r="BQJ8" t="inlineStr">
        <is>
          <t>Donations and gifts</t>
        </is>
      </c>
      <c r="BQK8" t="inlineStr">
        <is>
          <t>PRPP contributions from tax-exempt income designated as a repayment under the LLP</t>
        </is>
      </c>
      <c r="BQL8" t="inlineStr">
        <is>
          <t>BC farmers’ food donation tax credit</t>
        </is>
      </c>
      <c r="BQM8" t="inlineStr">
        <is>
          <t>Spouse’s or common-law partner’s amount for young children less than 6 years of age</t>
        </is>
      </c>
      <c r="BQN8" t="inlineStr">
        <is>
          <t>Spouse’s or common-law partner’s amount for dependent children age 18 or younger</t>
        </is>
      </c>
      <c r="BQO8" t="inlineStr">
        <is>
          <t>Spouse’s or common-law partner’s age amount</t>
        </is>
      </c>
      <c r="BQP8" t="inlineStr">
        <is>
          <t>Spouse’s or common-law partner’s senior supplementary amount</t>
        </is>
      </c>
      <c r="BQQ8" t="inlineStr">
        <is>
          <t>Spouse’s or common-law partner’s provincial/territorial caregiver amount for infirm children under 18 years of age</t>
        </is>
      </c>
      <c r="BQR8" t="inlineStr">
        <is>
          <t>Spouse’s or common-law partner’s pension income amount</t>
        </is>
      </c>
      <c r="BQS8" t="inlineStr">
        <is>
          <t>Spouse’s or common-law partner’s disability amount</t>
        </is>
      </c>
      <c r="BQT8" t="inlineStr">
        <is>
          <t>Tuition and education amounts designated by your spouse or common-law partner</t>
        </is>
      </c>
      <c r="BQU8" t="inlineStr">
        <is>
          <t>Tuition amounts designated by your spouse or common-law partner</t>
        </is>
      </c>
      <c r="BQV8" t="inlineStr">
        <is>
          <t>Tuition, education, and textbook amounts designated by your spouse or common-law partner</t>
        </is>
      </c>
      <c r="BQW8" t="inlineStr">
        <is>
          <t>Spouse’s or common-law partner’s adjusted taxable income</t>
        </is>
      </c>
      <c r="BQX8" t="inlineStr">
        <is>
          <t>Eligible tuition fees paid for the current tax year</t>
        </is>
      </c>
      <c r="BQY8" t="inlineStr">
        <is>
          <t>Eligible tuition fees paid for 2017 and 2018</t>
        </is>
      </c>
      <c r="BQZ8" t="inlineStr">
        <is>
          <t>Part-time education amount</t>
        </is>
      </c>
      <c r="BRA8" t="inlineStr">
        <is>
          <t>Part-time education and textbook amounts</t>
        </is>
      </c>
      <c r="BRB8" t="inlineStr">
        <is>
          <t>Full-time education amount</t>
        </is>
      </c>
      <c r="BRC8" t="inlineStr">
        <is>
          <t>Full-time education and textbook amounts</t>
        </is>
      </c>
      <c r="BRD8" t="inlineStr">
        <is>
          <t>Provincial amount transferred</t>
        </is>
      </c>
      <c r="BRE8" t="inlineStr">
        <is>
          <t>Territorial amount transferred</t>
        </is>
      </c>
      <c r="BRF8" t="inlineStr">
        <is>
          <t>Provincial tuition amount transferred</t>
        </is>
      </c>
      <c r="BRG8" t="inlineStr">
        <is>
          <t>Territorial tuition amount transferred</t>
        </is>
      </c>
      <c r="BRH8" t="inlineStr">
        <is>
          <t>Amount for infirm dependants age 18 or older</t>
        </is>
      </c>
      <c r="BRI8" t="inlineStr">
        <is>
          <t>Caregiver amount</t>
        </is>
      </c>
      <c r="BRJ8" t="inlineStr">
        <is>
          <t>Disability amount (for self)</t>
        </is>
      </c>
      <c r="BRK8" t="inlineStr">
        <is>
          <t>Disability amount transferred from a dependant</t>
        </is>
      </c>
      <c r="BRL8" t="inlineStr">
        <is>
          <t>Amounts transferred from your spouse or common-law partner</t>
        </is>
      </c>
      <c r="BRM8" t="inlineStr">
        <is>
          <t>Allowable amount of medical expenses for other dependants</t>
        </is>
      </c>
      <c r="BRN8" t="inlineStr">
        <is>
          <t>Disability amount (for self)</t>
        </is>
      </c>
      <c r="BRO8" t="inlineStr">
        <is>
          <t>Disability amount transferred from a dependant</t>
        </is>
      </c>
      <c r="BRP8" t="inlineStr">
        <is>
          <t>Total provincial amounts designated to you by a student</t>
        </is>
      </c>
      <c r="BRQ8" t="inlineStr">
        <is>
          <t>Amounts transferred from your spouse or common-law partner</t>
        </is>
      </c>
      <c r="BRR8" t="inlineStr">
        <is>
          <t>Allowable amount of medical expenses for other dependants</t>
        </is>
      </c>
      <c r="BRS8" t="inlineStr">
        <is>
          <t>Program type from the current tax year</t>
        </is>
      </c>
      <c r="BRT8" t="inlineStr">
        <is>
          <t>Eligible tuition fees paid</t>
        </is>
      </c>
      <c r="BRU8" t="inlineStr">
        <is>
          <t>“Eligibility Maximum” from the current tax year</t>
        </is>
      </c>
      <c r="BRV8" t="inlineStr">
        <is>
          <t>Program type from the current tax year</t>
        </is>
      </c>
      <c r="BRW8" t="inlineStr">
        <is>
          <t>Eligible tuition fees paid</t>
        </is>
      </c>
      <c r="BRX8" t="inlineStr">
        <is>
          <t>Eligibility Maximum from the current tax year</t>
        </is>
      </c>
      <c r="BRY8" t="inlineStr">
        <is>
          <t>Program type from the current tax year</t>
        </is>
      </c>
      <c r="BRZ8" t="inlineStr">
        <is>
          <t>Eligible tuition fees paid</t>
        </is>
      </c>
      <c r="BSA8" t="inlineStr">
        <is>
          <t>Eligibility Maximum from the current tax year</t>
        </is>
      </c>
      <c r="BSB8" t="inlineStr">
        <is>
          <t>AB political contributions tax credit</t>
        </is>
      </c>
      <c r="BSC8" t="inlineStr">
        <is>
          <t>Investor tax credit – Current tax year</t>
        </is>
      </c>
      <c r="BSD8" t="inlineStr">
        <is>
          <t>Climate action incentive – Basic amount</t>
        </is>
      </c>
      <c r="BSE8" t="inlineStr">
        <is>
          <t>Climate action incentive – Amount for an eligible spouse or common-law partner</t>
        </is>
      </c>
      <c r="BSF8" t="inlineStr">
        <is>
          <t>Climate action incentive – Amount for a single parent’s qualified dependant</t>
        </is>
      </c>
      <c r="BSG8" t="inlineStr">
        <is>
          <t>Climate action incentive – Number of qualified dependants</t>
        </is>
      </c>
      <c r="BSH8" t="inlineStr">
        <is>
          <t>Climate action incentive – Do you reside outside of a census metropolitan area on December 31 of the tax year, as defined by Statistics Canada?</t>
        </is>
      </c>
      <c r="BSI8" t="inlineStr">
        <is>
          <t>Basic sales tax credit</t>
        </is>
      </c>
      <c r="BSJ8" t="inlineStr">
        <is>
          <t>Additional sales tax credit for spouse or common-law partner</t>
        </is>
      </c>
      <c r="BSK8" t="inlineStr">
        <is>
          <t>Home renovation expenses</t>
        </is>
      </c>
      <c r="BSL8" t="inlineStr">
        <is>
          <t>BC political contribution tax credit</t>
        </is>
      </c>
      <c r="BSM8" t="inlineStr">
        <is>
          <t>Employee share ownership plan tax credit</t>
        </is>
      </c>
      <c r="BSN8" t="inlineStr">
        <is>
          <t>Employee venture capital tax credit</t>
        </is>
      </c>
      <c r="BSO8" t="inlineStr">
        <is>
          <t>Home renovation expenses for seniors and persons with disabilities</t>
        </is>
      </c>
      <c r="BSP8" t="inlineStr">
        <is>
          <t>Venture capital tax credit – Current tax year</t>
        </is>
      </c>
      <c r="BSQ8" t="inlineStr">
        <is>
          <t>Venture capital tax credit – First 60 days subsequent to the current tax year</t>
        </is>
      </c>
      <c r="BSR8" t="inlineStr">
        <is>
          <t>Mining exploration tax credit</t>
        </is>
      </c>
      <c r="BSS8" t="inlineStr">
        <is>
          <t>Mining exploration tax credit allocated from a partnership</t>
        </is>
      </c>
      <c r="BST8" t="inlineStr">
        <is>
          <t>Training tax credit (Individuals)</t>
        </is>
      </c>
      <c r="BSU8" t="inlineStr">
        <is>
          <t>Training tax credit (Employers)</t>
        </is>
      </c>
      <c r="BSV8" t="inlineStr">
        <is>
          <t>Shipbuilding and ship repair industry tax credit</t>
        </is>
      </c>
      <c r="BSW8" t="inlineStr">
        <is>
          <t>Age amount for spouse or common-law partner</t>
        </is>
      </c>
      <c r="BSX8" t="inlineStr">
        <is>
          <t>Disability amount for spouse or common-law partner</t>
        </is>
      </c>
      <c r="BSY8" t="inlineStr">
        <is>
          <t>Number of disability claims for self or a dependant other than your spouse or common-law partner</t>
        </is>
      </c>
      <c r="BSZ8" t="inlineStr">
        <is>
          <t>Number of disabled dependants 18 years of age or older</t>
        </is>
      </c>
      <c r="BTA8" t="inlineStr">
        <is>
          <t>Number of dependent children 18 years of age or younger</t>
        </is>
      </c>
      <c r="BTB8" t="inlineStr">
        <is>
          <t>Labour-sponsored funds tax credit</t>
        </is>
      </c>
      <c r="BTC8" t="inlineStr">
        <is>
          <t>Community enterprise development tax credit claimed</t>
        </is>
      </c>
      <c r="BTD8" t="inlineStr">
        <is>
          <t>Community enterprise development tax credit amount from Slip T2CEDTC (MAN.)</t>
        </is>
      </c>
      <c r="BTE8" t="inlineStr">
        <is>
          <t>Small business venture capital tax credit claimed</t>
        </is>
      </c>
      <c r="BTF8" t="inlineStr">
        <is>
          <t>Credit amount from Slip T2SBVCTC (MAN.)</t>
        </is>
      </c>
      <c r="BTG8" t="inlineStr">
        <is>
          <t>Employee share purchase tax credit claimed</t>
        </is>
      </c>
      <c r="BTH8" t="inlineStr">
        <is>
          <t>Involuntary separation indicator</t>
        </is>
      </c>
      <c r="BTI8" t="inlineStr">
        <is>
          <t>Basic, age, and disability credits for spouse or common-law partner</t>
        </is>
      </c>
      <c r="BTJ8" t="inlineStr">
        <is>
          <t>Mineral exploration tax credit claimed</t>
        </is>
      </c>
      <c r="BTK8" t="inlineStr">
        <is>
          <t>Total credit amounts from ESOP receipt(s)</t>
        </is>
      </c>
      <c r="BTL8" t="inlineStr">
        <is>
          <t>Number of disability claims for self or for a dependant other than your spouse or common-law partner</t>
        </is>
      </c>
      <c r="BTM8" t="inlineStr">
        <is>
          <t>Number of dependent children 18 years of age or younger</t>
        </is>
      </c>
      <c r="BTN8" t="inlineStr">
        <is>
          <t>Number of disabled dependants 18 years of age or older</t>
        </is>
      </c>
      <c r="BTO8" t="inlineStr">
        <is>
          <t>Number dependants with a mental or physical infirmity</t>
        </is>
      </c>
      <c r="BTP8" t="inlineStr">
        <is>
          <t>Number of dependent children – Reduction for dependent children age 18 or younger</t>
        </is>
      </c>
      <c r="BTQ8" t="inlineStr">
        <is>
          <t>Number of dependent children – Credit for dependent children age 18 or younger</t>
        </is>
      </c>
      <c r="BTR8" t="inlineStr">
        <is>
          <t>Application for the ON energy and property tax credit</t>
        </is>
      </c>
      <c r="BTS8" t="inlineStr">
        <is>
          <t>Application for the Northern ON energy credit</t>
        </is>
      </c>
      <c r="BTT8" t="inlineStr">
        <is>
          <t>Total personal tax credits</t>
        </is>
      </c>
      <c r="BTU8" t="inlineStr">
        <is>
          <t>Choice for delayed single OTB payment</t>
        </is>
      </c>
      <c r="BTV8" t="inlineStr">
        <is>
          <t>Application for the ON senior homeowners’ property tax grant</t>
        </is>
      </c>
      <c r="BTW8" t="inlineStr">
        <is>
          <t>Involuntary separation indicator</t>
        </is>
      </c>
      <c r="BTX8" t="inlineStr">
        <is>
          <t>Total rent paid</t>
        </is>
      </c>
      <c r="BTY8" t="inlineStr">
        <is>
          <t>Total property tax paid</t>
        </is>
      </c>
      <c r="BTZ8" t="inlineStr">
        <is>
          <t>School taxes paid</t>
        </is>
      </c>
      <c r="BUA8" t="inlineStr">
        <is>
          <t>Education property tax credit advance received</t>
        </is>
      </c>
      <c r="BUB8" t="inlineStr">
        <is>
          <t>Residing in a designated student residence</t>
        </is>
      </c>
      <c r="BUC8" t="inlineStr">
        <is>
          <t>Occupancy cost</t>
        </is>
      </c>
      <c r="BUD8" t="inlineStr">
        <is>
          <t>Gross school taxes assessed</t>
        </is>
      </c>
      <c r="BUE8" t="inlineStr">
        <is>
          <t>Family income from the homeowners’ school tax credit table</t>
        </is>
      </c>
      <c r="BUF8" t="inlineStr">
        <is>
          <t>Total home energy costs for principal residence on a reserve</t>
        </is>
      </c>
      <c r="BUG8" t="inlineStr">
        <is>
          <t>School taxes assessed</t>
        </is>
      </c>
      <c r="BUH8" t="inlineStr">
        <is>
          <t>Total accommodation in a public long-term care home or non-profit long-term care home</t>
        </is>
      </c>
      <c r="BUI8" t="inlineStr">
        <is>
          <t>School tax credit for homeowners</t>
        </is>
      </c>
      <c r="BUJ8" t="inlineStr">
        <is>
          <t>Total rent assist benefits received</t>
        </is>
      </c>
      <c r="BUK8" t="inlineStr">
        <is>
          <t>Percentage of social assistance</t>
        </is>
      </c>
      <c r="BUL8" t="inlineStr">
        <is>
          <t>Primary caregiver tax credit</t>
        </is>
      </c>
      <c r="BUM8" t="inlineStr">
        <is>
          <t>Fertility treatment tax credit</t>
        </is>
      </c>
      <c r="BUN8" t="inlineStr">
        <is>
          <t>Paid work experience tax credit</t>
        </is>
      </c>
      <c r="BUO8" t="inlineStr">
        <is>
          <t>Odour-control tax credit</t>
        </is>
      </c>
      <c r="BUP8" t="inlineStr">
        <is>
          <t>Green energy equipment tax credit (purchaser)</t>
        </is>
      </c>
      <c r="BUQ8" t="inlineStr">
        <is>
          <t>Green energy equipment tax credit (manufacturer)</t>
        </is>
      </c>
      <c r="BUR8" t="inlineStr">
        <is>
          <t>Book publishing tax credit</t>
        </is>
      </c>
      <c r="BUS8" t="inlineStr">
        <is>
          <t>Family tax benefit</t>
        </is>
      </c>
      <c r="BUT8" t="inlineStr">
        <is>
          <t>Cultural industries printing tax credit</t>
        </is>
      </c>
      <c r="BUU8" t="inlineStr">
        <is>
          <t>Community enterprise development tax credit</t>
        </is>
      </c>
      <c r="BUV8" t="inlineStr">
        <is>
          <t>Employee share purchase tax credit</t>
        </is>
      </c>
      <c r="BUW8" t="inlineStr">
        <is>
          <t>Farm and small business capital gains tax credit</t>
        </is>
      </c>
      <c r="BUX8" t="inlineStr">
        <is>
          <t>Provincial or territorial non-refundable tax credits</t>
        </is>
      </c>
      <c r="BUY8" t="inlineStr">
        <is>
          <t>Provincial or territorial tax on split income</t>
        </is>
      </c>
      <c r="BUZ8" t="inlineStr">
        <is>
          <t>Provincial or territorial dividend tax credit</t>
        </is>
      </c>
      <c r="BVA8" t="inlineStr">
        <is>
          <t>Provincial or territorial minimum tax carryover</t>
        </is>
      </c>
      <c r="BVB8" t="inlineStr">
        <is>
          <t>NB political contribution tax credit</t>
        </is>
      </c>
      <c r="BVC8" t="inlineStr">
        <is>
          <t>Unused low-income tax reduction from spouse or common-law partner</t>
        </is>
      </c>
      <c r="BVD8" t="inlineStr">
        <is>
          <t>Basic low-income tax reduction</t>
        </is>
      </c>
      <c r="BVE8" t="inlineStr">
        <is>
          <t>Low-income tax reduction for spouse or common-law partner</t>
        </is>
      </c>
      <c r="BVF8" t="inlineStr">
        <is>
          <t>Low-income tax reduction for an eligible dependant claimed on 30400</t>
        </is>
      </c>
      <c r="BVG8" t="inlineStr">
        <is>
          <t>Labour-sponsored venture capital tax credit</t>
        </is>
      </c>
      <c r="BVH8" t="inlineStr">
        <is>
          <t>Small business investor tax credit</t>
        </is>
      </c>
      <c r="BVI8" t="inlineStr">
        <is>
          <t>Amount to carry back to the first prior year</t>
        </is>
      </c>
      <c r="BVJ8" t="inlineStr">
        <is>
          <t>Amount to carry back to the second prior year</t>
        </is>
      </c>
      <c r="BVK8" t="inlineStr">
        <is>
          <t>Amount to carry back to the third prior year</t>
        </is>
      </c>
      <c r="BVL8" t="inlineStr">
        <is>
          <t>Resort property investment tax credit</t>
        </is>
      </c>
      <c r="BVM8" t="inlineStr">
        <is>
          <t>NL political contribution tax credit</t>
        </is>
      </c>
      <c r="BVN8" t="inlineStr">
        <is>
          <t>Direct equity tax credit</t>
        </is>
      </c>
      <c r="BVO8" t="inlineStr">
        <is>
          <t>Amount to carry back to the first prior year</t>
        </is>
      </c>
      <c r="BVP8" t="inlineStr">
        <is>
          <t>Amount to carry back to the second prior year</t>
        </is>
      </c>
      <c r="BVQ8" t="inlineStr">
        <is>
          <t>MB political contribution tax credit</t>
        </is>
      </c>
      <c r="BVR8" t="inlineStr">
        <is>
          <t>Amount to carry back to the third prior year</t>
        </is>
      </c>
      <c r="BVS8" t="inlineStr">
        <is>
          <t>Venture capital tax credit</t>
        </is>
      </c>
      <c r="BVT8" t="inlineStr">
        <is>
          <t>Amount to carry back to the first prior year</t>
        </is>
      </c>
      <c r="BVU8" t="inlineStr">
        <is>
          <t>Amount to carry back to the second prior year</t>
        </is>
      </c>
      <c r="BVV8" t="inlineStr">
        <is>
          <t>Amount to carry back to the third prior year</t>
        </is>
      </c>
      <c r="BVW8" t="inlineStr">
        <is>
          <t>Unused low-income tax reduction from the spouse or common-law partner</t>
        </is>
      </c>
      <c r="BVX8" t="inlineStr">
        <is>
          <t>Basic low-income tax reduction</t>
        </is>
      </c>
      <c r="BVY8" t="inlineStr">
        <is>
          <t>Reduction for your spouse or common-law partner</t>
        </is>
      </c>
      <c r="BVZ8" t="inlineStr">
        <is>
          <t>Reduction for an eligible dependant</t>
        </is>
      </c>
      <c r="BWA8" t="inlineStr">
        <is>
          <t>Basic low-income tax reduction</t>
        </is>
      </c>
      <c r="BWB8" t="inlineStr">
        <is>
          <t>Low-income tax reduction for spouse or common-law partner</t>
        </is>
      </c>
      <c r="BWC8" t="inlineStr">
        <is>
          <t>Low-income tax reduction for an eligible dependant</t>
        </is>
      </c>
      <c r="BWD8" t="inlineStr">
        <is>
          <t>NS political contribution tax credit</t>
        </is>
      </c>
      <c r="BWE8" t="inlineStr">
        <is>
          <t>Food bank tax credit for farmers</t>
        </is>
      </c>
      <c r="BWF8" t="inlineStr">
        <is>
          <t>Community food program donation tax credit for farmers</t>
        </is>
      </c>
      <c r="BWG8" t="inlineStr">
        <is>
          <t>Labour-sponsored venture capital tax credit</t>
        </is>
      </c>
      <c r="BWH8" t="inlineStr">
        <is>
          <t>Equity tax credit</t>
        </is>
      </c>
      <c r="BWI8" t="inlineStr">
        <is>
          <t>Amount to carry back to the first prior year</t>
        </is>
      </c>
      <c r="BWJ8" t="inlineStr">
        <is>
          <t>Amount to carry back to the second prior year</t>
        </is>
      </c>
      <c r="BWK8" t="inlineStr">
        <is>
          <t>Amount to carry back to the third prior year</t>
        </is>
      </c>
      <c r="BWL8" t="inlineStr">
        <is>
          <t>Volunteer firefighters’ tax credit</t>
        </is>
      </c>
      <c r="BWM8" t="inlineStr">
        <is>
          <t>Volunteer firefighters and ground search and rescue tax credit</t>
        </is>
      </c>
      <c r="BWN8" t="inlineStr">
        <is>
          <t>Amount claimed for foreign income on 25600 of the return that is exempt under a tax treaty</t>
        </is>
      </c>
      <c r="BWO8" t="inlineStr">
        <is>
          <t>Basic cost of living tax credit for self</t>
        </is>
      </c>
      <c r="BWP8" t="inlineStr">
        <is>
          <t>Cost of living tax credit supplement for spouse or common-law partner</t>
        </is>
      </c>
      <c r="BWQ8" t="inlineStr">
        <is>
          <t>The basic credit for self claimed by the spouse or common-law partner</t>
        </is>
      </c>
      <c r="BWR8" t="inlineStr">
        <is>
          <t>Cost of living tax credit supplement</t>
        </is>
      </c>
      <c r="BWS8" t="inlineStr">
        <is>
          <t>Northwest territories credit</t>
        </is>
      </c>
      <c r="BWT8" t="inlineStr">
        <is>
          <t>NT political contribution tax credit</t>
        </is>
      </c>
      <c r="BWU8" t="inlineStr">
        <is>
          <t>Seniors’ public transit tax credit</t>
        </is>
      </c>
      <c r="BWV8" t="inlineStr">
        <is>
          <t>ON political contribution tax credit</t>
        </is>
      </c>
      <c r="BWW8" t="inlineStr">
        <is>
          <t>Focused flow-through share tax credit</t>
        </is>
      </c>
      <c r="BWX8" t="inlineStr">
        <is>
          <t>Tax credits for self-employed individuals – Apprenticeships</t>
        </is>
      </c>
      <c r="BWY8" t="inlineStr">
        <is>
          <t>Tax credits for self-employed individuals – Work placements</t>
        </is>
      </c>
      <c r="BWZ8" t="inlineStr">
        <is>
          <t>Tax credits claimed as a member of a partnership</t>
        </is>
      </c>
      <c r="BXA8" t="inlineStr">
        <is>
          <t>Business number</t>
        </is>
      </c>
      <c r="BXB8" t="inlineStr">
        <is>
          <t>Apprenticeship training tax credit</t>
        </is>
      </c>
      <c r="BXC8" t="inlineStr">
        <is>
          <t>Co-operative education tax credit</t>
        </is>
      </c>
      <c r="BXD8" t="inlineStr">
        <is>
          <t>Unused low-income tax reduction from spouse or common-law partner</t>
        </is>
      </c>
      <c r="BXE8" t="inlineStr">
        <is>
          <t>Basic low-income tax reduction</t>
        </is>
      </c>
      <c r="BXF8" t="inlineStr">
        <is>
          <t>Age reduction for self</t>
        </is>
      </c>
      <c r="BXG8" t="inlineStr">
        <is>
          <t>Low-income tax reduction for spouse or common-law partner</t>
        </is>
      </c>
      <c r="BXH8" t="inlineStr">
        <is>
          <t>Age reduction for spouse or common-law partner</t>
        </is>
      </c>
      <c r="BXI8" t="inlineStr">
        <is>
          <t>Low-income tax reduction for an eligible dependant</t>
        </is>
      </c>
      <c r="BXJ8" t="inlineStr">
        <is>
          <t>PE political contribution tax credit</t>
        </is>
      </c>
      <c r="BXK8" t="inlineStr">
        <is>
          <t>Basic and certification tax credits (level 1 and/or level 2 of a non-Red Seal programs)</t>
        </is>
      </c>
      <c r="BXL8" t="inlineStr">
        <is>
          <t>Completion and certification tax credit (level 3 of a Red Seal or non-Red Seal program)</t>
        </is>
      </c>
      <c r="BXM8" t="inlineStr">
        <is>
          <t>Completion and certification tax credit (level 4 of a Red Seal or non-Red Seal program)</t>
        </is>
      </c>
      <c r="BXN8" t="inlineStr">
        <is>
          <t>Enhanced tax credit</t>
        </is>
      </c>
      <c r="BXO8" t="inlineStr">
        <is>
          <t>Basic tax credit</t>
        </is>
      </c>
      <c r="BXP8" t="inlineStr">
        <is>
          <t>Completion tax credit</t>
        </is>
      </c>
      <c r="BXQ8" t="inlineStr">
        <is>
          <t>Enhanced tax credit</t>
        </is>
      </c>
      <c r="BXR8" t="inlineStr">
        <is>
          <t>Equity tax credit</t>
        </is>
      </c>
      <c r="BXS8" t="inlineStr">
        <is>
          <t>Volunteer firefighter tax credit</t>
        </is>
      </c>
      <c r="BXT8" t="inlineStr">
        <is>
          <t>SK political contribution tax credit</t>
        </is>
      </c>
      <c r="BXU8" t="inlineStr">
        <is>
          <t>Labour-sponsored venture capital tax credit</t>
        </is>
      </c>
      <c r="BXV8" t="inlineStr">
        <is>
          <t>Mineral exploration tax credit</t>
        </is>
      </c>
      <c r="BXW8" t="inlineStr">
        <is>
          <t>Amount to carry back to the first prior year</t>
        </is>
      </c>
      <c r="BXX8" t="inlineStr">
        <is>
          <t>Amount to carry back to the second prior year</t>
        </is>
      </c>
      <c r="BXY8" t="inlineStr">
        <is>
          <t>Amount to carry back to the third prior year</t>
        </is>
      </c>
      <c r="BXZ8" t="inlineStr">
        <is>
          <t>Graduate tuition tax credit</t>
        </is>
      </c>
      <c r="BYA8" t="inlineStr">
        <is>
          <t>Number of qualifying children under 6 years of age</t>
        </is>
      </c>
      <c r="BYB8" t="inlineStr">
        <is>
          <t>Do you reside outside of Whitehorse on December 31 of the tax year?</t>
        </is>
      </c>
      <c r="BYC8" t="inlineStr">
        <is>
          <t>Children’s fitness tax credit</t>
        </is>
      </c>
      <c r="BYD8" t="inlineStr">
        <is>
          <t>Small business investment tax credit</t>
        </is>
      </c>
      <c r="BYE8" t="inlineStr">
        <is>
          <t>Amount to carry back to the first prior year</t>
        </is>
      </c>
      <c r="BYF8" t="inlineStr">
        <is>
          <t>Amount to carry back to the second prior year</t>
        </is>
      </c>
      <c r="BYG8" t="inlineStr">
        <is>
          <t>Amount to carry back to the third prior year</t>
        </is>
      </c>
      <c r="BYH8" t="inlineStr">
        <is>
          <t>Labour-sponsored venture capital corporation tax credit</t>
        </is>
      </c>
      <c r="BYI8" t="inlineStr">
        <is>
          <t>Amount to carry back to the first prior year</t>
        </is>
      </c>
      <c r="BYJ8" t="inlineStr">
        <is>
          <t>Amount to carry back to the second prior year</t>
        </is>
      </c>
      <c r="BYK8" t="inlineStr">
        <is>
          <t>Amount to carry back to the third prior year</t>
        </is>
      </c>
      <c r="BYL8" t="inlineStr">
        <is>
          <t>Research and development tax credit</t>
        </is>
      </c>
      <c r="BYM8" t="inlineStr">
        <is>
          <t>YT political contribution tax credit</t>
        </is>
      </c>
      <c r="BYN8" t="inlineStr">
        <is>
          <t>Yukon First Nations income tax credit</t>
        </is>
      </c>
      <c r="BYO8" t="inlineStr">
        <is>
          <t>Cost of living supplement</t>
        </is>
      </c>
      <c r="BYP8" t="inlineStr">
        <is>
          <t>Total cost of living tax credit</t>
        </is>
      </c>
      <c r="BYQ8" t="inlineStr">
        <is>
          <t>NU political contribution tax credit</t>
        </is>
      </c>
      <c r="BYR8" t="inlineStr">
        <is>
          <t>Total expenses eligible for the GST rebate</t>
        </is>
      </c>
      <c r="BYS8" t="inlineStr">
        <is>
          <t>Total expenses eligible for the HST rebate</t>
        </is>
      </c>
      <c r="BYT8" t="inlineStr">
        <is>
          <t>Total expenses eligible for the HST rebate</t>
        </is>
      </c>
      <c r="BYU8" t="inlineStr">
        <is>
          <t>Benefits that can no longer be deferred</t>
        </is>
      </c>
      <c r="BYV8" t="inlineStr">
        <is>
          <t>Closing balance of deferred security option benefits</t>
        </is>
      </c>
      <c r="BYW8" t="inlineStr">
        <is>
          <t>Non-capital loss to be applied to the third prior year</t>
        </is>
      </c>
      <c r="BYX8" t="inlineStr">
        <is>
          <t>Non-capital loss to be applied to the second prior year</t>
        </is>
      </c>
      <c r="BYY8" t="inlineStr">
        <is>
          <t>Non-capital loss to be applied to the first prior year</t>
        </is>
      </c>
      <c r="BYZ8" t="inlineStr">
        <is>
          <t>Farming or fishing loss to be applied to the third prior year</t>
        </is>
      </c>
      <c r="BZA8" t="inlineStr">
        <is>
          <t>Farming or fishing loss to be applied to the second prior year</t>
        </is>
      </c>
      <c r="BZB8" t="inlineStr">
        <is>
          <t>Farming or fishing loss to be applied to the first prior year</t>
        </is>
      </c>
      <c r="BZC8" t="inlineStr">
        <is>
          <t>Net capital loss to be applied to the third prior year</t>
        </is>
      </c>
      <c r="BZD8" t="inlineStr">
        <is>
          <t>Net capital loss to be applied to the second prior year</t>
        </is>
      </c>
      <c r="BZE8" t="inlineStr">
        <is>
          <t>Net capital loss to be applied to the first prior year</t>
        </is>
      </c>
      <c r="BZF8" t="inlineStr">
        <is>
          <t>Listed personal property net loss to be applied to the third prior year listed personal property net gains</t>
        </is>
      </c>
      <c r="BZG8" t="inlineStr">
        <is>
          <t>Listed personal property net loss to be applied to the second prior year listed personal property net gains</t>
        </is>
      </c>
      <c r="BZH8" t="inlineStr">
        <is>
          <t>Listed personal property net loss to be applied to the first prior year listed personal property net gains</t>
        </is>
      </c>
      <c r="BZI8" t="inlineStr">
        <is>
          <t>Restricted farm loss to be applied to the third prior year</t>
        </is>
      </c>
      <c r="BZJ8" t="inlineStr">
        <is>
          <t>Restricted farm loss to be applied to the second prior year</t>
        </is>
      </c>
      <c r="BZK8" t="inlineStr">
        <is>
          <t>Restricted farm loss to be applied to the first prior year</t>
        </is>
      </c>
      <c r="BZL8" t="inlineStr">
        <is>
          <t>Amount of 2018 reserve for dispositions of QFFP to your child after 2009, and before April 21, 2015 and all other dispositions of QFFP after 2014 and before April 21, 2015</t>
        </is>
      </c>
      <c r="BZM8" t="inlineStr">
        <is>
          <t>Amount of 2019 reserve for dispositions of QFFP to your child after 2010, and before April 21, 2015, and all other dispositions of QFFP after 2015 and before April 21, 2015</t>
        </is>
      </c>
      <c r="BZN8" t="inlineStr">
        <is>
          <t>Amount of 2018 reserve for dispositions of QFFP after April 20, 2015</t>
        </is>
      </c>
      <c r="BZO8" t="inlineStr">
        <is>
          <t>Amount of 2019 reserve for dispositions of QFFP after April 20, 2015</t>
        </is>
      </c>
      <c r="BZP8" t="inlineStr">
        <is>
          <t>Amount of the most recent reserve claimed on line 66840</t>
        </is>
      </c>
      <c r="BZQ8" t="inlineStr">
        <is>
          <t>Amount of 2019 reserve for dispositions of QSBCS to your child after 2010, and all other dispositions of QSBCS after 2015</t>
        </is>
      </c>
      <c r="BZR8" t="inlineStr">
        <is>
          <t>Amount of 2018 reserve for dispositions of QSBCS to your child after 2009, and all other dispositions of QSBCS after 2014</t>
        </is>
      </c>
      <c r="BZS8" t="inlineStr">
        <is>
          <t>Amount of the most recent reserve claimed on line 66850</t>
        </is>
      </c>
      <c r="BZT8" t="inlineStr">
        <is>
          <t>Amount of 2018 reserve for dispositions to your child after 2009, of family farm or fishing property other than QFFP and of shares of capital stock of a small business corporation other than QSBCS</t>
        </is>
      </c>
      <c r="BZU8" t="inlineStr">
        <is>
          <t>Amount of 2019 reserve for dispositions to your child after 2010, of family farm or fishing property other than QFFP and of shares of capital stock of a small business corporation other than QSBCS</t>
        </is>
      </c>
      <c r="BZV8" t="inlineStr">
        <is>
          <t>Amount of 2018 reserve for dispositions of property after 2014, other than dispositions listed on lines 66815, 66843, 66883, and 66910</t>
        </is>
      </c>
      <c r="BZW8" t="inlineStr">
        <is>
          <t>Amount of 2019 reserve for dispositions of property after 2015, other than dispositions listed on lines 66840, 66844, 66850, and 66920</t>
        </is>
      </c>
      <c r="BZX8" t="inlineStr">
        <is>
          <t>Amount of 2018 reserve for dispositions before November 13, 1981</t>
        </is>
      </c>
      <c r="BZY8" t="inlineStr">
        <is>
          <t>Total capital reserves</t>
        </is>
      </c>
      <c r="BZZ8" t="inlineStr">
        <is>
          <t>ITC for total qualified expenditures for SR&amp;ED</t>
        </is>
      </c>
      <c r="CAA8" t="inlineStr">
        <is>
          <t>80% of total contributions made to agricultural organizations for SR&amp;ED</t>
        </is>
      </c>
      <c r="CAB8" t="inlineStr">
        <is>
          <t>ITC allocated from a partnership for SR&amp;ED</t>
        </is>
      </c>
      <c r="CAC8" t="inlineStr">
        <is>
          <t>ITC for total investments in qualified property</t>
        </is>
      </c>
      <c r="CAD8" t="inlineStr">
        <is>
          <t>Total flow-through mining expenditures</t>
        </is>
      </c>
      <c r="CAE8" t="inlineStr">
        <is>
          <t>Total apprenticeship job creation tax credit</t>
        </is>
      </c>
      <c r="CAF8" t="inlineStr">
        <is>
          <t>ITC for child care spaces</t>
        </is>
      </c>
      <c r="CAG8" t="inlineStr">
        <is>
          <t>Amount of expenditure on which ITC is recaptured at 15%</t>
        </is>
      </c>
      <c r="CAH8" t="inlineStr">
        <is>
          <t>Amount of expenditure on which ITC is recaptured at 20%</t>
        </is>
      </c>
      <c r="CAI8" t="inlineStr">
        <is>
          <t>Total recapture of ITC for child care spaces</t>
        </is>
      </c>
      <c r="CAJ8" t="inlineStr">
        <is>
          <t>Amount of carryback to the third previous year</t>
        </is>
      </c>
      <c r="CAK8" t="inlineStr">
        <is>
          <t>Amount of carryback to the second previous year</t>
        </is>
      </c>
      <c r="CAL8" t="inlineStr">
        <is>
          <t>Amount of carryback to the first previous year</t>
        </is>
      </c>
      <c r="CAM8" t="inlineStr">
        <is>
          <t>Maximum residency amount for residents of prescribed northern zones</t>
        </is>
      </c>
      <c r="CAN8" t="inlineStr">
        <is>
          <t>Non-taxable benefits for board and lodging at a special work site in a prescribed northern zone</t>
        </is>
      </c>
      <c r="CAO8" t="inlineStr">
        <is>
          <t>Maximum residency amount for residents of prescribed intermediate zones</t>
        </is>
      </c>
      <c r="CAP8" t="inlineStr">
        <is>
          <t>Non-taxable benefits for board and lodging at a special work site in a prescribed intermediate zone</t>
        </is>
      </c>
      <c r="CAQ8" t="inlineStr">
        <is>
          <t>Total travel amount for trips from a prescribed northern zone</t>
        </is>
      </c>
      <c r="CAR8" t="inlineStr">
        <is>
          <t>Total travel amount for trips from a prescribed intermediate zone</t>
        </is>
      </c>
      <c r="CAS8" t="inlineStr">
        <is>
          <t>Claim for tax shelter loss or deduction</t>
        </is>
      </c>
      <c r="CAT8" t="inlineStr">
        <is>
          <t>Amount of loss created or increased by CCA and carrying charges on certified film property</t>
        </is>
      </c>
      <c r="CAU8" t="inlineStr">
        <is>
          <t>Amount of loss created or increased by CCA and carrying charges on rental and leasing property</t>
        </is>
      </c>
      <c r="CAV8" t="inlineStr">
        <is>
          <t>Losses, amounts deductible and carrying charges for tax shelters, limited partnership, and non-active partners</t>
        </is>
      </c>
      <c r="CAW8" t="inlineStr">
        <is>
          <t>Total of all resource expenditures, depletion allowances, and carrying charges for resource property and flow-through shares</t>
        </is>
      </c>
      <c r="CAX8" t="inlineStr">
        <is>
          <t>Certain capital gains from graduated rate estates</t>
        </is>
      </c>
      <c r="CAY8" t="inlineStr">
        <is>
          <t>Part of total capital gains that is exempt from Canadian tax under a tax treaty</t>
        </is>
      </c>
      <c r="CAZ8" t="inlineStr">
        <is>
          <t>Capital gains on gifts of property to qualified donees</t>
        </is>
      </c>
      <c r="CBA8" t="inlineStr">
        <is>
          <t>Security options deductions under paragraph 110(1)(d)</t>
        </is>
      </c>
      <c r="CBB8" t="inlineStr">
        <is>
          <t>Gifts of securities acquired under a security option plan</t>
        </is>
      </c>
      <c r="CBC8" t="inlineStr">
        <is>
          <t>Other security options deductions included on line 24900</t>
        </is>
      </c>
      <c r="CBD8" t="inlineStr">
        <is>
          <t>Limited partnership losses incurred in prior years that are tax shelters</t>
        </is>
      </c>
      <c r="CBE8" t="inlineStr">
        <is>
          <t>Federal tax payable under alternative minimum tax</t>
        </is>
      </c>
      <c r="CBF8" t="inlineStr">
        <is>
          <t>Total child care expenses paid in the year</t>
        </is>
      </c>
      <c r="CBG8" t="inlineStr">
        <is>
          <t>Child care expenses incurred for a child age 6 or younger</t>
        </is>
      </c>
      <c r="CBH8" t="inlineStr">
        <is>
          <t>Basic limit for eligible children born in the current tax year or earlier for whom the disability amount can be claimed</t>
        </is>
      </c>
      <c r="CBI8" t="inlineStr">
        <is>
          <t>Part C – Child care expenses paid by the other person with lower net income</t>
        </is>
      </c>
      <c r="CBJ8" t="inlineStr">
        <is>
          <t>Part D – Child care expenses paid while enrolled in an educational program</t>
        </is>
      </c>
      <c r="CBK8" t="inlineStr">
        <is>
          <t>Total eligible pensions or superannuation, annuity and RRSP/RRIF payments (including life income fund) received</t>
        </is>
      </c>
      <c r="CBL8" t="inlineStr">
        <is>
          <t>Veteran’s benefits on T4A slips eligible for pension income splitting</t>
        </is>
      </c>
      <c r="CBM8" t="inlineStr">
        <is>
          <t>Distributions on T4A-RCA slips eligible for pension income splitting</t>
        </is>
      </c>
      <c r="CBN8" t="inlineStr">
        <is>
          <t>Number of months married or living common-law in the current tax year</t>
        </is>
      </c>
      <c r="CBO8" t="inlineStr">
        <is>
          <t>Total tax deducted from the transferring spouse’s or common-law partner’s pension income</t>
        </is>
      </c>
      <c r="CBP8" t="inlineStr">
        <is>
          <t>Tax deducted for the elected split-pension amount</t>
        </is>
      </c>
      <c r="CBQ8" t="inlineStr">
        <is>
          <t>Any other investment expenses claimed in the current tax year to earn property income</t>
        </is>
      </c>
      <c r="CBR8" t="inlineStr">
        <is>
          <t>Any other property income reported in the current tax year</t>
        </is>
      </c>
      <c r="CBS8" t="inlineStr">
        <is>
          <t>50% of income from the recovery of exploration and development expenses</t>
        </is>
      </c>
      <c r="CBT8" t="inlineStr">
        <is>
          <t>Capital gains from T3 slips</t>
        </is>
      </c>
      <c r="CBU8" t="inlineStr">
        <is>
          <t>Non-eligible capital gains from T3 slips</t>
        </is>
      </c>
      <c r="CBV8" t="inlineStr">
        <is>
          <t>Special tax for Quebec LSVCC</t>
        </is>
      </c>
      <c r="CBW8" t="inlineStr">
        <is>
          <t>Excess employees profit-sharing plan amounts</t>
        </is>
      </c>
      <c r="CBX8" t="inlineStr">
        <is>
          <t>Proceeds from disposition of publicly traded shares, other shares and mutual fund units</t>
        </is>
      </c>
      <c r="CBY8" t="inlineStr">
        <is>
          <t>Gains eligible for 0% inclusion rate from the disposition of publicly traded shares, other shares and mutual funds units</t>
        </is>
      </c>
      <c r="CBZ8" t="inlineStr">
        <is>
          <t>Proceeds from disposition of bonds, debentures, promissory notes, and other properties (including ecologically sensitive land)</t>
        </is>
      </c>
      <c r="CCA8" t="inlineStr">
        <is>
          <t>Gains eligible for 0% inclusion rate from the disposition of bonds, debentures, promissory notes, and other properties (including ecologically sensitive land)</t>
        </is>
      </c>
      <c r="CCB8" t="inlineStr">
        <is>
          <t>Total of all accumulated income payments</t>
        </is>
      </c>
      <c r="CCC8" t="inlineStr">
        <is>
          <t>Total of all accumulated income payments</t>
        </is>
      </c>
      <c r="CCD8" t="inlineStr">
        <is>
          <t>Taxable amount of dividends (eligible and other than eligible) from taxable Canadian corporations</t>
        </is>
      </c>
      <c r="CCE8" t="inlineStr">
        <is>
          <t>Taxable amount of dividends other than eligible dividends, included on line 68330, from taxable Canadian corporations</t>
        </is>
      </c>
      <c r="CCF8" t="inlineStr">
        <is>
          <t>Total split income</t>
        </is>
      </c>
      <c r="CCG8" t="inlineStr">
        <is>
          <t>Split income from foreign sources</t>
        </is>
      </c>
      <c r="CCH8" t="inlineStr">
        <is>
          <t>Total income from foreign sources</t>
        </is>
      </c>
      <c r="CCI8" t="inlineStr">
        <is>
          <t>Current-year credit available</t>
        </is>
      </c>
      <c r="CCJ8" t="inlineStr">
        <is>
          <t>Mining flow-through share tax credit</t>
        </is>
      </c>
      <c r="CCK8" t="inlineStr">
        <is>
          <t>Amount to carry back to the first prior year</t>
        </is>
      </c>
      <c r="CCL8" t="inlineStr">
        <is>
          <t>Amount to carry back to the second prior year</t>
        </is>
      </c>
      <c r="CCM8" t="inlineStr">
        <is>
          <t>Amount to carry back to the third prior year</t>
        </is>
      </c>
      <c r="CCN8" t="inlineStr">
        <is>
          <t>Current year tax credit available</t>
        </is>
      </c>
      <c r="CCO8" t="inlineStr">
        <is>
          <t>EI and PPIP maternity and paternal benefits</t>
        </is>
      </c>
      <c r="CCP8" t="inlineStr">
        <is>
          <t>Net exempt income</t>
        </is>
      </c>
      <c r="CCQ8" t="inlineStr">
        <is>
          <t>Total provincial amounts designated to you by a studen</t>
        </is>
      </c>
      <c r="CCR8" t="inlineStr">
        <is>
          <t>Venture capital tax credit - January 1 to February 19, 2019</t>
        </is>
      </c>
      <c r="CCS8" t="inlineStr">
        <is>
          <t>Certificate number - Shares acquired after February 19, 2019</t>
        </is>
      </c>
      <c r="CCT8" t="inlineStr">
        <is>
          <t>Certificate number - Shares purchases during the first 60 days of the year following the tax year</t>
        </is>
      </c>
      <c r="CCU8" t="inlineStr">
        <is>
          <t>Low-income individuals and families tax credit</t>
        </is>
      </c>
      <c r="CCV8" t="inlineStr">
        <is>
          <t>Innovation equity tax credit</t>
        </is>
      </c>
      <c r="CCW8" t="inlineStr">
        <is>
          <t>Venture capital tax credit</t>
        </is>
      </c>
      <c r="CCX8" t="inlineStr">
        <is>
          <t>Child care expenses deduction of the other supporting person(s)</t>
        </is>
      </c>
      <c r="CCY8" t="inlineStr">
        <is>
          <t>Adjusted income of the other supporting person(s)</t>
        </is>
      </c>
      <c r="CCZ8" t="inlineStr">
        <is>
          <t>Childcare access and relief from expense tax credit</t>
        </is>
      </c>
      <c r="CDA8" t="inlineStr">
        <is>
          <t>Business carbon price rebate</t>
        </is>
      </c>
      <c r="CDB8" t="inlineStr">
        <is>
          <t>Employment income from T4 slips</t>
        </is>
      </c>
      <c r="CDC8" t="inlineStr">
        <is>
          <t>EI maternity and paternal benefits and PPIP maternity and paternity benefits</t>
        </is>
      </c>
      <c r="CDD8" t="inlineStr">
        <is>
          <t>Taxable scholarship, fellowships, bursaries, and artists’ project grants</t>
        </is>
      </c>
      <c r="CDE8" t="inlineStr">
        <is>
          <t>Deduction for CPP/QPP enhanced contributions on employment income</t>
        </is>
      </c>
      <c r="CDF8" t="inlineStr">
        <is>
          <t>Eligible tuition fees paid to foreign educational institutions for the current tax year</t>
        </is>
      </c>
      <c r="CDG8" t="inlineStr">
        <is>
          <t>Are you choosing to include tax-exempt income in calculating the CWB?</t>
        </is>
      </c>
      <c r="CDH8" t="inlineStr">
        <is>
          <t>Tax Year Filed</t>
        </is>
      </c>
      <c r="CDI8" t="inlineStr">
        <is>
          <t>Taxing Province</t>
        </is>
      </c>
      <c r="CDJ8" t="inlineStr">
        <is>
          <t>Marital Status</t>
        </is>
      </c>
      <c r="CDK8" t="inlineStr">
        <is>
          <t>Balance before penalty and interest</t>
        </is>
      </c>
      <c r="CDL8" t="inlineStr">
        <is>
          <t>Balance before penalty and interest</t>
        </is>
      </c>
      <c r="CDM8" t="inlineStr">
        <is>
          <t>Final balance</t>
        </is>
      </c>
      <c r="CDN8" t="inlineStr">
        <is>
          <t>Basic federal tax</t>
        </is>
      </c>
      <c r="CDO8" t="inlineStr">
        <is>
          <t>Basic provincial or territorial tax</t>
        </is>
      </c>
      <c r="CDP8" t="inlineStr">
        <is>
          <t>Ontario Health Premium</t>
        </is>
      </c>
      <c r="CDQ8" t="inlineStr">
        <is>
          <t>Employment income from T4 slips</t>
        </is>
      </c>
      <c r="CDR8" t="inlineStr">
        <is>
          <t>Commissions included on line 10100</t>
        </is>
      </c>
      <c r="CDS8" t="inlineStr">
        <is>
          <t>Wage-loss replacement contributions</t>
        </is>
      </c>
      <c r="CDT8" t="inlineStr">
        <is>
          <t>Other employment income</t>
        </is>
      </c>
      <c r="CDU8" t="inlineStr">
        <is>
          <t>Proceeds from disposition of qualified small business corporation shares</t>
        </is>
      </c>
      <c r="CDV8" t="inlineStr">
        <is>
          <t>Gain (or loss) from disposition of qualified small business corporation shares</t>
        </is>
      </c>
      <c r="CDW8" t="inlineStr">
        <is>
          <t>Proceeds from disposition of qualified farm or fishing property</t>
        </is>
      </c>
      <c r="CDX8" t="inlineStr">
        <is>
          <t>Gain (or loss) from disposition of qualified farm or fishing property</t>
        </is>
      </c>
      <c r="CDY8" t="inlineStr">
        <is>
          <t>Old age security pension</t>
        </is>
      </c>
      <c r="CDZ8" t="inlineStr">
        <is>
          <t>CPP or QPP benefits</t>
        </is>
      </c>
      <c r="CEA8" t="inlineStr">
        <is>
          <t>Other pensions and superannuation</t>
        </is>
      </c>
      <c r="CEB8" t="inlineStr">
        <is>
          <t>Elected split-pension amount</t>
        </is>
      </c>
      <c r="CEC8" t="inlineStr">
        <is>
          <t>Universal child care benefit (UCCB)</t>
        </is>
      </c>
      <c r="CED8" t="inlineStr">
        <is>
          <t>Employment insurance and other benefits</t>
        </is>
      </c>
      <c r="CEE8" t="inlineStr">
        <is>
          <t>Taxable amount of dividends (eligible and other than eligible) from taxable Canadian corporations</t>
        </is>
      </c>
      <c r="CEF8" t="inlineStr">
        <is>
          <t>Interest and other investment income</t>
        </is>
      </c>
      <c r="CEG8" t="inlineStr">
        <is>
          <t>Net partnership income: limited or non-active partners only</t>
        </is>
      </c>
      <c r="CEH8" t="inlineStr">
        <is>
          <t>Proceeds from disposition of mortgage foreclosures and conditional sales repossessions of a qualified farm or fishing property</t>
        </is>
      </c>
      <c r="CEI8" t="inlineStr">
        <is>
          <t>Gain (or loss) from disposition of mortgage foreclosures and conditional sales repossessions of a qualified farm or fishing property</t>
        </is>
      </c>
      <c r="CEJ8" t="inlineStr">
        <is>
          <t>Registered disability savings plan (RDSP) income</t>
        </is>
      </c>
      <c r="CEK8" t="inlineStr">
        <is>
          <t>Net rental income (loss)</t>
        </is>
      </c>
      <c r="CEL8" t="inlineStr">
        <is>
          <t>Taxable capital gains (or net capital loss)</t>
        </is>
      </c>
      <c r="CEM8" t="inlineStr">
        <is>
          <t>Taxable amount of support payments received Registered retirement savings plan (RRSP) income Other income</t>
        </is>
      </c>
      <c r="CEN8" t="inlineStr">
        <is>
          <t>Registered retirement savings plan (RRSP) income</t>
        </is>
      </c>
      <c r="CEO8" t="inlineStr">
        <is>
          <t>Other income</t>
        </is>
      </c>
      <c r="CEP8" t="inlineStr">
        <is>
          <t>Proceeds from disposition of publicly traded shares, mutual fund units, deferral of eligible small business corporation shares, and other shares</t>
        </is>
      </c>
      <c r="CEQ8" t="inlineStr">
        <is>
          <t>Gain (or loss) from disposition of publicly traded shares, mutual fund units, deferral of eligible small business corporation shares, and other shares</t>
        </is>
      </c>
      <c r="CER8" t="inlineStr">
        <is>
          <t>Net business income (loss)</t>
        </is>
      </c>
      <c r="CES8" t="inlineStr">
        <is>
          <t>Proceeds from disposition of real estate, depreciable property, and other properties</t>
        </is>
      </c>
      <c r="CET8" t="inlineStr">
        <is>
          <t>Net professional income (loss)</t>
        </is>
      </c>
      <c r="CEU8" t="inlineStr">
        <is>
          <t>Gain (or loss) from disposition of real estate, depreciable property, and other properties</t>
        </is>
      </c>
      <c r="CEV8" t="inlineStr">
        <is>
          <t>Net commission income (loss)</t>
        </is>
      </c>
      <c r="CEW8" t="inlineStr">
        <is>
          <t>Net farming income (loss)</t>
        </is>
      </c>
      <c r="CEX8" t="inlineStr">
        <is>
          <t>Net fishing income (loss)</t>
        </is>
      </c>
      <c r="CEY8" t="inlineStr">
        <is>
          <t>Workers’ compensation benefits</t>
        </is>
      </c>
      <c r="CEZ8" t="inlineStr">
        <is>
          <t>Social assistance payments</t>
        </is>
      </c>
      <c r="CFA8" t="inlineStr">
        <is>
          <t>Net federal supplements</t>
        </is>
      </c>
      <c r="CFB8" t="inlineStr">
        <is>
          <t>Total income</t>
        </is>
      </c>
      <c r="CFC8" t="inlineStr">
        <is>
          <t>Proceeds from disposition of bonds, debentures, promissory notes, and other similar properties</t>
        </is>
      </c>
      <c r="CFD8" t="inlineStr">
        <is>
          <t>Disability benefits included on line 11400</t>
        </is>
      </c>
      <c r="CFE8" t="inlineStr">
        <is>
          <t>Gain (or loss) from disposition of bonds, debentures, promissory notes, and other similar properties Proceeds from disposition of other mortgage foreclosures and conditional sales repossessions</t>
        </is>
      </c>
      <c r="CFF8" t="inlineStr">
        <is>
          <t>Proceeds from disposition of other mortgage foreclosures and conditional sales repossessions</t>
        </is>
      </c>
      <c r="CFG8" t="inlineStr">
        <is>
          <t>Gain (or loss) from disposition of other mortgage foreclosures and conditional sales repossessions</t>
        </is>
      </c>
      <c r="CFH8" t="inlineStr">
        <is>
          <t>Total support payments received</t>
        </is>
      </c>
      <c r="CFI8" t="inlineStr">
        <is>
          <t>Gain from disposition of personal-use property</t>
        </is>
      </c>
      <c r="CFJ8" t="inlineStr">
        <is>
          <t>Net gain from disposition of listed personal property Capital gains deferral from qualifying dispositions of eligible small business corporation shares</t>
        </is>
      </c>
      <c r="CFK8" t="inlineStr">
        <is>
          <t>Gross rental income</t>
        </is>
      </c>
      <c r="CFL8" t="inlineStr">
        <is>
          <t>Capital gains deferral from qualifying dispositions of eligible small business corporation shares</t>
        </is>
      </c>
      <c r="CFM8" t="inlineStr">
        <is>
          <t>Gross business income</t>
        </is>
      </c>
      <c r="CFN8" t="inlineStr">
        <is>
          <t>Gross professional income</t>
        </is>
      </c>
      <c r="CFO8" t="inlineStr">
        <is>
          <t>Gross commission income</t>
        </is>
      </c>
      <c r="CFP8" t="inlineStr">
        <is>
          <t>Gross farming income</t>
        </is>
      </c>
      <c r="CFQ8" t="inlineStr">
        <is>
          <t>Gross fishing income</t>
        </is>
      </c>
      <c r="CFR8" t="inlineStr">
        <is>
          <t>T5, T5013, and T4PS information slips – Capital gains (or losses)</t>
        </is>
      </c>
      <c r="CFS8" t="inlineStr">
        <is>
          <t>T3 information slips – Capital gains (or losses)</t>
        </is>
      </c>
      <c r="CFT8" t="inlineStr">
        <is>
          <t>Capital loss from a reduction in the business investment loss</t>
        </is>
      </c>
      <c r="CFU8" t="inlineStr">
        <is>
          <t>Principal residence designation</t>
        </is>
      </c>
      <c r="CFV8" t="inlineStr">
        <is>
          <t>Taxable amount of dividends other than eligible dividends, included on line 12000, from taxable Canadian corporations</t>
        </is>
      </c>
      <c r="CFW8" t="inlineStr">
        <is>
          <t>UCCB amount designated to a dependant</t>
        </is>
      </c>
      <c r="CFX8" t="inlineStr">
        <is>
          <t>Pooled registered pension plan (PRPP) employer contributions</t>
        </is>
      </c>
      <c r="CFY8" t="inlineStr">
        <is>
          <t>Pension adjustment</t>
        </is>
      </c>
      <c r="CFZ8" t="inlineStr">
        <is>
          <t>Registered pension plan deduction</t>
        </is>
      </c>
      <c r="CGA8" t="inlineStr">
        <is>
          <t>RRSP deduction</t>
        </is>
      </c>
      <c r="CGB8" t="inlineStr">
        <is>
          <t>Deduction for elected split-pension amount</t>
        </is>
      </c>
      <c r="CGC8" t="inlineStr">
        <is>
          <t>Annual union, professional, or like dues</t>
        </is>
      </c>
      <c r="CGD8" t="inlineStr">
        <is>
          <t>Universal child care benefit repayment</t>
        </is>
      </c>
      <c r="CGE8" t="inlineStr">
        <is>
          <t>Child care expenses</t>
        </is>
      </c>
      <c r="CGF8" t="inlineStr">
        <is>
          <t>Disability supports deduction</t>
        </is>
      </c>
      <c r="CGG8" t="inlineStr">
        <is>
          <t>Allowable business investment loss deduction</t>
        </is>
      </c>
      <c r="CGH8" t="inlineStr">
        <is>
          <t>Moving expenses</t>
        </is>
      </c>
      <c r="CGI8" t="inlineStr">
        <is>
          <t>Allowable deduction for support payments made</t>
        </is>
      </c>
      <c r="CGJ8" t="inlineStr">
        <is>
          <t>Carrying charges and interest expenses</t>
        </is>
      </c>
      <c r="CGK8" t="inlineStr">
        <is>
          <t>Deduction for CPP or QPP contributions on self-employment and other earnings</t>
        </is>
      </c>
      <c r="CGL8" t="inlineStr">
        <is>
          <t>Deduction for PPIP premiums on self-employment income</t>
        </is>
      </c>
      <c r="CGM8" t="inlineStr">
        <is>
          <t>Exploration and development expenses</t>
        </is>
      </c>
      <c r="CGN8" t="inlineStr">
        <is>
          <t>Gross business investment loss</t>
        </is>
      </c>
      <c r="CGO8" t="inlineStr">
        <is>
          <t>Other employment expenses</t>
        </is>
      </c>
      <c r="CGP8" t="inlineStr">
        <is>
          <t>Total support payments made</t>
        </is>
      </c>
      <c r="CGQ8" t="inlineStr">
        <is>
          <t>Clergy residence deduction</t>
        </is>
      </c>
      <c r="CGR8" t="inlineStr">
        <is>
          <t>Other deductions</t>
        </is>
      </c>
      <c r="CGS8" t="inlineStr">
        <is>
          <t>Social benefits repayment</t>
        </is>
      </c>
      <c r="CGT8" t="inlineStr">
        <is>
          <t>Net income</t>
        </is>
      </c>
      <c r="CGU8" t="inlineStr">
        <is>
          <t>Transfers to an RRSP/PRPP/SPP</t>
        </is>
      </c>
      <c r="CGV8" t="inlineStr">
        <is>
          <t>Canadian Forces personnel and police deduction</t>
        </is>
      </c>
      <c r="CGW8" t="inlineStr">
        <is>
          <t>Total RRSP, SPP, and PRPP contributions from March 2, 2019 to March 2, 2020</t>
        </is>
      </c>
      <c r="CGX8" t="inlineStr">
        <is>
          <t>Contributions designated as a repayment under the Home Buyers’ Plan</t>
        </is>
      </c>
      <c r="CGY8" t="inlineStr">
        <is>
          <t>Current year withdrawals for the HBP on T4RSP slips</t>
        </is>
      </c>
      <c r="CGZ8" t="inlineStr">
        <is>
          <t>Security options deductions</t>
        </is>
      </c>
      <c r="CHA8" t="inlineStr">
        <is>
          <t>Other payments deduction</t>
        </is>
      </c>
      <c r="CHB8" t="inlineStr">
        <is>
          <t>Limited partnership losses of other years</t>
        </is>
      </c>
      <c r="CHC8" t="inlineStr">
        <is>
          <t>Non-capital losses of other years</t>
        </is>
      </c>
      <c r="CHD8" t="inlineStr">
        <is>
          <t>Net capital losses of other years</t>
        </is>
      </c>
      <c r="CHE8" t="inlineStr">
        <is>
          <t>Capital gains deduction</t>
        </is>
      </c>
      <c r="CHF8" t="inlineStr">
        <is>
          <t>Northern residents deductions</t>
        </is>
      </c>
      <c r="CHG8" t="inlineStr">
        <is>
          <t>Additional deductions</t>
        </is>
      </c>
      <c r="CHH8" t="inlineStr">
        <is>
          <t>Address of home purchased under the HBP is the same as on page 1 of return</t>
        </is>
      </c>
      <c r="CHI8" t="inlineStr">
        <is>
          <t>Taxable income</t>
        </is>
      </c>
      <c r="CHJ8" t="inlineStr">
        <is>
          <t>Contributions designated as a repayment under the Lifelong Learning Plan</t>
        </is>
      </c>
      <c r="CHK8" t="inlineStr">
        <is>
          <t>Current year withdrawals for the LLP on T4RSP slips</t>
        </is>
      </c>
      <c r="CHL8" t="inlineStr">
        <is>
          <t>Designation of the spouse or common-law partner as the student for whom the funds were withdrawn under the LLP</t>
        </is>
      </c>
      <c r="CHM8" t="inlineStr">
        <is>
          <t>Foreign property held in the current tax year with a total cost of more than CAN$100,000</t>
        </is>
      </c>
      <c r="CHN8" t="inlineStr">
        <is>
          <t>Current year contributions to an amateur athlete trust</t>
        </is>
      </c>
      <c r="CHO8" t="inlineStr">
        <is>
          <t>Basic personal amount</t>
        </is>
      </c>
      <c r="CHP8" t="inlineStr">
        <is>
          <t>Age amount</t>
        </is>
      </c>
      <c r="CHQ8" t="inlineStr">
        <is>
          <t>Spouse or common-law partner amount</t>
        </is>
      </c>
      <c r="CHR8" t="inlineStr">
        <is>
          <t>Canada caregiver amount for spouse or common-law partner, or eligible dependant age 18 or older</t>
        </is>
      </c>
      <c r="CHS8" t="inlineStr">
        <is>
          <t>Amount for an eligible dependant</t>
        </is>
      </c>
      <c r="CHT8" t="inlineStr">
        <is>
          <t>Canada caregiver amount for other infirm dependants age 18 or older</t>
        </is>
      </c>
      <c r="CHU8" t="inlineStr">
        <is>
          <t>CPP contributions</t>
        </is>
      </c>
      <c r="CHV8" t="inlineStr">
        <is>
          <t>CPP contributions on self-employment and other earnings</t>
        </is>
      </c>
      <c r="CHW8" t="inlineStr">
        <is>
          <t>Employment insurance premiums</t>
        </is>
      </c>
      <c r="CHX8" t="inlineStr">
        <is>
          <t>Adoption expenses</t>
        </is>
      </c>
      <c r="CHY8" t="inlineStr">
        <is>
          <t>Pension income amount</t>
        </is>
      </c>
      <c r="CHZ8" t="inlineStr">
        <is>
          <t>Disability amount (for self)</t>
        </is>
      </c>
      <c r="CIA8" t="inlineStr">
        <is>
          <t>Employment insurance premiums on self-employment and other eligible earnings</t>
        </is>
      </c>
      <c r="CIB8" t="inlineStr">
        <is>
          <t>Disability amount transferred from a dependant Interest paid on your student loans</t>
        </is>
      </c>
      <c r="CIC8" t="inlineStr">
        <is>
          <t>Interest paid on your student loans</t>
        </is>
      </c>
      <c r="CID8" t="inlineStr">
        <is>
          <t>Eligible tuition fees paid to Canadian educational institutions for the current tax year</t>
        </is>
      </c>
      <c r="CIE8" t="inlineStr">
        <is>
          <t>Your tuition, education, and textbook amounts</t>
        </is>
      </c>
      <c r="CIF8" t="inlineStr">
        <is>
          <t>Tuition amount transferred from a child</t>
        </is>
      </c>
      <c r="CIG8" t="inlineStr">
        <is>
          <t>Number of months enrolled as a part-time student</t>
        </is>
      </c>
      <c r="CIH8" t="inlineStr">
        <is>
          <t>Amounts transferred from your spouse or common-law partner</t>
        </is>
      </c>
      <c r="CII8" t="inlineStr">
        <is>
          <t>Federal tuition amount transferred</t>
        </is>
      </c>
      <c r="CIJ8" t="inlineStr">
        <is>
          <t>Number of months enrolled as a full-time student</t>
        </is>
      </c>
      <c r="CIK8" t="inlineStr">
        <is>
          <t>Donations made to government bodies</t>
        </is>
      </c>
      <c r="CIL8" t="inlineStr">
        <is>
          <t>Medical expenses for self, spouse or common-law partner, and dependent children under 18 years of age</t>
        </is>
      </c>
      <c r="CIM8" t="inlineStr">
        <is>
          <t>Allowable amount of medical expenses for other dependants</t>
        </is>
      </c>
      <c r="CIN8" t="inlineStr">
        <is>
          <t>Allowable amount of medical expenses</t>
        </is>
      </c>
      <c r="CIO8" t="inlineStr">
        <is>
          <t>Donations made to registered universities outside Canada</t>
        </is>
      </c>
      <c r="CIP8" t="inlineStr">
        <is>
          <t>Donations made to the United Nations, its agencies, and certain registered foreign charitable organizations</t>
        </is>
      </c>
      <c r="CIQ8" t="inlineStr">
        <is>
          <t>Gifts of depreciable property</t>
        </is>
      </c>
      <c r="CIR8" t="inlineStr">
        <is>
          <t>Non-refundable tax credits before donations and gifts</t>
        </is>
      </c>
      <c r="CIS8" t="inlineStr">
        <is>
          <t>Gifts of capital property</t>
        </is>
      </c>
      <c r="CIT8" t="inlineStr">
        <is>
          <t>Allowable charitable donations</t>
        </is>
      </c>
      <c r="CIU8" t="inlineStr">
        <is>
          <t>Eligible amount of cultural and ecological gifts</t>
        </is>
      </c>
      <c r="CIV8" t="inlineStr">
        <is>
          <t>Not enrolled full-time due to effects of impairment Number of months enrolled as a part-time student Number of months enrolled as a full-time student</t>
        </is>
      </c>
      <c r="CIW8" t="inlineStr">
        <is>
          <t>Donations and gifts</t>
        </is>
      </c>
      <c r="CIX8" t="inlineStr">
        <is>
          <t>Total federal non-refundable tax credits</t>
        </is>
      </c>
      <c r="CIY8" t="inlineStr">
        <is>
          <t>Spouse’s or common-law partner’s adjusted taxable income</t>
        </is>
      </c>
      <c r="CIZ8" t="inlineStr">
        <is>
          <t>Number of children for whom you are claiming the Canada caregiver amount for infirm children under 18 years of age</t>
        </is>
      </c>
      <c r="CJA8" t="inlineStr">
        <is>
          <t>Spouse’s or common-law partner’s age amount</t>
        </is>
      </c>
      <c r="CJB8" t="inlineStr">
        <is>
          <t>Total of donations made before 2016</t>
        </is>
      </c>
      <c r="CJC8" t="inlineStr">
        <is>
          <t>Spouse’s or common-law partner’s pension income amount</t>
        </is>
      </c>
      <c r="CJD8" t="inlineStr">
        <is>
          <t>Spouse’s or common-law partner’s disability amount</t>
        </is>
      </c>
      <c r="CJE8" t="inlineStr">
        <is>
          <t>Tuition amount designated by your spouse or common-law partner</t>
        </is>
      </c>
      <c r="CJF8" t="inlineStr">
        <is>
          <t>Spouse’s or common-law partner’s Canada caregiver amount for infirm children under 18 years of age</t>
        </is>
      </c>
      <c r="CJG8" t="inlineStr">
        <is>
          <t>Volunteer firefighters’ amount</t>
        </is>
      </c>
      <c r="CJH8" t="inlineStr">
        <is>
          <t>Canada employment amount Home buyers’ amount</t>
        </is>
      </c>
      <c r="CJI8" t="inlineStr">
        <is>
          <t>Canada caregiver amount for infirm children under 18 years of age</t>
        </is>
      </c>
      <c r="CJJ8" t="inlineStr">
        <is>
          <t>Home buyers’ amount</t>
        </is>
      </c>
      <c r="CJK8" t="inlineStr">
        <is>
          <t>Net business income/Pensionable net self-employment earnings</t>
        </is>
      </c>
      <c r="CJL8" t="inlineStr">
        <is>
          <t>Effective date of the electing to stop contributing to CPP on self-employment earnings</t>
        </is>
      </c>
      <c r="CJM8" t="inlineStr">
        <is>
          <t>Employment earnings not shown on a T4 slip on which you elect to pay additional CPP contributions/Income on which you wish to make optional contributions</t>
        </is>
      </c>
      <c r="CJN8" t="inlineStr">
        <is>
          <t>Effective date to revoke an election made in a prior year to stop contributing to CPP on self-employment earnings</t>
        </is>
      </c>
      <c r="CJO8" t="inlineStr">
        <is>
          <t>PPIP premiums paid</t>
        </is>
      </c>
      <c r="CJP8" t="inlineStr">
        <is>
          <t>PPIP premiums payable on employment income</t>
        </is>
      </c>
      <c r="CJQ8" t="inlineStr">
        <is>
          <t>PPIP premiums payable on self-employment income</t>
        </is>
      </c>
      <c r="CJR8" t="inlineStr">
        <is>
          <t>Do you have an eligible dependant?</t>
        </is>
      </c>
      <c r="CJS8" t="inlineStr">
        <is>
          <t>Do you have an eligible spouse?</t>
        </is>
      </c>
      <c r="CJT8" t="inlineStr">
        <is>
          <t>Eligible spouse’s taxable part of scholarship and grant income</t>
        </is>
      </c>
      <c r="CJU8" t="inlineStr">
        <is>
          <t>Eligible spouse’s tax-exempt part of working income earned on a reserve or an allowance received as an emergency volunteer</t>
        </is>
      </c>
      <c r="CJV8" t="inlineStr">
        <is>
          <t>Eligible spouse’s working income</t>
        </is>
      </c>
      <c r="CJW8" t="inlineStr">
        <is>
          <t>Eligible spouse’s tax-exempt part of all income earned or received on a reserve less the deductions related to that income or an allowance received as an emergency volunteer</t>
        </is>
      </c>
      <c r="CJX8" t="inlineStr">
        <is>
          <t>Eligible spouse’s adjusted net income</t>
        </is>
      </c>
      <c r="CJY8" t="inlineStr">
        <is>
          <t>Are you eligible for the CWB/WITB?</t>
        </is>
      </c>
      <c r="CJZ8" t="inlineStr">
        <is>
          <t>Are you eligible for the disability tax credit?</t>
        </is>
      </c>
      <c r="CKA8" t="inlineStr">
        <is>
          <t>Is your eligible spouse eligible for the disability tax credit for themselves?</t>
        </is>
      </c>
      <c r="CKB8" t="inlineStr">
        <is>
          <t>Search and rescue volunteers’ amount</t>
        </is>
      </c>
      <c r="CKC8" t="inlineStr">
        <is>
          <t>Home accessibility expenses</t>
        </is>
      </c>
      <c r="CKD8" t="inlineStr">
        <is>
          <t>Employment earnings shown on a T4 slip on which you elect to pay additional CPP contributions</t>
        </is>
      </c>
      <c r="CKE8" t="inlineStr">
        <is>
          <t>Federal tax</t>
        </is>
      </c>
      <c r="CKF8" t="inlineStr">
        <is>
          <t>Total federal political contributions</t>
        </is>
      </c>
      <c r="CKG8" t="inlineStr">
        <is>
          <t>Federal political contribution tax credit</t>
        </is>
      </c>
      <c r="CKH8" t="inlineStr">
        <is>
          <t>Investment tax credit</t>
        </is>
      </c>
      <c r="CKI8" t="inlineStr">
        <is>
          <t>Labour-sponsored funds tax credit – Net cost</t>
        </is>
      </c>
      <c r="CKJ8" t="inlineStr">
        <is>
          <t>Labour-sponsored funds tax credit – Allowable credit</t>
        </is>
      </c>
      <c r="CKK8" t="inlineStr">
        <is>
          <t>Canada workers benefit advance payments received</t>
        </is>
      </c>
      <c r="CKL8" t="inlineStr">
        <is>
          <t>Net federal tax before inclusion of CWB advance payments and special taxes</t>
        </is>
      </c>
      <c r="CKM8" t="inlineStr">
        <is>
          <t>Special taxes</t>
        </is>
      </c>
      <c r="CKN8" t="inlineStr">
        <is>
          <t>Net Federal Tax</t>
        </is>
      </c>
      <c r="CKO8" t="inlineStr">
        <is>
          <t>Federal tax on split income</t>
        </is>
      </c>
      <c r="CKP8" t="inlineStr">
        <is>
          <t>Federal dividend tax credit</t>
        </is>
      </c>
      <c r="CKQ8" t="inlineStr">
        <is>
          <t>Minimum tax carry-over</t>
        </is>
      </c>
      <c r="CKR8" t="inlineStr">
        <is>
          <t>Provincial or territorial tax</t>
        </is>
      </c>
      <c r="CKS8" t="inlineStr">
        <is>
          <t>Non-business income tax paid to a foreign country</t>
        </is>
      </c>
      <c r="CKT8" t="inlineStr">
        <is>
          <t>Yukon First Nations tax</t>
        </is>
      </c>
      <c r="CKU8" t="inlineStr">
        <is>
          <t>Net foreign non-business income</t>
        </is>
      </c>
      <c r="CKV8" t="inlineStr">
        <is>
          <t>Business income tax paid to a foreign country</t>
        </is>
      </c>
      <c r="CKW8" t="inlineStr">
        <is>
          <t>Total payable</t>
        </is>
      </c>
      <c r="CKX8" t="inlineStr">
        <is>
          <t>Total income tax deducted</t>
        </is>
      </c>
      <c r="CKY8" t="inlineStr">
        <is>
          <t>Tax transfer for residents of Quebec</t>
        </is>
      </c>
      <c r="CKZ8" t="inlineStr">
        <is>
          <t>Net foreign business income</t>
        </is>
      </c>
      <c r="CLA8" t="inlineStr">
        <is>
          <t>Refundable Quebec abatement</t>
        </is>
      </c>
      <c r="CLB8" t="inlineStr">
        <is>
          <t>Federal refundable First Nations abatement</t>
        </is>
      </c>
      <c r="CLC8" t="inlineStr">
        <is>
          <t>CPP overpayment</t>
        </is>
      </c>
      <c r="CLD8" t="inlineStr">
        <is>
          <t>Climate action incentive</t>
        </is>
      </c>
      <c r="CLE8" t="inlineStr">
        <is>
          <t>Employment insurance overpayment</t>
        </is>
      </c>
      <c r="CLF8" t="inlineStr">
        <is>
          <t>Refundable medical expense supplement</t>
        </is>
      </c>
      <c r="CLG8" t="inlineStr">
        <is>
          <t>Canada workers benefit (Working income tax benefit)</t>
        </is>
      </c>
      <c r="CLH8" t="inlineStr">
        <is>
          <t>Refund of investment tax credit</t>
        </is>
      </c>
      <c r="CLI8" t="inlineStr">
        <is>
          <t>Part XII.2 trust tax credit</t>
        </is>
      </c>
      <c r="CLJ8" t="inlineStr">
        <is>
          <t>Employee and partner GST/HST rebate</t>
        </is>
      </c>
      <c r="CLK8" t="inlineStr">
        <is>
          <t>Direct deposit – Branch number</t>
        </is>
      </c>
      <c r="CLL8" t="inlineStr">
        <is>
          <t>Direct deposit – Institution number</t>
        </is>
      </c>
      <c r="CLM8" t="inlineStr">
        <is>
          <t>Direct deposit – Account number</t>
        </is>
      </c>
      <c r="CLN8" t="inlineStr">
        <is>
          <t>Donation to the Ontario opportunities fund</t>
        </is>
      </c>
      <c r="CLO8" t="inlineStr">
        <is>
          <t>Net refund</t>
        </is>
      </c>
      <c r="CLP8" t="inlineStr">
        <is>
          <t>Supplies expenses for eligible educator school supply tax credit</t>
        </is>
      </c>
      <c r="CLQ8" t="inlineStr">
        <is>
          <t>Eligible educator school supply tax credit</t>
        </is>
      </c>
      <c r="CLR8" t="inlineStr">
        <is>
          <t>Tax paid by instalments</t>
        </is>
      </c>
      <c r="CLS8" t="inlineStr">
        <is>
          <t>Provincial or territorial credits</t>
        </is>
      </c>
      <c r="CLT8" t="inlineStr">
        <is>
          <t>Refund</t>
        </is>
      </c>
      <c r="CLU8" t="inlineStr">
        <is>
          <t>Balance owing</t>
        </is>
      </c>
      <c r="CLV8" t="inlineStr">
        <is>
          <t>Amount enclosed</t>
        </is>
      </c>
      <c r="CLW8" t="inlineStr">
        <is>
          <t>Volunteer program</t>
        </is>
      </c>
      <c r="CLX8" t="inlineStr">
        <is>
          <t>Refund transfer</t>
        </is>
      </c>
      <c r="CLY8" t="inlineStr">
        <is>
          <t>Tax preparer code</t>
        </is>
      </c>
      <c r="CLZ8" t="inlineStr">
        <is>
          <t>EI and PPIP premiums (non-Quebec return)</t>
        </is>
      </c>
      <c r="CMA8" t="inlineStr">
        <is>
          <t>Total PPIP premiums</t>
        </is>
      </c>
      <c r="CMB8" t="inlineStr">
        <is>
          <t>Total EI premiums</t>
        </is>
      </c>
      <c r="CMC8" t="inlineStr">
        <is>
          <t>PPIP indicator</t>
        </is>
      </c>
      <c r="CMD8" t="inlineStr">
        <is>
          <t>QPP contributions</t>
        </is>
      </c>
      <c r="CME8" t="inlineStr">
        <is>
          <t>QPP contributions on self-employment and other earnings</t>
        </is>
      </c>
      <c r="CMF8" t="inlineStr">
        <is>
          <t>Actual total contributions on QPP pensionable earnings</t>
        </is>
      </c>
      <c r="CMG8" t="inlineStr">
        <is>
          <t>Actual total contributions on CPP pensionable earnings</t>
        </is>
      </c>
      <c r="CMH8" t="inlineStr">
        <is>
          <t>Capital gains at 100%</t>
        </is>
      </c>
      <c r="CMI8" t="inlineStr">
        <is>
          <t>Dependant’s net income (line 23600 of his or her return)</t>
        </is>
      </c>
      <c r="CMJ8" t="inlineStr">
        <is>
          <t>Canada caregiver amount for spouse or common-law partner</t>
        </is>
      </c>
      <c r="CMK8" t="inlineStr">
        <is>
          <t>Canada caregiver amount for a dependant (other than an infirm child under 18 year of age)</t>
        </is>
      </c>
      <c r="CML8" t="inlineStr">
        <is>
          <t>Total number of dependants</t>
        </is>
      </c>
      <c r="CMM8" t="inlineStr">
        <is>
          <t>Number of full weeks in attendance at a designated educational institution or secondary school</t>
        </is>
      </c>
      <c r="CMN8" t="inlineStr">
        <is>
          <t>Earnings for services performed in Canada on which the foreign social security contributions were made</t>
        </is>
      </c>
      <c r="CMO8" t="inlineStr">
        <is>
          <t>Amount contributed to a foreign social security arrangement</t>
        </is>
      </c>
      <c r="CMP8" t="inlineStr">
        <is>
          <t>Allowable non-refundable tax credit for contributions to a foreign social security arrangement</t>
        </is>
      </c>
      <c r="CMQ8" t="inlineStr">
        <is>
          <t>Contributions to a foreign employer-sponsored pension plan</t>
        </is>
      </c>
      <c r="CMR8" t="inlineStr">
        <is>
          <t>Resident compensation from employment services</t>
        </is>
      </c>
      <c r="CMS8" t="inlineStr">
        <is>
          <t>Pension adjustment from a U.S. retirement plan/Prescribed amount from a U.S. retirement plan/Pension adjustment from a foreign employer-sponsored pension plan</t>
        </is>
      </c>
      <c r="CMT8" t="inlineStr">
        <is>
          <t>Contributions to a U.S. retirement plan</t>
        </is>
      </c>
      <c r="CMU8" t="inlineStr">
        <is>
          <t>Contributions to a U.S. retirement plan</t>
        </is>
      </c>
      <c r="CMV8" t="inlineStr">
        <is>
          <t>Spouse’s or common-law partner’s capital gains from mortgage foreclosures and conditional sales repossessions</t>
        </is>
      </c>
      <c r="CMW8" t="inlineStr">
        <is>
          <t>Spouse’s or common-law partner’s net-income while the taxpayer is living in Canada</t>
        </is>
      </c>
      <c r="CMX8" t="inlineStr">
        <is>
          <t>Spouse’s or common-law partner’s net-income while the taxpayer is living outside of Canada</t>
        </is>
      </c>
      <c r="CMY8" t="inlineStr">
        <is>
          <t>Net foreign non-business income from the first foreign country</t>
        </is>
      </c>
      <c r="CMZ8" t="inlineStr">
        <is>
          <t>Net foreign non-business income from the second foreign country</t>
        </is>
      </c>
      <c r="CNA8" t="inlineStr">
        <is>
          <t>Net foreign non-business income from the third foreign country</t>
        </is>
      </c>
      <c r="CNB8" t="inlineStr">
        <is>
          <t>Business income tax paid to the first foreign country</t>
        </is>
      </c>
      <c r="CNC8" t="inlineStr">
        <is>
          <t>Non-business income tax paid to first foreign country</t>
        </is>
      </c>
      <c r="CND8" t="inlineStr">
        <is>
          <t>Non-business income tax paid to second foreign country</t>
        </is>
      </c>
      <c r="CNE8" t="inlineStr">
        <is>
          <t>Non-business income tax paid to third foreign country</t>
        </is>
      </c>
      <c r="CNF8" t="inlineStr">
        <is>
          <t>Net business income from the first foreign country</t>
        </is>
      </c>
      <c r="CNG8" t="inlineStr">
        <is>
          <t>Net business income from the second foreign country</t>
        </is>
      </c>
      <c r="CNH8" t="inlineStr">
        <is>
          <t>Net business income from the third foreign country</t>
        </is>
      </c>
      <c r="CNI8" t="inlineStr">
        <is>
          <t>Business income tax paid to the second foreign country</t>
        </is>
      </c>
      <c r="CNJ8" t="inlineStr">
        <is>
          <t>Business income tax paid to the third foreign country</t>
        </is>
      </c>
      <c r="CNK8" t="inlineStr">
        <is>
          <t>Vow of perpetual poverty</t>
        </is>
      </c>
      <c r="CNL8" t="inlineStr">
        <is>
          <t>Canadian sourced non-resident income, excluding the income subject to Part XIII tax</t>
        </is>
      </c>
      <c r="CNM8" t="inlineStr">
        <is>
          <t>Canadian sourced non-resident income subject to Part XIII tax plus foreign sourced non-resident income</t>
        </is>
      </c>
      <c r="CNN8" t="inlineStr">
        <is>
          <t>BC logging tax paid</t>
        </is>
      </c>
      <c r="CNO8" t="inlineStr">
        <is>
          <t>QC logging tax paid</t>
        </is>
      </c>
      <c r="CNP8" t="inlineStr">
        <is>
          <t>Total QPP pensionable earnings</t>
        </is>
      </c>
      <c r="CNQ8" t="inlineStr">
        <is>
          <t>Total CPP pensionable earnings</t>
        </is>
      </c>
      <c r="CNR8" t="inlineStr">
        <is>
          <t>Indicator for filing due date for tax shelter, or inactive or active business income</t>
        </is>
      </c>
      <c r="CNS8" t="inlineStr">
        <is>
          <t>BC logging income</t>
        </is>
      </c>
      <c r="CNT8" t="inlineStr">
        <is>
          <t>CCA on certified film property</t>
        </is>
      </c>
      <c r="CNU8" t="inlineStr">
        <is>
          <t>Ineligible pension income</t>
        </is>
      </c>
      <c r="CNV8" t="inlineStr">
        <is>
          <t>Income with tax withheld supported by information slips</t>
        </is>
      </c>
      <c r="CNW8" t="inlineStr">
        <is>
          <t>T4 earning reduction</t>
        </is>
      </c>
      <c r="CNX8" t="inlineStr">
        <is>
          <t>Quebec tax deducted (from slips in the taxpayer's name)</t>
        </is>
      </c>
      <c r="CNY8" t="inlineStr">
        <is>
          <t>Income on which Quebec tax was withheld (from slips in the taxpayer's name)</t>
        </is>
      </c>
      <c r="CNZ8" t="inlineStr">
        <is>
          <t>Amount of OAS pension repaid</t>
        </is>
      </c>
      <c r="COA8" t="inlineStr">
        <is>
          <t>Limited partnership loss carryforward from 1986 and 1987</t>
        </is>
      </c>
      <c r="COB8" t="inlineStr">
        <is>
          <t>Limited partnership loss available for carryforward</t>
        </is>
      </c>
      <c r="COC8" t="inlineStr">
        <is>
          <t>Amount of self-employment net earnings reported at self-employed lines in relation to T4 self-employment on which EI premiums through employment were deducted</t>
        </is>
      </c>
      <c r="COD8" t="inlineStr">
        <is>
          <t>Shareholder's loan repayment</t>
        </is>
      </c>
      <c r="COE8" t="inlineStr">
        <is>
          <t>QC logging income</t>
        </is>
      </c>
      <c r="COF8" t="inlineStr">
        <is>
          <t>Spouse's or common-law partner's total split income</t>
        </is>
      </c>
      <c r="COG8" t="inlineStr">
        <is>
          <t>CWB income from other returns</t>
        </is>
      </c>
      <c r="COH8" t="inlineStr">
        <is>
          <t>Net business income (amount from line 27 of Schedule L of the Quebec provincial income tax return)</t>
        </is>
      </c>
      <c r="COI8" t="inlineStr">
        <is>
          <t>Employment income where the province or territory of employment is other than Quebec</t>
        </is>
      </c>
      <c r="COJ8" t="inlineStr">
        <is>
          <t>PPIP insurable earnings</t>
        </is>
      </c>
      <c r="COK8" t="inlineStr">
        <is>
          <t>Shareholder earnings</t>
        </is>
      </c>
      <c r="COL8" t="inlineStr">
        <is>
          <t>Tax-exempt self-employment income earned by a status indian</t>
        </is>
      </c>
      <c r="COM8" t="inlineStr">
        <is>
          <t>Taxable income from the post-bankruptcy period</t>
        </is>
      </c>
      <c r="CON8" t="inlineStr">
        <is>
          <t>EI insurable earnings</t>
        </is>
      </c>
      <c r="COO8" t="inlineStr">
        <is>
          <t>EI and other benefits repaid</t>
        </is>
      </c>
      <c r="COP8" t="inlineStr">
        <is>
          <t>Farm/fish loss</t>
        </is>
      </c>
      <c r="COQ8" t="inlineStr">
        <is>
          <t>Total section 31 farm loss</t>
        </is>
      </c>
      <c r="COR8" t="inlineStr">
        <is>
          <t>Restricted farm loss</t>
        </is>
      </c>
      <c r="COS8" t="inlineStr">
        <is>
          <t>RRSP earned income calculation</t>
        </is>
      </c>
      <c r="COT8" t="inlineStr">
        <is>
          <t>Home Buyers' Plan (HBP) participant repayment amount</t>
        </is>
      </c>
      <c r="COU8" t="inlineStr">
        <is>
          <t>Lifelong Learning Plan (LLP) participant repayment amount</t>
        </is>
      </c>
      <c r="COV8" t="inlineStr">
        <is>
          <t>Indicator for marital status change</t>
        </is>
      </c>
      <c r="COW8" t="inlineStr">
        <is>
          <t>Spousal indicator</t>
        </is>
      </c>
      <c r="COX8" t="inlineStr">
        <is>
          <t>Marital status change indicator for the amount for an eligible dependant</t>
        </is>
      </c>
      <c r="COY8" t="inlineStr">
        <is>
          <t>Earned income adjustment amount</t>
        </is>
      </c>
      <c r="COZ8" t="inlineStr">
        <is>
          <t>Net self-employment income (loss) adjustment amount</t>
        </is>
      </c>
      <c r="CPA8" t="inlineStr">
        <is>
          <t>RDSP repayment by taxpayer</t>
        </is>
      </c>
      <c r="CPB8" t="inlineStr">
        <is>
          <t>RDSP income of spouse or common-law partner</t>
        </is>
      </c>
      <c r="CPC8" t="inlineStr">
        <is>
          <t>RDSP repayment by spouse or common-law partner</t>
        </is>
      </c>
      <c r="CPD8" t="inlineStr">
        <is>
          <t>Number of months of retirement</t>
        </is>
      </c>
      <c r="CPE8" t="inlineStr">
        <is>
          <t>Number of months of disability</t>
        </is>
      </c>
      <c r="CPF8" t="inlineStr">
        <is>
          <t>CPP/QPP retirement benefits</t>
        </is>
      </c>
      <c r="CPG8" t="inlineStr">
        <is>
          <t>Basic personal amount</t>
        </is>
      </c>
      <c r="CPH8" t="inlineStr">
        <is>
          <t>Age amount</t>
        </is>
      </c>
      <c r="CPI8" t="inlineStr">
        <is>
          <t>Spousal or common-law law partner amount</t>
        </is>
      </c>
      <c r="CPJ8" t="inlineStr">
        <is>
          <t>Amount for an eligible dependant</t>
        </is>
      </c>
      <c r="CPK8" t="inlineStr">
        <is>
          <t>Caregiver amount for spouse or common-law partner, or eligible dependant age 18 or older</t>
        </is>
      </c>
      <c r="CPL8" t="inlineStr">
        <is>
          <t>British Columbia caregiver amount</t>
        </is>
      </c>
      <c r="CPM8" t="inlineStr">
        <is>
          <t>Caregiver amount for infirm dependants age 18 or older</t>
        </is>
      </c>
      <c r="CPN8" t="inlineStr">
        <is>
          <t>Ontario caregiver amount</t>
        </is>
      </c>
      <c r="CPO8" t="inlineStr">
        <is>
          <t>Caregiver amount for infirm children under 18 years of age</t>
        </is>
      </c>
      <c r="CPP8" t="inlineStr">
        <is>
          <t>Amount for infirm dependants age 18 or older</t>
        </is>
      </c>
      <c r="CPQ8" t="inlineStr">
        <is>
          <t>Number of children</t>
        </is>
      </c>
      <c r="CPR8" t="inlineStr">
        <is>
          <t>Amount for dependent children age 18 or younger</t>
        </is>
      </c>
      <c r="CPS8" t="inlineStr">
        <is>
          <t>Senior supplementary amount</t>
        </is>
      </c>
      <c r="CPT8" t="inlineStr">
        <is>
          <t>Number of months being claimed for all qualifying children</t>
        </is>
      </c>
      <c r="CPU8" t="inlineStr">
        <is>
          <t>Amount for young children</t>
        </is>
      </c>
      <c r="CPV8" t="inlineStr">
        <is>
          <t>CPP or QPP contributions</t>
        </is>
      </c>
      <c r="CPW8" t="inlineStr">
        <is>
          <t>CPP or QPP contributions on self-employment and other earnings</t>
        </is>
      </c>
      <c r="CPX8" t="inlineStr">
        <is>
          <t>Employment insurance premiums</t>
        </is>
      </c>
      <c r="CPY8" t="inlineStr">
        <is>
          <t>Employment insurance premiums on self-employment and other eligible earnings</t>
        </is>
      </c>
      <c r="CPZ8" t="inlineStr">
        <is>
          <t>Canada employment amount</t>
        </is>
      </c>
      <c r="CQA8" t="inlineStr">
        <is>
          <t>Volunteer firefighters’ amount</t>
        </is>
      </c>
      <c r="CQB8" t="inlineStr">
        <is>
          <t>Search and rescue volunteers’ amount</t>
        </is>
      </c>
      <c r="CQC8" t="inlineStr">
        <is>
          <t>Child care amount</t>
        </is>
      </c>
      <c r="CQD8" t="inlineStr">
        <is>
          <t>Fitness amount</t>
        </is>
      </c>
      <c r="CQE8" t="inlineStr">
        <is>
          <t>Children’s arts amount</t>
        </is>
      </c>
      <c r="CQF8" t="inlineStr">
        <is>
          <t>Adoption expenses</t>
        </is>
      </c>
      <c r="CQG8" t="inlineStr">
        <is>
          <t>First-time home buyers’ amount</t>
        </is>
      </c>
      <c r="CQH8" t="inlineStr">
        <is>
          <t>Pension income amount</t>
        </is>
      </c>
      <c r="CQI8" t="inlineStr">
        <is>
          <t>Caregiver amount</t>
        </is>
      </c>
      <c r="CQJ8" t="inlineStr">
        <is>
          <t>Disability amount (for self)</t>
        </is>
      </c>
      <c r="CQK8" t="inlineStr">
        <is>
          <t>Disability amount transferred from a dependant</t>
        </is>
      </c>
      <c r="CQL8" t="inlineStr">
        <is>
          <t>Teacher school supply amount</t>
        </is>
      </c>
      <c r="CQM8" t="inlineStr">
        <is>
          <t>Interest paid on your student loans</t>
        </is>
      </c>
      <c r="CQN8" t="inlineStr">
        <is>
          <t>Your tuition and education amounts</t>
        </is>
      </c>
      <c r="CQO8" t="inlineStr">
        <is>
          <t>Your unused tuition and education amounts</t>
        </is>
      </c>
      <c r="CQP8" t="inlineStr">
        <is>
          <t>Your tuition, education, and textbook amounts</t>
        </is>
      </c>
      <c r="CQQ8" t="inlineStr">
        <is>
          <t>Tuition and education amounts transferred from a child</t>
        </is>
      </c>
      <c r="CQR8" t="inlineStr">
        <is>
          <t>Tuition amounts transferred from a child NB428</t>
        </is>
      </c>
      <c r="CQS8" t="inlineStr">
        <is>
          <t>Tuition, education, and textbook amounts transferred from a child</t>
        </is>
      </c>
      <c r="CQT8" t="inlineStr">
        <is>
          <t>Amounts transferred from your spouse or common-law partner</t>
        </is>
      </c>
      <c r="CQU8" t="inlineStr">
        <is>
          <t>Medical expenses for self, spouse or common-law partner, and your dependent children under 18 years of age</t>
        </is>
      </c>
      <c r="CQV8" t="inlineStr">
        <is>
          <t>Allowable amount of medical expenses for other dependants</t>
        </is>
      </c>
      <c r="CQW8" t="inlineStr">
        <is>
          <t>Total tax-exempt employment earnings</t>
        </is>
      </c>
      <c r="CQX8" t="inlineStr">
        <is>
          <t>Allowable amount of medical expenses</t>
        </is>
      </c>
      <c r="CQY8" t="inlineStr">
        <is>
          <t>Add lines 58040 to 58640 (and line 61470 for MB) and line 58769</t>
        </is>
      </c>
      <c r="CQZ8" t="inlineStr">
        <is>
          <t>Total tax-exempt self-employment earnings and other tax-exempt earned income</t>
        </is>
      </c>
      <c r="CRA8" t="inlineStr">
        <is>
          <t>Total eligible PRPP contributions from tax-exempt income</t>
        </is>
      </c>
      <c r="CRB8" t="inlineStr">
        <is>
          <t>PRPP contributions from tax-exempt income designated as a repayment under the HBP</t>
        </is>
      </c>
      <c r="CRC8" t="inlineStr">
        <is>
          <t>Provincial or territorial non-refundable tax credits before donations and gifts</t>
        </is>
      </c>
      <c r="CRD8" t="inlineStr">
        <is>
          <t>Non-refundable tax credits before donations and gifts and the farmers’ food donation tax credit</t>
        </is>
      </c>
      <c r="CRE8" t="inlineStr">
        <is>
          <t>Donations and gifts</t>
        </is>
      </c>
      <c r="CRF8" t="inlineStr">
        <is>
          <t>PRPP contributions from tax-exempt income designated as a repayment under the LLP</t>
        </is>
      </c>
      <c r="CRG8" t="inlineStr">
        <is>
          <t>BC farmers’ food donation tax credit</t>
        </is>
      </c>
      <c r="CRH8" t="inlineStr">
        <is>
          <t>Spouse’s or common-law partner’s amount for young children less than 6 years of age</t>
        </is>
      </c>
      <c r="CRI8" t="inlineStr">
        <is>
          <t>Spouse’s or common-law partner’s amount for dependent children age 18 or younger</t>
        </is>
      </c>
      <c r="CRJ8" t="inlineStr">
        <is>
          <t>Spouse’s or common-law partner’s age amount</t>
        </is>
      </c>
      <c r="CRK8" t="inlineStr">
        <is>
          <t>Spouse’s or common-law partner’s senior supplementary amount</t>
        </is>
      </c>
      <c r="CRL8" t="inlineStr">
        <is>
          <t>Spouse’s or common-law partner’s provincial/territorial caregiver amount for infirm children under 18 years of age</t>
        </is>
      </c>
      <c r="CRM8" t="inlineStr">
        <is>
          <t>Spouse’s or common-law partner’s pension income amount</t>
        </is>
      </c>
      <c r="CRN8" t="inlineStr">
        <is>
          <t>Spouse’s or common-law partner’s disability amount</t>
        </is>
      </c>
      <c r="CRO8" t="inlineStr">
        <is>
          <t>Tuition and education amounts designated by your spouse or common-law partner</t>
        </is>
      </c>
      <c r="CRP8" t="inlineStr">
        <is>
          <t>Tuition amounts designated by your spouse or common-law partner</t>
        </is>
      </c>
      <c r="CRQ8" t="inlineStr">
        <is>
          <t>Tuition, education, and textbook amounts designated by your spouse or common-law partner</t>
        </is>
      </c>
      <c r="CRR8" t="inlineStr">
        <is>
          <t>Spouse’s or common-law partner’s adjusted taxable income</t>
        </is>
      </c>
      <c r="CRS8" t="inlineStr">
        <is>
          <t>Eligible tuition fees paid for the current tax year</t>
        </is>
      </c>
      <c r="CRT8" t="inlineStr">
        <is>
          <t>Eligible tuition fees paid for 2017 and 2018</t>
        </is>
      </c>
      <c r="CRU8" t="inlineStr">
        <is>
          <t>Part-time education amount</t>
        </is>
      </c>
      <c r="CRV8" t="inlineStr">
        <is>
          <t>Part-time education and textbook amounts</t>
        </is>
      </c>
      <c r="CRW8" t="inlineStr">
        <is>
          <t>Full-time education amount</t>
        </is>
      </c>
      <c r="CRX8" t="inlineStr">
        <is>
          <t>Full-time education and textbook amounts</t>
        </is>
      </c>
      <c r="CRY8" t="inlineStr">
        <is>
          <t>Provincial amount transferred</t>
        </is>
      </c>
      <c r="CRZ8" t="inlineStr">
        <is>
          <t>Territorial amount transferred</t>
        </is>
      </c>
      <c r="CSA8" t="inlineStr">
        <is>
          <t>Provincial tuition amount transferred</t>
        </is>
      </c>
      <c r="CSB8" t="inlineStr">
        <is>
          <t>Territorial tuition amount transferred</t>
        </is>
      </c>
      <c r="CSC8" t="inlineStr">
        <is>
          <t>Amount for infirm dependants age 18 or older</t>
        </is>
      </c>
      <c r="CSD8" t="inlineStr">
        <is>
          <t>Caregiver amount</t>
        </is>
      </c>
      <c r="CSE8" t="inlineStr">
        <is>
          <t>Disability amount (for self)</t>
        </is>
      </c>
      <c r="CSF8" t="inlineStr">
        <is>
          <t>Disability amount transferred from a dependant</t>
        </is>
      </c>
      <c r="CSG8" t="inlineStr">
        <is>
          <t>Amounts transferred from your spouse or common-law partner</t>
        </is>
      </c>
      <c r="CSH8" t="inlineStr">
        <is>
          <t>Allowable amount of medical expenses for other dependants</t>
        </is>
      </c>
      <c r="CSI8" t="inlineStr">
        <is>
          <t>Disability amount (for self)</t>
        </is>
      </c>
      <c r="CSJ8" t="inlineStr">
        <is>
          <t>Disability amount transferred from a dependant</t>
        </is>
      </c>
      <c r="CSK8" t="inlineStr">
        <is>
          <t>Total provincial amounts designated to you by a student</t>
        </is>
      </c>
      <c r="CSL8" t="inlineStr">
        <is>
          <t>Amounts transferred from your spouse or common-law partner</t>
        </is>
      </c>
      <c r="CSM8" t="inlineStr">
        <is>
          <t>Allowable amount of medical expenses for other dependants</t>
        </is>
      </c>
      <c r="CSN8" t="inlineStr">
        <is>
          <t>Program type from the current tax year</t>
        </is>
      </c>
      <c r="CSO8" t="inlineStr">
        <is>
          <t>Eligible tuition fees paid</t>
        </is>
      </c>
      <c r="CSP8" t="inlineStr">
        <is>
          <t>“Eligibility Maximum” from the current tax year</t>
        </is>
      </c>
      <c r="CSQ8" t="inlineStr">
        <is>
          <t>Program type from the current tax year</t>
        </is>
      </c>
      <c r="CSR8" t="inlineStr">
        <is>
          <t>Eligible tuition fees paid</t>
        </is>
      </c>
      <c r="CSS8" t="inlineStr">
        <is>
          <t>Eligibility Maximum from the current tax year</t>
        </is>
      </c>
      <c r="CST8" t="inlineStr">
        <is>
          <t>Program type from the current tax year</t>
        </is>
      </c>
      <c r="CSU8" t="inlineStr">
        <is>
          <t>Eligible tuition fees paid</t>
        </is>
      </c>
      <c r="CSV8" t="inlineStr">
        <is>
          <t>Eligibility Maximum from the current tax year</t>
        </is>
      </c>
      <c r="CSW8" t="inlineStr">
        <is>
          <t>AB political contributions tax credit</t>
        </is>
      </c>
      <c r="CSX8" t="inlineStr">
        <is>
          <t>Investor tax credit – Current tax year</t>
        </is>
      </c>
      <c r="CSY8" t="inlineStr">
        <is>
          <t>Climate action incentive – Basic amount</t>
        </is>
      </c>
      <c r="CSZ8" t="inlineStr">
        <is>
          <t>Climate action incentive – Amount for an eligible spouse or common-law partner</t>
        </is>
      </c>
      <c r="CTA8" t="inlineStr">
        <is>
          <t>Climate action incentive – Amount for a single parent’s qualified dependant</t>
        </is>
      </c>
      <c r="CTB8" t="inlineStr">
        <is>
          <t>Climate action incentive – Number of qualified dependants</t>
        </is>
      </c>
      <c r="CTC8" t="inlineStr">
        <is>
          <t>Climate action incentive – Do you reside outside of a census metropolitan area on December 31 of the tax year, as defined by Statistics Canada?</t>
        </is>
      </c>
      <c r="CTD8" t="inlineStr">
        <is>
          <t>Basic sales tax credit</t>
        </is>
      </c>
      <c r="CTE8" t="inlineStr">
        <is>
          <t>Additional sales tax credit for spouse or common-law partner</t>
        </is>
      </c>
      <c r="CTF8" t="inlineStr">
        <is>
          <t>Home renovation expenses</t>
        </is>
      </c>
      <c r="CTG8" t="inlineStr">
        <is>
          <t>BC political contribution tax credit</t>
        </is>
      </c>
      <c r="CTH8" t="inlineStr">
        <is>
          <t>Employee share ownership plan tax credit</t>
        </is>
      </c>
      <c r="CTI8" t="inlineStr">
        <is>
          <t>Employee venture capital tax credit</t>
        </is>
      </c>
      <c r="CTJ8" t="inlineStr">
        <is>
          <t>Home renovation expenses for seniors and persons with disabilities</t>
        </is>
      </c>
      <c r="CTK8" t="inlineStr">
        <is>
          <t>Venture capital tax credit – Current tax year</t>
        </is>
      </c>
      <c r="CTL8" t="inlineStr">
        <is>
          <t>Venture capital tax credit – First 60 days subsequent to the current tax year</t>
        </is>
      </c>
      <c r="CTM8" t="inlineStr">
        <is>
          <t>Mining exploration tax credit</t>
        </is>
      </c>
      <c r="CTN8" t="inlineStr">
        <is>
          <t>Mining exploration tax credit allocated from a partnership</t>
        </is>
      </c>
      <c r="CTO8" t="inlineStr">
        <is>
          <t>Training tax credit (Individuals)</t>
        </is>
      </c>
      <c r="CTP8" t="inlineStr">
        <is>
          <t>Training tax credit (Employers)</t>
        </is>
      </c>
      <c r="CTQ8" t="inlineStr">
        <is>
          <t>Shipbuilding and ship repair industry tax credit</t>
        </is>
      </c>
      <c r="CTR8" t="inlineStr">
        <is>
          <t>Age amount for spouse or common-law partner</t>
        </is>
      </c>
      <c r="CTS8" t="inlineStr">
        <is>
          <t>Disability amount for spouse or common-law partner</t>
        </is>
      </c>
      <c r="CTT8" t="inlineStr">
        <is>
          <t>Number of disability claims for self or a dependant other than your spouse or common-law partner</t>
        </is>
      </c>
      <c r="CTU8" t="inlineStr">
        <is>
          <t>Number of disabled dependants 18 years of age or older</t>
        </is>
      </c>
      <c r="CTV8" t="inlineStr">
        <is>
          <t>Number of dependent children 18 years of age or younger</t>
        </is>
      </c>
      <c r="CTW8" t="inlineStr">
        <is>
          <t>Labour-sponsored funds tax credit</t>
        </is>
      </c>
      <c r="CTX8" t="inlineStr">
        <is>
          <t>Community enterprise development tax credit claimed</t>
        </is>
      </c>
      <c r="CTY8" t="inlineStr">
        <is>
          <t>Community enterprise development tax credit amount from Slip T2CEDTC (MAN.)</t>
        </is>
      </c>
      <c r="CTZ8" t="inlineStr">
        <is>
          <t>Small business venture capital tax credit claimed</t>
        </is>
      </c>
      <c r="CUA8" t="inlineStr">
        <is>
          <t>Credit amount from Slip T2SBVCTC (MAN.)</t>
        </is>
      </c>
      <c r="CUB8" t="inlineStr">
        <is>
          <t>Employee share purchase tax credit claimed</t>
        </is>
      </c>
      <c r="CUC8" t="inlineStr">
        <is>
          <t>Involuntary separation indicator</t>
        </is>
      </c>
      <c r="CUD8" t="inlineStr">
        <is>
          <t>Basic, age, and disability credits for spouse or common-law partner</t>
        </is>
      </c>
      <c r="CUE8" t="inlineStr">
        <is>
          <t>Mineral exploration tax credit claimed</t>
        </is>
      </c>
      <c r="CUF8" t="inlineStr">
        <is>
          <t>Total credit amounts from ESOP receipt(s)</t>
        </is>
      </c>
      <c r="CUG8" t="inlineStr">
        <is>
          <t>Number of disability claims for self or for a dependant other than your spouse or common-law partner</t>
        </is>
      </c>
      <c r="CUH8" t="inlineStr">
        <is>
          <t>Number of dependent children 18 years of age or younger</t>
        </is>
      </c>
      <c r="CUI8" t="inlineStr">
        <is>
          <t>Number of disabled dependants 18 years of age or older</t>
        </is>
      </c>
      <c r="CUJ8" t="inlineStr">
        <is>
          <t>Number dependants with a mental or physical infirmity</t>
        </is>
      </c>
      <c r="CUK8" t="inlineStr">
        <is>
          <t>Number of dependent children – Reduction for dependent children age 18 or younger</t>
        </is>
      </c>
      <c r="CUL8" t="inlineStr">
        <is>
          <t>Number of dependent children – Credit for dependent children age 18 or younger</t>
        </is>
      </c>
      <c r="CUM8" t="inlineStr">
        <is>
          <t>Application for the ON energy and property tax credit</t>
        </is>
      </c>
      <c r="CUN8" t="inlineStr">
        <is>
          <t>Application for the Northern ON energy credit</t>
        </is>
      </c>
      <c r="CUO8" t="inlineStr">
        <is>
          <t>Total personal tax credits</t>
        </is>
      </c>
      <c r="CUP8" t="inlineStr">
        <is>
          <t>Choice for delayed single OTB payment</t>
        </is>
      </c>
      <c r="CUQ8" t="inlineStr">
        <is>
          <t>Application for the ON senior homeowners’ property tax grant</t>
        </is>
      </c>
      <c r="CUR8" t="inlineStr">
        <is>
          <t>Involuntary separation indicator</t>
        </is>
      </c>
      <c r="CUS8" t="inlineStr">
        <is>
          <t>Total rent paid</t>
        </is>
      </c>
      <c r="CUT8" t="inlineStr">
        <is>
          <t>Total property tax paid</t>
        </is>
      </c>
      <c r="CUU8" t="inlineStr">
        <is>
          <t>School taxes paid</t>
        </is>
      </c>
      <c r="CUV8" t="inlineStr">
        <is>
          <t>Education property tax credit advance received</t>
        </is>
      </c>
      <c r="CUW8" t="inlineStr">
        <is>
          <t>Residing in a designated student residence</t>
        </is>
      </c>
      <c r="CUX8" t="inlineStr">
        <is>
          <t>Occupancy cost</t>
        </is>
      </c>
      <c r="CUY8" t="inlineStr">
        <is>
          <t>Gross school taxes assessed</t>
        </is>
      </c>
      <c r="CUZ8" t="inlineStr">
        <is>
          <t>Family income from the homeowners’ school tax credit table</t>
        </is>
      </c>
      <c r="CVA8" t="inlineStr">
        <is>
          <t>Total home energy costs for principal residence on a reserve</t>
        </is>
      </c>
      <c r="CVB8" t="inlineStr">
        <is>
          <t>School taxes assessed</t>
        </is>
      </c>
      <c r="CVC8" t="inlineStr">
        <is>
          <t>Total accommodation in a public long-term care home or non-profit long-term care home</t>
        </is>
      </c>
      <c r="CVD8" t="inlineStr">
        <is>
          <t>School tax credit for homeowners</t>
        </is>
      </c>
      <c r="CVE8" t="inlineStr">
        <is>
          <t>Total rent assist benefits received</t>
        </is>
      </c>
      <c r="CVF8" t="inlineStr">
        <is>
          <t>Percentage of social assistance</t>
        </is>
      </c>
      <c r="CVG8" t="inlineStr">
        <is>
          <t>Primary caregiver tax credit</t>
        </is>
      </c>
      <c r="CVH8" t="inlineStr">
        <is>
          <t>Fertility treatment tax credit</t>
        </is>
      </c>
      <c r="CVI8" t="inlineStr">
        <is>
          <t>Paid work experience tax credit</t>
        </is>
      </c>
      <c r="CVJ8" t="inlineStr">
        <is>
          <t>Odour-control tax credit</t>
        </is>
      </c>
      <c r="CVK8" t="inlineStr">
        <is>
          <t>Green energy equipment tax credit (purchaser)</t>
        </is>
      </c>
      <c r="CVL8" t="inlineStr">
        <is>
          <t>Green energy equipment tax credit (manufacturer)</t>
        </is>
      </c>
      <c r="CVM8" t="inlineStr">
        <is>
          <t>Book publishing tax credit</t>
        </is>
      </c>
      <c r="CVN8" t="inlineStr">
        <is>
          <t>Family tax benefit</t>
        </is>
      </c>
      <c r="CVO8" t="inlineStr">
        <is>
          <t>Cultural industries printing tax credit</t>
        </is>
      </c>
      <c r="CVP8" t="inlineStr">
        <is>
          <t>Community enterprise development tax credit</t>
        </is>
      </c>
      <c r="CVQ8" t="inlineStr">
        <is>
          <t>Employee share purchase tax credit</t>
        </is>
      </c>
      <c r="CVR8" t="inlineStr">
        <is>
          <t>Farm and small business capital gains tax credit</t>
        </is>
      </c>
      <c r="CVS8" t="inlineStr">
        <is>
          <t>Provincial or territorial non-refundable tax credits</t>
        </is>
      </c>
      <c r="CVT8" t="inlineStr">
        <is>
          <t>Provincial or territorial tax on split income</t>
        </is>
      </c>
      <c r="CVU8" t="inlineStr">
        <is>
          <t>Provincial or territorial dividend tax credit</t>
        </is>
      </c>
      <c r="CVV8" t="inlineStr">
        <is>
          <t>Provincial or territorial minimum tax carryover</t>
        </is>
      </c>
      <c r="CVW8" t="inlineStr">
        <is>
          <t>NB political contribution tax credit</t>
        </is>
      </c>
      <c r="CVX8" t="inlineStr">
        <is>
          <t>Unused low-income tax reduction from spouse or common-law partner</t>
        </is>
      </c>
      <c r="CVY8" t="inlineStr">
        <is>
          <t>Basic low-income tax reduction</t>
        </is>
      </c>
      <c r="CVZ8" t="inlineStr">
        <is>
          <t>Low-income tax reduction for spouse or common-law partner</t>
        </is>
      </c>
      <c r="CWA8" t="inlineStr">
        <is>
          <t>Low-income tax reduction for an eligible dependant claimed on 30400</t>
        </is>
      </c>
      <c r="CWB8" t="inlineStr">
        <is>
          <t>Labour-sponsored venture capital tax credit</t>
        </is>
      </c>
      <c r="CWC8" t="inlineStr">
        <is>
          <t>Small business investor tax credit</t>
        </is>
      </c>
      <c r="CWD8" t="inlineStr">
        <is>
          <t>Amount to carry back to the first prior year</t>
        </is>
      </c>
      <c r="CWE8" t="inlineStr">
        <is>
          <t>Amount to carry back to the second prior year</t>
        </is>
      </c>
      <c r="CWF8" t="inlineStr">
        <is>
          <t>Amount to carry back to the third prior year</t>
        </is>
      </c>
      <c r="CWG8" t="inlineStr">
        <is>
          <t>Resort property investment tax credit</t>
        </is>
      </c>
      <c r="CWH8" t="inlineStr">
        <is>
          <t>NL political contribution tax credit</t>
        </is>
      </c>
      <c r="CWI8" t="inlineStr">
        <is>
          <t>Direct equity tax credit</t>
        </is>
      </c>
      <c r="CWJ8" t="inlineStr">
        <is>
          <t>Amount to carry back to the first prior year</t>
        </is>
      </c>
      <c r="CWK8" t="inlineStr">
        <is>
          <t>Amount to carry back to the second prior year</t>
        </is>
      </c>
      <c r="CWL8" t="inlineStr">
        <is>
          <t>MB political contribution tax credit</t>
        </is>
      </c>
      <c r="CWM8" t="inlineStr">
        <is>
          <t>Amount to carry back to the third prior year</t>
        </is>
      </c>
      <c r="CWN8" t="inlineStr">
        <is>
          <t>Venture capital tax credit</t>
        </is>
      </c>
      <c r="CWO8" t="inlineStr">
        <is>
          <t>Amount to carry back to the first prior year</t>
        </is>
      </c>
      <c r="CWP8" t="inlineStr">
        <is>
          <t>Amount to carry back to the second prior year</t>
        </is>
      </c>
      <c r="CWQ8" t="inlineStr">
        <is>
          <t>Amount to carry back to the third prior year</t>
        </is>
      </c>
      <c r="CWR8" t="inlineStr">
        <is>
          <t>Unused low-income tax reduction from the spouse or common-law partner</t>
        </is>
      </c>
      <c r="CWS8" t="inlineStr">
        <is>
          <t>Basic low-income tax reduction</t>
        </is>
      </c>
      <c r="CWT8" t="inlineStr">
        <is>
          <t>Reduction for your spouse or common-law partner</t>
        </is>
      </c>
      <c r="CWU8" t="inlineStr">
        <is>
          <t>Reduction for an eligible dependant</t>
        </is>
      </c>
      <c r="CWV8" t="inlineStr">
        <is>
          <t>Basic low-income tax reduction</t>
        </is>
      </c>
      <c r="CWW8" t="inlineStr">
        <is>
          <t>Low-income tax reduction for spouse or common-law partner</t>
        </is>
      </c>
      <c r="CWX8" t="inlineStr">
        <is>
          <t>Low-income tax reduction for an eligible dependant</t>
        </is>
      </c>
      <c r="CWY8" t="inlineStr">
        <is>
          <t>NS political contribution tax credit</t>
        </is>
      </c>
      <c r="CWZ8" t="inlineStr">
        <is>
          <t>Food bank tax credit for farmers</t>
        </is>
      </c>
      <c r="CXA8" t="inlineStr">
        <is>
          <t>Community food program donation tax credit for farmers</t>
        </is>
      </c>
      <c r="CXB8" t="inlineStr">
        <is>
          <t>Labour-sponsored venture capital tax credit</t>
        </is>
      </c>
      <c r="CXC8" t="inlineStr">
        <is>
          <t>Equity tax credit</t>
        </is>
      </c>
      <c r="CXD8" t="inlineStr">
        <is>
          <t>Amount to carry back to the first prior year</t>
        </is>
      </c>
      <c r="CXE8" t="inlineStr">
        <is>
          <t>Amount to carry back to the second prior year</t>
        </is>
      </c>
      <c r="CXF8" t="inlineStr">
        <is>
          <t>Amount to carry back to the third prior year</t>
        </is>
      </c>
      <c r="CXG8" t="inlineStr">
        <is>
          <t>Volunteer firefighters’ tax credit</t>
        </is>
      </c>
      <c r="CXH8" t="inlineStr">
        <is>
          <t>Volunteer firefighters and ground search and rescue tax credit</t>
        </is>
      </c>
      <c r="CXI8" t="inlineStr">
        <is>
          <t>Amount claimed for foreign income on 25600 of the return that is exempt under a tax treaty</t>
        </is>
      </c>
      <c r="CXJ8" t="inlineStr">
        <is>
          <t>Basic cost of living tax credit for self</t>
        </is>
      </c>
      <c r="CXK8" t="inlineStr">
        <is>
          <t>Cost of living tax credit supplement for spouse or common-law partner</t>
        </is>
      </c>
      <c r="CXL8" t="inlineStr">
        <is>
          <t>The basic credit for self claimed by the spouse or common-law partner</t>
        </is>
      </c>
      <c r="CXM8" t="inlineStr">
        <is>
          <t>Cost of living tax credit supplement</t>
        </is>
      </c>
      <c r="CXN8" t="inlineStr">
        <is>
          <t>Northwest territories credit</t>
        </is>
      </c>
      <c r="CXO8" t="inlineStr">
        <is>
          <t>NT political contribution tax credit</t>
        </is>
      </c>
      <c r="CXP8" t="inlineStr">
        <is>
          <t>Seniors’ public transit tax credit</t>
        </is>
      </c>
      <c r="CXQ8" t="inlineStr">
        <is>
          <t>ON political contribution tax credit</t>
        </is>
      </c>
      <c r="CXR8" t="inlineStr">
        <is>
          <t>Focused flow-through share tax credit</t>
        </is>
      </c>
      <c r="CXS8" t="inlineStr">
        <is>
          <t>Tax credits for self-employed individuals – Apprenticeships</t>
        </is>
      </c>
      <c r="CXT8" t="inlineStr">
        <is>
          <t>Tax credits for self-employed individuals – Work placements</t>
        </is>
      </c>
      <c r="CXU8" t="inlineStr">
        <is>
          <t>Tax credits claimed as a member of a partnership</t>
        </is>
      </c>
      <c r="CXV8" t="inlineStr">
        <is>
          <t>Business number</t>
        </is>
      </c>
      <c r="CXW8" t="inlineStr">
        <is>
          <t>Apprenticeship training tax credit</t>
        </is>
      </c>
      <c r="CXX8" t="inlineStr">
        <is>
          <t>Co-operative education tax credit</t>
        </is>
      </c>
      <c r="CXY8" t="inlineStr">
        <is>
          <t>Unused low-income tax reduction from spouse or common-law partner</t>
        </is>
      </c>
      <c r="CXZ8" t="inlineStr">
        <is>
          <t>Basic low-income tax reduction</t>
        </is>
      </c>
      <c r="CYA8" t="inlineStr">
        <is>
          <t>Age reduction for self</t>
        </is>
      </c>
      <c r="CYB8" t="inlineStr">
        <is>
          <t>Low-income tax reduction for spouse or common-law partner</t>
        </is>
      </c>
      <c r="CYC8" t="inlineStr">
        <is>
          <t>Age reduction for spouse or common-law partner</t>
        </is>
      </c>
      <c r="CYD8" t="inlineStr">
        <is>
          <t>Low-income tax reduction for an eligible dependant</t>
        </is>
      </c>
      <c r="CYE8" t="inlineStr">
        <is>
          <t>PE political contribution tax credit</t>
        </is>
      </c>
      <c r="CYF8" t="inlineStr">
        <is>
          <t>Basic and certification tax credits (level 1 and/or level 2 of a non-Red Seal programs)</t>
        </is>
      </c>
      <c r="CYG8" t="inlineStr">
        <is>
          <t>Completion and certification tax credit (level 3 of a Red Seal or non-Red Seal program)</t>
        </is>
      </c>
      <c r="CYH8" t="inlineStr">
        <is>
          <t>Completion and certification tax credit (level 4 of a Red Seal or non-Red Seal program)</t>
        </is>
      </c>
      <c r="CYI8" t="inlineStr">
        <is>
          <t>Enhanced tax credit</t>
        </is>
      </c>
      <c r="CYJ8" t="inlineStr">
        <is>
          <t>Basic tax credit</t>
        </is>
      </c>
      <c r="CYK8" t="inlineStr">
        <is>
          <t>Completion tax credit</t>
        </is>
      </c>
      <c r="CYL8" t="inlineStr">
        <is>
          <t>Enhanced tax credit</t>
        </is>
      </c>
      <c r="CYM8" t="inlineStr">
        <is>
          <t>Equity tax credit</t>
        </is>
      </c>
      <c r="CYN8" t="inlineStr">
        <is>
          <t>Volunteer firefighter tax credit</t>
        </is>
      </c>
      <c r="CYO8" t="inlineStr">
        <is>
          <t>SK political contribution tax credit</t>
        </is>
      </c>
      <c r="CYP8" t="inlineStr">
        <is>
          <t>Labour-sponsored venture capital tax credit</t>
        </is>
      </c>
      <c r="CYQ8" t="inlineStr">
        <is>
          <t>Mineral exploration tax credit</t>
        </is>
      </c>
      <c r="CYR8" t="inlineStr">
        <is>
          <t>Amount to carry back to the first prior year</t>
        </is>
      </c>
      <c r="CYS8" t="inlineStr">
        <is>
          <t>Amount to carry back to the second prior year</t>
        </is>
      </c>
      <c r="CYT8" t="inlineStr">
        <is>
          <t>Amount to carry back to the third prior year</t>
        </is>
      </c>
      <c r="CYU8" t="inlineStr">
        <is>
          <t>Graduate tuition tax credit</t>
        </is>
      </c>
      <c r="CYV8" t="inlineStr">
        <is>
          <t>Number of qualifying children under 6 years of age</t>
        </is>
      </c>
      <c r="CYW8" t="inlineStr">
        <is>
          <t>Do you reside outside of Whitehorse on December 31 of the tax year?</t>
        </is>
      </c>
      <c r="CYX8" t="inlineStr">
        <is>
          <t>Children’s fitness tax credit</t>
        </is>
      </c>
      <c r="CYY8" t="inlineStr">
        <is>
          <t>Small business investment tax credit</t>
        </is>
      </c>
      <c r="CYZ8" t="inlineStr">
        <is>
          <t>Amount to carry back to the first prior year</t>
        </is>
      </c>
      <c r="CZA8" t="inlineStr">
        <is>
          <t>Amount to carry back to the second prior year</t>
        </is>
      </c>
      <c r="CZB8" t="inlineStr">
        <is>
          <t>Amount to carry back to the third prior year</t>
        </is>
      </c>
      <c r="CZC8" t="inlineStr">
        <is>
          <t>Labour-sponsored venture capital corporation tax credit</t>
        </is>
      </c>
      <c r="CZD8" t="inlineStr">
        <is>
          <t>Amount to carry back to the first prior year</t>
        </is>
      </c>
      <c r="CZE8" t="inlineStr">
        <is>
          <t>Amount to carry back to the second prior year</t>
        </is>
      </c>
      <c r="CZF8" t="inlineStr">
        <is>
          <t>Amount to carry back to the third prior year</t>
        </is>
      </c>
      <c r="CZG8" t="inlineStr">
        <is>
          <t>Research and development tax credit</t>
        </is>
      </c>
      <c r="CZH8" t="inlineStr">
        <is>
          <t>YT political contribution tax credit</t>
        </is>
      </c>
      <c r="CZI8" t="inlineStr">
        <is>
          <t>Yukon First Nations income tax credit</t>
        </is>
      </c>
      <c r="CZJ8" t="inlineStr">
        <is>
          <t>Cost of living supplement</t>
        </is>
      </c>
      <c r="CZK8" t="inlineStr">
        <is>
          <t>Total cost of living tax credit</t>
        </is>
      </c>
      <c r="CZL8" t="inlineStr">
        <is>
          <t>NU political contribution tax credit</t>
        </is>
      </c>
      <c r="CZM8" t="inlineStr">
        <is>
          <t>Total expenses eligible for the GST rebate</t>
        </is>
      </c>
      <c r="CZN8" t="inlineStr">
        <is>
          <t>Total expenses eligible for the HST rebate</t>
        </is>
      </c>
      <c r="CZO8" t="inlineStr">
        <is>
          <t>Total expenses eligible for the HST rebate</t>
        </is>
      </c>
      <c r="CZP8" t="inlineStr">
        <is>
          <t>Benefits that can no longer be deferred</t>
        </is>
      </c>
      <c r="CZQ8" t="inlineStr">
        <is>
          <t>Closing balance of deferred security option benefits</t>
        </is>
      </c>
      <c r="CZR8" t="inlineStr">
        <is>
          <t>Non-capital loss to be applied to the third prior year</t>
        </is>
      </c>
      <c r="CZS8" t="inlineStr">
        <is>
          <t>Non-capital loss to be applied to the second prior year</t>
        </is>
      </c>
      <c r="CZT8" t="inlineStr">
        <is>
          <t>Non-capital loss to be applied to the first prior year</t>
        </is>
      </c>
      <c r="CZU8" t="inlineStr">
        <is>
          <t>Farming or fishing loss to be applied to the third prior year</t>
        </is>
      </c>
      <c r="CZV8" t="inlineStr">
        <is>
          <t>Farming or fishing loss to be applied to the second prior year</t>
        </is>
      </c>
      <c r="CZW8" t="inlineStr">
        <is>
          <t>Farming or fishing loss to be applied to the first prior year</t>
        </is>
      </c>
      <c r="CZX8" t="inlineStr">
        <is>
          <t>Net capital loss to be applied to the third prior year</t>
        </is>
      </c>
      <c r="CZY8" t="inlineStr">
        <is>
          <t>Net capital loss to be applied to the second prior year</t>
        </is>
      </c>
      <c r="CZZ8" t="inlineStr">
        <is>
          <t>Net capital loss to be applied to the first prior year</t>
        </is>
      </c>
      <c r="DAA8" t="inlineStr">
        <is>
          <t>Listed personal property net loss to be applied to the third prior year listed personal property net gains</t>
        </is>
      </c>
      <c r="DAB8" t="inlineStr">
        <is>
          <t>Listed personal property net loss to be applied to the second prior year listed personal property net gains</t>
        </is>
      </c>
      <c r="DAC8" t="inlineStr">
        <is>
          <t>Listed personal property net loss to be applied to the first prior year listed personal property net gains</t>
        </is>
      </c>
      <c r="DAD8" t="inlineStr">
        <is>
          <t>Restricted farm loss to be applied to the third prior year</t>
        </is>
      </c>
      <c r="DAE8" t="inlineStr">
        <is>
          <t>Restricted farm loss to be applied to the second prior year</t>
        </is>
      </c>
      <c r="DAF8" t="inlineStr">
        <is>
          <t>Restricted farm loss to be applied to the first prior year</t>
        </is>
      </c>
      <c r="DAG8" t="inlineStr">
        <is>
          <t>Amount of 2018 reserve for dispositions of QFFP to your child after 2009, and before April 21, 2015 and all other dispositions of QFFP after 2014 and before April 21, 2015</t>
        </is>
      </c>
      <c r="DAH8" t="inlineStr">
        <is>
          <t>Amount of 2019 reserve for dispositions of QFFP to your child after 2010, and before April 21, 2015, and all other dispositions of QFFP after 2015 and before April 21, 2015</t>
        </is>
      </c>
      <c r="DAI8" t="inlineStr">
        <is>
          <t>Amount of 2018 reserve for dispositions of QFFP after April 20, 2015</t>
        </is>
      </c>
      <c r="DAJ8" t="inlineStr">
        <is>
          <t>Amount of 2019 reserve for dispositions of QFFP after April 20, 2015</t>
        </is>
      </c>
      <c r="DAK8" t="inlineStr">
        <is>
          <t>Amount of the most recent reserve claimed on line 66840</t>
        </is>
      </c>
      <c r="DAL8" t="inlineStr">
        <is>
          <t>Amount of 2019 reserve for dispositions of QSBCS to your child after 2010, and all other dispositions of QSBCS after 2015</t>
        </is>
      </c>
      <c r="DAM8" t="inlineStr">
        <is>
          <t>Amount of 2018 reserve for dispositions of QSBCS to your child after 2009, and all other dispositions of QSBCS after 2014</t>
        </is>
      </c>
      <c r="DAN8" t="inlineStr">
        <is>
          <t>Amount of the most recent reserve claimed on line 66850</t>
        </is>
      </c>
      <c r="DAO8" t="inlineStr">
        <is>
          <t>Amount of 2018 reserve for dispositions to your child after 2009, of family farm or fishing property other than QFFP and of shares of capital stock of a small business corporation other than QSBCS</t>
        </is>
      </c>
      <c r="DAP8" t="inlineStr">
        <is>
          <t>Amount of 2019 reserve for dispositions to your child after 2010, of family farm or fishing property other than QFFP and of shares of capital stock of a small business corporation other than QSBCS</t>
        </is>
      </c>
      <c r="DAQ8" t="inlineStr">
        <is>
          <t>Amount of 2018 reserve for dispositions of property after 2014, other than dispositions listed on lines 66815, 66843, 66883, and 66910</t>
        </is>
      </c>
      <c r="DAR8" t="inlineStr">
        <is>
          <t>Amount of 2019 reserve for dispositions of property after 2015, other than dispositions listed on lines 66840, 66844, 66850, and 66920</t>
        </is>
      </c>
      <c r="DAS8" t="inlineStr">
        <is>
          <t>Amount of 2018 reserve for dispositions before November 13, 1981</t>
        </is>
      </c>
      <c r="DAT8" t="inlineStr">
        <is>
          <t>Total capital reserves</t>
        </is>
      </c>
      <c r="DAU8" t="inlineStr">
        <is>
          <t>ITC for total qualified expenditures for SR&amp;ED</t>
        </is>
      </c>
      <c r="DAV8" t="inlineStr">
        <is>
          <t>80% of total contributions made to agricultural organizations for SR&amp;ED</t>
        </is>
      </c>
      <c r="DAW8" t="inlineStr">
        <is>
          <t>ITC allocated from a partnership for SR&amp;ED</t>
        </is>
      </c>
      <c r="DAX8" t="inlineStr">
        <is>
          <t>ITC for total investments in qualified property</t>
        </is>
      </c>
      <c r="DAY8" t="inlineStr">
        <is>
          <t>Total flow-through mining expenditures</t>
        </is>
      </c>
      <c r="DAZ8" t="inlineStr">
        <is>
          <t>Total apprenticeship job creation tax credit</t>
        </is>
      </c>
      <c r="DBA8" t="inlineStr">
        <is>
          <t>ITC for child care spaces</t>
        </is>
      </c>
      <c r="DBB8" t="inlineStr">
        <is>
          <t>Amount of expenditure on which ITC is recaptured at 15%</t>
        </is>
      </c>
      <c r="DBC8" t="inlineStr">
        <is>
          <t>Amount of expenditure on which ITC is recaptured at 20%</t>
        </is>
      </c>
      <c r="DBD8" t="inlineStr">
        <is>
          <t>Total recapture of ITC for child care spaces</t>
        </is>
      </c>
      <c r="DBE8" t="inlineStr">
        <is>
          <t>Amount of carryback to the third previous year</t>
        </is>
      </c>
      <c r="DBF8" t="inlineStr">
        <is>
          <t>Amount of carryback to the second previous year</t>
        </is>
      </c>
      <c r="DBG8" t="inlineStr">
        <is>
          <t>Amount of carryback to the first previous year</t>
        </is>
      </c>
      <c r="DBH8" t="inlineStr">
        <is>
          <t>Maximum residency amount for residents of prescribed northern zones</t>
        </is>
      </c>
      <c r="DBI8" t="inlineStr">
        <is>
          <t>Non-taxable benefits for board and lodging at a special work site in a prescribed northern zone</t>
        </is>
      </c>
      <c r="DBJ8" t="inlineStr">
        <is>
          <t>Maximum residency amount for residents of prescribed intermediate zones</t>
        </is>
      </c>
      <c r="DBK8" t="inlineStr">
        <is>
          <t>Non-taxable benefits for board and lodging at a special work site in a prescribed intermediate zone</t>
        </is>
      </c>
      <c r="DBL8" t="inlineStr">
        <is>
          <t>Total travel amount for trips from a prescribed northern zone</t>
        </is>
      </c>
      <c r="DBM8" t="inlineStr">
        <is>
          <t>Total travel amount for trips from a prescribed intermediate zone</t>
        </is>
      </c>
      <c r="DBN8" t="inlineStr">
        <is>
          <t>Claim for tax shelter loss or deduction</t>
        </is>
      </c>
      <c r="DBO8" t="inlineStr">
        <is>
          <t>Amount of loss created or increased by CCA and carrying charges on certified film property</t>
        </is>
      </c>
      <c r="DBP8" t="inlineStr">
        <is>
          <t>Amount of loss created or increased by CCA and carrying charges on rental and leasing property</t>
        </is>
      </c>
      <c r="DBQ8" t="inlineStr">
        <is>
          <t>Losses, amounts deductible and carrying charges for tax shelters, limited partnership, and non-active partners</t>
        </is>
      </c>
      <c r="DBR8" t="inlineStr">
        <is>
          <t>Total of all resource expenditures, depletion allowances, and carrying charges for resource property and flow-through shares</t>
        </is>
      </c>
      <c r="DBS8" t="inlineStr">
        <is>
          <t>Certain capital gains from graduated rate estates</t>
        </is>
      </c>
      <c r="DBT8" t="inlineStr">
        <is>
          <t>Part of total capital gains that is exempt from Canadian tax under a tax treaty</t>
        </is>
      </c>
      <c r="DBU8" t="inlineStr">
        <is>
          <t>Capital gains on gifts of property to qualified donees</t>
        </is>
      </c>
      <c r="DBV8" t="inlineStr">
        <is>
          <t>Security options deductions under paragraph 110(1)(d)</t>
        </is>
      </c>
      <c r="DBW8" t="inlineStr">
        <is>
          <t>Gifts of securities acquired under a security option plan</t>
        </is>
      </c>
      <c r="DBX8" t="inlineStr">
        <is>
          <t>Other security options deductions included on line 24900</t>
        </is>
      </c>
      <c r="DBY8" t="inlineStr">
        <is>
          <t>Limited partnership losses incurred in prior years that are tax shelters</t>
        </is>
      </c>
      <c r="DBZ8" t="inlineStr">
        <is>
          <t>Federal tax payable under alternative minimum tax</t>
        </is>
      </c>
      <c r="DCA8" t="inlineStr">
        <is>
          <t>Total child care expenses paid in the year</t>
        </is>
      </c>
      <c r="DCB8" t="inlineStr">
        <is>
          <t>Child care expenses incurred for a child age 6 or younger</t>
        </is>
      </c>
      <c r="DCC8" t="inlineStr">
        <is>
          <t>Basic limit for eligible children born in the current tax year or earlier for whom the disability amount can be claimed</t>
        </is>
      </c>
      <c r="DCD8" t="inlineStr">
        <is>
          <t>Part C – Child care expenses paid by the other person with lower net income</t>
        </is>
      </c>
      <c r="DCE8" t="inlineStr">
        <is>
          <t>Part D – Child care expenses paid while enrolled in an educational program</t>
        </is>
      </c>
      <c r="DCF8" t="inlineStr">
        <is>
          <t>Total eligible pensions or superannuation, annuity and RRSP/RRIF payments (including life income fund) received</t>
        </is>
      </c>
      <c r="DCG8" t="inlineStr">
        <is>
          <t>Veteran’s benefits on T4A slips eligible for pension income splitting</t>
        </is>
      </c>
      <c r="DCH8" t="inlineStr">
        <is>
          <t>Distributions on T4A-RCA slips eligible for pension income splitting</t>
        </is>
      </c>
      <c r="DCI8" t="inlineStr">
        <is>
          <t>Number of months married or living common-law in the current tax year</t>
        </is>
      </c>
      <c r="DCJ8" t="inlineStr">
        <is>
          <t>Total tax deducted from the transferring spouse’s or common-law partner’s pension income</t>
        </is>
      </c>
      <c r="DCK8" t="inlineStr">
        <is>
          <t>Tax deducted for the elected split-pension amount</t>
        </is>
      </c>
      <c r="DCL8" t="inlineStr">
        <is>
          <t>Any other investment expenses claimed in the current tax year to earn property income</t>
        </is>
      </c>
      <c r="DCM8" t="inlineStr">
        <is>
          <t>Any other property income reported in the current tax year</t>
        </is>
      </c>
      <c r="DCN8" t="inlineStr">
        <is>
          <t>50% of income from the recovery of exploration and development expenses</t>
        </is>
      </c>
      <c r="DCO8" t="inlineStr">
        <is>
          <t>Capital gains from T3 slips</t>
        </is>
      </c>
      <c r="DCP8" t="inlineStr">
        <is>
          <t>Non-eligible capital gains from T3 slips</t>
        </is>
      </c>
      <c r="DCQ8" t="inlineStr">
        <is>
          <t>Special tax for Quebec LSVCC</t>
        </is>
      </c>
      <c r="DCR8" t="inlineStr">
        <is>
          <t>Excess employees profit-sharing plan amounts</t>
        </is>
      </c>
      <c r="DCS8" t="inlineStr">
        <is>
          <t>Proceeds from disposition of publicly traded shares, other shares and mutual fund units</t>
        </is>
      </c>
      <c r="DCT8" t="inlineStr">
        <is>
          <t>Gains eligible for 0% inclusion rate from the disposition of publicly traded shares, other shares and mutual funds units</t>
        </is>
      </c>
      <c r="DCU8" t="inlineStr">
        <is>
          <t>Proceeds from disposition of bonds, debentures, promissory notes, and other properties (including ecologically sensitive land)</t>
        </is>
      </c>
      <c r="DCV8" t="inlineStr">
        <is>
          <t>Gains eligible for 0% inclusion rate from the disposition of bonds, debentures, promissory notes, and other properties (including ecologically sensitive land)</t>
        </is>
      </c>
      <c r="DCW8" t="inlineStr">
        <is>
          <t>Total of all accumulated income payments</t>
        </is>
      </c>
      <c r="DCX8" t="inlineStr">
        <is>
          <t>Total of all accumulated income payments</t>
        </is>
      </c>
      <c r="DCY8" t="inlineStr">
        <is>
          <t>Taxable amount of dividends (eligible and other than eligible) from taxable Canadian corporations</t>
        </is>
      </c>
      <c r="DCZ8" t="inlineStr">
        <is>
          <t>Taxable amount of dividends other than eligible dividends, included on line 68330, from taxable Canadian corporations</t>
        </is>
      </c>
      <c r="DDA8" t="inlineStr">
        <is>
          <t>Total split income</t>
        </is>
      </c>
      <c r="DDB8" t="inlineStr">
        <is>
          <t>Split income from foreign sources</t>
        </is>
      </c>
      <c r="DDC8" t="inlineStr">
        <is>
          <t>Total income from foreign sources</t>
        </is>
      </c>
      <c r="DDD8" t="inlineStr">
        <is>
          <t>Current-year credit available</t>
        </is>
      </c>
      <c r="DDE8" t="inlineStr">
        <is>
          <t>Mining flow-through share tax credit</t>
        </is>
      </c>
      <c r="DDF8" t="inlineStr">
        <is>
          <t>Amount to carry back to the first prior year</t>
        </is>
      </c>
      <c r="DDG8" t="inlineStr">
        <is>
          <t>Amount to carry back to the second prior year</t>
        </is>
      </c>
      <c r="DDH8" t="inlineStr">
        <is>
          <t>Amount to carry back to the third prior year</t>
        </is>
      </c>
      <c r="DDI8" t="inlineStr">
        <is>
          <t>Current year tax credit available</t>
        </is>
      </c>
      <c r="DDJ8" t="inlineStr">
        <is>
          <t>EI and PPIP maternity and paternal benefits</t>
        </is>
      </c>
      <c r="DDK8" t="inlineStr">
        <is>
          <t>Net exempt income</t>
        </is>
      </c>
      <c r="DDL8" t="inlineStr">
        <is>
          <t>Total provincial amounts designated to you by a studen</t>
        </is>
      </c>
      <c r="DDM8" t="inlineStr">
        <is>
          <t>Venture capital tax credit - January 1 to February 19, 2019</t>
        </is>
      </c>
      <c r="DDN8" t="inlineStr">
        <is>
          <t>Certificate number - Shares acquired after February 19, 2019</t>
        </is>
      </c>
      <c r="DDO8" t="inlineStr">
        <is>
          <t>Certificate number - Shares purchases during the first 60 days of the year following the tax year</t>
        </is>
      </c>
      <c r="DDP8" t="inlineStr">
        <is>
          <t>Low-income individuals and families tax credit</t>
        </is>
      </c>
      <c r="DDQ8" t="inlineStr">
        <is>
          <t>Innovation equity tax credit</t>
        </is>
      </c>
      <c r="DDR8" t="inlineStr">
        <is>
          <t>Venture capital tax credit</t>
        </is>
      </c>
      <c r="DDS8" t="inlineStr">
        <is>
          <t>Child care expenses deduction of the other supporting person(s)</t>
        </is>
      </c>
      <c r="DDT8" t="inlineStr">
        <is>
          <t>Adjusted income of the other supporting person(s)</t>
        </is>
      </c>
      <c r="DDU8" t="inlineStr">
        <is>
          <t>Childcare access and relief from expense tax credit</t>
        </is>
      </c>
      <c r="DDV8" t="inlineStr">
        <is>
          <t>Business carbon price rebate</t>
        </is>
      </c>
      <c r="DDW8" t="inlineStr">
        <is>
          <t>Employment income from T4 slips</t>
        </is>
      </c>
      <c r="DDX8" t="inlineStr">
        <is>
          <t>EI maternity and paternal benefits and PPIP maternity and paternity benefits</t>
        </is>
      </c>
      <c r="DDY8" t="inlineStr">
        <is>
          <t>Taxable scholarship, fellowships, bursaries, and artists’ project grants</t>
        </is>
      </c>
      <c r="DDZ8" t="inlineStr">
        <is>
          <t>Deduction for CPP/QPP enhanced contributions on employment income</t>
        </is>
      </c>
      <c r="DEA8" t="inlineStr">
        <is>
          <t>Eligible tuition fees paid to foreign educational institutions for the current tax year</t>
        </is>
      </c>
      <c r="DEB8" t="inlineStr">
        <is>
          <t>Are you choosing to include tax-exempt income in calculating the CWB?</t>
        </is>
      </c>
      <c r="DEC8" t="inlineStr">
        <is>
          <t>Tax Year Filed</t>
        </is>
      </c>
      <c r="DED8" t="inlineStr">
        <is>
          <t>Taxing Province</t>
        </is>
      </c>
      <c r="DEE8" t="inlineStr">
        <is>
          <t>Marital Status</t>
        </is>
      </c>
      <c r="DEF8" t="inlineStr">
        <is>
          <t>Balance before penalty and interest</t>
        </is>
      </c>
      <c r="DEG8" t="inlineStr">
        <is>
          <t>Balance before penalty and interest</t>
        </is>
      </c>
      <c r="DEH8" t="inlineStr">
        <is>
          <t>Final balance</t>
        </is>
      </c>
      <c r="DEI8" t="inlineStr">
        <is>
          <t>Basic federal tax</t>
        </is>
      </c>
      <c r="DEJ8" t="inlineStr">
        <is>
          <t>Basic provincial or territorial tax</t>
        </is>
      </c>
      <c r="DEK8" t="inlineStr">
        <is>
          <t>Ontario Health Premium</t>
        </is>
      </c>
      <c r="DEL8" t="inlineStr">
        <is>
          <t>Employment income from T4 slips</t>
        </is>
      </c>
      <c r="DEM8" t="inlineStr">
        <is>
          <t>Commissions included on line 10100</t>
        </is>
      </c>
      <c r="DEN8" t="inlineStr">
        <is>
          <t>Wage-loss replacement contributions</t>
        </is>
      </c>
      <c r="DEO8" t="inlineStr">
        <is>
          <t>Other employment income</t>
        </is>
      </c>
      <c r="DEP8" t="inlineStr">
        <is>
          <t>Proceeds from disposition of qualified small business corporation shares</t>
        </is>
      </c>
      <c r="DEQ8" t="inlineStr">
        <is>
          <t>Gain (or loss) from disposition of qualified small business corporation shares</t>
        </is>
      </c>
      <c r="DER8" t="inlineStr">
        <is>
          <t>Proceeds from disposition of qualified farm or fishing property</t>
        </is>
      </c>
      <c r="DES8" t="inlineStr">
        <is>
          <t>Gain (or loss) from disposition of qualified farm or fishing property</t>
        </is>
      </c>
      <c r="DET8" t="inlineStr">
        <is>
          <t>Old age security pension</t>
        </is>
      </c>
      <c r="DEU8" t="inlineStr">
        <is>
          <t>CPP or QPP benefits</t>
        </is>
      </c>
      <c r="DEV8" t="inlineStr">
        <is>
          <t>Other pensions and superannuation</t>
        </is>
      </c>
      <c r="DEW8" t="inlineStr">
        <is>
          <t>Elected split-pension amount</t>
        </is>
      </c>
      <c r="DEX8" t="inlineStr">
        <is>
          <t>Universal child care benefit (UCCB)</t>
        </is>
      </c>
      <c r="DEY8" t="inlineStr">
        <is>
          <t>Employment insurance and other benefits</t>
        </is>
      </c>
      <c r="DEZ8" t="inlineStr">
        <is>
          <t>Taxable amount of dividends (eligible and other than eligible) from taxable Canadian corporations</t>
        </is>
      </c>
      <c r="DFA8" t="inlineStr">
        <is>
          <t>Interest and other investment income</t>
        </is>
      </c>
      <c r="DFB8" t="inlineStr">
        <is>
          <t>Net partnership income: limited or non-active partners only</t>
        </is>
      </c>
      <c r="DFC8" t="inlineStr">
        <is>
          <t>Proceeds from disposition of mortgage foreclosures and conditional sales repossessions of a qualified farm or fishing property</t>
        </is>
      </c>
      <c r="DFD8" t="inlineStr">
        <is>
          <t>Gain (or loss) from disposition of mortgage foreclosures and conditional sales repossessions of a qualified farm or fishing property</t>
        </is>
      </c>
      <c r="DFE8" t="inlineStr">
        <is>
          <t>Registered disability savings plan (RDSP) income</t>
        </is>
      </c>
      <c r="DFF8" t="inlineStr">
        <is>
          <t>Net rental income (loss)</t>
        </is>
      </c>
      <c r="DFG8" t="inlineStr">
        <is>
          <t>Taxable capital gains (or net capital loss)</t>
        </is>
      </c>
      <c r="DFH8" t="inlineStr">
        <is>
          <t>Taxable amount of support payments received Registered retirement savings plan (RRSP) income Other income</t>
        </is>
      </c>
      <c r="DFI8" t="inlineStr">
        <is>
          <t>Registered retirement savings plan (RRSP) income</t>
        </is>
      </c>
      <c r="DFJ8" t="inlineStr">
        <is>
          <t>Other income</t>
        </is>
      </c>
      <c r="DFK8" t="inlineStr">
        <is>
          <t>Proceeds from disposition of publicly traded shares, mutual fund units, deferral of eligible small business corporation shares, and other shares</t>
        </is>
      </c>
      <c r="DFL8" t="inlineStr">
        <is>
          <t>Gain (or loss) from disposition of publicly traded shares, mutual fund units, deferral of eligible small business corporation shares, and other shares</t>
        </is>
      </c>
      <c r="DFM8" t="inlineStr">
        <is>
          <t>Net business income (loss)</t>
        </is>
      </c>
      <c r="DFN8" t="inlineStr">
        <is>
          <t>Proceeds from disposition of real estate, depreciable property, and other properties</t>
        </is>
      </c>
      <c r="DFO8" t="inlineStr">
        <is>
          <t>Net professional income (loss)</t>
        </is>
      </c>
      <c r="DFP8" t="inlineStr">
        <is>
          <t>Gain (or loss) from disposition of real estate, depreciable property, and other properties</t>
        </is>
      </c>
      <c r="DFQ8" t="inlineStr">
        <is>
          <t>Net commission income (loss)</t>
        </is>
      </c>
      <c r="DFR8" t="inlineStr">
        <is>
          <t>Net farming income (loss)</t>
        </is>
      </c>
      <c r="DFS8" t="inlineStr">
        <is>
          <t>Net fishing income (loss)</t>
        </is>
      </c>
      <c r="DFT8" t="inlineStr">
        <is>
          <t>Workers’ compensation benefits</t>
        </is>
      </c>
      <c r="DFU8" t="inlineStr">
        <is>
          <t>Social assistance payments</t>
        </is>
      </c>
      <c r="DFV8" t="inlineStr">
        <is>
          <t>Net federal supplements</t>
        </is>
      </c>
      <c r="DFW8" t="inlineStr">
        <is>
          <t>Total income</t>
        </is>
      </c>
      <c r="DFX8" t="inlineStr">
        <is>
          <t>Proceeds from disposition of bonds, debentures, promissory notes, and other similar properties</t>
        </is>
      </c>
      <c r="DFY8" t="inlineStr">
        <is>
          <t>Disability benefits included on line 11400</t>
        </is>
      </c>
      <c r="DFZ8" t="inlineStr">
        <is>
          <t>Gain (or loss) from disposition of bonds, debentures, promissory notes, and other similar properties Proceeds from disposition of other mortgage foreclosures and conditional sales repossessions</t>
        </is>
      </c>
      <c r="DGA8" t="inlineStr">
        <is>
          <t>Proceeds from disposition of other mortgage foreclosures and conditional sales repossessions</t>
        </is>
      </c>
      <c r="DGB8" t="inlineStr">
        <is>
          <t>Gain (or loss) from disposition of other mortgage foreclosures and conditional sales repossessions</t>
        </is>
      </c>
      <c r="DGC8" t="inlineStr">
        <is>
          <t>Total support payments received</t>
        </is>
      </c>
      <c r="DGD8" t="inlineStr">
        <is>
          <t>Gain from disposition of personal-use property</t>
        </is>
      </c>
      <c r="DGE8" t="inlineStr">
        <is>
          <t>Net gain from disposition of listed personal property Capital gains deferral from qualifying dispositions of eligible small business corporation shares</t>
        </is>
      </c>
      <c r="DGF8" t="inlineStr">
        <is>
          <t>Gross rental income</t>
        </is>
      </c>
      <c r="DGG8" t="inlineStr">
        <is>
          <t>Capital gains deferral from qualifying dispositions of eligible small business corporation shares</t>
        </is>
      </c>
      <c r="DGH8" t="inlineStr">
        <is>
          <t>Gross business income</t>
        </is>
      </c>
      <c r="DGI8" t="inlineStr">
        <is>
          <t>Gross professional income</t>
        </is>
      </c>
      <c r="DGJ8" t="inlineStr">
        <is>
          <t>Gross commission income</t>
        </is>
      </c>
      <c r="DGK8" t="inlineStr">
        <is>
          <t>Gross farming income</t>
        </is>
      </c>
      <c r="DGL8" t="inlineStr">
        <is>
          <t>Gross fishing income</t>
        </is>
      </c>
      <c r="DGM8" t="inlineStr">
        <is>
          <t>T5, T5013, and T4PS information slips – Capital gains (or losses)</t>
        </is>
      </c>
      <c r="DGN8" t="inlineStr">
        <is>
          <t>T3 information slips – Capital gains (or losses)</t>
        </is>
      </c>
      <c r="DGO8" t="inlineStr">
        <is>
          <t>Capital loss from a reduction in the business investment loss</t>
        </is>
      </c>
      <c r="DGP8" t="inlineStr">
        <is>
          <t>Principal residence designation</t>
        </is>
      </c>
      <c r="DGQ8" t="inlineStr">
        <is>
          <t>Taxable amount of dividends other than eligible dividends, included on line 12000, from taxable Canadian corporations</t>
        </is>
      </c>
      <c r="DGR8" t="inlineStr">
        <is>
          <t>UCCB amount designated to a dependant</t>
        </is>
      </c>
      <c r="DGS8" t="inlineStr">
        <is>
          <t>Pooled registered pension plan (PRPP) employer contributions</t>
        </is>
      </c>
      <c r="DGT8" t="inlineStr">
        <is>
          <t>Pension adjustment</t>
        </is>
      </c>
      <c r="DGU8" t="inlineStr">
        <is>
          <t>Registered pension plan deduction</t>
        </is>
      </c>
      <c r="DGV8" t="inlineStr">
        <is>
          <t>RRSP deduction</t>
        </is>
      </c>
      <c r="DGW8" t="inlineStr">
        <is>
          <t>Deduction for elected split-pension amount</t>
        </is>
      </c>
      <c r="DGX8" t="inlineStr">
        <is>
          <t>Annual union, professional, or like dues</t>
        </is>
      </c>
      <c r="DGY8" t="inlineStr">
        <is>
          <t>Universal child care benefit repayment</t>
        </is>
      </c>
      <c r="DGZ8" t="inlineStr">
        <is>
          <t>Child care expenses</t>
        </is>
      </c>
      <c r="DHA8" t="inlineStr">
        <is>
          <t>Disability supports deduction</t>
        </is>
      </c>
      <c r="DHB8" t="inlineStr">
        <is>
          <t>Allowable business investment loss deduction</t>
        </is>
      </c>
      <c r="DHC8" t="inlineStr">
        <is>
          <t>Moving expenses</t>
        </is>
      </c>
      <c r="DHD8" t="inlineStr">
        <is>
          <t>Allowable deduction for support payments made</t>
        </is>
      </c>
      <c r="DHE8" t="inlineStr">
        <is>
          <t>Carrying charges and interest expenses</t>
        </is>
      </c>
      <c r="DHF8" t="inlineStr">
        <is>
          <t>Deduction for CPP or QPP contributions on self-employment and other earnings</t>
        </is>
      </c>
      <c r="DHG8" t="inlineStr">
        <is>
          <t>Deduction for PPIP premiums on self-employment income</t>
        </is>
      </c>
      <c r="DHH8" t="inlineStr">
        <is>
          <t>Exploration and development expenses</t>
        </is>
      </c>
      <c r="DHI8" t="inlineStr">
        <is>
          <t>Gross business investment loss</t>
        </is>
      </c>
      <c r="DHJ8" t="inlineStr">
        <is>
          <t>Other employment expenses</t>
        </is>
      </c>
      <c r="DHK8" t="inlineStr">
        <is>
          <t>Total support payments made</t>
        </is>
      </c>
      <c r="DHL8" t="inlineStr">
        <is>
          <t>Clergy residence deduction</t>
        </is>
      </c>
      <c r="DHM8" t="inlineStr">
        <is>
          <t>Other deductions</t>
        </is>
      </c>
      <c r="DHN8" t="inlineStr">
        <is>
          <t>Social benefits repayment</t>
        </is>
      </c>
      <c r="DHO8" t="inlineStr">
        <is>
          <t>Net income</t>
        </is>
      </c>
      <c r="DHP8" t="inlineStr">
        <is>
          <t>Transfers to an RRSP/PRPP/SPP</t>
        </is>
      </c>
      <c r="DHQ8" t="inlineStr">
        <is>
          <t>Canadian Forces personnel and police deduction</t>
        </is>
      </c>
      <c r="DHR8" t="inlineStr">
        <is>
          <t>Total RRSP, SPP, and PRPP contributions from March 2, 2019 to March 2, 2020</t>
        </is>
      </c>
      <c r="DHS8" t="inlineStr">
        <is>
          <t>Contributions designated as a repayment under the Home Buyers’ Plan</t>
        </is>
      </c>
      <c r="DHT8" t="inlineStr">
        <is>
          <t>Current year withdrawals for the HBP on T4RSP slips</t>
        </is>
      </c>
      <c r="DHU8" t="inlineStr">
        <is>
          <t>Security options deductions</t>
        </is>
      </c>
      <c r="DHV8" t="inlineStr">
        <is>
          <t>Other payments deduction</t>
        </is>
      </c>
      <c r="DHW8" t="inlineStr">
        <is>
          <t>Limited partnership losses of other years</t>
        </is>
      </c>
      <c r="DHX8" t="inlineStr">
        <is>
          <t>Non-capital losses of other years</t>
        </is>
      </c>
      <c r="DHY8" t="inlineStr">
        <is>
          <t>Net capital losses of other years</t>
        </is>
      </c>
      <c r="DHZ8" t="inlineStr">
        <is>
          <t>Capital gains deduction</t>
        </is>
      </c>
      <c r="DIA8" t="inlineStr">
        <is>
          <t>Northern residents deductions</t>
        </is>
      </c>
      <c r="DIB8" t="inlineStr">
        <is>
          <t>Additional deductions</t>
        </is>
      </c>
      <c r="DIC8" t="inlineStr">
        <is>
          <t>Address of home purchased under the HBP is the same as on page 1 of return</t>
        </is>
      </c>
      <c r="DID8" t="inlineStr">
        <is>
          <t>Taxable income</t>
        </is>
      </c>
      <c r="DIE8" t="inlineStr">
        <is>
          <t>Contributions designated as a repayment under the Lifelong Learning Plan</t>
        </is>
      </c>
      <c r="DIF8" t="inlineStr">
        <is>
          <t>Current year withdrawals for the LLP on T4RSP slips</t>
        </is>
      </c>
      <c r="DIG8" t="inlineStr">
        <is>
          <t>Designation of the spouse or common-law partner as the student for whom the funds were withdrawn under the LLP</t>
        </is>
      </c>
      <c r="DIH8" t="inlineStr">
        <is>
          <t>Foreign property held in the current tax year with a total cost of more than CAN$100,000</t>
        </is>
      </c>
      <c r="DII8" t="inlineStr">
        <is>
          <t>Current year contributions to an amateur athlete trust</t>
        </is>
      </c>
      <c r="DIJ8" t="inlineStr">
        <is>
          <t>Basic personal amount</t>
        </is>
      </c>
      <c r="DIK8" t="inlineStr">
        <is>
          <t>Age amount</t>
        </is>
      </c>
      <c r="DIL8" t="inlineStr">
        <is>
          <t>Spouse or common-law partner amount</t>
        </is>
      </c>
      <c r="DIM8" t="inlineStr">
        <is>
          <t>Canada caregiver amount for spouse or common-law partner, or eligible dependant age 18 or older</t>
        </is>
      </c>
      <c r="DIN8" t="inlineStr">
        <is>
          <t>Amount for an eligible dependant</t>
        </is>
      </c>
      <c r="DIO8" t="inlineStr">
        <is>
          <t>Canada caregiver amount for other infirm dependants age 18 or older</t>
        </is>
      </c>
      <c r="DIP8" t="inlineStr">
        <is>
          <t>CPP contributions</t>
        </is>
      </c>
      <c r="DIQ8" t="inlineStr">
        <is>
          <t>CPP contributions on self-employment and other earnings</t>
        </is>
      </c>
      <c r="DIR8" t="inlineStr">
        <is>
          <t>Employment insurance premiums</t>
        </is>
      </c>
      <c r="DIS8" t="inlineStr">
        <is>
          <t>Adoption expenses</t>
        </is>
      </c>
      <c r="DIT8" t="inlineStr">
        <is>
          <t>Pension income amount</t>
        </is>
      </c>
      <c r="DIU8" t="inlineStr">
        <is>
          <t>Disability amount (for self)</t>
        </is>
      </c>
      <c r="DIV8" t="inlineStr">
        <is>
          <t>Employment insurance premiums on self-employment and other eligible earnings</t>
        </is>
      </c>
      <c r="DIW8" t="inlineStr">
        <is>
          <t>Disability amount transferred from a dependant Interest paid on your student loans</t>
        </is>
      </c>
      <c r="DIX8" t="inlineStr">
        <is>
          <t>Interest paid on your student loans</t>
        </is>
      </c>
      <c r="DIY8" t="inlineStr">
        <is>
          <t>Eligible tuition fees paid to Canadian educational institutions for the current tax year</t>
        </is>
      </c>
      <c r="DIZ8" t="inlineStr">
        <is>
          <t>Your tuition, education, and textbook amounts</t>
        </is>
      </c>
      <c r="DJA8" t="inlineStr">
        <is>
          <t>Tuition amount transferred from a child</t>
        </is>
      </c>
      <c r="DJB8" t="inlineStr">
        <is>
          <t>Number of months enrolled as a part-time student</t>
        </is>
      </c>
      <c r="DJC8" t="inlineStr">
        <is>
          <t>Amounts transferred from your spouse or common-law partner</t>
        </is>
      </c>
      <c r="DJD8" t="inlineStr">
        <is>
          <t>Federal tuition amount transferred</t>
        </is>
      </c>
      <c r="DJE8" t="inlineStr">
        <is>
          <t>Number of months enrolled as a full-time student</t>
        </is>
      </c>
      <c r="DJF8" t="inlineStr">
        <is>
          <t>Donations made to government bodies</t>
        </is>
      </c>
      <c r="DJG8" t="inlineStr">
        <is>
          <t>Medical expenses for self, spouse or common-law partner, and dependent children under 18 years of age</t>
        </is>
      </c>
      <c r="DJH8" t="inlineStr">
        <is>
          <t>Allowable amount of medical expenses for other dependants</t>
        </is>
      </c>
      <c r="DJI8" t="inlineStr">
        <is>
          <t>Allowable amount of medical expenses</t>
        </is>
      </c>
      <c r="DJJ8" t="inlineStr">
        <is>
          <t>Donations made to registered universities outside Canada</t>
        </is>
      </c>
      <c r="DJK8" t="inlineStr">
        <is>
          <t>Donations made to the United Nations, its agencies, and certain registered foreign charitable organizations</t>
        </is>
      </c>
      <c r="DJL8" t="inlineStr">
        <is>
          <t>Gifts of depreciable property</t>
        </is>
      </c>
      <c r="DJM8" t="inlineStr">
        <is>
          <t>Non-refundable tax credits before donations and gifts</t>
        </is>
      </c>
      <c r="DJN8" t="inlineStr">
        <is>
          <t>Gifts of capital property</t>
        </is>
      </c>
      <c r="DJO8" t="inlineStr">
        <is>
          <t>Allowable charitable donations</t>
        </is>
      </c>
      <c r="DJP8" t="inlineStr">
        <is>
          <t>Eligible amount of cultural and ecological gifts</t>
        </is>
      </c>
      <c r="DJQ8" t="inlineStr">
        <is>
          <t>Not enrolled full-time due to effects of impairment Number of months enrolled as a part-time student Number of months enrolled as a full-time student</t>
        </is>
      </c>
      <c r="DJR8" t="inlineStr">
        <is>
          <t>Donations and gifts</t>
        </is>
      </c>
      <c r="DJS8" t="inlineStr">
        <is>
          <t>Total federal non-refundable tax credits</t>
        </is>
      </c>
      <c r="DJT8" t="inlineStr">
        <is>
          <t>Spouse’s or common-law partner’s adjusted taxable income</t>
        </is>
      </c>
      <c r="DJU8" t="inlineStr">
        <is>
          <t>Number of children for whom you are claiming the Canada caregiver amount for infirm children under 18 years of age</t>
        </is>
      </c>
      <c r="DJV8" t="inlineStr">
        <is>
          <t>Spouse’s or common-law partner’s age amount</t>
        </is>
      </c>
      <c r="DJW8" t="inlineStr">
        <is>
          <t>Total of donations made before 2016</t>
        </is>
      </c>
      <c r="DJX8" t="inlineStr">
        <is>
          <t>Spouse’s or common-law partner’s pension income amount</t>
        </is>
      </c>
      <c r="DJY8" t="inlineStr">
        <is>
          <t>Spouse’s or common-law partner’s disability amount</t>
        </is>
      </c>
      <c r="DJZ8" t="inlineStr">
        <is>
          <t>Tuition amount designated by your spouse or common-law partner</t>
        </is>
      </c>
      <c r="DKA8" t="inlineStr">
        <is>
          <t>Spouse’s or common-law partner’s Canada caregiver amount for infirm children under 18 years of age</t>
        </is>
      </c>
      <c r="DKB8" t="inlineStr">
        <is>
          <t>Volunteer firefighters’ amount</t>
        </is>
      </c>
      <c r="DKC8" t="inlineStr">
        <is>
          <t>Canada employment amount Home buyers’ amount</t>
        </is>
      </c>
      <c r="DKD8" t="inlineStr">
        <is>
          <t>Canada caregiver amount for infirm children under 18 years of age</t>
        </is>
      </c>
      <c r="DKE8" t="inlineStr">
        <is>
          <t>Home buyers’ amount</t>
        </is>
      </c>
      <c r="DKF8" t="inlineStr">
        <is>
          <t>Net business income/Pensionable net self-employment earnings</t>
        </is>
      </c>
      <c r="DKG8" t="inlineStr">
        <is>
          <t>Effective date of the electing to stop contributing to CPP on self-employment earnings</t>
        </is>
      </c>
      <c r="DKH8" t="inlineStr">
        <is>
          <t>Employment earnings not shown on a T4 slip on which you elect to pay additional CPP contributions/Income on which you wish to make optional contributions</t>
        </is>
      </c>
      <c r="DKI8" t="inlineStr">
        <is>
          <t>Effective date to revoke an election made in a prior year to stop contributing to CPP on self-employment earnings</t>
        </is>
      </c>
      <c r="DKJ8" t="inlineStr">
        <is>
          <t>PPIP premiums paid</t>
        </is>
      </c>
      <c r="DKK8" t="inlineStr">
        <is>
          <t>PPIP premiums payable on employment income</t>
        </is>
      </c>
      <c r="DKL8" t="inlineStr">
        <is>
          <t>PPIP premiums payable on self-employment income</t>
        </is>
      </c>
      <c r="DKM8" t="inlineStr">
        <is>
          <t>Do you have an eligible dependant?</t>
        </is>
      </c>
      <c r="DKN8" t="inlineStr">
        <is>
          <t>Do you have an eligible spouse?</t>
        </is>
      </c>
      <c r="DKO8" t="inlineStr">
        <is>
          <t>Eligible spouse’s taxable part of scholarship and grant income</t>
        </is>
      </c>
      <c r="DKP8" t="inlineStr">
        <is>
          <t>Eligible spouse’s tax-exempt part of working income earned on a reserve or an allowance received as an emergency volunteer</t>
        </is>
      </c>
      <c r="DKQ8" t="inlineStr">
        <is>
          <t>Eligible spouse’s working income</t>
        </is>
      </c>
      <c r="DKR8" t="inlineStr">
        <is>
          <t>Eligible spouse’s tax-exempt part of all income earned or received on a reserve less the deductions related to that income or an allowance received as an emergency volunteer</t>
        </is>
      </c>
      <c r="DKS8" t="inlineStr">
        <is>
          <t>Eligible spouse’s adjusted net income</t>
        </is>
      </c>
      <c r="DKT8" t="inlineStr">
        <is>
          <t>Are you eligible for the CWB/WITB?</t>
        </is>
      </c>
      <c r="DKU8" t="inlineStr">
        <is>
          <t>Are you eligible for the disability tax credit?</t>
        </is>
      </c>
      <c r="DKV8" t="inlineStr">
        <is>
          <t>Is your eligible spouse eligible for the disability tax credit for themselves?</t>
        </is>
      </c>
      <c r="DKW8" t="inlineStr">
        <is>
          <t>Search and rescue volunteers’ amount</t>
        </is>
      </c>
      <c r="DKX8" t="inlineStr">
        <is>
          <t>Home accessibility expenses</t>
        </is>
      </c>
      <c r="DKY8" t="inlineStr">
        <is>
          <t>Employment earnings shown on a T4 slip on which you elect to pay additional CPP contributions</t>
        </is>
      </c>
      <c r="DKZ8" t="inlineStr">
        <is>
          <t>Federal tax</t>
        </is>
      </c>
      <c r="DLA8" t="inlineStr">
        <is>
          <t>Total federal political contributions</t>
        </is>
      </c>
      <c r="DLB8" t="inlineStr">
        <is>
          <t>Federal political contribution tax credit</t>
        </is>
      </c>
      <c r="DLC8" t="inlineStr">
        <is>
          <t>Investment tax credit</t>
        </is>
      </c>
      <c r="DLD8" t="inlineStr">
        <is>
          <t>Labour-sponsored funds tax credit – Net cost</t>
        </is>
      </c>
      <c r="DLE8" t="inlineStr">
        <is>
          <t>Labour-sponsored funds tax credit – Allowable credit</t>
        </is>
      </c>
      <c r="DLF8" t="inlineStr">
        <is>
          <t>Canada workers benefit advance payments received</t>
        </is>
      </c>
      <c r="DLG8" t="inlineStr">
        <is>
          <t>Net federal tax before inclusion of CWB advance payments and special taxes</t>
        </is>
      </c>
      <c r="DLH8" t="inlineStr">
        <is>
          <t>Special taxes</t>
        </is>
      </c>
      <c r="DLI8" t="inlineStr">
        <is>
          <t>Net Federal Tax</t>
        </is>
      </c>
      <c r="DLJ8" t="inlineStr">
        <is>
          <t>Federal tax on split income</t>
        </is>
      </c>
      <c r="DLK8" t="inlineStr">
        <is>
          <t>Federal dividend tax credit</t>
        </is>
      </c>
      <c r="DLL8" t="inlineStr">
        <is>
          <t>Minimum tax carry-over</t>
        </is>
      </c>
      <c r="DLM8" t="inlineStr">
        <is>
          <t>Provincial or territorial tax</t>
        </is>
      </c>
      <c r="DLN8" t="inlineStr">
        <is>
          <t>Non-business income tax paid to a foreign country</t>
        </is>
      </c>
      <c r="DLO8" t="inlineStr">
        <is>
          <t>Yukon First Nations tax</t>
        </is>
      </c>
      <c r="DLP8" t="inlineStr">
        <is>
          <t>Net foreign non-business income</t>
        </is>
      </c>
      <c r="DLQ8" t="inlineStr">
        <is>
          <t>Business income tax paid to a foreign country</t>
        </is>
      </c>
      <c r="DLR8" t="inlineStr">
        <is>
          <t>Total payable</t>
        </is>
      </c>
      <c r="DLS8" t="inlineStr">
        <is>
          <t>Total income tax deducted</t>
        </is>
      </c>
      <c r="DLT8" t="inlineStr">
        <is>
          <t>Tax transfer for residents of Quebec</t>
        </is>
      </c>
      <c r="DLU8" t="inlineStr">
        <is>
          <t>Net foreign business income</t>
        </is>
      </c>
      <c r="DLV8" t="inlineStr">
        <is>
          <t>Refundable Quebec abatement</t>
        </is>
      </c>
      <c r="DLW8" t="inlineStr">
        <is>
          <t>Federal refundable First Nations abatement</t>
        </is>
      </c>
      <c r="DLX8" t="inlineStr">
        <is>
          <t>CPP overpayment</t>
        </is>
      </c>
      <c r="DLY8" t="inlineStr">
        <is>
          <t>Climate action incentive</t>
        </is>
      </c>
      <c r="DLZ8" t="inlineStr">
        <is>
          <t>Employment insurance overpayment</t>
        </is>
      </c>
      <c r="DMA8" t="inlineStr">
        <is>
          <t>Refundable medical expense supplement</t>
        </is>
      </c>
      <c r="DMB8" t="inlineStr">
        <is>
          <t>Canada workers benefit (Working income tax benefit)</t>
        </is>
      </c>
      <c r="DMC8" t="inlineStr">
        <is>
          <t>Refund of investment tax credit</t>
        </is>
      </c>
      <c r="DMD8" t="inlineStr">
        <is>
          <t>Part XII.2 trust tax credit</t>
        </is>
      </c>
      <c r="DME8" t="inlineStr">
        <is>
          <t>Employee and partner GST/HST rebate</t>
        </is>
      </c>
      <c r="DMF8" t="inlineStr">
        <is>
          <t>Direct deposit – Branch number</t>
        </is>
      </c>
      <c r="DMG8" t="inlineStr">
        <is>
          <t>Direct deposit – Institution number</t>
        </is>
      </c>
      <c r="DMH8" t="inlineStr">
        <is>
          <t>Direct deposit – Account number</t>
        </is>
      </c>
      <c r="DMI8" t="inlineStr">
        <is>
          <t>Donation to the Ontario opportunities fund</t>
        </is>
      </c>
      <c r="DMJ8" t="inlineStr">
        <is>
          <t>Net refund</t>
        </is>
      </c>
      <c r="DMK8" t="inlineStr">
        <is>
          <t>Supplies expenses for eligible educator school supply tax credit</t>
        </is>
      </c>
      <c r="DML8" t="inlineStr">
        <is>
          <t>Eligible educator school supply tax credit</t>
        </is>
      </c>
      <c r="DMM8" t="inlineStr">
        <is>
          <t>Tax paid by instalments</t>
        </is>
      </c>
      <c r="DMN8" t="inlineStr">
        <is>
          <t>Provincial or territorial credits</t>
        </is>
      </c>
      <c r="DMO8" t="inlineStr">
        <is>
          <t>Refund</t>
        </is>
      </c>
      <c r="DMP8" t="inlineStr">
        <is>
          <t>Balance owing</t>
        </is>
      </c>
      <c r="DMQ8" t="inlineStr">
        <is>
          <t>Amount enclosed</t>
        </is>
      </c>
      <c r="DMR8" t="inlineStr">
        <is>
          <t>Volunteer program</t>
        </is>
      </c>
      <c r="DMS8" t="inlineStr">
        <is>
          <t>Refund transfer</t>
        </is>
      </c>
      <c r="DMT8" t="inlineStr">
        <is>
          <t>Tax preparer code</t>
        </is>
      </c>
      <c r="DMU8" t="inlineStr">
        <is>
          <t>EI and PPIP premiums (non-Quebec return)</t>
        </is>
      </c>
      <c r="DMV8" t="inlineStr">
        <is>
          <t>Total PPIP premiums</t>
        </is>
      </c>
      <c r="DMW8" t="inlineStr">
        <is>
          <t>Total EI premiums</t>
        </is>
      </c>
      <c r="DMX8" t="inlineStr">
        <is>
          <t>PPIP indicator</t>
        </is>
      </c>
      <c r="DMY8" t="inlineStr">
        <is>
          <t>QPP contributions</t>
        </is>
      </c>
      <c r="DMZ8" t="inlineStr">
        <is>
          <t>QPP contributions on self-employment and other earnings</t>
        </is>
      </c>
      <c r="DNA8" t="inlineStr">
        <is>
          <t>Actual total contributions on QPP pensionable earnings</t>
        </is>
      </c>
      <c r="DNB8" t="inlineStr">
        <is>
          <t>Actual total contributions on CPP pensionable earnings</t>
        </is>
      </c>
      <c r="DNC8" t="inlineStr">
        <is>
          <t>Capital gains at 100%</t>
        </is>
      </c>
      <c r="DND8" t="inlineStr">
        <is>
          <t>Dependant’s net income (line 23600 of his or her return)</t>
        </is>
      </c>
      <c r="DNE8" t="inlineStr">
        <is>
          <t>Canada caregiver amount for spouse or common-law partner</t>
        </is>
      </c>
      <c r="DNF8" t="inlineStr">
        <is>
          <t>Canada caregiver amount for a dependant (other than an infirm child under 18 year of age)</t>
        </is>
      </c>
      <c r="DNG8" t="inlineStr">
        <is>
          <t>Total number of dependants</t>
        </is>
      </c>
      <c r="DNH8" t="inlineStr">
        <is>
          <t>Number of full weeks in attendance at a designated educational institution or secondary school</t>
        </is>
      </c>
      <c r="DNI8" t="inlineStr">
        <is>
          <t>Earnings for services performed in Canada on which the foreign social security contributions were made</t>
        </is>
      </c>
      <c r="DNJ8" t="inlineStr">
        <is>
          <t>Amount contributed to a foreign social security arrangement</t>
        </is>
      </c>
      <c r="DNK8" t="inlineStr">
        <is>
          <t>Allowable non-refundable tax credit for contributions to a foreign social security arrangement</t>
        </is>
      </c>
      <c r="DNL8" t="inlineStr">
        <is>
          <t>Contributions to a foreign employer-sponsored pension plan</t>
        </is>
      </c>
      <c r="DNM8" t="inlineStr">
        <is>
          <t>Resident compensation from employment services</t>
        </is>
      </c>
      <c r="DNN8" t="inlineStr">
        <is>
          <t>Pension adjustment from a U.S. retirement plan/Prescribed amount from a U.S. retirement plan/Pension adjustment from a foreign employer-sponsored pension plan</t>
        </is>
      </c>
      <c r="DNO8" t="inlineStr">
        <is>
          <t>Contributions to a U.S. retirement plan</t>
        </is>
      </c>
      <c r="DNP8" t="inlineStr">
        <is>
          <t>Contributions to a U.S. retirement plan</t>
        </is>
      </c>
      <c r="DNQ8" t="inlineStr">
        <is>
          <t>Spouse’s or common-law partner’s capital gains from mortgage foreclosures and conditional sales repossessions</t>
        </is>
      </c>
      <c r="DNR8" t="inlineStr">
        <is>
          <t>Spouse’s or common-law partner’s net-income while the taxpayer is living in Canada</t>
        </is>
      </c>
      <c r="DNS8" t="inlineStr">
        <is>
          <t>Spouse’s or common-law partner’s net-income while the taxpayer is living outside of Canada</t>
        </is>
      </c>
      <c r="DNT8" t="inlineStr">
        <is>
          <t>Net foreign non-business income from the first foreign country</t>
        </is>
      </c>
      <c r="DNU8" t="inlineStr">
        <is>
          <t>Net foreign non-business income from the second foreign country</t>
        </is>
      </c>
      <c r="DNV8" t="inlineStr">
        <is>
          <t>Net foreign non-business income from the third foreign country</t>
        </is>
      </c>
      <c r="DNW8" t="inlineStr">
        <is>
          <t>Business income tax paid to the first foreign country</t>
        </is>
      </c>
      <c r="DNX8" t="inlineStr">
        <is>
          <t>Non-business income tax paid to first foreign country</t>
        </is>
      </c>
      <c r="DNY8" t="inlineStr">
        <is>
          <t>Non-business income tax paid to second foreign country</t>
        </is>
      </c>
      <c r="DNZ8" t="inlineStr">
        <is>
          <t>Non-business income tax paid to third foreign country</t>
        </is>
      </c>
      <c r="DOA8" t="inlineStr">
        <is>
          <t>Net business income from the first foreign country</t>
        </is>
      </c>
      <c r="DOB8" t="inlineStr">
        <is>
          <t>Net business income from the second foreign country</t>
        </is>
      </c>
      <c r="DOC8" t="inlineStr">
        <is>
          <t>Net business income from the third foreign country</t>
        </is>
      </c>
      <c r="DOD8" t="inlineStr">
        <is>
          <t>Business income tax paid to the second foreign country</t>
        </is>
      </c>
      <c r="DOE8" t="inlineStr">
        <is>
          <t>Business income tax paid to the third foreign country</t>
        </is>
      </c>
      <c r="DOF8" t="inlineStr">
        <is>
          <t>Vow of perpetual poverty</t>
        </is>
      </c>
      <c r="DOG8" t="inlineStr">
        <is>
          <t>Canadian sourced non-resident income, excluding the income subject to Part XIII tax</t>
        </is>
      </c>
      <c r="DOH8" t="inlineStr">
        <is>
          <t>Canadian sourced non-resident income subject to Part XIII tax plus foreign sourced non-resident income</t>
        </is>
      </c>
      <c r="DOI8" t="inlineStr">
        <is>
          <t>BC logging tax paid</t>
        </is>
      </c>
      <c r="DOJ8" t="inlineStr">
        <is>
          <t>QC logging tax paid</t>
        </is>
      </c>
      <c r="DOK8" t="inlineStr">
        <is>
          <t>Total QPP pensionable earnings</t>
        </is>
      </c>
      <c r="DOL8" t="inlineStr">
        <is>
          <t>Total CPP pensionable earnings</t>
        </is>
      </c>
      <c r="DOM8" t="inlineStr">
        <is>
          <t>Indicator for filing due date for tax shelter, or inactive or active business income</t>
        </is>
      </c>
      <c r="DON8" t="inlineStr">
        <is>
          <t>BC logging income</t>
        </is>
      </c>
      <c r="DOO8" t="inlineStr">
        <is>
          <t>CCA on certified film property</t>
        </is>
      </c>
      <c r="DOP8" t="inlineStr">
        <is>
          <t>Ineligible pension income</t>
        </is>
      </c>
      <c r="DOQ8" t="inlineStr">
        <is>
          <t>Income with tax withheld supported by information slips</t>
        </is>
      </c>
      <c r="DOR8" t="inlineStr">
        <is>
          <t>T4 earning reduction</t>
        </is>
      </c>
      <c r="DOS8" t="inlineStr">
        <is>
          <t>Quebec tax deducted (from slips in the taxpayer's name)</t>
        </is>
      </c>
      <c r="DOT8" t="inlineStr">
        <is>
          <t>Income on which Quebec tax was withheld (from slips in the taxpayer's name)</t>
        </is>
      </c>
      <c r="DOU8" t="inlineStr">
        <is>
          <t>Amount of OAS pension repaid</t>
        </is>
      </c>
      <c r="DOV8" t="inlineStr">
        <is>
          <t>Limited partnership loss carryforward from 1986 and 1987</t>
        </is>
      </c>
      <c r="DOW8" t="inlineStr">
        <is>
          <t>Limited partnership loss available for carryforward</t>
        </is>
      </c>
      <c r="DOX8" t="inlineStr">
        <is>
          <t>Amount of self-employment net earnings reported at self-employed lines in relation to T4 self-employment on which EI premiums through employment were deducted</t>
        </is>
      </c>
      <c r="DOY8" t="inlineStr">
        <is>
          <t>Shareholder's loan repayment</t>
        </is>
      </c>
      <c r="DOZ8" t="inlineStr">
        <is>
          <t>QC logging income</t>
        </is>
      </c>
      <c r="DPA8" t="inlineStr">
        <is>
          <t>Spouse's or common-law partner's total split income</t>
        </is>
      </c>
      <c r="DPB8" t="inlineStr">
        <is>
          <t>CWB income from other returns</t>
        </is>
      </c>
      <c r="DPC8" t="inlineStr">
        <is>
          <t>Net business income (amount from line 27 of Schedule L of the Quebec provincial income tax return)</t>
        </is>
      </c>
      <c r="DPD8" t="inlineStr">
        <is>
          <t>Employment income where the province or territory of employment is other than Quebec</t>
        </is>
      </c>
      <c r="DPE8" t="inlineStr">
        <is>
          <t>PPIP insurable earnings</t>
        </is>
      </c>
      <c r="DPF8" t="inlineStr">
        <is>
          <t>Shareholder earnings</t>
        </is>
      </c>
      <c r="DPG8" t="inlineStr">
        <is>
          <t>Tax-exempt self-employment income earned by a status indian</t>
        </is>
      </c>
      <c r="DPH8" t="inlineStr">
        <is>
          <t>Taxable income from the post-bankruptcy period</t>
        </is>
      </c>
      <c r="DPI8" t="inlineStr">
        <is>
          <t>EI insurable earnings</t>
        </is>
      </c>
      <c r="DPJ8" t="inlineStr">
        <is>
          <t>EI and other benefits repaid</t>
        </is>
      </c>
      <c r="DPK8" t="inlineStr">
        <is>
          <t>Farm/fish loss</t>
        </is>
      </c>
      <c r="DPL8" t="inlineStr">
        <is>
          <t>Total section 31 farm loss</t>
        </is>
      </c>
      <c r="DPM8" t="inlineStr">
        <is>
          <t>Restricted farm loss</t>
        </is>
      </c>
      <c r="DPN8" t="inlineStr">
        <is>
          <t>RRSP earned income calculation</t>
        </is>
      </c>
      <c r="DPO8" t="inlineStr">
        <is>
          <t>Home Buyers' Plan (HBP) participant repayment amount</t>
        </is>
      </c>
      <c r="DPP8" t="inlineStr">
        <is>
          <t>Lifelong Learning Plan (LLP) participant repayment amount</t>
        </is>
      </c>
      <c r="DPQ8" t="inlineStr">
        <is>
          <t>Indicator for marital status change</t>
        </is>
      </c>
      <c r="DPR8" t="inlineStr">
        <is>
          <t>Spousal indicator</t>
        </is>
      </c>
      <c r="DPS8" t="inlineStr">
        <is>
          <t>Marital status change indicator for the amount for an eligible dependant</t>
        </is>
      </c>
      <c r="DPT8" t="inlineStr">
        <is>
          <t>Earned income adjustment amount</t>
        </is>
      </c>
      <c r="DPU8" t="inlineStr">
        <is>
          <t>Net self-employment income (loss) adjustment amount</t>
        </is>
      </c>
      <c r="DPV8" t="inlineStr">
        <is>
          <t>RDSP repayment by taxpayer</t>
        </is>
      </c>
      <c r="DPW8" t="inlineStr">
        <is>
          <t>RDSP income of spouse or common-law partner</t>
        </is>
      </c>
      <c r="DPX8" t="inlineStr">
        <is>
          <t>RDSP repayment by spouse or common-law partner</t>
        </is>
      </c>
      <c r="DPY8" t="inlineStr">
        <is>
          <t>Number of months of retirement</t>
        </is>
      </c>
      <c r="DPZ8" t="inlineStr">
        <is>
          <t>Number of months of disability</t>
        </is>
      </c>
      <c r="DQA8" t="inlineStr">
        <is>
          <t>CPP/QPP retirement benefits</t>
        </is>
      </c>
      <c r="DQB8" t="inlineStr">
        <is>
          <t>Basic personal amount</t>
        </is>
      </c>
      <c r="DQC8" t="inlineStr">
        <is>
          <t>Age amount</t>
        </is>
      </c>
      <c r="DQD8" t="inlineStr">
        <is>
          <t>Spousal or common-law law partner amount</t>
        </is>
      </c>
      <c r="DQE8" t="inlineStr">
        <is>
          <t>Amount for an eligible dependant</t>
        </is>
      </c>
      <c r="DQF8" t="inlineStr">
        <is>
          <t>Caregiver amount for spouse or common-law partner, or eligible dependant age 18 or older</t>
        </is>
      </c>
      <c r="DQG8" t="inlineStr">
        <is>
          <t>British Columbia caregiver amount</t>
        </is>
      </c>
      <c r="DQH8" t="inlineStr">
        <is>
          <t>Caregiver amount for infirm dependants age 18 or older</t>
        </is>
      </c>
      <c r="DQI8" t="inlineStr">
        <is>
          <t>Ontario caregiver amount</t>
        </is>
      </c>
      <c r="DQJ8" t="inlineStr">
        <is>
          <t>Caregiver amount for infirm children under 18 years of age</t>
        </is>
      </c>
      <c r="DQK8" t="inlineStr">
        <is>
          <t>Amount for infirm dependants age 18 or older</t>
        </is>
      </c>
      <c r="DQL8" t="inlineStr">
        <is>
          <t>Number of children</t>
        </is>
      </c>
      <c r="DQM8" t="inlineStr">
        <is>
          <t>Amount for dependent children age 18 or younger</t>
        </is>
      </c>
      <c r="DQN8" t="inlineStr">
        <is>
          <t>Senior supplementary amount</t>
        </is>
      </c>
      <c r="DQO8" t="inlineStr">
        <is>
          <t>Number of months being claimed for all qualifying children</t>
        </is>
      </c>
      <c r="DQP8" t="inlineStr">
        <is>
          <t>Amount for young children</t>
        </is>
      </c>
      <c r="DQQ8" t="inlineStr">
        <is>
          <t>CPP or QPP contributions</t>
        </is>
      </c>
      <c r="DQR8" t="inlineStr">
        <is>
          <t>CPP or QPP contributions on self-employment and other earnings</t>
        </is>
      </c>
      <c r="DQS8" t="inlineStr">
        <is>
          <t>Employment insurance premiums</t>
        </is>
      </c>
      <c r="DQT8" t="inlineStr">
        <is>
          <t>Employment insurance premiums on self-employment and other eligible earnings</t>
        </is>
      </c>
      <c r="DQU8" t="inlineStr">
        <is>
          <t>Canada employment amount</t>
        </is>
      </c>
      <c r="DQV8" t="inlineStr">
        <is>
          <t>Volunteer firefighters’ amount</t>
        </is>
      </c>
      <c r="DQW8" t="inlineStr">
        <is>
          <t>Search and rescue volunteers’ amount</t>
        </is>
      </c>
      <c r="DQX8" t="inlineStr">
        <is>
          <t>Child care amount</t>
        </is>
      </c>
      <c r="DQY8" t="inlineStr">
        <is>
          <t>Fitness amount</t>
        </is>
      </c>
      <c r="DQZ8" t="inlineStr">
        <is>
          <t>Children’s arts amount</t>
        </is>
      </c>
      <c r="DRA8" t="inlineStr">
        <is>
          <t>Adoption expenses</t>
        </is>
      </c>
      <c r="DRB8" t="inlineStr">
        <is>
          <t>First-time home buyers’ amount</t>
        </is>
      </c>
      <c r="DRC8" t="inlineStr">
        <is>
          <t>Pension income amount</t>
        </is>
      </c>
      <c r="DRD8" t="inlineStr">
        <is>
          <t>Caregiver amount</t>
        </is>
      </c>
      <c r="DRE8" t="inlineStr">
        <is>
          <t>Disability amount (for self)</t>
        </is>
      </c>
      <c r="DRF8" t="inlineStr">
        <is>
          <t>Disability amount transferred from a dependant</t>
        </is>
      </c>
      <c r="DRG8" t="inlineStr">
        <is>
          <t>Teacher school supply amount</t>
        </is>
      </c>
      <c r="DRH8" t="inlineStr">
        <is>
          <t>Interest paid on your student loans</t>
        </is>
      </c>
      <c r="DRI8" t="inlineStr">
        <is>
          <t>Your tuition and education amounts</t>
        </is>
      </c>
      <c r="DRJ8" t="inlineStr">
        <is>
          <t>Your unused tuition and education amounts</t>
        </is>
      </c>
      <c r="DRK8" t="inlineStr">
        <is>
          <t>Your tuition, education, and textbook amounts</t>
        </is>
      </c>
      <c r="DRL8" t="inlineStr">
        <is>
          <t>Tuition and education amounts transferred from a child</t>
        </is>
      </c>
      <c r="DRM8" t="inlineStr">
        <is>
          <t>Tuition amounts transferred from a child NB428</t>
        </is>
      </c>
      <c r="DRN8" t="inlineStr">
        <is>
          <t>Tuition, education, and textbook amounts transferred from a child</t>
        </is>
      </c>
      <c r="DRO8" t="inlineStr">
        <is>
          <t>Amounts transferred from your spouse or common-law partner</t>
        </is>
      </c>
      <c r="DRP8" t="inlineStr">
        <is>
          <t>Medical expenses for self, spouse or common-law partner, and your dependent children under 18 years of age</t>
        </is>
      </c>
      <c r="DRQ8" t="inlineStr">
        <is>
          <t>Allowable amount of medical expenses for other dependants</t>
        </is>
      </c>
      <c r="DRR8" t="inlineStr">
        <is>
          <t>Total tax-exempt employment earnings</t>
        </is>
      </c>
      <c r="DRS8" t="inlineStr">
        <is>
          <t>Allowable amount of medical expenses</t>
        </is>
      </c>
      <c r="DRT8" t="inlineStr">
        <is>
          <t>Add lines 58040 to 58640 (and line 61470 for MB) and line 58769</t>
        </is>
      </c>
      <c r="DRU8" t="inlineStr">
        <is>
          <t>Total tax-exempt self-employment earnings and other tax-exempt earned income</t>
        </is>
      </c>
      <c r="DRV8" t="inlineStr">
        <is>
          <t>Total eligible PRPP contributions from tax-exempt income</t>
        </is>
      </c>
      <c r="DRW8" t="inlineStr">
        <is>
          <t>PRPP contributions from tax-exempt income designated as a repayment under the HBP</t>
        </is>
      </c>
      <c r="DRX8" t="inlineStr">
        <is>
          <t>Provincial or territorial non-refundable tax credits before donations and gifts</t>
        </is>
      </c>
      <c r="DRY8" t="inlineStr">
        <is>
          <t>Non-refundable tax credits before donations and gifts and the farmers’ food donation tax credit</t>
        </is>
      </c>
      <c r="DRZ8" t="inlineStr">
        <is>
          <t>Donations and gifts</t>
        </is>
      </c>
      <c r="DSA8" t="inlineStr">
        <is>
          <t>PRPP contributions from tax-exempt income designated as a repayment under the LLP</t>
        </is>
      </c>
      <c r="DSB8" t="inlineStr">
        <is>
          <t>BC farmers’ food donation tax credit</t>
        </is>
      </c>
      <c r="DSC8" t="inlineStr">
        <is>
          <t>Spouse’s or common-law partner’s amount for young children less than 6 years of age</t>
        </is>
      </c>
      <c r="DSD8" t="inlineStr">
        <is>
          <t>Spouse’s or common-law partner’s amount for dependent children age 18 or younger</t>
        </is>
      </c>
      <c r="DSE8" t="inlineStr">
        <is>
          <t>Spouse’s or common-law partner’s age amount</t>
        </is>
      </c>
      <c r="DSF8" t="inlineStr">
        <is>
          <t>Spouse’s or common-law partner’s senior supplementary amount</t>
        </is>
      </c>
      <c r="DSG8" t="inlineStr">
        <is>
          <t>Spouse’s or common-law partner’s provincial/territorial caregiver amount for infirm children under 18 years of age</t>
        </is>
      </c>
      <c r="DSH8" t="inlineStr">
        <is>
          <t>Spouse’s or common-law partner’s pension income amount</t>
        </is>
      </c>
      <c r="DSI8" t="inlineStr">
        <is>
          <t>Spouse’s or common-law partner’s disability amount</t>
        </is>
      </c>
      <c r="DSJ8" t="inlineStr">
        <is>
          <t>Tuition and education amounts designated by your spouse or common-law partner</t>
        </is>
      </c>
      <c r="DSK8" t="inlineStr">
        <is>
          <t>Tuition amounts designated by your spouse or common-law partner</t>
        </is>
      </c>
      <c r="DSL8" t="inlineStr">
        <is>
          <t>Tuition, education, and textbook amounts designated by your spouse or common-law partner</t>
        </is>
      </c>
      <c r="DSM8" t="inlineStr">
        <is>
          <t>Spouse’s or common-law partner’s adjusted taxable income</t>
        </is>
      </c>
      <c r="DSN8" t="inlineStr">
        <is>
          <t>Eligible tuition fees paid for the current tax year</t>
        </is>
      </c>
      <c r="DSO8" t="inlineStr">
        <is>
          <t>Eligible tuition fees paid for 2017 and 2018</t>
        </is>
      </c>
      <c r="DSP8" t="inlineStr">
        <is>
          <t>Part-time education amount</t>
        </is>
      </c>
      <c r="DSQ8" t="inlineStr">
        <is>
          <t>Part-time education and textbook amounts</t>
        </is>
      </c>
      <c r="DSR8" t="inlineStr">
        <is>
          <t>Full-time education amount</t>
        </is>
      </c>
      <c r="DSS8" t="inlineStr">
        <is>
          <t>Full-time education and textbook amounts</t>
        </is>
      </c>
      <c r="DST8" t="inlineStr">
        <is>
          <t>Provincial amount transferred</t>
        </is>
      </c>
      <c r="DSU8" t="inlineStr">
        <is>
          <t>Territorial amount transferred</t>
        </is>
      </c>
      <c r="DSV8" t="inlineStr">
        <is>
          <t>Provincial tuition amount transferred</t>
        </is>
      </c>
      <c r="DSW8" t="inlineStr">
        <is>
          <t>Territorial tuition amount transferred</t>
        </is>
      </c>
      <c r="DSX8" t="inlineStr">
        <is>
          <t>Amount for infirm dependants age 18 or older</t>
        </is>
      </c>
      <c r="DSY8" t="inlineStr">
        <is>
          <t>Caregiver amount</t>
        </is>
      </c>
      <c r="DSZ8" t="inlineStr">
        <is>
          <t>Disability amount (for self)</t>
        </is>
      </c>
      <c r="DTA8" t="inlineStr">
        <is>
          <t>Disability amount transferred from a dependant</t>
        </is>
      </c>
      <c r="DTB8" t="inlineStr">
        <is>
          <t>Amounts transferred from your spouse or common-law partner</t>
        </is>
      </c>
      <c r="DTC8" t="inlineStr">
        <is>
          <t>Allowable amount of medical expenses for other dependants</t>
        </is>
      </c>
      <c r="DTD8" t="inlineStr">
        <is>
          <t>Disability amount (for self)</t>
        </is>
      </c>
      <c r="DTE8" t="inlineStr">
        <is>
          <t>Disability amount transferred from a dependant</t>
        </is>
      </c>
      <c r="DTF8" t="inlineStr">
        <is>
          <t>Total provincial amounts designated to you by a student</t>
        </is>
      </c>
      <c r="DTG8" t="inlineStr">
        <is>
          <t>Amounts transferred from your spouse or common-law partner</t>
        </is>
      </c>
      <c r="DTH8" t="inlineStr">
        <is>
          <t>Allowable amount of medical expenses for other dependants</t>
        </is>
      </c>
      <c r="DTI8" t="inlineStr">
        <is>
          <t>Program type from the current tax year</t>
        </is>
      </c>
      <c r="DTJ8" t="inlineStr">
        <is>
          <t>Eligible tuition fees paid</t>
        </is>
      </c>
      <c r="DTK8" t="inlineStr">
        <is>
          <t>“Eligibility Maximum” from the current tax year</t>
        </is>
      </c>
      <c r="DTL8" t="inlineStr">
        <is>
          <t>Program type from the current tax year</t>
        </is>
      </c>
      <c r="DTM8" t="inlineStr">
        <is>
          <t>Eligible tuition fees paid</t>
        </is>
      </c>
      <c r="DTN8" t="inlineStr">
        <is>
          <t>Eligibility Maximum from the current tax year</t>
        </is>
      </c>
      <c r="DTO8" t="inlineStr">
        <is>
          <t>Program type from the current tax year</t>
        </is>
      </c>
      <c r="DTP8" t="inlineStr">
        <is>
          <t>Eligible tuition fees paid</t>
        </is>
      </c>
      <c r="DTQ8" t="inlineStr">
        <is>
          <t>Eligibility Maximum from the current tax year</t>
        </is>
      </c>
      <c r="DTR8" t="inlineStr">
        <is>
          <t>AB political contributions tax credit</t>
        </is>
      </c>
      <c r="DTS8" t="inlineStr">
        <is>
          <t>Investor tax credit – Current tax year</t>
        </is>
      </c>
      <c r="DTT8" t="inlineStr">
        <is>
          <t>Climate action incentive – Basic amount</t>
        </is>
      </c>
      <c r="DTU8" t="inlineStr">
        <is>
          <t>Climate action incentive – Amount for an eligible spouse or common-law partner</t>
        </is>
      </c>
      <c r="DTV8" t="inlineStr">
        <is>
          <t>Climate action incentive – Amount for a single parent’s qualified dependant</t>
        </is>
      </c>
      <c r="DTW8" t="inlineStr">
        <is>
          <t>Climate action incentive – Number of qualified dependants</t>
        </is>
      </c>
      <c r="DTX8" t="inlineStr">
        <is>
          <t>Climate action incentive – Do you reside outside of a census metropolitan area on December 31 of the tax year, as defined by Statistics Canada?</t>
        </is>
      </c>
      <c r="DTY8" t="inlineStr">
        <is>
          <t>Basic sales tax credit</t>
        </is>
      </c>
      <c r="DTZ8" t="inlineStr">
        <is>
          <t>Additional sales tax credit for spouse or common-law partner</t>
        </is>
      </c>
      <c r="DUA8" t="inlineStr">
        <is>
          <t>Home renovation expenses</t>
        </is>
      </c>
      <c r="DUB8" t="inlineStr">
        <is>
          <t>BC political contribution tax credit</t>
        </is>
      </c>
      <c r="DUC8" t="inlineStr">
        <is>
          <t>Employee share ownership plan tax credit</t>
        </is>
      </c>
      <c r="DUD8" t="inlineStr">
        <is>
          <t>Employee venture capital tax credit</t>
        </is>
      </c>
      <c r="DUE8" t="inlineStr">
        <is>
          <t>Home renovation expenses for seniors and persons with disabilities</t>
        </is>
      </c>
      <c r="DUF8" t="inlineStr">
        <is>
          <t>Venture capital tax credit – Current tax year</t>
        </is>
      </c>
      <c r="DUG8" t="inlineStr">
        <is>
          <t>Venture capital tax credit – First 60 days subsequent to the current tax year</t>
        </is>
      </c>
      <c r="DUH8" t="inlineStr">
        <is>
          <t>Mining exploration tax credit</t>
        </is>
      </c>
      <c r="DUI8" t="inlineStr">
        <is>
          <t>Mining exploration tax credit allocated from a partnership</t>
        </is>
      </c>
      <c r="DUJ8" t="inlineStr">
        <is>
          <t>Training tax credit (Individuals)</t>
        </is>
      </c>
      <c r="DUK8" t="inlineStr">
        <is>
          <t>Training tax credit (Employers)</t>
        </is>
      </c>
      <c r="DUL8" t="inlineStr">
        <is>
          <t>Shipbuilding and ship repair industry tax credit</t>
        </is>
      </c>
      <c r="DUM8" t="inlineStr">
        <is>
          <t>Age amount for spouse or common-law partner</t>
        </is>
      </c>
      <c r="DUN8" t="inlineStr">
        <is>
          <t>Disability amount for spouse or common-law partner</t>
        </is>
      </c>
      <c r="DUO8" t="inlineStr">
        <is>
          <t>Number of disability claims for self or a dependant other than your spouse or common-law partner</t>
        </is>
      </c>
      <c r="DUP8" t="inlineStr">
        <is>
          <t>Number of disabled dependants 18 years of age or older</t>
        </is>
      </c>
      <c r="DUQ8" t="inlineStr">
        <is>
          <t>Number of dependent children 18 years of age or younger</t>
        </is>
      </c>
      <c r="DUR8" t="inlineStr">
        <is>
          <t>Labour-sponsored funds tax credit</t>
        </is>
      </c>
      <c r="DUS8" t="inlineStr">
        <is>
          <t>Community enterprise development tax credit claimed</t>
        </is>
      </c>
      <c r="DUT8" t="inlineStr">
        <is>
          <t>Community enterprise development tax credit amount from Slip T2CEDTC (MAN.)</t>
        </is>
      </c>
      <c r="DUU8" t="inlineStr">
        <is>
          <t>Small business venture capital tax credit claimed</t>
        </is>
      </c>
      <c r="DUV8" t="inlineStr">
        <is>
          <t>Credit amount from Slip T2SBVCTC (MAN.)</t>
        </is>
      </c>
      <c r="DUW8" t="inlineStr">
        <is>
          <t>Employee share purchase tax credit claimed</t>
        </is>
      </c>
      <c r="DUX8" t="inlineStr">
        <is>
          <t>Involuntary separation indicator</t>
        </is>
      </c>
      <c r="DUY8" t="inlineStr">
        <is>
          <t>Basic, age, and disability credits for spouse or common-law partner</t>
        </is>
      </c>
      <c r="DUZ8" t="inlineStr">
        <is>
          <t>Mineral exploration tax credit claimed</t>
        </is>
      </c>
      <c r="DVA8" t="inlineStr">
        <is>
          <t>Total credit amounts from ESOP receipt(s)</t>
        </is>
      </c>
      <c r="DVB8" t="inlineStr">
        <is>
          <t>Number of disability claims for self or for a dependant other than your spouse or common-law partner</t>
        </is>
      </c>
      <c r="DVC8" t="inlineStr">
        <is>
          <t>Number of dependent children 18 years of age or younger</t>
        </is>
      </c>
      <c r="DVD8" t="inlineStr">
        <is>
          <t>Number of disabled dependants 18 years of age or older</t>
        </is>
      </c>
      <c r="DVE8" t="inlineStr">
        <is>
          <t>Number dependants with a mental or physical infirmity</t>
        </is>
      </c>
      <c r="DVF8" t="inlineStr">
        <is>
          <t>Number of dependent children – Reduction for dependent children age 18 or younger</t>
        </is>
      </c>
      <c r="DVG8" t="inlineStr">
        <is>
          <t>Number of dependent children – Credit for dependent children age 18 or younger</t>
        </is>
      </c>
      <c r="DVH8" t="inlineStr">
        <is>
          <t>Application for the ON energy and property tax credit</t>
        </is>
      </c>
      <c r="DVI8" t="inlineStr">
        <is>
          <t>Application for the Northern ON energy credit</t>
        </is>
      </c>
      <c r="DVJ8" t="inlineStr">
        <is>
          <t>Total personal tax credits</t>
        </is>
      </c>
      <c r="DVK8" t="inlineStr">
        <is>
          <t>Choice for delayed single OTB payment</t>
        </is>
      </c>
      <c r="DVL8" t="inlineStr">
        <is>
          <t>Application for the ON senior homeowners’ property tax grant</t>
        </is>
      </c>
      <c r="DVM8" t="inlineStr">
        <is>
          <t>Involuntary separation indicator</t>
        </is>
      </c>
      <c r="DVN8" t="inlineStr">
        <is>
          <t>Total rent paid</t>
        </is>
      </c>
      <c r="DVO8" t="inlineStr">
        <is>
          <t>Total property tax paid</t>
        </is>
      </c>
      <c r="DVP8" t="inlineStr">
        <is>
          <t>School taxes paid</t>
        </is>
      </c>
      <c r="DVQ8" t="inlineStr">
        <is>
          <t>Education property tax credit advance received</t>
        </is>
      </c>
      <c r="DVR8" t="inlineStr">
        <is>
          <t>Residing in a designated student residence</t>
        </is>
      </c>
      <c r="DVS8" t="inlineStr">
        <is>
          <t>Occupancy cost</t>
        </is>
      </c>
      <c r="DVT8" t="inlineStr">
        <is>
          <t>Gross school taxes assessed</t>
        </is>
      </c>
      <c r="DVU8" t="inlineStr">
        <is>
          <t>Family income from the homeowners’ school tax credit table</t>
        </is>
      </c>
      <c r="DVV8" t="inlineStr">
        <is>
          <t>Total home energy costs for principal residence on a reserve</t>
        </is>
      </c>
      <c r="DVW8" t="inlineStr">
        <is>
          <t>School taxes assessed</t>
        </is>
      </c>
      <c r="DVX8" t="inlineStr">
        <is>
          <t>Total accommodation in a public long-term care home or non-profit long-term care home</t>
        </is>
      </c>
      <c r="DVY8" t="inlineStr">
        <is>
          <t>School tax credit for homeowners</t>
        </is>
      </c>
      <c r="DVZ8" t="inlineStr">
        <is>
          <t>Total rent assist benefits received</t>
        </is>
      </c>
      <c r="DWA8" t="inlineStr">
        <is>
          <t>Percentage of social assistance</t>
        </is>
      </c>
      <c r="DWB8" t="inlineStr">
        <is>
          <t>Primary caregiver tax credit</t>
        </is>
      </c>
      <c r="DWC8" t="inlineStr">
        <is>
          <t>Fertility treatment tax credit</t>
        </is>
      </c>
      <c r="DWD8" t="inlineStr">
        <is>
          <t>Paid work experience tax credit</t>
        </is>
      </c>
      <c r="DWE8" t="inlineStr">
        <is>
          <t>Odour-control tax credit</t>
        </is>
      </c>
      <c r="DWF8" t="inlineStr">
        <is>
          <t>Green energy equipment tax credit (purchaser)</t>
        </is>
      </c>
      <c r="DWG8" t="inlineStr">
        <is>
          <t>Green energy equipment tax credit (manufacturer)</t>
        </is>
      </c>
      <c r="DWH8" t="inlineStr">
        <is>
          <t>Book publishing tax credit</t>
        </is>
      </c>
      <c r="DWI8" t="inlineStr">
        <is>
          <t>Family tax benefit</t>
        </is>
      </c>
      <c r="DWJ8" t="inlineStr">
        <is>
          <t>Cultural industries printing tax credit</t>
        </is>
      </c>
      <c r="DWK8" t="inlineStr">
        <is>
          <t>Community enterprise development tax credit</t>
        </is>
      </c>
      <c r="DWL8" t="inlineStr">
        <is>
          <t>Employee share purchase tax credit</t>
        </is>
      </c>
      <c r="DWM8" t="inlineStr">
        <is>
          <t>Farm and small business capital gains tax credit</t>
        </is>
      </c>
      <c r="DWN8" t="inlineStr">
        <is>
          <t>Provincial or territorial non-refundable tax credits</t>
        </is>
      </c>
      <c r="DWO8" t="inlineStr">
        <is>
          <t>Provincial or territorial tax on split income</t>
        </is>
      </c>
      <c r="DWP8" t="inlineStr">
        <is>
          <t>Provincial or territorial dividend tax credit</t>
        </is>
      </c>
      <c r="DWQ8" t="inlineStr">
        <is>
          <t>Provincial or territorial minimum tax carryover</t>
        </is>
      </c>
      <c r="DWR8" t="inlineStr">
        <is>
          <t>NB political contribution tax credit</t>
        </is>
      </c>
      <c r="DWS8" t="inlineStr">
        <is>
          <t>Unused low-income tax reduction from spouse or common-law partner</t>
        </is>
      </c>
      <c r="DWT8" t="inlineStr">
        <is>
          <t>Basic low-income tax reduction</t>
        </is>
      </c>
      <c r="DWU8" t="inlineStr">
        <is>
          <t>Low-income tax reduction for spouse or common-law partner</t>
        </is>
      </c>
      <c r="DWV8" t="inlineStr">
        <is>
          <t>Low-income tax reduction for an eligible dependant claimed on 30400</t>
        </is>
      </c>
      <c r="DWW8" t="inlineStr">
        <is>
          <t>Labour-sponsored venture capital tax credit</t>
        </is>
      </c>
      <c r="DWX8" t="inlineStr">
        <is>
          <t>Small business investor tax credit</t>
        </is>
      </c>
      <c r="DWY8" t="inlineStr">
        <is>
          <t>Amount to carry back to the first prior year</t>
        </is>
      </c>
      <c r="DWZ8" t="inlineStr">
        <is>
          <t>Amount to carry back to the second prior year</t>
        </is>
      </c>
      <c r="DXA8" t="inlineStr">
        <is>
          <t>Amount to carry back to the third prior year</t>
        </is>
      </c>
      <c r="DXB8" t="inlineStr">
        <is>
          <t>Resort property investment tax credit</t>
        </is>
      </c>
      <c r="DXC8" t="inlineStr">
        <is>
          <t>NL political contribution tax credit</t>
        </is>
      </c>
      <c r="DXD8" t="inlineStr">
        <is>
          <t>Direct equity tax credit</t>
        </is>
      </c>
      <c r="DXE8" t="inlineStr">
        <is>
          <t>Amount to carry back to the first prior year</t>
        </is>
      </c>
      <c r="DXF8" t="inlineStr">
        <is>
          <t>Amount to carry back to the second prior year</t>
        </is>
      </c>
      <c r="DXG8" t="inlineStr">
        <is>
          <t>MB political contribution tax credit</t>
        </is>
      </c>
      <c r="DXH8" t="inlineStr">
        <is>
          <t>Amount to carry back to the third prior year</t>
        </is>
      </c>
      <c r="DXI8" t="inlineStr">
        <is>
          <t>Venture capital tax credit</t>
        </is>
      </c>
      <c r="DXJ8" t="inlineStr">
        <is>
          <t>Amount to carry back to the first prior year</t>
        </is>
      </c>
      <c r="DXK8" t="inlineStr">
        <is>
          <t>Amount to carry back to the second prior year</t>
        </is>
      </c>
      <c r="DXL8" t="inlineStr">
        <is>
          <t>Amount to carry back to the third prior year</t>
        </is>
      </c>
      <c r="DXM8" t="inlineStr">
        <is>
          <t>Unused low-income tax reduction from the spouse or common-law partner</t>
        </is>
      </c>
      <c r="DXN8" t="inlineStr">
        <is>
          <t>Basic low-income tax reduction</t>
        </is>
      </c>
      <c r="DXO8" t="inlineStr">
        <is>
          <t>Reduction for your spouse or common-law partner</t>
        </is>
      </c>
      <c r="DXP8" t="inlineStr">
        <is>
          <t>Reduction for an eligible dependant</t>
        </is>
      </c>
      <c r="DXQ8" t="inlineStr">
        <is>
          <t>Basic low-income tax reduction</t>
        </is>
      </c>
      <c r="DXR8" t="inlineStr">
        <is>
          <t>Low-income tax reduction for spouse or common-law partner</t>
        </is>
      </c>
      <c r="DXS8" t="inlineStr">
        <is>
          <t>Low-income tax reduction for an eligible dependant</t>
        </is>
      </c>
      <c r="DXT8" t="inlineStr">
        <is>
          <t>NS political contribution tax credit</t>
        </is>
      </c>
      <c r="DXU8" t="inlineStr">
        <is>
          <t>Food bank tax credit for farmers</t>
        </is>
      </c>
      <c r="DXV8" t="inlineStr">
        <is>
          <t>Community food program donation tax credit for farmers</t>
        </is>
      </c>
      <c r="DXW8" t="inlineStr">
        <is>
          <t>Labour-sponsored venture capital tax credit</t>
        </is>
      </c>
      <c r="DXX8" t="inlineStr">
        <is>
          <t>Equity tax credit</t>
        </is>
      </c>
      <c r="DXY8" t="inlineStr">
        <is>
          <t>Amount to carry back to the first prior year</t>
        </is>
      </c>
      <c r="DXZ8" t="inlineStr">
        <is>
          <t>Amount to carry back to the second prior year</t>
        </is>
      </c>
      <c r="DYA8" t="inlineStr">
        <is>
          <t>Amount to carry back to the third prior year</t>
        </is>
      </c>
      <c r="DYB8" t="inlineStr">
        <is>
          <t>Volunteer firefighters’ tax credit</t>
        </is>
      </c>
      <c r="DYC8" t="inlineStr">
        <is>
          <t>Volunteer firefighters and ground search and rescue tax credit</t>
        </is>
      </c>
      <c r="DYD8" t="inlineStr">
        <is>
          <t>Amount claimed for foreign income on 25600 of the return that is exempt under a tax treaty</t>
        </is>
      </c>
      <c r="DYE8" t="inlineStr">
        <is>
          <t>Basic cost of living tax credit for self</t>
        </is>
      </c>
      <c r="DYF8" t="inlineStr">
        <is>
          <t>Cost of living tax credit supplement for spouse or common-law partner</t>
        </is>
      </c>
      <c r="DYG8" t="inlineStr">
        <is>
          <t>The basic credit for self claimed by the spouse or common-law partner</t>
        </is>
      </c>
      <c r="DYH8" t="inlineStr">
        <is>
          <t>Cost of living tax credit supplement</t>
        </is>
      </c>
      <c r="DYI8" t="inlineStr">
        <is>
          <t>Northwest territories credit</t>
        </is>
      </c>
      <c r="DYJ8" t="inlineStr">
        <is>
          <t>NT political contribution tax credit</t>
        </is>
      </c>
      <c r="DYK8" t="inlineStr">
        <is>
          <t>Seniors’ public transit tax credit</t>
        </is>
      </c>
      <c r="DYL8" t="inlineStr">
        <is>
          <t>ON political contribution tax credit</t>
        </is>
      </c>
      <c r="DYM8" t="inlineStr">
        <is>
          <t>Focused flow-through share tax credit</t>
        </is>
      </c>
      <c r="DYN8" t="inlineStr">
        <is>
          <t>Tax credits for self-employed individuals – Apprenticeships</t>
        </is>
      </c>
      <c r="DYO8" t="inlineStr">
        <is>
          <t>Tax credits for self-employed individuals – Work placements</t>
        </is>
      </c>
      <c r="DYP8" t="inlineStr">
        <is>
          <t>Tax credits claimed as a member of a partnership</t>
        </is>
      </c>
      <c r="DYQ8" t="inlineStr">
        <is>
          <t>Business number</t>
        </is>
      </c>
      <c r="DYR8" t="inlineStr">
        <is>
          <t>Apprenticeship training tax credit</t>
        </is>
      </c>
      <c r="DYS8" t="inlineStr">
        <is>
          <t>Co-operative education tax credit</t>
        </is>
      </c>
      <c r="DYT8" t="inlineStr">
        <is>
          <t>Unused low-income tax reduction from spouse or common-law partner</t>
        </is>
      </c>
      <c r="DYU8" t="inlineStr">
        <is>
          <t>Basic low-income tax reduction</t>
        </is>
      </c>
      <c r="DYV8" t="inlineStr">
        <is>
          <t>Age reduction for self</t>
        </is>
      </c>
      <c r="DYW8" t="inlineStr">
        <is>
          <t>Low-income tax reduction for spouse or common-law partner</t>
        </is>
      </c>
      <c r="DYX8" t="inlineStr">
        <is>
          <t>Age reduction for spouse or common-law partner</t>
        </is>
      </c>
      <c r="DYY8" t="inlineStr">
        <is>
          <t>Low-income tax reduction for an eligible dependant</t>
        </is>
      </c>
      <c r="DYZ8" t="inlineStr">
        <is>
          <t>PE political contribution tax credit</t>
        </is>
      </c>
      <c r="DZA8" t="inlineStr">
        <is>
          <t>Basic and certification tax credits (level 1 and/or level 2 of a non-Red Seal programs)</t>
        </is>
      </c>
      <c r="DZB8" t="inlineStr">
        <is>
          <t>Completion and certification tax credit (level 3 of a Red Seal or non-Red Seal program)</t>
        </is>
      </c>
      <c r="DZC8" t="inlineStr">
        <is>
          <t>Completion and certification tax credit (level 4 of a Red Seal or non-Red Seal program)</t>
        </is>
      </c>
      <c r="DZD8" t="inlineStr">
        <is>
          <t>Enhanced tax credit</t>
        </is>
      </c>
      <c r="DZE8" t="inlineStr">
        <is>
          <t>Basic tax credit</t>
        </is>
      </c>
      <c r="DZF8" t="inlineStr">
        <is>
          <t>Completion tax credit</t>
        </is>
      </c>
      <c r="DZG8" t="inlineStr">
        <is>
          <t>Enhanced tax credit</t>
        </is>
      </c>
      <c r="DZH8" t="inlineStr">
        <is>
          <t>Equity tax credit</t>
        </is>
      </c>
      <c r="DZI8" t="inlineStr">
        <is>
          <t>Volunteer firefighter tax credit</t>
        </is>
      </c>
      <c r="DZJ8" t="inlineStr">
        <is>
          <t>SK political contribution tax credit</t>
        </is>
      </c>
      <c r="DZK8" t="inlineStr">
        <is>
          <t>Labour-sponsored venture capital tax credit</t>
        </is>
      </c>
      <c r="DZL8" t="inlineStr">
        <is>
          <t>Mineral exploration tax credit</t>
        </is>
      </c>
      <c r="DZM8" t="inlineStr">
        <is>
          <t>Amount to carry back to the first prior year</t>
        </is>
      </c>
      <c r="DZN8" t="inlineStr">
        <is>
          <t>Amount to carry back to the second prior year</t>
        </is>
      </c>
      <c r="DZO8" t="inlineStr">
        <is>
          <t>Amount to carry back to the third prior year</t>
        </is>
      </c>
      <c r="DZP8" t="inlineStr">
        <is>
          <t>Graduate tuition tax credit</t>
        </is>
      </c>
      <c r="DZQ8" t="inlineStr">
        <is>
          <t>Number of qualifying children under 6 years of age</t>
        </is>
      </c>
      <c r="DZR8" t="inlineStr">
        <is>
          <t>Do you reside outside of Whitehorse on December 31 of the tax year?</t>
        </is>
      </c>
      <c r="DZS8" t="inlineStr">
        <is>
          <t>Children’s fitness tax credit</t>
        </is>
      </c>
      <c r="DZT8" t="inlineStr">
        <is>
          <t>Small business investment tax credit</t>
        </is>
      </c>
      <c r="DZU8" t="inlineStr">
        <is>
          <t>Amount to carry back to the first prior year</t>
        </is>
      </c>
      <c r="DZV8" t="inlineStr">
        <is>
          <t>Amount to carry back to the second prior year</t>
        </is>
      </c>
      <c r="DZW8" t="inlineStr">
        <is>
          <t>Amount to carry back to the third prior year</t>
        </is>
      </c>
      <c r="DZX8" t="inlineStr">
        <is>
          <t>Labour-sponsored venture capital corporation tax credit</t>
        </is>
      </c>
      <c r="DZY8" t="inlineStr">
        <is>
          <t>Amount to carry back to the first prior year</t>
        </is>
      </c>
      <c r="DZZ8" t="inlineStr">
        <is>
          <t>Amount to carry back to the second prior year</t>
        </is>
      </c>
      <c r="EAA8" t="inlineStr">
        <is>
          <t>Amount to carry back to the third prior year</t>
        </is>
      </c>
      <c r="EAB8" t="inlineStr">
        <is>
          <t>Research and development tax credit</t>
        </is>
      </c>
      <c r="EAC8" t="inlineStr">
        <is>
          <t>YT political contribution tax credit</t>
        </is>
      </c>
      <c r="EAD8" t="inlineStr">
        <is>
          <t>Yukon First Nations income tax credit</t>
        </is>
      </c>
      <c r="EAE8" t="inlineStr">
        <is>
          <t>Cost of living supplement</t>
        </is>
      </c>
      <c r="EAF8" t="inlineStr">
        <is>
          <t>Total cost of living tax credit</t>
        </is>
      </c>
      <c r="EAG8" t="inlineStr">
        <is>
          <t>NU political contribution tax credit</t>
        </is>
      </c>
      <c r="EAH8" t="inlineStr">
        <is>
          <t>Total expenses eligible for the GST rebate</t>
        </is>
      </c>
      <c r="EAI8" t="inlineStr">
        <is>
          <t>Total expenses eligible for the HST rebate</t>
        </is>
      </c>
      <c r="EAJ8" t="inlineStr">
        <is>
          <t>Total expenses eligible for the HST rebate</t>
        </is>
      </c>
      <c r="EAK8" t="inlineStr">
        <is>
          <t>Benefits that can no longer be deferred</t>
        </is>
      </c>
      <c r="EAL8" t="inlineStr">
        <is>
          <t>Closing balance of deferred security option benefits</t>
        </is>
      </c>
      <c r="EAM8" t="inlineStr">
        <is>
          <t>Non-capital loss to be applied to the third prior year</t>
        </is>
      </c>
      <c r="EAN8" t="inlineStr">
        <is>
          <t>Non-capital loss to be applied to the second prior year</t>
        </is>
      </c>
      <c r="EAO8" t="inlineStr">
        <is>
          <t>Non-capital loss to be applied to the first prior year</t>
        </is>
      </c>
      <c r="EAP8" t="inlineStr">
        <is>
          <t>Farming or fishing loss to be applied to the third prior year</t>
        </is>
      </c>
      <c r="EAQ8" t="inlineStr">
        <is>
          <t>Farming or fishing loss to be applied to the second prior year</t>
        </is>
      </c>
      <c r="EAR8" t="inlineStr">
        <is>
          <t>Farming or fishing loss to be applied to the first prior year</t>
        </is>
      </c>
      <c r="EAS8" t="inlineStr">
        <is>
          <t>Net capital loss to be applied to the third prior year</t>
        </is>
      </c>
      <c r="EAT8" t="inlineStr">
        <is>
          <t>Net capital loss to be applied to the second prior year</t>
        </is>
      </c>
      <c r="EAU8" t="inlineStr">
        <is>
          <t>Net capital loss to be applied to the first prior year</t>
        </is>
      </c>
      <c r="EAV8" t="inlineStr">
        <is>
          <t>Listed personal property net loss to be applied to the third prior year listed personal property net gains</t>
        </is>
      </c>
      <c r="EAW8" t="inlineStr">
        <is>
          <t>Listed personal property net loss to be applied to the second prior year listed personal property net gains</t>
        </is>
      </c>
      <c r="EAX8" t="inlineStr">
        <is>
          <t>Listed personal property net loss to be applied to the first prior year listed personal property net gains</t>
        </is>
      </c>
      <c r="EAY8" t="inlineStr">
        <is>
          <t>Restricted farm loss to be applied to the third prior year</t>
        </is>
      </c>
      <c r="EAZ8" t="inlineStr">
        <is>
          <t>Restricted farm loss to be applied to the second prior year</t>
        </is>
      </c>
      <c r="EBA8" t="inlineStr">
        <is>
          <t>Restricted farm loss to be applied to the first prior year</t>
        </is>
      </c>
      <c r="EBB8" t="inlineStr">
        <is>
          <t>Amount of 2018 reserve for dispositions of QFFP to your child after 2009, and before April 21, 2015 and all other dispositions of QFFP after 2014 and before April 21, 2015</t>
        </is>
      </c>
      <c r="EBC8" t="inlineStr">
        <is>
          <t>Amount of 2019 reserve for dispositions of QFFP to your child after 2010, and before April 21, 2015, and all other dispositions of QFFP after 2015 and before April 21, 2015</t>
        </is>
      </c>
      <c r="EBD8" t="inlineStr">
        <is>
          <t>Amount of 2018 reserve for dispositions of QFFP after April 20, 2015</t>
        </is>
      </c>
      <c r="EBE8" t="inlineStr">
        <is>
          <t>Amount of 2019 reserve for dispositions of QFFP after April 20, 2015</t>
        </is>
      </c>
      <c r="EBF8" t="inlineStr">
        <is>
          <t>Amount of the most recent reserve claimed on line 66840</t>
        </is>
      </c>
      <c r="EBG8" t="inlineStr">
        <is>
          <t>Amount of 2019 reserve for dispositions of QSBCS to your child after 2010, and all other dispositions of QSBCS after 2015</t>
        </is>
      </c>
      <c r="EBH8" t="inlineStr">
        <is>
          <t>Amount of 2018 reserve for dispositions of QSBCS to your child after 2009, and all other dispositions of QSBCS after 2014</t>
        </is>
      </c>
      <c r="EBI8" t="inlineStr">
        <is>
          <t>Amount of the most recent reserve claimed on line 66850</t>
        </is>
      </c>
      <c r="EBJ8" t="inlineStr">
        <is>
          <t>Amount of 2018 reserve for dispositions to your child after 2009, of family farm or fishing property other than QFFP and of shares of capital stock of a small business corporation other than QSBCS</t>
        </is>
      </c>
      <c r="EBK8" t="inlineStr">
        <is>
          <t>Amount of 2019 reserve for dispositions to your child after 2010, of family farm or fishing property other than QFFP and of shares of capital stock of a small business corporation other than QSBCS</t>
        </is>
      </c>
      <c r="EBL8" t="inlineStr">
        <is>
          <t>Amount of 2018 reserve for dispositions of property after 2014, other than dispositions listed on lines 66815, 66843, 66883, and 66910</t>
        </is>
      </c>
      <c r="EBM8" t="inlineStr">
        <is>
          <t>Amount of 2019 reserve for dispositions of property after 2015, other than dispositions listed on lines 66840, 66844, 66850, and 66920</t>
        </is>
      </c>
      <c r="EBN8" t="inlineStr">
        <is>
          <t>Amount of 2018 reserve for dispositions before November 13, 1981</t>
        </is>
      </c>
      <c r="EBO8" t="inlineStr">
        <is>
          <t>Total capital reserves</t>
        </is>
      </c>
      <c r="EBP8" t="inlineStr">
        <is>
          <t>ITC for total qualified expenditures for SR&amp;ED</t>
        </is>
      </c>
      <c r="EBQ8" t="inlineStr">
        <is>
          <t>80% of total contributions made to agricultural organizations for SR&amp;ED</t>
        </is>
      </c>
      <c r="EBR8" t="inlineStr">
        <is>
          <t>ITC allocated from a partnership for SR&amp;ED</t>
        </is>
      </c>
      <c r="EBS8" t="inlineStr">
        <is>
          <t>ITC for total investments in qualified property</t>
        </is>
      </c>
      <c r="EBT8" t="inlineStr">
        <is>
          <t>Total flow-through mining expenditures</t>
        </is>
      </c>
      <c r="EBU8" t="inlineStr">
        <is>
          <t>Total apprenticeship job creation tax credit</t>
        </is>
      </c>
      <c r="EBV8" t="inlineStr">
        <is>
          <t>ITC for child care spaces</t>
        </is>
      </c>
      <c r="EBW8" t="inlineStr">
        <is>
          <t>Amount of expenditure on which ITC is recaptured at 15%</t>
        </is>
      </c>
      <c r="EBX8" t="inlineStr">
        <is>
          <t>Amount of expenditure on which ITC is recaptured at 20%</t>
        </is>
      </c>
      <c r="EBY8" t="inlineStr">
        <is>
          <t>Total recapture of ITC for child care spaces</t>
        </is>
      </c>
      <c r="EBZ8" t="inlineStr">
        <is>
          <t>Amount of carryback to the third previous year</t>
        </is>
      </c>
      <c r="ECA8" t="inlineStr">
        <is>
          <t>Amount of carryback to the second previous year</t>
        </is>
      </c>
      <c r="ECB8" t="inlineStr">
        <is>
          <t>Amount of carryback to the first previous year</t>
        </is>
      </c>
      <c r="ECC8" t="inlineStr">
        <is>
          <t>Maximum residency amount for residents of prescribed northern zones</t>
        </is>
      </c>
      <c r="ECD8" t="inlineStr">
        <is>
          <t>Non-taxable benefits for board and lodging at a special work site in a prescribed northern zone</t>
        </is>
      </c>
      <c r="ECE8" t="inlineStr">
        <is>
          <t>Maximum residency amount for residents of prescribed intermediate zones</t>
        </is>
      </c>
      <c r="ECF8" t="inlineStr">
        <is>
          <t>Non-taxable benefits for board and lodging at a special work site in a prescribed intermediate zone</t>
        </is>
      </c>
      <c r="ECG8" t="inlineStr">
        <is>
          <t>Total travel amount for trips from a prescribed northern zone</t>
        </is>
      </c>
      <c r="ECH8" t="inlineStr">
        <is>
          <t>Total travel amount for trips from a prescribed intermediate zone</t>
        </is>
      </c>
      <c r="ECI8" t="inlineStr">
        <is>
          <t>Claim for tax shelter loss or deduction</t>
        </is>
      </c>
      <c r="ECJ8" t="inlineStr">
        <is>
          <t>Amount of loss created or increased by CCA and carrying charges on certified film property</t>
        </is>
      </c>
      <c r="ECK8" t="inlineStr">
        <is>
          <t>Amount of loss created or increased by CCA and carrying charges on rental and leasing property</t>
        </is>
      </c>
      <c r="ECL8" t="inlineStr">
        <is>
          <t>Losses, amounts deductible and carrying charges for tax shelters, limited partnership, and non-active partners</t>
        </is>
      </c>
      <c r="ECM8" t="inlineStr">
        <is>
          <t>Total of all resource expenditures, depletion allowances, and carrying charges for resource property and flow-through shares</t>
        </is>
      </c>
      <c r="ECN8" t="inlineStr">
        <is>
          <t>Certain capital gains from graduated rate estates</t>
        </is>
      </c>
      <c r="ECO8" t="inlineStr">
        <is>
          <t>Part of total capital gains that is exempt from Canadian tax under a tax treaty</t>
        </is>
      </c>
      <c r="ECP8" t="inlineStr">
        <is>
          <t>Capital gains on gifts of property to qualified donees</t>
        </is>
      </c>
      <c r="ECQ8" t="inlineStr">
        <is>
          <t>Security options deductions under paragraph 110(1)(d)</t>
        </is>
      </c>
      <c r="ECR8" t="inlineStr">
        <is>
          <t>Gifts of securities acquired under a security option plan</t>
        </is>
      </c>
      <c r="ECS8" t="inlineStr">
        <is>
          <t>Other security options deductions included on line 24900</t>
        </is>
      </c>
      <c r="ECT8" t="inlineStr">
        <is>
          <t>Limited partnership losses incurred in prior years that are tax shelters</t>
        </is>
      </c>
      <c r="ECU8" t="inlineStr">
        <is>
          <t>Federal tax payable under alternative minimum tax</t>
        </is>
      </c>
      <c r="ECV8" t="inlineStr">
        <is>
          <t>Total child care expenses paid in the year</t>
        </is>
      </c>
      <c r="ECW8" t="inlineStr">
        <is>
          <t>Child care expenses incurred for a child age 6 or younger</t>
        </is>
      </c>
      <c r="ECX8" t="inlineStr">
        <is>
          <t>Basic limit for eligible children born in the current tax year or earlier for whom the disability amount can be claimed</t>
        </is>
      </c>
      <c r="ECY8" t="inlineStr">
        <is>
          <t>Part C – Child care expenses paid by the other person with lower net income</t>
        </is>
      </c>
      <c r="ECZ8" t="inlineStr">
        <is>
          <t>Part D – Child care expenses paid while enrolled in an educational program</t>
        </is>
      </c>
      <c r="EDA8" t="inlineStr">
        <is>
          <t>Total eligible pensions or superannuation, annuity and RRSP/RRIF payments (including life income fund) received</t>
        </is>
      </c>
      <c r="EDB8" t="inlineStr">
        <is>
          <t>Veteran’s benefits on T4A slips eligible for pension income splitting</t>
        </is>
      </c>
      <c r="EDC8" t="inlineStr">
        <is>
          <t>Distributions on T4A-RCA slips eligible for pension income splitting</t>
        </is>
      </c>
      <c r="EDD8" t="inlineStr">
        <is>
          <t>Number of months married or living common-law in the current tax year</t>
        </is>
      </c>
      <c r="EDE8" t="inlineStr">
        <is>
          <t>Total tax deducted from the transferring spouse’s or common-law partner’s pension income</t>
        </is>
      </c>
      <c r="EDF8" t="inlineStr">
        <is>
          <t>Tax deducted for the elected split-pension amount</t>
        </is>
      </c>
      <c r="EDG8" t="inlineStr">
        <is>
          <t>Any other investment expenses claimed in the current tax year to earn property income</t>
        </is>
      </c>
      <c r="EDH8" t="inlineStr">
        <is>
          <t>Any other property income reported in the current tax year</t>
        </is>
      </c>
      <c r="EDI8" t="inlineStr">
        <is>
          <t>50% of income from the recovery of exploration and development expenses</t>
        </is>
      </c>
      <c r="EDJ8" t="inlineStr">
        <is>
          <t>Capital gains from T3 slips</t>
        </is>
      </c>
      <c r="EDK8" t="inlineStr">
        <is>
          <t>Non-eligible capital gains from T3 slips</t>
        </is>
      </c>
      <c r="EDL8" t="inlineStr">
        <is>
          <t>Special tax for Quebec LSVCC</t>
        </is>
      </c>
      <c r="EDM8" t="inlineStr">
        <is>
          <t>Excess employees profit-sharing plan amounts</t>
        </is>
      </c>
      <c r="EDN8" t="inlineStr">
        <is>
          <t>Proceeds from disposition of publicly traded shares, other shares and mutual fund units</t>
        </is>
      </c>
      <c r="EDO8" t="inlineStr">
        <is>
          <t>Gains eligible for 0% inclusion rate from the disposition of publicly traded shares, other shares and mutual funds units</t>
        </is>
      </c>
      <c r="EDP8" t="inlineStr">
        <is>
          <t>Proceeds from disposition of bonds, debentures, promissory notes, and other properties (including ecologically sensitive land)</t>
        </is>
      </c>
      <c r="EDQ8" t="inlineStr">
        <is>
          <t>Gains eligible for 0% inclusion rate from the disposition of bonds, debentures, promissory notes, and other properties (including ecologically sensitive land)</t>
        </is>
      </c>
      <c r="EDR8" t="inlineStr">
        <is>
          <t>Total of all accumulated income payments</t>
        </is>
      </c>
      <c r="EDS8" t="inlineStr">
        <is>
          <t>Total of all accumulated income payments</t>
        </is>
      </c>
      <c r="EDT8" t="inlineStr">
        <is>
          <t>Taxable amount of dividends (eligible and other than eligible) from taxable Canadian corporations</t>
        </is>
      </c>
      <c r="EDU8" t="inlineStr">
        <is>
          <t>Taxable amount of dividends other than eligible dividends, included on line 68330, from taxable Canadian corporations</t>
        </is>
      </c>
      <c r="EDV8" t="inlineStr">
        <is>
          <t>Total split income</t>
        </is>
      </c>
      <c r="EDW8" t="inlineStr">
        <is>
          <t>Split income from foreign sources</t>
        </is>
      </c>
      <c r="EDX8" t="inlineStr">
        <is>
          <t>Total income from foreign sources</t>
        </is>
      </c>
      <c r="EDY8" t="inlineStr">
        <is>
          <t>Current-year credit available</t>
        </is>
      </c>
      <c r="EDZ8" t="inlineStr">
        <is>
          <t>Mining flow-through share tax credit</t>
        </is>
      </c>
      <c r="EEA8" t="inlineStr">
        <is>
          <t>Amount to carry back to the first prior year</t>
        </is>
      </c>
      <c r="EEB8" t="inlineStr">
        <is>
          <t>Amount to carry back to the second prior year</t>
        </is>
      </c>
      <c r="EEC8" t="inlineStr">
        <is>
          <t>Amount to carry back to the third prior year</t>
        </is>
      </c>
      <c r="EED8" t="inlineStr">
        <is>
          <t>Current year tax credit available</t>
        </is>
      </c>
      <c r="EEE8" t="inlineStr">
        <is>
          <t>EI and PPIP maternity and paternal benefits</t>
        </is>
      </c>
      <c r="EEF8" t="inlineStr">
        <is>
          <t>Net exempt income</t>
        </is>
      </c>
      <c r="EEG8" t="inlineStr">
        <is>
          <t>Total provincial amounts designated to you by a studen</t>
        </is>
      </c>
      <c r="EEH8" t="inlineStr">
        <is>
          <t>Venture capital tax credit - January 1 to February 19, 2019</t>
        </is>
      </c>
      <c r="EEI8" t="inlineStr">
        <is>
          <t>Certificate number - Shares acquired after February 19, 2019</t>
        </is>
      </c>
      <c r="EEJ8" t="inlineStr">
        <is>
          <t>Certificate number - Shares purchases during the first 60 days of the year following the tax year</t>
        </is>
      </c>
      <c r="EEK8" t="inlineStr">
        <is>
          <t>Low-income individuals and families tax credit</t>
        </is>
      </c>
      <c r="EEL8" t="inlineStr">
        <is>
          <t>Innovation equity tax credit</t>
        </is>
      </c>
      <c r="EEM8" t="inlineStr">
        <is>
          <t>Venture capital tax credit</t>
        </is>
      </c>
      <c r="EEN8" t="inlineStr">
        <is>
          <t>Child care expenses deduction of the other supporting person(s)</t>
        </is>
      </c>
      <c r="EEO8" t="inlineStr">
        <is>
          <t>Adjusted income of the other supporting person(s)</t>
        </is>
      </c>
      <c r="EEP8" t="inlineStr">
        <is>
          <t>Childcare access and relief from expense tax credit</t>
        </is>
      </c>
      <c r="EEQ8" t="inlineStr">
        <is>
          <t>Business carbon price rebate</t>
        </is>
      </c>
      <c r="EER8" t="inlineStr">
        <is>
          <t>Employment income from T4 slips</t>
        </is>
      </c>
      <c r="EES8" t="inlineStr">
        <is>
          <t>EI maternity and paternal benefits and PPIP maternity and paternity benefits</t>
        </is>
      </c>
      <c r="EET8" t="inlineStr">
        <is>
          <t>Taxable scholarship, fellowships, bursaries, and artists’ project grants</t>
        </is>
      </c>
      <c r="EEU8" t="inlineStr">
        <is>
          <t>Deduction for CPP/QPP enhanced contributions on employment income</t>
        </is>
      </c>
      <c r="EEV8" t="inlineStr">
        <is>
          <t>Eligible tuition fees paid to foreign educational institutions for the current tax year</t>
        </is>
      </c>
      <c r="EEW8" t="inlineStr">
        <is>
          <t>Are you choosing to include tax-exempt income in calculating the CWB?</t>
        </is>
      </c>
      <c r="EEX8" s="87" t="inlineStr">
        <is>
          <t>Tax Year Filed</t>
        </is>
      </c>
      <c r="EEY8" t="inlineStr">
        <is>
          <t>Taxing Province</t>
        </is>
      </c>
      <c r="EEZ8" t="inlineStr">
        <is>
          <t>Marital Status</t>
        </is>
      </c>
      <c r="EFA8" t="inlineStr">
        <is>
          <t>Balance before penalty and interest</t>
        </is>
      </c>
      <c r="EFB8" t="inlineStr">
        <is>
          <t>Balance before penalty and interest</t>
        </is>
      </c>
      <c r="EFC8" t="inlineStr">
        <is>
          <t>Final balance</t>
        </is>
      </c>
      <c r="EFD8" t="inlineStr">
        <is>
          <t>Basic federal tax</t>
        </is>
      </c>
      <c r="EFE8" t="inlineStr">
        <is>
          <t>Basic provincial or territorial tax</t>
        </is>
      </c>
      <c r="EFF8" t="inlineStr">
        <is>
          <t>Ontario Health Premium</t>
        </is>
      </c>
      <c r="EFG8" t="inlineStr">
        <is>
          <t>Employment income from T4 slips</t>
        </is>
      </c>
      <c r="EFH8" t="inlineStr">
        <is>
          <t>Commissions included on line 10100</t>
        </is>
      </c>
      <c r="EFI8" t="inlineStr">
        <is>
          <t>Wage-loss replacement contributions</t>
        </is>
      </c>
      <c r="EFJ8" t="inlineStr">
        <is>
          <t>Other employment income</t>
        </is>
      </c>
      <c r="EFK8" t="inlineStr">
        <is>
          <t>Proceeds from disposition of qualified small business corporation shares</t>
        </is>
      </c>
      <c r="EFL8" t="inlineStr">
        <is>
          <t>Gain (or loss) from disposition of qualified small business corporation shares</t>
        </is>
      </c>
      <c r="EFM8" t="inlineStr">
        <is>
          <t>Proceeds from disposition of qualified farm or fishing property</t>
        </is>
      </c>
      <c r="EFN8" t="inlineStr">
        <is>
          <t>Gain (or loss) from disposition of qualified farm or fishing property</t>
        </is>
      </c>
      <c r="EFO8" t="inlineStr">
        <is>
          <t>Old age security pension</t>
        </is>
      </c>
      <c r="EFP8" t="inlineStr">
        <is>
          <t>CPP or QPP benefits</t>
        </is>
      </c>
      <c r="EFQ8" t="inlineStr">
        <is>
          <t>Other pensions and superannuation</t>
        </is>
      </c>
      <c r="EFR8" t="inlineStr">
        <is>
          <t>Elected split-pension amount</t>
        </is>
      </c>
      <c r="EFS8" t="inlineStr">
        <is>
          <t>Universal child care benefit (UCCB)</t>
        </is>
      </c>
      <c r="EFT8" t="inlineStr">
        <is>
          <t>Employment insurance and other benefits</t>
        </is>
      </c>
      <c r="EFU8" t="inlineStr">
        <is>
          <t>Taxable amount of dividends (eligible and other than eligible) from taxable Canadian corporations</t>
        </is>
      </c>
      <c r="EFV8" t="inlineStr">
        <is>
          <t>Interest and other investment income</t>
        </is>
      </c>
      <c r="EFW8" t="inlineStr">
        <is>
          <t>Net partnership income: limited or non-active partners only</t>
        </is>
      </c>
      <c r="EFX8" t="inlineStr">
        <is>
          <t>Proceeds from disposition of mortgage foreclosures and conditional sales repossessions of a qualified farm or fishing property</t>
        </is>
      </c>
      <c r="EFY8" t="inlineStr">
        <is>
          <t>Gain (or loss) from disposition of mortgage foreclosures and conditional sales repossessions of a qualified farm or fishing property</t>
        </is>
      </c>
      <c r="EFZ8" t="inlineStr">
        <is>
          <t>Registered disability savings plan (RDSP) income</t>
        </is>
      </c>
      <c r="EGA8" t="inlineStr">
        <is>
          <t>Net rental income (loss)</t>
        </is>
      </c>
      <c r="EGB8" t="inlineStr">
        <is>
          <t>Taxable capital gains (or net capital loss)</t>
        </is>
      </c>
      <c r="EGC8" t="inlineStr">
        <is>
          <t>Taxable amount of support payments received Registered retirement savings plan (RRSP) income Other income</t>
        </is>
      </c>
      <c r="EGD8" t="inlineStr">
        <is>
          <t>Registered retirement savings plan (RRSP) income</t>
        </is>
      </c>
      <c r="EGE8" t="inlineStr">
        <is>
          <t>Other income</t>
        </is>
      </c>
      <c r="EGF8" t="inlineStr">
        <is>
          <t>Proceeds from disposition of publicly traded shares, mutual fund units, deferral of eligible small business corporation shares, and other shares</t>
        </is>
      </c>
      <c r="EGG8" t="inlineStr">
        <is>
          <t>Gain (or loss) from disposition of publicly traded shares, mutual fund units, deferral of eligible small business corporation shares, and other shares</t>
        </is>
      </c>
      <c r="EGH8" t="inlineStr">
        <is>
          <t>Net business income (loss)</t>
        </is>
      </c>
      <c r="EGI8" t="inlineStr">
        <is>
          <t>Proceeds from disposition of real estate, depreciable property, and other properties</t>
        </is>
      </c>
      <c r="EGJ8" t="inlineStr">
        <is>
          <t>Net professional income (loss)</t>
        </is>
      </c>
      <c r="EGK8" t="inlineStr">
        <is>
          <t>Gain (or loss) from disposition of real estate, depreciable property, and other properties</t>
        </is>
      </c>
      <c r="EGL8" t="inlineStr">
        <is>
          <t>Net commission income (loss)</t>
        </is>
      </c>
      <c r="EGM8" t="inlineStr">
        <is>
          <t>Net farming income (loss)</t>
        </is>
      </c>
      <c r="EGN8" t="inlineStr">
        <is>
          <t>Net fishing income (loss)</t>
        </is>
      </c>
      <c r="EGO8" t="inlineStr">
        <is>
          <t>Workers’ compensation benefits</t>
        </is>
      </c>
      <c r="EGP8" t="inlineStr">
        <is>
          <t>Social assistance payments</t>
        </is>
      </c>
      <c r="EGQ8" t="inlineStr">
        <is>
          <t>Net federal supplements</t>
        </is>
      </c>
      <c r="EGR8" t="inlineStr">
        <is>
          <t>Total income</t>
        </is>
      </c>
      <c r="EGS8" t="inlineStr">
        <is>
          <t>Proceeds from disposition of bonds, debentures, promissory notes, and other similar properties</t>
        </is>
      </c>
      <c r="EGT8" t="inlineStr">
        <is>
          <t>Disability benefits included on line 11400</t>
        </is>
      </c>
      <c r="EGU8" t="inlineStr">
        <is>
          <t>Gain (or loss) from disposition of bonds, debentures, promissory notes, and other similar properties Proceeds from disposition of other mortgage foreclosures and conditional sales repossessions</t>
        </is>
      </c>
      <c r="EGV8" t="inlineStr">
        <is>
          <t>Proceeds from disposition of other mortgage foreclosures and conditional sales repossessions</t>
        </is>
      </c>
      <c r="EGW8" t="inlineStr">
        <is>
          <t>Gain (or loss) from disposition of other mortgage foreclosures and conditional sales repossessions</t>
        </is>
      </c>
      <c r="EGX8" t="inlineStr">
        <is>
          <t>Total support payments received</t>
        </is>
      </c>
      <c r="EGY8" t="inlineStr">
        <is>
          <t>Gain from disposition of personal-use property</t>
        </is>
      </c>
      <c r="EGZ8" t="inlineStr">
        <is>
          <t>Net gain from disposition of listed personal property Capital gains deferral from qualifying dispositions of eligible small business corporation shares</t>
        </is>
      </c>
      <c r="EHA8" t="inlineStr">
        <is>
          <t>Gross rental income</t>
        </is>
      </c>
      <c r="EHB8" t="inlineStr">
        <is>
          <t>Capital gains deferral from qualifying dispositions of eligible small business corporation shares</t>
        </is>
      </c>
      <c r="EHC8" t="inlineStr">
        <is>
          <t>Gross business income</t>
        </is>
      </c>
      <c r="EHD8" t="inlineStr">
        <is>
          <t>Gross professional income</t>
        </is>
      </c>
      <c r="EHE8" t="inlineStr">
        <is>
          <t>Gross commission income</t>
        </is>
      </c>
      <c r="EHF8" t="inlineStr">
        <is>
          <t>Gross farming income</t>
        </is>
      </c>
      <c r="EHG8" t="inlineStr">
        <is>
          <t>Gross fishing income</t>
        </is>
      </c>
      <c r="EHH8" t="inlineStr">
        <is>
          <t>T5, T5013, and T4PS information slips – Capital gains (or losses)</t>
        </is>
      </c>
      <c r="EHI8" t="inlineStr">
        <is>
          <t>T3 information slips – Capital gains (or losses)</t>
        </is>
      </c>
      <c r="EHJ8" t="inlineStr">
        <is>
          <t>Capital loss from a reduction in the business investment loss</t>
        </is>
      </c>
      <c r="EHK8" t="inlineStr">
        <is>
          <t>Principal residence designation</t>
        </is>
      </c>
      <c r="EHL8" t="inlineStr">
        <is>
          <t>Taxable amount of dividends other than eligible dividends, included on line 12000, from taxable Canadian corporations</t>
        </is>
      </c>
      <c r="EHM8" t="inlineStr">
        <is>
          <t>UCCB amount designated to a dependant</t>
        </is>
      </c>
      <c r="EHN8" t="inlineStr">
        <is>
          <t>Pooled registered pension plan (PRPP) employer contributions</t>
        </is>
      </c>
      <c r="EHO8" t="inlineStr">
        <is>
          <t>Pension adjustment</t>
        </is>
      </c>
      <c r="EHP8" t="inlineStr">
        <is>
          <t>Registered pension plan deduction</t>
        </is>
      </c>
      <c r="EHQ8" t="inlineStr">
        <is>
          <t>RRSP deduction</t>
        </is>
      </c>
      <c r="EHR8" t="inlineStr">
        <is>
          <t>Deduction for elected split-pension amount</t>
        </is>
      </c>
      <c r="EHS8" t="inlineStr">
        <is>
          <t>Annual union, professional, or like dues</t>
        </is>
      </c>
      <c r="EHT8" t="inlineStr">
        <is>
          <t>Universal child care benefit repayment</t>
        </is>
      </c>
      <c r="EHU8" t="inlineStr">
        <is>
          <t>Child care expenses</t>
        </is>
      </c>
      <c r="EHV8" t="inlineStr">
        <is>
          <t>Disability supports deduction</t>
        </is>
      </c>
      <c r="EHW8" t="inlineStr">
        <is>
          <t>Allowable business investment loss deduction</t>
        </is>
      </c>
      <c r="EHX8" t="inlineStr">
        <is>
          <t>Moving expenses</t>
        </is>
      </c>
      <c r="EHY8" t="inlineStr">
        <is>
          <t>Allowable deduction for support payments made</t>
        </is>
      </c>
      <c r="EHZ8" t="inlineStr">
        <is>
          <t>Carrying charges and interest expenses</t>
        </is>
      </c>
      <c r="EIA8" t="inlineStr">
        <is>
          <t>Deduction for CPP or QPP contributions on self-employment and other earnings</t>
        </is>
      </c>
      <c r="EIB8" t="inlineStr">
        <is>
          <t>Deduction for PPIP premiums on self-employment income</t>
        </is>
      </c>
      <c r="EIC8" t="inlineStr">
        <is>
          <t>Exploration and development expenses</t>
        </is>
      </c>
      <c r="EID8" t="inlineStr">
        <is>
          <t>Gross business investment loss</t>
        </is>
      </c>
      <c r="EIE8" t="inlineStr">
        <is>
          <t>Other employment expenses</t>
        </is>
      </c>
      <c r="EIF8" t="inlineStr">
        <is>
          <t>Total support payments made</t>
        </is>
      </c>
      <c r="EIG8" t="inlineStr">
        <is>
          <t>Clergy residence deduction</t>
        </is>
      </c>
      <c r="EIH8" t="inlineStr">
        <is>
          <t>Other deductions</t>
        </is>
      </c>
      <c r="EII8" t="inlineStr">
        <is>
          <t>Social benefits repayment</t>
        </is>
      </c>
      <c r="EIJ8" t="inlineStr">
        <is>
          <t>Net income</t>
        </is>
      </c>
      <c r="EIK8" t="inlineStr">
        <is>
          <t>Transfers to an RRSP/PRPP/SPP</t>
        </is>
      </c>
      <c r="EIL8" t="inlineStr">
        <is>
          <t>Canadian Forces personnel and police deduction</t>
        </is>
      </c>
      <c r="EIM8" t="inlineStr">
        <is>
          <t>Total RRSP, SPP, and PRPP contributions from March 2, 2019 to March 2, 2020</t>
        </is>
      </c>
      <c r="EIN8" t="inlineStr">
        <is>
          <t>Contributions designated as a repayment under the Home Buyers’ Plan</t>
        </is>
      </c>
      <c r="EIO8" t="inlineStr">
        <is>
          <t>Current year withdrawals for the HBP on T4RSP slips</t>
        </is>
      </c>
      <c r="EIP8" t="inlineStr">
        <is>
          <t>Security options deductions</t>
        </is>
      </c>
      <c r="EIQ8" t="inlineStr">
        <is>
          <t>Other payments deduction</t>
        </is>
      </c>
      <c r="EIR8" t="inlineStr">
        <is>
          <t>Limited partnership losses of other years</t>
        </is>
      </c>
      <c r="EIS8" t="inlineStr">
        <is>
          <t>Non-capital losses of other years</t>
        </is>
      </c>
      <c r="EIT8" t="inlineStr">
        <is>
          <t>Net capital losses of other years</t>
        </is>
      </c>
      <c r="EIU8" t="inlineStr">
        <is>
          <t>Capital gains deduction</t>
        </is>
      </c>
      <c r="EIV8" t="inlineStr">
        <is>
          <t>Northern residents deductions</t>
        </is>
      </c>
      <c r="EIW8" t="inlineStr">
        <is>
          <t>Additional deductions</t>
        </is>
      </c>
      <c r="EIX8" t="inlineStr">
        <is>
          <t>Address of home purchased under the HBP is the same as on page 1 of return</t>
        </is>
      </c>
      <c r="EIY8" t="inlineStr">
        <is>
          <t>Taxable income</t>
        </is>
      </c>
      <c r="EIZ8" t="inlineStr">
        <is>
          <t>Contributions designated as a repayment under the Lifelong Learning Plan</t>
        </is>
      </c>
      <c r="EJA8" t="inlineStr">
        <is>
          <t>Current year withdrawals for the LLP on T4RSP slips</t>
        </is>
      </c>
      <c r="EJB8" t="inlineStr">
        <is>
          <t>Designation of the spouse or common-law partner as the student for whom the funds were withdrawn under the LLP</t>
        </is>
      </c>
      <c r="EJC8" t="inlineStr">
        <is>
          <t>Foreign property held in the current tax year with a total cost of more than CAN$100,000</t>
        </is>
      </c>
      <c r="EJD8" t="inlineStr">
        <is>
          <t>Current year contributions to an amateur athlete trust</t>
        </is>
      </c>
      <c r="EJE8" t="inlineStr">
        <is>
          <t>Basic personal amount</t>
        </is>
      </c>
      <c r="EJF8" t="inlineStr">
        <is>
          <t>Age amount</t>
        </is>
      </c>
      <c r="EJG8" t="inlineStr">
        <is>
          <t>Spouse or common-law partner amount</t>
        </is>
      </c>
      <c r="EJH8" t="inlineStr">
        <is>
          <t>Canada caregiver amount for spouse or common-law partner, or eligible dependant age 18 or older</t>
        </is>
      </c>
      <c r="EJI8" t="inlineStr">
        <is>
          <t>Amount for an eligible dependant</t>
        </is>
      </c>
      <c r="EJJ8" t="inlineStr">
        <is>
          <t>Canada caregiver amount for other infirm dependants age 18 or older</t>
        </is>
      </c>
      <c r="EJK8" t="inlineStr">
        <is>
          <t>CPP contributions</t>
        </is>
      </c>
      <c r="EJL8" t="inlineStr">
        <is>
          <t>CPP contributions on self-employment and other earnings</t>
        </is>
      </c>
      <c r="EJM8" t="inlineStr">
        <is>
          <t>Employment insurance premiums</t>
        </is>
      </c>
      <c r="EJN8" t="inlineStr">
        <is>
          <t>Adoption expenses</t>
        </is>
      </c>
      <c r="EJO8" t="inlineStr">
        <is>
          <t>Pension income amount</t>
        </is>
      </c>
      <c r="EJP8" t="inlineStr">
        <is>
          <t>Disability amount (for self)</t>
        </is>
      </c>
      <c r="EJQ8" t="inlineStr">
        <is>
          <t>Employment insurance premiums on self-employment and other eligible earnings</t>
        </is>
      </c>
      <c r="EJR8" t="inlineStr">
        <is>
          <t>Disability amount transferred from a dependant Interest paid on your student loans</t>
        </is>
      </c>
      <c r="EJS8" t="inlineStr">
        <is>
          <t>Interest paid on your student loans</t>
        </is>
      </c>
      <c r="EJT8" t="inlineStr">
        <is>
          <t>Eligible tuition fees paid to Canadian educational institutions for the current tax year</t>
        </is>
      </c>
      <c r="EJU8" t="inlineStr">
        <is>
          <t>Your tuition, education, and textbook amounts</t>
        </is>
      </c>
      <c r="EJV8" t="inlineStr">
        <is>
          <t>Tuition amount transferred from a child</t>
        </is>
      </c>
      <c r="EJW8" t="inlineStr">
        <is>
          <t>Number of months enrolled as a part-time student</t>
        </is>
      </c>
      <c r="EJX8" t="inlineStr">
        <is>
          <t>Amounts transferred from your spouse or common-law partner</t>
        </is>
      </c>
      <c r="EJY8" t="inlineStr">
        <is>
          <t>Federal tuition amount transferred</t>
        </is>
      </c>
      <c r="EJZ8" t="inlineStr">
        <is>
          <t>Number of months enrolled as a full-time student</t>
        </is>
      </c>
      <c r="EKA8" t="inlineStr">
        <is>
          <t>Donations made to government bodies</t>
        </is>
      </c>
      <c r="EKB8" t="inlineStr">
        <is>
          <t>Medical expenses for self, spouse or common-law partner, and dependent children under 18 years of age</t>
        </is>
      </c>
      <c r="EKC8" t="inlineStr">
        <is>
          <t>Allowable amount of medical expenses for other dependants</t>
        </is>
      </c>
      <c r="EKD8" t="inlineStr">
        <is>
          <t>Allowable amount of medical expenses</t>
        </is>
      </c>
      <c r="EKE8" t="inlineStr">
        <is>
          <t>Donations made to registered universities outside Canada</t>
        </is>
      </c>
      <c r="EKF8" t="inlineStr">
        <is>
          <t>Donations made to the United Nations, its agencies, and certain registered foreign charitable organizations</t>
        </is>
      </c>
      <c r="EKG8" t="inlineStr">
        <is>
          <t>Gifts of depreciable property</t>
        </is>
      </c>
      <c r="EKH8" t="inlineStr">
        <is>
          <t>Non-refundable tax credits before donations and gifts</t>
        </is>
      </c>
      <c r="EKI8" t="inlineStr">
        <is>
          <t>Gifts of capital property</t>
        </is>
      </c>
      <c r="EKJ8" t="inlineStr">
        <is>
          <t>Allowable charitable donations</t>
        </is>
      </c>
      <c r="EKK8" t="inlineStr">
        <is>
          <t>Eligible amount of cultural and ecological gifts</t>
        </is>
      </c>
      <c r="EKL8" t="inlineStr">
        <is>
          <t>Not enrolled full-time due to effects of impairment Number of months enrolled as a part-time student Number of months enrolled as a full-time student</t>
        </is>
      </c>
      <c r="EKM8" t="inlineStr">
        <is>
          <t>Donations and gifts</t>
        </is>
      </c>
      <c r="EKN8" t="inlineStr">
        <is>
          <t>Total federal non-refundable tax credits</t>
        </is>
      </c>
      <c r="EKO8" t="inlineStr">
        <is>
          <t>Spouse’s or common-law partner’s adjusted taxable income</t>
        </is>
      </c>
      <c r="EKP8" t="inlineStr">
        <is>
          <t>Number of children for whom you are claiming the Canada caregiver amount for infirm children under 18 years of age</t>
        </is>
      </c>
      <c r="EKQ8" t="inlineStr">
        <is>
          <t>Spouse’s or common-law partner’s age amount</t>
        </is>
      </c>
      <c r="EKR8" t="inlineStr">
        <is>
          <t>Total of donations made before 2016</t>
        </is>
      </c>
      <c r="EKS8" t="inlineStr">
        <is>
          <t>Spouse’s or common-law partner’s pension income amount</t>
        </is>
      </c>
      <c r="EKT8" t="inlineStr">
        <is>
          <t>Spouse’s or common-law partner’s disability amount</t>
        </is>
      </c>
      <c r="EKU8" t="inlineStr">
        <is>
          <t>Tuition amount designated by your spouse or common-law partner</t>
        </is>
      </c>
      <c r="EKV8" t="inlineStr">
        <is>
          <t>Spouse’s or common-law partner’s Canada caregiver amount for infirm children under 18 years of age</t>
        </is>
      </c>
      <c r="EKW8" t="inlineStr">
        <is>
          <t>Volunteer firefighters’ amount</t>
        </is>
      </c>
      <c r="EKX8" t="inlineStr">
        <is>
          <t>Canada employment amount Home buyers’ amount</t>
        </is>
      </c>
      <c r="EKY8" t="inlineStr">
        <is>
          <t>Canada caregiver amount for infirm children under 18 years of age</t>
        </is>
      </c>
      <c r="EKZ8" t="inlineStr">
        <is>
          <t>Home buyers’ amount</t>
        </is>
      </c>
      <c r="ELA8" t="inlineStr">
        <is>
          <t>Net business income/Pensionable net self-employment earnings</t>
        </is>
      </c>
      <c r="ELB8" t="inlineStr">
        <is>
          <t>Effective date of the electing to stop contributing to CPP on self-employment earnings</t>
        </is>
      </c>
      <c r="ELC8" t="inlineStr">
        <is>
          <t>Employment earnings not shown on a T4 slip on which you elect to pay additional CPP contributions/Income on which you wish to make optional contributions</t>
        </is>
      </c>
      <c r="ELD8" t="inlineStr">
        <is>
          <t>Effective date to revoke an election made in a prior year to stop contributing to CPP on self-employment earnings</t>
        </is>
      </c>
      <c r="ELE8" t="inlineStr">
        <is>
          <t>PPIP premiums paid</t>
        </is>
      </c>
      <c r="ELF8" t="inlineStr">
        <is>
          <t>PPIP premiums payable on employment income</t>
        </is>
      </c>
      <c r="ELG8" t="inlineStr">
        <is>
          <t>PPIP premiums payable on self-employment income</t>
        </is>
      </c>
      <c r="ELH8" t="inlineStr">
        <is>
          <t>Do you have an eligible dependant?</t>
        </is>
      </c>
      <c r="ELI8" t="inlineStr">
        <is>
          <t>Do you have an eligible spouse?</t>
        </is>
      </c>
      <c r="ELJ8" t="inlineStr">
        <is>
          <t>Taxable part of scholarship income reported at line 130</t>
        </is>
      </c>
      <c r="ELK8" t="inlineStr">
        <is>
          <t>Eligible spouse’s taxable part of scholarship and grant income</t>
        </is>
      </c>
      <c r="ELL8" t="inlineStr">
        <is>
          <t>Tax-exempt part of working income earned on a reserve or an allowance received as an emergency volunteer</t>
        </is>
      </c>
      <c r="ELM8" t="inlineStr">
        <is>
          <t>Eligible spouse’s tax-exempt part of working income earned on a reserve or an allowance received as an emergency volunteer</t>
        </is>
      </c>
      <c r="ELN8" t="inlineStr">
        <is>
          <t>Eligible spouse’s working income</t>
        </is>
      </c>
      <c r="ELO8" t="inlineStr">
        <is>
          <t>Tax-exempt part of all income earned or received on a reserve less the deductions related to that income or an allowance received as an emergency volunteer</t>
        </is>
      </c>
      <c r="ELP8" t="inlineStr">
        <is>
          <t>Eligible spouse’s tax-exempt part of all income earned or received on a reserve less the deductions related to that income or an allowance received as an emergency volunteer</t>
        </is>
      </c>
      <c r="ELQ8" t="inlineStr">
        <is>
          <t>Eligible spouse’s adjusted net income</t>
        </is>
      </c>
      <c r="ELR8" t="inlineStr">
        <is>
          <t>Are you eligible for the CWB/WITB?</t>
        </is>
      </c>
      <c r="ELS8" t="inlineStr">
        <is>
          <t>Are you eligible for the disability tax credit?</t>
        </is>
      </c>
      <c r="ELT8" t="inlineStr">
        <is>
          <t>Is your eligible spouse eligible for the disability tax credit for themselves?</t>
        </is>
      </c>
      <c r="ELU8" t="inlineStr">
        <is>
          <t>Search and rescue volunteers’ amount</t>
        </is>
      </c>
      <c r="ELV8" t="inlineStr">
        <is>
          <t>Home accessibility expenses</t>
        </is>
      </c>
      <c r="ELW8" t="inlineStr">
        <is>
          <t>Employment earnings shown on a T4 slip on which you elect to pay additional CPP contributions</t>
        </is>
      </c>
      <c r="ELX8" t="inlineStr">
        <is>
          <t>Federal tax</t>
        </is>
      </c>
      <c r="ELY8" t="inlineStr">
        <is>
          <t>Total federal political contributions</t>
        </is>
      </c>
      <c r="ELZ8" t="inlineStr">
        <is>
          <t>Federal political contribution tax credit</t>
        </is>
      </c>
      <c r="EMA8" t="inlineStr">
        <is>
          <t>Investment tax credit</t>
        </is>
      </c>
      <c r="EMB8" t="inlineStr">
        <is>
          <t>Labour-sponsored funds tax credit – Net cost</t>
        </is>
      </c>
      <c r="EMC8" t="inlineStr">
        <is>
          <t>Labour-sponsored funds tax credit – Allowable credit</t>
        </is>
      </c>
      <c r="EMD8" t="inlineStr">
        <is>
          <t>Canada workers benefit advance payments received</t>
        </is>
      </c>
      <c r="EME8" t="inlineStr">
        <is>
          <t>Net federal tax before inclusion of CWB advance payments and special taxes</t>
        </is>
      </c>
      <c r="EMF8" t="inlineStr">
        <is>
          <t>Special taxes</t>
        </is>
      </c>
      <c r="EMG8" t="inlineStr">
        <is>
          <t>Net Federal Tax</t>
        </is>
      </c>
      <c r="EMH8" t="inlineStr">
        <is>
          <t>Federal tax on split income</t>
        </is>
      </c>
      <c r="EMI8" t="inlineStr">
        <is>
          <t>Federal dividend tax credit</t>
        </is>
      </c>
      <c r="EMJ8" t="inlineStr">
        <is>
          <t>Minimum tax carry-over</t>
        </is>
      </c>
      <c r="EMK8" t="inlineStr">
        <is>
          <t>Provincial or territorial tax</t>
        </is>
      </c>
      <c r="EML8" t="inlineStr">
        <is>
          <t>Non-business income tax paid to a foreign country</t>
        </is>
      </c>
      <c r="EMM8" t="inlineStr">
        <is>
          <t>Yukon First Nations tax</t>
        </is>
      </c>
      <c r="EMN8" t="inlineStr">
        <is>
          <t>Net foreign non-business income</t>
        </is>
      </c>
      <c r="EMO8" t="inlineStr">
        <is>
          <t>Business income tax paid to a foreign country</t>
        </is>
      </c>
      <c r="EMP8" t="inlineStr">
        <is>
          <t>Total payable</t>
        </is>
      </c>
      <c r="EMQ8" t="inlineStr">
        <is>
          <t>Total income tax deducted</t>
        </is>
      </c>
      <c r="EMR8" t="inlineStr">
        <is>
          <t>Tax transfer for residents of Quebec</t>
        </is>
      </c>
      <c r="EMS8" t="inlineStr">
        <is>
          <t>Net foreign business income</t>
        </is>
      </c>
      <c r="EMT8" t="inlineStr">
        <is>
          <t>Refundable Quebec abatement</t>
        </is>
      </c>
      <c r="EMU8" t="inlineStr">
        <is>
          <t>Federal refundable First Nations abatement</t>
        </is>
      </c>
      <c r="EMV8" t="inlineStr">
        <is>
          <t>CPP overpayment</t>
        </is>
      </c>
      <c r="EMW8" t="inlineStr">
        <is>
          <t>Climate action incentive</t>
        </is>
      </c>
      <c r="EMX8" t="inlineStr">
        <is>
          <t>Employment insurance overpayment</t>
        </is>
      </c>
      <c r="EMY8" t="inlineStr">
        <is>
          <t>Refundable medical expense supplement</t>
        </is>
      </c>
      <c r="EMZ8" t="inlineStr">
        <is>
          <t>Canada workers benefit (Working income tax benefit)</t>
        </is>
      </c>
      <c r="ENA8" t="inlineStr">
        <is>
          <t>Refund of investment tax credit</t>
        </is>
      </c>
      <c r="ENB8" t="inlineStr">
        <is>
          <t>Part XII.2 trust tax credit</t>
        </is>
      </c>
      <c r="ENC8" t="inlineStr">
        <is>
          <t>Employee and partner GST/HST rebate</t>
        </is>
      </c>
      <c r="END8" t="inlineStr">
        <is>
          <t>Direct deposit – Branch number</t>
        </is>
      </c>
      <c r="ENE8" t="inlineStr">
        <is>
          <t>Direct deposit – Institution number</t>
        </is>
      </c>
      <c r="ENF8" t="inlineStr">
        <is>
          <t>Direct deposit – Account number</t>
        </is>
      </c>
      <c r="ENG8" t="inlineStr">
        <is>
          <t>Donation to the Ontario opportunities fund</t>
        </is>
      </c>
      <c r="ENH8" t="inlineStr">
        <is>
          <t>Net refund</t>
        </is>
      </c>
      <c r="ENI8" t="inlineStr">
        <is>
          <t>Supplies expenses for eligible educator school supply tax credit</t>
        </is>
      </c>
      <c r="ENJ8" t="inlineStr">
        <is>
          <t>Eligible educator school supply tax credit</t>
        </is>
      </c>
      <c r="ENK8" t="inlineStr">
        <is>
          <t>Tax paid by instalments</t>
        </is>
      </c>
      <c r="ENL8" t="inlineStr">
        <is>
          <t>Provincial or territorial credits</t>
        </is>
      </c>
      <c r="ENM8" t="inlineStr">
        <is>
          <t>Refund</t>
        </is>
      </c>
      <c r="ENN8" t="inlineStr">
        <is>
          <t>Balance owing</t>
        </is>
      </c>
      <c r="ENO8" t="inlineStr">
        <is>
          <t>Amount enclosed</t>
        </is>
      </c>
      <c r="ENP8" t="inlineStr">
        <is>
          <t>Volunteer program</t>
        </is>
      </c>
      <c r="ENQ8" t="inlineStr">
        <is>
          <t>Refund transfer</t>
        </is>
      </c>
      <c r="ENR8" t="inlineStr">
        <is>
          <t>Tax preparer code</t>
        </is>
      </c>
      <c r="ENS8" t="inlineStr">
        <is>
          <t>EI and PPIP premiums (non-Quebec return)</t>
        </is>
      </c>
      <c r="ENT8" t="inlineStr">
        <is>
          <t>Total PPIP premiums</t>
        </is>
      </c>
      <c r="ENU8" t="inlineStr">
        <is>
          <t>Total EI premiums</t>
        </is>
      </c>
      <c r="ENV8" t="inlineStr">
        <is>
          <t>PPIP indicator</t>
        </is>
      </c>
      <c r="ENW8" t="inlineStr">
        <is>
          <t>QPP contributions</t>
        </is>
      </c>
      <c r="ENX8" t="inlineStr">
        <is>
          <t>QPP contributions on self-employment and other earnings</t>
        </is>
      </c>
      <c r="ENY8" t="inlineStr">
        <is>
          <t>Actual total contributions on QPP pensionable earnings</t>
        </is>
      </c>
      <c r="ENZ8" t="inlineStr">
        <is>
          <t>Actual total contributions on CPP pensionable earnings</t>
        </is>
      </c>
      <c r="EOA8" t="inlineStr">
        <is>
          <t>Capital gains at 100%</t>
        </is>
      </c>
      <c r="EOB8" t="inlineStr">
        <is>
          <t>Dependant’s net income (line 23600 of his or her return)</t>
        </is>
      </c>
      <c r="EOC8" t="inlineStr">
        <is>
          <t>Canada caregiver amount for spouse or common-law partner</t>
        </is>
      </c>
      <c r="EOD8" t="inlineStr">
        <is>
          <t>Canada caregiver amount for a dependant (other than an infirm child under 18 year of age)</t>
        </is>
      </c>
      <c r="EOE8" t="inlineStr">
        <is>
          <t>Total number of dependants</t>
        </is>
      </c>
      <c r="EOF8" t="inlineStr">
        <is>
          <t>Number of full weeks in attendance at a designated educational institution or secondary school</t>
        </is>
      </c>
      <c r="EOG8" t="inlineStr">
        <is>
          <t>Earnings for services performed in Canada on which the foreign social security contributions were made</t>
        </is>
      </c>
      <c r="EOH8" t="inlineStr">
        <is>
          <t>Amount contributed to a foreign social security arrangement</t>
        </is>
      </c>
      <c r="EOI8" t="inlineStr">
        <is>
          <t>Allowable non-refundable tax credit for contributions to a foreign social security arrangement</t>
        </is>
      </c>
      <c r="EOJ8" t="inlineStr">
        <is>
          <t>Contributions to a foreign employer-sponsored pension plan</t>
        </is>
      </c>
      <c r="EOK8" t="inlineStr">
        <is>
          <t>Resident compensation from employment services</t>
        </is>
      </c>
      <c r="EOL8" t="inlineStr">
        <is>
          <t>Pension adjustment from a U.S. retirement plan/Prescribed amount from a U.S. retirement plan/Pension adjustment from a foreign employer-sponsored pension plan</t>
        </is>
      </c>
      <c r="EOM8" t="inlineStr">
        <is>
          <t>Contributions to a U.S. retirement plan</t>
        </is>
      </c>
      <c r="EON8" t="inlineStr">
        <is>
          <t>Contributions to a U.S. retirement plan</t>
        </is>
      </c>
      <c r="EOO8" t="inlineStr">
        <is>
          <t>Spouse’s or common-law partner’s capital gains from mortgage foreclosures and conditional sales repossessions</t>
        </is>
      </c>
      <c r="EOP8" t="inlineStr">
        <is>
          <t>Spouse’s or common-law partner’s net-income while the taxpayer is living in Canada</t>
        </is>
      </c>
      <c r="EOQ8" t="inlineStr">
        <is>
          <t>Spouse’s or common-law partner’s net-income while the taxpayer is living outside of Canada</t>
        </is>
      </c>
      <c r="EOR8" t="inlineStr">
        <is>
          <t>Net foreign non-business income from the first foreign country</t>
        </is>
      </c>
      <c r="EOS8" t="inlineStr">
        <is>
          <t>Net foreign non-business income from the second foreign country</t>
        </is>
      </c>
      <c r="EOT8" t="inlineStr">
        <is>
          <t>Net foreign non-business income from the third foreign country</t>
        </is>
      </c>
      <c r="EOU8" t="inlineStr">
        <is>
          <t>Business income tax paid to the first foreign country</t>
        </is>
      </c>
      <c r="EOV8" t="inlineStr">
        <is>
          <t>Non-business income tax paid to first foreign country</t>
        </is>
      </c>
      <c r="EOW8" t="inlineStr">
        <is>
          <t>Non-business income tax paid to second foreign country</t>
        </is>
      </c>
      <c r="EOX8" t="inlineStr">
        <is>
          <t>Non-business income tax paid to third foreign country</t>
        </is>
      </c>
      <c r="EOY8" t="inlineStr">
        <is>
          <t>Net business income from the first foreign country</t>
        </is>
      </c>
      <c r="EOZ8" t="inlineStr">
        <is>
          <t>Net business income from the second foreign country</t>
        </is>
      </c>
      <c r="EPA8" t="inlineStr">
        <is>
          <t>Net business income from the third foreign country</t>
        </is>
      </c>
      <c r="EPB8" t="inlineStr">
        <is>
          <t>Business income tax paid to the second foreign country</t>
        </is>
      </c>
      <c r="EPC8" t="inlineStr">
        <is>
          <t>Business income tax paid to the third foreign country</t>
        </is>
      </c>
      <c r="EPD8" t="inlineStr">
        <is>
          <t>Vow of perpetual poverty</t>
        </is>
      </c>
      <c r="EPE8" t="inlineStr">
        <is>
          <t>Canadian sourced non-resident income, excluding the income subject to Part XIII tax</t>
        </is>
      </c>
      <c r="EPF8" t="inlineStr">
        <is>
          <t>Canadian sourced non-resident income subject to Part XIII tax plus foreign sourced non-resident income</t>
        </is>
      </c>
      <c r="EPG8" t="inlineStr">
        <is>
          <t>BC logging tax paid</t>
        </is>
      </c>
      <c r="EPH8" t="inlineStr">
        <is>
          <t>QC logging tax paid</t>
        </is>
      </c>
      <c r="EPI8" t="inlineStr">
        <is>
          <t>Total QPP pensionable earnings</t>
        </is>
      </c>
      <c r="EPJ8" t="inlineStr">
        <is>
          <t>Total CPP pensionable earnings</t>
        </is>
      </c>
      <c r="EPK8" t="inlineStr">
        <is>
          <t>Indicator for filing due date for tax shelter, or inactive or active business income</t>
        </is>
      </c>
      <c r="EPL8" t="inlineStr">
        <is>
          <t>BC logging income</t>
        </is>
      </c>
      <c r="EPM8" t="inlineStr">
        <is>
          <t>CCA on certified film property</t>
        </is>
      </c>
      <c r="EPN8" t="inlineStr">
        <is>
          <t>Ineligible pension income</t>
        </is>
      </c>
      <c r="EPO8" t="inlineStr">
        <is>
          <t>Income with tax withheld supported by information slips</t>
        </is>
      </c>
      <c r="EPP8" t="inlineStr">
        <is>
          <t>T4 earning reduction</t>
        </is>
      </c>
      <c r="EPQ8" t="inlineStr">
        <is>
          <t>Quebec tax deducted (from slips in the taxpayer's name)</t>
        </is>
      </c>
      <c r="EPR8" t="inlineStr">
        <is>
          <t>Income on which Quebec tax was withheld (from slips in the taxpayer's name)</t>
        </is>
      </c>
      <c r="EPS8" t="inlineStr">
        <is>
          <t>Amount of OAS pension repaid</t>
        </is>
      </c>
      <c r="EPT8" t="inlineStr">
        <is>
          <t>Limited partnership loss carryforward from 1986 and 1987</t>
        </is>
      </c>
      <c r="EPU8" t="inlineStr">
        <is>
          <t>Limited partnership loss available for carryforward</t>
        </is>
      </c>
      <c r="EPV8" t="inlineStr">
        <is>
          <t>Amount of self-employment net earnings reported at self-employed lines in relation to T4 self-employment on which EI premiums through employment were deducted</t>
        </is>
      </c>
      <c r="EPW8" t="inlineStr">
        <is>
          <t>Shareholder's loan repayment</t>
        </is>
      </c>
      <c r="EPX8" t="inlineStr">
        <is>
          <t>QC logging income</t>
        </is>
      </c>
      <c r="EPY8" t="inlineStr">
        <is>
          <t>Spouse's or common-law partner's total split income</t>
        </is>
      </c>
      <c r="EPZ8" t="inlineStr">
        <is>
          <t>Net business income (amount from line 27 of Schedule L of the Quebec provincial income tax return)</t>
        </is>
      </c>
      <c r="EQA8" t="inlineStr">
        <is>
          <t>Employment income where the province or territory of employment is other than Quebec</t>
        </is>
      </c>
      <c r="EQB8" t="inlineStr">
        <is>
          <t>PPIP insurable earnings</t>
        </is>
      </c>
      <c r="EQC8" t="inlineStr">
        <is>
          <t>Shareholder earnings</t>
        </is>
      </c>
      <c r="EQD8" t="inlineStr">
        <is>
          <t>Tax-exempt self-employment income earned by a status indian</t>
        </is>
      </c>
      <c r="EQE8" t="inlineStr">
        <is>
          <t>Taxable income from the post-bankruptcy period</t>
        </is>
      </c>
      <c r="EQF8" t="inlineStr">
        <is>
          <t>EI insurable earnings</t>
        </is>
      </c>
      <c r="EQG8" t="inlineStr">
        <is>
          <t>EI and other benefits repaid</t>
        </is>
      </c>
      <c r="EQH8" t="inlineStr">
        <is>
          <t>Farm/fish loss</t>
        </is>
      </c>
      <c r="EQI8" t="inlineStr">
        <is>
          <t>Total section 31 farm loss</t>
        </is>
      </c>
      <c r="EQJ8" t="inlineStr">
        <is>
          <t>Restricted farm loss</t>
        </is>
      </c>
      <c r="EQK8" t="inlineStr">
        <is>
          <t>RRSP earned income calculation</t>
        </is>
      </c>
      <c r="EQL8" t="inlineStr">
        <is>
          <t>Home Buyers' Plan (HBP) participant repayment amount</t>
        </is>
      </c>
      <c r="EQM8" t="inlineStr">
        <is>
          <t>Lifelong Learning Plan (LLP) participant repayment amount</t>
        </is>
      </c>
      <c r="EQN8" t="inlineStr">
        <is>
          <t>Indicator for marital status change</t>
        </is>
      </c>
      <c r="EQO8" t="inlineStr">
        <is>
          <t>Spousal indicator</t>
        </is>
      </c>
      <c r="EQP8" t="inlineStr">
        <is>
          <t>Marital status change indicator for the amount for an eligible dependant</t>
        </is>
      </c>
      <c r="EQQ8" t="inlineStr">
        <is>
          <t>Earned income adjustment amount</t>
        </is>
      </c>
      <c r="EQR8" t="inlineStr">
        <is>
          <t>Net self-employment income (loss) adjustment amount</t>
        </is>
      </c>
      <c r="EQS8" t="inlineStr">
        <is>
          <t>RDSP repayment by taxpayer</t>
        </is>
      </c>
      <c r="EQT8" t="inlineStr">
        <is>
          <t>RDSP income of spouse or common-law partner</t>
        </is>
      </c>
      <c r="EQU8" t="inlineStr">
        <is>
          <t>RDSP repayment by spouse or common-law partner</t>
        </is>
      </c>
      <c r="EQV8" t="inlineStr">
        <is>
          <t>Number of months of retirement</t>
        </is>
      </c>
      <c r="EQW8" t="inlineStr">
        <is>
          <t>Number of months of disability</t>
        </is>
      </c>
      <c r="EQX8" t="inlineStr">
        <is>
          <t>CPP/QPP retirement benefits</t>
        </is>
      </c>
      <c r="EQY8" t="inlineStr">
        <is>
          <t>Basic personal amount</t>
        </is>
      </c>
      <c r="EQZ8" t="inlineStr">
        <is>
          <t>Age amount</t>
        </is>
      </c>
      <c r="ERA8" t="inlineStr">
        <is>
          <t>Spousal or common-law law partner amount</t>
        </is>
      </c>
      <c r="ERB8" t="inlineStr">
        <is>
          <t>Amount for an eligible dependant</t>
        </is>
      </c>
      <c r="ERC8" t="inlineStr">
        <is>
          <t>Caregiver amount for spouse or common-law partner, or eligible dependant age 18 or older</t>
        </is>
      </c>
      <c r="ERD8" t="inlineStr">
        <is>
          <t>British Columbia caregiver amount</t>
        </is>
      </c>
      <c r="ERE8" t="inlineStr">
        <is>
          <t>Caregiver amount for infirm dependants age 18 or older</t>
        </is>
      </c>
      <c r="ERF8" t="inlineStr">
        <is>
          <t>Ontario caregiver amount</t>
        </is>
      </c>
      <c r="ERG8" t="inlineStr">
        <is>
          <t>Caregiver amount for infirm children under 18 years of age</t>
        </is>
      </c>
      <c r="ERH8" t="inlineStr">
        <is>
          <t>Amount for infirm dependants age 18 or older</t>
        </is>
      </c>
      <c r="ERI8" t="inlineStr">
        <is>
          <t>Number of children</t>
        </is>
      </c>
      <c r="ERJ8" t="inlineStr">
        <is>
          <t>Amount for dependent children age 18 or younger</t>
        </is>
      </c>
      <c r="ERK8" t="inlineStr">
        <is>
          <t>Senior supplementary amount</t>
        </is>
      </c>
      <c r="ERL8" t="inlineStr">
        <is>
          <t>Number of months being claimed for all qualifying children</t>
        </is>
      </c>
      <c r="ERM8" t="inlineStr">
        <is>
          <t>Amount for young children</t>
        </is>
      </c>
      <c r="ERN8" t="inlineStr">
        <is>
          <t>CPP or QPP contributions</t>
        </is>
      </c>
      <c r="ERO8" t="inlineStr">
        <is>
          <t>CPP or QPP contributions on self-employment and other earnings</t>
        </is>
      </c>
      <c r="ERP8" t="inlineStr">
        <is>
          <t>Employment insurance premiums</t>
        </is>
      </c>
      <c r="ERQ8" t="inlineStr">
        <is>
          <t>Employment insurance premiums on self-employment and other eligible earnings</t>
        </is>
      </c>
      <c r="ERR8" t="inlineStr">
        <is>
          <t>Canada employment amount</t>
        </is>
      </c>
      <c r="ERS8" t="inlineStr">
        <is>
          <t>Volunteer firefighters’ amount</t>
        </is>
      </c>
      <c r="ERT8" t="inlineStr">
        <is>
          <t>Search and rescue volunteers’ amount</t>
        </is>
      </c>
      <c r="ERU8" t="inlineStr">
        <is>
          <t>Child care amount</t>
        </is>
      </c>
      <c r="ERV8" t="inlineStr">
        <is>
          <t>Fitness amount</t>
        </is>
      </c>
      <c r="ERW8" t="inlineStr">
        <is>
          <t>Children’s arts amount</t>
        </is>
      </c>
      <c r="ERX8" t="inlineStr">
        <is>
          <t>Adoption expenses</t>
        </is>
      </c>
      <c r="ERY8" t="inlineStr">
        <is>
          <t>First-time home buyers’ amount</t>
        </is>
      </c>
      <c r="ERZ8" t="inlineStr">
        <is>
          <t>Pension income amount</t>
        </is>
      </c>
      <c r="ESA8" t="inlineStr">
        <is>
          <t>Caregiver amount</t>
        </is>
      </c>
      <c r="ESB8" t="inlineStr">
        <is>
          <t>Disability amount (for self)</t>
        </is>
      </c>
      <c r="ESC8" t="inlineStr">
        <is>
          <t>Disability amount transferred from a dependant</t>
        </is>
      </c>
      <c r="ESD8" t="inlineStr">
        <is>
          <t>Teacher school supply amount</t>
        </is>
      </c>
      <c r="ESE8" t="inlineStr">
        <is>
          <t>Interest paid on your student loans</t>
        </is>
      </c>
      <c r="ESF8" t="inlineStr">
        <is>
          <t>Your tuition and education amounts</t>
        </is>
      </c>
      <c r="ESG8" t="inlineStr">
        <is>
          <t>Your unused tuition and education amounts</t>
        </is>
      </c>
      <c r="ESH8" t="inlineStr">
        <is>
          <t>Your tuition, education, and textbook amounts</t>
        </is>
      </c>
      <c r="ESI8" t="inlineStr">
        <is>
          <t>Tuition and education amounts transferred from a child</t>
        </is>
      </c>
      <c r="ESJ8" t="inlineStr">
        <is>
          <t>Tuition amounts transferred from a child NB428</t>
        </is>
      </c>
      <c r="ESK8" t="inlineStr">
        <is>
          <t>Tuition, education, and textbook amounts transferred from a child</t>
        </is>
      </c>
      <c r="ESL8" t="inlineStr">
        <is>
          <t>Amounts transferred from your spouse or common-law partner</t>
        </is>
      </c>
      <c r="ESM8" t="inlineStr">
        <is>
          <t>Medical expenses for self, spouse or common-law partner, and your dependent children under 18 years of age</t>
        </is>
      </c>
      <c r="ESN8" t="inlineStr">
        <is>
          <t>Allowable amount of medical expenses for other dependants</t>
        </is>
      </c>
      <c r="ESO8" t="inlineStr">
        <is>
          <t>Total tax-exempt employment earnings</t>
        </is>
      </c>
      <c r="ESP8" t="inlineStr">
        <is>
          <t>Allowable amount of medical expenses</t>
        </is>
      </c>
      <c r="ESQ8" t="inlineStr">
        <is>
          <t>Add lines 58040 to 58640 (and line 61470 for MB) and line 58769</t>
        </is>
      </c>
      <c r="ESR8" t="inlineStr">
        <is>
          <t>Total tax-exempt self-employment earnings and other tax-exempt earned income</t>
        </is>
      </c>
      <c r="ESS8" t="inlineStr">
        <is>
          <t>Total eligible PRPP contributions from tax-exempt income</t>
        </is>
      </c>
      <c r="EST8" t="inlineStr">
        <is>
          <t>PRPP contributions from tax-exempt income designated as a repayment under the HBP</t>
        </is>
      </c>
      <c r="ESU8" t="inlineStr">
        <is>
          <t>Provincial or territorial non-refundable tax credits before donations and gifts</t>
        </is>
      </c>
      <c r="ESV8" t="inlineStr">
        <is>
          <t>Non-refundable tax credits before donations and gifts and the farmers’ food donation tax credit</t>
        </is>
      </c>
      <c r="ESW8" t="inlineStr">
        <is>
          <t>Donations and gifts</t>
        </is>
      </c>
      <c r="ESX8" t="inlineStr">
        <is>
          <t>PRPP contributions from tax-exempt income designated as a repayment under the LLP</t>
        </is>
      </c>
      <c r="ESY8" t="inlineStr">
        <is>
          <t>BC farmers’ food donation tax credit</t>
        </is>
      </c>
      <c r="ESZ8" t="inlineStr">
        <is>
          <t>Spouse’s or common-law partner’s amount for young children less than 6 years of age</t>
        </is>
      </c>
      <c r="ETA8" t="inlineStr">
        <is>
          <t>Spouse’s or common-law partner’s amount for dependent children age 18 or younger</t>
        </is>
      </c>
      <c r="ETB8" t="inlineStr">
        <is>
          <t>Spouse’s or common-law partner’s age amount</t>
        </is>
      </c>
      <c r="ETC8" t="inlineStr">
        <is>
          <t>Spouse’s or common-law partner’s senior supplementary amount</t>
        </is>
      </c>
      <c r="ETD8" t="inlineStr">
        <is>
          <t>Spouse’s or common-law partner’s provincial/territorial caregiver amount for infirm children under 18 years of age</t>
        </is>
      </c>
      <c r="ETE8" t="inlineStr">
        <is>
          <t>Spouse’s or common-law partner’s pension income amount</t>
        </is>
      </c>
      <c r="ETF8" t="inlineStr">
        <is>
          <t>Spouse’s or common-law partner’s disability amount</t>
        </is>
      </c>
      <c r="ETG8" t="inlineStr">
        <is>
          <t>Tuition and education amounts designated by your spouse or common-law partner</t>
        </is>
      </c>
      <c r="ETH8" t="inlineStr">
        <is>
          <t>Tuition amounts designated by your spouse or common-law partner</t>
        </is>
      </c>
      <c r="ETI8" t="inlineStr">
        <is>
          <t>Tuition, education, and textbook amounts designated by your spouse or common-law partner</t>
        </is>
      </c>
      <c r="ETJ8" t="inlineStr">
        <is>
          <t>Spouse’s or common-law partner’s adjusted taxable income</t>
        </is>
      </c>
      <c r="ETK8" t="inlineStr">
        <is>
          <t>Eligible tuition fees paid for the current tax year</t>
        </is>
      </c>
      <c r="ETL8" t="inlineStr">
        <is>
          <t>Part-time education amount</t>
        </is>
      </c>
      <c r="ETM8" t="inlineStr">
        <is>
          <t>Part-time education and textbook amounts</t>
        </is>
      </c>
      <c r="ETN8" t="inlineStr">
        <is>
          <t>Full-time education amount</t>
        </is>
      </c>
      <c r="ETO8" t="inlineStr">
        <is>
          <t>Full-time education and textbook amounts</t>
        </is>
      </c>
      <c r="ETP8" t="inlineStr">
        <is>
          <t>Provincial amount transferred</t>
        </is>
      </c>
      <c r="ETQ8" t="inlineStr">
        <is>
          <t>Territorial amount transferred</t>
        </is>
      </c>
      <c r="ETR8" t="inlineStr">
        <is>
          <t>Provincial tuition amount transferred</t>
        </is>
      </c>
      <c r="ETS8" t="inlineStr">
        <is>
          <t>Territorial tuition amount transferred</t>
        </is>
      </c>
      <c r="ETT8" t="inlineStr">
        <is>
          <t>Amount for infirm dependants age 18 or older</t>
        </is>
      </c>
      <c r="ETU8" t="inlineStr">
        <is>
          <t>Caregiver amount</t>
        </is>
      </c>
      <c r="ETV8" t="inlineStr">
        <is>
          <t>Disability amount (for self)</t>
        </is>
      </c>
      <c r="ETW8" t="inlineStr">
        <is>
          <t>Disability amount transferred from a dependant</t>
        </is>
      </c>
      <c r="ETX8" t="inlineStr">
        <is>
          <t>Amounts transferred from your spouse or common-law partner</t>
        </is>
      </c>
      <c r="ETY8" t="inlineStr">
        <is>
          <t>Allowable amount of medical expenses for other dependants</t>
        </is>
      </c>
      <c r="ETZ8" t="inlineStr">
        <is>
          <t>Disability amount (for self)</t>
        </is>
      </c>
      <c r="EUA8" t="inlineStr">
        <is>
          <t>Disability amount transferred from a dependant</t>
        </is>
      </c>
      <c r="EUB8" t="inlineStr">
        <is>
          <t>Total provincial amounts designated to you by a student</t>
        </is>
      </c>
      <c r="EUC8" t="inlineStr">
        <is>
          <t>Amounts transferred from your spouse or common-law partner</t>
        </is>
      </c>
      <c r="EUD8" t="inlineStr">
        <is>
          <t>Allowable amount of medical expenses for other dependants</t>
        </is>
      </c>
      <c r="EUE8" t="inlineStr">
        <is>
          <t>Program type from the current tax year</t>
        </is>
      </c>
      <c r="EUF8" t="inlineStr">
        <is>
          <t>Eligible tuition fees paid</t>
        </is>
      </c>
      <c r="EUG8" t="inlineStr">
        <is>
          <t>“Eligibility Maximum” from the current tax year</t>
        </is>
      </c>
      <c r="EUH8" t="inlineStr">
        <is>
          <t>Program type from the current tax year</t>
        </is>
      </c>
      <c r="EUI8" t="inlineStr">
        <is>
          <t>Eligible tuition fees paid</t>
        </is>
      </c>
      <c r="EUJ8" t="inlineStr">
        <is>
          <t>Eligibility Maximum from the current tax year</t>
        </is>
      </c>
      <c r="EUK8" t="inlineStr">
        <is>
          <t>Program type from the current tax year</t>
        </is>
      </c>
      <c r="EUL8" t="inlineStr">
        <is>
          <t>Eligible tuition fees paid</t>
        </is>
      </c>
      <c r="EUM8" t="inlineStr">
        <is>
          <t>Eligibility Maximum from the current tax year</t>
        </is>
      </c>
      <c r="EUN8" t="inlineStr">
        <is>
          <t>AB political contributions tax credit</t>
        </is>
      </c>
      <c r="EUO8" t="inlineStr">
        <is>
          <t>Investor tax credit – Current tax year</t>
        </is>
      </c>
      <c r="EUP8" t="inlineStr">
        <is>
          <t>Climate action incentive – Basic amount</t>
        </is>
      </c>
      <c r="EUQ8" t="inlineStr">
        <is>
          <t>Climate action incentive – Amount for an eligible spouse or common-law partner</t>
        </is>
      </c>
      <c r="EUR8" t="inlineStr">
        <is>
          <t>Climate action incentive – Amount for a single parent’s qualified dependant</t>
        </is>
      </c>
      <c r="EUS8" t="inlineStr">
        <is>
          <t>Climate action incentive – Number of qualified dependants</t>
        </is>
      </c>
      <c r="EUT8" t="inlineStr">
        <is>
          <t>Climate action incentive – Do you reside outside of a census metropolitan area on December 31 of the tax year, as defined by Statistics Canada?</t>
        </is>
      </c>
      <c r="EUU8" t="inlineStr">
        <is>
          <t>Basic sales tax credit</t>
        </is>
      </c>
      <c r="EUV8" t="inlineStr">
        <is>
          <t>Additional sales tax credit for spouse or common-law partner</t>
        </is>
      </c>
      <c r="EUW8" t="inlineStr">
        <is>
          <t>Home renovation expenses</t>
        </is>
      </c>
      <c r="EUX8" t="inlineStr">
        <is>
          <t>BC political contribution tax credit</t>
        </is>
      </c>
      <c r="EUY8" t="inlineStr">
        <is>
          <t>Employee share ownership plan tax credit</t>
        </is>
      </c>
      <c r="EUZ8" t="inlineStr">
        <is>
          <t>Employee venture capital tax credit</t>
        </is>
      </c>
      <c r="EVA8" t="inlineStr">
        <is>
          <t>Home renovation expenses for seniors and persons with disabilities</t>
        </is>
      </c>
      <c r="EVB8" t="inlineStr">
        <is>
          <t>Venture capital tax credit – Current tax year</t>
        </is>
      </c>
      <c r="EVC8" t="inlineStr">
        <is>
          <t>Venture capital tax credit – First 60 days subsequent to the current tax year</t>
        </is>
      </c>
      <c r="EVD8" t="inlineStr">
        <is>
          <t>Mining exploration tax credit</t>
        </is>
      </c>
      <c r="EVE8" t="inlineStr">
        <is>
          <t>Mining exploration tax credit allocated from a partnership</t>
        </is>
      </c>
      <c r="EVF8" t="inlineStr">
        <is>
          <t>Training tax credit (Individuals)</t>
        </is>
      </c>
      <c r="EVG8" t="inlineStr">
        <is>
          <t>Training tax credit (Employers)</t>
        </is>
      </c>
      <c r="EVH8" t="inlineStr">
        <is>
          <t>Shipbuilding and ship repair industry tax credit</t>
        </is>
      </c>
      <c r="EVI8" t="inlineStr">
        <is>
          <t>Age amount for spouse or common-law partner</t>
        </is>
      </c>
      <c r="EVJ8" t="inlineStr">
        <is>
          <t>Disability amount for spouse or common-law partner</t>
        </is>
      </c>
      <c r="EVK8" t="inlineStr">
        <is>
          <t>Number of disability claims for self or a dependant other than your spouse or common-law partner</t>
        </is>
      </c>
      <c r="EVL8" t="inlineStr">
        <is>
          <t>Number of disabled dependants 18 years of age or older</t>
        </is>
      </c>
      <c r="EVM8" t="inlineStr">
        <is>
          <t>Number of dependent children 18 years of age or younger</t>
        </is>
      </c>
      <c r="EVN8" t="inlineStr">
        <is>
          <t>Labour-sponsored funds tax credit</t>
        </is>
      </c>
      <c r="EVO8" t="inlineStr">
        <is>
          <t>Community enterprise development tax credit claimed</t>
        </is>
      </c>
      <c r="EVP8" t="inlineStr">
        <is>
          <t>Community enterprise development tax credit amount from Slip T2CEDTC (MAN.)</t>
        </is>
      </c>
      <c r="EVQ8" t="inlineStr">
        <is>
          <t>Small business venture capital tax credit claimed</t>
        </is>
      </c>
      <c r="EVR8" t="inlineStr">
        <is>
          <t>Credit amount from Slip T2SBVCTC (MAN.)</t>
        </is>
      </c>
      <c r="EVS8" t="inlineStr">
        <is>
          <t>Employee share purchase tax credit claimed</t>
        </is>
      </c>
      <c r="EVT8" t="inlineStr">
        <is>
          <t>Involuntary separation indicator</t>
        </is>
      </c>
      <c r="EVU8" t="inlineStr">
        <is>
          <t>Basic, age, and disability credits for spouse or common-law partner</t>
        </is>
      </c>
      <c r="EVV8" t="inlineStr">
        <is>
          <t>Mineral exploration tax credit claimed</t>
        </is>
      </c>
      <c r="EVW8" t="inlineStr">
        <is>
          <t>Total credit amounts from ESOP receipt(s)</t>
        </is>
      </c>
      <c r="EVX8" t="inlineStr">
        <is>
          <t>Number of disability claims for self or for a dependant other than your spouse or common-law partner</t>
        </is>
      </c>
      <c r="EVY8" t="inlineStr">
        <is>
          <t>Number of dependent children 18 years of age or younger</t>
        </is>
      </c>
      <c r="EVZ8" t="inlineStr">
        <is>
          <t>Number of disabled dependants 18 years of age or older</t>
        </is>
      </c>
      <c r="EWA8" t="inlineStr">
        <is>
          <t>Number dependants with a mental or physical infirmity</t>
        </is>
      </c>
      <c r="EWB8" t="inlineStr">
        <is>
          <t>Number of dependent children – Reduction for dependent children age 18 or younger</t>
        </is>
      </c>
      <c r="EWC8" t="inlineStr">
        <is>
          <t>Number of dependent children – Credit for dependent children age 18 or younger</t>
        </is>
      </c>
      <c r="EWD8" t="inlineStr">
        <is>
          <t>Application for the ON energy and property tax credit</t>
        </is>
      </c>
      <c r="EWE8" t="inlineStr">
        <is>
          <t>Application for the Northern ON energy credit</t>
        </is>
      </c>
      <c r="EWF8" t="inlineStr">
        <is>
          <t>Total personal tax credits</t>
        </is>
      </c>
      <c r="EWG8" t="inlineStr">
        <is>
          <t>Choice for delayed single OTB payment</t>
        </is>
      </c>
      <c r="EWH8" t="inlineStr">
        <is>
          <t>Application for the ON senior homeowners’ property tax grant</t>
        </is>
      </c>
      <c r="EWI8" t="inlineStr">
        <is>
          <t>Involuntary separation indicator</t>
        </is>
      </c>
      <c r="EWJ8" t="inlineStr">
        <is>
          <t>Total rent paid</t>
        </is>
      </c>
      <c r="EWK8" t="inlineStr">
        <is>
          <t>Total property tax paid</t>
        </is>
      </c>
      <c r="EWL8" t="inlineStr">
        <is>
          <t>School taxes paid</t>
        </is>
      </c>
      <c r="EWM8" t="inlineStr">
        <is>
          <t>Education property tax credit advance received</t>
        </is>
      </c>
      <c r="EWN8" t="inlineStr">
        <is>
          <t>Residing in a designated student residence</t>
        </is>
      </c>
      <c r="EWO8" t="inlineStr">
        <is>
          <t>Occupancy cost</t>
        </is>
      </c>
      <c r="EWP8" t="inlineStr">
        <is>
          <t>Gross school taxes assessed</t>
        </is>
      </c>
      <c r="EWQ8" t="inlineStr">
        <is>
          <t>Family income from the homeowners’ school tax credit table</t>
        </is>
      </c>
      <c r="EWR8" t="inlineStr">
        <is>
          <t>Total home energy costs for principal residence on a reserve</t>
        </is>
      </c>
      <c r="EWS8" t="inlineStr">
        <is>
          <t>School taxes assessed</t>
        </is>
      </c>
      <c r="EWT8" t="inlineStr">
        <is>
          <t>Total accommodation in a public long-term care home or non-profit long-term care home</t>
        </is>
      </c>
      <c r="EWU8" t="inlineStr">
        <is>
          <t>School tax credit for homeowners</t>
        </is>
      </c>
      <c r="EWV8" t="inlineStr">
        <is>
          <t>Total rent assist benefits received</t>
        </is>
      </c>
      <c r="EWW8" t="inlineStr">
        <is>
          <t>Percentage of social assistance</t>
        </is>
      </c>
      <c r="EWX8" t="inlineStr">
        <is>
          <t>Primary caregiver tax credit</t>
        </is>
      </c>
      <c r="EWY8" t="inlineStr">
        <is>
          <t>Fertility treatment tax credit</t>
        </is>
      </c>
      <c r="EWZ8" t="inlineStr">
        <is>
          <t>Paid work experience tax credit</t>
        </is>
      </c>
      <c r="EXA8" t="inlineStr">
        <is>
          <t>Odour-control tax credit</t>
        </is>
      </c>
      <c r="EXB8" t="inlineStr">
        <is>
          <t>Green energy equipment tax credit (purchaser)</t>
        </is>
      </c>
      <c r="EXC8" t="inlineStr">
        <is>
          <t>Green energy equipment tax credit (manufacturer)</t>
        </is>
      </c>
      <c r="EXD8" t="inlineStr">
        <is>
          <t>Book publishing tax credit</t>
        </is>
      </c>
      <c r="EXE8" t="inlineStr">
        <is>
          <t>Family tax benefit</t>
        </is>
      </c>
      <c r="EXF8" t="inlineStr">
        <is>
          <t>Cultural industries printing tax credit</t>
        </is>
      </c>
      <c r="EXG8" t="inlineStr">
        <is>
          <t>Community enterprise development tax credit</t>
        </is>
      </c>
      <c r="EXH8" t="inlineStr">
        <is>
          <t>Employee share purchase tax credit</t>
        </is>
      </c>
      <c r="EXI8" t="inlineStr">
        <is>
          <t>Farm and small business capital gains tax credit</t>
        </is>
      </c>
      <c r="EXJ8" t="inlineStr">
        <is>
          <t>Provincial or territorial non-refundable tax credits</t>
        </is>
      </c>
      <c r="EXK8" t="inlineStr">
        <is>
          <t>Provincial or territorial tax on split income</t>
        </is>
      </c>
      <c r="EXL8" t="inlineStr">
        <is>
          <t>Provincial or territorial dividend tax credit</t>
        </is>
      </c>
      <c r="EXM8" t="inlineStr">
        <is>
          <t>Provincial or territorial minimum tax carryover</t>
        </is>
      </c>
      <c r="EXN8" t="inlineStr">
        <is>
          <t>NB political contribution tax credit</t>
        </is>
      </c>
      <c r="EXO8" t="inlineStr">
        <is>
          <t>Unused low-income tax reduction from spouse or common-law partner</t>
        </is>
      </c>
      <c r="EXP8" t="inlineStr">
        <is>
          <t>Basic low-income tax reduction</t>
        </is>
      </c>
      <c r="EXQ8" t="inlineStr">
        <is>
          <t>Low-income tax reduction for spouse or common-law partner</t>
        </is>
      </c>
      <c r="EXR8" t="inlineStr">
        <is>
          <t>Low-income tax reduction for an eligible dependant claimed on 30400</t>
        </is>
      </c>
      <c r="EXS8" t="inlineStr">
        <is>
          <t>Labour-sponsored venture capital tax credit</t>
        </is>
      </c>
      <c r="EXT8" t="inlineStr">
        <is>
          <t>Small business investor tax credit</t>
        </is>
      </c>
      <c r="EXU8" t="inlineStr">
        <is>
          <t>Amount to carry back to the first prior year</t>
        </is>
      </c>
      <c r="EXV8" t="inlineStr">
        <is>
          <t>Amount to carry back to the second prior year</t>
        </is>
      </c>
      <c r="EXW8" t="inlineStr">
        <is>
          <t>Amount to carry back to the third prior year</t>
        </is>
      </c>
      <c r="EXX8" t="inlineStr">
        <is>
          <t>Resort property investment tax credit</t>
        </is>
      </c>
      <c r="EXY8" t="inlineStr">
        <is>
          <t>NL political contribution tax credit</t>
        </is>
      </c>
      <c r="EXZ8" t="inlineStr">
        <is>
          <t>Direct equity tax credit</t>
        </is>
      </c>
      <c r="EYA8" t="inlineStr">
        <is>
          <t>Amount to carry back to the first prior year</t>
        </is>
      </c>
      <c r="EYB8" t="inlineStr">
        <is>
          <t>Amount to carry back to the second prior year</t>
        </is>
      </c>
      <c r="EYC8" t="inlineStr">
        <is>
          <t>MB political contribution tax credit</t>
        </is>
      </c>
      <c r="EYD8" t="inlineStr">
        <is>
          <t>Amount to carry back to the third prior year</t>
        </is>
      </c>
      <c r="EYE8" t="inlineStr">
        <is>
          <t>Venture capital tax credit</t>
        </is>
      </c>
      <c r="EYF8" t="inlineStr">
        <is>
          <t>Amount to carry back to the first prior year</t>
        </is>
      </c>
      <c r="EYG8" t="inlineStr">
        <is>
          <t>Amount to carry back to the second prior year</t>
        </is>
      </c>
      <c r="EYH8" t="inlineStr">
        <is>
          <t>Amount to carry back to the third prior year</t>
        </is>
      </c>
      <c r="EYI8" t="inlineStr">
        <is>
          <t>Unused low-income tax reduction from the spouse or common-law partner</t>
        </is>
      </c>
      <c r="EYJ8" t="inlineStr">
        <is>
          <t>Basic low-income tax reduction</t>
        </is>
      </c>
      <c r="EYK8" t="inlineStr">
        <is>
          <t>Reduction for your spouse or common-law partner</t>
        </is>
      </c>
      <c r="EYL8" t="inlineStr">
        <is>
          <t>Reduction for an eligible dependant</t>
        </is>
      </c>
      <c r="EYM8" t="inlineStr">
        <is>
          <t>Basic low-income tax reduction</t>
        </is>
      </c>
      <c r="EYN8" t="inlineStr">
        <is>
          <t>Low-income tax reduction for spouse or common-law partner</t>
        </is>
      </c>
      <c r="EYO8" t="inlineStr">
        <is>
          <t>Low-income tax reduction for an eligible dependant</t>
        </is>
      </c>
      <c r="EYP8" t="inlineStr">
        <is>
          <t>NS political contribution tax credit</t>
        </is>
      </c>
      <c r="EYQ8" t="inlineStr">
        <is>
          <t>Food bank tax credit for farmers</t>
        </is>
      </c>
      <c r="EYR8" t="inlineStr">
        <is>
          <t>Community food program donation tax credit for farmers</t>
        </is>
      </c>
      <c r="EYS8" t="inlineStr">
        <is>
          <t>Labour-sponsored venture capital tax credit</t>
        </is>
      </c>
      <c r="EYT8" t="inlineStr">
        <is>
          <t>Equity tax credit</t>
        </is>
      </c>
      <c r="EYU8" t="inlineStr">
        <is>
          <t>Amount to carry back to the first prior year</t>
        </is>
      </c>
      <c r="EYV8" t="inlineStr">
        <is>
          <t>Amount to carry back to the second prior year</t>
        </is>
      </c>
      <c r="EYW8" t="inlineStr">
        <is>
          <t>Amount to carry back to the third prior year</t>
        </is>
      </c>
      <c r="EYX8" t="inlineStr">
        <is>
          <t>Volunteer firefighters’ tax credit</t>
        </is>
      </c>
      <c r="EYY8" t="inlineStr">
        <is>
          <t>Volunteer firefighters and ground search and rescue tax credit</t>
        </is>
      </c>
      <c r="EYZ8" t="inlineStr">
        <is>
          <t>Amount claimed for foreign income on 25600 of the return that is exempt under a tax treaty</t>
        </is>
      </c>
      <c r="EZA8" t="inlineStr">
        <is>
          <t>Basic cost of living tax credit for self</t>
        </is>
      </c>
      <c r="EZB8" t="inlineStr">
        <is>
          <t>Cost of living tax credit supplement for spouse or common-law partner</t>
        </is>
      </c>
      <c r="EZC8" t="inlineStr">
        <is>
          <t>The basic credit for self claimed by the spouse or common-law partner</t>
        </is>
      </c>
      <c r="EZD8" t="inlineStr">
        <is>
          <t>Cost of living tax credit supplement</t>
        </is>
      </c>
      <c r="EZE8" t="inlineStr">
        <is>
          <t>Northwest territories credit</t>
        </is>
      </c>
      <c r="EZF8" t="inlineStr">
        <is>
          <t>NT political contribution tax credit</t>
        </is>
      </c>
      <c r="EZG8" t="inlineStr">
        <is>
          <t>Seniors’ public transit tax credit</t>
        </is>
      </c>
      <c r="EZH8" t="inlineStr">
        <is>
          <t>ON political contribution tax credit</t>
        </is>
      </c>
      <c r="EZI8" t="inlineStr">
        <is>
          <t>Focused flow-through share tax credit</t>
        </is>
      </c>
      <c r="EZJ8" t="inlineStr">
        <is>
          <t>Tax credits for self-employed individuals – Apprenticeships</t>
        </is>
      </c>
      <c r="EZK8" t="inlineStr">
        <is>
          <t>Tax credits for self-employed individuals – Work placements</t>
        </is>
      </c>
      <c r="EZL8" t="inlineStr">
        <is>
          <t>Tax credits claimed as a member of a partnership</t>
        </is>
      </c>
      <c r="EZM8" t="inlineStr">
        <is>
          <t>Business number</t>
        </is>
      </c>
      <c r="EZN8" t="inlineStr">
        <is>
          <t>Apprenticeship training tax credit</t>
        </is>
      </c>
      <c r="EZO8" t="inlineStr">
        <is>
          <t>Co-operative education tax credit</t>
        </is>
      </c>
      <c r="EZP8" t="inlineStr">
        <is>
          <t>Unused low-income tax reduction from spouse or common-law partner</t>
        </is>
      </c>
      <c r="EZQ8" t="inlineStr">
        <is>
          <t>Basic low-income tax reduction</t>
        </is>
      </c>
      <c r="EZR8" t="inlineStr">
        <is>
          <t>Age reduction for self</t>
        </is>
      </c>
      <c r="EZS8" t="inlineStr">
        <is>
          <t>Low-income tax reduction for spouse or common-law partner</t>
        </is>
      </c>
      <c r="EZT8" t="inlineStr">
        <is>
          <t>Age reduction for spouse or common-law partner</t>
        </is>
      </c>
      <c r="EZU8" t="inlineStr">
        <is>
          <t>Low-income tax reduction for an eligible dependant</t>
        </is>
      </c>
      <c r="EZV8" t="inlineStr">
        <is>
          <t>PE political contribution tax credit</t>
        </is>
      </c>
      <c r="EZW8" t="inlineStr">
        <is>
          <t>Basic and certification tax credits (level 1 and/or level 2 of a non-Red Seal programs)</t>
        </is>
      </c>
      <c r="EZX8" t="inlineStr">
        <is>
          <t>Completion and certification tax credit (level 3 of a Red Seal or non-Red Seal program)</t>
        </is>
      </c>
      <c r="EZY8" t="inlineStr">
        <is>
          <t>Completion and certification tax credit (level 4 of a Red Seal or non-Red Seal program)</t>
        </is>
      </c>
      <c r="EZZ8" t="inlineStr">
        <is>
          <t>Enhanced tax credit</t>
        </is>
      </c>
      <c r="FAA8" t="inlineStr">
        <is>
          <t>Basic tax credit</t>
        </is>
      </c>
      <c r="FAB8" t="inlineStr">
        <is>
          <t>Completion tax credit</t>
        </is>
      </c>
      <c r="FAC8" t="inlineStr">
        <is>
          <t>Enhanced tax credit</t>
        </is>
      </c>
      <c r="FAD8" t="inlineStr">
        <is>
          <t>Equity tax credit</t>
        </is>
      </c>
      <c r="FAE8" t="inlineStr">
        <is>
          <t>Volunteer firefighter tax credit</t>
        </is>
      </c>
      <c r="FAF8" t="inlineStr">
        <is>
          <t>SK political contribution tax credit</t>
        </is>
      </c>
      <c r="FAG8" t="inlineStr">
        <is>
          <t>Labour-sponsored venture capital tax credit</t>
        </is>
      </c>
      <c r="FAH8" t="inlineStr">
        <is>
          <t>Mineral exploration tax credit</t>
        </is>
      </c>
      <c r="FAI8" t="inlineStr">
        <is>
          <t>Amount to carry back to the first prior year</t>
        </is>
      </c>
      <c r="FAJ8" t="inlineStr">
        <is>
          <t>Amount to carry back to the second prior year</t>
        </is>
      </c>
      <c r="FAK8" t="inlineStr">
        <is>
          <t>Amount to carry back to the third prior year</t>
        </is>
      </c>
      <c r="FAL8" t="inlineStr">
        <is>
          <t>Graduate tuition tax credit</t>
        </is>
      </c>
      <c r="FAM8" t="inlineStr">
        <is>
          <t>Number of qualifying children under 6 years of age</t>
        </is>
      </c>
      <c r="FAN8" t="inlineStr">
        <is>
          <t>Children’s fitness tax credit</t>
        </is>
      </c>
      <c r="FAO8" t="inlineStr">
        <is>
          <t>Small business investment tax credit</t>
        </is>
      </c>
      <c r="FAP8" t="inlineStr">
        <is>
          <t>Amount to carry back to the first prior year</t>
        </is>
      </c>
      <c r="FAQ8" t="inlineStr">
        <is>
          <t>Amount to carry back to the second prior year</t>
        </is>
      </c>
      <c r="FAR8" t="inlineStr">
        <is>
          <t>Amount to carry back to the third prior year</t>
        </is>
      </c>
      <c r="FAS8" t="inlineStr">
        <is>
          <t>Labour-sponsored venture capital corporation tax credit</t>
        </is>
      </c>
      <c r="FAT8" t="inlineStr">
        <is>
          <t>Amount to carry back to the first prior year</t>
        </is>
      </c>
      <c r="FAU8" t="inlineStr">
        <is>
          <t>Amount to carry back to the second prior year</t>
        </is>
      </c>
      <c r="FAV8" t="inlineStr">
        <is>
          <t>Amount to carry back to the third prior year</t>
        </is>
      </c>
      <c r="FAW8" t="inlineStr">
        <is>
          <t>Research and development tax credit</t>
        </is>
      </c>
      <c r="FAX8" t="inlineStr">
        <is>
          <t>YT political contribution tax credit</t>
        </is>
      </c>
      <c r="FAY8" t="inlineStr">
        <is>
          <t>Yukon First Nations income tax credit</t>
        </is>
      </c>
      <c r="FAZ8" t="inlineStr">
        <is>
          <t>Cost of living supplement</t>
        </is>
      </c>
      <c r="FBA8" t="inlineStr">
        <is>
          <t>Total cost of living tax credit</t>
        </is>
      </c>
      <c r="FBB8" t="inlineStr">
        <is>
          <t>NU political contribution tax credit</t>
        </is>
      </c>
      <c r="FBC8" t="inlineStr">
        <is>
          <t>Total expenses eligible for the GST rebate</t>
        </is>
      </c>
      <c r="FBD8" t="inlineStr">
        <is>
          <t>Total expenses eligible for the HST rebate</t>
        </is>
      </c>
      <c r="FBE8" t="inlineStr">
        <is>
          <t>Total expenses eligible for the HST rebate</t>
        </is>
      </c>
      <c r="FBF8" t="inlineStr">
        <is>
          <t>Benefits that can no longer be deferred</t>
        </is>
      </c>
      <c r="FBG8" t="inlineStr">
        <is>
          <t>Closing balance of deferred security option benefits</t>
        </is>
      </c>
      <c r="FBH8" t="inlineStr">
        <is>
          <t>Non-capital loss to be applied to the third prior year</t>
        </is>
      </c>
      <c r="FBI8" t="inlineStr">
        <is>
          <t>Non-capital loss to be applied to the second prior year</t>
        </is>
      </c>
      <c r="FBJ8" t="inlineStr">
        <is>
          <t>Non-capital loss to be applied to the first prior year</t>
        </is>
      </c>
      <c r="FBK8" t="inlineStr">
        <is>
          <t>Farming or fishing loss to be applied to the third prior year</t>
        </is>
      </c>
      <c r="FBL8" t="inlineStr">
        <is>
          <t>Farming or fishing loss to be applied to the second prior year</t>
        </is>
      </c>
      <c r="FBM8" t="inlineStr">
        <is>
          <t>Farming or fishing loss to be applied to the first prior year</t>
        </is>
      </c>
      <c r="FBN8" t="inlineStr">
        <is>
          <t>Net capital loss to be applied to the third prior year</t>
        </is>
      </c>
      <c r="FBO8" t="inlineStr">
        <is>
          <t>Net capital loss to be applied to the second prior year</t>
        </is>
      </c>
      <c r="FBP8" t="inlineStr">
        <is>
          <t>Net capital loss to be applied to the first prior year</t>
        </is>
      </c>
      <c r="FBQ8" t="inlineStr">
        <is>
          <t>Listed personal property net loss to be applied to the third prior year listed personal property net gains</t>
        </is>
      </c>
      <c r="FBR8" t="inlineStr">
        <is>
          <t>Listed personal property net loss to be applied to the second prior year listed personal property net gains</t>
        </is>
      </c>
      <c r="FBS8" t="inlineStr">
        <is>
          <t>Listed personal property net loss to be applied to the first prior year listed personal property net gains</t>
        </is>
      </c>
      <c r="FBT8" t="inlineStr">
        <is>
          <t>Restricted farm loss to be applied to the third prior year</t>
        </is>
      </c>
      <c r="FBU8" t="inlineStr">
        <is>
          <t>Restricted farm loss to be applied to the second prior year</t>
        </is>
      </c>
      <c r="FBV8" t="inlineStr">
        <is>
          <t>Restricted farm loss to be applied to the first prior year</t>
        </is>
      </c>
      <c r="FBW8" t="inlineStr">
        <is>
          <t>Amount of 2018 reserve for dispositions of QFFP to your child after 2009, and before April 21, 2015 and all other dispositions of QFFP after 2014 and before April 21, 2015</t>
        </is>
      </c>
      <c r="FBX8" t="inlineStr">
        <is>
          <t>Amount of 2019 reserve for dispositions of QFFP to your child after 2010, and before April 21, 2015, and all other dispositions of QFFP after 2015 and before April 21, 2015</t>
        </is>
      </c>
      <c r="FBY8" t="inlineStr">
        <is>
          <t>Amount of 2018 reserve for dispositions of QFFP after April 20, 2015</t>
        </is>
      </c>
      <c r="FBZ8" t="inlineStr">
        <is>
          <t>Amount of 2019 reserve for dispositions of QFFP after April 20, 2015</t>
        </is>
      </c>
      <c r="FCA8" t="inlineStr">
        <is>
          <t>Amount of the most recent reserve claimed on line 66840</t>
        </is>
      </c>
      <c r="FCB8" t="inlineStr">
        <is>
          <t>Amount of 2019 reserve for dispositions of QSBCS to your child after 2010, and all other dispositions of QSBCS after 2015</t>
        </is>
      </c>
      <c r="FCC8" t="inlineStr">
        <is>
          <t>Amount of 2018 reserve for dispositions of QSBCS to your child after 2009, and all other dispositions of QSBCS after 2014</t>
        </is>
      </c>
      <c r="FCD8" t="inlineStr">
        <is>
          <t>Amount of the most recent reserve claimed on line 66850</t>
        </is>
      </c>
      <c r="FCE8" t="inlineStr">
        <is>
          <t>Amount of 2018 reserve for dispositions to your child after 2009, of family farm or fishing property other than QFFP and of shares of capital stock of a small business corporation other than QSBCS</t>
        </is>
      </c>
      <c r="FCF8" t="inlineStr">
        <is>
          <t>Amount of 2019 reserve for dispositions to your child after 2010, of family farm or fishing property other than QFFP and of shares of capital stock of a small business corporation other than QSBCS</t>
        </is>
      </c>
      <c r="FCG8" t="inlineStr">
        <is>
          <t>Amount of 2018 reserve for dispositions of property after 2014, other than dispositions listed on lines 66815, 66843, 66883, and 66910</t>
        </is>
      </c>
      <c r="FCH8" t="inlineStr">
        <is>
          <t>Amount of 2019 reserve for dispositions of property after 2015, other than dispositions listed on lines 66840, 66844, 66850, and 66920</t>
        </is>
      </c>
      <c r="FCI8" t="inlineStr">
        <is>
          <t>Amount of 2018 reserve for dispositions before November 13, 1981</t>
        </is>
      </c>
      <c r="FCJ8" t="inlineStr">
        <is>
          <t>Total capital reserves</t>
        </is>
      </c>
      <c r="FCK8" t="inlineStr">
        <is>
          <t>ITC for total qualified expenditures for SR&amp;ED</t>
        </is>
      </c>
      <c r="FCL8" t="inlineStr">
        <is>
          <t>80% of total contributions made to agricultural organizations for SR&amp;ED</t>
        </is>
      </c>
      <c r="FCM8" t="inlineStr">
        <is>
          <t>ITC allocated from a partnership for SR&amp;ED</t>
        </is>
      </c>
      <c r="FCN8" t="inlineStr">
        <is>
          <t>ITC for total investments in qualified property</t>
        </is>
      </c>
      <c r="FCO8" t="inlineStr">
        <is>
          <t>Total flow-through mining expenditures</t>
        </is>
      </c>
      <c r="FCP8" t="inlineStr">
        <is>
          <t>Total apprenticeship job creation tax credit</t>
        </is>
      </c>
      <c r="FCQ8" t="inlineStr">
        <is>
          <t>ITC for child care spaces</t>
        </is>
      </c>
      <c r="FCR8" t="inlineStr">
        <is>
          <t>Amount of expenditure on which ITC is recaptured at 15%</t>
        </is>
      </c>
      <c r="FCS8" t="inlineStr">
        <is>
          <t>Amount of expenditure on which ITC is recaptured at 20%</t>
        </is>
      </c>
      <c r="FCT8" t="inlineStr">
        <is>
          <t>Total recapture of ITC for child care spaces</t>
        </is>
      </c>
      <c r="FCU8" t="inlineStr">
        <is>
          <t>Amount of carryback to the third previous year</t>
        </is>
      </c>
      <c r="FCV8" t="inlineStr">
        <is>
          <t>Amount of carryback to the second previous year</t>
        </is>
      </c>
      <c r="FCW8" t="inlineStr">
        <is>
          <t>Amount of carryback to the first previous year</t>
        </is>
      </c>
      <c r="FCX8" t="inlineStr">
        <is>
          <t>Maximum residency amount for residents of prescribed northern zones</t>
        </is>
      </c>
      <c r="FCY8" t="inlineStr">
        <is>
          <t>Non-taxable benefits for board and lodging at a special work site in a prescribed northern zone</t>
        </is>
      </c>
      <c r="FCZ8" t="inlineStr">
        <is>
          <t>Maximum residency amount for residents of prescribed intermediate zones</t>
        </is>
      </c>
      <c r="FDA8" t="inlineStr">
        <is>
          <t>Non-taxable benefits for board and lodging at a special work site in a prescribed intermediate zone</t>
        </is>
      </c>
      <c r="FDB8" t="inlineStr">
        <is>
          <t>Total travel amount for trips from a prescribed northern zone</t>
        </is>
      </c>
      <c r="FDC8" t="inlineStr">
        <is>
          <t>Total travel amount for trips from a prescribed intermediate zone</t>
        </is>
      </c>
      <c r="FDD8" t="inlineStr">
        <is>
          <t>Claim for tax shelter loss or deduction</t>
        </is>
      </c>
      <c r="FDE8" t="inlineStr">
        <is>
          <t>Amount of loss created or increased by CCA and carrying charges on certified film property</t>
        </is>
      </c>
      <c r="FDF8" t="inlineStr">
        <is>
          <t>Amount of loss created or increased by CCA and carrying charges on rental and leasing property</t>
        </is>
      </c>
      <c r="FDG8" t="inlineStr">
        <is>
          <t>Losses, amounts deductible and carrying charges for tax shelters, limited partnership, and non-active partners</t>
        </is>
      </c>
      <c r="FDH8" t="inlineStr">
        <is>
          <t>Total of all resource expenditures, depletion allowances, and carrying charges for resource property and flow-through shares</t>
        </is>
      </c>
      <c r="FDI8" t="inlineStr">
        <is>
          <t>Certain capital gains from graduated rate estates</t>
        </is>
      </c>
      <c r="FDJ8" t="inlineStr">
        <is>
          <t>Part of total capital gains that is exempt from Canadian tax under a tax treaty</t>
        </is>
      </c>
      <c r="FDK8" t="inlineStr">
        <is>
          <t>Capital gains on gifts of property to qualified donees</t>
        </is>
      </c>
      <c r="FDL8" t="inlineStr">
        <is>
          <t>Security options deductions under paragraph 110(1)(d)</t>
        </is>
      </c>
      <c r="FDM8" t="inlineStr">
        <is>
          <t>Gifts of securities acquired under a security option plan</t>
        </is>
      </c>
      <c r="FDN8" t="inlineStr">
        <is>
          <t>Other security options deductions included on line 24900</t>
        </is>
      </c>
      <c r="FDO8" t="inlineStr">
        <is>
          <t>Limited partnership losses incurred in prior years that are tax shelters</t>
        </is>
      </c>
      <c r="FDP8" t="inlineStr">
        <is>
          <t>Federal tax payable under alternative minimum tax</t>
        </is>
      </c>
      <c r="FDQ8" t="inlineStr">
        <is>
          <t>Total child care expenses paid in the year</t>
        </is>
      </c>
      <c r="FDR8" t="inlineStr">
        <is>
          <t>Child care expenses incurred for a child age 6 or younger</t>
        </is>
      </c>
      <c r="FDS8" t="inlineStr">
        <is>
          <t>Basic limit for eligible children born in the current tax year or earlier for whom the disability amount can be claimed</t>
        </is>
      </c>
      <c r="FDT8" t="inlineStr">
        <is>
          <t>Part C – Child care expenses paid by the other person with lower net income</t>
        </is>
      </c>
      <c r="FDU8" t="inlineStr">
        <is>
          <t>Part D – Child care expenses paid while enrolled in an educational program</t>
        </is>
      </c>
      <c r="FDV8" t="inlineStr">
        <is>
          <t>Total eligible pensions or superannuation, annuity and RRSP/RRIF payments (including life income fund) received</t>
        </is>
      </c>
      <c r="FDW8" t="inlineStr">
        <is>
          <t>Veteran’s benefits on T4A slips eligible for pension income splitting</t>
        </is>
      </c>
      <c r="FDX8" t="inlineStr">
        <is>
          <t>Distributions on T4A-RCA slips eligible for pension income splitting</t>
        </is>
      </c>
      <c r="FDY8" t="inlineStr">
        <is>
          <t>Number of months married or living common-law in the current tax year</t>
        </is>
      </c>
      <c r="FDZ8" t="inlineStr">
        <is>
          <t>Total tax deducted from the transferring spouse’s or common-law partner’s pension income</t>
        </is>
      </c>
      <c r="FEA8" t="inlineStr">
        <is>
          <t>Tax deducted for the elected split-pension amount</t>
        </is>
      </c>
      <c r="FEB8" t="inlineStr">
        <is>
          <t>Any other investment expenses claimed in the current tax year to earn property income</t>
        </is>
      </c>
      <c r="FEC8" t="inlineStr">
        <is>
          <t>Any other property income reported in the current tax year</t>
        </is>
      </c>
      <c r="FED8" t="inlineStr">
        <is>
          <t>50% of income from the recovery of exploration and development expenses</t>
        </is>
      </c>
      <c r="FEE8" t="inlineStr">
        <is>
          <t>Capital gains from T3 slips</t>
        </is>
      </c>
      <c r="FEF8" t="inlineStr">
        <is>
          <t>Non-eligible capital gains from T3 slips</t>
        </is>
      </c>
      <c r="FEG8" t="inlineStr">
        <is>
          <t>Special tax for Quebec LSVCC</t>
        </is>
      </c>
      <c r="FEH8" t="inlineStr">
        <is>
          <t>Excess employees profit-sharing plan amounts</t>
        </is>
      </c>
      <c r="FEI8" t="inlineStr">
        <is>
          <t>Proceeds from disposition of publicly traded shares, other shares and mutual fund units</t>
        </is>
      </c>
      <c r="FEJ8" t="inlineStr">
        <is>
          <t>Gains eligible for 0% inclusion rate from the disposition of publicly traded shares, other shares and mutual funds units</t>
        </is>
      </c>
      <c r="FEK8" t="inlineStr">
        <is>
          <t>Proceeds from disposition of bonds, debentures, promissory notes, and other properties (including ecologically sensitive land)</t>
        </is>
      </c>
      <c r="FEL8" t="inlineStr">
        <is>
          <t>Gains eligible for 0% inclusion rate from the disposition of bonds, debentures, promissory notes, and other properties (including ecologically sensitive land)</t>
        </is>
      </c>
      <c r="FEM8" t="inlineStr">
        <is>
          <t>Total of all accumulated income payments</t>
        </is>
      </c>
      <c r="FEN8" t="inlineStr">
        <is>
          <t>Total of all accumulated income payments</t>
        </is>
      </c>
      <c r="FEO8" t="inlineStr">
        <is>
          <t>Taxable amount of dividends (eligible and other than eligible) from taxable Canadian corporations</t>
        </is>
      </c>
      <c r="FEP8" t="inlineStr">
        <is>
          <t>Taxable amount of dividends other than eligible dividends, included on line 68330, from taxable Canadian corporations</t>
        </is>
      </c>
      <c r="FEQ8" t="inlineStr">
        <is>
          <t>Total split income</t>
        </is>
      </c>
      <c r="FER8" t="inlineStr">
        <is>
          <t>Split income from foreign sources</t>
        </is>
      </c>
      <c r="FES8" t="inlineStr">
        <is>
          <t>Total income from foreign sources</t>
        </is>
      </c>
      <c r="FET8" t="inlineStr">
        <is>
          <t>Current-year credit available</t>
        </is>
      </c>
      <c r="FEU8" t="inlineStr">
        <is>
          <t>Mining flow-through share tax credit</t>
        </is>
      </c>
      <c r="FEV8" t="inlineStr">
        <is>
          <t>Amount to carry back to the first prior year</t>
        </is>
      </c>
      <c r="FEW8" t="inlineStr">
        <is>
          <t>Amount to carry back to the second prior year</t>
        </is>
      </c>
      <c r="FEX8" t="inlineStr">
        <is>
          <t>Amount to carry back to the third prior year</t>
        </is>
      </c>
      <c r="FEY8" t="inlineStr">
        <is>
          <t>Current year tax credit available</t>
        </is>
      </c>
      <c r="FEZ8" s="87" t="inlineStr">
        <is>
          <t>Tax Year Filed</t>
        </is>
      </c>
      <c r="FFA8" t="inlineStr">
        <is>
          <t>Taxing Province</t>
        </is>
      </c>
      <c r="FFB8" t="inlineStr">
        <is>
          <t>Marital Status</t>
        </is>
      </c>
      <c r="FFC8" t="inlineStr">
        <is>
          <t>Balance before penalty and interest</t>
        </is>
      </c>
      <c r="FFD8" t="inlineStr">
        <is>
          <t>Balance before penalty and interest</t>
        </is>
      </c>
      <c r="FFE8" t="inlineStr">
        <is>
          <t>Final balance</t>
        </is>
      </c>
      <c r="FFF8" t="inlineStr">
        <is>
          <t>Basic federal tax</t>
        </is>
      </c>
      <c r="FFG8" t="inlineStr">
        <is>
          <t>Basic provincial or territorial tax</t>
        </is>
      </c>
      <c r="FFH8" t="inlineStr">
        <is>
          <t>Ontario Health Premium</t>
        </is>
      </c>
      <c r="FFI8" t="inlineStr">
        <is>
          <t>Employment income from T4 slips</t>
        </is>
      </c>
      <c r="FFJ8" t="inlineStr">
        <is>
          <t>Commissions included on line 10100</t>
        </is>
      </c>
      <c r="FFK8" t="inlineStr">
        <is>
          <t>Wage-loss replacement contributions</t>
        </is>
      </c>
      <c r="FFL8" t="inlineStr">
        <is>
          <t>Other employment income</t>
        </is>
      </c>
      <c r="FFM8" t="inlineStr">
        <is>
          <t>Proceeds from disposition of qualified small business corporation shares</t>
        </is>
      </c>
      <c r="FFN8" t="inlineStr">
        <is>
          <t>Gain (or loss) from disposition of qualified small business corporation shares</t>
        </is>
      </c>
      <c r="FFO8" t="inlineStr">
        <is>
          <t>Proceeds from disposition of qualified farm or fishing property</t>
        </is>
      </c>
      <c r="FFP8" t="inlineStr">
        <is>
          <t>Gain (or loss) from disposition of qualified farm or fishing property</t>
        </is>
      </c>
      <c r="FFQ8" t="inlineStr">
        <is>
          <t>Old age security pension</t>
        </is>
      </c>
      <c r="FFR8" t="inlineStr">
        <is>
          <t>CPP or QPP benefits</t>
        </is>
      </c>
      <c r="FFS8" t="inlineStr">
        <is>
          <t>Other pensions and superannuation</t>
        </is>
      </c>
      <c r="FFT8" t="inlineStr">
        <is>
          <t>Elected split-pension amount</t>
        </is>
      </c>
      <c r="FFU8" t="inlineStr">
        <is>
          <t>Universal child care benefit (UCCB)</t>
        </is>
      </c>
      <c r="FFV8" t="inlineStr">
        <is>
          <t>Employment insurance and other benefits</t>
        </is>
      </c>
      <c r="FFW8" t="inlineStr">
        <is>
          <t>Taxable amount of dividends (eligible and other than eligible) from taxable Canadian corporations</t>
        </is>
      </c>
      <c r="FFX8" t="inlineStr">
        <is>
          <t>Interest and other investment income</t>
        </is>
      </c>
      <c r="FFY8" t="inlineStr">
        <is>
          <t>Net partnership income: limited or non-active partners only</t>
        </is>
      </c>
      <c r="FFZ8" t="inlineStr">
        <is>
          <t>Proceeds from disposition of mortgage foreclosures and conditional sales repossessions of a qualified farm or fishing property</t>
        </is>
      </c>
      <c r="FGA8" t="inlineStr">
        <is>
          <t>Gain (or loss) from disposition of mortgage foreclosures and conditional sales repossessions of a qualified farm or fishing property</t>
        </is>
      </c>
      <c r="FGB8" t="inlineStr">
        <is>
          <t>Registered disability savings plan (RDSP) income</t>
        </is>
      </c>
      <c r="FGC8" t="inlineStr">
        <is>
          <t>Net rental income (loss)</t>
        </is>
      </c>
      <c r="FGD8" t="inlineStr">
        <is>
          <t>Taxable capital gains (or net capital loss)</t>
        </is>
      </c>
      <c r="FGE8" t="inlineStr">
        <is>
          <t>Taxable amount of support payments received Registered retirement savings plan (RRSP) income Other income</t>
        </is>
      </c>
      <c r="FGF8" t="inlineStr">
        <is>
          <t>Registered retirement savings plan (RRSP) income</t>
        </is>
      </c>
      <c r="FGG8" t="inlineStr">
        <is>
          <t>Other income</t>
        </is>
      </c>
      <c r="FGH8" t="inlineStr">
        <is>
          <t>Proceeds from disposition of publicly traded shares, mutual fund units, deferral of eligible small business corporation shares, and other shares</t>
        </is>
      </c>
      <c r="FGI8" t="inlineStr">
        <is>
          <t>Gain (or loss) from disposition of publicly traded shares, mutual fund units, deferral of eligible small business corporation shares, and other shares</t>
        </is>
      </c>
      <c r="FGJ8" t="inlineStr">
        <is>
          <t>Net business income (loss)</t>
        </is>
      </c>
      <c r="FGK8" t="inlineStr">
        <is>
          <t>Proceeds from disposition of real estate, depreciable property, and other properties</t>
        </is>
      </c>
      <c r="FGL8" t="inlineStr">
        <is>
          <t>Net professional income (loss)</t>
        </is>
      </c>
      <c r="FGM8" t="inlineStr">
        <is>
          <t>Gain (or loss) from disposition of real estate, depreciable property, and other properties</t>
        </is>
      </c>
      <c r="FGN8" t="inlineStr">
        <is>
          <t>Net commission income (loss)</t>
        </is>
      </c>
      <c r="FGO8" t="inlineStr">
        <is>
          <t>Net farming income (loss)</t>
        </is>
      </c>
      <c r="FGP8" t="inlineStr">
        <is>
          <t>Net fishing income (loss)</t>
        </is>
      </c>
      <c r="FGQ8" t="inlineStr">
        <is>
          <t>Workers’ compensation benefits</t>
        </is>
      </c>
      <c r="FGR8" t="inlineStr">
        <is>
          <t>Social assistance payments</t>
        </is>
      </c>
      <c r="FGS8" t="inlineStr">
        <is>
          <t>Net federal supplements</t>
        </is>
      </c>
      <c r="FGT8" t="inlineStr">
        <is>
          <t>Total income</t>
        </is>
      </c>
      <c r="FGU8" t="inlineStr">
        <is>
          <t>Proceeds from disposition of bonds, debentures, promissory notes, and other similar properties</t>
        </is>
      </c>
      <c r="FGV8" t="inlineStr">
        <is>
          <t>Disability benefits included on line 11400</t>
        </is>
      </c>
      <c r="FGW8" t="inlineStr">
        <is>
          <t>Gain (or loss) from disposition of bonds, debentures, promissory notes, and other similar properties Proceeds from disposition of other mortgage foreclosures and conditional sales repossessions</t>
        </is>
      </c>
      <c r="FGX8" t="inlineStr">
        <is>
          <t>Proceeds from disposition of other mortgage foreclosures and conditional sales repossessions</t>
        </is>
      </c>
      <c r="FGY8" t="inlineStr">
        <is>
          <t>Gain (or loss) from disposition of other mortgage foreclosures and conditional sales repossessions</t>
        </is>
      </c>
      <c r="FGZ8" t="inlineStr">
        <is>
          <t>Total support payments received</t>
        </is>
      </c>
      <c r="FHA8" t="inlineStr">
        <is>
          <t>Gain from disposition of personal-use property</t>
        </is>
      </c>
      <c r="FHB8" t="inlineStr">
        <is>
          <t>Net gain from disposition of listed personal property Capital gains deferral from qualifying dispositions of eligible small business corporation shares</t>
        </is>
      </c>
      <c r="FHC8" t="inlineStr">
        <is>
          <t>Gross rental income</t>
        </is>
      </c>
      <c r="FHD8" t="inlineStr">
        <is>
          <t>Capital gains deferral from qualifying dispositions of eligible small business corporation shares</t>
        </is>
      </c>
      <c r="FHE8" t="inlineStr">
        <is>
          <t>Gross business income</t>
        </is>
      </c>
      <c r="FHF8" t="inlineStr">
        <is>
          <t>Gross professional income</t>
        </is>
      </c>
      <c r="FHG8" t="inlineStr">
        <is>
          <t>Gross commission income</t>
        </is>
      </c>
      <c r="FHH8" t="inlineStr">
        <is>
          <t>Gross farming income</t>
        </is>
      </c>
      <c r="FHI8" t="inlineStr">
        <is>
          <t>Gross fishing income</t>
        </is>
      </c>
      <c r="FHJ8" t="inlineStr">
        <is>
          <t>T5, T5013, and T4PS information slips – Capital gains (or losses)</t>
        </is>
      </c>
      <c r="FHK8" t="inlineStr">
        <is>
          <t>T3 information slips – Capital gains (or losses)</t>
        </is>
      </c>
      <c r="FHL8" t="inlineStr">
        <is>
          <t>Capital loss from a reduction in the business investment loss</t>
        </is>
      </c>
      <c r="FHM8" t="inlineStr">
        <is>
          <t>Principal residence designation</t>
        </is>
      </c>
      <c r="FHN8" t="inlineStr">
        <is>
          <t>Taxable amount of dividends other than eligible dividends, included on line 12000, from taxable Canadian corporations</t>
        </is>
      </c>
      <c r="FHO8" t="inlineStr">
        <is>
          <t>UCCB amount designated to a dependant</t>
        </is>
      </c>
      <c r="FHP8" t="inlineStr">
        <is>
          <t>Pooled registered pension plan (PRPP) employer contributions</t>
        </is>
      </c>
      <c r="FHQ8" t="inlineStr">
        <is>
          <t>Pension adjustment</t>
        </is>
      </c>
      <c r="FHR8" t="inlineStr">
        <is>
          <t>Registered pension plan deduction</t>
        </is>
      </c>
      <c r="FHS8" t="inlineStr">
        <is>
          <t>RRSP deduction</t>
        </is>
      </c>
      <c r="FHT8" t="inlineStr">
        <is>
          <t>Deduction for elected split-pension amount</t>
        </is>
      </c>
      <c r="FHU8" t="inlineStr">
        <is>
          <t>Annual union, professional, or like dues</t>
        </is>
      </c>
      <c r="FHV8" t="inlineStr">
        <is>
          <t>Universal child care benefit repayment</t>
        </is>
      </c>
      <c r="FHW8" t="inlineStr">
        <is>
          <t>Child care expenses</t>
        </is>
      </c>
      <c r="FHX8" t="inlineStr">
        <is>
          <t>Disability supports deduction</t>
        </is>
      </c>
      <c r="FHY8" t="inlineStr">
        <is>
          <t>Allowable business investment loss deduction</t>
        </is>
      </c>
      <c r="FHZ8" t="inlineStr">
        <is>
          <t>Moving expenses</t>
        </is>
      </c>
      <c r="FIA8" t="inlineStr">
        <is>
          <t>Allowable deduction for support payments made</t>
        </is>
      </c>
      <c r="FIB8" t="inlineStr">
        <is>
          <t>Carrying charges and interest expenses</t>
        </is>
      </c>
      <c r="FIC8" t="inlineStr">
        <is>
          <t>Deduction for CPP or QPP contributions on self-employment and other earnings</t>
        </is>
      </c>
      <c r="FID8" t="inlineStr">
        <is>
          <t>Deduction for PPIP premiums on self-employment income</t>
        </is>
      </c>
      <c r="FIE8" t="inlineStr">
        <is>
          <t>Exploration and development expenses</t>
        </is>
      </c>
      <c r="FIF8" t="inlineStr">
        <is>
          <t>Gross business investment loss</t>
        </is>
      </c>
      <c r="FIG8" t="inlineStr">
        <is>
          <t>Other employment expenses</t>
        </is>
      </c>
      <c r="FIH8" t="inlineStr">
        <is>
          <t>Total support payments made</t>
        </is>
      </c>
      <c r="FII8" t="inlineStr">
        <is>
          <t>Clergy residence deduction</t>
        </is>
      </c>
      <c r="FIJ8" t="inlineStr">
        <is>
          <t>Other deductions</t>
        </is>
      </c>
      <c r="FIK8" t="inlineStr">
        <is>
          <t>Social benefits repayment</t>
        </is>
      </c>
      <c r="FIL8" t="inlineStr">
        <is>
          <t>Net income</t>
        </is>
      </c>
      <c r="FIM8" t="inlineStr">
        <is>
          <t>Transfers to an RRSP/PRPP/SPP</t>
        </is>
      </c>
      <c r="FIN8" t="inlineStr">
        <is>
          <t>Canadian Forces personnel and police deduction</t>
        </is>
      </c>
      <c r="FIO8" t="inlineStr">
        <is>
          <t>Total RRSP, SPP, and PRPP contributions from March 2, 2019 to March 2, 2020</t>
        </is>
      </c>
      <c r="FIP8" t="inlineStr">
        <is>
          <t>Contributions designated as a repayment under the Home Buyers’ Plan</t>
        </is>
      </c>
      <c r="FIQ8" t="inlineStr">
        <is>
          <t>Current year withdrawals for the HBP on T4RSP slips</t>
        </is>
      </c>
      <c r="FIR8" t="inlineStr">
        <is>
          <t>Security options deductions</t>
        </is>
      </c>
      <c r="FIS8" t="inlineStr">
        <is>
          <t>Other payments deduction</t>
        </is>
      </c>
      <c r="FIT8" t="inlineStr">
        <is>
          <t>Limited partnership losses of other years</t>
        </is>
      </c>
      <c r="FIU8" t="inlineStr">
        <is>
          <t>Non-capital losses of other years</t>
        </is>
      </c>
      <c r="FIV8" t="inlineStr">
        <is>
          <t>Net capital losses of other years</t>
        </is>
      </c>
      <c r="FIW8" t="inlineStr">
        <is>
          <t>Capital gains deduction</t>
        </is>
      </c>
      <c r="FIX8" t="inlineStr">
        <is>
          <t>Northern residents deductions</t>
        </is>
      </c>
      <c r="FIY8" t="inlineStr">
        <is>
          <t>Additional deductions</t>
        </is>
      </c>
      <c r="FIZ8" t="inlineStr">
        <is>
          <t>Address of home purchased under the HBP is the same as on page 1 of return</t>
        </is>
      </c>
      <c r="FJA8" t="inlineStr">
        <is>
          <t>Taxable income</t>
        </is>
      </c>
      <c r="FJB8" t="inlineStr">
        <is>
          <t>Contributions designated as a repayment under the Lifelong Learning Plan</t>
        </is>
      </c>
      <c r="FJC8" t="inlineStr">
        <is>
          <t>Current year withdrawals for the LLP on T4RSP slips</t>
        </is>
      </c>
      <c r="FJD8" t="inlineStr">
        <is>
          <t>Designation of the spouse or common-law partner as the student for whom the funds were withdrawn under the LLP</t>
        </is>
      </c>
      <c r="FJE8" t="inlineStr">
        <is>
          <t>Foreign property held in the current tax year with a total cost of more than CAN$100,000</t>
        </is>
      </c>
      <c r="FJF8" t="inlineStr">
        <is>
          <t>Current year contributions to an amateur athlete trust</t>
        </is>
      </c>
      <c r="FJG8" t="inlineStr">
        <is>
          <t>Basic personal amount</t>
        </is>
      </c>
      <c r="FJH8" t="inlineStr">
        <is>
          <t>Age amount</t>
        </is>
      </c>
      <c r="FJI8" t="inlineStr">
        <is>
          <t>Spouse or common-law partner amount</t>
        </is>
      </c>
      <c r="FJJ8" t="inlineStr">
        <is>
          <t>Canada caregiver amount for spouse or common-law partner, or eligible dependant age 18 or older</t>
        </is>
      </c>
      <c r="FJK8" t="inlineStr">
        <is>
          <t>Amount for an eligible dependant</t>
        </is>
      </c>
      <c r="FJL8" t="inlineStr">
        <is>
          <t>Canada caregiver amount for other infirm dependants age 18 or older</t>
        </is>
      </c>
      <c r="FJM8" t="inlineStr">
        <is>
          <t>CPP contributions</t>
        </is>
      </c>
      <c r="FJN8" t="inlineStr">
        <is>
          <t>CPP contributions on self-employment and other earnings</t>
        </is>
      </c>
      <c r="FJO8" t="inlineStr">
        <is>
          <t>Employment insurance premiums</t>
        </is>
      </c>
      <c r="FJP8" t="inlineStr">
        <is>
          <t>Adoption expenses</t>
        </is>
      </c>
      <c r="FJQ8" t="inlineStr">
        <is>
          <t>Pension income amount</t>
        </is>
      </c>
      <c r="FJR8" t="inlineStr">
        <is>
          <t>Disability amount (for self)</t>
        </is>
      </c>
      <c r="FJS8" t="inlineStr">
        <is>
          <t>Employment insurance premiums on self-employment and other eligible earnings</t>
        </is>
      </c>
      <c r="FJT8" t="inlineStr">
        <is>
          <t>Disability amount transferred from a dependant Interest paid on your student loans</t>
        </is>
      </c>
      <c r="FJU8" t="inlineStr">
        <is>
          <t>Interest paid on your student loans</t>
        </is>
      </c>
      <c r="FJV8" t="inlineStr">
        <is>
          <t>Eligible tuition fees paid to Canadian educational institutions for the current tax year</t>
        </is>
      </c>
      <c r="FJW8" t="inlineStr">
        <is>
          <t>Your tuition, education, and textbook amounts</t>
        </is>
      </c>
      <c r="FJX8" t="inlineStr">
        <is>
          <t>Tuition amount transferred from a child</t>
        </is>
      </c>
      <c r="FJY8" t="inlineStr">
        <is>
          <t>Number of months enrolled as a part-time student</t>
        </is>
      </c>
      <c r="FJZ8" t="inlineStr">
        <is>
          <t>Amounts transferred from your spouse or common-law partner</t>
        </is>
      </c>
      <c r="FKA8" t="inlineStr">
        <is>
          <t>Federal tuition amount transferred</t>
        </is>
      </c>
      <c r="FKB8" t="inlineStr">
        <is>
          <t>Number of months enrolled as a full-time student</t>
        </is>
      </c>
      <c r="FKC8" t="inlineStr">
        <is>
          <t>Donations made to government bodies</t>
        </is>
      </c>
      <c r="FKD8" t="inlineStr">
        <is>
          <t>Medical expenses for self, spouse or common-law partner, and dependent children under 18 years of age</t>
        </is>
      </c>
      <c r="FKE8" t="inlineStr">
        <is>
          <t>Allowable amount of medical expenses for other dependants</t>
        </is>
      </c>
      <c r="FKF8" t="inlineStr">
        <is>
          <t>Allowable amount of medical expenses</t>
        </is>
      </c>
      <c r="FKG8" t="inlineStr">
        <is>
          <t>Donations made to registered universities outside Canada</t>
        </is>
      </c>
      <c r="FKH8" t="inlineStr">
        <is>
          <t>Donations made to the United Nations, its agencies, and certain registered foreign charitable organizations</t>
        </is>
      </c>
      <c r="FKI8" t="inlineStr">
        <is>
          <t>Gifts of depreciable property</t>
        </is>
      </c>
      <c r="FKJ8" t="inlineStr">
        <is>
          <t>Non-refundable tax credits before donations and gifts</t>
        </is>
      </c>
      <c r="FKK8" t="inlineStr">
        <is>
          <t>Gifts of capital property</t>
        </is>
      </c>
      <c r="FKL8" t="inlineStr">
        <is>
          <t>Allowable charitable donations</t>
        </is>
      </c>
      <c r="FKM8" t="inlineStr">
        <is>
          <t>Eligible amount of cultural and ecological gifts</t>
        </is>
      </c>
      <c r="FKN8" t="inlineStr">
        <is>
          <t>Not enrolled full-time due to effects of impairment Number of months enrolled as a part-time student Number of months enrolled as a full-time student</t>
        </is>
      </c>
      <c r="FKO8" t="inlineStr">
        <is>
          <t>Donations and gifts</t>
        </is>
      </c>
      <c r="FKP8" t="inlineStr">
        <is>
          <t>Total federal non-refundable tax credits</t>
        </is>
      </c>
      <c r="FKQ8" t="inlineStr">
        <is>
          <t>Spouse’s or common-law partner’s adjusted taxable income</t>
        </is>
      </c>
      <c r="FKR8" t="inlineStr">
        <is>
          <t>Number of children for whom you are claiming the Canada caregiver amount for infirm children under 18 years of age</t>
        </is>
      </c>
      <c r="FKS8" t="inlineStr">
        <is>
          <t>Spouse’s or common-law partner’s age amount</t>
        </is>
      </c>
      <c r="FKT8" t="inlineStr">
        <is>
          <t>Total of donations made before 2016</t>
        </is>
      </c>
      <c r="FKU8" t="inlineStr">
        <is>
          <t>Spouse’s or common-law partner’s pension income amount</t>
        </is>
      </c>
      <c r="FKV8" t="inlineStr">
        <is>
          <t>Spouse’s or common-law partner’s disability amount</t>
        </is>
      </c>
      <c r="FKW8" t="inlineStr">
        <is>
          <t>Tuition amount designated by your spouse or common-law partner</t>
        </is>
      </c>
      <c r="FKX8" t="inlineStr">
        <is>
          <t>Spouse’s or common-law partner’s Canada caregiver amount for infirm children under 18 years of age</t>
        </is>
      </c>
      <c r="FKY8" t="inlineStr">
        <is>
          <t>Volunteer firefighters’ amount</t>
        </is>
      </c>
      <c r="FKZ8" t="inlineStr">
        <is>
          <t>Canada employment amount Home buyers’ amount</t>
        </is>
      </c>
      <c r="FLA8" t="inlineStr">
        <is>
          <t>Canada caregiver amount for infirm children under 18 years of age</t>
        </is>
      </c>
      <c r="FLB8" t="inlineStr">
        <is>
          <t>Home buyers’ amount</t>
        </is>
      </c>
      <c r="FLC8" t="inlineStr">
        <is>
          <t>Net business income/Pensionable net self-employment earnings</t>
        </is>
      </c>
      <c r="FLD8" t="inlineStr">
        <is>
          <t>Effective date of the electing to stop contributing to CPP on self-employment earnings</t>
        </is>
      </c>
      <c r="FLE8" t="inlineStr">
        <is>
          <t>Employment earnings not shown on a T4 slip on which you elect to pay additional CPP contributions/Income on which you wish to make optional contributions</t>
        </is>
      </c>
      <c r="FLF8" t="inlineStr">
        <is>
          <t>Effective date to revoke an election made in a prior year to stop contributing to CPP on self-employment earnings</t>
        </is>
      </c>
      <c r="FLG8" t="inlineStr">
        <is>
          <t>PPIP premiums paid</t>
        </is>
      </c>
      <c r="FLH8" t="inlineStr">
        <is>
          <t>PPIP premiums payable on employment income</t>
        </is>
      </c>
      <c r="FLI8" t="inlineStr">
        <is>
          <t>PPIP premiums payable on self-employment income</t>
        </is>
      </c>
      <c r="FLJ8" t="inlineStr">
        <is>
          <t>Do you have an eligible dependant?</t>
        </is>
      </c>
      <c r="FLK8" t="inlineStr">
        <is>
          <t>Do you have an eligible spouse?</t>
        </is>
      </c>
      <c r="FLL8" t="inlineStr">
        <is>
          <t>Taxable part of scholarship income reported at line 130</t>
        </is>
      </c>
      <c r="FLM8" t="inlineStr">
        <is>
          <t>Eligible spouse’s taxable part of scholarship and grant income</t>
        </is>
      </c>
      <c r="FLN8" t="inlineStr">
        <is>
          <t>Tax-exempt part of working income earned on a reserve or an allowance received as an emergency volunteer</t>
        </is>
      </c>
      <c r="FLO8" t="inlineStr">
        <is>
          <t>Eligible spouse’s tax-exempt part of working income earned on a reserve or an allowance received as an emergency volunteer</t>
        </is>
      </c>
      <c r="FLP8" t="inlineStr">
        <is>
          <t>Eligible spouse’s working income</t>
        </is>
      </c>
      <c r="FLQ8" t="inlineStr">
        <is>
          <t>Tax-exempt part of all income earned or received on a reserve less the deductions related to that income or an allowance received as an emergency volunteer</t>
        </is>
      </c>
      <c r="FLR8" t="inlineStr">
        <is>
          <t>Eligible spouse’s tax-exempt part of all income earned or received on a reserve less the deductions related to that income or an allowance received as an emergency volunteer</t>
        </is>
      </c>
      <c r="FLS8" t="inlineStr">
        <is>
          <t>Eligible spouse’s adjusted net income</t>
        </is>
      </c>
      <c r="FLT8" t="inlineStr">
        <is>
          <t>Are you eligible for the CWB/WITB?</t>
        </is>
      </c>
      <c r="FLU8" t="inlineStr">
        <is>
          <t>Are you eligible for the disability tax credit?</t>
        </is>
      </c>
      <c r="FLV8" t="inlineStr">
        <is>
          <t>Is your eligible spouse eligible for the disability tax credit for themselves?</t>
        </is>
      </c>
      <c r="FLW8" t="inlineStr">
        <is>
          <t>Search and rescue volunteers’ amount</t>
        </is>
      </c>
      <c r="FLX8" t="inlineStr">
        <is>
          <t>Home accessibility expenses</t>
        </is>
      </c>
      <c r="FLY8" t="inlineStr">
        <is>
          <t>Employment earnings shown on a T4 slip on which you elect to pay additional CPP contributions</t>
        </is>
      </c>
      <c r="FLZ8" t="inlineStr">
        <is>
          <t>Federal tax</t>
        </is>
      </c>
      <c r="FMA8" t="inlineStr">
        <is>
          <t>Total federal political contributions</t>
        </is>
      </c>
      <c r="FMB8" t="inlineStr">
        <is>
          <t>Federal political contribution tax credit</t>
        </is>
      </c>
      <c r="FMC8" t="inlineStr">
        <is>
          <t>Investment tax credit</t>
        </is>
      </c>
      <c r="FMD8" t="inlineStr">
        <is>
          <t>Labour-sponsored funds tax credit – Net cost</t>
        </is>
      </c>
      <c r="FME8" t="inlineStr">
        <is>
          <t>Labour-sponsored funds tax credit – Allowable credit</t>
        </is>
      </c>
      <c r="FMF8" t="inlineStr">
        <is>
          <t>Canada workers benefit advance payments received</t>
        </is>
      </c>
      <c r="FMG8" t="inlineStr">
        <is>
          <t>Net federal tax before inclusion of CWB advance payments and special taxes</t>
        </is>
      </c>
      <c r="FMH8" t="inlineStr">
        <is>
          <t>Special taxes</t>
        </is>
      </c>
      <c r="FMI8" t="inlineStr">
        <is>
          <t>Net Federal Tax</t>
        </is>
      </c>
      <c r="FMJ8" t="inlineStr">
        <is>
          <t>Federal tax on split income</t>
        </is>
      </c>
      <c r="FMK8" t="inlineStr">
        <is>
          <t>Federal dividend tax credit</t>
        </is>
      </c>
      <c r="FML8" t="inlineStr">
        <is>
          <t>Minimum tax carry-over</t>
        </is>
      </c>
      <c r="FMM8" t="inlineStr">
        <is>
          <t>Provincial or territorial tax</t>
        </is>
      </c>
      <c r="FMN8" t="inlineStr">
        <is>
          <t>Non-business income tax paid to a foreign country</t>
        </is>
      </c>
      <c r="FMO8" t="inlineStr">
        <is>
          <t>Yukon First Nations tax</t>
        </is>
      </c>
      <c r="FMP8" t="inlineStr">
        <is>
          <t>Net foreign non-business income</t>
        </is>
      </c>
      <c r="FMQ8" t="inlineStr">
        <is>
          <t>Business income tax paid to a foreign country</t>
        </is>
      </c>
      <c r="FMR8" t="inlineStr">
        <is>
          <t>Total payable</t>
        </is>
      </c>
      <c r="FMS8" t="inlineStr">
        <is>
          <t>Total income tax deducted</t>
        </is>
      </c>
      <c r="FMT8" t="inlineStr">
        <is>
          <t>Tax transfer for residents of Quebec</t>
        </is>
      </c>
      <c r="FMU8" t="inlineStr">
        <is>
          <t>Net foreign business income</t>
        </is>
      </c>
      <c r="FMV8" t="inlineStr">
        <is>
          <t>Refundable Quebec abatement</t>
        </is>
      </c>
      <c r="FMW8" t="inlineStr">
        <is>
          <t>Federal refundable First Nations abatement</t>
        </is>
      </c>
      <c r="FMX8" t="inlineStr">
        <is>
          <t>CPP overpayment</t>
        </is>
      </c>
      <c r="FMY8" t="inlineStr">
        <is>
          <t>Climate action incentive</t>
        </is>
      </c>
      <c r="FMZ8" t="inlineStr">
        <is>
          <t>Employment insurance overpayment</t>
        </is>
      </c>
      <c r="FNA8" t="inlineStr">
        <is>
          <t>Refundable medical expense supplement</t>
        </is>
      </c>
      <c r="FNB8" t="inlineStr">
        <is>
          <t>Canada workers benefit (Working income tax benefit)</t>
        </is>
      </c>
      <c r="FNC8" t="inlineStr">
        <is>
          <t>Refund of investment tax credit</t>
        </is>
      </c>
      <c r="FND8" t="inlineStr">
        <is>
          <t>Part XII.2 trust tax credit</t>
        </is>
      </c>
      <c r="FNE8" t="inlineStr">
        <is>
          <t>Employee and partner GST/HST rebate</t>
        </is>
      </c>
      <c r="FNF8" t="inlineStr">
        <is>
          <t>Direct deposit – Branch number</t>
        </is>
      </c>
      <c r="FNG8" t="inlineStr">
        <is>
          <t>Direct deposit – Institution number</t>
        </is>
      </c>
      <c r="FNH8" t="inlineStr">
        <is>
          <t>Direct deposit – Account number</t>
        </is>
      </c>
      <c r="FNI8" t="inlineStr">
        <is>
          <t>Donation to the Ontario opportunities fund</t>
        </is>
      </c>
      <c r="FNJ8" t="inlineStr">
        <is>
          <t>Net refund</t>
        </is>
      </c>
      <c r="FNK8" t="inlineStr">
        <is>
          <t>Supplies expenses for eligible educator school supply tax credit</t>
        </is>
      </c>
      <c r="FNL8" t="inlineStr">
        <is>
          <t>Eligible educator school supply tax credit</t>
        </is>
      </c>
      <c r="FNM8" t="inlineStr">
        <is>
          <t>Tax paid by instalments</t>
        </is>
      </c>
      <c r="FNN8" t="inlineStr">
        <is>
          <t>Provincial or territorial credits</t>
        </is>
      </c>
      <c r="FNO8" t="inlineStr">
        <is>
          <t>Refund</t>
        </is>
      </c>
      <c r="FNP8" t="inlineStr">
        <is>
          <t>Balance owing</t>
        </is>
      </c>
      <c r="FNQ8" t="inlineStr">
        <is>
          <t>Amount enclosed</t>
        </is>
      </c>
      <c r="FNR8" t="inlineStr">
        <is>
          <t>Volunteer program</t>
        </is>
      </c>
      <c r="FNS8" t="inlineStr">
        <is>
          <t>Refund transfer</t>
        </is>
      </c>
      <c r="FNT8" t="inlineStr">
        <is>
          <t>Tax preparer code</t>
        </is>
      </c>
      <c r="FNU8" t="inlineStr">
        <is>
          <t>EI and PPIP premiums (non-Quebec return)</t>
        </is>
      </c>
      <c r="FNV8" t="inlineStr">
        <is>
          <t>Total PPIP premiums</t>
        </is>
      </c>
      <c r="FNW8" t="inlineStr">
        <is>
          <t>Total EI premiums</t>
        </is>
      </c>
      <c r="FNX8" t="inlineStr">
        <is>
          <t>PPIP indicator</t>
        </is>
      </c>
      <c r="FNY8" t="inlineStr">
        <is>
          <t>QPP contributions</t>
        </is>
      </c>
      <c r="FNZ8" t="inlineStr">
        <is>
          <t>QPP contributions on self-employment and other earnings</t>
        </is>
      </c>
      <c r="FOA8" t="inlineStr">
        <is>
          <t>Actual total contributions on QPP pensionable earnings</t>
        </is>
      </c>
      <c r="FOB8" t="inlineStr">
        <is>
          <t>Actual total contributions on CPP pensionable earnings</t>
        </is>
      </c>
      <c r="FOC8" t="inlineStr">
        <is>
          <t>Capital gains at 100%</t>
        </is>
      </c>
      <c r="FOD8" t="inlineStr">
        <is>
          <t>Dependant’s net income (line 23600 of his or her return)</t>
        </is>
      </c>
      <c r="FOE8" t="inlineStr">
        <is>
          <t>Canada caregiver amount for spouse or common-law partner</t>
        </is>
      </c>
      <c r="FOF8" t="inlineStr">
        <is>
          <t>Canada caregiver amount for a dependant (other than an infirm child under 18 year of age)</t>
        </is>
      </c>
      <c r="FOG8" t="inlineStr">
        <is>
          <t>Total number of dependants</t>
        </is>
      </c>
      <c r="FOH8" t="inlineStr">
        <is>
          <t>Number of full weeks in attendance at a designated educational institution or secondary school</t>
        </is>
      </c>
      <c r="FOI8" t="inlineStr">
        <is>
          <t>Earnings for services performed in Canada on which the foreign social security contributions were made</t>
        </is>
      </c>
      <c r="FOJ8" t="inlineStr">
        <is>
          <t>Amount contributed to a foreign social security arrangement</t>
        </is>
      </c>
      <c r="FOK8" t="inlineStr">
        <is>
          <t>Allowable non-refundable tax credit for contributions to a foreign social security arrangement</t>
        </is>
      </c>
      <c r="FOL8" t="inlineStr">
        <is>
          <t>Contributions to a foreign employer-sponsored pension plan</t>
        </is>
      </c>
      <c r="FOM8" t="inlineStr">
        <is>
          <t>Resident compensation from employment services</t>
        </is>
      </c>
      <c r="FON8" t="inlineStr">
        <is>
          <t>Pension adjustment from a U.S. retirement plan/Prescribed amount from a U.S. retirement plan/Pension adjustment from a foreign employer-sponsored pension plan</t>
        </is>
      </c>
      <c r="FOO8" t="inlineStr">
        <is>
          <t>Contributions to a U.S. retirement plan</t>
        </is>
      </c>
      <c r="FOP8" t="inlineStr">
        <is>
          <t>Contributions to a U.S. retirement plan</t>
        </is>
      </c>
      <c r="FOQ8" t="inlineStr">
        <is>
          <t>Spouse’s or common-law partner’s capital gains from mortgage foreclosures and conditional sales repossessions</t>
        </is>
      </c>
      <c r="FOR8" t="inlineStr">
        <is>
          <t>Spouse’s or common-law partner’s net-income while the taxpayer is living in Canada</t>
        </is>
      </c>
      <c r="FOS8" t="inlineStr">
        <is>
          <t>Spouse’s or common-law partner’s net-income while the taxpayer is living outside of Canada</t>
        </is>
      </c>
      <c r="FOT8" t="inlineStr">
        <is>
          <t>Net foreign non-business income from the first foreign country</t>
        </is>
      </c>
      <c r="FOU8" t="inlineStr">
        <is>
          <t>Net foreign non-business income from the second foreign country</t>
        </is>
      </c>
      <c r="FOV8" t="inlineStr">
        <is>
          <t>Net foreign non-business income from the third foreign country</t>
        </is>
      </c>
      <c r="FOW8" t="inlineStr">
        <is>
          <t>Business income tax paid to the first foreign country</t>
        </is>
      </c>
      <c r="FOX8" t="inlineStr">
        <is>
          <t>Non-business income tax paid to first foreign country</t>
        </is>
      </c>
      <c r="FOY8" t="inlineStr">
        <is>
          <t>Non-business income tax paid to second foreign country</t>
        </is>
      </c>
      <c r="FOZ8" t="inlineStr">
        <is>
          <t>Non-business income tax paid to third foreign country</t>
        </is>
      </c>
      <c r="FPA8" t="inlineStr">
        <is>
          <t>Net business income from the first foreign country</t>
        </is>
      </c>
      <c r="FPB8" t="inlineStr">
        <is>
          <t>Net business income from the second foreign country</t>
        </is>
      </c>
      <c r="FPC8" t="inlineStr">
        <is>
          <t>Net business income from the third foreign country</t>
        </is>
      </c>
      <c r="FPD8" t="inlineStr">
        <is>
          <t>Business income tax paid to the second foreign country</t>
        </is>
      </c>
      <c r="FPE8" t="inlineStr">
        <is>
          <t>Business income tax paid to the third foreign country</t>
        </is>
      </c>
      <c r="FPF8" t="inlineStr">
        <is>
          <t>Vow of perpetual poverty</t>
        </is>
      </c>
      <c r="FPG8" t="inlineStr">
        <is>
          <t>Canadian sourced non-resident income, excluding the income subject to Part XIII tax</t>
        </is>
      </c>
      <c r="FPH8" t="inlineStr">
        <is>
          <t>Canadian sourced non-resident income subject to Part XIII tax plus foreign sourced non-resident income</t>
        </is>
      </c>
      <c r="FPI8" t="inlineStr">
        <is>
          <t>BC logging tax paid</t>
        </is>
      </c>
      <c r="FPJ8" t="inlineStr">
        <is>
          <t>QC logging tax paid</t>
        </is>
      </c>
      <c r="FPK8" t="inlineStr">
        <is>
          <t>Total QPP pensionable earnings</t>
        </is>
      </c>
      <c r="FPL8" t="inlineStr">
        <is>
          <t>Total CPP pensionable earnings</t>
        </is>
      </c>
      <c r="FPM8" t="inlineStr">
        <is>
          <t>Indicator for filing due date for tax shelter, or inactive or active business income</t>
        </is>
      </c>
      <c r="FPN8" t="inlineStr">
        <is>
          <t>BC logging income</t>
        </is>
      </c>
      <c r="FPO8" t="inlineStr">
        <is>
          <t>CCA on certified film property</t>
        </is>
      </c>
      <c r="FPP8" t="inlineStr">
        <is>
          <t>Ineligible pension income</t>
        </is>
      </c>
      <c r="FPQ8" t="inlineStr">
        <is>
          <t>Income with tax withheld supported by information slips</t>
        </is>
      </c>
      <c r="FPR8" t="inlineStr">
        <is>
          <t>T4 earning reduction</t>
        </is>
      </c>
      <c r="FPS8" t="inlineStr">
        <is>
          <t>Quebec tax deducted (from slips in the taxpayer's name)</t>
        </is>
      </c>
      <c r="FPT8" t="inlineStr">
        <is>
          <t>Income on which Quebec tax was withheld (from slips in the taxpayer's name)</t>
        </is>
      </c>
      <c r="FPU8" t="inlineStr">
        <is>
          <t>Amount of OAS pension repaid</t>
        </is>
      </c>
      <c r="FPV8" t="inlineStr">
        <is>
          <t>Limited partnership loss carryforward from 1986 and 1987</t>
        </is>
      </c>
      <c r="FPW8" t="inlineStr">
        <is>
          <t>Limited partnership loss available for carryforward</t>
        </is>
      </c>
      <c r="FPX8" t="inlineStr">
        <is>
          <t>Amount of self-employment net earnings reported at self-employed lines in relation to T4 self-employment on which EI premiums through employment were deducted</t>
        </is>
      </c>
      <c r="FPY8" t="inlineStr">
        <is>
          <t>Shareholder's loan repayment</t>
        </is>
      </c>
      <c r="FPZ8" t="inlineStr">
        <is>
          <t>QC logging income</t>
        </is>
      </c>
      <c r="FQA8" t="inlineStr">
        <is>
          <t>Spouse's or common-law partner's total split income</t>
        </is>
      </c>
      <c r="FQB8" t="inlineStr">
        <is>
          <t>Net business income (amount from line 27 of Schedule L of the Quebec provincial income tax return)</t>
        </is>
      </c>
      <c r="FQC8" t="inlineStr">
        <is>
          <t>Employment income where the province or territory of employment is other than Quebec</t>
        </is>
      </c>
      <c r="FQD8" t="inlineStr">
        <is>
          <t>PPIP insurable earnings</t>
        </is>
      </c>
      <c r="FQE8" t="inlineStr">
        <is>
          <t>Shareholder earnings</t>
        </is>
      </c>
      <c r="FQF8" t="inlineStr">
        <is>
          <t>Tax-exempt self-employment income earned by a status indian</t>
        </is>
      </c>
      <c r="FQG8" t="inlineStr">
        <is>
          <t>Taxable income from the post-bankruptcy period</t>
        </is>
      </c>
      <c r="FQH8" t="inlineStr">
        <is>
          <t>EI insurable earnings</t>
        </is>
      </c>
      <c r="FQI8" t="inlineStr">
        <is>
          <t>EI and other benefits repaid</t>
        </is>
      </c>
      <c r="FQJ8" t="inlineStr">
        <is>
          <t>Farm/fish loss</t>
        </is>
      </c>
      <c r="FQK8" t="inlineStr">
        <is>
          <t>Total section 31 farm loss</t>
        </is>
      </c>
      <c r="FQL8" t="inlineStr">
        <is>
          <t>Restricted farm loss</t>
        </is>
      </c>
      <c r="FQM8" t="inlineStr">
        <is>
          <t>RRSP earned income calculation</t>
        </is>
      </c>
      <c r="FQN8" t="inlineStr">
        <is>
          <t>Home Buyers' Plan (HBP) participant repayment amount</t>
        </is>
      </c>
      <c r="FQO8" t="inlineStr">
        <is>
          <t>Lifelong Learning Plan (LLP) participant repayment amount</t>
        </is>
      </c>
      <c r="FQP8" t="inlineStr">
        <is>
          <t>Indicator for marital status change</t>
        </is>
      </c>
      <c r="FQQ8" t="inlineStr">
        <is>
          <t>Spousal indicator</t>
        </is>
      </c>
      <c r="FQR8" t="inlineStr">
        <is>
          <t>Marital status change indicator for the amount for an eligible dependant</t>
        </is>
      </c>
      <c r="FQS8" t="inlineStr">
        <is>
          <t>Earned income adjustment amount</t>
        </is>
      </c>
      <c r="FQT8" t="inlineStr">
        <is>
          <t>Net self-employment income (loss) adjustment amount</t>
        </is>
      </c>
      <c r="FQU8" t="inlineStr">
        <is>
          <t>RDSP repayment by taxpayer</t>
        </is>
      </c>
      <c r="FQV8" t="inlineStr">
        <is>
          <t>RDSP income of spouse or common-law partner</t>
        </is>
      </c>
      <c r="FQW8" t="inlineStr">
        <is>
          <t>RDSP repayment by spouse or common-law partner</t>
        </is>
      </c>
      <c r="FQX8" t="inlineStr">
        <is>
          <t>Number of months of retirement</t>
        </is>
      </c>
      <c r="FQY8" t="inlineStr">
        <is>
          <t>Number of months of disability</t>
        </is>
      </c>
      <c r="FQZ8" t="inlineStr">
        <is>
          <t>CPP/QPP retirement benefits</t>
        </is>
      </c>
      <c r="FRA8" t="inlineStr">
        <is>
          <t>Basic personal amount</t>
        </is>
      </c>
      <c r="FRB8" t="inlineStr">
        <is>
          <t>Age amount</t>
        </is>
      </c>
      <c r="FRC8" t="inlineStr">
        <is>
          <t>Spousal or common-law law partner amount</t>
        </is>
      </c>
      <c r="FRD8" t="inlineStr">
        <is>
          <t>Amount for an eligible dependant</t>
        </is>
      </c>
      <c r="FRE8" t="inlineStr">
        <is>
          <t>Caregiver amount for spouse or common-law partner, or eligible dependant age 18 or older</t>
        </is>
      </c>
      <c r="FRF8" t="inlineStr">
        <is>
          <t>British Columbia caregiver amount</t>
        </is>
      </c>
      <c r="FRG8" t="inlineStr">
        <is>
          <t>Caregiver amount for infirm dependants age 18 or older</t>
        </is>
      </c>
      <c r="FRH8" t="inlineStr">
        <is>
          <t>Ontario caregiver amount</t>
        </is>
      </c>
      <c r="FRI8" t="inlineStr">
        <is>
          <t>Caregiver amount for infirm children under 18 years of age</t>
        </is>
      </c>
      <c r="FRJ8" t="inlineStr">
        <is>
          <t>Amount for infirm dependants age 18 or older</t>
        </is>
      </c>
      <c r="FRK8" t="inlineStr">
        <is>
          <t>Number of children</t>
        </is>
      </c>
      <c r="FRL8" t="inlineStr">
        <is>
          <t>Amount for dependent children age 18 or younger</t>
        </is>
      </c>
      <c r="FRM8" t="inlineStr">
        <is>
          <t>Senior supplementary amount</t>
        </is>
      </c>
      <c r="FRN8" t="inlineStr">
        <is>
          <t>Number of months being claimed for all qualifying children</t>
        </is>
      </c>
      <c r="FRO8" t="inlineStr">
        <is>
          <t>Amount for young children</t>
        </is>
      </c>
      <c r="FRP8" t="inlineStr">
        <is>
          <t>CPP or QPP contributions</t>
        </is>
      </c>
      <c r="FRQ8" t="inlineStr">
        <is>
          <t>CPP or QPP contributions on self-employment and other earnings</t>
        </is>
      </c>
      <c r="FRR8" t="inlineStr">
        <is>
          <t>Employment insurance premiums</t>
        </is>
      </c>
      <c r="FRS8" t="inlineStr">
        <is>
          <t>Employment insurance premiums on self-employment and other eligible earnings</t>
        </is>
      </c>
      <c r="FRT8" t="inlineStr">
        <is>
          <t>Canada employment amount</t>
        </is>
      </c>
      <c r="FRU8" t="inlineStr">
        <is>
          <t>Volunteer firefighters’ amount</t>
        </is>
      </c>
      <c r="FRV8" t="inlineStr">
        <is>
          <t>Search and rescue volunteers’ amount</t>
        </is>
      </c>
      <c r="FRW8" t="inlineStr">
        <is>
          <t>Child care amount</t>
        </is>
      </c>
      <c r="FRX8" t="inlineStr">
        <is>
          <t>Fitness amount</t>
        </is>
      </c>
      <c r="FRY8" t="inlineStr">
        <is>
          <t>Children’s arts amount</t>
        </is>
      </c>
      <c r="FRZ8" t="inlineStr">
        <is>
          <t>Adoption expenses</t>
        </is>
      </c>
      <c r="FSA8" t="inlineStr">
        <is>
          <t>First-time home buyers’ amount</t>
        </is>
      </c>
      <c r="FSB8" t="inlineStr">
        <is>
          <t>Pension income amount</t>
        </is>
      </c>
      <c r="FSC8" t="inlineStr">
        <is>
          <t>Caregiver amount</t>
        </is>
      </c>
      <c r="FSD8" t="inlineStr">
        <is>
          <t>Disability amount (for self)</t>
        </is>
      </c>
      <c r="FSE8" t="inlineStr">
        <is>
          <t>Disability amount transferred from a dependant</t>
        </is>
      </c>
      <c r="FSF8" t="inlineStr">
        <is>
          <t>Teacher school supply amount</t>
        </is>
      </c>
      <c r="FSG8" t="inlineStr">
        <is>
          <t>Interest paid on your student loans</t>
        </is>
      </c>
      <c r="FSH8" t="inlineStr">
        <is>
          <t>Your tuition and education amounts</t>
        </is>
      </c>
      <c r="FSI8" t="inlineStr">
        <is>
          <t>Your unused tuition and education amounts</t>
        </is>
      </c>
      <c r="FSJ8" t="inlineStr">
        <is>
          <t>Your tuition, education, and textbook amounts</t>
        </is>
      </c>
      <c r="FSK8" t="inlineStr">
        <is>
          <t>Tuition and education amounts transferred from a child</t>
        </is>
      </c>
      <c r="FSL8" t="inlineStr">
        <is>
          <t>Tuition amounts transferred from a child NB428</t>
        </is>
      </c>
      <c r="FSM8" t="inlineStr">
        <is>
          <t>Tuition, education, and textbook amounts transferred from a child</t>
        </is>
      </c>
      <c r="FSN8" t="inlineStr">
        <is>
          <t>Amounts transferred from your spouse or common-law partner</t>
        </is>
      </c>
      <c r="FSO8" t="inlineStr">
        <is>
          <t>Medical expenses for self, spouse or common-law partner, and your dependent children under 18 years of age</t>
        </is>
      </c>
      <c r="FSP8" t="inlineStr">
        <is>
          <t>Allowable amount of medical expenses for other dependants</t>
        </is>
      </c>
      <c r="FSQ8" t="inlineStr">
        <is>
          <t>Total tax-exempt employment earnings</t>
        </is>
      </c>
      <c r="FSR8" t="inlineStr">
        <is>
          <t>Allowable amount of medical expenses</t>
        </is>
      </c>
      <c r="FSS8" t="inlineStr">
        <is>
          <t>Add lines 58040 to 58640 (and line 61470 for MB) and line 58769</t>
        </is>
      </c>
      <c r="FST8" t="inlineStr">
        <is>
          <t>Total tax-exempt self-employment earnings and other tax-exempt earned income</t>
        </is>
      </c>
      <c r="FSU8" t="inlineStr">
        <is>
          <t>Total eligible PRPP contributions from tax-exempt income</t>
        </is>
      </c>
      <c r="FSV8" t="inlineStr">
        <is>
          <t>PRPP contributions from tax-exempt income designated as a repayment under the HBP</t>
        </is>
      </c>
      <c r="FSW8" t="inlineStr">
        <is>
          <t>Provincial or territorial non-refundable tax credits before donations and gifts</t>
        </is>
      </c>
      <c r="FSX8" t="inlineStr">
        <is>
          <t>Non-refundable tax credits before donations and gifts and the farmers’ food donation tax credit</t>
        </is>
      </c>
      <c r="FSY8" t="inlineStr">
        <is>
          <t>Donations and gifts</t>
        </is>
      </c>
      <c r="FSZ8" t="inlineStr">
        <is>
          <t>PRPP contributions from tax-exempt income designated as a repayment under the LLP</t>
        </is>
      </c>
      <c r="FTA8" t="inlineStr">
        <is>
          <t>BC farmers’ food donation tax credit</t>
        </is>
      </c>
      <c r="FTB8" t="inlineStr">
        <is>
          <t>Spouse’s or common-law partner’s amount for young children less than 6 years of age</t>
        </is>
      </c>
      <c r="FTC8" t="inlineStr">
        <is>
          <t>Spouse’s or common-law partner’s amount for dependent children age 18 or younger</t>
        </is>
      </c>
      <c r="FTD8" t="inlineStr">
        <is>
          <t>Spouse’s or common-law partner’s age amount</t>
        </is>
      </c>
      <c r="FTE8" t="inlineStr">
        <is>
          <t>Spouse’s or common-law partner’s senior supplementary amount</t>
        </is>
      </c>
      <c r="FTF8" t="inlineStr">
        <is>
          <t>Spouse’s or common-law partner’s provincial/territorial caregiver amount for infirm children under 18 years of age</t>
        </is>
      </c>
      <c r="FTG8" t="inlineStr">
        <is>
          <t>Spouse’s or common-law partner’s pension income amount</t>
        </is>
      </c>
      <c r="FTH8" t="inlineStr">
        <is>
          <t>Spouse’s or common-law partner’s disability amount</t>
        </is>
      </c>
      <c r="FTI8" t="inlineStr">
        <is>
          <t>Tuition and education amounts designated by your spouse or common-law partner</t>
        </is>
      </c>
      <c r="FTJ8" t="inlineStr">
        <is>
          <t>Tuition amounts designated by your spouse or common-law partner</t>
        </is>
      </c>
      <c r="FTK8" t="inlineStr">
        <is>
          <t>Tuition, education, and textbook amounts designated by your spouse or common-law partner</t>
        </is>
      </c>
      <c r="FTL8" t="inlineStr">
        <is>
          <t>Spouse’s or common-law partner’s adjusted taxable income</t>
        </is>
      </c>
      <c r="FTM8" t="inlineStr">
        <is>
          <t>Eligible tuition fees paid for the current tax year</t>
        </is>
      </c>
      <c r="FTN8" t="inlineStr">
        <is>
          <t>Part-time education amount</t>
        </is>
      </c>
      <c r="FTO8" t="inlineStr">
        <is>
          <t>Part-time education and textbook amounts</t>
        </is>
      </c>
      <c r="FTP8" t="inlineStr">
        <is>
          <t>Full-time education amount</t>
        </is>
      </c>
      <c r="FTQ8" t="inlineStr">
        <is>
          <t>Full-time education and textbook amounts</t>
        </is>
      </c>
      <c r="FTR8" t="inlineStr">
        <is>
          <t>Provincial amount transferred</t>
        </is>
      </c>
      <c r="FTS8" t="inlineStr">
        <is>
          <t>Territorial amount transferred</t>
        </is>
      </c>
      <c r="FTT8" t="inlineStr">
        <is>
          <t>Provincial tuition amount transferred</t>
        </is>
      </c>
      <c r="FTU8" t="inlineStr">
        <is>
          <t>Territorial tuition amount transferred</t>
        </is>
      </c>
      <c r="FTV8" t="inlineStr">
        <is>
          <t>Amount for infirm dependants age 18 or older</t>
        </is>
      </c>
      <c r="FTW8" t="inlineStr">
        <is>
          <t>Caregiver amount</t>
        </is>
      </c>
      <c r="FTX8" t="inlineStr">
        <is>
          <t>Disability amount (for self)</t>
        </is>
      </c>
      <c r="FTY8" t="inlineStr">
        <is>
          <t>Disability amount transferred from a dependant</t>
        </is>
      </c>
      <c r="FTZ8" t="inlineStr">
        <is>
          <t>Amounts transferred from your spouse or common-law partner</t>
        </is>
      </c>
      <c r="FUA8" t="inlineStr">
        <is>
          <t>Allowable amount of medical expenses for other dependants</t>
        </is>
      </c>
      <c r="FUB8" t="inlineStr">
        <is>
          <t>Disability amount (for self)</t>
        </is>
      </c>
      <c r="FUC8" t="inlineStr">
        <is>
          <t>Disability amount transferred from a dependant</t>
        </is>
      </c>
      <c r="FUD8" t="inlineStr">
        <is>
          <t>Total provincial amounts designated to you by a student</t>
        </is>
      </c>
      <c r="FUE8" t="inlineStr">
        <is>
          <t>Amounts transferred from your spouse or common-law partner</t>
        </is>
      </c>
      <c r="FUF8" t="inlineStr">
        <is>
          <t>Allowable amount of medical expenses for other dependants</t>
        </is>
      </c>
      <c r="FUG8" t="inlineStr">
        <is>
          <t>Program type from the current tax year</t>
        </is>
      </c>
      <c r="FUH8" t="inlineStr">
        <is>
          <t>Eligible tuition fees paid</t>
        </is>
      </c>
      <c r="FUI8" t="inlineStr">
        <is>
          <t>“Eligibility Maximum” from the current tax year</t>
        </is>
      </c>
      <c r="FUJ8" t="inlineStr">
        <is>
          <t>Program type from the current tax year</t>
        </is>
      </c>
      <c r="FUK8" t="inlineStr">
        <is>
          <t>Eligible tuition fees paid</t>
        </is>
      </c>
      <c r="FUL8" t="inlineStr">
        <is>
          <t>Eligibility Maximum from the current tax year</t>
        </is>
      </c>
      <c r="FUM8" t="inlineStr">
        <is>
          <t>Program type from the current tax year</t>
        </is>
      </c>
      <c r="FUN8" t="inlineStr">
        <is>
          <t>Eligible tuition fees paid</t>
        </is>
      </c>
      <c r="FUO8" t="inlineStr">
        <is>
          <t>Eligibility Maximum from the current tax year</t>
        </is>
      </c>
      <c r="FUP8" t="inlineStr">
        <is>
          <t>AB political contributions tax credit</t>
        </is>
      </c>
      <c r="FUQ8" t="inlineStr">
        <is>
          <t>Investor tax credit – Current tax year</t>
        </is>
      </c>
      <c r="FUR8" t="inlineStr">
        <is>
          <t>Climate action incentive – Basic amount</t>
        </is>
      </c>
      <c r="FUS8" t="inlineStr">
        <is>
          <t>Climate action incentive – Amount for an eligible spouse or common-law partner</t>
        </is>
      </c>
      <c r="FUT8" t="inlineStr">
        <is>
          <t>Climate action incentive – Amount for a single parent’s qualified dependant</t>
        </is>
      </c>
      <c r="FUU8" t="inlineStr">
        <is>
          <t>Climate action incentive – Number of qualified dependants</t>
        </is>
      </c>
      <c r="FUV8" t="inlineStr">
        <is>
          <t>Climate action incentive – Do you reside outside of a census metropolitan area on December 31 of the tax year, as defined by Statistics Canada?</t>
        </is>
      </c>
      <c r="FUW8" t="inlineStr">
        <is>
          <t>Basic sales tax credit</t>
        </is>
      </c>
      <c r="FUX8" t="inlineStr">
        <is>
          <t>Additional sales tax credit for spouse or common-law partner</t>
        </is>
      </c>
      <c r="FUY8" t="inlineStr">
        <is>
          <t>Home renovation expenses</t>
        </is>
      </c>
      <c r="FUZ8" t="inlineStr">
        <is>
          <t>BC political contribution tax credit</t>
        </is>
      </c>
      <c r="FVA8" t="inlineStr">
        <is>
          <t>Employee share ownership plan tax credit</t>
        </is>
      </c>
      <c r="FVB8" t="inlineStr">
        <is>
          <t>Employee venture capital tax credit</t>
        </is>
      </c>
      <c r="FVC8" t="inlineStr">
        <is>
          <t>Home renovation expenses for seniors and persons with disabilities</t>
        </is>
      </c>
      <c r="FVD8" t="inlineStr">
        <is>
          <t>Venture capital tax credit – Current tax year</t>
        </is>
      </c>
      <c r="FVE8" t="inlineStr">
        <is>
          <t>Venture capital tax credit – First 60 days subsequent to the current tax year</t>
        </is>
      </c>
      <c r="FVF8" t="inlineStr">
        <is>
          <t>Mining exploration tax credit</t>
        </is>
      </c>
      <c r="FVG8" t="inlineStr">
        <is>
          <t>Mining exploration tax credit allocated from a partnership</t>
        </is>
      </c>
      <c r="FVH8" t="inlineStr">
        <is>
          <t>Training tax credit (Individuals)</t>
        </is>
      </c>
      <c r="FVI8" t="inlineStr">
        <is>
          <t>Training tax credit (Employers)</t>
        </is>
      </c>
      <c r="FVJ8" t="inlineStr">
        <is>
          <t>Shipbuilding and ship repair industry tax credit</t>
        </is>
      </c>
      <c r="FVK8" t="inlineStr">
        <is>
          <t>Age amount for spouse or common-law partner</t>
        </is>
      </c>
      <c r="FVL8" t="inlineStr">
        <is>
          <t>Disability amount for spouse or common-law partner</t>
        </is>
      </c>
      <c r="FVM8" t="inlineStr">
        <is>
          <t>Number of disability claims for self or a dependant other than your spouse or common-law partner</t>
        </is>
      </c>
      <c r="FVN8" t="inlineStr">
        <is>
          <t>Number of disabled dependants 18 years of age or older</t>
        </is>
      </c>
      <c r="FVO8" t="inlineStr">
        <is>
          <t>Number of dependent children 18 years of age or younger</t>
        </is>
      </c>
      <c r="FVP8" t="inlineStr">
        <is>
          <t>Labour-sponsored funds tax credit</t>
        </is>
      </c>
      <c r="FVQ8" t="inlineStr">
        <is>
          <t>Community enterprise development tax credit claimed</t>
        </is>
      </c>
      <c r="FVR8" t="inlineStr">
        <is>
          <t>Community enterprise development tax credit amount from Slip T2CEDTC (MAN.)</t>
        </is>
      </c>
      <c r="FVS8" t="inlineStr">
        <is>
          <t>Small business venture capital tax credit claimed</t>
        </is>
      </c>
      <c r="FVT8" t="inlineStr">
        <is>
          <t>Credit amount from Slip T2SBVCTC (MAN.)</t>
        </is>
      </c>
      <c r="FVU8" t="inlineStr">
        <is>
          <t>Employee share purchase tax credit claimed</t>
        </is>
      </c>
      <c r="FVV8" t="inlineStr">
        <is>
          <t>Involuntary separation indicator</t>
        </is>
      </c>
      <c r="FVW8" t="inlineStr">
        <is>
          <t>Basic, age, and disability credits for spouse or common-law partner</t>
        </is>
      </c>
      <c r="FVX8" t="inlineStr">
        <is>
          <t>Mineral exploration tax credit claimed</t>
        </is>
      </c>
      <c r="FVY8" t="inlineStr">
        <is>
          <t>Total credit amounts from ESOP receipt(s)</t>
        </is>
      </c>
      <c r="FVZ8" t="inlineStr">
        <is>
          <t>Number of disability claims for self or for a dependant other than your spouse or common-law partner</t>
        </is>
      </c>
      <c r="FWA8" t="inlineStr">
        <is>
          <t>Number of dependent children 18 years of age or younger</t>
        </is>
      </c>
      <c r="FWB8" t="inlineStr">
        <is>
          <t>Number of disabled dependants 18 years of age or older</t>
        </is>
      </c>
      <c r="FWC8" t="inlineStr">
        <is>
          <t>Number dependants with a mental or physical infirmity</t>
        </is>
      </c>
      <c r="FWD8" t="inlineStr">
        <is>
          <t>Number of dependent children – Reduction for dependent children age 18 or younger</t>
        </is>
      </c>
      <c r="FWE8" t="inlineStr">
        <is>
          <t>Number of dependent children – Credit for dependent children age 18 or younger</t>
        </is>
      </c>
      <c r="FWF8" t="inlineStr">
        <is>
          <t>Application for the ON energy and property tax credit</t>
        </is>
      </c>
      <c r="FWG8" t="inlineStr">
        <is>
          <t>Application for the Northern ON energy credit</t>
        </is>
      </c>
      <c r="FWH8" t="inlineStr">
        <is>
          <t>Total personal tax credits</t>
        </is>
      </c>
      <c r="FWI8" t="inlineStr">
        <is>
          <t>Choice for delayed single OTB payment</t>
        </is>
      </c>
      <c r="FWJ8" t="inlineStr">
        <is>
          <t>Application for the ON senior homeowners’ property tax grant</t>
        </is>
      </c>
      <c r="FWK8" t="inlineStr">
        <is>
          <t>Involuntary separation indicator</t>
        </is>
      </c>
      <c r="FWL8" t="inlineStr">
        <is>
          <t>Total rent paid</t>
        </is>
      </c>
      <c r="FWM8" t="inlineStr">
        <is>
          <t>Total property tax paid</t>
        </is>
      </c>
      <c r="FWN8" t="inlineStr">
        <is>
          <t>School taxes paid</t>
        </is>
      </c>
      <c r="FWO8" t="inlineStr">
        <is>
          <t>Education property tax credit advance received</t>
        </is>
      </c>
      <c r="FWP8" t="inlineStr">
        <is>
          <t>Residing in a designated student residence</t>
        </is>
      </c>
      <c r="FWQ8" t="inlineStr">
        <is>
          <t>Occupancy cost</t>
        </is>
      </c>
      <c r="FWR8" t="inlineStr">
        <is>
          <t>Gross school taxes assessed</t>
        </is>
      </c>
      <c r="FWS8" t="inlineStr">
        <is>
          <t>Family income from the homeowners’ school tax credit table</t>
        </is>
      </c>
      <c r="FWT8" t="inlineStr">
        <is>
          <t>Total home energy costs for principal residence on a reserve</t>
        </is>
      </c>
      <c r="FWU8" t="inlineStr">
        <is>
          <t>School taxes assessed</t>
        </is>
      </c>
      <c r="FWV8" t="inlineStr">
        <is>
          <t>Total accommodation in a public long-term care home or non-profit long-term care home</t>
        </is>
      </c>
      <c r="FWW8" t="inlineStr">
        <is>
          <t>School tax credit for homeowners</t>
        </is>
      </c>
      <c r="FWX8" t="inlineStr">
        <is>
          <t>Total rent assist benefits received</t>
        </is>
      </c>
      <c r="FWY8" t="inlineStr">
        <is>
          <t>Percentage of social assistance</t>
        </is>
      </c>
      <c r="FWZ8" t="inlineStr">
        <is>
          <t>Primary caregiver tax credit</t>
        </is>
      </c>
      <c r="FXA8" t="inlineStr">
        <is>
          <t>Fertility treatment tax credit</t>
        </is>
      </c>
      <c r="FXB8" t="inlineStr">
        <is>
          <t>Paid work experience tax credit</t>
        </is>
      </c>
      <c r="FXC8" t="inlineStr">
        <is>
          <t>Odour-control tax credit</t>
        </is>
      </c>
      <c r="FXD8" t="inlineStr">
        <is>
          <t>Green energy equipment tax credit (purchaser)</t>
        </is>
      </c>
      <c r="FXE8" t="inlineStr">
        <is>
          <t>Green energy equipment tax credit (manufacturer)</t>
        </is>
      </c>
      <c r="FXF8" t="inlineStr">
        <is>
          <t>Book publishing tax credit</t>
        </is>
      </c>
      <c r="FXG8" t="inlineStr">
        <is>
          <t>Family tax benefit</t>
        </is>
      </c>
      <c r="FXH8" t="inlineStr">
        <is>
          <t>Cultural industries printing tax credit</t>
        </is>
      </c>
      <c r="FXI8" t="inlineStr">
        <is>
          <t>Community enterprise development tax credit</t>
        </is>
      </c>
      <c r="FXJ8" t="inlineStr">
        <is>
          <t>Employee share purchase tax credit</t>
        </is>
      </c>
      <c r="FXK8" t="inlineStr">
        <is>
          <t>Farm and small business capital gains tax credit</t>
        </is>
      </c>
      <c r="FXL8" t="inlineStr">
        <is>
          <t>Provincial or territorial non-refundable tax credits</t>
        </is>
      </c>
      <c r="FXM8" t="inlineStr">
        <is>
          <t>Provincial or territorial tax on split income</t>
        </is>
      </c>
      <c r="FXN8" t="inlineStr">
        <is>
          <t>Provincial or territorial dividend tax credit</t>
        </is>
      </c>
      <c r="FXO8" t="inlineStr">
        <is>
          <t>Provincial or territorial minimum tax carryover</t>
        </is>
      </c>
      <c r="FXP8" t="inlineStr">
        <is>
          <t>NB political contribution tax credit</t>
        </is>
      </c>
      <c r="FXQ8" t="inlineStr">
        <is>
          <t>Unused low-income tax reduction from spouse or common-law partner</t>
        </is>
      </c>
      <c r="FXR8" t="inlineStr">
        <is>
          <t>Basic low-income tax reduction</t>
        </is>
      </c>
      <c r="FXS8" t="inlineStr">
        <is>
          <t>Low-income tax reduction for spouse or common-law partner</t>
        </is>
      </c>
      <c r="FXT8" t="inlineStr">
        <is>
          <t>Low-income tax reduction for an eligible dependant claimed on 30400</t>
        </is>
      </c>
      <c r="FXU8" t="inlineStr">
        <is>
          <t>Labour-sponsored venture capital tax credit</t>
        </is>
      </c>
      <c r="FXV8" t="inlineStr">
        <is>
          <t>Small business investor tax credit</t>
        </is>
      </c>
      <c r="FXW8" t="inlineStr">
        <is>
          <t>Amount to carry back to the first prior year</t>
        </is>
      </c>
      <c r="FXX8" t="inlineStr">
        <is>
          <t>Amount to carry back to the second prior year</t>
        </is>
      </c>
      <c r="FXY8" t="inlineStr">
        <is>
          <t>Amount to carry back to the third prior year</t>
        </is>
      </c>
      <c r="FXZ8" t="inlineStr">
        <is>
          <t>Resort property investment tax credit</t>
        </is>
      </c>
      <c r="FYA8" t="inlineStr">
        <is>
          <t>NL political contribution tax credit</t>
        </is>
      </c>
      <c r="FYB8" t="inlineStr">
        <is>
          <t>Direct equity tax credit</t>
        </is>
      </c>
      <c r="FYC8" t="inlineStr">
        <is>
          <t>Amount to carry back to the first prior year</t>
        </is>
      </c>
      <c r="FYD8" t="inlineStr">
        <is>
          <t>Amount to carry back to the second prior year</t>
        </is>
      </c>
      <c r="FYE8" t="inlineStr">
        <is>
          <t>MB political contribution tax credit</t>
        </is>
      </c>
      <c r="FYF8" t="inlineStr">
        <is>
          <t>Amount to carry back to the third prior year</t>
        </is>
      </c>
      <c r="FYG8" t="inlineStr">
        <is>
          <t>Venture capital tax credit</t>
        </is>
      </c>
      <c r="FYH8" t="inlineStr">
        <is>
          <t>Amount to carry back to the first prior year</t>
        </is>
      </c>
      <c r="FYI8" t="inlineStr">
        <is>
          <t>Amount to carry back to the second prior year</t>
        </is>
      </c>
      <c r="FYJ8" t="inlineStr">
        <is>
          <t>Amount to carry back to the third prior year</t>
        </is>
      </c>
      <c r="FYK8" t="inlineStr">
        <is>
          <t>Unused low-income tax reduction from the spouse or common-law partner</t>
        </is>
      </c>
      <c r="FYL8" t="inlineStr">
        <is>
          <t>Basic low-income tax reduction</t>
        </is>
      </c>
      <c r="FYM8" t="inlineStr">
        <is>
          <t>Reduction for your spouse or common-law partner</t>
        </is>
      </c>
      <c r="FYN8" t="inlineStr">
        <is>
          <t>Reduction for an eligible dependant</t>
        </is>
      </c>
      <c r="FYO8" t="inlineStr">
        <is>
          <t>Basic low-income tax reduction</t>
        </is>
      </c>
      <c r="FYP8" t="inlineStr">
        <is>
          <t>Low-income tax reduction for spouse or common-law partner</t>
        </is>
      </c>
      <c r="FYQ8" t="inlineStr">
        <is>
          <t>Low-income tax reduction for an eligible dependant</t>
        </is>
      </c>
      <c r="FYR8" t="inlineStr">
        <is>
          <t>NS political contribution tax credit</t>
        </is>
      </c>
      <c r="FYS8" t="inlineStr">
        <is>
          <t>Food bank tax credit for farmers</t>
        </is>
      </c>
      <c r="FYT8" t="inlineStr">
        <is>
          <t>Community food program donation tax credit for farmers</t>
        </is>
      </c>
      <c r="FYU8" t="inlineStr">
        <is>
          <t>Labour-sponsored venture capital tax credit</t>
        </is>
      </c>
      <c r="FYV8" t="inlineStr">
        <is>
          <t>Equity tax credit</t>
        </is>
      </c>
      <c r="FYW8" t="inlineStr">
        <is>
          <t>Amount to carry back to the first prior year</t>
        </is>
      </c>
      <c r="FYX8" t="inlineStr">
        <is>
          <t>Amount to carry back to the second prior year</t>
        </is>
      </c>
      <c r="FYY8" t="inlineStr">
        <is>
          <t>Amount to carry back to the third prior year</t>
        </is>
      </c>
      <c r="FYZ8" t="inlineStr">
        <is>
          <t>Volunteer firefighters’ tax credit</t>
        </is>
      </c>
      <c r="FZA8" t="inlineStr">
        <is>
          <t>Volunteer firefighters and ground search and rescue tax credit</t>
        </is>
      </c>
      <c r="FZB8" t="inlineStr">
        <is>
          <t>Amount claimed for foreign income on 25600 of the return that is exempt under a tax treaty</t>
        </is>
      </c>
      <c r="FZC8" t="inlineStr">
        <is>
          <t>Basic cost of living tax credit for self</t>
        </is>
      </c>
      <c r="FZD8" t="inlineStr">
        <is>
          <t>Cost of living tax credit supplement for spouse or common-law partner</t>
        </is>
      </c>
      <c r="FZE8" t="inlineStr">
        <is>
          <t>The basic credit for self claimed by the spouse or common-law partner</t>
        </is>
      </c>
      <c r="FZF8" t="inlineStr">
        <is>
          <t>Cost of living tax credit supplement</t>
        </is>
      </c>
      <c r="FZG8" t="inlineStr">
        <is>
          <t>Northwest territories credit</t>
        </is>
      </c>
      <c r="FZH8" t="inlineStr">
        <is>
          <t>NT political contribution tax credit</t>
        </is>
      </c>
      <c r="FZI8" t="inlineStr">
        <is>
          <t>Seniors’ public transit tax credit</t>
        </is>
      </c>
      <c r="FZJ8" t="inlineStr">
        <is>
          <t>ON political contribution tax credit</t>
        </is>
      </c>
      <c r="FZK8" t="inlineStr">
        <is>
          <t>Focused flow-through share tax credit</t>
        </is>
      </c>
      <c r="FZL8" t="inlineStr">
        <is>
          <t>Tax credits for self-employed individuals – Apprenticeships</t>
        </is>
      </c>
      <c r="FZM8" t="inlineStr">
        <is>
          <t>Tax credits for self-employed individuals – Work placements</t>
        </is>
      </c>
      <c r="FZN8" t="inlineStr">
        <is>
          <t>Tax credits claimed as a member of a partnership</t>
        </is>
      </c>
      <c r="FZO8" t="inlineStr">
        <is>
          <t>Business number</t>
        </is>
      </c>
      <c r="FZP8" t="inlineStr">
        <is>
          <t>Apprenticeship training tax credit</t>
        </is>
      </c>
      <c r="FZQ8" t="inlineStr">
        <is>
          <t>Co-operative education tax credit</t>
        </is>
      </c>
      <c r="FZR8" t="inlineStr">
        <is>
          <t>Unused low-income tax reduction from spouse or common-law partner</t>
        </is>
      </c>
      <c r="FZS8" t="inlineStr">
        <is>
          <t>Basic low-income tax reduction</t>
        </is>
      </c>
      <c r="FZT8" t="inlineStr">
        <is>
          <t>Age reduction for self</t>
        </is>
      </c>
      <c r="FZU8" t="inlineStr">
        <is>
          <t>Low-income tax reduction for spouse or common-law partner</t>
        </is>
      </c>
      <c r="FZV8" t="inlineStr">
        <is>
          <t>Age reduction for spouse or common-law partner</t>
        </is>
      </c>
      <c r="FZW8" t="inlineStr">
        <is>
          <t>Low-income tax reduction for an eligible dependant</t>
        </is>
      </c>
      <c r="FZX8" t="inlineStr">
        <is>
          <t>PE political contribution tax credit</t>
        </is>
      </c>
      <c r="FZY8" t="inlineStr">
        <is>
          <t>Basic and certification tax credits (level 1 and/or level 2 of a non-Red Seal programs)</t>
        </is>
      </c>
      <c r="FZZ8" t="inlineStr">
        <is>
          <t>Completion and certification tax credit (level 3 of a Red Seal or non-Red Seal program)</t>
        </is>
      </c>
      <c r="GAA8" t="inlineStr">
        <is>
          <t>Completion and certification tax credit (level 4 of a Red Seal or non-Red Seal program)</t>
        </is>
      </c>
      <c r="GAB8" t="inlineStr">
        <is>
          <t>Enhanced tax credit</t>
        </is>
      </c>
      <c r="GAC8" t="inlineStr">
        <is>
          <t>Basic tax credit</t>
        </is>
      </c>
      <c r="GAD8" t="inlineStr">
        <is>
          <t>Completion tax credit</t>
        </is>
      </c>
      <c r="GAE8" t="inlineStr">
        <is>
          <t>Enhanced tax credit</t>
        </is>
      </c>
      <c r="GAF8" t="inlineStr">
        <is>
          <t>Equity tax credit</t>
        </is>
      </c>
      <c r="GAG8" t="inlineStr">
        <is>
          <t>Volunteer firefighter tax credit</t>
        </is>
      </c>
      <c r="GAH8" t="inlineStr">
        <is>
          <t>SK political contribution tax credit</t>
        </is>
      </c>
      <c r="GAI8" t="inlineStr">
        <is>
          <t>Labour-sponsored venture capital tax credit</t>
        </is>
      </c>
      <c r="GAJ8" t="inlineStr">
        <is>
          <t>Mineral exploration tax credit</t>
        </is>
      </c>
      <c r="GAK8" t="inlineStr">
        <is>
          <t>Amount to carry back to the first prior year</t>
        </is>
      </c>
      <c r="GAL8" t="inlineStr">
        <is>
          <t>Amount to carry back to the second prior year</t>
        </is>
      </c>
      <c r="GAM8" t="inlineStr">
        <is>
          <t>Amount to carry back to the third prior year</t>
        </is>
      </c>
      <c r="GAN8" t="inlineStr">
        <is>
          <t>Graduate tuition tax credit</t>
        </is>
      </c>
      <c r="GAO8" t="inlineStr">
        <is>
          <t>Number of qualifying children under 6 years of age</t>
        </is>
      </c>
      <c r="GAP8" t="inlineStr">
        <is>
          <t>Children’s fitness tax credit</t>
        </is>
      </c>
      <c r="GAQ8" t="inlineStr">
        <is>
          <t>Small business investment tax credit</t>
        </is>
      </c>
      <c r="GAR8" t="inlineStr">
        <is>
          <t>Amount to carry back to the first prior year</t>
        </is>
      </c>
      <c r="GAS8" t="inlineStr">
        <is>
          <t>Amount to carry back to the second prior year</t>
        </is>
      </c>
      <c r="GAT8" t="inlineStr">
        <is>
          <t>Amount to carry back to the third prior year</t>
        </is>
      </c>
      <c r="GAU8" t="inlineStr">
        <is>
          <t>Labour-sponsored venture capital corporation tax credit</t>
        </is>
      </c>
      <c r="GAV8" t="inlineStr">
        <is>
          <t>Amount to carry back to the first prior year</t>
        </is>
      </c>
      <c r="GAW8" t="inlineStr">
        <is>
          <t>Amount to carry back to the second prior year</t>
        </is>
      </c>
      <c r="GAX8" t="inlineStr">
        <is>
          <t>Amount to carry back to the third prior year</t>
        </is>
      </c>
      <c r="GAY8" t="inlineStr">
        <is>
          <t>Research and development tax credit</t>
        </is>
      </c>
      <c r="GAZ8" t="inlineStr">
        <is>
          <t>YT political contribution tax credit</t>
        </is>
      </c>
      <c r="GBA8" t="inlineStr">
        <is>
          <t>Yukon First Nations income tax credit</t>
        </is>
      </c>
      <c r="GBB8" t="inlineStr">
        <is>
          <t>Cost of living supplement</t>
        </is>
      </c>
      <c r="GBC8" t="inlineStr">
        <is>
          <t>Total cost of living tax credit</t>
        </is>
      </c>
      <c r="GBD8" t="inlineStr">
        <is>
          <t>NU political contribution tax credit</t>
        </is>
      </c>
      <c r="GBE8" t="inlineStr">
        <is>
          <t>Total expenses eligible for the GST rebate</t>
        </is>
      </c>
      <c r="GBF8" t="inlineStr">
        <is>
          <t>Total expenses eligible for the HST rebate</t>
        </is>
      </c>
      <c r="GBG8" t="inlineStr">
        <is>
          <t>Total expenses eligible for the HST rebate</t>
        </is>
      </c>
      <c r="GBH8" t="inlineStr">
        <is>
          <t>Benefits that can no longer be deferred</t>
        </is>
      </c>
      <c r="GBI8" t="inlineStr">
        <is>
          <t>Closing balance of deferred security option benefits</t>
        </is>
      </c>
      <c r="GBJ8" t="inlineStr">
        <is>
          <t>Non-capital loss to be applied to the third prior year</t>
        </is>
      </c>
      <c r="GBK8" t="inlineStr">
        <is>
          <t>Non-capital loss to be applied to the second prior year</t>
        </is>
      </c>
      <c r="GBL8" t="inlineStr">
        <is>
          <t>Non-capital loss to be applied to the first prior year</t>
        </is>
      </c>
      <c r="GBM8" t="inlineStr">
        <is>
          <t>Farming or fishing loss to be applied to the third prior year</t>
        </is>
      </c>
      <c r="GBN8" t="inlineStr">
        <is>
          <t>Farming or fishing loss to be applied to the second prior year</t>
        </is>
      </c>
      <c r="GBO8" t="inlineStr">
        <is>
          <t>Farming or fishing loss to be applied to the first prior year</t>
        </is>
      </c>
      <c r="GBP8" t="inlineStr">
        <is>
          <t>Net capital loss to be applied to the third prior year</t>
        </is>
      </c>
      <c r="GBQ8" t="inlineStr">
        <is>
          <t>Net capital loss to be applied to the second prior year</t>
        </is>
      </c>
      <c r="GBR8" t="inlineStr">
        <is>
          <t>Net capital loss to be applied to the first prior year</t>
        </is>
      </c>
      <c r="GBS8" t="inlineStr">
        <is>
          <t>Listed personal property net loss to be applied to the third prior year listed personal property net gains</t>
        </is>
      </c>
      <c r="GBT8" t="inlineStr">
        <is>
          <t>Listed personal property net loss to be applied to the second prior year listed personal property net gains</t>
        </is>
      </c>
      <c r="GBU8" t="inlineStr">
        <is>
          <t>Listed personal property net loss to be applied to the first prior year listed personal property net gains</t>
        </is>
      </c>
      <c r="GBV8" t="inlineStr">
        <is>
          <t>Restricted farm loss to be applied to the third prior year</t>
        </is>
      </c>
      <c r="GBW8" t="inlineStr">
        <is>
          <t>Restricted farm loss to be applied to the second prior year</t>
        </is>
      </c>
      <c r="GBX8" t="inlineStr">
        <is>
          <t>Restricted farm loss to be applied to the first prior year</t>
        </is>
      </c>
      <c r="GBY8" t="inlineStr">
        <is>
          <t>Amount of 2018 reserve for dispositions of QFFP to your child after 2009, and before April 21, 2015 and all other dispositions of QFFP after 2014 and before April 21, 2015</t>
        </is>
      </c>
      <c r="GBZ8" t="inlineStr">
        <is>
          <t>Amount of 2019 reserve for dispositions of QFFP to your child after 2010, and before April 21, 2015, and all other dispositions of QFFP after 2015 and before April 21, 2015</t>
        </is>
      </c>
      <c r="GCA8" t="inlineStr">
        <is>
          <t>Amount of 2018 reserve for dispositions of QFFP after April 20, 2015</t>
        </is>
      </c>
      <c r="GCB8" t="inlineStr">
        <is>
          <t>Amount of 2019 reserve for dispositions of QFFP after April 20, 2015</t>
        </is>
      </c>
      <c r="GCC8" t="inlineStr">
        <is>
          <t>Amount of the most recent reserve claimed on line 66840</t>
        </is>
      </c>
      <c r="GCD8" t="inlineStr">
        <is>
          <t>Amount of 2019 reserve for dispositions of QSBCS to your child after 2010, and all other dispositions of QSBCS after 2015</t>
        </is>
      </c>
      <c r="GCE8" t="inlineStr">
        <is>
          <t>Amount of 2018 reserve for dispositions of QSBCS to your child after 2009, and all other dispositions of QSBCS after 2014</t>
        </is>
      </c>
      <c r="GCF8" t="inlineStr">
        <is>
          <t>Amount of the most recent reserve claimed on line 66850</t>
        </is>
      </c>
      <c r="GCG8" t="inlineStr">
        <is>
          <t>Amount of 2018 reserve for dispositions to your child after 2009, of family farm or fishing property other than QFFP and of shares of capital stock of a small business corporation other than QSBCS</t>
        </is>
      </c>
      <c r="GCH8" t="inlineStr">
        <is>
          <t>Amount of 2019 reserve for dispositions to your child after 2010, of family farm or fishing property other than QFFP and of shares of capital stock of a small business corporation other than QSBCS</t>
        </is>
      </c>
      <c r="GCI8" t="inlineStr">
        <is>
          <t>Amount of 2018 reserve for dispositions of property after 2014, other than dispositions listed on lines 66815, 66843, 66883, and 66910</t>
        </is>
      </c>
      <c r="GCJ8" t="inlineStr">
        <is>
          <t>Amount of 2019 reserve for dispositions of property after 2015, other than dispositions listed on lines 66840, 66844, 66850, and 66920</t>
        </is>
      </c>
      <c r="GCK8" t="inlineStr">
        <is>
          <t>Amount of 2018 reserve for dispositions before November 13, 1981</t>
        </is>
      </c>
      <c r="GCL8" t="inlineStr">
        <is>
          <t>Total capital reserves</t>
        </is>
      </c>
      <c r="GCM8" t="inlineStr">
        <is>
          <t>ITC for total qualified expenditures for SR&amp;ED</t>
        </is>
      </c>
      <c r="GCN8" t="inlineStr">
        <is>
          <t>80% of total contributions made to agricultural organizations for SR&amp;ED</t>
        </is>
      </c>
      <c r="GCO8" t="inlineStr">
        <is>
          <t>ITC allocated from a partnership for SR&amp;ED</t>
        </is>
      </c>
      <c r="GCP8" t="inlineStr">
        <is>
          <t>ITC for total investments in qualified property</t>
        </is>
      </c>
      <c r="GCQ8" t="inlineStr">
        <is>
          <t>Total flow-through mining expenditures</t>
        </is>
      </c>
      <c r="GCR8" t="inlineStr">
        <is>
          <t>Total apprenticeship job creation tax credit</t>
        </is>
      </c>
      <c r="GCS8" t="inlineStr">
        <is>
          <t>ITC for child care spaces</t>
        </is>
      </c>
      <c r="GCT8" t="inlineStr">
        <is>
          <t>Amount of expenditure on which ITC is recaptured at 15%</t>
        </is>
      </c>
      <c r="GCU8" t="inlineStr">
        <is>
          <t>Amount of expenditure on which ITC is recaptured at 20%</t>
        </is>
      </c>
      <c r="GCV8" t="inlineStr">
        <is>
          <t>Total recapture of ITC for child care spaces</t>
        </is>
      </c>
      <c r="GCW8" t="inlineStr">
        <is>
          <t>Amount of carryback to the third previous year</t>
        </is>
      </c>
      <c r="GCX8" t="inlineStr">
        <is>
          <t>Amount of carryback to the second previous year</t>
        </is>
      </c>
      <c r="GCY8" t="inlineStr">
        <is>
          <t>Amount of carryback to the first previous year</t>
        </is>
      </c>
      <c r="GCZ8" t="inlineStr">
        <is>
          <t>Maximum residency amount for residents of prescribed northern zones</t>
        </is>
      </c>
      <c r="GDA8" t="inlineStr">
        <is>
          <t>Non-taxable benefits for board and lodging at a special work site in a prescribed northern zone</t>
        </is>
      </c>
      <c r="GDB8" t="inlineStr">
        <is>
          <t>Maximum residency amount for residents of prescribed intermediate zones</t>
        </is>
      </c>
      <c r="GDC8" t="inlineStr">
        <is>
          <t>Non-taxable benefits for board and lodging at a special work site in a prescribed intermediate zone</t>
        </is>
      </c>
      <c r="GDD8" t="inlineStr">
        <is>
          <t>Total travel amount for trips from a prescribed northern zone</t>
        </is>
      </c>
      <c r="GDE8" t="inlineStr">
        <is>
          <t>Total travel amount for trips from a prescribed intermediate zone</t>
        </is>
      </c>
      <c r="GDF8" t="inlineStr">
        <is>
          <t>Claim for tax shelter loss or deduction</t>
        </is>
      </c>
      <c r="GDG8" t="inlineStr">
        <is>
          <t>Amount of loss created or increased by CCA and carrying charges on certified film property</t>
        </is>
      </c>
      <c r="GDH8" t="inlineStr">
        <is>
          <t>Amount of loss created or increased by CCA and carrying charges on rental and leasing property</t>
        </is>
      </c>
      <c r="GDI8" t="inlineStr">
        <is>
          <t>Losses, amounts deductible and carrying charges for tax shelters, limited partnership, and non-active partners</t>
        </is>
      </c>
      <c r="GDJ8" t="inlineStr">
        <is>
          <t>Total of all resource expenditures, depletion allowances, and carrying charges for resource property and flow-through shares</t>
        </is>
      </c>
      <c r="GDK8" t="inlineStr">
        <is>
          <t>Certain capital gains from graduated rate estates</t>
        </is>
      </c>
      <c r="GDL8" t="inlineStr">
        <is>
          <t>Part of total capital gains that is exempt from Canadian tax under a tax treaty</t>
        </is>
      </c>
      <c r="GDM8" t="inlineStr">
        <is>
          <t>Capital gains on gifts of property to qualified donees</t>
        </is>
      </c>
      <c r="GDN8" t="inlineStr">
        <is>
          <t>Security options deductions under paragraph 110(1)(d)</t>
        </is>
      </c>
      <c r="GDO8" t="inlineStr">
        <is>
          <t>Gifts of securities acquired under a security option plan</t>
        </is>
      </c>
      <c r="GDP8" t="inlineStr">
        <is>
          <t>Other security options deductions included on line 24900</t>
        </is>
      </c>
      <c r="GDQ8" t="inlineStr">
        <is>
          <t>Limited partnership losses incurred in prior years that are tax shelters</t>
        </is>
      </c>
      <c r="GDR8" t="inlineStr">
        <is>
          <t>Federal tax payable under alternative minimum tax</t>
        </is>
      </c>
      <c r="GDS8" t="inlineStr">
        <is>
          <t>Total child care expenses paid in the year</t>
        </is>
      </c>
      <c r="GDT8" t="inlineStr">
        <is>
          <t>Child care expenses incurred for a child age 6 or younger</t>
        </is>
      </c>
      <c r="GDU8" t="inlineStr">
        <is>
          <t>Basic limit for eligible children born in the current tax year or earlier for whom the disability amount can be claimed</t>
        </is>
      </c>
      <c r="GDV8" t="inlineStr">
        <is>
          <t>Part C – Child care expenses paid by the other person with lower net income</t>
        </is>
      </c>
      <c r="GDW8" t="inlineStr">
        <is>
          <t>Part D – Child care expenses paid while enrolled in an educational program</t>
        </is>
      </c>
      <c r="GDX8" t="inlineStr">
        <is>
          <t>Total eligible pensions or superannuation, annuity and RRSP/RRIF payments (including life income fund) received</t>
        </is>
      </c>
      <c r="GDY8" t="inlineStr">
        <is>
          <t>Veteran’s benefits on T4A slips eligible for pension income splitting</t>
        </is>
      </c>
      <c r="GDZ8" t="inlineStr">
        <is>
          <t>Distributions on T4A-RCA slips eligible for pension income splitting</t>
        </is>
      </c>
      <c r="GEA8" t="inlineStr">
        <is>
          <t>Number of months married or living common-law in the current tax year</t>
        </is>
      </c>
      <c r="GEB8" t="inlineStr">
        <is>
          <t>Total tax deducted from the transferring spouse’s or common-law partner’s pension income</t>
        </is>
      </c>
      <c r="GEC8" t="inlineStr">
        <is>
          <t>Tax deducted for the elected split-pension amount</t>
        </is>
      </c>
      <c r="GED8" t="inlineStr">
        <is>
          <t>Any other investment expenses claimed in the current tax year to earn property income</t>
        </is>
      </c>
      <c r="GEE8" t="inlineStr">
        <is>
          <t>Any other property income reported in the current tax year</t>
        </is>
      </c>
      <c r="GEF8" t="inlineStr">
        <is>
          <t>50% of income from the recovery of exploration and development expenses</t>
        </is>
      </c>
      <c r="GEG8" t="inlineStr">
        <is>
          <t>Capital gains from T3 slips</t>
        </is>
      </c>
      <c r="GEH8" t="inlineStr">
        <is>
          <t>Non-eligible capital gains from T3 slips</t>
        </is>
      </c>
      <c r="GEI8" t="inlineStr">
        <is>
          <t>Special tax for Quebec LSVCC</t>
        </is>
      </c>
      <c r="GEJ8" t="inlineStr">
        <is>
          <t>Excess employees profit-sharing plan amounts</t>
        </is>
      </c>
      <c r="GEK8" t="inlineStr">
        <is>
          <t>Proceeds from disposition of publicly traded shares, other shares and mutual fund units</t>
        </is>
      </c>
      <c r="GEL8" t="inlineStr">
        <is>
          <t>Gains eligible for 0% inclusion rate from the disposition of publicly traded shares, other shares and mutual funds units</t>
        </is>
      </c>
      <c r="GEM8" t="inlineStr">
        <is>
          <t>Proceeds from disposition of bonds, debentures, promissory notes, and other properties (including ecologically sensitive land)</t>
        </is>
      </c>
      <c r="GEN8" t="inlineStr">
        <is>
          <t>Gains eligible for 0% inclusion rate from the disposition of bonds, debentures, promissory notes, and other properties (including ecologically sensitive land)</t>
        </is>
      </c>
      <c r="GEO8" t="inlineStr">
        <is>
          <t>Total of all accumulated income payments</t>
        </is>
      </c>
      <c r="GEP8" t="inlineStr">
        <is>
          <t>Total of all accumulated income payments</t>
        </is>
      </c>
      <c r="GEQ8" t="inlineStr">
        <is>
          <t>Taxable amount of dividends (eligible and other than eligible) from taxable Canadian corporations</t>
        </is>
      </c>
      <c r="GER8" t="inlineStr">
        <is>
          <t>Taxable amount of dividends other than eligible dividends, included on line 68330, from taxable Canadian corporations</t>
        </is>
      </c>
      <c r="GES8" t="inlineStr">
        <is>
          <t>Total split income</t>
        </is>
      </c>
      <c r="GET8" t="inlineStr">
        <is>
          <t>Split income from foreign sources</t>
        </is>
      </c>
      <c r="GEU8" t="inlineStr">
        <is>
          <t>Total income from foreign sources</t>
        </is>
      </c>
      <c r="GEV8" t="inlineStr">
        <is>
          <t>Current-year credit available</t>
        </is>
      </c>
      <c r="GEW8" t="inlineStr">
        <is>
          <t>Mining flow-through share tax credit</t>
        </is>
      </c>
      <c r="GEX8" t="inlineStr">
        <is>
          <t>Amount to carry back to the first prior year</t>
        </is>
      </c>
      <c r="GEY8" t="inlineStr">
        <is>
          <t>Amount to carry back to the second prior year</t>
        </is>
      </c>
      <c r="GEZ8" t="inlineStr">
        <is>
          <t>Amount to carry back to the third prior year</t>
        </is>
      </c>
      <c r="GFA8" t="inlineStr">
        <is>
          <t>Current year tax credit available</t>
        </is>
      </c>
      <c r="GFB8" s="87" t="inlineStr">
        <is>
          <t>Tax Year Filed</t>
        </is>
      </c>
      <c r="GFC8" t="inlineStr">
        <is>
          <t>Taxing Province</t>
        </is>
      </c>
      <c r="GFD8" t="inlineStr">
        <is>
          <t>Marital Status</t>
        </is>
      </c>
      <c r="GFE8" t="inlineStr">
        <is>
          <t>Balance before penalty and interest</t>
        </is>
      </c>
      <c r="GFF8" t="inlineStr">
        <is>
          <t>Balance before penalty and interest</t>
        </is>
      </c>
      <c r="GFG8" t="inlineStr">
        <is>
          <t>Final balance</t>
        </is>
      </c>
      <c r="GFH8" t="inlineStr">
        <is>
          <t>Basic federal tax</t>
        </is>
      </c>
      <c r="GFI8" t="inlineStr">
        <is>
          <t>Basic provincial or territorial tax</t>
        </is>
      </c>
      <c r="GFJ8" t="inlineStr">
        <is>
          <t>Ontario Health Premium</t>
        </is>
      </c>
      <c r="GFK8" t="inlineStr">
        <is>
          <t>Employment income from T4 slips</t>
        </is>
      </c>
      <c r="GFL8" t="inlineStr">
        <is>
          <t>Commissions included on line 10100</t>
        </is>
      </c>
      <c r="GFM8" t="inlineStr">
        <is>
          <t>Wage-loss replacement contributions</t>
        </is>
      </c>
      <c r="GFN8" t="inlineStr">
        <is>
          <t>Other employment income</t>
        </is>
      </c>
      <c r="GFO8" t="inlineStr">
        <is>
          <t>Proceeds from disposition of qualified small business corporation shares</t>
        </is>
      </c>
      <c r="GFP8" t="inlineStr">
        <is>
          <t>Gain (or loss) from disposition of qualified small business corporation shares</t>
        </is>
      </c>
      <c r="GFQ8" t="inlineStr">
        <is>
          <t>Proceeds from disposition of qualified farm or fishing property</t>
        </is>
      </c>
      <c r="GFR8" t="inlineStr">
        <is>
          <t>Gain (or loss) from disposition of qualified farm or fishing property</t>
        </is>
      </c>
      <c r="GFS8" t="inlineStr">
        <is>
          <t>Old age security pension</t>
        </is>
      </c>
      <c r="GFT8" t="inlineStr">
        <is>
          <t>CPP or QPP benefits</t>
        </is>
      </c>
      <c r="GFU8" t="inlineStr">
        <is>
          <t>Other pensions and superannuation</t>
        </is>
      </c>
      <c r="GFV8" t="inlineStr">
        <is>
          <t>Elected split-pension amount</t>
        </is>
      </c>
      <c r="GFW8" t="inlineStr">
        <is>
          <t>Universal child care benefit (UCCB)</t>
        </is>
      </c>
      <c r="GFX8" t="inlineStr">
        <is>
          <t>Employment insurance and other benefits</t>
        </is>
      </c>
      <c r="GFY8" t="inlineStr">
        <is>
          <t>Taxable amount of dividends (eligible and other than eligible) from taxable Canadian corporations</t>
        </is>
      </c>
      <c r="GFZ8" t="inlineStr">
        <is>
          <t>Interest and other investment income</t>
        </is>
      </c>
      <c r="GGA8" t="inlineStr">
        <is>
          <t>Net partnership income: limited or non-active partners only</t>
        </is>
      </c>
      <c r="GGB8" t="inlineStr">
        <is>
          <t>Proceeds from disposition of mortgage foreclosures and conditional sales repossessions of a qualified farm or fishing property</t>
        </is>
      </c>
      <c r="GGC8" t="inlineStr">
        <is>
          <t>Gain (or loss) from disposition of mortgage foreclosures and conditional sales repossessions of a qualified farm or fishing property</t>
        </is>
      </c>
      <c r="GGD8" t="inlineStr">
        <is>
          <t>Registered disability savings plan (RDSP) income</t>
        </is>
      </c>
      <c r="GGE8" t="inlineStr">
        <is>
          <t>Net rental income (loss)</t>
        </is>
      </c>
      <c r="GGF8" t="inlineStr">
        <is>
          <t>Taxable capital gains (or net capital loss)</t>
        </is>
      </c>
      <c r="GGG8" t="inlineStr">
        <is>
          <t>Taxable amount of support payments received Registered retirement savings plan (RRSP) income Other income</t>
        </is>
      </c>
      <c r="GGH8" t="inlineStr">
        <is>
          <t>Registered retirement savings plan (RRSP) income</t>
        </is>
      </c>
      <c r="GGI8" t="inlineStr">
        <is>
          <t>Other income</t>
        </is>
      </c>
      <c r="GGJ8" t="inlineStr">
        <is>
          <t>Proceeds from disposition of publicly traded shares, mutual fund units, deferral of eligible small business corporation shares, and other shares</t>
        </is>
      </c>
      <c r="GGK8" t="inlineStr">
        <is>
          <t>Gain (or loss) from disposition of publicly traded shares, mutual fund units, deferral of eligible small business corporation shares, and other shares</t>
        </is>
      </c>
      <c r="GGL8" t="inlineStr">
        <is>
          <t>Net business income (loss)</t>
        </is>
      </c>
      <c r="GGM8" t="inlineStr">
        <is>
          <t>Proceeds from disposition of real estate, depreciable property, and other properties</t>
        </is>
      </c>
      <c r="GGN8" t="inlineStr">
        <is>
          <t>Net professional income (loss)</t>
        </is>
      </c>
      <c r="GGO8" t="inlineStr">
        <is>
          <t>Gain (or loss) from disposition of real estate, depreciable property, and other properties</t>
        </is>
      </c>
      <c r="GGP8" t="inlineStr">
        <is>
          <t>Net commission income (loss)</t>
        </is>
      </c>
      <c r="GGQ8" t="inlineStr">
        <is>
          <t>Net farming income (loss)</t>
        </is>
      </c>
      <c r="GGR8" t="inlineStr">
        <is>
          <t>Net fishing income (loss)</t>
        </is>
      </c>
      <c r="GGS8" t="inlineStr">
        <is>
          <t>Workers’ compensation benefits</t>
        </is>
      </c>
      <c r="GGT8" t="inlineStr">
        <is>
          <t>Social assistance payments</t>
        </is>
      </c>
      <c r="GGU8" t="inlineStr">
        <is>
          <t>Net federal supplements</t>
        </is>
      </c>
      <c r="GGV8" t="inlineStr">
        <is>
          <t>Total income</t>
        </is>
      </c>
      <c r="GGW8" t="inlineStr">
        <is>
          <t>Proceeds from disposition of bonds, debentures, promissory notes, and other similar properties</t>
        </is>
      </c>
      <c r="GGX8" t="inlineStr">
        <is>
          <t>Disability benefits included on line 11400</t>
        </is>
      </c>
      <c r="GGY8" t="inlineStr">
        <is>
          <t>Gain (or loss) from disposition of bonds, debentures, promissory notes, and other similar properties Proceeds from disposition of other mortgage foreclosures and conditional sales repossessions</t>
        </is>
      </c>
      <c r="GGZ8" t="inlineStr">
        <is>
          <t>Proceeds from disposition of other mortgage foreclosures and conditional sales repossessions</t>
        </is>
      </c>
      <c r="GHA8" t="inlineStr">
        <is>
          <t>Gain (or loss) from disposition of other mortgage foreclosures and conditional sales repossessions</t>
        </is>
      </c>
      <c r="GHB8" t="inlineStr">
        <is>
          <t>Total support payments received</t>
        </is>
      </c>
      <c r="GHC8" t="inlineStr">
        <is>
          <t>Gain from disposition of personal-use property</t>
        </is>
      </c>
      <c r="GHD8" t="inlineStr">
        <is>
          <t>Net gain from disposition of listed personal property Capital gains deferral from qualifying dispositions of eligible small business corporation shares</t>
        </is>
      </c>
      <c r="GHE8" t="inlineStr">
        <is>
          <t>Gross rental income</t>
        </is>
      </c>
      <c r="GHF8" t="inlineStr">
        <is>
          <t>Capital gains deferral from qualifying dispositions of eligible small business corporation shares</t>
        </is>
      </c>
      <c r="GHG8" t="inlineStr">
        <is>
          <t>Gross business income</t>
        </is>
      </c>
      <c r="GHH8" t="inlineStr">
        <is>
          <t>Gross professional income</t>
        </is>
      </c>
      <c r="GHI8" t="inlineStr">
        <is>
          <t>Gross commission income</t>
        </is>
      </c>
      <c r="GHJ8" t="inlineStr">
        <is>
          <t>Gross farming income</t>
        </is>
      </c>
      <c r="GHK8" t="inlineStr">
        <is>
          <t>Gross fishing income</t>
        </is>
      </c>
      <c r="GHL8" t="inlineStr">
        <is>
          <t>T5, T5013, and T4PS information slips – Capital gains (or losses)</t>
        </is>
      </c>
      <c r="GHM8" t="inlineStr">
        <is>
          <t>T3 information slips – Capital gains (or losses)</t>
        </is>
      </c>
      <c r="GHN8" t="inlineStr">
        <is>
          <t>Capital loss from a reduction in the business investment loss</t>
        </is>
      </c>
      <c r="GHO8" t="inlineStr">
        <is>
          <t>Principal residence designation</t>
        </is>
      </c>
      <c r="GHP8" t="inlineStr">
        <is>
          <t>Taxable amount of dividends other than eligible dividends, included on line 12000, from taxable Canadian corporations</t>
        </is>
      </c>
      <c r="GHQ8" t="inlineStr">
        <is>
          <t>UCCB amount designated to a dependant</t>
        </is>
      </c>
      <c r="GHR8" t="inlineStr">
        <is>
          <t>Pooled registered pension plan (PRPP) employer contributions</t>
        </is>
      </c>
      <c r="GHS8" t="inlineStr">
        <is>
          <t>Pension adjustment</t>
        </is>
      </c>
      <c r="GHT8" t="inlineStr">
        <is>
          <t>Registered pension plan deduction</t>
        </is>
      </c>
      <c r="GHU8" t="inlineStr">
        <is>
          <t>RRSP deduction</t>
        </is>
      </c>
      <c r="GHV8" t="inlineStr">
        <is>
          <t>Deduction for elected split-pension amount</t>
        </is>
      </c>
      <c r="GHW8" t="inlineStr">
        <is>
          <t>Annual union, professional, or like dues</t>
        </is>
      </c>
      <c r="GHX8" t="inlineStr">
        <is>
          <t>Universal child care benefit repayment</t>
        </is>
      </c>
      <c r="GHY8" t="inlineStr">
        <is>
          <t>Child care expenses</t>
        </is>
      </c>
      <c r="GHZ8" t="inlineStr">
        <is>
          <t>Disability supports deduction</t>
        </is>
      </c>
      <c r="GIA8" t="inlineStr">
        <is>
          <t>Allowable business investment loss deduction</t>
        </is>
      </c>
      <c r="GIB8" t="inlineStr">
        <is>
          <t>Moving expenses</t>
        </is>
      </c>
      <c r="GIC8" t="inlineStr">
        <is>
          <t>Allowable deduction for support payments made</t>
        </is>
      </c>
      <c r="GID8" t="inlineStr">
        <is>
          <t>Carrying charges and interest expenses</t>
        </is>
      </c>
      <c r="GIE8" t="inlineStr">
        <is>
          <t>Deduction for CPP or QPP contributions on self-employment and other earnings</t>
        </is>
      </c>
      <c r="GIF8" t="inlineStr">
        <is>
          <t>Deduction for PPIP premiums on self-employment income</t>
        </is>
      </c>
      <c r="GIG8" t="inlineStr">
        <is>
          <t>Exploration and development expenses</t>
        </is>
      </c>
      <c r="GIH8" t="inlineStr">
        <is>
          <t>Gross business investment loss</t>
        </is>
      </c>
      <c r="GII8" t="inlineStr">
        <is>
          <t>Other employment expenses</t>
        </is>
      </c>
      <c r="GIJ8" t="inlineStr">
        <is>
          <t>Total support payments made</t>
        </is>
      </c>
      <c r="GIK8" t="inlineStr">
        <is>
          <t>Clergy residence deduction</t>
        </is>
      </c>
      <c r="GIL8" t="inlineStr">
        <is>
          <t>Other deductions</t>
        </is>
      </c>
      <c r="GIM8" t="inlineStr">
        <is>
          <t>Social benefits repayment</t>
        </is>
      </c>
      <c r="GIN8" t="inlineStr">
        <is>
          <t>Net income</t>
        </is>
      </c>
      <c r="GIO8" t="inlineStr">
        <is>
          <t>Transfers to an RRSP/PRPP/SPP</t>
        </is>
      </c>
      <c r="GIP8" t="inlineStr">
        <is>
          <t>Canadian Forces personnel and police deduction</t>
        </is>
      </c>
      <c r="GIQ8" t="inlineStr">
        <is>
          <t>Total RRSP, SPP, and PRPP contributions from March 2, 2019 to March 2, 2020</t>
        </is>
      </c>
      <c r="GIR8" t="inlineStr">
        <is>
          <t>Contributions designated as a repayment under the Home Buyers’ Plan</t>
        </is>
      </c>
      <c r="GIS8" t="inlineStr">
        <is>
          <t>Current year withdrawals for the HBP on T4RSP slips</t>
        </is>
      </c>
      <c r="GIT8" t="inlineStr">
        <is>
          <t>Security options deductions</t>
        </is>
      </c>
      <c r="GIU8" t="inlineStr">
        <is>
          <t>Other payments deduction</t>
        </is>
      </c>
      <c r="GIV8" t="inlineStr">
        <is>
          <t>Limited partnership losses of other years</t>
        </is>
      </c>
      <c r="GIW8" t="inlineStr">
        <is>
          <t>Non-capital losses of other years</t>
        </is>
      </c>
      <c r="GIX8" t="inlineStr">
        <is>
          <t>Net capital losses of other years</t>
        </is>
      </c>
      <c r="GIY8" t="inlineStr">
        <is>
          <t>Capital gains deduction</t>
        </is>
      </c>
      <c r="GIZ8" t="inlineStr">
        <is>
          <t>Northern residents deductions</t>
        </is>
      </c>
      <c r="GJA8" t="inlineStr">
        <is>
          <t>Additional deductions</t>
        </is>
      </c>
      <c r="GJB8" t="inlineStr">
        <is>
          <t>Address of home purchased under the HBP is the same as on page 1 of return</t>
        </is>
      </c>
      <c r="GJC8" t="inlineStr">
        <is>
          <t>Taxable income</t>
        </is>
      </c>
      <c r="GJD8" t="inlineStr">
        <is>
          <t>Contributions designated as a repayment under the Lifelong Learning Plan</t>
        </is>
      </c>
      <c r="GJE8" t="inlineStr">
        <is>
          <t>Current year withdrawals for the LLP on T4RSP slips</t>
        </is>
      </c>
      <c r="GJF8" t="inlineStr">
        <is>
          <t>Designation of the spouse or common-law partner as the student for whom the funds were withdrawn under the LLP</t>
        </is>
      </c>
      <c r="GJG8" t="inlineStr">
        <is>
          <t>Foreign property held in the current tax year with a total cost of more than CAN$100,000</t>
        </is>
      </c>
      <c r="GJH8" t="inlineStr">
        <is>
          <t>Current year contributions to an amateur athlete trust</t>
        </is>
      </c>
      <c r="GJI8" t="inlineStr">
        <is>
          <t>Basic personal amount</t>
        </is>
      </c>
      <c r="GJJ8" t="inlineStr">
        <is>
          <t>Age amount</t>
        </is>
      </c>
      <c r="GJK8" t="inlineStr">
        <is>
          <t>Spouse or common-law partner amount</t>
        </is>
      </c>
      <c r="GJL8" t="inlineStr">
        <is>
          <t>Canada caregiver amount for spouse or common-law partner, or eligible dependant age 18 or older</t>
        </is>
      </c>
      <c r="GJM8" t="inlineStr">
        <is>
          <t>Amount for an eligible dependant</t>
        </is>
      </c>
      <c r="GJN8" t="inlineStr">
        <is>
          <t>Canada caregiver amount for other infirm dependants age 18 or older</t>
        </is>
      </c>
      <c r="GJO8" t="inlineStr">
        <is>
          <t>CPP contributions</t>
        </is>
      </c>
      <c r="GJP8" t="inlineStr">
        <is>
          <t>CPP contributions on self-employment and other earnings</t>
        </is>
      </c>
      <c r="GJQ8" t="inlineStr">
        <is>
          <t>Employment insurance premiums</t>
        </is>
      </c>
      <c r="GJR8" t="inlineStr">
        <is>
          <t>Adoption expenses</t>
        </is>
      </c>
      <c r="GJS8" t="inlineStr">
        <is>
          <t>Pension income amount</t>
        </is>
      </c>
      <c r="GJT8" t="inlineStr">
        <is>
          <t>Disability amount (for self)</t>
        </is>
      </c>
      <c r="GJU8" t="inlineStr">
        <is>
          <t>Employment insurance premiums on self-employment and other eligible earnings</t>
        </is>
      </c>
      <c r="GJV8" t="inlineStr">
        <is>
          <t>Disability amount transferred from a dependant Interest paid on your student loans</t>
        </is>
      </c>
      <c r="GJW8" t="inlineStr">
        <is>
          <t>Interest paid on your student loans</t>
        </is>
      </c>
      <c r="GJX8" t="inlineStr">
        <is>
          <t>Eligible tuition fees paid to Canadian educational institutions for the current tax year</t>
        </is>
      </c>
      <c r="GJY8" t="inlineStr">
        <is>
          <t>Your tuition, education, and textbook amounts</t>
        </is>
      </c>
      <c r="GJZ8" t="inlineStr">
        <is>
          <t>Tuition amount transferred from a child</t>
        </is>
      </c>
      <c r="GKA8" t="inlineStr">
        <is>
          <t>Number of months enrolled as a part-time student</t>
        </is>
      </c>
      <c r="GKB8" t="inlineStr">
        <is>
          <t>Amounts transferred from your spouse or common-law partner</t>
        </is>
      </c>
      <c r="GKC8" t="inlineStr">
        <is>
          <t>Federal tuition amount transferred</t>
        </is>
      </c>
      <c r="GKD8" t="inlineStr">
        <is>
          <t>Number of months enrolled as a full-time student</t>
        </is>
      </c>
      <c r="GKE8" t="inlineStr">
        <is>
          <t>Donations made to government bodies</t>
        </is>
      </c>
      <c r="GKF8" t="inlineStr">
        <is>
          <t>Medical expenses for self, spouse or common-law partner, and dependent children under 18 years of age</t>
        </is>
      </c>
      <c r="GKG8" t="inlineStr">
        <is>
          <t>Allowable amount of medical expenses for other dependants</t>
        </is>
      </c>
      <c r="GKH8" t="inlineStr">
        <is>
          <t>Allowable amount of medical expenses</t>
        </is>
      </c>
      <c r="GKI8" t="inlineStr">
        <is>
          <t>Donations made to registered universities outside Canada</t>
        </is>
      </c>
      <c r="GKJ8" t="inlineStr">
        <is>
          <t>Donations made to the United Nations, its agencies, and certain registered foreign charitable organizations</t>
        </is>
      </c>
      <c r="GKK8" t="inlineStr">
        <is>
          <t>Gifts of depreciable property</t>
        </is>
      </c>
      <c r="GKL8" t="inlineStr">
        <is>
          <t>Non-refundable tax credits before donations and gifts</t>
        </is>
      </c>
      <c r="GKM8" t="inlineStr">
        <is>
          <t>Gifts of capital property</t>
        </is>
      </c>
      <c r="GKN8" t="inlineStr">
        <is>
          <t>Allowable charitable donations</t>
        </is>
      </c>
      <c r="GKO8" t="inlineStr">
        <is>
          <t>Eligible amount of cultural and ecological gifts</t>
        </is>
      </c>
      <c r="GKP8" t="inlineStr">
        <is>
          <t>Not enrolled full-time due to effects of impairment Number of months enrolled as a part-time student Number of months enrolled as a full-time student</t>
        </is>
      </c>
      <c r="GKQ8" t="inlineStr">
        <is>
          <t>Donations and gifts</t>
        </is>
      </c>
      <c r="GKR8" t="inlineStr">
        <is>
          <t>Total federal non-refundable tax credits</t>
        </is>
      </c>
      <c r="GKS8" t="inlineStr">
        <is>
          <t>Spouse’s or common-law partner’s adjusted taxable income</t>
        </is>
      </c>
      <c r="GKT8" t="inlineStr">
        <is>
          <t>Number of children for whom you are claiming the Canada caregiver amount for infirm children under 18 years of age</t>
        </is>
      </c>
      <c r="GKU8" t="inlineStr">
        <is>
          <t>Spouse’s or common-law partner’s age amount</t>
        </is>
      </c>
      <c r="GKV8" t="inlineStr">
        <is>
          <t>Total of donations made before 2016</t>
        </is>
      </c>
      <c r="GKW8" t="inlineStr">
        <is>
          <t>Spouse’s or common-law partner’s pension income amount</t>
        </is>
      </c>
      <c r="GKX8" t="inlineStr">
        <is>
          <t>Spouse’s or common-law partner’s disability amount</t>
        </is>
      </c>
      <c r="GKY8" t="inlineStr">
        <is>
          <t>Tuition amount designated by your spouse or common-law partner</t>
        </is>
      </c>
      <c r="GKZ8" t="inlineStr">
        <is>
          <t>Spouse’s or common-law partner’s Canada caregiver amount for infirm children under 18 years of age</t>
        </is>
      </c>
      <c r="GLA8" t="inlineStr">
        <is>
          <t>Volunteer firefighters’ amount</t>
        </is>
      </c>
      <c r="GLB8" t="inlineStr">
        <is>
          <t>Canada employment amount Home buyers’ amount</t>
        </is>
      </c>
      <c r="GLC8" t="inlineStr">
        <is>
          <t>Canada caregiver amount for infirm children under 18 years of age</t>
        </is>
      </c>
      <c r="GLD8" t="inlineStr">
        <is>
          <t>Home buyers’ amount</t>
        </is>
      </c>
      <c r="GLE8" t="inlineStr">
        <is>
          <t>Net business income/Pensionable net self-employment earnings</t>
        </is>
      </c>
      <c r="GLF8" t="inlineStr">
        <is>
          <t>Effective date of the electing to stop contributing to CPP on self-employment earnings</t>
        </is>
      </c>
      <c r="GLG8" t="inlineStr">
        <is>
          <t>Employment earnings not shown on a T4 slip on which you elect to pay additional CPP contributions/Income on which you wish to make optional contributions</t>
        </is>
      </c>
      <c r="GLH8" t="inlineStr">
        <is>
          <t>Effective date to revoke an election made in a prior year to stop contributing to CPP on self-employment earnings</t>
        </is>
      </c>
      <c r="GLI8" t="inlineStr">
        <is>
          <t>PPIP premiums paid</t>
        </is>
      </c>
      <c r="GLJ8" t="inlineStr">
        <is>
          <t>PPIP premiums payable on employment income</t>
        </is>
      </c>
      <c r="GLK8" t="inlineStr">
        <is>
          <t>PPIP premiums payable on self-employment income</t>
        </is>
      </c>
      <c r="GLL8" t="inlineStr">
        <is>
          <t>Do you have an eligible dependant?</t>
        </is>
      </c>
      <c r="GLM8" t="inlineStr">
        <is>
          <t>Do you have an eligible spouse?</t>
        </is>
      </c>
      <c r="GLN8" t="inlineStr">
        <is>
          <t>Taxable part of scholarship income reported at line 130</t>
        </is>
      </c>
      <c r="GLO8" t="inlineStr">
        <is>
          <t>Eligible spouse’s taxable part of scholarship and grant income</t>
        </is>
      </c>
      <c r="GLP8" t="inlineStr">
        <is>
          <t>Tax-exempt part of working income earned on a reserve or an allowance received as an emergency volunteer</t>
        </is>
      </c>
      <c r="GLQ8" t="inlineStr">
        <is>
          <t>Eligible spouse’s tax-exempt part of working income earned on a reserve or an allowance received as an emergency volunteer</t>
        </is>
      </c>
      <c r="GLR8" t="inlineStr">
        <is>
          <t>Eligible spouse’s working income</t>
        </is>
      </c>
      <c r="GLS8" t="inlineStr">
        <is>
          <t>Tax-exempt part of all income earned or received on a reserve less the deductions related to that income or an allowance received as an emergency volunteer</t>
        </is>
      </c>
      <c r="GLT8" t="inlineStr">
        <is>
          <t>Eligible spouse’s tax-exempt part of all income earned or received on a reserve less the deductions related to that income or an allowance received as an emergency volunteer</t>
        </is>
      </c>
      <c r="GLU8" t="inlineStr">
        <is>
          <t>Eligible spouse’s adjusted net income</t>
        </is>
      </c>
      <c r="GLV8" t="inlineStr">
        <is>
          <t>Are you eligible for the CWB/WITB?</t>
        </is>
      </c>
      <c r="GLW8" t="inlineStr">
        <is>
          <t>Are you eligible for the disability tax credit?</t>
        </is>
      </c>
      <c r="GLX8" t="inlineStr">
        <is>
          <t>Is your eligible spouse eligible for the disability tax credit for themselves?</t>
        </is>
      </c>
      <c r="GLY8" t="inlineStr">
        <is>
          <t>Search and rescue volunteers’ amount</t>
        </is>
      </c>
      <c r="GLZ8" t="inlineStr">
        <is>
          <t>Home accessibility expenses</t>
        </is>
      </c>
      <c r="GMA8" t="inlineStr">
        <is>
          <t>Employment earnings shown on a T4 slip on which you elect to pay additional CPP contributions</t>
        </is>
      </c>
      <c r="GMB8" t="inlineStr">
        <is>
          <t>Federal tax</t>
        </is>
      </c>
      <c r="GMC8" t="inlineStr">
        <is>
          <t>Total federal political contributions</t>
        </is>
      </c>
      <c r="GMD8" t="inlineStr">
        <is>
          <t>Federal political contribution tax credit</t>
        </is>
      </c>
      <c r="GME8" t="inlineStr">
        <is>
          <t>Investment tax credit</t>
        </is>
      </c>
      <c r="GMF8" t="inlineStr">
        <is>
          <t>Labour-sponsored funds tax credit – Net cost</t>
        </is>
      </c>
      <c r="GMG8" t="inlineStr">
        <is>
          <t>Labour-sponsored funds tax credit – Allowable credit</t>
        </is>
      </c>
      <c r="GMH8" t="inlineStr">
        <is>
          <t>Canada workers benefit advance payments received</t>
        </is>
      </c>
      <c r="GMI8" t="inlineStr">
        <is>
          <t>Net federal tax before inclusion of CWB advance payments and special taxes</t>
        </is>
      </c>
      <c r="GMJ8" t="inlineStr">
        <is>
          <t>Special taxes</t>
        </is>
      </c>
      <c r="GMK8" t="inlineStr">
        <is>
          <t>Net Federal Tax</t>
        </is>
      </c>
      <c r="GML8" t="inlineStr">
        <is>
          <t>Federal tax on split income</t>
        </is>
      </c>
      <c r="GMM8" t="inlineStr">
        <is>
          <t>Federal dividend tax credit</t>
        </is>
      </c>
      <c r="GMN8" t="inlineStr">
        <is>
          <t>Minimum tax carry-over</t>
        </is>
      </c>
      <c r="GMO8" t="inlineStr">
        <is>
          <t>Provincial or territorial tax</t>
        </is>
      </c>
      <c r="GMP8" t="inlineStr">
        <is>
          <t>Non-business income tax paid to a foreign country</t>
        </is>
      </c>
      <c r="GMQ8" t="inlineStr">
        <is>
          <t>Yukon First Nations tax</t>
        </is>
      </c>
      <c r="GMR8" t="inlineStr">
        <is>
          <t>Net foreign non-business income</t>
        </is>
      </c>
      <c r="GMS8" t="inlineStr">
        <is>
          <t>Business income tax paid to a foreign country</t>
        </is>
      </c>
      <c r="GMT8" t="inlineStr">
        <is>
          <t>Total payable</t>
        </is>
      </c>
      <c r="GMU8" t="inlineStr">
        <is>
          <t>Total income tax deducted</t>
        </is>
      </c>
      <c r="GMV8" t="inlineStr">
        <is>
          <t>Tax transfer for residents of Quebec</t>
        </is>
      </c>
      <c r="GMW8" t="inlineStr">
        <is>
          <t>Net foreign business income</t>
        </is>
      </c>
      <c r="GMX8" t="inlineStr">
        <is>
          <t>Refundable Quebec abatement</t>
        </is>
      </c>
      <c r="GMY8" t="inlineStr">
        <is>
          <t>Federal refundable First Nations abatement</t>
        </is>
      </c>
      <c r="GMZ8" t="inlineStr">
        <is>
          <t>CPP overpayment</t>
        </is>
      </c>
      <c r="GNA8" t="inlineStr">
        <is>
          <t>Climate action incentive</t>
        </is>
      </c>
      <c r="GNB8" t="inlineStr">
        <is>
          <t>Employment insurance overpayment</t>
        </is>
      </c>
      <c r="GNC8" t="inlineStr">
        <is>
          <t>Refundable medical expense supplement</t>
        </is>
      </c>
      <c r="GND8" t="inlineStr">
        <is>
          <t>Canada workers benefit (Working income tax benefit)</t>
        </is>
      </c>
      <c r="GNE8" t="inlineStr">
        <is>
          <t>Refund of investment tax credit</t>
        </is>
      </c>
      <c r="GNF8" t="inlineStr">
        <is>
          <t>Part XII.2 trust tax credit</t>
        </is>
      </c>
      <c r="GNG8" t="inlineStr">
        <is>
          <t>Employee and partner GST/HST rebate</t>
        </is>
      </c>
      <c r="GNH8" t="inlineStr">
        <is>
          <t>Direct deposit – Branch number</t>
        </is>
      </c>
      <c r="GNI8" t="inlineStr">
        <is>
          <t>Direct deposit – Institution number</t>
        </is>
      </c>
      <c r="GNJ8" t="inlineStr">
        <is>
          <t>Direct deposit – Account number</t>
        </is>
      </c>
      <c r="GNK8" t="inlineStr">
        <is>
          <t>Donation to the Ontario opportunities fund</t>
        </is>
      </c>
      <c r="GNL8" t="inlineStr">
        <is>
          <t>Net refund</t>
        </is>
      </c>
      <c r="GNM8" t="inlineStr">
        <is>
          <t>Supplies expenses for eligible educator school supply tax credit</t>
        </is>
      </c>
      <c r="GNN8" t="inlineStr">
        <is>
          <t>Eligible educator school supply tax credit</t>
        </is>
      </c>
      <c r="GNO8" t="inlineStr">
        <is>
          <t>Tax paid by instalments</t>
        </is>
      </c>
      <c r="GNP8" t="inlineStr">
        <is>
          <t>Provincial or territorial credits</t>
        </is>
      </c>
      <c r="GNQ8" t="inlineStr">
        <is>
          <t>Refund</t>
        </is>
      </c>
      <c r="GNR8" t="inlineStr">
        <is>
          <t>Balance owing</t>
        </is>
      </c>
      <c r="GNS8" t="inlineStr">
        <is>
          <t>Amount enclosed</t>
        </is>
      </c>
      <c r="GNT8" t="inlineStr">
        <is>
          <t>Volunteer program</t>
        </is>
      </c>
      <c r="GNU8" t="inlineStr">
        <is>
          <t>Refund transfer</t>
        </is>
      </c>
      <c r="GNV8" t="inlineStr">
        <is>
          <t>Tax preparer code</t>
        </is>
      </c>
      <c r="GNW8" t="inlineStr">
        <is>
          <t>EI and PPIP premiums (non-Quebec return)</t>
        </is>
      </c>
      <c r="GNX8" t="inlineStr">
        <is>
          <t>Total PPIP premiums</t>
        </is>
      </c>
      <c r="GNY8" t="inlineStr">
        <is>
          <t>Total EI premiums</t>
        </is>
      </c>
      <c r="GNZ8" t="inlineStr">
        <is>
          <t>PPIP indicator</t>
        </is>
      </c>
      <c r="GOA8" t="inlineStr">
        <is>
          <t>QPP contributions</t>
        </is>
      </c>
      <c r="GOB8" t="inlineStr">
        <is>
          <t>QPP contributions on self-employment and other earnings</t>
        </is>
      </c>
      <c r="GOC8" t="inlineStr">
        <is>
          <t>Actual total contributions on QPP pensionable earnings</t>
        </is>
      </c>
      <c r="GOD8" t="inlineStr">
        <is>
          <t>Actual total contributions on CPP pensionable earnings</t>
        </is>
      </c>
      <c r="GOE8" t="inlineStr">
        <is>
          <t>Capital gains at 100%</t>
        </is>
      </c>
      <c r="GOF8" t="inlineStr">
        <is>
          <t>Dependant’s net income (line 23600 of his or her return)</t>
        </is>
      </c>
      <c r="GOG8" t="inlineStr">
        <is>
          <t>Canada caregiver amount for spouse or common-law partner</t>
        </is>
      </c>
      <c r="GOH8" t="inlineStr">
        <is>
          <t>Canada caregiver amount for a dependant (other than an infirm child under 18 year of age)</t>
        </is>
      </c>
      <c r="GOI8" t="inlineStr">
        <is>
          <t>Total number of dependants</t>
        </is>
      </c>
      <c r="GOJ8" t="inlineStr">
        <is>
          <t>Number of full weeks in attendance at a designated educational institution or secondary school</t>
        </is>
      </c>
      <c r="GOK8" t="inlineStr">
        <is>
          <t>Earnings for services performed in Canada on which the foreign social security contributions were made</t>
        </is>
      </c>
      <c r="GOL8" t="inlineStr">
        <is>
          <t>Amount contributed to a foreign social security arrangement</t>
        </is>
      </c>
      <c r="GOM8" t="inlineStr">
        <is>
          <t>Allowable non-refundable tax credit for contributions to a foreign social security arrangement</t>
        </is>
      </c>
      <c r="GON8" t="inlineStr">
        <is>
          <t>Contributions to a foreign employer-sponsored pension plan</t>
        </is>
      </c>
      <c r="GOO8" t="inlineStr">
        <is>
          <t>Resident compensation from employment services</t>
        </is>
      </c>
      <c r="GOP8" t="inlineStr">
        <is>
          <t>Pension adjustment from a U.S. retirement plan/Prescribed amount from a U.S. retirement plan/Pension adjustment from a foreign employer-sponsored pension plan</t>
        </is>
      </c>
      <c r="GOQ8" t="inlineStr">
        <is>
          <t>Contributions to a U.S. retirement plan</t>
        </is>
      </c>
      <c r="GOR8" t="inlineStr">
        <is>
          <t>Contributions to a U.S. retirement plan</t>
        </is>
      </c>
      <c r="GOS8" t="inlineStr">
        <is>
          <t>Spouse’s or common-law partner’s capital gains from mortgage foreclosures and conditional sales repossessions</t>
        </is>
      </c>
      <c r="GOT8" t="inlineStr">
        <is>
          <t>Spouse’s or common-law partner’s net-income while the taxpayer is living in Canada</t>
        </is>
      </c>
      <c r="GOU8" t="inlineStr">
        <is>
          <t>Spouse’s or common-law partner’s net-income while the taxpayer is living outside of Canada</t>
        </is>
      </c>
      <c r="GOV8" t="inlineStr">
        <is>
          <t>Net foreign non-business income from the first foreign country</t>
        </is>
      </c>
      <c r="GOW8" t="inlineStr">
        <is>
          <t>Net foreign non-business income from the second foreign country</t>
        </is>
      </c>
      <c r="GOX8" t="inlineStr">
        <is>
          <t>Net foreign non-business income from the third foreign country</t>
        </is>
      </c>
      <c r="GOY8" t="inlineStr">
        <is>
          <t>Business income tax paid to the first foreign country</t>
        </is>
      </c>
      <c r="GOZ8" t="inlineStr">
        <is>
          <t>Non-business income tax paid to first foreign country</t>
        </is>
      </c>
      <c r="GPA8" t="inlineStr">
        <is>
          <t>Non-business income tax paid to second foreign country</t>
        </is>
      </c>
      <c r="GPB8" t="inlineStr">
        <is>
          <t>Non-business income tax paid to third foreign country</t>
        </is>
      </c>
      <c r="GPC8" t="inlineStr">
        <is>
          <t>Net business income from the first foreign country</t>
        </is>
      </c>
      <c r="GPD8" t="inlineStr">
        <is>
          <t>Net business income from the second foreign country</t>
        </is>
      </c>
      <c r="GPE8" t="inlineStr">
        <is>
          <t>Net business income from the third foreign country</t>
        </is>
      </c>
      <c r="GPF8" t="inlineStr">
        <is>
          <t>Business income tax paid to the second foreign country</t>
        </is>
      </c>
      <c r="GPG8" t="inlineStr">
        <is>
          <t>Business income tax paid to the third foreign country</t>
        </is>
      </c>
      <c r="GPH8" t="inlineStr">
        <is>
          <t>Vow of perpetual poverty</t>
        </is>
      </c>
      <c r="GPI8" t="inlineStr">
        <is>
          <t>Canadian sourced non-resident income, excluding the income subject to Part XIII tax</t>
        </is>
      </c>
      <c r="GPJ8" t="inlineStr">
        <is>
          <t>Canadian sourced non-resident income subject to Part XIII tax plus foreign sourced non-resident income</t>
        </is>
      </c>
      <c r="GPK8" t="inlineStr">
        <is>
          <t>BC logging tax paid</t>
        </is>
      </c>
      <c r="GPL8" t="inlineStr">
        <is>
          <t>QC logging tax paid</t>
        </is>
      </c>
      <c r="GPM8" t="inlineStr">
        <is>
          <t>Total QPP pensionable earnings</t>
        </is>
      </c>
      <c r="GPN8" t="inlineStr">
        <is>
          <t>Total CPP pensionable earnings</t>
        </is>
      </c>
      <c r="GPO8" t="inlineStr">
        <is>
          <t>Indicator for filing due date for tax shelter, or inactive or active business income</t>
        </is>
      </c>
      <c r="GPP8" t="inlineStr">
        <is>
          <t>BC logging income</t>
        </is>
      </c>
      <c r="GPQ8" t="inlineStr">
        <is>
          <t>CCA on certified film property</t>
        </is>
      </c>
      <c r="GPR8" t="inlineStr">
        <is>
          <t>Ineligible pension income</t>
        </is>
      </c>
      <c r="GPS8" t="inlineStr">
        <is>
          <t>Income with tax withheld supported by information slips</t>
        </is>
      </c>
      <c r="GPT8" t="inlineStr">
        <is>
          <t>T4 earning reduction</t>
        </is>
      </c>
      <c r="GPU8" t="inlineStr">
        <is>
          <t>Quebec tax deducted (from slips in the taxpayer's name)</t>
        </is>
      </c>
      <c r="GPV8" t="inlineStr">
        <is>
          <t>Income on which Quebec tax was withheld (from slips in the taxpayer's name)</t>
        </is>
      </c>
      <c r="GPW8" t="inlineStr">
        <is>
          <t>Amount of OAS pension repaid</t>
        </is>
      </c>
      <c r="GPX8" t="inlineStr">
        <is>
          <t>Limited partnership loss carryforward from 1986 and 1987</t>
        </is>
      </c>
      <c r="GPY8" t="inlineStr">
        <is>
          <t>Limited partnership loss available for carryforward</t>
        </is>
      </c>
      <c r="GPZ8" t="inlineStr">
        <is>
          <t>Amount of self-employment net earnings reported at self-employed lines in relation to T4 self-employment on which EI premiums through employment were deducted</t>
        </is>
      </c>
      <c r="GQA8" t="inlineStr">
        <is>
          <t>Shareholder's loan repayment</t>
        </is>
      </c>
      <c r="GQB8" t="inlineStr">
        <is>
          <t>QC logging income</t>
        </is>
      </c>
      <c r="GQC8" t="inlineStr">
        <is>
          <t>Spouse's or common-law partner's total split income</t>
        </is>
      </c>
      <c r="GQD8" t="inlineStr">
        <is>
          <t>Net business income (amount from line 27 of Schedule L of the Quebec provincial income tax return)</t>
        </is>
      </c>
      <c r="GQE8" t="inlineStr">
        <is>
          <t>Employment income where the province or territory of employment is other than Quebec</t>
        </is>
      </c>
      <c r="GQF8" t="inlineStr">
        <is>
          <t>PPIP insurable earnings</t>
        </is>
      </c>
      <c r="GQG8" t="inlineStr">
        <is>
          <t>Shareholder earnings</t>
        </is>
      </c>
      <c r="GQH8" t="inlineStr">
        <is>
          <t>Tax-exempt self-employment income earned by a status indian</t>
        </is>
      </c>
      <c r="GQI8" t="inlineStr">
        <is>
          <t>Taxable income from the post-bankruptcy period</t>
        </is>
      </c>
      <c r="GQJ8" t="inlineStr">
        <is>
          <t>EI insurable earnings</t>
        </is>
      </c>
      <c r="GQK8" t="inlineStr">
        <is>
          <t>EI and other benefits repaid</t>
        </is>
      </c>
      <c r="GQL8" t="inlineStr">
        <is>
          <t>Farm/fish loss</t>
        </is>
      </c>
      <c r="GQM8" t="inlineStr">
        <is>
          <t>Total section 31 farm loss</t>
        </is>
      </c>
      <c r="GQN8" t="inlineStr">
        <is>
          <t>Restricted farm loss</t>
        </is>
      </c>
      <c r="GQO8" t="inlineStr">
        <is>
          <t>RRSP earned income calculation</t>
        </is>
      </c>
      <c r="GQP8" t="inlineStr">
        <is>
          <t>Home Buyers' Plan (HBP) participant repayment amount</t>
        </is>
      </c>
      <c r="GQQ8" t="inlineStr">
        <is>
          <t>Lifelong Learning Plan (LLP) participant repayment amount</t>
        </is>
      </c>
      <c r="GQR8" t="inlineStr">
        <is>
          <t>Indicator for marital status change</t>
        </is>
      </c>
      <c r="GQS8" t="inlineStr">
        <is>
          <t>Spousal indicator</t>
        </is>
      </c>
      <c r="GQT8" t="inlineStr">
        <is>
          <t>Marital status change indicator for the amount for an eligible dependant</t>
        </is>
      </c>
      <c r="GQU8" t="inlineStr">
        <is>
          <t>Earned income adjustment amount</t>
        </is>
      </c>
      <c r="GQV8" t="inlineStr">
        <is>
          <t>Net self-employment income (loss) adjustment amount</t>
        </is>
      </c>
      <c r="GQW8" t="inlineStr">
        <is>
          <t>RDSP repayment by taxpayer</t>
        </is>
      </c>
      <c r="GQX8" t="inlineStr">
        <is>
          <t>RDSP income of spouse or common-law partner</t>
        </is>
      </c>
      <c r="GQY8" t="inlineStr">
        <is>
          <t>RDSP repayment by spouse or common-law partner</t>
        </is>
      </c>
      <c r="GQZ8" t="inlineStr">
        <is>
          <t>Number of months of retirement</t>
        </is>
      </c>
      <c r="GRA8" t="inlineStr">
        <is>
          <t>Number of months of disability</t>
        </is>
      </c>
      <c r="GRB8" t="inlineStr">
        <is>
          <t>CPP/QPP retirement benefits</t>
        </is>
      </c>
      <c r="GRC8" t="inlineStr">
        <is>
          <t>Basic personal amount</t>
        </is>
      </c>
      <c r="GRD8" t="inlineStr">
        <is>
          <t>Age amount</t>
        </is>
      </c>
      <c r="GRE8" t="inlineStr">
        <is>
          <t>Spousal or common-law law partner amount</t>
        </is>
      </c>
      <c r="GRF8" t="inlineStr">
        <is>
          <t>Amount for an eligible dependant</t>
        </is>
      </c>
      <c r="GRG8" t="inlineStr">
        <is>
          <t>Caregiver amount for spouse or common-law partner, or eligible dependant age 18 or older</t>
        </is>
      </c>
      <c r="GRH8" t="inlineStr">
        <is>
          <t>British Columbia caregiver amount</t>
        </is>
      </c>
      <c r="GRI8" t="inlineStr">
        <is>
          <t>Caregiver amount for infirm dependants age 18 or older</t>
        </is>
      </c>
      <c r="GRJ8" t="inlineStr">
        <is>
          <t>Ontario caregiver amount</t>
        </is>
      </c>
      <c r="GRK8" t="inlineStr">
        <is>
          <t>Caregiver amount for infirm children under 18 years of age</t>
        </is>
      </c>
      <c r="GRL8" t="inlineStr">
        <is>
          <t>Amount for infirm dependants age 18 or older</t>
        </is>
      </c>
      <c r="GRM8" t="inlineStr">
        <is>
          <t>Number of children</t>
        </is>
      </c>
      <c r="GRN8" t="inlineStr">
        <is>
          <t>Amount for dependent children age 18 or younger</t>
        </is>
      </c>
      <c r="GRO8" t="inlineStr">
        <is>
          <t>Senior supplementary amount</t>
        </is>
      </c>
      <c r="GRP8" t="inlineStr">
        <is>
          <t>Number of months being claimed for all qualifying children</t>
        </is>
      </c>
      <c r="GRQ8" t="inlineStr">
        <is>
          <t>Amount for young children</t>
        </is>
      </c>
      <c r="GRR8" t="inlineStr">
        <is>
          <t>CPP or QPP contributions</t>
        </is>
      </c>
      <c r="GRS8" t="inlineStr">
        <is>
          <t>CPP or QPP contributions on self-employment and other earnings</t>
        </is>
      </c>
      <c r="GRT8" t="inlineStr">
        <is>
          <t>Employment insurance premiums</t>
        </is>
      </c>
      <c r="GRU8" t="inlineStr">
        <is>
          <t>Employment insurance premiums on self-employment and other eligible earnings</t>
        </is>
      </c>
      <c r="GRV8" t="inlineStr">
        <is>
          <t>Canada employment amount</t>
        </is>
      </c>
      <c r="GRW8" t="inlineStr">
        <is>
          <t>Volunteer firefighters’ amount</t>
        </is>
      </c>
      <c r="GRX8" t="inlineStr">
        <is>
          <t>Search and rescue volunteers’ amount</t>
        </is>
      </c>
      <c r="GRY8" t="inlineStr">
        <is>
          <t>Child care amount</t>
        </is>
      </c>
      <c r="GRZ8" t="inlineStr">
        <is>
          <t>Fitness amount</t>
        </is>
      </c>
      <c r="GSA8" t="inlineStr">
        <is>
          <t>Children’s arts amount</t>
        </is>
      </c>
      <c r="GSB8" t="inlineStr">
        <is>
          <t>Adoption expenses</t>
        </is>
      </c>
      <c r="GSC8" t="inlineStr">
        <is>
          <t>First-time home buyers’ amount</t>
        </is>
      </c>
      <c r="GSD8" t="inlineStr">
        <is>
          <t>Pension income amount</t>
        </is>
      </c>
      <c r="GSE8" t="inlineStr">
        <is>
          <t>Caregiver amount</t>
        </is>
      </c>
      <c r="GSF8" t="inlineStr">
        <is>
          <t>Disability amount (for self)</t>
        </is>
      </c>
      <c r="GSG8" t="inlineStr">
        <is>
          <t>Disability amount transferred from a dependant</t>
        </is>
      </c>
      <c r="GSH8" t="inlineStr">
        <is>
          <t>Teacher school supply amount</t>
        </is>
      </c>
      <c r="GSI8" t="inlineStr">
        <is>
          <t>Interest paid on your student loans</t>
        </is>
      </c>
      <c r="GSJ8" t="inlineStr">
        <is>
          <t>Your tuition and education amounts</t>
        </is>
      </c>
      <c r="GSK8" t="inlineStr">
        <is>
          <t>Your unused tuition and education amounts</t>
        </is>
      </c>
      <c r="GSL8" t="inlineStr">
        <is>
          <t>Your tuition, education, and textbook amounts</t>
        </is>
      </c>
      <c r="GSM8" t="inlineStr">
        <is>
          <t>Tuition and education amounts transferred from a child</t>
        </is>
      </c>
      <c r="GSN8" t="inlineStr">
        <is>
          <t>Tuition amounts transferred from a child NB428</t>
        </is>
      </c>
      <c r="GSO8" t="inlineStr">
        <is>
          <t>Tuition, education, and textbook amounts transferred from a child</t>
        </is>
      </c>
      <c r="GSP8" t="inlineStr">
        <is>
          <t>Amounts transferred from your spouse or common-law partner</t>
        </is>
      </c>
      <c r="GSQ8" t="inlineStr">
        <is>
          <t>Medical expenses for self, spouse or common-law partner, and your dependent children under 18 years of age</t>
        </is>
      </c>
      <c r="GSR8" t="inlineStr">
        <is>
          <t>Allowable amount of medical expenses for other dependants</t>
        </is>
      </c>
      <c r="GSS8" t="inlineStr">
        <is>
          <t>Total tax-exempt employment earnings</t>
        </is>
      </c>
      <c r="GST8" t="inlineStr">
        <is>
          <t>Allowable amount of medical expenses</t>
        </is>
      </c>
      <c r="GSU8" t="inlineStr">
        <is>
          <t>Add lines 58040 to 58640 (and line 61470 for MB) and line 58769</t>
        </is>
      </c>
      <c r="GSV8" t="inlineStr">
        <is>
          <t>Total tax-exempt self-employment earnings and other tax-exempt earned income</t>
        </is>
      </c>
      <c r="GSW8" t="inlineStr">
        <is>
          <t>Total eligible PRPP contributions from tax-exempt income</t>
        </is>
      </c>
      <c r="GSX8" t="inlineStr">
        <is>
          <t>PRPP contributions from tax-exempt income designated as a repayment under the HBP</t>
        </is>
      </c>
      <c r="GSY8" t="inlineStr">
        <is>
          <t>Provincial or territorial non-refundable tax credits before donations and gifts</t>
        </is>
      </c>
      <c r="GSZ8" t="inlineStr">
        <is>
          <t>Non-refundable tax credits before donations and gifts and the farmers’ food donation tax credit</t>
        </is>
      </c>
      <c r="GTA8" t="inlineStr">
        <is>
          <t>Donations and gifts</t>
        </is>
      </c>
      <c r="GTB8" t="inlineStr">
        <is>
          <t>PRPP contributions from tax-exempt income designated as a repayment under the LLP</t>
        </is>
      </c>
      <c r="GTC8" t="inlineStr">
        <is>
          <t>BC farmers’ food donation tax credit</t>
        </is>
      </c>
      <c r="GTD8" t="inlineStr">
        <is>
          <t>Spouse’s or common-law partner’s amount for young children less than 6 years of age</t>
        </is>
      </c>
      <c r="GTE8" t="inlineStr">
        <is>
          <t>Spouse’s or common-law partner’s amount for dependent children age 18 or younger</t>
        </is>
      </c>
      <c r="GTF8" t="inlineStr">
        <is>
          <t>Spouse’s or common-law partner’s age amount</t>
        </is>
      </c>
      <c r="GTG8" t="inlineStr">
        <is>
          <t>Spouse’s or common-law partner’s senior supplementary amount</t>
        </is>
      </c>
      <c r="GTH8" t="inlineStr">
        <is>
          <t>Spouse’s or common-law partner’s provincial/territorial caregiver amount for infirm children under 18 years of age</t>
        </is>
      </c>
      <c r="GTI8" t="inlineStr">
        <is>
          <t>Spouse’s or common-law partner’s pension income amount</t>
        </is>
      </c>
      <c r="GTJ8" t="inlineStr">
        <is>
          <t>Spouse’s or common-law partner’s disability amount</t>
        </is>
      </c>
      <c r="GTK8" t="inlineStr">
        <is>
          <t>Tuition and education amounts designated by your spouse or common-law partner</t>
        </is>
      </c>
      <c r="GTL8" t="inlineStr">
        <is>
          <t>Tuition amounts designated by your spouse or common-law partner</t>
        </is>
      </c>
      <c r="GTM8" t="inlineStr">
        <is>
          <t>Tuition, education, and textbook amounts designated by your spouse or common-law partner</t>
        </is>
      </c>
      <c r="GTN8" t="inlineStr">
        <is>
          <t>Spouse’s or common-law partner’s adjusted taxable income</t>
        </is>
      </c>
      <c r="GTO8" t="inlineStr">
        <is>
          <t>Eligible tuition fees paid for the current tax year</t>
        </is>
      </c>
      <c r="GTP8" t="inlineStr">
        <is>
          <t>Part-time education amount</t>
        </is>
      </c>
      <c r="GTQ8" t="inlineStr">
        <is>
          <t>Part-time education and textbook amounts</t>
        </is>
      </c>
      <c r="GTR8" t="inlineStr">
        <is>
          <t>Full-time education amount</t>
        </is>
      </c>
      <c r="GTS8" t="inlineStr">
        <is>
          <t>Full-time education and textbook amounts</t>
        </is>
      </c>
      <c r="GTT8" t="inlineStr">
        <is>
          <t>Provincial amount transferred</t>
        </is>
      </c>
      <c r="GTU8" t="inlineStr">
        <is>
          <t>Territorial amount transferred</t>
        </is>
      </c>
      <c r="GTV8" t="inlineStr">
        <is>
          <t>Provincial tuition amount transferred</t>
        </is>
      </c>
      <c r="GTW8" t="inlineStr">
        <is>
          <t>Territorial tuition amount transferred</t>
        </is>
      </c>
      <c r="GTX8" t="inlineStr">
        <is>
          <t>Amount for infirm dependants age 18 or older</t>
        </is>
      </c>
      <c r="GTY8" t="inlineStr">
        <is>
          <t>Caregiver amount</t>
        </is>
      </c>
      <c r="GTZ8" t="inlineStr">
        <is>
          <t>Disability amount (for self)</t>
        </is>
      </c>
      <c r="GUA8" t="inlineStr">
        <is>
          <t>Disability amount transferred from a dependant</t>
        </is>
      </c>
      <c r="GUB8" t="inlineStr">
        <is>
          <t>Amounts transferred from your spouse or common-law partner</t>
        </is>
      </c>
      <c r="GUC8" t="inlineStr">
        <is>
          <t>Allowable amount of medical expenses for other dependants</t>
        </is>
      </c>
      <c r="GUD8" t="inlineStr">
        <is>
          <t>Disability amount (for self)</t>
        </is>
      </c>
      <c r="GUE8" t="inlineStr">
        <is>
          <t>Disability amount transferred from a dependant</t>
        </is>
      </c>
      <c r="GUF8" t="inlineStr">
        <is>
          <t>Total provincial amounts designated to you by a student</t>
        </is>
      </c>
      <c r="GUG8" t="inlineStr">
        <is>
          <t>Amounts transferred from your spouse or common-law partner</t>
        </is>
      </c>
      <c r="GUH8" t="inlineStr">
        <is>
          <t>Allowable amount of medical expenses for other dependants</t>
        </is>
      </c>
      <c r="GUI8" t="inlineStr">
        <is>
          <t>Program type from the current tax year</t>
        </is>
      </c>
      <c r="GUJ8" t="inlineStr">
        <is>
          <t>Eligible tuition fees paid</t>
        </is>
      </c>
      <c r="GUK8" t="inlineStr">
        <is>
          <t>“Eligibility Maximum” from the current tax year</t>
        </is>
      </c>
      <c r="GUL8" t="inlineStr">
        <is>
          <t>Program type from the current tax year</t>
        </is>
      </c>
      <c r="GUM8" t="inlineStr">
        <is>
          <t>Eligible tuition fees paid</t>
        </is>
      </c>
      <c r="GUN8" t="inlineStr">
        <is>
          <t>Eligibility Maximum from the current tax year</t>
        </is>
      </c>
      <c r="GUO8" t="inlineStr">
        <is>
          <t>Program type from the current tax year</t>
        </is>
      </c>
      <c r="GUP8" t="inlineStr">
        <is>
          <t>Eligible tuition fees paid</t>
        </is>
      </c>
      <c r="GUQ8" t="inlineStr">
        <is>
          <t>Eligibility Maximum from the current tax year</t>
        </is>
      </c>
      <c r="GUR8" t="inlineStr">
        <is>
          <t>AB political contributions tax credit</t>
        </is>
      </c>
      <c r="GUS8" t="inlineStr">
        <is>
          <t>Investor tax credit – Current tax year</t>
        </is>
      </c>
      <c r="GUT8" t="inlineStr">
        <is>
          <t>Climate action incentive – Basic amount</t>
        </is>
      </c>
      <c r="GUU8" t="inlineStr">
        <is>
          <t>Climate action incentive – Amount for an eligible spouse or common-law partner</t>
        </is>
      </c>
      <c r="GUV8" t="inlineStr">
        <is>
          <t>Climate action incentive – Amount for a single parent’s qualified dependant</t>
        </is>
      </c>
      <c r="GUW8" t="inlineStr">
        <is>
          <t>Climate action incentive – Number of qualified dependants</t>
        </is>
      </c>
      <c r="GUX8" t="inlineStr">
        <is>
          <t>Climate action incentive – Do you reside outside of a census metropolitan area on December 31 of the tax year, as defined by Statistics Canada?</t>
        </is>
      </c>
      <c r="GUY8" t="inlineStr">
        <is>
          <t>Basic sales tax credit</t>
        </is>
      </c>
      <c r="GUZ8" t="inlineStr">
        <is>
          <t>Additional sales tax credit for spouse or common-law partner</t>
        </is>
      </c>
      <c r="GVA8" t="inlineStr">
        <is>
          <t>Home renovation expenses</t>
        </is>
      </c>
      <c r="GVB8" t="inlineStr">
        <is>
          <t>BC political contribution tax credit</t>
        </is>
      </c>
      <c r="GVC8" t="inlineStr">
        <is>
          <t>Employee share ownership plan tax credit</t>
        </is>
      </c>
      <c r="GVD8" t="inlineStr">
        <is>
          <t>Employee venture capital tax credit</t>
        </is>
      </c>
      <c r="GVE8" t="inlineStr">
        <is>
          <t>Home renovation expenses for seniors and persons with disabilities</t>
        </is>
      </c>
      <c r="GVF8" t="inlineStr">
        <is>
          <t>Venture capital tax credit – Current tax year</t>
        </is>
      </c>
      <c r="GVG8" t="inlineStr">
        <is>
          <t>Venture capital tax credit – First 60 days subsequent to the current tax year</t>
        </is>
      </c>
      <c r="GVH8" t="inlineStr">
        <is>
          <t>Mining exploration tax credit</t>
        </is>
      </c>
      <c r="GVI8" t="inlineStr">
        <is>
          <t>Mining exploration tax credit allocated from a partnership</t>
        </is>
      </c>
      <c r="GVJ8" t="inlineStr">
        <is>
          <t>Training tax credit (Individuals)</t>
        </is>
      </c>
      <c r="GVK8" t="inlineStr">
        <is>
          <t>Training tax credit (Employers)</t>
        </is>
      </c>
      <c r="GVL8" t="inlineStr">
        <is>
          <t>Shipbuilding and ship repair industry tax credit</t>
        </is>
      </c>
      <c r="GVM8" t="inlineStr">
        <is>
          <t>Age amount for spouse or common-law partner</t>
        </is>
      </c>
      <c r="GVN8" t="inlineStr">
        <is>
          <t>Disability amount for spouse or common-law partner</t>
        </is>
      </c>
      <c r="GVO8" t="inlineStr">
        <is>
          <t>Number of disability claims for self or a dependant other than your spouse or common-law partner</t>
        </is>
      </c>
      <c r="GVP8" t="inlineStr">
        <is>
          <t>Number of disabled dependants 18 years of age or older</t>
        </is>
      </c>
      <c r="GVQ8" t="inlineStr">
        <is>
          <t>Number of dependent children 18 years of age or younger</t>
        </is>
      </c>
      <c r="GVR8" t="inlineStr">
        <is>
          <t>Labour-sponsored funds tax credit</t>
        </is>
      </c>
      <c r="GVS8" t="inlineStr">
        <is>
          <t>Community enterprise development tax credit claimed</t>
        </is>
      </c>
      <c r="GVT8" t="inlineStr">
        <is>
          <t>Community enterprise development tax credit amount from Slip T2CEDTC (MAN.)</t>
        </is>
      </c>
      <c r="GVU8" t="inlineStr">
        <is>
          <t>Small business venture capital tax credit claimed</t>
        </is>
      </c>
      <c r="GVV8" t="inlineStr">
        <is>
          <t>Credit amount from Slip T2SBVCTC (MAN.)</t>
        </is>
      </c>
      <c r="GVW8" t="inlineStr">
        <is>
          <t>Employee share purchase tax credit claimed</t>
        </is>
      </c>
      <c r="GVX8" t="inlineStr">
        <is>
          <t>Involuntary separation indicator</t>
        </is>
      </c>
      <c r="GVY8" t="inlineStr">
        <is>
          <t>Basic, age, and disability credits for spouse or common-law partner</t>
        </is>
      </c>
      <c r="GVZ8" t="inlineStr">
        <is>
          <t>Mineral exploration tax credit claimed</t>
        </is>
      </c>
      <c r="GWA8" t="inlineStr">
        <is>
          <t>Total credit amounts from ESOP receipt(s)</t>
        </is>
      </c>
      <c r="GWB8" t="inlineStr">
        <is>
          <t>Number of disability claims for self or for a dependant other than your spouse or common-law partner</t>
        </is>
      </c>
      <c r="GWC8" t="inlineStr">
        <is>
          <t>Number of dependent children 18 years of age or younger</t>
        </is>
      </c>
      <c r="GWD8" t="inlineStr">
        <is>
          <t>Number of disabled dependants 18 years of age or older</t>
        </is>
      </c>
      <c r="GWE8" t="inlineStr">
        <is>
          <t>Number dependants with a mental or physical infirmity</t>
        </is>
      </c>
      <c r="GWF8" t="inlineStr">
        <is>
          <t>Number of dependent children – Reduction for dependent children age 18 or younger</t>
        </is>
      </c>
      <c r="GWG8" t="inlineStr">
        <is>
          <t>Number of dependent children – Credit for dependent children age 18 or younger</t>
        </is>
      </c>
      <c r="GWH8" t="inlineStr">
        <is>
          <t>Application for the ON energy and property tax credit</t>
        </is>
      </c>
      <c r="GWI8" t="inlineStr">
        <is>
          <t>Application for the Northern ON energy credit</t>
        </is>
      </c>
      <c r="GWJ8" t="inlineStr">
        <is>
          <t>Total personal tax credits</t>
        </is>
      </c>
      <c r="GWK8" t="inlineStr">
        <is>
          <t>Choice for delayed single OTB payment</t>
        </is>
      </c>
      <c r="GWL8" t="inlineStr">
        <is>
          <t>Application for the ON senior homeowners’ property tax grant</t>
        </is>
      </c>
      <c r="GWM8" t="inlineStr">
        <is>
          <t>Involuntary separation indicator</t>
        </is>
      </c>
      <c r="GWN8" t="inlineStr">
        <is>
          <t>Total rent paid</t>
        </is>
      </c>
      <c r="GWO8" t="inlineStr">
        <is>
          <t>Total property tax paid</t>
        </is>
      </c>
      <c r="GWP8" t="inlineStr">
        <is>
          <t>School taxes paid</t>
        </is>
      </c>
      <c r="GWQ8" t="inlineStr">
        <is>
          <t>Education property tax credit advance received</t>
        </is>
      </c>
      <c r="GWR8" t="inlineStr">
        <is>
          <t>Residing in a designated student residence</t>
        </is>
      </c>
      <c r="GWS8" t="inlineStr">
        <is>
          <t>Occupancy cost</t>
        </is>
      </c>
      <c r="GWT8" t="inlineStr">
        <is>
          <t>Gross school taxes assessed</t>
        </is>
      </c>
      <c r="GWU8" t="inlineStr">
        <is>
          <t>Family income from the homeowners’ school tax credit table</t>
        </is>
      </c>
      <c r="GWV8" t="inlineStr">
        <is>
          <t>Total home energy costs for principal residence on a reserve</t>
        </is>
      </c>
      <c r="GWW8" t="inlineStr">
        <is>
          <t>School taxes assessed</t>
        </is>
      </c>
      <c r="GWX8" t="inlineStr">
        <is>
          <t>Total accommodation in a public long-term care home or non-profit long-term care home</t>
        </is>
      </c>
      <c r="GWY8" t="inlineStr">
        <is>
          <t>School tax credit for homeowners</t>
        </is>
      </c>
      <c r="GWZ8" t="inlineStr">
        <is>
          <t>Total rent assist benefits received</t>
        </is>
      </c>
      <c r="GXA8" t="inlineStr">
        <is>
          <t>Percentage of social assistance</t>
        </is>
      </c>
      <c r="GXB8" t="inlineStr">
        <is>
          <t>Primary caregiver tax credit</t>
        </is>
      </c>
      <c r="GXC8" t="inlineStr">
        <is>
          <t>Fertility treatment tax credit</t>
        </is>
      </c>
      <c r="GXD8" t="inlineStr">
        <is>
          <t>Paid work experience tax credit</t>
        </is>
      </c>
      <c r="GXE8" t="inlineStr">
        <is>
          <t>Odour-control tax credit</t>
        </is>
      </c>
      <c r="GXF8" t="inlineStr">
        <is>
          <t>Green energy equipment tax credit (purchaser)</t>
        </is>
      </c>
      <c r="GXG8" t="inlineStr">
        <is>
          <t>Green energy equipment tax credit (manufacturer)</t>
        </is>
      </c>
      <c r="GXH8" t="inlineStr">
        <is>
          <t>Book publishing tax credit</t>
        </is>
      </c>
      <c r="GXI8" t="inlineStr">
        <is>
          <t>Family tax benefit</t>
        </is>
      </c>
      <c r="GXJ8" t="inlineStr">
        <is>
          <t>Cultural industries printing tax credit</t>
        </is>
      </c>
      <c r="GXK8" t="inlineStr">
        <is>
          <t>Community enterprise development tax credit</t>
        </is>
      </c>
      <c r="GXL8" t="inlineStr">
        <is>
          <t>Employee share purchase tax credit</t>
        </is>
      </c>
      <c r="GXM8" t="inlineStr">
        <is>
          <t>Farm and small business capital gains tax credit</t>
        </is>
      </c>
      <c r="GXN8" t="inlineStr">
        <is>
          <t>Provincial or territorial non-refundable tax credits</t>
        </is>
      </c>
      <c r="GXO8" t="inlineStr">
        <is>
          <t>Provincial or territorial tax on split income</t>
        </is>
      </c>
      <c r="GXP8" t="inlineStr">
        <is>
          <t>Provincial or territorial dividend tax credit</t>
        </is>
      </c>
      <c r="GXQ8" t="inlineStr">
        <is>
          <t>Provincial or territorial minimum tax carryover</t>
        </is>
      </c>
      <c r="GXR8" t="inlineStr">
        <is>
          <t>NB political contribution tax credit</t>
        </is>
      </c>
      <c r="GXS8" t="inlineStr">
        <is>
          <t>Unused low-income tax reduction from spouse or common-law partner</t>
        </is>
      </c>
      <c r="GXT8" t="inlineStr">
        <is>
          <t>Basic low-income tax reduction</t>
        </is>
      </c>
      <c r="GXU8" t="inlineStr">
        <is>
          <t>Low-income tax reduction for spouse or common-law partner</t>
        </is>
      </c>
      <c r="GXV8" t="inlineStr">
        <is>
          <t>Low-income tax reduction for an eligible dependant claimed on 30400</t>
        </is>
      </c>
      <c r="GXW8" t="inlineStr">
        <is>
          <t>Labour-sponsored venture capital tax credit</t>
        </is>
      </c>
      <c r="GXX8" t="inlineStr">
        <is>
          <t>Small business investor tax credit</t>
        </is>
      </c>
      <c r="GXY8" t="inlineStr">
        <is>
          <t>Amount to carry back to the first prior year</t>
        </is>
      </c>
      <c r="GXZ8" t="inlineStr">
        <is>
          <t>Amount to carry back to the second prior year</t>
        </is>
      </c>
      <c r="GYA8" t="inlineStr">
        <is>
          <t>Amount to carry back to the third prior year</t>
        </is>
      </c>
      <c r="GYB8" t="inlineStr">
        <is>
          <t>Resort property investment tax credit</t>
        </is>
      </c>
      <c r="GYC8" t="inlineStr">
        <is>
          <t>NL political contribution tax credit</t>
        </is>
      </c>
      <c r="GYD8" t="inlineStr">
        <is>
          <t>Direct equity tax credit</t>
        </is>
      </c>
      <c r="GYE8" t="inlineStr">
        <is>
          <t>Amount to carry back to the first prior year</t>
        </is>
      </c>
      <c r="GYF8" t="inlineStr">
        <is>
          <t>Amount to carry back to the second prior year</t>
        </is>
      </c>
      <c r="GYG8" t="inlineStr">
        <is>
          <t>MB political contribution tax credit</t>
        </is>
      </c>
      <c r="GYH8" t="inlineStr">
        <is>
          <t>Amount to carry back to the third prior year</t>
        </is>
      </c>
      <c r="GYI8" t="inlineStr">
        <is>
          <t>Venture capital tax credit</t>
        </is>
      </c>
      <c r="GYJ8" t="inlineStr">
        <is>
          <t>Amount to carry back to the first prior year</t>
        </is>
      </c>
      <c r="GYK8" t="inlineStr">
        <is>
          <t>Amount to carry back to the second prior year</t>
        </is>
      </c>
      <c r="GYL8" t="inlineStr">
        <is>
          <t>Amount to carry back to the third prior year</t>
        </is>
      </c>
      <c r="GYM8" t="inlineStr">
        <is>
          <t>Unused low-income tax reduction from the spouse or common-law partner</t>
        </is>
      </c>
      <c r="GYN8" t="inlineStr">
        <is>
          <t>Basic low-income tax reduction</t>
        </is>
      </c>
      <c r="GYO8" t="inlineStr">
        <is>
          <t>Reduction for your spouse or common-law partner</t>
        </is>
      </c>
      <c r="GYP8" t="inlineStr">
        <is>
          <t>Reduction for an eligible dependant</t>
        </is>
      </c>
      <c r="GYQ8" t="inlineStr">
        <is>
          <t>Basic low-income tax reduction</t>
        </is>
      </c>
      <c r="GYR8" t="inlineStr">
        <is>
          <t>Low-income tax reduction for spouse or common-law partner</t>
        </is>
      </c>
      <c r="GYS8" t="inlineStr">
        <is>
          <t>Low-income tax reduction for an eligible dependant</t>
        </is>
      </c>
      <c r="GYT8" t="inlineStr">
        <is>
          <t>NS political contribution tax credit</t>
        </is>
      </c>
      <c r="GYU8" t="inlineStr">
        <is>
          <t>Food bank tax credit for farmers</t>
        </is>
      </c>
      <c r="GYV8" t="inlineStr">
        <is>
          <t>Community food program donation tax credit for farmers</t>
        </is>
      </c>
      <c r="GYW8" t="inlineStr">
        <is>
          <t>Labour-sponsored venture capital tax credit</t>
        </is>
      </c>
      <c r="GYX8" t="inlineStr">
        <is>
          <t>Equity tax credit</t>
        </is>
      </c>
      <c r="GYY8" t="inlineStr">
        <is>
          <t>Amount to carry back to the first prior year</t>
        </is>
      </c>
      <c r="GYZ8" t="inlineStr">
        <is>
          <t>Amount to carry back to the second prior year</t>
        </is>
      </c>
      <c r="GZA8" t="inlineStr">
        <is>
          <t>Amount to carry back to the third prior year</t>
        </is>
      </c>
      <c r="GZB8" t="inlineStr">
        <is>
          <t>Volunteer firefighters’ tax credit</t>
        </is>
      </c>
      <c r="GZC8" t="inlineStr">
        <is>
          <t>Volunteer firefighters and ground search and rescue tax credit</t>
        </is>
      </c>
      <c r="GZD8" t="inlineStr">
        <is>
          <t>Amount claimed for foreign income on 25600 of the return that is exempt under a tax treaty</t>
        </is>
      </c>
      <c r="GZE8" t="inlineStr">
        <is>
          <t>Basic cost of living tax credit for self</t>
        </is>
      </c>
      <c r="GZF8" t="inlineStr">
        <is>
          <t>Cost of living tax credit supplement for spouse or common-law partner</t>
        </is>
      </c>
      <c r="GZG8" t="inlineStr">
        <is>
          <t>The basic credit for self claimed by the spouse or common-law partner</t>
        </is>
      </c>
      <c r="GZH8" t="inlineStr">
        <is>
          <t>Cost of living tax credit supplement</t>
        </is>
      </c>
      <c r="GZI8" t="inlineStr">
        <is>
          <t>Northwest territories credit</t>
        </is>
      </c>
      <c r="GZJ8" t="inlineStr">
        <is>
          <t>NT political contribution tax credit</t>
        </is>
      </c>
      <c r="GZK8" t="inlineStr">
        <is>
          <t>Seniors’ public transit tax credit</t>
        </is>
      </c>
      <c r="GZL8" t="inlineStr">
        <is>
          <t>ON political contribution tax credit</t>
        </is>
      </c>
      <c r="GZM8" t="inlineStr">
        <is>
          <t>Focused flow-through share tax credit</t>
        </is>
      </c>
      <c r="GZN8" t="inlineStr">
        <is>
          <t>Tax credits for self-employed individuals – Apprenticeships</t>
        </is>
      </c>
      <c r="GZO8" t="inlineStr">
        <is>
          <t>Tax credits for self-employed individuals – Work placements</t>
        </is>
      </c>
      <c r="GZP8" t="inlineStr">
        <is>
          <t>Tax credits claimed as a member of a partnership</t>
        </is>
      </c>
      <c r="GZQ8" t="inlineStr">
        <is>
          <t>Business number</t>
        </is>
      </c>
      <c r="GZR8" t="inlineStr">
        <is>
          <t>Apprenticeship training tax credit</t>
        </is>
      </c>
      <c r="GZS8" t="inlineStr">
        <is>
          <t>Co-operative education tax credit</t>
        </is>
      </c>
      <c r="GZT8" t="inlineStr">
        <is>
          <t>Unused low-income tax reduction from spouse or common-law partner</t>
        </is>
      </c>
      <c r="GZU8" t="inlineStr">
        <is>
          <t>Basic low-income tax reduction</t>
        </is>
      </c>
      <c r="GZV8" t="inlineStr">
        <is>
          <t>Age reduction for self</t>
        </is>
      </c>
      <c r="GZW8" t="inlineStr">
        <is>
          <t>Low-income tax reduction for spouse or common-law partner</t>
        </is>
      </c>
      <c r="GZX8" t="inlineStr">
        <is>
          <t>Age reduction for spouse or common-law partner</t>
        </is>
      </c>
      <c r="GZY8" t="inlineStr">
        <is>
          <t>Low-income tax reduction for an eligible dependant</t>
        </is>
      </c>
      <c r="GZZ8" t="inlineStr">
        <is>
          <t>PE political contribution tax credit</t>
        </is>
      </c>
      <c r="HAA8" t="inlineStr">
        <is>
          <t>Basic and certification tax credits (level 1 and/or level 2 of a non-Red Seal programs)</t>
        </is>
      </c>
      <c r="HAB8" t="inlineStr">
        <is>
          <t>Completion and certification tax credit (level 3 of a Red Seal or non-Red Seal program)</t>
        </is>
      </c>
      <c r="HAC8" t="inlineStr">
        <is>
          <t>Completion and certification tax credit (level 4 of a Red Seal or non-Red Seal program)</t>
        </is>
      </c>
      <c r="HAD8" t="inlineStr">
        <is>
          <t>Enhanced tax credit</t>
        </is>
      </c>
      <c r="HAE8" t="inlineStr">
        <is>
          <t>Basic tax credit</t>
        </is>
      </c>
      <c r="HAF8" t="inlineStr">
        <is>
          <t>Completion tax credit</t>
        </is>
      </c>
      <c r="HAG8" t="inlineStr">
        <is>
          <t>Enhanced tax credit</t>
        </is>
      </c>
      <c r="HAH8" t="inlineStr">
        <is>
          <t>Equity tax credit</t>
        </is>
      </c>
      <c r="HAI8" t="inlineStr">
        <is>
          <t>Volunteer firefighter tax credit</t>
        </is>
      </c>
      <c r="HAJ8" t="inlineStr">
        <is>
          <t>SK political contribution tax credit</t>
        </is>
      </c>
      <c r="HAK8" t="inlineStr">
        <is>
          <t>Labour-sponsored venture capital tax credit</t>
        </is>
      </c>
      <c r="HAL8" t="inlineStr">
        <is>
          <t>Mineral exploration tax credit</t>
        </is>
      </c>
      <c r="HAM8" t="inlineStr">
        <is>
          <t>Amount to carry back to the first prior year</t>
        </is>
      </c>
      <c r="HAN8" t="inlineStr">
        <is>
          <t>Amount to carry back to the second prior year</t>
        </is>
      </c>
      <c r="HAO8" t="inlineStr">
        <is>
          <t>Amount to carry back to the third prior year</t>
        </is>
      </c>
      <c r="HAP8" t="inlineStr">
        <is>
          <t>Graduate tuition tax credit</t>
        </is>
      </c>
      <c r="HAQ8" t="inlineStr">
        <is>
          <t>Number of qualifying children under 6 years of age</t>
        </is>
      </c>
      <c r="HAR8" t="inlineStr">
        <is>
          <t>Children’s fitness tax credit</t>
        </is>
      </c>
      <c r="HAS8" t="inlineStr">
        <is>
          <t>Small business investment tax credit</t>
        </is>
      </c>
      <c r="HAT8" t="inlineStr">
        <is>
          <t>Amount to carry back to the first prior year</t>
        </is>
      </c>
      <c r="HAU8" t="inlineStr">
        <is>
          <t>Amount to carry back to the second prior year</t>
        </is>
      </c>
      <c r="HAV8" t="inlineStr">
        <is>
          <t>Amount to carry back to the third prior year</t>
        </is>
      </c>
      <c r="HAW8" t="inlineStr">
        <is>
          <t>Labour-sponsored venture capital corporation tax credit</t>
        </is>
      </c>
      <c r="HAX8" t="inlineStr">
        <is>
          <t>Amount to carry back to the first prior year</t>
        </is>
      </c>
      <c r="HAY8" t="inlineStr">
        <is>
          <t>Amount to carry back to the second prior year</t>
        </is>
      </c>
      <c r="HAZ8" t="inlineStr">
        <is>
          <t>Amount to carry back to the third prior year</t>
        </is>
      </c>
      <c r="HBA8" t="inlineStr">
        <is>
          <t>Research and development tax credit</t>
        </is>
      </c>
      <c r="HBB8" t="inlineStr">
        <is>
          <t>YT political contribution tax credit</t>
        </is>
      </c>
      <c r="HBC8" t="inlineStr">
        <is>
          <t>Yukon First Nations income tax credit</t>
        </is>
      </c>
      <c r="HBD8" t="inlineStr">
        <is>
          <t>Cost of living supplement</t>
        </is>
      </c>
      <c r="HBE8" t="inlineStr">
        <is>
          <t>Total cost of living tax credit</t>
        </is>
      </c>
      <c r="HBF8" t="inlineStr">
        <is>
          <t>NU political contribution tax credit</t>
        </is>
      </c>
      <c r="HBG8" t="inlineStr">
        <is>
          <t>Total expenses eligible for the GST rebate</t>
        </is>
      </c>
      <c r="HBH8" t="inlineStr">
        <is>
          <t>Total expenses eligible for the HST rebate</t>
        </is>
      </c>
      <c r="HBI8" t="inlineStr">
        <is>
          <t>Total expenses eligible for the HST rebate</t>
        </is>
      </c>
      <c r="HBJ8" t="inlineStr">
        <is>
          <t>Benefits that can no longer be deferred</t>
        </is>
      </c>
      <c r="HBK8" t="inlineStr">
        <is>
          <t>Closing balance of deferred security option benefits</t>
        </is>
      </c>
      <c r="HBL8" t="inlineStr">
        <is>
          <t>Non-capital loss to be applied to the third prior year</t>
        </is>
      </c>
      <c r="HBM8" t="inlineStr">
        <is>
          <t>Non-capital loss to be applied to the second prior year</t>
        </is>
      </c>
      <c r="HBN8" t="inlineStr">
        <is>
          <t>Non-capital loss to be applied to the first prior year</t>
        </is>
      </c>
      <c r="HBO8" t="inlineStr">
        <is>
          <t>Farming or fishing loss to be applied to the third prior year</t>
        </is>
      </c>
      <c r="HBP8" t="inlineStr">
        <is>
          <t>Farming or fishing loss to be applied to the second prior year</t>
        </is>
      </c>
      <c r="HBQ8" t="inlineStr">
        <is>
          <t>Farming or fishing loss to be applied to the first prior year</t>
        </is>
      </c>
      <c r="HBR8" t="inlineStr">
        <is>
          <t>Net capital loss to be applied to the third prior year</t>
        </is>
      </c>
      <c r="HBS8" t="inlineStr">
        <is>
          <t>Net capital loss to be applied to the second prior year</t>
        </is>
      </c>
      <c r="HBT8" t="inlineStr">
        <is>
          <t>Net capital loss to be applied to the first prior year</t>
        </is>
      </c>
      <c r="HBU8" t="inlineStr">
        <is>
          <t>Listed personal property net loss to be applied to the third prior year listed personal property net gains</t>
        </is>
      </c>
      <c r="HBV8" t="inlineStr">
        <is>
          <t>Listed personal property net loss to be applied to the second prior year listed personal property net gains</t>
        </is>
      </c>
      <c r="HBW8" t="inlineStr">
        <is>
          <t>Listed personal property net loss to be applied to the first prior year listed personal property net gains</t>
        </is>
      </c>
      <c r="HBX8" t="inlineStr">
        <is>
          <t>Restricted farm loss to be applied to the third prior year</t>
        </is>
      </c>
      <c r="HBY8" t="inlineStr">
        <is>
          <t>Restricted farm loss to be applied to the second prior year</t>
        </is>
      </c>
      <c r="HBZ8" t="inlineStr">
        <is>
          <t>Restricted farm loss to be applied to the first prior year</t>
        </is>
      </c>
      <c r="HCA8" t="inlineStr">
        <is>
          <t>Amount of 2018 reserve for dispositions of QFFP to your child after 2009, and before April 21, 2015 and all other dispositions of QFFP after 2014 and before April 21, 2015</t>
        </is>
      </c>
      <c r="HCB8" t="inlineStr">
        <is>
          <t>Amount of 2019 reserve for dispositions of QFFP to your child after 2010, and before April 21, 2015, and all other dispositions of QFFP after 2015 and before April 21, 2015</t>
        </is>
      </c>
      <c r="HCC8" t="inlineStr">
        <is>
          <t>Amount of 2018 reserve for dispositions of QFFP after April 20, 2015</t>
        </is>
      </c>
      <c r="HCD8" t="inlineStr">
        <is>
          <t>Amount of 2019 reserve for dispositions of QFFP after April 20, 2015</t>
        </is>
      </c>
      <c r="HCE8" t="inlineStr">
        <is>
          <t>Amount of the most recent reserve claimed on line 66840</t>
        </is>
      </c>
      <c r="HCF8" t="inlineStr">
        <is>
          <t>Amount of 2019 reserve for dispositions of QSBCS to your child after 2010, and all other dispositions of QSBCS after 2015</t>
        </is>
      </c>
      <c r="HCG8" t="inlineStr">
        <is>
          <t>Amount of 2018 reserve for dispositions of QSBCS to your child after 2009, and all other dispositions of QSBCS after 2014</t>
        </is>
      </c>
      <c r="HCH8" t="inlineStr">
        <is>
          <t>Amount of the most recent reserve claimed on line 66850</t>
        </is>
      </c>
      <c r="HCI8" t="inlineStr">
        <is>
          <t>Amount of 2018 reserve for dispositions to your child after 2009, of family farm or fishing property other than QFFP and of shares of capital stock of a small business corporation other than QSBCS</t>
        </is>
      </c>
      <c r="HCJ8" t="inlineStr">
        <is>
          <t>Amount of 2019 reserve for dispositions to your child after 2010, of family farm or fishing property other than QFFP and of shares of capital stock of a small business corporation other than QSBCS</t>
        </is>
      </c>
      <c r="HCK8" t="inlineStr">
        <is>
          <t>Amount of 2018 reserve for dispositions of property after 2014, other than dispositions listed on lines 66815, 66843, 66883, and 66910</t>
        </is>
      </c>
      <c r="HCL8" t="inlineStr">
        <is>
          <t>Amount of 2019 reserve for dispositions of property after 2015, other than dispositions listed on lines 66840, 66844, 66850, and 66920</t>
        </is>
      </c>
      <c r="HCM8" t="inlineStr">
        <is>
          <t>Amount of 2018 reserve for dispositions before November 13, 1981</t>
        </is>
      </c>
      <c r="HCN8" t="inlineStr">
        <is>
          <t>Total capital reserves</t>
        </is>
      </c>
      <c r="HCO8" t="inlineStr">
        <is>
          <t>ITC for total qualified expenditures for SR&amp;ED</t>
        </is>
      </c>
      <c r="HCP8" t="inlineStr">
        <is>
          <t>80% of total contributions made to agricultural organizations for SR&amp;ED</t>
        </is>
      </c>
      <c r="HCQ8" t="inlineStr">
        <is>
          <t>ITC allocated from a partnership for SR&amp;ED</t>
        </is>
      </c>
      <c r="HCR8" t="inlineStr">
        <is>
          <t>ITC for total investments in qualified property</t>
        </is>
      </c>
      <c r="HCS8" t="inlineStr">
        <is>
          <t>Total flow-through mining expenditures</t>
        </is>
      </c>
      <c r="HCT8" t="inlineStr">
        <is>
          <t>Total apprenticeship job creation tax credit</t>
        </is>
      </c>
      <c r="HCU8" t="inlineStr">
        <is>
          <t>ITC for child care spaces</t>
        </is>
      </c>
      <c r="HCV8" t="inlineStr">
        <is>
          <t>Amount of expenditure on which ITC is recaptured at 15%</t>
        </is>
      </c>
      <c r="HCW8" t="inlineStr">
        <is>
          <t>Amount of expenditure on which ITC is recaptured at 20%</t>
        </is>
      </c>
      <c r="HCX8" t="inlineStr">
        <is>
          <t>Total recapture of ITC for child care spaces</t>
        </is>
      </c>
      <c r="HCY8" t="inlineStr">
        <is>
          <t>Amount of carryback to the third previous year</t>
        </is>
      </c>
      <c r="HCZ8" t="inlineStr">
        <is>
          <t>Amount of carryback to the second previous year</t>
        </is>
      </c>
      <c r="HDA8" t="inlineStr">
        <is>
          <t>Amount of carryback to the first previous year</t>
        </is>
      </c>
      <c r="HDB8" t="inlineStr">
        <is>
          <t>Maximum residency amount for residents of prescribed northern zones</t>
        </is>
      </c>
      <c r="HDC8" t="inlineStr">
        <is>
          <t>Non-taxable benefits for board and lodging at a special work site in a prescribed northern zone</t>
        </is>
      </c>
      <c r="HDD8" t="inlineStr">
        <is>
          <t>Maximum residency amount for residents of prescribed intermediate zones</t>
        </is>
      </c>
      <c r="HDE8" t="inlineStr">
        <is>
          <t>Non-taxable benefits for board and lodging at a special work site in a prescribed intermediate zone</t>
        </is>
      </c>
      <c r="HDF8" t="inlineStr">
        <is>
          <t>Total travel amount for trips from a prescribed northern zone</t>
        </is>
      </c>
      <c r="HDG8" t="inlineStr">
        <is>
          <t>Total travel amount for trips from a prescribed intermediate zone</t>
        </is>
      </c>
      <c r="HDH8" t="inlineStr">
        <is>
          <t>Claim for tax shelter loss or deduction</t>
        </is>
      </c>
      <c r="HDI8" t="inlineStr">
        <is>
          <t>Amount of loss created or increased by CCA and carrying charges on certified film property</t>
        </is>
      </c>
      <c r="HDJ8" t="inlineStr">
        <is>
          <t>Amount of loss created or increased by CCA and carrying charges on rental and leasing property</t>
        </is>
      </c>
      <c r="HDK8" t="inlineStr">
        <is>
          <t>Losses, amounts deductible and carrying charges for tax shelters, limited partnership, and non-active partners</t>
        </is>
      </c>
      <c r="HDL8" t="inlineStr">
        <is>
          <t>Total of all resource expenditures, depletion allowances, and carrying charges for resource property and flow-through shares</t>
        </is>
      </c>
      <c r="HDM8" t="inlineStr">
        <is>
          <t>Certain capital gains from graduated rate estates</t>
        </is>
      </c>
      <c r="HDN8" t="inlineStr">
        <is>
          <t>Part of total capital gains that is exempt from Canadian tax under a tax treaty</t>
        </is>
      </c>
      <c r="HDO8" t="inlineStr">
        <is>
          <t>Capital gains on gifts of property to qualified donees</t>
        </is>
      </c>
      <c r="HDP8" t="inlineStr">
        <is>
          <t>Security options deductions under paragraph 110(1)(d)</t>
        </is>
      </c>
      <c r="HDQ8" t="inlineStr">
        <is>
          <t>Gifts of securities acquired under a security option plan</t>
        </is>
      </c>
      <c r="HDR8" t="inlineStr">
        <is>
          <t>Other security options deductions included on line 24900</t>
        </is>
      </c>
      <c r="HDS8" t="inlineStr">
        <is>
          <t>Limited partnership losses incurred in prior years that are tax shelters</t>
        </is>
      </c>
      <c r="HDT8" t="inlineStr">
        <is>
          <t>Federal tax payable under alternative minimum tax</t>
        </is>
      </c>
      <c r="HDU8" t="inlineStr">
        <is>
          <t>Total child care expenses paid in the year</t>
        </is>
      </c>
      <c r="HDV8" t="inlineStr">
        <is>
          <t>Child care expenses incurred for a child age 6 or younger</t>
        </is>
      </c>
      <c r="HDW8" t="inlineStr">
        <is>
          <t>Basic limit for eligible children born in the current tax year or earlier for whom the disability amount can be claimed</t>
        </is>
      </c>
      <c r="HDX8" t="inlineStr">
        <is>
          <t>Part C – Child care expenses paid by the other person with lower net income</t>
        </is>
      </c>
      <c r="HDY8" t="inlineStr">
        <is>
          <t>Part D – Child care expenses paid while enrolled in an educational program</t>
        </is>
      </c>
      <c r="HDZ8" t="inlineStr">
        <is>
          <t>Total eligible pensions or superannuation, annuity and RRSP/RRIF payments (including life income fund) received</t>
        </is>
      </c>
      <c r="HEA8" t="inlineStr">
        <is>
          <t>Veteran’s benefits on T4A slips eligible for pension income splitting</t>
        </is>
      </c>
      <c r="HEB8" t="inlineStr">
        <is>
          <t>Distributions on T4A-RCA slips eligible for pension income splitting</t>
        </is>
      </c>
      <c r="HEC8" t="inlineStr">
        <is>
          <t>Number of months married or living common-law in the current tax year</t>
        </is>
      </c>
      <c r="HED8" t="inlineStr">
        <is>
          <t>Total tax deducted from the transferring spouse’s or common-law partner’s pension income</t>
        </is>
      </c>
      <c r="HEE8" t="inlineStr">
        <is>
          <t>Tax deducted for the elected split-pension amount</t>
        </is>
      </c>
      <c r="HEF8" t="inlineStr">
        <is>
          <t>Any other investment expenses claimed in the current tax year to earn property income</t>
        </is>
      </c>
      <c r="HEG8" t="inlineStr">
        <is>
          <t>Any other property income reported in the current tax year</t>
        </is>
      </c>
      <c r="HEH8" t="inlineStr">
        <is>
          <t>50% of income from the recovery of exploration and development expenses</t>
        </is>
      </c>
      <c r="HEI8" t="inlineStr">
        <is>
          <t>Capital gains from T3 slips</t>
        </is>
      </c>
      <c r="HEJ8" t="inlineStr">
        <is>
          <t>Non-eligible capital gains from T3 slips</t>
        </is>
      </c>
      <c r="HEK8" t="inlineStr">
        <is>
          <t>Special tax for Quebec LSVCC</t>
        </is>
      </c>
      <c r="HEL8" t="inlineStr">
        <is>
          <t>Excess employees profit-sharing plan amounts</t>
        </is>
      </c>
      <c r="HEM8" t="inlineStr">
        <is>
          <t>Proceeds from disposition of publicly traded shares, other shares and mutual fund units</t>
        </is>
      </c>
      <c r="HEN8" t="inlineStr">
        <is>
          <t>Gains eligible for 0% inclusion rate from the disposition of publicly traded shares, other shares and mutual funds units</t>
        </is>
      </c>
      <c r="HEO8" t="inlineStr">
        <is>
          <t>Proceeds from disposition of bonds, debentures, promissory notes, and other properties (including ecologically sensitive land)</t>
        </is>
      </c>
      <c r="HEP8" t="inlineStr">
        <is>
          <t>Gains eligible for 0% inclusion rate from the disposition of bonds, debentures, promissory notes, and other properties (including ecologically sensitive land)</t>
        </is>
      </c>
      <c r="HEQ8" t="inlineStr">
        <is>
          <t>Total of all accumulated income payments</t>
        </is>
      </c>
      <c r="HER8" t="inlineStr">
        <is>
          <t>Total of all accumulated income payments</t>
        </is>
      </c>
      <c r="HES8" t="inlineStr">
        <is>
          <t>Taxable amount of dividends (eligible and other than eligible) from taxable Canadian corporations</t>
        </is>
      </c>
      <c r="HET8" t="inlineStr">
        <is>
          <t>Taxable amount of dividends other than eligible dividends, included on line 68330, from taxable Canadian corporations</t>
        </is>
      </c>
      <c r="HEU8" t="inlineStr">
        <is>
          <t>Total split income</t>
        </is>
      </c>
      <c r="HEV8" t="inlineStr">
        <is>
          <t>Split income from foreign sources</t>
        </is>
      </c>
      <c r="HEW8" t="inlineStr">
        <is>
          <t>Total income from foreign sources</t>
        </is>
      </c>
      <c r="HEX8" t="inlineStr">
        <is>
          <t>Current-year credit available</t>
        </is>
      </c>
      <c r="HEY8" t="inlineStr">
        <is>
          <t>Mining flow-through share tax credit</t>
        </is>
      </c>
      <c r="HEZ8" t="inlineStr">
        <is>
          <t>Amount to carry back to the first prior year</t>
        </is>
      </c>
      <c r="HFA8" t="inlineStr">
        <is>
          <t>Amount to carry back to the second prior year</t>
        </is>
      </c>
      <c r="HFB8" t="inlineStr">
        <is>
          <t>Amount to carry back to the third prior year</t>
        </is>
      </c>
      <c r="HFC8" t="inlineStr">
        <is>
          <t>Current year tax credit available</t>
        </is>
      </c>
      <c r="HFD8" s="87" t="inlineStr">
        <is>
          <t>Tax Year Filed</t>
        </is>
      </c>
      <c r="HFE8" t="inlineStr">
        <is>
          <t>Taxing Province</t>
        </is>
      </c>
      <c r="HFF8" t="inlineStr">
        <is>
          <t>Marital Status</t>
        </is>
      </c>
      <c r="HFG8" t="inlineStr">
        <is>
          <t>Balance before penalty and interest</t>
        </is>
      </c>
      <c r="HFH8" t="inlineStr">
        <is>
          <t>Balance before penalty and interest</t>
        </is>
      </c>
      <c r="HFI8" t="inlineStr">
        <is>
          <t>Final balance</t>
        </is>
      </c>
      <c r="HFJ8" t="inlineStr">
        <is>
          <t>Basic federal tax</t>
        </is>
      </c>
      <c r="HFK8" t="inlineStr">
        <is>
          <t>Basic provincial or territorial tax</t>
        </is>
      </c>
      <c r="HFL8" t="inlineStr">
        <is>
          <t>Ontario Health Premium</t>
        </is>
      </c>
      <c r="HFM8" t="inlineStr">
        <is>
          <t>Employment income from T4 slips</t>
        </is>
      </c>
      <c r="HFN8" t="inlineStr">
        <is>
          <t>Commissions included on line 10100</t>
        </is>
      </c>
      <c r="HFO8" t="inlineStr">
        <is>
          <t>Wage-loss replacement contributions</t>
        </is>
      </c>
      <c r="HFP8" t="inlineStr">
        <is>
          <t>Other employment income</t>
        </is>
      </c>
      <c r="HFQ8" t="inlineStr">
        <is>
          <t>Proceeds from disposition of qualified small business corporation shares</t>
        </is>
      </c>
      <c r="HFR8" t="inlineStr">
        <is>
          <t>Gain (or loss) from disposition of qualified small business corporation shares</t>
        </is>
      </c>
      <c r="HFS8" t="inlineStr">
        <is>
          <t>Proceeds from disposition of qualified farm or fishing property</t>
        </is>
      </c>
      <c r="HFT8" t="inlineStr">
        <is>
          <t>Gain (or loss) from disposition of qualified farm or fishing property</t>
        </is>
      </c>
      <c r="HFU8" t="inlineStr">
        <is>
          <t>Old age security pension</t>
        </is>
      </c>
      <c r="HFV8" t="inlineStr">
        <is>
          <t>CPP or QPP benefits</t>
        </is>
      </c>
      <c r="HFW8" t="inlineStr">
        <is>
          <t>Other pensions and superannuation</t>
        </is>
      </c>
      <c r="HFX8" t="inlineStr">
        <is>
          <t>Elected split-pension amount</t>
        </is>
      </c>
      <c r="HFY8" t="inlineStr">
        <is>
          <t>Universal child care benefit (UCCB)</t>
        </is>
      </c>
      <c r="HFZ8" t="inlineStr">
        <is>
          <t>Employment insurance and other benefits</t>
        </is>
      </c>
      <c r="HGA8" t="inlineStr">
        <is>
          <t>Taxable amount of dividends (eligible and other than eligible) from taxable Canadian corporations</t>
        </is>
      </c>
      <c r="HGB8" t="inlineStr">
        <is>
          <t>Interest and other investment income</t>
        </is>
      </c>
      <c r="HGC8" t="inlineStr">
        <is>
          <t>Net partnership income: limited or non-active partners only</t>
        </is>
      </c>
      <c r="HGD8" t="inlineStr">
        <is>
          <t>Proceeds from disposition of mortgage foreclosures and conditional sales repossessions of a qualified farm or fishing property</t>
        </is>
      </c>
      <c r="HGE8" t="inlineStr">
        <is>
          <t>Gain (or loss) from disposition of mortgage foreclosures and conditional sales repossessions of a qualified farm or fishing property</t>
        </is>
      </c>
      <c r="HGF8" t="inlineStr">
        <is>
          <t>Registered disability savings plan (RDSP) income</t>
        </is>
      </c>
      <c r="HGG8" t="inlineStr">
        <is>
          <t>Net rental income (loss)</t>
        </is>
      </c>
      <c r="HGH8" t="inlineStr">
        <is>
          <t>Taxable capital gains (or net capital loss)</t>
        </is>
      </c>
      <c r="HGI8" t="inlineStr">
        <is>
          <t>Taxable amount of support payments received Registered retirement savings plan (RRSP) income Other income</t>
        </is>
      </c>
      <c r="HGJ8" t="inlineStr">
        <is>
          <t>Registered retirement savings plan (RRSP) income</t>
        </is>
      </c>
      <c r="HGK8" t="inlineStr">
        <is>
          <t>Other income</t>
        </is>
      </c>
      <c r="HGL8" t="inlineStr">
        <is>
          <t>Proceeds from disposition of publicly traded shares, mutual fund units, deferral of eligible small business corporation shares, and other shares</t>
        </is>
      </c>
      <c r="HGM8" t="inlineStr">
        <is>
          <t>Gain (or loss) from disposition of publicly traded shares, mutual fund units, deferral of eligible small business corporation shares, and other shares</t>
        </is>
      </c>
      <c r="HGN8" t="inlineStr">
        <is>
          <t>Net business income (loss)</t>
        </is>
      </c>
      <c r="HGO8" t="inlineStr">
        <is>
          <t>Proceeds from disposition of real estate, depreciable property, and other properties</t>
        </is>
      </c>
      <c r="HGP8" t="inlineStr">
        <is>
          <t>Net professional income (loss)</t>
        </is>
      </c>
      <c r="HGQ8" t="inlineStr">
        <is>
          <t>Gain (or loss) from disposition of real estate, depreciable property, and other properties</t>
        </is>
      </c>
      <c r="HGR8" t="inlineStr">
        <is>
          <t>Net commission income (loss)</t>
        </is>
      </c>
      <c r="HGS8" t="inlineStr">
        <is>
          <t>Net farming income (loss)</t>
        </is>
      </c>
      <c r="HGT8" t="inlineStr">
        <is>
          <t>Net fishing income (loss)</t>
        </is>
      </c>
      <c r="HGU8" t="inlineStr">
        <is>
          <t>Workers’ compensation benefits</t>
        </is>
      </c>
      <c r="HGV8" t="inlineStr">
        <is>
          <t>Social assistance payments</t>
        </is>
      </c>
      <c r="HGW8" t="inlineStr">
        <is>
          <t>Net federal supplements</t>
        </is>
      </c>
      <c r="HGX8" t="inlineStr">
        <is>
          <t>Total income</t>
        </is>
      </c>
      <c r="HGY8" t="inlineStr">
        <is>
          <t>Proceeds from disposition of bonds, debentures, promissory notes, and other similar properties</t>
        </is>
      </c>
      <c r="HGZ8" t="inlineStr">
        <is>
          <t>Disability benefits included on line 11400</t>
        </is>
      </c>
      <c r="HHA8" t="inlineStr">
        <is>
          <t>Gain (or loss) from disposition of bonds, debentures, promissory notes, and other similar properties Proceeds from disposition of other mortgage foreclosures and conditional sales repossessions</t>
        </is>
      </c>
      <c r="HHB8" t="inlineStr">
        <is>
          <t>Proceeds from disposition of other mortgage foreclosures and conditional sales repossessions</t>
        </is>
      </c>
      <c r="HHC8" t="inlineStr">
        <is>
          <t>Gain (or loss) from disposition of other mortgage foreclosures and conditional sales repossessions</t>
        </is>
      </c>
      <c r="HHD8" t="inlineStr">
        <is>
          <t>Total support payments received</t>
        </is>
      </c>
      <c r="HHE8" t="inlineStr">
        <is>
          <t>Gain from disposition of personal-use property</t>
        </is>
      </c>
      <c r="HHF8" t="inlineStr">
        <is>
          <t>Net gain from disposition of listed personal property Capital gains deferral from qualifying dispositions of eligible small business corporation shares</t>
        </is>
      </c>
      <c r="HHG8" t="inlineStr">
        <is>
          <t>Gross rental income</t>
        </is>
      </c>
      <c r="HHH8" t="inlineStr">
        <is>
          <t>Capital gains deferral from qualifying dispositions of eligible small business corporation shares</t>
        </is>
      </c>
      <c r="HHI8" t="inlineStr">
        <is>
          <t>Gross business income</t>
        </is>
      </c>
      <c r="HHJ8" t="inlineStr">
        <is>
          <t>Gross professional income</t>
        </is>
      </c>
      <c r="HHK8" t="inlineStr">
        <is>
          <t>Gross commission income</t>
        </is>
      </c>
      <c r="HHL8" t="inlineStr">
        <is>
          <t>Gross farming income</t>
        </is>
      </c>
      <c r="HHM8" t="inlineStr">
        <is>
          <t>Gross fishing income</t>
        </is>
      </c>
      <c r="HHN8" t="inlineStr">
        <is>
          <t>T5, T5013, and T4PS information slips – Capital gains (or losses)</t>
        </is>
      </c>
      <c r="HHO8" t="inlineStr">
        <is>
          <t>T3 information slips – Capital gains (or losses)</t>
        </is>
      </c>
      <c r="HHP8" t="inlineStr">
        <is>
          <t>Capital loss from a reduction in the business investment loss</t>
        </is>
      </c>
      <c r="HHQ8" t="inlineStr">
        <is>
          <t>Principal residence designation</t>
        </is>
      </c>
      <c r="HHR8" t="inlineStr">
        <is>
          <t>Taxable amount of dividends other than eligible dividends, included on line 12000, from taxable Canadian corporations</t>
        </is>
      </c>
      <c r="HHS8" t="inlineStr">
        <is>
          <t>UCCB amount designated to a dependant</t>
        </is>
      </c>
      <c r="HHT8" t="inlineStr">
        <is>
          <t>Pooled registered pension plan (PRPP) employer contributions</t>
        </is>
      </c>
      <c r="HHU8" t="inlineStr">
        <is>
          <t>Pension adjustment</t>
        </is>
      </c>
      <c r="HHV8" t="inlineStr">
        <is>
          <t>Registered pension plan deduction</t>
        </is>
      </c>
      <c r="HHW8" t="inlineStr">
        <is>
          <t>RRSP deduction</t>
        </is>
      </c>
      <c r="HHX8" t="inlineStr">
        <is>
          <t>Deduction for elected split-pension amount</t>
        </is>
      </c>
      <c r="HHY8" t="inlineStr">
        <is>
          <t>Annual union, professional, or like dues</t>
        </is>
      </c>
      <c r="HHZ8" t="inlineStr">
        <is>
          <t>Universal child care benefit repayment</t>
        </is>
      </c>
      <c r="HIA8" t="inlineStr">
        <is>
          <t>Child care expenses</t>
        </is>
      </c>
      <c r="HIB8" t="inlineStr">
        <is>
          <t>Disability supports deduction</t>
        </is>
      </c>
      <c r="HIC8" t="inlineStr">
        <is>
          <t>Allowable business investment loss deduction</t>
        </is>
      </c>
      <c r="HID8" t="inlineStr">
        <is>
          <t>Moving expenses</t>
        </is>
      </c>
      <c r="HIE8" t="inlineStr">
        <is>
          <t>Allowable deduction for support payments made</t>
        </is>
      </c>
      <c r="HIF8" t="inlineStr">
        <is>
          <t>Carrying charges and interest expenses</t>
        </is>
      </c>
      <c r="HIG8" t="inlineStr">
        <is>
          <t>Deduction for CPP or QPP contributions on self-employment and other earnings</t>
        </is>
      </c>
      <c r="HIH8" t="inlineStr">
        <is>
          <t>Deduction for PPIP premiums on self-employment income</t>
        </is>
      </c>
      <c r="HII8" t="inlineStr">
        <is>
          <t>Exploration and development expenses</t>
        </is>
      </c>
      <c r="HIJ8" t="inlineStr">
        <is>
          <t>Gross business investment loss</t>
        </is>
      </c>
      <c r="HIK8" t="inlineStr">
        <is>
          <t>Other employment expenses</t>
        </is>
      </c>
      <c r="HIL8" t="inlineStr">
        <is>
          <t>Total support payments made</t>
        </is>
      </c>
      <c r="HIM8" t="inlineStr">
        <is>
          <t>Clergy residence deduction</t>
        </is>
      </c>
      <c r="HIN8" t="inlineStr">
        <is>
          <t>Other deductions</t>
        </is>
      </c>
      <c r="HIO8" t="inlineStr">
        <is>
          <t>Social benefits repayment</t>
        </is>
      </c>
      <c r="HIP8" t="inlineStr">
        <is>
          <t>Net income</t>
        </is>
      </c>
      <c r="HIQ8" t="inlineStr">
        <is>
          <t>Transfers to an RRSP/PRPP/SPP</t>
        </is>
      </c>
      <c r="HIR8" t="inlineStr">
        <is>
          <t>Canadian Forces personnel and police deduction</t>
        </is>
      </c>
      <c r="HIS8" t="inlineStr">
        <is>
          <t>Total RRSP, SPP, and PRPP contributions from March 2, 2019 to March 2, 2020</t>
        </is>
      </c>
      <c r="HIT8" t="inlineStr">
        <is>
          <t>Contributions designated as a repayment under the Home Buyers’ Plan</t>
        </is>
      </c>
      <c r="HIU8" t="inlineStr">
        <is>
          <t>Current year withdrawals for the HBP on T4RSP slips</t>
        </is>
      </c>
      <c r="HIV8" t="inlineStr">
        <is>
          <t>Security options deductions</t>
        </is>
      </c>
      <c r="HIW8" t="inlineStr">
        <is>
          <t>Other payments deduction</t>
        </is>
      </c>
      <c r="HIX8" t="inlineStr">
        <is>
          <t>Limited partnership losses of other years</t>
        </is>
      </c>
      <c r="HIY8" t="inlineStr">
        <is>
          <t>Non-capital losses of other years</t>
        </is>
      </c>
      <c r="HIZ8" t="inlineStr">
        <is>
          <t>Net capital losses of other years</t>
        </is>
      </c>
      <c r="HJA8" t="inlineStr">
        <is>
          <t>Capital gains deduction</t>
        </is>
      </c>
      <c r="HJB8" t="inlineStr">
        <is>
          <t>Northern residents deductions</t>
        </is>
      </c>
      <c r="HJC8" t="inlineStr">
        <is>
          <t>Additional deductions</t>
        </is>
      </c>
      <c r="HJD8" t="inlineStr">
        <is>
          <t>Address of home purchased under the HBP is the same as on page 1 of return</t>
        </is>
      </c>
      <c r="HJE8" t="inlineStr">
        <is>
          <t>Taxable income</t>
        </is>
      </c>
      <c r="HJF8" t="inlineStr">
        <is>
          <t>Contributions designated as a repayment under the Lifelong Learning Plan</t>
        </is>
      </c>
      <c r="HJG8" t="inlineStr">
        <is>
          <t>Current year withdrawals for the LLP on T4RSP slips</t>
        </is>
      </c>
      <c r="HJH8" t="inlineStr">
        <is>
          <t>Designation of the spouse or common-law partner as the student for whom the funds were withdrawn under the LLP</t>
        </is>
      </c>
      <c r="HJI8" t="inlineStr">
        <is>
          <t>Foreign property held in the current tax year with a total cost of more than CAN$100,000</t>
        </is>
      </c>
      <c r="HJJ8" t="inlineStr">
        <is>
          <t>Current year contributions to an amateur athlete trust</t>
        </is>
      </c>
      <c r="HJK8" t="inlineStr">
        <is>
          <t>Basic personal amount</t>
        </is>
      </c>
      <c r="HJL8" t="inlineStr">
        <is>
          <t>Age amount</t>
        </is>
      </c>
      <c r="HJM8" t="inlineStr">
        <is>
          <t>Spouse or common-law partner amount</t>
        </is>
      </c>
      <c r="HJN8" t="inlineStr">
        <is>
          <t>Canada caregiver amount for spouse or common-law partner, or eligible dependant age 18 or older</t>
        </is>
      </c>
      <c r="HJO8" t="inlineStr">
        <is>
          <t>Amount for an eligible dependant</t>
        </is>
      </c>
      <c r="HJP8" t="inlineStr">
        <is>
          <t>Canada caregiver amount for other infirm dependants age 18 or older</t>
        </is>
      </c>
      <c r="HJQ8" t="inlineStr">
        <is>
          <t>CPP contributions</t>
        </is>
      </c>
      <c r="HJR8" t="inlineStr">
        <is>
          <t>CPP contributions on self-employment and other earnings</t>
        </is>
      </c>
      <c r="HJS8" t="inlineStr">
        <is>
          <t>Employment insurance premiums</t>
        </is>
      </c>
      <c r="HJT8" t="inlineStr">
        <is>
          <t>Adoption expenses</t>
        </is>
      </c>
      <c r="HJU8" t="inlineStr">
        <is>
          <t>Pension income amount</t>
        </is>
      </c>
      <c r="HJV8" t="inlineStr">
        <is>
          <t>Disability amount (for self)</t>
        </is>
      </c>
      <c r="HJW8" t="inlineStr">
        <is>
          <t>Employment insurance premiums on self-employment and other eligible earnings</t>
        </is>
      </c>
      <c r="HJX8" t="inlineStr">
        <is>
          <t>Disability amount transferred from a dependant Interest paid on your student loans</t>
        </is>
      </c>
      <c r="HJY8" t="inlineStr">
        <is>
          <t>Interest paid on your student loans</t>
        </is>
      </c>
      <c r="HJZ8" t="inlineStr">
        <is>
          <t>Eligible tuition fees paid to Canadian educational institutions for the current tax year</t>
        </is>
      </c>
      <c r="HKA8" t="inlineStr">
        <is>
          <t>Your tuition, education, and textbook amounts</t>
        </is>
      </c>
      <c r="HKB8" t="inlineStr">
        <is>
          <t>Tuition amount transferred from a child</t>
        </is>
      </c>
      <c r="HKC8" t="inlineStr">
        <is>
          <t>Number of months enrolled as a part-time student</t>
        </is>
      </c>
      <c r="HKD8" t="inlineStr">
        <is>
          <t>Amounts transferred from your spouse or common-law partner</t>
        </is>
      </c>
      <c r="HKE8" t="inlineStr">
        <is>
          <t>Federal tuition amount transferred</t>
        </is>
      </c>
      <c r="HKF8" t="inlineStr">
        <is>
          <t>Number of months enrolled as a full-time student</t>
        </is>
      </c>
      <c r="HKG8" t="inlineStr">
        <is>
          <t>Donations made to government bodies</t>
        </is>
      </c>
      <c r="HKH8" t="inlineStr">
        <is>
          <t>Medical expenses for self, spouse or common-law partner, and dependent children under 18 years of age</t>
        </is>
      </c>
      <c r="HKI8" t="inlineStr">
        <is>
          <t>Allowable amount of medical expenses for other dependants</t>
        </is>
      </c>
      <c r="HKJ8" t="inlineStr">
        <is>
          <t>Allowable amount of medical expenses</t>
        </is>
      </c>
      <c r="HKK8" t="inlineStr">
        <is>
          <t>Donations made to registered universities outside Canada</t>
        </is>
      </c>
      <c r="HKL8" t="inlineStr">
        <is>
          <t>Donations made to the United Nations, its agencies, and certain registered foreign charitable organizations</t>
        </is>
      </c>
      <c r="HKM8" t="inlineStr">
        <is>
          <t>Gifts of depreciable property</t>
        </is>
      </c>
      <c r="HKN8" t="inlineStr">
        <is>
          <t>Non-refundable tax credits before donations and gifts</t>
        </is>
      </c>
      <c r="HKO8" t="inlineStr">
        <is>
          <t>Gifts of capital property</t>
        </is>
      </c>
      <c r="HKP8" t="inlineStr">
        <is>
          <t>Allowable charitable donations</t>
        </is>
      </c>
      <c r="HKQ8" t="inlineStr">
        <is>
          <t>Eligible amount of cultural and ecological gifts</t>
        </is>
      </c>
      <c r="HKR8" t="inlineStr">
        <is>
          <t>Not enrolled full-time due to effects of impairment Number of months enrolled as a part-time student Number of months enrolled as a full-time student</t>
        </is>
      </c>
      <c r="HKS8" t="inlineStr">
        <is>
          <t>Donations and gifts</t>
        </is>
      </c>
      <c r="HKT8" t="inlineStr">
        <is>
          <t>Total federal non-refundable tax credits</t>
        </is>
      </c>
      <c r="HKU8" t="inlineStr">
        <is>
          <t>Spouse’s or common-law partner’s adjusted taxable income</t>
        </is>
      </c>
      <c r="HKV8" t="inlineStr">
        <is>
          <t>Number of children for whom you are claiming the Canada caregiver amount for infirm children under 18 years of age</t>
        </is>
      </c>
      <c r="HKW8" t="inlineStr">
        <is>
          <t>Spouse’s or common-law partner’s age amount</t>
        </is>
      </c>
      <c r="HKX8" t="inlineStr">
        <is>
          <t>Total of donations made before 2016</t>
        </is>
      </c>
      <c r="HKY8" t="inlineStr">
        <is>
          <t>Spouse’s or common-law partner’s pension income amount</t>
        </is>
      </c>
      <c r="HKZ8" t="inlineStr">
        <is>
          <t>Spouse’s or common-law partner’s disability amount</t>
        </is>
      </c>
      <c r="HLA8" t="inlineStr">
        <is>
          <t>Tuition amount designated by your spouse or common-law partner</t>
        </is>
      </c>
      <c r="HLB8" t="inlineStr">
        <is>
          <t>Spouse’s or common-law partner’s Canada caregiver amount for infirm children under 18 years of age</t>
        </is>
      </c>
      <c r="HLC8" t="inlineStr">
        <is>
          <t>Volunteer firefighters’ amount</t>
        </is>
      </c>
      <c r="HLD8" t="inlineStr">
        <is>
          <t>Canada employment amount Home buyers’ amount</t>
        </is>
      </c>
      <c r="HLE8" t="inlineStr">
        <is>
          <t>Canada caregiver amount for infirm children under 18 years of age</t>
        </is>
      </c>
      <c r="HLF8" t="inlineStr">
        <is>
          <t>Home buyers’ amount</t>
        </is>
      </c>
      <c r="HLG8" t="inlineStr">
        <is>
          <t>Net business income/Pensionable net self-employment earnings</t>
        </is>
      </c>
      <c r="HLH8" t="inlineStr">
        <is>
          <t>Effective date of the electing to stop contributing to CPP on self-employment earnings</t>
        </is>
      </c>
      <c r="HLI8" t="inlineStr">
        <is>
          <t>Employment earnings not shown on a T4 slip on which you elect to pay additional CPP contributions/Income on which you wish to make optional contributions</t>
        </is>
      </c>
      <c r="HLJ8" t="inlineStr">
        <is>
          <t>Effective date to revoke an election made in a prior year to stop contributing to CPP on self-employment earnings</t>
        </is>
      </c>
      <c r="HLK8" t="inlineStr">
        <is>
          <t>PPIP premiums paid</t>
        </is>
      </c>
      <c r="HLL8" t="inlineStr">
        <is>
          <t>PPIP premiums payable on employment income</t>
        </is>
      </c>
      <c r="HLM8" t="inlineStr">
        <is>
          <t>PPIP premiums payable on self-employment income</t>
        </is>
      </c>
      <c r="HLN8" t="inlineStr">
        <is>
          <t>Do you have an eligible dependant?</t>
        </is>
      </c>
      <c r="HLO8" t="inlineStr">
        <is>
          <t>Do you have an eligible spouse?</t>
        </is>
      </c>
      <c r="HLP8" t="inlineStr">
        <is>
          <t>Taxable part of scholarship income reported at line 130</t>
        </is>
      </c>
      <c r="HLQ8" t="inlineStr">
        <is>
          <t>Eligible spouse’s taxable part of scholarship and grant income</t>
        </is>
      </c>
      <c r="HLR8" t="inlineStr">
        <is>
          <t>Tax-exempt part of working income earned on a reserve or an allowance received as an emergency volunteer</t>
        </is>
      </c>
      <c r="HLS8" t="inlineStr">
        <is>
          <t>Eligible spouse’s tax-exempt part of working income earned on a reserve or an allowance received as an emergency volunteer</t>
        </is>
      </c>
      <c r="HLT8" t="inlineStr">
        <is>
          <t>Eligible spouse’s working income</t>
        </is>
      </c>
      <c r="HLU8" t="inlineStr">
        <is>
          <t>Tax-exempt part of all income earned or received on a reserve less the deductions related to that income or an allowance received as an emergency volunteer</t>
        </is>
      </c>
      <c r="HLV8" t="inlineStr">
        <is>
          <t>Eligible spouse’s tax-exempt part of all income earned or received on a reserve less the deductions related to that income or an allowance received as an emergency volunteer</t>
        </is>
      </c>
      <c r="HLW8" t="inlineStr">
        <is>
          <t>Eligible spouse’s adjusted net income</t>
        </is>
      </c>
      <c r="HLX8" t="inlineStr">
        <is>
          <t>Are you eligible for the CWB/WITB?</t>
        </is>
      </c>
      <c r="HLY8" t="inlineStr">
        <is>
          <t>Are you eligible for the disability tax credit?</t>
        </is>
      </c>
      <c r="HLZ8" t="inlineStr">
        <is>
          <t>Is your eligible spouse eligible for the disability tax credit for themselves?</t>
        </is>
      </c>
      <c r="HMA8" t="inlineStr">
        <is>
          <t>Search and rescue volunteers’ amount</t>
        </is>
      </c>
      <c r="HMB8" t="inlineStr">
        <is>
          <t>Home accessibility expenses</t>
        </is>
      </c>
      <c r="HMC8" t="inlineStr">
        <is>
          <t>Employment earnings shown on a T4 slip on which you elect to pay additional CPP contributions</t>
        </is>
      </c>
      <c r="HMD8" t="inlineStr">
        <is>
          <t>Federal tax</t>
        </is>
      </c>
      <c r="HME8" t="inlineStr">
        <is>
          <t>Total federal political contributions</t>
        </is>
      </c>
      <c r="HMF8" t="inlineStr">
        <is>
          <t>Federal political contribution tax credit</t>
        </is>
      </c>
      <c r="HMG8" t="inlineStr">
        <is>
          <t>Investment tax credit</t>
        </is>
      </c>
      <c r="HMH8" t="inlineStr">
        <is>
          <t>Labour-sponsored funds tax credit – Net cost</t>
        </is>
      </c>
      <c r="HMI8" t="inlineStr">
        <is>
          <t>Labour-sponsored funds tax credit – Allowable credit</t>
        </is>
      </c>
      <c r="HMJ8" t="inlineStr">
        <is>
          <t>Canada workers benefit advance payments received</t>
        </is>
      </c>
      <c r="HMK8" t="inlineStr">
        <is>
          <t>Net federal tax before inclusion of CWB advance payments and special taxes</t>
        </is>
      </c>
      <c r="HML8" t="inlineStr">
        <is>
          <t>Special taxes</t>
        </is>
      </c>
      <c r="HMM8" t="inlineStr">
        <is>
          <t>Net Federal Tax</t>
        </is>
      </c>
      <c r="HMN8" t="inlineStr">
        <is>
          <t>Federal tax on split income</t>
        </is>
      </c>
      <c r="HMO8" t="inlineStr">
        <is>
          <t>Federal dividend tax credit</t>
        </is>
      </c>
      <c r="HMP8" t="inlineStr">
        <is>
          <t>Minimum tax carry-over</t>
        </is>
      </c>
      <c r="HMQ8" t="inlineStr">
        <is>
          <t>Provincial or territorial tax</t>
        </is>
      </c>
      <c r="HMR8" t="inlineStr">
        <is>
          <t>Non-business income tax paid to a foreign country</t>
        </is>
      </c>
      <c r="HMS8" t="inlineStr">
        <is>
          <t>Yukon First Nations tax</t>
        </is>
      </c>
      <c r="HMT8" t="inlineStr">
        <is>
          <t>Net foreign non-business income</t>
        </is>
      </c>
      <c r="HMU8" t="inlineStr">
        <is>
          <t>Business income tax paid to a foreign country</t>
        </is>
      </c>
      <c r="HMV8" t="inlineStr">
        <is>
          <t>Total payable</t>
        </is>
      </c>
      <c r="HMW8" t="inlineStr">
        <is>
          <t>Total income tax deducted</t>
        </is>
      </c>
      <c r="HMX8" t="inlineStr">
        <is>
          <t>Tax transfer for residents of Quebec</t>
        </is>
      </c>
      <c r="HMY8" t="inlineStr">
        <is>
          <t>Net foreign business income</t>
        </is>
      </c>
      <c r="HMZ8" t="inlineStr">
        <is>
          <t>Refundable Quebec abatement</t>
        </is>
      </c>
      <c r="HNA8" t="inlineStr">
        <is>
          <t>Federal refundable First Nations abatement</t>
        </is>
      </c>
      <c r="HNB8" t="inlineStr">
        <is>
          <t>CPP overpayment</t>
        </is>
      </c>
      <c r="HNC8" t="inlineStr">
        <is>
          <t>Climate action incentive</t>
        </is>
      </c>
      <c r="HND8" t="inlineStr">
        <is>
          <t>Employment insurance overpayment</t>
        </is>
      </c>
      <c r="HNE8" t="inlineStr">
        <is>
          <t>Refundable medical expense supplement</t>
        </is>
      </c>
      <c r="HNF8" t="inlineStr">
        <is>
          <t>Canada workers benefit (Working income tax benefit)</t>
        </is>
      </c>
      <c r="HNG8" t="inlineStr">
        <is>
          <t>Refund of investment tax credit</t>
        </is>
      </c>
      <c r="HNH8" t="inlineStr">
        <is>
          <t>Part XII.2 trust tax credit</t>
        </is>
      </c>
      <c r="HNI8" t="inlineStr">
        <is>
          <t>Employee and partner GST/HST rebate</t>
        </is>
      </c>
      <c r="HNJ8" t="inlineStr">
        <is>
          <t>Direct deposit – Branch number</t>
        </is>
      </c>
      <c r="HNK8" t="inlineStr">
        <is>
          <t>Direct deposit – Institution number</t>
        </is>
      </c>
      <c r="HNL8" t="inlineStr">
        <is>
          <t>Direct deposit – Account number</t>
        </is>
      </c>
      <c r="HNM8" t="inlineStr">
        <is>
          <t>Donation to the Ontario opportunities fund</t>
        </is>
      </c>
      <c r="HNN8" t="inlineStr">
        <is>
          <t>Net refund</t>
        </is>
      </c>
      <c r="HNO8" t="inlineStr">
        <is>
          <t>Supplies expenses for eligible educator school supply tax credit</t>
        </is>
      </c>
      <c r="HNP8" t="inlineStr">
        <is>
          <t>Eligible educator school supply tax credit</t>
        </is>
      </c>
      <c r="HNQ8" t="inlineStr">
        <is>
          <t>Tax paid by instalments</t>
        </is>
      </c>
      <c r="HNR8" t="inlineStr">
        <is>
          <t>Provincial or territorial credits</t>
        </is>
      </c>
      <c r="HNS8" t="inlineStr">
        <is>
          <t>Refund</t>
        </is>
      </c>
      <c r="HNT8" t="inlineStr">
        <is>
          <t>Balance owing</t>
        </is>
      </c>
      <c r="HNU8" t="inlineStr">
        <is>
          <t>Amount enclosed</t>
        </is>
      </c>
      <c r="HNV8" t="inlineStr">
        <is>
          <t>Volunteer program</t>
        </is>
      </c>
      <c r="HNW8" t="inlineStr">
        <is>
          <t>Refund transfer</t>
        </is>
      </c>
      <c r="HNX8" t="inlineStr">
        <is>
          <t>Tax preparer code</t>
        </is>
      </c>
      <c r="HNY8" t="inlineStr">
        <is>
          <t>EI and PPIP premiums (non-Quebec return)</t>
        </is>
      </c>
      <c r="HNZ8" t="inlineStr">
        <is>
          <t>Total PPIP premiums</t>
        </is>
      </c>
      <c r="HOA8" t="inlineStr">
        <is>
          <t>Total EI premiums</t>
        </is>
      </c>
      <c r="HOB8" t="inlineStr">
        <is>
          <t>PPIP indicator</t>
        </is>
      </c>
      <c r="HOC8" t="inlineStr">
        <is>
          <t>QPP contributions</t>
        </is>
      </c>
      <c r="HOD8" t="inlineStr">
        <is>
          <t>QPP contributions on self-employment and other earnings</t>
        </is>
      </c>
      <c r="HOE8" t="inlineStr">
        <is>
          <t>Actual total contributions on QPP pensionable earnings</t>
        </is>
      </c>
      <c r="HOF8" t="inlineStr">
        <is>
          <t>Actual total contributions on CPP pensionable earnings</t>
        </is>
      </c>
      <c r="HOG8" t="inlineStr">
        <is>
          <t>Capital gains at 100%</t>
        </is>
      </c>
      <c r="HOH8" t="inlineStr">
        <is>
          <t>Dependant’s net income (line 23600 of his or her return)</t>
        </is>
      </c>
      <c r="HOI8" t="inlineStr">
        <is>
          <t>Canada caregiver amount for spouse or common-law partner</t>
        </is>
      </c>
      <c r="HOJ8" t="inlineStr">
        <is>
          <t>Canada caregiver amount for a dependant (other than an infirm child under 18 year of age)</t>
        </is>
      </c>
      <c r="HOK8" t="inlineStr">
        <is>
          <t>Total number of dependants</t>
        </is>
      </c>
      <c r="HOL8" t="inlineStr">
        <is>
          <t>Number of full weeks in attendance at a designated educational institution or secondary school</t>
        </is>
      </c>
      <c r="HOM8" t="inlineStr">
        <is>
          <t>Earnings for services performed in Canada on which the foreign social security contributions were made</t>
        </is>
      </c>
      <c r="HON8" t="inlineStr">
        <is>
          <t>Amount contributed to a foreign social security arrangement</t>
        </is>
      </c>
      <c r="HOO8" t="inlineStr">
        <is>
          <t>Allowable non-refundable tax credit for contributions to a foreign social security arrangement</t>
        </is>
      </c>
      <c r="HOP8" t="inlineStr">
        <is>
          <t>Contributions to a foreign employer-sponsored pension plan</t>
        </is>
      </c>
      <c r="HOQ8" t="inlineStr">
        <is>
          <t>Resident compensation from employment services</t>
        </is>
      </c>
      <c r="HOR8" t="inlineStr">
        <is>
          <t>Pension adjustment from a U.S. retirement plan/Prescribed amount from a U.S. retirement plan/Pension adjustment from a foreign employer-sponsored pension plan</t>
        </is>
      </c>
      <c r="HOS8" t="inlineStr">
        <is>
          <t>Contributions to a U.S. retirement plan</t>
        </is>
      </c>
      <c r="HOT8" t="inlineStr">
        <is>
          <t>Contributions to a U.S. retirement plan</t>
        </is>
      </c>
      <c r="HOU8" t="inlineStr">
        <is>
          <t>Spouse’s or common-law partner’s capital gains from mortgage foreclosures and conditional sales repossessions</t>
        </is>
      </c>
      <c r="HOV8" t="inlineStr">
        <is>
          <t>Spouse’s or common-law partner’s net-income while the taxpayer is living in Canada</t>
        </is>
      </c>
      <c r="HOW8" t="inlineStr">
        <is>
          <t>Spouse’s or common-law partner’s net-income while the taxpayer is living outside of Canada</t>
        </is>
      </c>
      <c r="HOX8" t="inlineStr">
        <is>
          <t>Net foreign non-business income from the first foreign country</t>
        </is>
      </c>
      <c r="HOY8" t="inlineStr">
        <is>
          <t>Net foreign non-business income from the second foreign country</t>
        </is>
      </c>
      <c r="HOZ8" t="inlineStr">
        <is>
          <t>Net foreign non-business income from the third foreign country</t>
        </is>
      </c>
      <c r="HPA8" t="inlineStr">
        <is>
          <t>Business income tax paid to the first foreign country</t>
        </is>
      </c>
      <c r="HPB8" t="inlineStr">
        <is>
          <t>Non-business income tax paid to first foreign country</t>
        </is>
      </c>
      <c r="HPC8" t="inlineStr">
        <is>
          <t>Non-business income tax paid to second foreign country</t>
        </is>
      </c>
      <c r="HPD8" t="inlineStr">
        <is>
          <t>Non-business income tax paid to third foreign country</t>
        </is>
      </c>
      <c r="HPE8" t="inlineStr">
        <is>
          <t>Net business income from the first foreign country</t>
        </is>
      </c>
      <c r="HPF8" t="inlineStr">
        <is>
          <t>Net business income from the second foreign country</t>
        </is>
      </c>
      <c r="HPG8" t="inlineStr">
        <is>
          <t>Net business income from the third foreign country</t>
        </is>
      </c>
      <c r="HPH8" t="inlineStr">
        <is>
          <t>Business income tax paid to the second foreign country</t>
        </is>
      </c>
      <c r="HPI8" t="inlineStr">
        <is>
          <t>Business income tax paid to the third foreign country</t>
        </is>
      </c>
      <c r="HPJ8" t="inlineStr">
        <is>
          <t>Vow of perpetual poverty</t>
        </is>
      </c>
      <c r="HPK8" t="inlineStr">
        <is>
          <t>Canadian sourced non-resident income, excluding the income subject to Part XIII tax</t>
        </is>
      </c>
      <c r="HPL8" t="inlineStr">
        <is>
          <t>Canadian sourced non-resident income subject to Part XIII tax plus foreign sourced non-resident income</t>
        </is>
      </c>
      <c r="HPM8" t="inlineStr">
        <is>
          <t>BC logging tax paid</t>
        </is>
      </c>
      <c r="HPN8" t="inlineStr">
        <is>
          <t>QC logging tax paid</t>
        </is>
      </c>
      <c r="HPO8" t="inlineStr">
        <is>
          <t>Total QPP pensionable earnings</t>
        </is>
      </c>
      <c r="HPP8" t="inlineStr">
        <is>
          <t>Total CPP pensionable earnings</t>
        </is>
      </c>
      <c r="HPQ8" t="inlineStr">
        <is>
          <t>Indicator for filing due date for tax shelter, or inactive or active business income</t>
        </is>
      </c>
      <c r="HPR8" t="inlineStr">
        <is>
          <t>BC logging income</t>
        </is>
      </c>
      <c r="HPS8" t="inlineStr">
        <is>
          <t>CCA on certified film property</t>
        </is>
      </c>
      <c r="HPT8" t="inlineStr">
        <is>
          <t>Ineligible pension income</t>
        </is>
      </c>
      <c r="HPU8" t="inlineStr">
        <is>
          <t>Income with tax withheld supported by information slips</t>
        </is>
      </c>
      <c r="HPV8" t="inlineStr">
        <is>
          <t>T4 earning reduction</t>
        </is>
      </c>
      <c r="HPW8" t="inlineStr">
        <is>
          <t>Quebec tax deducted (from slips in the taxpayer's name)</t>
        </is>
      </c>
      <c r="HPX8" t="inlineStr">
        <is>
          <t>Income on which Quebec tax was withheld (from slips in the taxpayer's name)</t>
        </is>
      </c>
      <c r="HPY8" t="inlineStr">
        <is>
          <t>Amount of OAS pension repaid</t>
        </is>
      </c>
      <c r="HPZ8" t="inlineStr">
        <is>
          <t>Limited partnership loss carryforward from 1986 and 1987</t>
        </is>
      </c>
      <c r="HQA8" t="inlineStr">
        <is>
          <t>Limited partnership loss available for carryforward</t>
        </is>
      </c>
      <c r="HQB8" t="inlineStr">
        <is>
          <t>Amount of self-employment net earnings reported at self-employed lines in relation to T4 self-employment on which EI premiums through employment were deducted</t>
        </is>
      </c>
      <c r="HQC8" t="inlineStr">
        <is>
          <t>Shareholder's loan repayment</t>
        </is>
      </c>
      <c r="HQD8" t="inlineStr">
        <is>
          <t>QC logging income</t>
        </is>
      </c>
      <c r="HQE8" t="inlineStr">
        <is>
          <t>Spouse's or common-law partner's total split income</t>
        </is>
      </c>
      <c r="HQF8" t="inlineStr">
        <is>
          <t>Net business income (amount from line 27 of Schedule L of the Quebec provincial income tax return)</t>
        </is>
      </c>
      <c r="HQG8" t="inlineStr">
        <is>
          <t>Employment income where the province or territory of employment is other than Quebec</t>
        </is>
      </c>
      <c r="HQH8" t="inlineStr">
        <is>
          <t>PPIP insurable earnings</t>
        </is>
      </c>
      <c r="HQI8" t="inlineStr">
        <is>
          <t>Shareholder earnings</t>
        </is>
      </c>
      <c r="HQJ8" t="inlineStr">
        <is>
          <t>Tax-exempt self-employment income earned by a status indian</t>
        </is>
      </c>
      <c r="HQK8" t="inlineStr">
        <is>
          <t>Taxable income from the post-bankruptcy period</t>
        </is>
      </c>
      <c r="HQL8" t="inlineStr">
        <is>
          <t>EI insurable earnings</t>
        </is>
      </c>
      <c r="HQM8" t="inlineStr">
        <is>
          <t>EI and other benefits repaid</t>
        </is>
      </c>
      <c r="HQN8" t="inlineStr">
        <is>
          <t>Farm/fish loss</t>
        </is>
      </c>
      <c r="HQO8" t="inlineStr">
        <is>
          <t>Total section 31 farm loss</t>
        </is>
      </c>
      <c r="HQP8" t="inlineStr">
        <is>
          <t>Restricted farm loss</t>
        </is>
      </c>
      <c r="HQQ8" t="inlineStr">
        <is>
          <t>RRSP earned income calculation</t>
        </is>
      </c>
      <c r="HQR8" t="inlineStr">
        <is>
          <t>Home Buyers' Plan (HBP) participant repayment amount</t>
        </is>
      </c>
      <c r="HQS8" t="inlineStr">
        <is>
          <t>Lifelong Learning Plan (LLP) participant repayment amount</t>
        </is>
      </c>
      <c r="HQT8" t="inlineStr">
        <is>
          <t>Indicator for marital status change</t>
        </is>
      </c>
      <c r="HQU8" t="inlineStr">
        <is>
          <t>Spousal indicator</t>
        </is>
      </c>
      <c r="HQV8" t="inlineStr">
        <is>
          <t>Marital status change indicator for the amount for an eligible dependant</t>
        </is>
      </c>
      <c r="HQW8" t="inlineStr">
        <is>
          <t>Earned income adjustment amount</t>
        </is>
      </c>
      <c r="HQX8" t="inlineStr">
        <is>
          <t>Net self-employment income (loss) adjustment amount</t>
        </is>
      </c>
      <c r="HQY8" t="inlineStr">
        <is>
          <t>RDSP repayment by taxpayer</t>
        </is>
      </c>
      <c r="HQZ8" t="inlineStr">
        <is>
          <t>RDSP income of spouse or common-law partner</t>
        </is>
      </c>
      <c r="HRA8" t="inlineStr">
        <is>
          <t>RDSP repayment by spouse or common-law partner</t>
        </is>
      </c>
      <c r="HRB8" t="inlineStr">
        <is>
          <t>Number of months of retirement</t>
        </is>
      </c>
      <c r="HRC8" t="inlineStr">
        <is>
          <t>Number of months of disability</t>
        </is>
      </c>
      <c r="HRD8" t="inlineStr">
        <is>
          <t>CPP/QPP retirement benefits</t>
        </is>
      </c>
      <c r="HRE8" t="inlineStr">
        <is>
          <t>Basic personal amount</t>
        </is>
      </c>
      <c r="HRF8" t="inlineStr">
        <is>
          <t>Age amount</t>
        </is>
      </c>
      <c r="HRG8" t="inlineStr">
        <is>
          <t>Spousal or common-law law partner amount</t>
        </is>
      </c>
      <c r="HRH8" t="inlineStr">
        <is>
          <t>Amount for an eligible dependant</t>
        </is>
      </c>
      <c r="HRI8" t="inlineStr">
        <is>
          <t>Caregiver amount for spouse or common-law partner, or eligible dependant age 18 or older</t>
        </is>
      </c>
      <c r="HRJ8" t="inlineStr">
        <is>
          <t>British Columbia caregiver amount</t>
        </is>
      </c>
      <c r="HRK8" t="inlineStr">
        <is>
          <t>Caregiver amount for infirm dependants age 18 or older</t>
        </is>
      </c>
      <c r="HRL8" t="inlineStr">
        <is>
          <t>Ontario caregiver amount</t>
        </is>
      </c>
      <c r="HRM8" t="inlineStr">
        <is>
          <t>Caregiver amount for infirm children under 18 years of age</t>
        </is>
      </c>
      <c r="HRN8" t="inlineStr">
        <is>
          <t>Amount for infirm dependants age 18 or older</t>
        </is>
      </c>
      <c r="HRO8" t="inlineStr">
        <is>
          <t>Number of children</t>
        </is>
      </c>
      <c r="HRP8" t="inlineStr">
        <is>
          <t>Amount for dependent children age 18 or younger</t>
        </is>
      </c>
      <c r="HRQ8" t="inlineStr">
        <is>
          <t>Senior supplementary amount</t>
        </is>
      </c>
      <c r="HRR8" t="inlineStr">
        <is>
          <t>Number of months being claimed for all qualifying children</t>
        </is>
      </c>
      <c r="HRS8" t="inlineStr">
        <is>
          <t>Amount for young children</t>
        </is>
      </c>
      <c r="HRT8" t="inlineStr">
        <is>
          <t>CPP or QPP contributions</t>
        </is>
      </c>
      <c r="HRU8" t="inlineStr">
        <is>
          <t>CPP or QPP contributions on self-employment and other earnings</t>
        </is>
      </c>
      <c r="HRV8" t="inlineStr">
        <is>
          <t>Employment insurance premiums</t>
        </is>
      </c>
      <c r="HRW8" t="inlineStr">
        <is>
          <t>Employment insurance premiums on self-employment and other eligible earnings</t>
        </is>
      </c>
      <c r="HRX8" t="inlineStr">
        <is>
          <t>Canada employment amount</t>
        </is>
      </c>
      <c r="HRY8" t="inlineStr">
        <is>
          <t>Volunteer firefighters’ amount</t>
        </is>
      </c>
      <c r="HRZ8" t="inlineStr">
        <is>
          <t>Search and rescue volunteers’ amount</t>
        </is>
      </c>
      <c r="HSA8" t="inlineStr">
        <is>
          <t>Child care amount</t>
        </is>
      </c>
      <c r="HSB8" t="inlineStr">
        <is>
          <t>Fitness amount</t>
        </is>
      </c>
      <c r="HSC8" t="inlineStr">
        <is>
          <t>Children’s arts amount</t>
        </is>
      </c>
      <c r="HSD8" t="inlineStr">
        <is>
          <t>Adoption expenses</t>
        </is>
      </c>
      <c r="HSE8" t="inlineStr">
        <is>
          <t>First-time home buyers’ amount</t>
        </is>
      </c>
      <c r="HSF8" t="inlineStr">
        <is>
          <t>Pension income amount</t>
        </is>
      </c>
      <c r="HSG8" t="inlineStr">
        <is>
          <t>Caregiver amount</t>
        </is>
      </c>
      <c r="HSH8" t="inlineStr">
        <is>
          <t>Disability amount (for self)</t>
        </is>
      </c>
      <c r="HSI8" t="inlineStr">
        <is>
          <t>Disability amount transferred from a dependant</t>
        </is>
      </c>
      <c r="HSJ8" t="inlineStr">
        <is>
          <t>Teacher school supply amount</t>
        </is>
      </c>
      <c r="HSK8" t="inlineStr">
        <is>
          <t>Interest paid on your student loans</t>
        </is>
      </c>
      <c r="HSL8" t="inlineStr">
        <is>
          <t>Your tuition and education amounts</t>
        </is>
      </c>
      <c r="HSM8" t="inlineStr">
        <is>
          <t>Your unused tuition and education amounts</t>
        </is>
      </c>
      <c r="HSN8" t="inlineStr">
        <is>
          <t>Your tuition, education, and textbook amounts</t>
        </is>
      </c>
      <c r="HSO8" t="inlineStr">
        <is>
          <t>Tuition and education amounts transferred from a child</t>
        </is>
      </c>
      <c r="HSP8" t="inlineStr">
        <is>
          <t>Tuition amounts transferred from a child NB428</t>
        </is>
      </c>
      <c r="HSQ8" t="inlineStr">
        <is>
          <t>Tuition, education, and textbook amounts transferred from a child</t>
        </is>
      </c>
      <c r="HSR8" t="inlineStr">
        <is>
          <t>Amounts transferred from your spouse or common-law partner</t>
        </is>
      </c>
      <c r="HSS8" t="inlineStr">
        <is>
          <t>Medical expenses for self, spouse or common-law partner, and your dependent children under 18 years of age</t>
        </is>
      </c>
      <c r="HST8" t="inlineStr">
        <is>
          <t>Allowable amount of medical expenses for other dependants</t>
        </is>
      </c>
      <c r="HSU8" t="inlineStr">
        <is>
          <t>Total tax-exempt employment earnings</t>
        </is>
      </c>
      <c r="HSV8" t="inlineStr">
        <is>
          <t>Allowable amount of medical expenses</t>
        </is>
      </c>
      <c r="HSW8" t="inlineStr">
        <is>
          <t>Add lines 58040 to 58640 (and line 61470 for MB) and line 58769</t>
        </is>
      </c>
      <c r="HSX8" t="inlineStr">
        <is>
          <t>Total tax-exempt self-employment earnings and other tax-exempt earned income</t>
        </is>
      </c>
      <c r="HSY8" t="inlineStr">
        <is>
          <t>Total eligible PRPP contributions from tax-exempt income</t>
        </is>
      </c>
      <c r="HSZ8" t="inlineStr">
        <is>
          <t>PRPP contributions from tax-exempt income designated as a repayment under the HBP</t>
        </is>
      </c>
      <c r="HTA8" t="inlineStr">
        <is>
          <t>Provincial or territorial non-refundable tax credits before donations and gifts</t>
        </is>
      </c>
      <c r="HTB8" t="inlineStr">
        <is>
          <t>Non-refundable tax credits before donations and gifts and the farmers’ food donation tax credit</t>
        </is>
      </c>
      <c r="HTC8" t="inlineStr">
        <is>
          <t>Donations and gifts</t>
        </is>
      </c>
      <c r="HTD8" t="inlineStr">
        <is>
          <t>PRPP contributions from tax-exempt income designated as a repayment under the LLP</t>
        </is>
      </c>
      <c r="HTE8" t="inlineStr">
        <is>
          <t>BC farmers’ food donation tax credit</t>
        </is>
      </c>
      <c r="HTF8" t="inlineStr">
        <is>
          <t>Spouse’s or common-law partner’s amount for young children less than 6 years of age</t>
        </is>
      </c>
      <c r="HTG8" t="inlineStr">
        <is>
          <t>Spouse’s or common-law partner’s amount for dependent children age 18 or younger</t>
        </is>
      </c>
      <c r="HTH8" t="inlineStr">
        <is>
          <t>Spouse’s or common-law partner’s age amount</t>
        </is>
      </c>
      <c r="HTI8" t="inlineStr">
        <is>
          <t>Spouse’s or common-law partner’s senior supplementary amount</t>
        </is>
      </c>
      <c r="HTJ8" t="inlineStr">
        <is>
          <t>Spouse’s or common-law partner’s provincial/territorial caregiver amount for infirm children under 18 years of age</t>
        </is>
      </c>
      <c r="HTK8" t="inlineStr">
        <is>
          <t>Spouse’s or common-law partner’s pension income amount</t>
        </is>
      </c>
      <c r="HTL8" t="inlineStr">
        <is>
          <t>Spouse’s or common-law partner’s disability amount</t>
        </is>
      </c>
      <c r="HTM8" t="inlineStr">
        <is>
          <t>Tuition and education amounts designated by your spouse or common-law partner</t>
        </is>
      </c>
      <c r="HTN8" t="inlineStr">
        <is>
          <t>Tuition amounts designated by your spouse or common-law partner</t>
        </is>
      </c>
      <c r="HTO8" t="inlineStr">
        <is>
          <t>Tuition, education, and textbook amounts designated by your spouse or common-law partner</t>
        </is>
      </c>
      <c r="HTP8" t="inlineStr">
        <is>
          <t>Spouse’s or common-law partner’s adjusted taxable income</t>
        </is>
      </c>
      <c r="HTQ8" t="inlineStr">
        <is>
          <t>Eligible tuition fees paid for the current tax year</t>
        </is>
      </c>
      <c r="HTR8" t="inlineStr">
        <is>
          <t>Part-time education amount</t>
        </is>
      </c>
      <c r="HTS8" t="inlineStr">
        <is>
          <t>Part-time education and textbook amounts</t>
        </is>
      </c>
      <c r="HTT8" t="inlineStr">
        <is>
          <t>Full-time education amount</t>
        </is>
      </c>
      <c r="HTU8" t="inlineStr">
        <is>
          <t>Full-time education and textbook amounts</t>
        </is>
      </c>
      <c r="HTV8" t="inlineStr">
        <is>
          <t>Provincial amount transferred</t>
        </is>
      </c>
      <c r="HTW8" t="inlineStr">
        <is>
          <t>Territorial amount transferred</t>
        </is>
      </c>
      <c r="HTX8" t="inlineStr">
        <is>
          <t>Provincial tuition amount transferred</t>
        </is>
      </c>
      <c r="HTY8" t="inlineStr">
        <is>
          <t>Territorial tuition amount transferred</t>
        </is>
      </c>
      <c r="HTZ8" t="inlineStr">
        <is>
          <t>Amount for infirm dependants age 18 or older</t>
        </is>
      </c>
      <c r="HUA8" t="inlineStr">
        <is>
          <t>Caregiver amount</t>
        </is>
      </c>
      <c r="HUB8" t="inlineStr">
        <is>
          <t>Disability amount (for self)</t>
        </is>
      </c>
      <c r="HUC8" t="inlineStr">
        <is>
          <t>Disability amount transferred from a dependant</t>
        </is>
      </c>
      <c r="HUD8" t="inlineStr">
        <is>
          <t>Amounts transferred from your spouse or common-law partner</t>
        </is>
      </c>
      <c r="HUE8" t="inlineStr">
        <is>
          <t>Allowable amount of medical expenses for other dependants</t>
        </is>
      </c>
      <c r="HUF8" t="inlineStr">
        <is>
          <t>Disability amount (for self)</t>
        </is>
      </c>
      <c r="HUG8" t="inlineStr">
        <is>
          <t>Disability amount transferred from a dependant</t>
        </is>
      </c>
      <c r="HUH8" t="inlineStr">
        <is>
          <t>Total provincial amounts designated to you by a student</t>
        </is>
      </c>
      <c r="HUI8" t="inlineStr">
        <is>
          <t>Amounts transferred from your spouse or common-law partner</t>
        </is>
      </c>
      <c r="HUJ8" t="inlineStr">
        <is>
          <t>Allowable amount of medical expenses for other dependants</t>
        </is>
      </c>
      <c r="HUK8" t="inlineStr">
        <is>
          <t>Program type from the current tax year</t>
        </is>
      </c>
      <c r="HUL8" t="inlineStr">
        <is>
          <t>Eligible tuition fees paid</t>
        </is>
      </c>
      <c r="HUM8" t="inlineStr">
        <is>
          <t>“Eligibility Maximum” from the current tax year</t>
        </is>
      </c>
      <c r="HUN8" t="inlineStr">
        <is>
          <t>Program type from the current tax year</t>
        </is>
      </c>
      <c r="HUO8" t="inlineStr">
        <is>
          <t>Eligible tuition fees paid</t>
        </is>
      </c>
      <c r="HUP8" t="inlineStr">
        <is>
          <t>Eligibility Maximum from the current tax year</t>
        </is>
      </c>
      <c r="HUQ8" t="inlineStr">
        <is>
          <t>Program type from the current tax year</t>
        </is>
      </c>
      <c r="HUR8" t="inlineStr">
        <is>
          <t>Eligible tuition fees paid</t>
        </is>
      </c>
      <c r="HUS8" t="inlineStr">
        <is>
          <t>Eligibility Maximum from the current tax year</t>
        </is>
      </c>
      <c r="HUT8" t="inlineStr">
        <is>
          <t>AB political contributions tax credit</t>
        </is>
      </c>
      <c r="HUU8" t="inlineStr">
        <is>
          <t>Investor tax credit – Current tax year</t>
        </is>
      </c>
      <c r="HUV8" t="inlineStr">
        <is>
          <t>Climate action incentive – Basic amount</t>
        </is>
      </c>
      <c r="HUW8" t="inlineStr">
        <is>
          <t>Climate action incentive – Amount for an eligible spouse or common-law partner</t>
        </is>
      </c>
      <c r="HUX8" t="inlineStr">
        <is>
          <t>Climate action incentive – Amount for a single parent’s qualified dependant</t>
        </is>
      </c>
      <c r="HUY8" t="inlineStr">
        <is>
          <t>Climate action incentive – Number of qualified dependants</t>
        </is>
      </c>
      <c r="HUZ8" t="inlineStr">
        <is>
          <t>Climate action incentive – Do you reside outside of a census metropolitan area on December 31 of the tax year, as defined by Statistics Canada?</t>
        </is>
      </c>
      <c r="HVA8" t="inlineStr">
        <is>
          <t>Basic sales tax credit</t>
        </is>
      </c>
      <c r="HVB8" t="inlineStr">
        <is>
          <t>Additional sales tax credit for spouse or common-law partner</t>
        </is>
      </c>
      <c r="HVC8" t="inlineStr">
        <is>
          <t>Home renovation expenses</t>
        </is>
      </c>
      <c r="HVD8" t="inlineStr">
        <is>
          <t>BC political contribution tax credit</t>
        </is>
      </c>
      <c r="HVE8" t="inlineStr">
        <is>
          <t>Employee share ownership plan tax credit</t>
        </is>
      </c>
      <c r="HVF8" t="inlineStr">
        <is>
          <t>Employee venture capital tax credit</t>
        </is>
      </c>
      <c r="HVG8" t="inlineStr">
        <is>
          <t>Home renovation expenses for seniors and persons with disabilities</t>
        </is>
      </c>
      <c r="HVH8" t="inlineStr">
        <is>
          <t>Venture capital tax credit – Current tax year</t>
        </is>
      </c>
      <c r="HVI8" t="inlineStr">
        <is>
          <t>Venture capital tax credit – First 60 days subsequent to the current tax year</t>
        </is>
      </c>
      <c r="HVJ8" t="inlineStr">
        <is>
          <t>Mining exploration tax credit</t>
        </is>
      </c>
      <c r="HVK8" t="inlineStr">
        <is>
          <t>Mining exploration tax credit allocated from a partnership</t>
        </is>
      </c>
      <c r="HVL8" t="inlineStr">
        <is>
          <t>Training tax credit (Individuals)</t>
        </is>
      </c>
      <c r="HVM8" t="inlineStr">
        <is>
          <t>Training tax credit (Employers)</t>
        </is>
      </c>
      <c r="HVN8" t="inlineStr">
        <is>
          <t>Shipbuilding and ship repair industry tax credit</t>
        </is>
      </c>
      <c r="HVO8" t="inlineStr">
        <is>
          <t>Age amount for spouse or common-law partner</t>
        </is>
      </c>
      <c r="HVP8" t="inlineStr">
        <is>
          <t>Disability amount for spouse or common-law partner</t>
        </is>
      </c>
      <c r="HVQ8" t="inlineStr">
        <is>
          <t>Number of disability claims for self or a dependant other than your spouse or common-law partner</t>
        </is>
      </c>
      <c r="HVR8" t="inlineStr">
        <is>
          <t>Number of disabled dependants 18 years of age or older</t>
        </is>
      </c>
      <c r="HVS8" t="inlineStr">
        <is>
          <t>Number of dependent children 18 years of age or younger</t>
        </is>
      </c>
      <c r="HVT8" t="inlineStr">
        <is>
          <t>Labour-sponsored funds tax credit</t>
        </is>
      </c>
      <c r="HVU8" t="inlineStr">
        <is>
          <t>Community enterprise development tax credit claimed</t>
        </is>
      </c>
      <c r="HVV8" t="inlineStr">
        <is>
          <t>Community enterprise development tax credit amount from Slip T2CEDTC (MAN.)</t>
        </is>
      </c>
      <c r="HVW8" t="inlineStr">
        <is>
          <t>Small business venture capital tax credit claimed</t>
        </is>
      </c>
      <c r="HVX8" t="inlineStr">
        <is>
          <t>Credit amount from Slip T2SBVCTC (MAN.)</t>
        </is>
      </c>
      <c r="HVY8" t="inlineStr">
        <is>
          <t>Employee share purchase tax credit claimed</t>
        </is>
      </c>
      <c r="HVZ8" t="inlineStr">
        <is>
          <t>Involuntary separation indicator</t>
        </is>
      </c>
      <c r="HWA8" t="inlineStr">
        <is>
          <t>Basic, age, and disability credits for spouse or common-law partner</t>
        </is>
      </c>
      <c r="HWB8" t="inlineStr">
        <is>
          <t>Mineral exploration tax credit claimed</t>
        </is>
      </c>
      <c r="HWC8" t="inlineStr">
        <is>
          <t>Total credit amounts from ESOP receipt(s)</t>
        </is>
      </c>
      <c r="HWD8" t="inlineStr">
        <is>
          <t>Number of disability claims for self or for a dependant other than your spouse or common-law partner</t>
        </is>
      </c>
      <c r="HWE8" t="inlineStr">
        <is>
          <t>Number of dependent children 18 years of age or younger</t>
        </is>
      </c>
      <c r="HWF8" t="inlineStr">
        <is>
          <t>Number of disabled dependants 18 years of age or older</t>
        </is>
      </c>
      <c r="HWG8" t="inlineStr">
        <is>
          <t>Number dependants with a mental or physical infirmity</t>
        </is>
      </c>
      <c r="HWH8" t="inlineStr">
        <is>
          <t>Number of dependent children – Reduction for dependent children age 18 or younger</t>
        </is>
      </c>
      <c r="HWI8" t="inlineStr">
        <is>
          <t>Number of dependent children – Credit for dependent children age 18 or younger</t>
        </is>
      </c>
      <c r="HWJ8" t="inlineStr">
        <is>
          <t>Application for the ON energy and property tax credit</t>
        </is>
      </c>
      <c r="HWK8" t="inlineStr">
        <is>
          <t>Application for the Northern ON energy credit</t>
        </is>
      </c>
      <c r="HWL8" t="inlineStr">
        <is>
          <t>Total personal tax credits</t>
        </is>
      </c>
      <c r="HWM8" t="inlineStr">
        <is>
          <t>Choice for delayed single OTB payment</t>
        </is>
      </c>
      <c r="HWN8" t="inlineStr">
        <is>
          <t>Application for the ON senior homeowners’ property tax grant</t>
        </is>
      </c>
      <c r="HWO8" t="inlineStr">
        <is>
          <t>Involuntary separation indicator</t>
        </is>
      </c>
      <c r="HWP8" t="inlineStr">
        <is>
          <t>Total rent paid</t>
        </is>
      </c>
      <c r="HWQ8" t="inlineStr">
        <is>
          <t>Total property tax paid</t>
        </is>
      </c>
      <c r="HWR8" t="inlineStr">
        <is>
          <t>School taxes paid</t>
        </is>
      </c>
      <c r="HWS8" t="inlineStr">
        <is>
          <t>Education property tax credit advance received</t>
        </is>
      </c>
      <c r="HWT8" t="inlineStr">
        <is>
          <t>Residing in a designated student residence</t>
        </is>
      </c>
      <c r="HWU8" t="inlineStr">
        <is>
          <t>Occupancy cost</t>
        </is>
      </c>
      <c r="HWV8" t="inlineStr">
        <is>
          <t>Gross school taxes assessed</t>
        </is>
      </c>
      <c r="HWW8" t="inlineStr">
        <is>
          <t>Family income from the homeowners’ school tax credit table</t>
        </is>
      </c>
      <c r="HWX8" t="inlineStr">
        <is>
          <t>Total home energy costs for principal residence on a reserve</t>
        </is>
      </c>
      <c r="HWY8" t="inlineStr">
        <is>
          <t>School taxes assessed</t>
        </is>
      </c>
      <c r="HWZ8" t="inlineStr">
        <is>
          <t>Total accommodation in a public long-term care home or non-profit long-term care home</t>
        </is>
      </c>
      <c r="HXA8" t="inlineStr">
        <is>
          <t>School tax credit for homeowners</t>
        </is>
      </c>
      <c r="HXB8" t="inlineStr">
        <is>
          <t>Total rent assist benefits received</t>
        </is>
      </c>
      <c r="HXC8" t="inlineStr">
        <is>
          <t>Percentage of social assistance</t>
        </is>
      </c>
      <c r="HXD8" t="inlineStr">
        <is>
          <t>Primary caregiver tax credit</t>
        </is>
      </c>
      <c r="HXE8" t="inlineStr">
        <is>
          <t>Fertility treatment tax credit</t>
        </is>
      </c>
      <c r="HXF8" t="inlineStr">
        <is>
          <t>Paid work experience tax credit</t>
        </is>
      </c>
      <c r="HXG8" t="inlineStr">
        <is>
          <t>Odour-control tax credit</t>
        </is>
      </c>
      <c r="HXH8" t="inlineStr">
        <is>
          <t>Green energy equipment tax credit (purchaser)</t>
        </is>
      </c>
      <c r="HXI8" t="inlineStr">
        <is>
          <t>Green energy equipment tax credit (manufacturer)</t>
        </is>
      </c>
      <c r="HXJ8" t="inlineStr">
        <is>
          <t>Book publishing tax credit</t>
        </is>
      </c>
      <c r="HXK8" t="inlineStr">
        <is>
          <t>Family tax benefit</t>
        </is>
      </c>
      <c r="HXL8" t="inlineStr">
        <is>
          <t>Cultural industries printing tax credit</t>
        </is>
      </c>
      <c r="HXM8" t="inlineStr">
        <is>
          <t>Community enterprise development tax credit</t>
        </is>
      </c>
      <c r="HXN8" t="inlineStr">
        <is>
          <t>Employee share purchase tax credit</t>
        </is>
      </c>
      <c r="HXO8" t="inlineStr">
        <is>
          <t>Farm and small business capital gains tax credit</t>
        </is>
      </c>
      <c r="HXP8" t="inlineStr">
        <is>
          <t>Provincial or territorial non-refundable tax credits</t>
        </is>
      </c>
      <c r="HXQ8" t="inlineStr">
        <is>
          <t>Provincial or territorial tax on split income</t>
        </is>
      </c>
      <c r="HXR8" t="inlineStr">
        <is>
          <t>Provincial or territorial dividend tax credit</t>
        </is>
      </c>
      <c r="HXS8" t="inlineStr">
        <is>
          <t>Provincial or territorial minimum tax carryover</t>
        </is>
      </c>
      <c r="HXT8" t="inlineStr">
        <is>
          <t>NB political contribution tax credit</t>
        </is>
      </c>
      <c r="HXU8" t="inlineStr">
        <is>
          <t>Unused low-income tax reduction from spouse or common-law partner</t>
        </is>
      </c>
      <c r="HXV8" t="inlineStr">
        <is>
          <t>Basic low-income tax reduction</t>
        </is>
      </c>
      <c r="HXW8" t="inlineStr">
        <is>
          <t>Low-income tax reduction for spouse or common-law partner</t>
        </is>
      </c>
      <c r="HXX8" t="inlineStr">
        <is>
          <t>Low-income tax reduction for an eligible dependant claimed on 30400</t>
        </is>
      </c>
      <c r="HXY8" t="inlineStr">
        <is>
          <t>Labour-sponsored venture capital tax credit</t>
        </is>
      </c>
      <c r="HXZ8" t="inlineStr">
        <is>
          <t>Small business investor tax credit</t>
        </is>
      </c>
      <c r="HYA8" t="inlineStr">
        <is>
          <t>Amount to carry back to the first prior year</t>
        </is>
      </c>
      <c r="HYB8" t="inlineStr">
        <is>
          <t>Amount to carry back to the second prior year</t>
        </is>
      </c>
      <c r="HYC8" t="inlineStr">
        <is>
          <t>Amount to carry back to the third prior year</t>
        </is>
      </c>
      <c r="HYD8" t="inlineStr">
        <is>
          <t>Resort property investment tax credit</t>
        </is>
      </c>
      <c r="HYE8" t="inlineStr">
        <is>
          <t>NL political contribution tax credit</t>
        </is>
      </c>
      <c r="HYF8" t="inlineStr">
        <is>
          <t>Direct equity tax credit</t>
        </is>
      </c>
      <c r="HYG8" t="inlineStr">
        <is>
          <t>Amount to carry back to the first prior year</t>
        </is>
      </c>
      <c r="HYH8" t="inlineStr">
        <is>
          <t>Amount to carry back to the second prior year</t>
        </is>
      </c>
      <c r="HYI8" t="inlineStr">
        <is>
          <t>MB political contribution tax credit</t>
        </is>
      </c>
      <c r="HYJ8" t="inlineStr">
        <is>
          <t>Amount to carry back to the third prior year</t>
        </is>
      </c>
      <c r="HYK8" t="inlineStr">
        <is>
          <t>Venture capital tax credit</t>
        </is>
      </c>
      <c r="HYL8" t="inlineStr">
        <is>
          <t>Amount to carry back to the first prior year</t>
        </is>
      </c>
      <c r="HYM8" t="inlineStr">
        <is>
          <t>Amount to carry back to the second prior year</t>
        </is>
      </c>
      <c r="HYN8" t="inlineStr">
        <is>
          <t>Amount to carry back to the third prior year</t>
        </is>
      </c>
      <c r="HYO8" t="inlineStr">
        <is>
          <t>Unused low-income tax reduction from the spouse or common-law partner</t>
        </is>
      </c>
      <c r="HYP8" t="inlineStr">
        <is>
          <t>Basic low-income tax reduction</t>
        </is>
      </c>
      <c r="HYQ8" t="inlineStr">
        <is>
          <t>Reduction for your spouse or common-law partner</t>
        </is>
      </c>
      <c r="HYR8" t="inlineStr">
        <is>
          <t>Reduction for an eligible dependant</t>
        </is>
      </c>
      <c r="HYS8" t="inlineStr">
        <is>
          <t>Basic low-income tax reduction</t>
        </is>
      </c>
      <c r="HYT8" t="inlineStr">
        <is>
          <t>Low-income tax reduction for spouse or common-law partner</t>
        </is>
      </c>
      <c r="HYU8" t="inlineStr">
        <is>
          <t>Low-income tax reduction for an eligible dependant</t>
        </is>
      </c>
      <c r="HYV8" t="inlineStr">
        <is>
          <t>NS political contribution tax credit</t>
        </is>
      </c>
      <c r="HYW8" t="inlineStr">
        <is>
          <t>Food bank tax credit for farmers</t>
        </is>
      </c>
      <c r="HYX8" t="inlineStr">
        <is>
          <t>Community food program donation tax credit for farmers</t>
        </is>
      </c>
      <c r="HYY8" t="inlineStr">
        <is>
          <t>Labour-sponsored venture capital tax credit</t>
        </is>
      </c>
      <c r="HYZ8" t="inlineStr">
        <is>
          <t>Equity tax credit</t>
        </is>
      </c>
      <c r="HZA8" t="inlineStr">
        <is>
          <t>Amount to carry back to the first prior year</t>
        </is>
      </c>
      <c r="HZB8" t="inlineStr">
        <is>
          <t>Amount to carry back to the second prior year</t>
        </is>
      </c>
      <c r="HZC8" t="inlineStr">
        <is>
          <t>Amount to carry back to the third prior year</t>
        </is>
      </c>
      <c r="HZD8" t="inlineStr">
        <is>
          <t>Volunteer firefighters’ tax credit</t>
        </is>
      </c>
      <c r="HZE8" t="inlineStr">
        <is>
          <t>Volunteer firefighters and ground search and rescue tax credit</t>
        </is>
      </c>
      <c r="HZF8" t="inlineStr">
        <is>
          <t>Amount claimed for foreign income on 25600 of the return that is exempt under a tax treaty</t>
        </is>
      </c>
      <c r="HZG8" t="inlineStr">
        <is>
          <t>Basic cost of living tax credit for self</t>
        </is>
      </c>
      <c r="HZH8" t="inlineStr">
        <is>
          <t>Cost of living tax credit supplement for spouse or common-law partner</t>
        </is>
      </c>
      <c r="HZI8" t="inlineStr">
        <is>
          <t>The basic credit for self claimed by the spouse or common-law partner</t>
        </is>
      </c>
      <c r="HZJ8" t="inlineStr">
        <is>
          <t>Cost of living tax credit supplement</t>
        </is>
      </c>
      <c r="HZK8" t="inlineStr">
        <is>
          <t>Northwest territories credit</t>
        </is>
      </c>
      <c r="HZL8" t="inlineStr">
        <is>
          <t>NT political contribution tax credit</t>
        </is>
      </c>
      <c r="HZM8" t="inlineStr">
        <is>
          <t>Seniors’ public transit tax credit</t>
        </is>
      </c>
      <c r="HZN8" t="inlineStr">
        <is>
          <t>ON political contribution tax credit</t>
        </is>
      </c>
      <c r="HZO8" t="inlineStr">
        <is>
          <t>Focused flow-through share tax credit</t>
        </is>
      </c>
      <c r="HZP8" t="inlineStr">
        <is>
          <t>Tax credits for self-employed individuals – Apprenticeships</t>
        </is>
      </c>
      <c r="HZQ8" t="inlineStr">
        <is>
          <t>Tax credits for self-employed individuals – Work placements</t>
        </is>
      </c>
      <c r="HZR8" t="inlineStr">
        <is>
          <t>Tax credits claimed as a member of a partnership</t>
        </is>
      </c>
      <c r="HZS8" t="inlineStr">
        <is>
          <t>Business number</t>
        </is>
      </c>
      <c r="HZT8" t="inlineStr">
        <is>
          <t>Apprenticeship training tax credit</t>
        </is>
      </c>
      <c r="HZU8" t="inlineStr">
        <is>
          <t>Co-operative education tax credit</t>
        </is>
      </c>
      <c r="HZV8" t="inlineStr">
        <is>
          <t>Unused low-income tax reduction from spouse or common-law partner</t>
        </is>
      </c>
      <c r="HZW8" t="inlineStr">
        <is>
          <t>Basic low-income tax reduction</t>
        </is>
      </c>
      <c r="HZX8" t="inlineStr">
        <is>
          <t>Age reduction for self</t>
        </is>
      </c>
      <c r="HZY8" t="inlineStr">
        <is>
          <t>Low-income tax reduction for spouse or common-law partner</t>
        </is>
      </c>
      <c r="HZZ8" t="inlineStr">
        <is>
          <t>Age reduction for spouse or common-law partner</t>
        </is>
      </c>
      <c r="IAA8" t="inlineStr">
        <is>
          <t>Low-income tax reduction for an eligible dependant</t>
        </is>
      </c>
      <c r="IAB8" t="inlineStr">
        <is>
          <t>PE political contribution tax credit</t>
        </is>
      </c>
      <c r="IAC8" t="inlineStr">
        <is>
          <t>Basic and certification tax credits (level 1 and/or level 2 of a non-Red Seal programs)</t>
        </is>
      </c>
      <c r="IAD8" t="inlineStr">
        <is>
          <t>Completion and certification tax credit (level 3 of a Red Seal or non-Red Seal program)</t>
        </is>
      </c>
      <c r="IAE8" t="inlineStr">
        <is>
          <t>Completion and certification tax credit (level 4 of a Red Seal or non-Red Seal program)</t>
        </is>
      </c>
      <c r="IAF8" t="inlineStr">
        <is>
          <t>Enhanced tax credit</t>
        </is>
      </c>
      <c r="IAG8" t="inlineStr">
        <is>
          <t>Basic tax credit</t>
        </is>
      </c>
      <c r="IAH8" t="inlineStr">
        <is>
          <t>Completion tax credit</t>
        </is>
      </c>
      <c r="IAI8" t="inlineStr">
        <is>
          <t>Enhanced tax credit</t>
        </is>
      </c>
      <c r="IAJ8" t="inlineStr">
        <is>
          <t>Equity tax credit</t>
        </is>
      </c>
      <c r="IAK8" t="inlineStr">
        <is>
          <t>Volunteer firefighter tax credit</t>
        </is>
      </c>
      <c r="IAL8" t="inlineStr">
        <is>
          <t>SK political contribution tax credit</t>
        </is>
      </c>
      <c r="IAM8" t="inlineStr">
        <is>
          <t>Labour-sponsored venture capital tax credit</t>
        </is>
      </c>
      <c r="IAN8" t="inlineStr">
        <is>
          <t>Mineral exploration tax credit</t>
        </is>
      </c>
      <c r="IAO8" t="inlineStr">
        <is>
          <t>Amount to carry back to the first prior year</t>
        </is>
      </c>
      <c r="IAP8" t="inlineStr">
        <is>
          <t>Amount to carry back to the second prior year</t>
        </is>
      </c>
      <c r="IAQ8" t="inlineStr">
        <is>
          <t>Amount to carry back to the third prior year</t>
        </is>
      </c>
      <c r="IAR8" t="inlineStr">
        <is>
          <t>Graduate tuition tax credit</t>
        </is>
      </c>
      <c r="IAS8" t="inlineStr">
        <is>
          <t>Number of qualifying children under 6 years of age</t>
        </is>
      </c>
      <c r="IAT8" t="inlineStr">
        <is>
          <t>Children’s fitness tax credit</t>
        </is>
      </c>
      <c r="IAU8" t="inlineStr">
        <is>
          <t>Small business investment tax credit</t>
        </is>
      </c>
      <c r="IAV8" t="inlineStr">
        <is>
          <t>Amount to carry back to the first prior year</t>
        </is>
      </c>
      <c r="IAW8" t="inlineStr">
        <is>
          <t>Amount to carry back to the second prior year</t>
        </is>
      </c>
      <c r="IAX8" t="inlineStr">
        <is>
          <t>Amount to carry back to the third prior year</t>
        </is>
      </c>
      <c r="IAY8" t="inlineStr">
        <is>
          <t>Labour-sponsored venture capital corporation tax credit</t>
        </is>
      </c>
      <c r="IAZ8" t="inlineStr">
        <is>
          <t>Amount to carry back to the first prior year</t>
        </is>
      </c>
      <c r="IBA8" t="inlineStr">
        <is>
          <t>Amount to carry back to the second prior year</t>
        </is>
      </c>
      <c r="IBB8" t="inlineStr">
        <is>
          <t>Amount to carry back to the third prior year</t>
        </is>
      </c>
      <c r="IBC8" t="inlineStr">
        <is>
          <t>Research and development tax credit</t>
        </is>
      </c>
      <c r="IBD8" t="inlineStr">
        <is>
          <t>YT political contribution tax credit</t>
        </is>
      </c>
      <c r="IBE8" t="inlineStr">
        <is>
          <t>Yukon First Nations income tax credit</t>
        </is>
      </c>
      <c r="IBF8" t="inlineStr">
        <is>
          <t>Cost of living supplement</t>
        </is>
      </c>
      <c r="IBG8" t="inlineStr">
        <is>
          <t>Total cost of living tax credit</t>
        </is>
      </c>
      <c r="IBH8" t="inlineStr">
        <is>
          <t>NU political contribution tax credit</t>
        </is>
      </c>
      <c r="IBI8" t="inlineStr">
        <is>
          <t>Total expenses eligible for the GST rebate</t>
        </is>
      </c>
      <c r="IBJ8" t="inlineStr">
        <is>
          <t>Total expenses eligible for the HST rebate</t>
        </is>
      </c>
      <c r="IBK8" t="inlineStr">
        <is>
          <t>Total expenses eligible for the HST rebate</t>
        </is>
      </c>
      <c r="IBL8" t="inlineStr">
        <is>
          <t>Benefits that can no longer be deferred</t>
        </is>
      </c>
      <c r="IBM8" t="inlineStr">
        <is>
          <t>Closing balance of deferred security option benefits</t>
        </is>
      </c>
      <c r="IBN8" t="inlineStr">
        <is>
          <t>Non-capital loss to be applied to the third prior year</t>
        </is>
      </c>
      <c r="IBO8" t="inlineStr">
        <is>
          <t>Non-capital loss to be applied to the second prior year</t>
        </is>
      </c>
      <c r="IBP8" t="inlineStr">
        <is>
          <t>Non-capital loss to be applied to the first prior year</t>
        </is>
      </c>
      <c r="IBQ8" t="inlineStr">
        <is>
          <t>Farming or fishing loss to be applied to the third prior year</t>
        </is>
      </c>
      <c r="IBR8" t="inlineStr">
        <is>
          <t>Farming or fishing loss to be applied to the second prior year</t>
        </is>
      </c>
      <c r="IBS8" t="inlineStr">
        <is>
          <t>Farming or fishing loss to be applied to the first prior year</t>
        </is>
      </c>
      <c r="IBT8" t="inlineStr">
        <is>
          <t>Net capital loss to be applied to the third prior year</t>
        </is>
      </c>
      <c r="IBU8" t="inlineStr">
        <is>
          <t>Net capital loss to be applied to the second prior year</t>
        </is>
      </c>
      <c r="IBV8" t="inlineStr">
        <is>
          <t>Net capital loss to be applied to the first prior year</t>
        </is>
      </c>
      <c r="IBW8" t="inlineStr">
        <is>
          <t>Listed personal property net loss to be applied to the third prior year listed personal property net gains</t>
        </is>
      </c>
      <c r="IBX8" t="inlineStr">
        <is>
          <t>Listed personal property net loss to be applied to the second prior year listed personal property net gains</t>
        </is>
      </c>
      <c r="IBY8" t="inlineStr">
        <is>
          <t>Listed personal property net loss to be applied to the first prior year listed personal property net gains</t>
        </is>
      </c>
      <c r="IBZ8" t="inlineStr">
        <is>
          <t>Restricted farm loss to be applied to the third prior year</t>
        </is>
      </c>
      <c r="ICA8" t="inlineStr">
        <is>
          <t>Restricted farm loss to be applied to the second prior year</t>
        </is>
      </c>
      <c r="ICB8" t="inlineStr">
        <is>
          <t>Restricted farm loss to be applied to the first prior year</t>
        </is>
      </c>
      <c r="ICC8" t="inlineStr">
        <is>
          <t>Amount of 2018 reserve for dispositions of QFFP to your child after 2009, and before April 21, 2015 and all other dispositions of QFFP after 2014 and before April 21, 2015</t>
        </is>
      </c>
      <c r="ICD8" t="inlineStr">
        <is>
          <t>Amount of 2019 reserve for dispositions of QFFP to your child after 2010, and before April 21, 2015, and all other dispositions of QFFP after 2015 and before April 21, 2015</t>
        </is>
      </c>
      <c r="ICE8" t="inlineStr">
        <is>
          <t>Amount of 2018 reserve for dispositions of QFFP after April 20, 2015</t>
        </is>
      </c>
      <c r="ICF8" t="inlineStr">
        <is>
          <t>Amount of 2019 reserve for dispositions of QFFP after April 20, 2015</t>
        </is>
      </c>
      <c r="ICG8" t="inlineStr">
        <is>
          <t>Amount of the most recent reserve claimed on line 66840</t>
        </is>
      </c>
      <c r="ICH8" t="inlineStr">
        <is>
          <t>Amount of 2019 reserve for dispositions of QSBCS to your child after 2010, and all other dispositions of QSBCS after 2015</t>
        </is>
      </c>
      <c r="ICI8" t="inlineStr">
        <is>
          <t>Amount of 2018 reserve for dispositions of QSBCS to your child after 2009, and all other dispositions of QSBCS after 2014</t>
        </is>
      </c>
      <c r="ICJ8" t="inlineStr">
        <is>
          <t>Amount of the most recent reserve claimed on line 66850</t>
        </is>
      </c>
      <c r="ICK8" t="inlineStr">
        <is>
          <t>Amount of 2018 reserve for dispositions to your child after 2009, of family farm or fishing property other than QFFP and of shares of capital stock of a small business corporation other than QSBCS</t>
        </is>
      </c>
      <c r="ICL8" t="inlineStr">
        <is>
          <t>Amount of 2019 reserve for dispositions to your child after 2010, of family farm or fishing property other than QFFP and of shares of capital stock of a small business corporation other than QSBCS</t>
        </is>
      </c>
      <c r="ICM8" t="inlineStr">
        <is>
          <t>Amount of 2018 reserve for dispositions of property after 2014, other than dispositions listed on lines 66815, 66843, 66883, and 66910</t>
        </is>
      </c>
      <c r="ICN8" t="inlineStr">
        <is>
          <t>Amount of 2019 reserve for dispositions of property after 2015, other than dispositions listed on lines 66840, 66844, 66850, and 66920</t>
        </is>
      </c>
      <c r="ICO8" t="inlineStr">
        <is>
          <t>Amount of 2018 reserve for dispositions before November 13, 1981</t>
        </is>
      </c>
      <c r="ICP8" t="inlineStr">
        <is>
          <t>Total capital reserves</t>
        </is>
      </c>
      <c r="ICQ8" t="inlineStr">
        <is>
          <t>ITC for total qualified expenditures for SR&amp;ED</t>
        </is>
      </c>
      <c r="ICR8" t="inlineStr">
        <is>
          <t>80% of total contributions made to agricultural organizations for SR&amp;ED</t>
        </is>
      </c>
      <c r="ICS8" t="inlineStr">
        <is>
          <t>ITC allocated from a partnership for SR&amp;ED</t>
        </is>
      </c>
      <c r="ICT8" t="inlineStr">
        <is>
          <t>ITC for total investments in qualified property</t>
        </is>
      </c>
      <c r="ICU8" t="inlineStr">
        <is>
          <t>Total flow-through mining expenditures</t>
        </is>
      </c>
      <c r="ICV8" t="inlineStr">
        <is>
          <t>Total apprenticeship job creation tax credit</t>
        </is>
      </c>
      <c r="ICW8" t="inlineStr">
        <is>
          <t>ITC for child care spaces</t>
        </is>
      </c>
      <c r="ICX8" t="inlineStr">
        <is>
          <t>Amount of expenditure on which ITC is recaptured at 15%</t>
        </is>
      </c>
      <c r="ICY8" t="inlineStr">
        <is>
          <t>Amount of expenditure on which ITC is recaptured at 20%</t>
        </is>
      </c>
      <c r="ICZ8" t="inlineStr">
        <is>
          <t>Total recapture of ITC for child care spaces</t>
        </is>
      </c>
      <c r="IDA8" t="inlineStr">
        <is>
          <t>Amount of carryback to the third previous year</t>
        </is>
      </c>
      <c r="IDB8" t="inlineStr">
        <is>
          <t>Amount of carryback to the second previous year</t>
        </is>
      </c>
      <c r="IDC8" t="inlineStr">
        <is>
          <t>Amount of carryback to the first previous year</t>
        </is>
      </c>
      <c r="IDD8" t="inlineStr">
        <is>
          <t>Maximum residency amount for residents of prescribed northern zones</t>
        </is>
      </c>
      <c r="IDE8" t="inlineStr">
        <is>
          <t>Non-taxable benefits for board and lodging at a special work site in a prescribed northern zone</t>
        </is>
      </c>
      <c r="IDF8" t="inlineStr">
        <is>
          <t>Maximum residency amount for residents of prescribed intermediate zones</t>
        </is>
      </c>
      <c r="IDG8" t="inlineStr">
        <is>
          <t>Non-taxable benefits for board and lodging at a special work site in a prescribed intermediate zone</t>
        </is>
      </c>
      <c r="IDH8" t="inlineStr">
        <is>
          <t>Total travel amount for trips from a prescribed northern zone</t>
        </is>
      </c>
      <c r="IDI8" t="inlineStr">
        <is>
          <t>Total travel amount for trips from a prescribed intermediate zone</t>
        </is>
      </c>
      <c r="IDJ8" t="inlineStr">
        <is>
          <t>Claim for tax shelter loss or deduction</t>
        </is>
      </c>
      <c r="IDK8" t="inlineStr">
        <is>
          <t>Amount of loss created or increased by CCA and carrying charges on certified film property</t>
        </is>
      </c>
      <c r="IDL8" t="inlineStr">
        <is>
          <t>Amount of loss created or increased by CCA and carrying charges on rental and leasing property</t>
        </is>
      </c>
      <c r="IDM8" t="inlineStr">
        <is>
          <t>Losses, amounts deductible and carrying charges for tax shelters, limited partnership, and non-active partners</t>
        </is>
      </c>
      <c r="IDN8" t="inlineStr">
        <is>
          <t>Total of all resource expenditures, depletion allowances, and carrying charges for resource property and flow-through shares</t>
        </is>
      </c>
      <c r="IDO8" t="inlineStr">
        <is>
          <t>Certain capital gains from graduated rate estates</t>
        </is>
      </c>
      <c r="IDP8" t="inlineStr">
        <is>
          <t>Part of total capital gains that is exempt from Canadian tax under a tax treaty</t>
        </is>
      </c>
      <c r="IDQ8" t="inlineStr">
        <is>
          <t>Capital gains on gifts of property to qualified donees</t>
        </is>
      </c>
      <c r="IDR8" t="inlineStr">
        <is>
          <t>Security options deductions under paragraph 110(1)(d)</t>
        </is>
      </c>
      <c r="IDS8" t="inlineStr">
        <is>
          <t>Gifts of securities acquired under a security option plan</t>
        </is>
      </c>
      <c r="IDT8" t="inlineStr">
        <is>
          <t>Other security options deductions included on line 24900</t>
        </is>
      </c>
      <c r="IDU8" t="inlineStr">
        <is>
          <t>Limited partnership losses incurred in prior years that are tax shelters</t>
        </is>
      </c>
      <c r="IDV8" t="inlineStr">
        <is>
          <t>Federal tax payable under alternative minimum tax</t>
        </is>
      </c>
      <c r="IDW8" t="inlineStr">
        <is>
          <t>Total child care expenses paid in the year</t>
        </is>
      </c>
      <c r="IDX8" t="inlineStr">
        <is>
          <t>Child care expenses incurred for a child age 6 or younger</t>
        </is>
      </c>
      <c r="IDY8" t="inlineStr">
        <is>
          <t>Basic limit for eligible children born in the current tax year or earlier for whom the disability amount can be claimed</t>
        </is>
      </c>
      <c r="IDZ8" t="inlineStr">
        <is>
          <t>Part C – Child care expenses paid by the other person with lower net income</t>
        </is>
      </c>
      <c r="IEA8" t="inlineStr">
        <is>
          <t>Part D – Child care expenses paid while enrolled in an educational program</t>
        </is>
      </c>
      <c r="IEB8" t="inlineStr">
        <is>
          <t>Total eligible pensions or superannuation, annuity and RRSP/RRIF payments (including life income fund) received</t>
        </is>
      </c>
      <c r="IEC8" t="inlineStr">
        <is>
          <t>Veteran’s benefits on T4A slips eligible for pension income splitting</t>
        </is>
      </c>
      <c r="IED8" t="inlineStr">
        <is>
          <t>Distributions on T4A-RCA slips eligible for pension income splitting</t>
        </is>
      </c>
      <c r="IEE8" t="inlineStr">
        <is>
          <t>Number of months married or living common-law in the current tax year</t>
        </is>
      </c>
      <c r="IEF8" t="inlineStr">
        <is>
          <t>Total tax deducted from the transferring spouse’s or common-law partner’s pension income</t>
        </is>
      </c>
      <c r="IEG8" t="inlineStr">
        <is>
          <t>Tax deducted for the elected split-pension amount</t>
        </is>
      </c>
      <c r="IEH8" t="inlineStr">
        <is>
          <t>Any other investment expenses claimed in the current tax year to earn property income</t>
        </is>
      </c>
      <c r="IEI8" t="inlineStr">
        <is>
          <t>Any other property income reported in the current tax year</t>
        </is>
      </c>
      <c r="IEJ8" t="inlineStr">
        <is>
          <t>50% of income from the recovery of exploration and development expenses</t>
        </is>
      </c>
      <c r="IEK8" t="inlineStr">
        <is>
          <t>Capital gains from T3 slips</t>
        </is>
      </c>
      <c r="IEL8" t="inlineStr">
        <is>
          <t>Non-eligible capital gains from T3 slips</t>
        </is>
      </c>
      <c r="IEM8" t="inlineStr">
        <is>
          <t>Special tax for Quebec LSVCC</t>
        </is>
      </c>
      <c r="IEN8" t="inlineStr">
        <is>
          <t>Excess employees profit-sharing plan amounts</t>
        </is>
      </c>
      <c r="IEO8" t="inlineStr">
        <is>
          <t>Proceeds from disposition of publicly traded shares, other shares and mutual fund units</t>
        </is>
      </c>
      <c r="IEP8" t="inlineStr">
        <is>
          <t>Gains eligible for 0% inclusion rate from the disposition of publicly traded shares, other shares and mutual funds units</t>
        </is>
      </c>
      <c r="IEQ8" t="inlineStr">
        <is>
          <t>Proceeds from disposition of bonds, debentures, promissory notes, and other properties (including ecologically sensitive land)</t>
        </is>
      </c>
      <c r="IER8" t="inlineStr">
        <is>
          <t>Gains eligible for 0% inclusion rate from the disposition of bonds, debentures, promissory notes, and other properties (including ecologically sensitive land)</t>
        </is>
      </c>
      <c r="IES8" t="inlineStr">
        <is>
          <t>Total of all accumulated income payments</t>
        </is>
      </c>
      <c r="IET8" t="inlineStr">
        <is>
          <t>Total of all accumulated income payments</t>
        </is>
      </c>
      <c r="IEU8" t="inlineStr">
        <is>
          <t>Taxable amount of dividends (eligible and other than eligible) from taxable Canadian corporations</t>
        </is>
      </c>
      <c r="IEV8" t="inlineStr">
        <is>
          <t>Taxable amount of dividends other than eligible dividends, included on line 68330, from taxable Canadian corporations</t>
        </is>
      </c>
      <c r="IEW8" t="inlineStr">
        <is>
          <t>Total split income</t>
        </is>
      </c>
      <c r="IEX8" t="inlineStr">
        <is>
          <t>Split income from foreign sources</t>
        </is>
      </c>
      <c r="IEY8" t="inlineStr">
        <is>
          <t>Total income from foreign sources</t>
        </is>
      </c>
      <c r="IEZ8" t="inlineStr">
        <is>
          <t>Current-year credit available</t>
        </is>
      </c>
      <c r="IFA8" t="inlineStr">
        <is>
          <t>Mining flow-through share tax credit</t>
        </is>
      </c>
      <c r="IFB8" t="inlineStr">
        <is>
          <t>Amount to carry back to the first prior year</t>
        </is>
      </c>
      <c r="IFC8" t="inlineStr">
        <is>
          <t>Amount to carry back to the second prior year</t>
        </is>
      </c>
      <c r="IFD8" t="inlineStr">
        <is>
          <t>Amount to carry back to the third prior year</t>
        </is>
      </c>
      <c r="IFE8" t="inlineStr">
        <is>
          <t>Current year tax credit available</t>
        </is>
      </c>
      <c r="IFF8" s="87" t="inlineStr">
        <is>
          <t>Tax Year Filed</t>
        </is>
      </c>
      <c r="IFG8" t="inlineStr">
        <is>
          <t>Taxing Province</t>
        </is>
      </c>
      <c r="IFH8" t="inlineStr">
        <is>
          <t>Marital Status</t>
        </is>
      </c>
      <c r="IFI8" t="inlineStr">
        <is>
          <t>Balance before penalty and interest</t>
        </is>
      </c>
      <c r="IFJ8" t="inlineStr">
        <is>
          <t>Balance before penalty and interest</t>
        </is>
      </c>
      <c r="IFK8" t="inlineStr">
        <is>
          <t>Final balance</t>
        </is>
      </c>
      <c r="IFL8" t="inlineStr">
        <is>
          <t>Basic federal tax</t>
        </is>
      </c>
      <c r="IFM8" t="inlineStr">
        <is>
          <t>Basic provincial or territorial tax</t>
        </is>
      </c>
      <c r="IFN8" t="inlineStr">
        <is>
          <t>Ontario Health Premium</t>
        </is>
      </c>
      <c r="IFO8" t="inlineStr">
        <is>
          <t>Employment income from T4 slips</t>
        </is>
      </c>
      <c r="IFP8" t="inlineStr">
        <is>
          <t>Commissions included on line 10100</t>
        </is>
      </c>
      <c r="IFQ8" t="inlineStr">
        <is>
          <t>Wage-loss replacement contributions</t>
        </is>
      </c>
      <c r="IFR8" t="inlineStr">
        <is>
          <t>Other employment income</t>
        </is>
      </c>
      <c r="IFS8" t="inlineStr">
        <is>
          <t>Proceeds from disposition of qualified small business corporation shares</t>
        </is>
      </c>
      <c r="IFT8" t="inlineStr">
        <is>
          <t>Gain (or loss) from disposition of qualified small business corporation shares</t>
        </is>
      </c>
      <c r="IFU8" t="inlineStr">
        <is>
          <t>Proceeds from disposition of qualified farm or fishing property</t>
        </is>
      </c>
      <c r="IFV8" t="inlineStr">
        <is>
          <t>Gain (or loss) from disposition of qualified farm or fishing property</t>
        </is>
      </c>
      <c r="IFW8" t="inlineStr">
        <is>
          <t>Old age security pension</t>
        </is>
      </c>
      <c r="IFX8" t="inlineStr">
        <is>
          <t>CPP or QPP benefits</t>
        </is>
      </c>
      <c r="IFY8" t="inlineStr">
        <is>
          <t>Other pensions and superannuation</t>
        </is>
      </c>
      <c r="IFZ8" t="inlineStr">
        <is>
          <t>Elected split-pension amount</t>
        </is>
      </c>
      <c r="IGA8" t="inlineStr">
        <is>
          <t>Universal child care benefit (UCCB)</t>
        </is>
      </c>
      <c r="IGB8" t="inlineStr">
        <is>
          <t>Employment insurance and other benefits</t>
        </is>
      </c>
      <c r="IGC8" t="inlineStr">
        <is>
          <t>Taxable amount of dividends (eligible and other than eligible) from taxable Canadian corporations</t>
        </is>
      </c>
      <c r="IGD8" t="inlineStr">
        <is>
          <t>Interest and other investment income</t>
        </is>
      </c>
      <c r="IGE8" t="inlineStr">
        <is>
          <t>Net partnership income: limited or non-active partners only</t>
        </is>
      </c>
      <c r="IGF8" t="inlineStr">
        <is>
          <t>Proceeds from disposition of mortgage foreclosures and conditional sales repossessions of a qualified farm or fishing property</t>
        </is>
      </c>
      <c r="IGG8" t="inlineStr">
        <is>
          <t>Gain (or loss) from disposition of mortgage foreclosures and conditional sales repossessions of a qualified farm or fishing property</t>
        </is>
      </c>
      <c r="IGH8" t="inlineStr">
        <is>
          <t>Registered disability savings plan (RDSP) income</t>
        </is>
      </c>
      <c r="IGI8" t="inlineStr">
        <is>
          <t>Net rental income (loss)</t>
        </is>
      </c>
      <c r="IGJ8" t="inlineStr">
        <is>
          <t>Taxable capital gains (or net capital loss)</t>
        </is>
      </c>
      <c r="IGK8" t="inlineStr">
        <is>
          <t>Taxable amount of support payments received Registered retirement savings plan (RRSP) income Other income</t>
        </is>
      </c>
      <c r="IGL8" t="inlineStr">
        <is>
          <t>Registered retirement savings plan (RRSP) income</t>
        </is>
      </c>
      <c r="IGM8" t="inlineStr">
        <is>
          <t>Other income</t>
        </is>
      </c>
      <c r="IGN8" t="inlineStr">
        <is>
          <t>Proceeds from disposition of publicly traded shares, mutual fund units, deferral of eligible small business corporation shares, and other shares</t>
        </is>
      </c>
      <c r="IGO8" t="inlineStr">
        <is>
          <t>Gain (or loss) from disposition of publicly traded shares, mutual fund units, deferral of eligible small business corporation shares, and other shares</t>
        </is>
      </c>
      <c r="IGP8" t="inlineStr">
        <is>
          <t>Net business income (loss)</t>
        </is>
      </c>
      <c r="IGQ8" t="inlineStr">
        <is>
          <t>Proceeds from disposition of real estate, depreciable property, and other properties</t>
        </is>
      </c>
      <c r="IGR8" t="inlineStr">
        <is>
          <t>Net professional income (loss)</t>
        </is>
      </c>
      <c r="IGS8" t="inlineStr">
        <is>
          <t>Gain (or loss) from disposition of real estate, depreciable property, and other properties</t>
        </is>
      </c>
      <c r="IGT8" t="inlineStr">
        <is>
          <t>Net commission income (loss)</t>
        </is>
      </c>
      <c r="IGU8" t="inlineStr">
        <is>
          <t>Net farming income (loss)</t>
        </is>
      </c>
      <c r="IGV8" t="inlineStr">
        <is>
          <t>Net fishing income (loss)</t>
        </is>
      </c>
      <c r="IGW8" t="inlineStr">
        <is>
          <t>Workers’ compensation benefits</t>
        </is>
      </c>
      <c r="IGX8" t="inlineStr">
        <is>
          <t>Social assistance payments</t>
        </is>
      </c>
      <c r="IGY8" t="inlineStr">
        <is>
          <t>Net federal supplements</t>
        </is>
      </c>
      <c r="IGZ8" t="inlineStr">
        <is>
          <t>Total income</t>
        </is>
      </c>
      <c r="IHA8" t="inlineStr">
        <is>
          <t>Proceeds from disposition of bonds, debentures, promissory notes, and other similar properties</t>
        </is>
      </c>
      <c r="IHB8" t="inlineStr">
        <is>
          <t>Disability benefits included on line 11400</t>
        </is>
      </c>
      <c r="IHC8" t="inlineStr">
        <is>
          <t>Gain (or loss) from disposition of bonds, debentures, promissory notes, and other similar properties Proceeds from disposition of other mortgage foreclosures and conditional sales repossessions</t>
        </is>
      </c>
      <c r="IHD8" t="inlineStr">
        <is>
          <t>Proceeds from disposition of other mortgage foreclosures and conditional sales repossessions</t>
        </is>
      </c>
      <c r="IHE8" t="inlineStr">
        <is>
          <t>Gain (or loss) from disposition of other mortgage foreclosures and conditional sales repossessions</t>
        </is>
      </c>
      <c r="IHF8" t="inlineStr">
        <is>
          <t>Total support payments received</t>
        </is>
      </c>
      <c r="IHG8" t="inlineStr">
        <is>
          <t>Gain from disposition of personal-use property</t>
        </is>
      </c>
      <c r="IHH8" t="inlineStr">
        <is>
          <t>Net gain from disposition of listed personal property Capital gains deferral from qualifying dispositions of eligible small business corporation shares</t>
        </is>
      </c>
      <c r="IHI8" t="inlineStr">
        <is>
          <t>Gross rental income</t>
        </is>
      </c>
      <c r="IHJ8" t="inlineStr">
        <is>
          <t>Capital gains deferral from qualifying dispositions of eligible small business corporation shares</t>
        </is>
      </c>
      <c r="IHK8" t="inlineStr">
        <is>
          <t>Gross business income</t>
        </is>
      </c>
      <c r="IHL8" t="inlineStr">
        <is>
          <t>Gross professional income</t>
        </is>
      </c>
      <c r="IHM8" t="inlineStr">
        <is>
          <t>Gross commission income</t>
        </is>
      </c>
      <c r="IHN8" t="inlineStr">
        <is>
          <t>Gross farming income</t>
        </is>
      </c>
      <c r="IHO8" t="inlineStr">
        <is>
          <t>Gross fishing income</t>
        </is>
      </c>
      <c r="IHP8" t="inlineStr">
        <is>
          <t>T5, T5013, and T4PS information slips – Capital gains (or losses)</t>
        </is>
      </c>
      <c r="IHQ8" t="inlineStr">
        <is>
          <t>T3 information slips – Capital gains (or losses)</t>
        </is>
      </c>
      <c r="IHR8" t="inlineStr">
        <is>
          <t>Capital loss from a reduction in the business investment loss</t>
        </is>
      </c>
      <c r="IHS8" t="inlineStr">
        <is>
          <t>Principal residence designation</t>
        </is>
      </c>
      <c r="IHT8" t="inlineStr">
        <is>
          <t>Taxable amount of dividends other than eligible dividends, included on line 12000, from taxable Canadian corporations</t>
        </is>
      </c>
      <c r="IHU8" t="inlineStr">
        <is>
          <t>UCCB amount designated to a dependant</t>
        </is>
      </c>
      <c r="IHV8" t="inlineStr">
        <is>
          <t>Pooled registered pension plan (PRPP) employer contributions</t>
        </is>
      </c>
      <c r="IHW8" t="inlineStr">
        <is>
          <t>Pension adjustment</t>
        </is>
      </c>
      <c r="IHX8" t="inlineStr">
        <is>
          <t>Registered pension plan deduction</t>
        </is>
      </c>
      <c r="IHY8" t="inlineStr">
        <is>
          <t>RRSP deduction</t>
        </is>
      </c>
      <c r="IHZ8" t="inlineStr">
        <is>
          <t>Deduction for elected split-pension amount</t>
        </is>
      </c>
      <c r="IIA8" t="inlineStr">
        <is>
          <t>Annual union, professional, or like dues</t>
        </is>
      </c>
      <c r="IIB8" t="inlineStr">
        <is>
          <t>Universal child care benefit repayment</t>
        </is>
      </c>
      <c r="IIC8" t="inlineStr">
        <is>
          <t>Child care expenses</t>
        </is>
      </c>
      <c r="IID8" t="inlineStr">
        <is>
          <t>Disability supports deduction</t>
        </is>
      </c>
      <c r="IIE8" t="inlineStr">
        <is>
          <t>Allowable business investment loss deduction</t>
        </is>
      </c>
      <c r="IIF8" t="inlineStr">
        <is>
          <t>Moving expenses</t>
        </is>
      </c>
      <c r="IIG8" t="inlineStr">
        <is>
          <t>Allowable deduction for support payments made</t>
        </is>
      </c>
      <c r="IIH8" t="inlineStr">
        <is>
          <t>Carrying charges and interest expenses</t>
        </is>
      </c>
      <c r="III8" t="inlineStr">
        <is>
          <t>Deduction for CPP or QPP contributions on self-employment and other earnings</t>
        </is>
      </c>
      <c r="IIJ8" t="inlineStr">
        <is>
          <t>Deduction for PPIP premiums on self-employment income</t>
        </is>
      </c>
      <c r="IIK8" t="inlineStr">
        <is>
          <t>Exploration and development expenses</t>
        </is>
      </c>
      <c r="IIL8" t="inlineStr">
        <is>
          <t>Gross business investment loss</t>
        </is>
      </c>
      <c r="IIM8" t="inlineStr">
        <is>
          <t>Other employment expenses</t>
        </is>
      </c>
      <c r="IIN8" t="inlineStr">
        <is>
          <t>Total support payments made</t>
        </is>
      </c>
      <c r="IIO8" t="inlineStr">
        <is>
          <t>Clergy residence deduction</t>
        </is>
      </c>
      <c r="IIP8" t="inlineStr">
        <is>
          <t>Other deductions</t>
        </is>
      </c>
      <c r="IIQ8" t="inlineStr">
        <is>
          <t>Social benefits repayment</t>
        </is>
      </c>
      <c r="IIR8" t="inlineStr">
        <is>
          <t>Net income</t>
        </is>
      </c>
      <c r="IIS8" t="inlineStr">
        <is>
          <t>Transfers to an RRSP/PRPP/SPP</t>
        </is>
      </c>
      <c r="IIT8" t="inlineStr">
        <is>
          <t>Canadian Forces personnel and police deduction</t>
        </is>
      </c>
      <c r="IIU8" t="inlineStr">
        <is>
          <t>Total RRSP, SPP, and PRPP contributions from March 2, 2019 to March 2, 2020</t>
        </is>
      </c>
      <c r="IIV8" t="inlineStr">
        <is>
          <t>Contributions designated as a repayment under the Home Buyers’ Plan</t>
        </is>
      </c>
      <c r="IIW8" t="inlineStr">
        <is>
          <t>Current year withdrawals for the HBP on T4RSP slips</t>
        </is>
      </c>
      <c r="IIX8" t="inlineStr">
        <is>
          <t>Security options deductions</t>
        </is>
      </c>
      <c r="IIY8" t="inlineStr">
        <is>
          <t>Other payments deduction</t>
        </is>
      </c>
      <c r="IIZ8" t="inlineStr">
        <is>
          <t>Limited partnership losses of other years</t>
        </is>
      </c>
      <c r="IJA8" t="inlineStr">
        <is>
          <t>Non-capital losses of other years</t>
        </is>
      </c>
      <c r="IJB8" t="inlineStr">
        <is>
          <t>Net capital losses of other years</t>
        </is>
      </c>
      <c r="IJC8" t="inlineStr">
        <is>
          <t>Capital gains deduction</t>
        </is>
      </c>
      <c r="IJD8" t="inlineStr">
        <is>
          <t>Northern residents deductions</t>
        </is>
      </c>
      <c r="IJE8" t="inlineStr">
        <is>
          <t>Additional deductions</t>
        </is>
      </c>
      <c r="IJF8" t="inlineStr">
        <is>
          <t>Address of home purchased under the HBP is the same as on page 1 of return</t>
        </is>
      </c>
      <c r="IJG8" t="inlineStr">
        <is>
          <t>Taxable income</t>
        </is>
      </c>
      <c r="IJH8" t="inlineStr">
        <is>
          <t>Contributions designated as a repayment under the Lifelong Learning Plan</t>
        </is>
      </c>
      <c r="IJI8" t="inlineStr">
        <is>
          <t>Current year withdrawals for the LLP on T4RSP slips</t>
        </is>
      </c>
      <c r="IJJ8" t="inlineStr">
        <is>
          <t>Designation of the spouse or common-law partner as the student for whom the funds were withdrawn under the LLP</t>
        </is>
      </c>
      <c r="IJK8" t="inlineStr">
        <is>
          <t>Foreign property held in the current tax year with a total cost of more than CAN$100,000</t>
        </is>
      </c>
      <c r="IJL8" t="inlineStr">
        <is>
          <t>Current year contributions to an amateur athlete trust</t>
        </is>
      </c>
      <c r="IJM8" t="inlineStr">
        <is>
          <t>Basic personal amount</t>
        </is>
      </c>
      <c r="IJN8" t="inlineStr">
        <is>
          <t>Age amount</t>
        </is>
      </c>
      <c r="IJO8" t="inlineStr">
        <is>
          <t>Spouse or common-law partner amount</t>
        </is>
      </c>
      <c r="IJP8" t="inlineStr">
        <is>
          <t>Canada caregiver amount for spouse or common-law partner, or eligible dependant age 18 or older</t>
        </is>
      </c>
      <c r="IJQ8" t="inlineStr">
        <is>
          <t>Amount for an eligible dependant</t>
        </is>
      </c>
      <c r="IJR8" t="inlineStr">
        <is>
          <t>Canada caregiver amount for other infirm dependants age 18 or older</t>
        </is>
      </c>
      <c r="IJS8" t="inlineStr">
        <is>
          <t>CPP contributions</t>
        </is>
      </c>
      <c r="IJT8" t="inlineStr">
        <is>
          <t>CPP contributions on self-employment and other earnings</t>
        </is>
      </c>
      <c r="IJU8" t="inlineStr">
        <is>
          <t>Employment insurance premiums</t>
        </is>
      </c>
      <c r="IJV8" t="inlineStr">
        <is>
          <t>Adoption expenses</t>
        </is>
      </c>
      <c r="IJW8" t="inlineStr">
        <is>
          <t>Pension income amount</t>
        </is>
      </c>
      <c r="IJX8" t="inlineStr">
        <is>
          <t>Disability amount (for self)</t>
        </is>
      </c>
      <c r="IJY8" t="inlineStr">
        <is>
          <t>Employment insurance premiums on self-employment and other eligible earnings</t>
        </is>
      </c>
      <c r="IJZ8" t="inlineStr">
        <is>
          <t>Disability amount transferred from a dependant Interest paid on your student loans</t>
        </is>
      </c>
      <c r="IKA8" t="inlineStr">
        <is>
          <t>Interest paid on your student loans</t>
        </is>
      </c>
      <c r="IKB8" t="inlineStr">
        <is>
          <t>Eligible tuition fees paid to Canadian educational institutions for the current tax year</t>
        </is>
      </c>
      <c r="IKC8" t="inlineStr">
        <is>
          <t>Your tuition, education, and textbook amounts</t>
        </is>
      </c>
      <c r="IKD8" t="inlineStr">
        <is>
          <t>Tuition amount transferred from a child</t>
        </is>
      </c>
      <c r="IKE8" t="inlineStr">
        <is>
          <t>Number of months enrolled as a part-time student</t>
        </is>
      </c>
      <c r="IKF8" t="inlineStr">
        <is>
          <t>Amounts transferred from your spouse or common-law partner</t>
        </is>
      </c>
      <c r="IKG8" t="inlineStr">
        <is>
          <t>Federal tuition amount transferred</t>
        </is>
      </c>
      <c r="IKH8" t="inlineStr">
        <is>
          <t>Number of months enrolled as a full-time student</t>
        </is>
      </c>
      <c r="IKI8" t="inlineStr">
        <is>
          <t>Donations made to government bodies</t>
        </is>
      </c>
      <c r="IKJ8" t="inlineStr">
        <is>
          <t>Medical expenses for self, spouse or common-law partner, and dependent children under 18 years of age</t>
        </is>
      </c>
      <c r="IKK8" t="inlineStr">
        <is>
          <t>Allowable amount of medical expenses for other dependants</t>
        </is>
      </c>
      <c r="IKL8" t="inlineStr">
        <is>
          <t>Allowable amount of medical expenses</t>
        </is>
      </c>
      <c r="IKM8" t="inlineStr">
        <is>
          <t>Donations made to registered universities outside Canada</t>
        </is>
      </c>
      <c r="IKN8" t="inlineStr">
        <is>
          <t>Donations made to the United Nations, its agencies, and certain registered foreign charitable organizations</t>
        </is>
      </c>
      <c r="IKO8" t="inlineStr">
        <is>
          <t>Gifts of depreciable property</t>
        </is>
      </c>
      <c r="IKP8" t="inlineStr">
        <is>
          <t>Non-refundable tax credits before donations and gifts</t>
        </is>
      </c>
      <c r="IKQ8" t="inlineStr">
        <is>
          <t>Gifts of capital property</t>
        </is>
      </c>
      <c r="IKR8" t="inlineStr">
        <is>
          <t>Allowable charitable donations</t>
        </is>
      </c>
      <c r="IKS8" t="inlineStr">
        <is>
          <t>Eligible amount of cultural and ecological gifts</t>
        </is>
      </c>
      <c r="IKT8" t="inlineStr">
        <is>
          <t>Not enrolled full-time due to effects of impairment Number of months enrolled as a part-time student Number of months enrolled as a full-time student</t>
        </is>
      </c>
      <c r="IKU8" t="inlineStr">
        <is>
          <t>Donations and gifts</t>
        </is>
      </c>
      <c r="IKV8" t="inlineStr">
        <is>
          <t>Total federal non-refundable tax credits</t>
        </is>
      </c>
      <c r="IKW8" t="inlineStr">
        <is>
          <t>Spouse’s or common-law partner’s adjusted taxable income</t>
        </is>
      </c>
      <c r="IKX8" t="inlineStr">
        <is>
          <t>Number of children for whom you are claiming the Canada caregiver amount for infirm children under 18 years of age</t>
        </is>
      </c>
      <c r="IKY8" t="inlineStr">
        <is>
          <t>Spouse’s or common-law partner’s age amount</t>
        </is>
      </c>
      <c r="IKZ8" t="inlineStr">
        <is>
          <t>Total of donations made before 2016</t>
        </is>
      </c>
      <c r="ILA8" t="inlineStr">
        <is>
          <t>Spouse’s or common-law partner’s pension income amount</t>
        </is>
      </c>
      <c r="ILB8" t="inlineStr">
        <is>
          <t>Spouse’s or common-law partner’s disability amount</t>
        </is>
      </c>
      <c r="ILC8" t="inlineStr">
        <is>
          <t>Tuition amount designated by your spouse or common-law partner</t>
        </is>
      </c>
      <c r="ILD8" t="inlineStr">
        <is>
          <t>Spouse’s or common-law partner’s Canada caregiver amount for infirm children under 18 years of age</t>
        </is>
      </c>
      <c r="ILE8" t="inlineStr">
        <is>
          <t>Volunteer firefighters’ amount</t>
        </is>
      </c>
      <c r="ILF8" t="inlineStr">
        <is>
          <t>Canada employment amount Home buyers’ amount</t>
        </is>
      </c>
      <c r="ILG8" t="inlineStr">
        <is>
          <t>Canada caregiver amount for infirm children under 18 years of age</t>
        </is>
      </c>
      <c r="ILH8" t="inlineStr">
        <is>
          <t>Home buyers’ amount</t>
        </is>
      </c>
      <c r="ILI8" t="inlineStr">
        <is>
          <t>Net business income/Pensionable net self-employment earnings</t>
        </is>
      </c>
      <c r="ILJ8" t="inlineStr">
        <is>
          <t>Effective date of the electing to stop contributing to CPP on self-employment earnings</t>
        </is>
      </c>
      <c r="ILK8" t="inlineStr">
        <is>
          <t>Employment earnings not shown on a T4 slip on which you elect to pay additional CPP contributions/Income on which you wish to make optional contributions</t>
        </is>
      </c>
      <c r="ILL8" t="inlineStr">
        <is>
          <t>Effective date to revoke an election made in a prior year to stop contributing to CPP on self-employment earnings</t>
        </is>
      </c>
      <c r="ILM8" t="inlineStr">
        <is>
          <t>PPIP premiums paid</t>
        </is>
      </c>
      <c r="ILN8" t="inlineStr">
        <is>
          <t>PPIP premiums payable on employment income</t>
        </is>
      </c>
      <c r="ILO8" t="inlineStr">
        <is>
          <t>PPIP premiums payable on self-employment income</t>
        </is>
      </c>
      <c r="ILP8" t="inlineStr">
        <is>
          <t>Do you have an eligible dependant?</t>
        </is>
      </c>
      <c r="ILQ8" t="inlineStr">
        <is>
          <t>Do you have an eligible spouse?</t>
        </is>
      </c>
      <c r="ILR8" t="inlineStr">
        <is>
          <t>Taxable part of scholarship income reported at line 130</t>
        </is>
      </c>
      <c r="ILS8" t="inlineStr">
        <is>
          <t>Eligible spouse’s taxable part of scholarship and grant income</t>
        </is>
      </c>
      <c r="ILT8" t="inlineStr">
        <is>
          <t>Tax-exempt part of working income earned on a reserve or an allowance received as an emergency volunteer</t>
        </is>
      </c>
      <c r="ILU8" t="inlineStr">
        <is>
          <t>Eligible spouse’s tax-exempt part of working income earned on a reserve or an allowance received as an emergency volunteer</t>
        </is>
      </c>
      <c r="ILV8" t="inlineStr">
        <is>
          <t>Eligible spouse’s working income</t>
        </is>
      </c>
      <c r="ILW8" t="inlineStr">
        <is>
          <t>Tax-exempt part of all income earned or received on a reserve less the deductions related to that income or an allowance received as an emergency volunteer</t>
        </is>
      </c>
      <c r="ILX8" t="inlineStr">
        <is>
          <t>Eligible spouse’s tax-exempt part of all income earned or received on a reserve less the deductions related to that income or an allowance received as an emergency volunteer</t>
        </is>
      </c>
      <c r="ILY8" t="inlineStr">
        <is>
          <t>Eligible spouse’s adjusted net income</t>
        </is>
      </c>
      <c r="ILZ8" t="inlineStr">
        <is>
          <t>Are you eligible for the CWB/WITB?</t>
        </is>
      </c>
      <c r="IMA8" t="inlineStr">
        <is>
          <t>Are you eligible for the disability tax credit?</t>
        </is>
      </c>
      <c r="IMB8" t="inlineStr">
        <is>
          <t>Is your eligible spouse eligible for the disability tax credit for themselves?</t>
        </is>
      </c>
      <c r="IMC8" t="inlineStr">
        <is>
          <t>Search and rescue volunteers’ amount</t>
        </is>
      </c>
      <c r="IMD8" t="inlineStr">
        <is>
          <t>Home accessibility expenses</t>
        </is>
      </c>
      <c r="IME8" t="inlineStr">
        <is>
          <t>Employment earnings shown on a T4 slip on which you elect to pay additional CPP contributions</t>
        </is>
      </c>
      <c r="IMF8" t="inlineStr">
        <is>
          <t>Federal tax</t>
        </is>
      </c>
      <c r="IMG8" t="inlineStr">
        <is>
          <t>Total federal political contributions</t>
        </is>
      </c>
      <c r="IMH8" t="inlineStr">
        <is>
          <t>Federal political contribution tax credit</t>
        </is>
      </c>
      <c r="IMI8" t="inlineStr">
        <is>
          <t>Investment tax credit</t>
        </is>
      </c>
      <c r="IMJ8" t="inlineStr">
        <is>
          <t>Labour-sponsored funds tax credit – Net cost</t>
        </is>
      </c>
      <c r="IMK8" t="inlineStr">
        <is>
          <t>Labour-sponsored funds tax credit – Allowable credit</t>
        </is>
      </c>
      <c r="IML8" t="inlineStr">
        <is>
          <t>Canada workers benefit advance payments received</t>
        </is>
      </c>
      <c r="IMM8" t="inlineStr">
        <is>
          <t>Net federal tax before inclusion of CWB advance payments and special taxes</t>
        </is>
      </c>
      <c r="IMN8" t="inlineStr">
        <is>
          <t>Special taxes</t>
        </is>
      </c>
      <c r="IMO8" t="inlineStr">
        <is>
          <t>Net Federal Tax</t>
        </is>
      </c>
      <c r="IMP8" t="inlineStr">
        <is>
          <t>Federal tax on split income</t>
        </is>
      </c>
      <c r="IMQ8" t="inlineStr">
        <is>
          <t>Federal dividend tax credit</t>
        </is>
      </c>
      <c r="IMR8" t="inlineStr">
        <is>
          <t>Minimum tax carry-over</t>
        </is>
      </c>
      <c r="IMS8" t="inlineStr">
        <is>
          <t>Provincial or territorial tax</t>
        </is>
      </c>
      <c r="IMT8" t="inlineStr">
        <is>
          <t>Non-business income tax paid to a foreign country</t>
        </is>
      </c>
      <c r="IMU8" t="inlineStr">
        <is>
          <t>Yukon First Nations tax</t>
        </is>
      </c>
      <c r="IMV8" t="inlineStr">
        <is>
          <t>Net foreign non-business income</t>
        </is>
      </c>
      <c r="IMW8" t="inlineStr">
        <is>
          <t>Business income tax paid to a foreign country</t>
        </is>
      </c>
      <c r="IMX8" t="inlineStr">
        <is>
          <t>Total payable</t>
        </is>
      </c>
      <c r="IMY8" t="inlineStr">
        <is>
          <t>Total income tax deducted</t>
        </is>
      </c>
      <c r="IMZ8" t="inlineStr">
        <is>
          <t>Tax transfer for residents of Quebec</t>
        </is>
      </c>
      <c r="INA8" t="inlineStr">
        <is>
          <t>Net foreign business income</t>
        </is>
      </c>
      <c r="INB8" t="inlineStr">
        <is>
          <t>Refundable Quebec abatement</t>
        </is>
      </c>
      <c r="INC8" t="inlineStr">
        <is>
          <t>Federal refundable First Nations abatement</t>
        </is>
      </c>
      <c r="IND8" t="inlineStr">
        <is>
          <t>CPP overpayment</t>
        </is>
      </c>
      <c r="INE8" t="inlineStr">
        <is>
          <t>Climate action incentive</t>
        </is>
      </c>
      <c r="INF8" t="inlineStr">
        <is>
          <t>Employment insurance overpayment</t>
        </is>
      </c>
      <c r="ING8" t="inlineStr">
        <is>
          <t>Refundable medical expense supplement</t>
        </is>
      </c>
      <c r="INH8" t="inlineStr">
        <is>
          <t>Canada workers benefit (Working income tax benefit)</t>
        </is>
      </c>
      <c r="INI8" t="inlineStr">
        <is>
          <t>Refund of investment tax credit</t>
        </is>
      </c>
      <c r="INJ8" t="inlineStr">
        <is>
          <t>Part XII.2 trust tax credit</t>
        </is>
      </c>
      <c r="INK8" t="inlineStr">
        <is>
          <t>Employee and partner GST/HST rebate</t>
        </is>
      </c>
      <c r="INL8" t="inlineStr">
        <is>
          <t>Direct deposit – Branch number</t>
        </is>
      </c>
      <c r="INM8" t="inlineStr">
        <is>
          <t>Direct deposit – Institution number</t>
        </is>
      </c>
      <c r="INN8" t="inlineStr">
        <is>
          <t>Direct deposit – Account number</t>
        </is>
      </c>
      <c r="INO8" t="inlineStr">
        <is>
          <t>Donation to the Ontario opportunities fund</t>
        </is>
      </c>
      <c r="INP8" t="inlineStr">
        <is>
          <t>Net refund</t>
        </is>
      </c>
      <c r="INQ8" t="inlineStr">
        <is>
          <t>Supplies expenses for eligible educator school supply tax credit</t>
        </is>
      </c>
      <c r="INR8" t="inlineStr">
        <is>
          <t>Eligible educator school supply tax credit</t>
        </is>
      </c>
      <c r="INS8" t="inlineStr">
        <is>
          <t>Tax paid by instalments</t>
        </is>
      </c>
      <c r="INT8" t="inlineStr">
        <is>
          <t>Provincial or territorial credits</t>
        </is>
      </c>
      <c r="INU8" t="inlineStr">
        <is>
          <t>Refund</t>
        </is>
      </c>
      <c r="INV8" t="inlineStr">
        <is>
          <t>Balance owing</t>
        </is>
      </c>
      <c r="INW8" t="inlineStr">
        <is>
          <t>Amount enclosed</t>
        </is>
      </c>
      <c r="INX8" t="inlineStr">
        <is>
          <t>Volunteer program</t>
        </is>
      </c>
      <c r="INY8" t="inlineStr">
        <is>
          <t>Refund transfer</t>
        </is>
      </c>
      <c r="INZ8" t="inlineStr">
        <is>
          <t>Tax preparer code</t>
        </is>
      </c>
      <c r="IOA8" t="inlineStr">
        <is>
          <t>EI and PPIP premiums (non-Quebec return)</t>
        </is>
      </c>
      <c r="IOB8" t="inlineStr">
        <is>
          <t>Total PPIP premiums</t>
        </is>
      </c>
      <c r="IOC8" t="inlineStr">
        <is>
          <t>Total EI premiums</t>
        </is>
      </c>
      <c r="IOD8" t="inlineStr">
        <is>
          <t>PPIP indicator</t>
        </is>
      </c>
      <c r="IOE8" t="inlineStr">
        <is>
          <t>QPP contributions</t>
        </is>
      </c>
      <c r="IOF8" t="inlineStr">
        <is>
          <t>QPP contributions on self-employment and other earnings</t>
        </is>
      </c>
      <c r="IOG8" t="inlineStr">
        <is>
          <t>Actual total contributions on QPP pensionable earnings</t>
        </is>
      </c>
      <c r="IOH8" t="inlineStr">
        <is>
          <t>Actual total contributions on CPP pensionable earnings</t>
        </is>
      </c>
      <c r="IOI8" t="inlineStr">
        <is>
          <t>Capital gains at 100%</t>
        </is>
      </c>
      <c r="IOJ8" t="inlineStr">
        <is>
          <t>Dependant’s net income (line 23600 of his or her return)</t>
        </is>
      </c>
      <c r="IOK8" t="inlineStr">
        <is>
          <t>Canada caregiver amount for spouse or common-law partner</t>
        </is>
      </c>
      <c r="IOL8" t="inlineStr">
        <is>
          <t>Canada caregiver amount for a dependant (other than an infirm child under 18 year of age)</t>
        </is>
      </c>
      <c r="IOM8" t="inlineStr">
        <is>
          <t>Total number of dependants</t>
        </is>
      </c>
      <c r="ION8" t="inlineStr">
        <is>
          <t>Number of full weeks in attendance at a designated educational institution or secondary school</t>
        </is>
      </c>
      <c r="IOO8" t="inlineStr">
        <is>
          <t>Earnings for services performed in Canada on which the foreign social security contributions were made</t>
        </is>
      </c>
      <c r="IOP8" t="inlineStr">
        <is>
          <t>Amount contributed to a foreign social security arrangement</t>
        </is>
      </c>
      <c r="IOQ8" t="inlineStr">
        <is>
          <t>Allowable non-refundable tax credit for contributions to a foreign social security arrangement</t>
        </is>
      </c>
      <c r="IOR8" t="inlineStr">
        <is>
          <t>Contributions to a foreign employer-sponsored pension plan</t>
        </is>
      </c>
      <c r="IOS8" t="inlineStr">
        <is>
          <t>Resident compensation from employment services</t>
        </is>
      </c>
      <c r="IOT8" t="inlineStr">
        <is>
          <t>Pension adjustment from a U.S. retirement plan/Prescribed amount from a U.S. retirement plan/Pension adjustment from a foreign employer-sponsored pension plan</t>
        </is>
      </c>
      <c r="IOU8" t="inlineStr">
        <is>
          <t>Contributions to a U.S. retirement plan</t>
        </is>
      </c>
      <c r="IOV8" t="inlineStr">
        <is>
          <t>Contributions to a U.S. retirement plan</t>
        </is>
      </c>
      <c r="IOW8" t="inlineStr">
        <is>
          <t>Spouse’s or common-law partner’s capital gains from mortgage foreclosures and conditional sales repossessions</t>
        </is>
      </c>
      <c r="IOX8" t="inlineStr">
        <is>
          <t>Spouse’s or common-law partner’s net-income while the taxpayer is living in Canada</t>
        </is>
      </c>
      <c r="IOY8" t="inlineStr">
        <is>
          <t>Spouse’s or common-law partner’s net-income while the taxpayer is living outside of Canada</t>
        </is>
      </c>
      <c r="IOZ8" t="inlineStr">
        <is>
          <t>Net foreign non-business income from the first foreign country</t>
        </is>
      </c>
      <c r="IPA8" t="inlineStr">
        <is>
          <t>Net foreign non-business income from the second foreign country</t>
        </is>
      </c>
      <c r="IPB8" t="inlineStr">
        <is>
          <t>Net foreign non-business income from the third foreign country</t>
        </is>
      </c>
      <c r="IPC8" t="inlineStr">
        <is>
          <t>Business income tax paid to the first foreign country</t>
        </is>
      </c>
      <c r="IPD8" t="inlineStr">
        <is>
          <t>Non-business income tax paid to first foreign country</t>
        </is>
      </c>
      <c r="IPE8" t="inlineStr">
        <is>
          <t>Non-business income tax paid to second foreign country</t>
        </is>
      </c>
      <c r="IPF8" t="inlineStr">
        <is>
          <t>Non-business income tax paid to third foreign country</t>
        </is>
      </c>
      <c r="IPG8" t="inlineStr">
        <is>
          <t>Net business income from the first foreign country</t>
        </is>
      </c>
      <c r="IPH8" t="inlineStr">
        <is>
          <t>Net business income from the second foreign country</t>
        </is>
      </c>
      <c r="IPI8" t="inlineStr">
        <is>
          <t>Net business income from the third foreign country</t>
        </is>
      </c>
      <c r="IPJ8" t="inlineStr">
        <is>
          <t>Business income tax paid to the second foreign country</t>
        </is>
      </c>
      <c r="IPK8" t="inlineStr">
        <is>
          <t>Business income tax paid to the third foreign country</t>
        </is>
      </c>
      <c r="IPL8" t="inlineStr">
        <is>
          <t>Vow of perpetual poverty</t>
        </is>
      </c>
      <c r="IPM8" t="inlineStr">
        <is>
          <t>Canadian sourced non-resident income, excluding the income subject to Part XIII tax</t>
        </is>
      </c>
      <c r="IPN8" t="inlineStr">
        <is>
          <t>Canadian sourced non-resident income subject to Part XIII tax plus foreign sourced non-resident income</t>
        </is>
      </c>
      <c r="IPO8" t="inlineStr">
        <is>
          <t>BC logging tax paid</t>
        </is>
      </c>
      <c r="IPP8" t="inlineStr">
        <is>
          <t>QC logging tax paid</t>
        </is>
      </c>
      <c r="IPQ8" t="inlineStr">
        <is>
          <t>Total QPP pensionable earnings</t>
        </is>
      </c>
      <c r="IPR8" t="inlineStr">
        <is>
          <t>Total CPP pensionable earnings</t>
        </is>
      </c>
      <c r="IPS8" t="inlineStr">
        <is>
          <t>Indicator for filing due date for tax shelter, or inactive or active business income</t>
        </is>
      </c>
      <c r="IPT8" t="inlineStr">
        <is>
          <t>BC logging income</t>
        </is>
      </c>
      <c r="IPU8" t="inlineStr">
        <is>
          <t>CCA on certified film property</t>
        </is>
      </c>
      <c r="IPV8" t="inlineStr">
        <is>
          <t>Ineligible pension income</t>
        </is>
      </c>
      <c r="IPW8" t="inlineStr">
        <is>
          <t>Income with tax withheld supported by information slips</t>
        </is>
      </c>
      <c r="IPX8" t="inlineStr">
        <is>
          <t>T4 earning reduction</t>
        </is>
      </c>
      <c r="IPY8" t="inlineStr">
        <is>
          <t>Quebec tax deducted (from slips in the taxpayer's name)</t>
        </is>
      </c>
      <c r="IPZ8" t="inlineStr">
        <is>
          <t>Income on which Quebec tax was withheld (from slips in the taxpayer's name)</t>
        </is>
      </c>
      <c r="IQA8" t="inlineStr">
        <is>
          <t>Amount of OAS pension repaid</t>
        </is>
      </c>
      <c r="IQB8" t="inlineStr">
        <is>
          <t>Limited partnership loss carryforward from 1986 and 1987</t>
        </is>
      </c>
      <c r="IQC8" t="inlineStr">
        <is>
          <t>Limited partnership loss available for carryforward</t>
        </is>
      </c>
      <c r="IQD8" t="inlineStr">
        <is>
          <t>Amount of self-employment net earnings reported at self-employed lines in relation to T4 self-employment on which EI premiums through employment were deducted</t>
        </is>
      </c>
      <c r="IQE8" t="inlineStr">
        <is>
          <t>Shareholder's loan repayment</t>
        </is>
      </c>
      <c r="IQF8" t="inlineStr">
        <is>
          <t>QC logging income</t>
        </is>
      </c>
      <c r="IQG8" t="inlineStr">
        <is>
          <t>Spouse's or common-law partner's total split income</t>
        </is>
      </c>
      <c r="IQH8" t="inlineStr">
        <is>
          <t>Net business income (amount from line 27 of Schedule L of the Quebec provincial income tax return)</t>
        </is>
      </c>
      <c r="IQI8" t="inlineStr">
        <is>
          <t>Employment income where the province or territory of employment is other than Quebec</t>
        </is>
      </c>
      <c r="IQJ8" t="inlineStr">
        <is>
          <t>PPIP insurable earnings</t>
        </is>
      </c>
      <c r="IQK8" t="inlineStr">
        <is>
          <t>Shareholder earnings</t>
        </is>
      </c>
      <c r="IQL8" t="inlineStr">
        <is>
          <t>Tax-exempt self-employment income earned by a status indian</t>
        </is>
      </c>
      <c r="IQM8" t="inlineStr">
        <is>
          <t>Taxable income from the post-bankruptcy period</t>
        </is>
      </c>
      <c r="IQN8" t="inlineStr">
        <is>
          <t>EI insurable earnings</t>
        </is>
      </c>
      <c r="IQO8" t="inlineStr">
        <is>
          <t>EI and other benefits repaid</t>
        </is>
      </c>
      <c r="IQP8" t="inlineStr">
        <is>
          <t>Farm/fish loss</t>
        </is>
      </c>
      <c r="IQQ8" t="inlineStr">
        <is>
          <t>Total section 31 farm loss</t>
        </is>
      </c>
      <c r="IQR8" t="inlineStr">
        <is>
          <t>Restricted farm loss</t>
        </is>
      </c>
      <c r="IQS8" t="inlineStr">
        <is>
          <t>RRSP earned income calculation</t>
        </is>
      </c>
      <c r="IQT8" t="inlineStr">
        <is>
          <t>Home Buyers' Plan (HBP) participant repayment amount</t>
        </is>
      </c>
      <c r="IQU8" t="inlineStr">
        <is>
          <t>Lifelong Learning Plan (LLP) participant repayment amount</t>
        </is>
      </c>
      <c r="IQV8" t="inlineStr">
        <is>
          <t>Indicator for marital status change</t>
        </is>
      </c>
      <c r="IQW8" t="inlineStr">
        <is>
          <t>Spousal indicator</t>
        </is>
      </c>
      <c r="IQX8" t="inlineStr">
        <is>
          <t>Marital status change indicator for the amount for an eligible dependant</t>
        </is>
      </c>
      <c r="IQY8" t="inlineStr">
        <is>
          <t>Earned income adjustment amount</t>
        </is>
      </c>
      <c r="IQZ8" t="inlineStr">
        <is>
          <t>Net self-employment income (loss) adjustment amount</t>
        </is>
      </c>
      <c r="IRA8" t="inlineStr">
        <is>
          <t>RDSP repayment by taxpayer</t>
        </is>
      </c>
      <c r="IRB8" t="inlineStr">
        <is>
          <t>RDSP income of spouse or common-law partner</t>
        </is>
      </c>
      <c r="IRC8" t="inlineStr">
        <is>
          <t>RDSP repayment by spouse or common-law partner</t>
        </is>
      </c>
      <c r="IRD8" t="inlineStr">
        <is>
          <t>Number of months of retirement</t>
        </is>
      </c>
      <c r="IRE8" t="inlineStr">
        <is>
          <t>Number of months of disability</t>
        </is>
      </c>
      <c r="IRF8" t="inlineStr">
        <is>
          <t>CPP/QPP retirement benefits</t>
        </is>
      </c>
      <c r="IRG8" t="inlineStr">
        <is>
          <t>Basic personal amount</t>
        </is>
      </c>
      <c r="IRH8" t="inlineStr">
        <is>
          <t>Age amount</t>
        </is>
      </c>
      <c r="IRI8" t="inlineStr">
        <is>
          <t>Spousal or common-law law partner amount</t>
        </is>
      </c>
      <c r="IRJ8" t="inlineStr">
        <is>
          <t>Amount for an eligible dependant</t>
        </is>
      </c>
      <c r="IRK8" t="inlineStr">
        <is>
          <t>Caregiver amount for spouse or common-law partner, or eligible dependant age 18 or older</t>
        </is>
      </c>
      <c r="IRL8" t="inlineStr">
        <is>
          <t>British Columbia caregiver amount</t>
        </is>
      </c>
      <c r="IRM8" t="inlineStr">
        <is>
          <t>Caregiver amount for infirm dependants age 18 or older</t>
        </is>
      </c>
      <c r="IRN8" t="inlineStr">
        <is>
          <t>Ontario caregiver amount</t>
        </is>
      </c>
      <c r="IRO8" t="inlineStr">
        <is>
          <t>Caregiver amount for infirm children under 18 years of age</t>
        </is>
      </c>
      <c r="IRP8" t="inlineStr">
        <is>
          <t>Amount for infirm dependants age 18 or older</t>
        </is>
      </c>
      <c r="IRQ8" t="inlineStr">
        <is>
          <t>Number of children</t>
        </is>
      </c>
      <c r="IRR8" t="inlineStr">
        <is>
          <t>Amount for dependent children age 18 or younger</t>
        </is>
      </c>
      <c r="IRS8" t="inlineStr">
        <is>
          <t>Senior supplementary amount</t>
        </is>
      </c>
      <c r="IRT8" t="inlineStr">
        <is>
          <t>Number of months being claimed for all qualifying children</t>
        </is>
      </c>
      <c r="IRU8" t="inlineStr">
        <is>
          <t>Amount for young children</t>
        </is>
      </c>
      <c r="IRV8" t="inlineStr">
        <is>
          <t>CPP or QPP contributions</t>
        </is>
      </c>
      <c r="IRW8" t="inlineStr">
        <is>
          <t>CPP or QPP contributions on self-employment and other earnings</t>
        </is>
      </c>
      <c r="IRX8" t="inlineStr">
        <is>
          <t>Employment insurance premiums</t>
        </is>
      </c>
      <c r="IRY8" t="inlineStr">
        <is>
          <t>Employment insurance premiums on self-employment and other eligible earnings</t>
        </is>
      </c>
      <c r="IRZ8" t="inlineStr">
        <is>
          <t>Canada employment amount</t>
        </is>
      </c>
      <c r="ISA8" t="inlineStr">
        <is>
          <t>Volunteer firefighters’ amount</t>
        </is>
      </c>
      <c r="ISB8" t="inlineStr">
        <is>
          <t>Search and rescue volunteers’ amount</t>
        </is>
      </c>
      <c r="ISC8" t="inlineStr">
        <is>
          <t>Child care amount</t>
        </is>
      </c>
      <c r="ISD8" t="inlineStr">
        <is>
          <t>Fitness amount</t>
        </is>
      </c>
      <c r="ISE8" t="inlineStr">
        <is>
          <t>Children’s arts amount</t>
        </is>
      </c>
      <c r="ISF8" t="inlineStr">
        <is>
          <t>Adoption expenses</t>
        </is>
      </c>
      <c r="ISG8" t="inlineStr">
        <is>
          <t>First-time home buyers’ amount</t>
        </is>
      </c>
      <c r="ISH8" t="inlineStr">
        <is>
          <t>Pension income amount</t>
        </is>
      </c>
      <c r="ISI8" t="inlineStr">
        <is>
          <t>Caregiver amount</t>
        </is>
      </c>
      <c r="ISJ8" t="inlineStr">
        <is>
          <t>Disability amount (for self)</t>
        </is>
      </c>
      <c r="ISK8" t="inlineStr">
        <is>
          <t>Disability amount transferred from a dependant</t>
        </is>
      </c>
      <c r="ISL8" t="inlineStr">
        <is>
          <t>Teacher school supply amount</t>
        </is>
      </c>
      <c r="ISM8" t="inlineStr">
        <is>
          <t>Interest paid on your student loans</t>
        </is>
      </c>
      <c r="ISN8" t="inlineStr">
        <is>
          <t>Your tuition and education amounts</t>
        </is>
      </c>
      <c r="ISO8" t="inlineStr">
        <is>
          <t>Your unused tuition and education amounts</t>
        </is>
      </c>
      <c r="ISP8" t="inlineStr">
        <is>
          <t>Your tuition, education, and textbook amounts</t>
        </is>
      </c>
      <c r="ISQ8" t="inlineStr">
        <is>
          <t>Tuition and education amounts transferred from a child</t>
        </is>
      </c>
      <c r="ISR8" t="inlineStr">
        <is>
          <t>Tuition amounts transferred from a child NB428</t>
        </is>
      </c>
      <c r="ISS8" t="inlineStr">
        <is>
          <t>Tuition, education, and textbook amounts transferred from a child</t>
        </is>
      </c>
      <c r="IST8" t="inlineStr">
        <is>
          <t>Amounts transferred from your spouse or common-law partner</t>
        </is>
      </c>
      <c r="ISU8" t="inlineStr">
        <is>
          <t>Medical expenses for self, spouse or common-law partner, and your dependent children under 18 years of age</t>
        </is>
      </c>
      <c r="ISV8" t="inlineStr">
        <is>
          <t>Allowable amount of medical expenses for other dependants</t>
        </is>
      </c>
      <c r="ISW8" t="inlineStr">
        <is>
          <t>Total tax-exempt employment earnings</t>
        </is>
      </c>
      <c r="ISX8" t="inlineStr">
        <is>
          <t>Allowable amount of medical expenses</t>
        </is>
      </c>
      <c r="ISY8" t="inlineStr">
        <is>
          <t>Add lines 58040 to 58640 (and line 61470 for MB) and line 58769</t>
        </is>
      </c>
      <c r="ISZ8" t="inlineStr">
        <is>
          <t>Total tax-exempt self-employment earnings and other tax-exempt earned income</t>
        </is>
      </c>
      <c r="ITA8" t="inlineStr">
        <is>
          <t>Total eligible PRPP contributions from tax-exempt income</t>
        </is>
      </c>
      <c r="ITB8" t="inlineStr">
        <is>
          <t>PRPP contributions from tax-exempt income designated as a repayment under the HBP</t>
        </is>
      </c>
      <c r="ITC8" t="inlineStr">
        <is>
          <t>Provincial or territorial non-refundable tax credits before donations and gifts</t>
        </is>
      </c>
      <c r="ITD8" t="inlineStr">
        <is>
          <t>Non-refundable tax credits before donations and gifts and the farmers’ food donation tax credit</t>
        </is>
      </c>
      <c r="ITE8" t="inlineStr">
        <is>
          <t>Donations and gifts</t>
        </is>
      </c>
      <c r="ITF8" t="inlineStr">
        <is>
          <t>PRPP contributions from tax-exempt income designated as a repayment under the LLP</t>
        </is>
      </c>
      <c r="ITG8" t="inlineStr">
        <is>
          <t>BC farmers’ food donation tax credit</t>
        </is>
      </c>
      <c r="ITH8" t="inlineStr">
        <is>
          <t>Spouse’s or common-law partner’s amount for young children less than 6 years of age</t>
        </is>
      </c>
      <c r="ITI8" t="inlineStr">
        <is>
          <t>Spouse’s or common-law partner’s amount for dependent children age 18 or younger</t>
        </is>
      </c>
      <c r="ITJ8" t="inlineStr">
        <is>
          <t>Spouse’s or common-law partner’s age amount</t>
        </is>
      </c>
      <c r="ITK8" t="inlineStr">
        <is>
          <t>Spouse’s or common-law partner’s senior supplementary amount</t>
        </is>
      </c>
      <c r="ITL8" t="inlineStr">
        <is>
          <t>Spouse’s or common-law partner’s provincial/territorial caregiver amount for infirm children under 18 years of age</t>
        </is>
      </c>
      <c r="ITM8" t="inlineStr">
        <is>
          <t>Spouse’s or common-law partner’s pension income amount</t>
        </is>
      </c>
      <c r="ITN8" t="inlineStr">
        <is>
          <t>Spouse’s or common-law partner’s disability amount</t>
        </is>
      </c>
      <c r="ITO8" t="inlineStr">
        <is>
          <t>Tuition and education amounts designated by your spouse or common-law partner</t>
        </is>
      </c>
      <c r="ITP8" t="inlineStr">
        <is>
          <t>Tuition amounts designated by your spouse or common-law partner</t>
        </is>
      </c>
      <c r="ITQ8" t="inlineStr">
        <is>
          <t>Tuition, education, and textbook amounts designated by your spouse or common-law partner</t>
        </is>
      </c>
      <c r="ITR8" t="inlineStr">
        <is>
          <t>Spouse’s or common-law partner’s adjusted taxable income</t>
        </is>
      </c>
      <c r="ITS8" t="inlineStr">
        <is>
          <t>Eligible tuition fees paid for the current tax year</t>
        </is>
      </c>
      <c r="ITT8" t="inlineStr">
        <is>
          <t>Part-time education amount</t>
        </is>
      </c>
      <c r="ITU8" t="inlineStr">
        <is>
          <t>Part-time education and textbook amounts</t>
        </is>
      </c>
      <c r="ITV8" t="inlineStr">
        <is>
          <t>Full-time education amount</t>
        </is>
      </c>
      <c r="ITW8" t="inlineStr">
        <is>
          <t>Full-time education and textbook amounts</t>
        </is>
      </c>
      <c r="ITX8" t="inlineStr">
        <is>
          <t>Provincial amount transferred</t>
        </is>
      </c>
      <c r="ITY8" t="inlineStr">
        <is>
          <t>Territorial amount transferred</t>
        </is>
      </c>
      <c r="ITZ8" t="inlineStr">
        <is>
          <t>Provincial tuition amount transferred</t>
        </is>
      </c>
      <c r="IUA8" t="inlineStr">
        <is>
          <t>Territorial tuition amount transferred</t>
        </is>
      </c>
      <c r="IUB8" t="inlineStr">
        <is>
          <t>Amount for infirm dependants age 18 or older</t>
        </is>
      </c>
      <c r="IUC8" t="inlineStr">
        <is>
          <t>Caregiver amount</t>
        </is>
      </c>
      <c r="IUD8" t="inlineStr">
        <is>
          <t>Disability amount (for self)</t>
        </is>
      </c>
      <c r="IUE8" t="inlineStr">
        <is>
          <t>Disability amount transferred from a dependant</t>
        </is>
      </c>
      <c r="IUF8" t="inlineStr">
        <is>
          <t>Amounts transferred from your spouse or common-law partner</t>
        </is>
      </c>
      <c r="IUG8" t="inlineStr">
        <is>
          <t>Allowable amount of medical expenses for other dependants</t>
        </is>
      </c>
      <c r="IUH8" t="inlineStr">
        <is>
          <t>Disability amount (for self)</t>
        </is>
      </c>
      <c r="IUI8" t="inlineStr">
        <is>
          <t>Disability amount transferred from a dependant</t>
        </is>
      </c>
      <c r="IUJ8" t="inlineStr">
        <is>
          <t>Total provincial amounts designated to you by a student</t>
        </is>
      </c>
      <c r="IUK8" t="inlineStr">
        <is>
          <t>Amounts transferred from your spouse or common-law partner</t>
        </is>
      </c>
      <c r="IUL8" t="inlineStr">
        <is>
          <t>Allowable amount of medical expenses for other dependants</t>
        </is>
      </c>
      <c r="IUM8" t="inlineStr">
        <is>
          <t>Program type from the current tax year</t>
        </is>
      </c>
      <c r="IUN8" t="inlineStr">
        <is>
          <t>Eligible tuition fees paid</t>
        </is>
      </c>
      <c r="IUO8" t="inlineStr">
        <is>
          <t>“Eligibility Maximum” from the current tax year</t>
        </is>
      </c>
      <c r="IUP8" t="inlineStr">
        <is>
          <t>Program type from the current tax year</t>
        </is>
      </c>
      <c r="IUQ8" t="inlineStr">
        <is>
          <t>Eligible tuition fees paid</t>
        </is>
      </c>
      <c r="IUR8" t="inlineStr">
        <is>
          <t>Eligibility Maximum from the current tax year</t>
        </is>
      </c>
      <c r="IUS8" t="inlineStr">
        <is>
          <t>Program type from the current tax year</t>
        </is>
      </c>
      <c r="IUT8" t="inlineStr">
        <is>
          <t>Eligible tuition fees paid</t>
        </is>
      </c>
      <c r="IUU8" t="inlineStr">
        <is>
          <t>Eligibility Maximum from the current tax year</t>
        </is>
      </c>
      <c r="IUV8" t="inlineStr">
        <is>
          <t>AB political contributions tax credit</t>
        </is>
      </c>
      <c r="IUW8" t="inlineStr">
        <is>
          <t>Investor tax credit – Current tax year</t>
        </is>
      </c>
      <c r="IUX8" t="inlineStr">
        <is>
          <t>Climate action incentive – Basic amount</t>
        </is>
      </c>
      <c r="IUY8" t="inlineStr">
        <is>
          <t>Climate action incentive – Amount for an eligible spouse or common-law partner</t>
        </is>
      </c>
      <c r="IUZ8" t="inlineStr">
        <is>
          <t>Climate action incentive – Amount for a single parent’s qualified dependant</t>
        </is>
      </c>
      <c r="IVA8" t="inlineStr">
        <is>
          <t>Climate action incentive – Number of qualified dependants</t>
        </is>
      </c>
      <c r="IVB8" t="inlineStr">
        <is>
          <t>Climate action incentive – Do you reside outside of a census metropolitan area on December 31 of the tax year, as defined by Statistics Canada?</t>
        </is>
      </c>
      <c r="IVC8" t="inlineStr">
        <is>
          <t>Basic sales tax credit</t>
        </is>
      </c>
      <c r="IVD8" t="inlineStr">
        <is>
          <t>Additional sales tax credit for spouse or common-law partner</t>
        </is>
      </c>
      <c r="IVE8" t="inlineStr">
        <is>
          <t>Home renovation expenses</t>
        </is>
      </c>
      <c r="IVF8" t="inlineStr">
        <is>
          <t>BC political contribution tax credit</t>
        </is>
      </c>
      <c r="IVG8" t="inlineStr">
        <is>
          <t>Employee share ownership plan tax credit</t>
        </is>
      </c>
      <c r="IVH8" t="inlineStr">
        <is>
          <t>Employee venture capital tax credit</t>
        </is>
      </c>
      <c r="IVI8" t="inlineStr">
        <is>
          <t>Home renovation expenses for seniors and persons with disabilities</t>
        </is>
      </c>
      <c r="IVJ8" t="inlineStr">
        <is>
          <t>Venture capital tax credit – Current tax year</t>
        </is>
      </c>
      <c r="IVK8" t="inlineStr">
        <is>
          <t>Venture capital tax credit – First 60 days subsequent to the current tax year</t>
        </is>
      </c>
      <c r="IVL8" t="inlineStr">
        <is>
          <t>Mining exploration tax credit</t>
        </is>
      </c>
      <c r="IVM8" t="inlineStr">
        <is>
          <t>Mining exploration tax credit allocated from a partnership</t>
        </is>
      </c>
      <c r="IVN8" t="inlineStr">
        <is>
          <t>Training tax credit (Individuals)</t>
        </is>
      </c>
      <c r="IVO8" t="inlineStr">
        <is>
          <t>Training tax credit (Employers)</t>
        </is>
      </c>
      <c r="IVP8" t="inlineStr">
        <is>
          <t>Shipbuilding and ship repair industry tax credit</t>
        </is>
      </c>
      <c r="IVQ8" t="inlineStr">
        <is>
          <t>Age amount for spouse or common-law partner</t>
        </is>
      </c>
      <c r="IVR8" t="inlineStr">
        <is>
          <t>Disability amount for spouse or common-law partner</t>
        </is>
      </c>
      <c r="IVS8" t="inlineStr">
        <is>
          <t>Number of disability claims for self or a dependant other than your spouse or common-law partner</t>
        </is>
      </c>
      <c r="IVT8" t="inlineStr">
        <is>
          <t>Number of disabled dependants 18 years of age or older</t>
        </is>
      </c>
      <c r="IVU8" t="inlineStr">
        <is>
          <t>Number of dependent children 18 years of age or younger</t>
        </is>
      </c>
      <c r="IVV8" t="inlineStr">
        <is>
          <t>Labour-sponsored funds tax credit</t>
        </is>
      </c>
      <c r="IVW8" t="inlineStr">
        <is>
          <t>Community enterprise development tax credit claimed</t>
        </is>
      </c>
      <c r="IVX8" t="inlineStr">
        <is>
          <t>Community enterprise development tax credit amount from Slip T2CEDTC (MAN.)</t>
        </is>
      </c>
      <c r="IVY8" t="inlineStr">
        <is>
          <t>Small business venture capital tax credit claimed</t>
        </is>
      </c>
      <c r="IVZ8" t="inlineStr">
        <is>
          <t>Credit amount from Slip T2SBVCTC (MAN.)</t>
        </is>
      </c>
      <c r="IWA8" t="inlineStr">
        <is>
          <t>Employee share purchase tax credit claimed</t>
        </is>
      </c>
      <c r="IWB8" t="inlineStr">
        <is>
          <t>Involuntary separation indicator</t>
        </is>
      </c>
      <c r="IWC8" t="inlineStr">
        <is>
          <t>Basic, age, and disability credits for spouse or common-law partner</t>
        </is>
      </c>
      <c r="IWD8" t="inlineStr">
        <is>
          <t>Mineral exploration tax credit claimed</t>
        </is>
      </c>
      <c r="IWE8" t="inlineStr">
        <is>
          <t>Total credit amounts from ESOP receipt(s)</t>
        </is>
      </c>
      <c r="IWF8" t="inlineStr">
        <is>
          <t>Number of disability claims for self or for a dependant other than your spouse or common-law partner</t>
        </is>
      </c>
      <c r="IWG8" t="inlineStr">
        <is>
          <t>Number of dependent children 18 years of age or younger</t>
        </is>
      </c>
      <c r="IWH8" t="inlineStr">
        <is>
          <t>Number of disabled dependants 18 years of age or older</t>
        </is>
      </c>
      <c r="IWI8" t="inlineStr">
        <is>
          <t>Number dependants with a mental or physical infirmity</t>
        </is>
      </c>
      <c r="IWJ8" t="inlineStr">
        <is>
          <t>Number of dependent children – Reduction for dependent children age 18 or younger</t>
        </is>
      </c>
      <c r="IWK8" t="inlineStr">
        <is>
          <t>Number of dependent children – Credit for dependent children age 18 or younger</t>
        </is>
      </c>
      <c r="IWL8" t="inlineStr">
        <is>
          <t>Application for the ON energy and property tax credit</t>
        </is>
      </c>
      <c r="IWM8" t="inlineStr">
        <is>
          <t>Application for the Northern ON energy credit</t>
        </is>
      </c>
      <c r="IWN8" t="inlineStr">
        <is>
          <t>Total personal tax credits</t>
        </is>
      </c>
      <c r="IWO8" t="inlineStr">
        <is>
          <t>Choice for delayed single OTB payment</t>
        </is>
      </c>
      <c r="IWP8" t="inlineStr">
        <is>
          <t>Application for the ON senior homeowners’ property tax grant</t>
        </is>
      </c>
      <c r="IWQ8" t="inlineStr">
        <is>
          <t>Involuntary separation indicator</t>
        </is>
      </c>
      <c r="IWR8" t="inlineStr">
        <is>
          <t>Total rent paid</t>
        </is>
      </c>
      <c r="IWS8" t="inlineStr">
        <is>
          <t>Total property tax paid</t>
        </is>
      </c>
      <c r="IWT8" t="inlineStr">
        <is>
          <t>School taxes paid</t>
        </is>
      </c>
      <c r="IWU8" t="inlineStr">
        <is>
          <t>Education property tax credit advance received</t>
        </is>
      </c>
      <c r="IWV8" t="inlineStr">
        <is>
          <t>Residing in a designated student residence</t>
        </is>
      </c>
      <c r="IWW8" t="inlineStr">
        <is>
          <t>Occupancy cost</t>
        </is>
      </c>
      <c r="IWX8" t="inlineStr">
        <is>
          <t>Gross school taxes assessed</t>
        </is>
      </c>
      <c r="IWY8" t="inlineStr">
        <is>
          <t>Family income from the homeowners’ school tax credit table</t>
        </is>
      </c>
      <c r="IWZ8" t="inlineStr">
        <is>
          <t>Total home energy costs for principal residence on a reserve</t>
        </is>
      </c>
      <c r="IXA8" t="inlineStr">
        <is>
          <t>School taxes assessed</t>
        </is>
      </c>
      <c r="IXB8" t="inlineStr">
        <is>
          <t>Total accommodation in a public long-term care home or non-profit long-term care home</t>
        </is>
      </c>
      <c r="IXC8" t="inlineStr">
        <is>
          <t>School tax credit for homeowners</t>
        </is>
      </c>
      <c r="IXD8" t="inlineStr">
        <is>
          <t>Total rent assist benefits received</t>
        </is>
      </c>
      <c r="IXE8" t="inlineStr">
        <is>
          <t>Percentage of social assistance</t>
        </is>
      </c>
      <c r="IXF8" t="inlineStr">
        <is>
          <t>Primary caregiver tax credit</t>
        </is>
      </c>
      <c r="IXG8" t="inlineStr">
        <is>
          <t>Fertility treatment tax credit</t>
        </is>
      </c>
      <c r="IXH8" t="inlineStr">
        <is>
          <t>Paid work experience tax credit</t>
        </is>
      </c>
      <c r="IXI8" t="inlineStr">
        <is>
          <t>Odour-control tax credit</t>
        </is>
      </c>
      <c r="IXJ8" t="inlineStr">
        <is>
          <t>Green energy equipment tax credit (purchaser)</t>
        </is>
      </c>
      <c r="IXK8" t="inlineStr">
        <is>
          <t>Green energy equipment tax credit (manufacturer)</t>
        </is>
      </c>
      <c r="IXL8" t="inlineStr">
        <is>
          <t>Book publishing tax credit</t>
        </is>
      </c>
      <c r="IXM8" t="inlineStr">
        <is>
          <t>Family tax benefit</t>
        </is>
      </c>
      <c r="IXN8" t="inlineStr">
        <is>
          <t>Cultural industries printing tax credit</t>
        </is>
      </c>
      <c r="IXO8" t="inlineStr">
        <is>
          <t>Community enterprise development tax credit</t>
        </is>
      </c>
      <c r="IXP8" t="inlineStr">
        <is>
          <t>Employee share purchase tax credit</t>
        </is>
      </c>
      <c r="IXQ8" t="inlineStr">
        <is>
          <t>Farm and small business capital gains tax credit</t>
        </is>
      </c>
      <c r="IXR8" t="inlineStr">
        <is>
          <t>Provincial or territorial non-refundable tax credits</t>
        </is>
      </c>
      <c r="IXS8" t="inlineStr">
        <is>
          <t>Provincial or territorial tax on split income</t>
        </is>
      </c>
      <c r="IXT8" t="inlineStr">
        <is>
          <t>Provincial or territorial dividend tax credit</t>
        </is>
      </c>
      <c r="IXU8" t="inlineStr">
        <is>
          <t>Provincial or territorial minimum tax carryover</t>
        </is>
      </c>
      <c r="IXV8" t="inlineStr">
        <is>
          <t>NB political contribution tax credit</t>
        </is>
      </c>
      <c r="IXW8" t="inlineStr">
        <is>
          <t>Unused low-income tax reduction from spouse or common-law partner</t>
        </is>
      </c>
      <c r="IXX8" t="inlineStr">
        <is>
          <t>Basic low-income tax reduction</t>
        </is>
      </c>
      <c r="IXY8" t="inlineStr">
        <is>
          <t>Low-income tax reduction for spouse or common-law partner</t>
        </is>
      </c>
      <c r="IXZ8" t="inlineStr">
        <is>
          <t>Low-income tax reduction for an eligible dependant claimed on 30400</t>
        </is>
      </c>
      <c r="IYA8" t="inlineStr">
        <is>
          <t>Labour-sponsored venture capital tax credit</t>
        </is>
      </c>
      <c r="IYB8" t="inlineStr">
        <is>
          <t>Small business investor tax credit</t>
        </is>
      </c>
      <c r="IYC8" t="inlineStr">
        <is>
          <t>Amount to carry back to the first prior year</t>
        </is>
      </c>
      <c r="IYD8" t="inlineStr">
        <is>
          <t>Amount to carry back to the second prior year</t>
        </is>
      </c>
      <c r="IYE8" t="inlineStr">
        <is>
          <t>Amount to carry back to the third prior year</t>
        </is>
      </c>
      <c r="IYF8" t="inlineStr">
        <is>
          <t>Resort property investment tax credit</t>
        </is>
      </c>
      <c r="IYG8" t="inlineStr">
        <is>
          <t>NL political contribution tax credit</t>
        </is>
      </c>
      <c r="IYH8" t="inlineStr">
        <is>
          <t>Direct equity tax credit</t>
        </is>
      </c>
      <c r="IYI8" t="inlineStr">
        <is>
          <t>Amount to carry back to the first prior year</t>
        </is>
      </c>
      <c r="IYJ8" t="inlineStr">
        <is>
          <t>Amount to carry back to the second prior year</t>
        </is>
      </c>
      <c r="IYK8" t="inlineStr">
        <is>
          <t>MB political contribution tax credit</t>
        </is>
      </c>
      <c r="IYL8" t="inlineStr">
        <is>
          <t>Amount to carry back to the third prior year</t>
        </is>
      </c>
      <c r="IYM8" t="inlineStr">
        <is>
          <t>Venture capital tax credit</t>
        </is>
      </c>
      <c r="IYN8" t="inlineStr">
        <is>
          <t>Amount to carry back to the first prior year</t>
        </is>
      </c>
      <c r="IYO8" t="inlineStr">
        <is>
          <t>Amount to carry back to the second prior year</t>
        </is>
      </c>
      <c r="IYP8" t="inlineStr">
        <is>
          <t>Amount to carry back to the third prior year</t>
        </is>
      </c>
      <c r="IYQ8" t="inlineStr">
        <is>
          <t>Unused low-income tax reduction from the spouse or common-law partner</t>
        </is>
      </c>
      <c r="IYR8" t="inlineStr">
        <is>
          <t>Basic low-income tax reduction</t>
        </is>
      </c>
      <c r="IYS8" t="inlineStr">
        <is>
          <t>Reduction for your spouse or common-law partner</t>
        </is>
      </c>
      <c r="IYT8" t="inlineStr">
        <is>
          <t>Reduction for an eligible dependant</t>
        </is>
      </c>
      <c r="IYU8" t="inlineStr">
        <is>
          <t>Basic low-income tax reduction</t>
        </is>
      </c>
      <c r="IYV8" t="inlineStr">
        <is>
          <t>Low-income tax reduction for spouse or common-law partner</t>
        </is>
      </c>
      <c r="IYW8" t="inlineStr">
        <is>
          <t>Low-income tax reduction for an eligible dependant</t>
        </is>
      </c>
      <c r="IYX8" t="inlineStr">
        <is>
          <t>NS political contribution tax credit</t>
        </is>
      </c>
      <c r="IYY8" t="inlineStr">
        <is>
          <t>Food bank tax credit for farmers</t>
        </is>
      </c>
      <c r="IYZ8" t="inlineStr">
        <is>
          <t>Community food program donation tax credit for farmers</t>
        </is>
      </c>
      <c r="IZA8" t="inlineStr">
        <is>
          <t>Labour-sponsored venture capital tax credit</t>
        </is>
      </c>
      <c r="IZB8" t="inlineStr">
        <is>
          <t>Equity tax credit</t>
        </is>
      </c>
      <c r="IZC8" t="inlineStr">
        <is>
          <t>Amount to carry back to the first prior year</t>
        </is>
      </c>
      <c r="IZD8" t="inlineStr">
        <is>
          <t>Amount to carry back to the second prior year</t>
        </is>
      </c>
      <c r="IZE8" t="inlineStr">
        <is>
          <t>Amount to carry back to the third prior year</t>
        </is>
      </c>
      <c r="IZF8" t="inlineStr">
        <is>
          <t>Volunteer firefighters’ tax credit</t>
        </is>
      </c>
      <c r="IZG8" t="inlineStr">
        <is>
          <t>Volunteer firefighters and ground search and rescue tax credit</t>
        </is>
      </c>
      <c r="IZH8" t="inlineStr">
        <is>
          <t>Amount claimed for foreign income on 25600 of the return that is exempt under a tax treaty</t>
        </is>
      </c>
      <c r="IZI8" t="inlineStr">
        <is>
          <t>Basic cost of living tax credit for self</t>
        </is>
      </c>
      <c r="IZJ8" t="inlineStr">
        <is>
          <t>Cost of living tax credit supplement for spouse or common-law partner</t>
        </is>
      </c>
      <c r="IZK8" t="inlineStr">
        <is>
          <t>The basic credit for self claimed by the spouse or common-law partner</t>
        </is>
      </c>
      <c r="IZL8" t="inlineStr">
        <is>
          <t>Cost of living tax credit supplement</t>
        </is>
      </c>
      <c r="IZM8" t="inlineStr">
        <is>
          <t>Northwest territories credit</t>
        </is>
      </c>
      <c r="IZN8" t="inlineStr">
        <is>
          <t>NT political contribution tax credit</t>
        </is>
      </c>
      <c r="IZO8" t="inlineStr">
        <is>
          <t>Seniors’ public transit tax credit</t>
        </is>
      </c>
      <c r="IZP8" t="inlineStr">
        <is>
          <t>ON political contribution tax credit</t>
        </is>
      </c>
      <c r="IZQ8" t="inlineStr">
        <is>
          <t>Focused flow-through share tax credit</t>
        </is>
      </c>
      <c r="IZR8" t="inlineStr">
        <is>
          <t>Tax credits for self-employed individuals – Apprenticeships</t>
        </is>
      </c>
      <c r="IZS8" t="inlineStr">
        <is>
          <t>Tax credits for self-employed individuals – Work placements</t>
        </is>
      </c>
      <c r="IZT8" t="inlineStr">
        <is>
          <t>Tax credits claimed as a member of a partnership</t>
        </is>
      </c>
      <c r="IZU8" t="inlineStr">
        <is>
          <t>Business number</t>
        </is>
      </c>
      <c r="IZV8" t="inlineStr">
        <is>
          <t>Apprenticeship training tax credit</t>
        </is>
      </c>
      <c r="IZW8" t="inlineStr">
        <is>
          <t>Co-operative education tax credit</t>
        </is>
      </c>
      <c r="IZX8" t="inlineStr">
        <is>
          <t>Unused low-income tax reduction from spouse or common-law partner</t>
        </is>
      </c>
      <c r="IZY8" t="inlineStr">
        <is>
          <t>Basic low-income tax reduction</t>
        </is>
      </c>
      <c r="IZZ8" t="inlineStr">
        <is>
          <t>Age reduction for self</t>
        </is>
      </c>
      <c r="JAA8" t="inlineStr">
        <is>
          <t>Low-income tax reduction for spouse or common-law partner</t>
        </is>
      </c>
      <c r="JAB8" t="inlineStr">
        <is>
          <t>Age reduction for spouse or common-law partner</t>
        </is>
      </c>
      <c r="JAC8" t="inlineStr">
        <is>
          <t>Low-income tax reduction for an eligible dependant</t>
        </is>
      </c>
      <c r="JAD8" t="inlineStr">
        <is>
          <t>PE political contribution tax credit</t>
        </is>
      </c>
      <c r="JAE8" t="inlineStr">
        <is>
          <t>Basic and certification tax credits (level 1 and/or level 2 of a non-Red Seal programs)</t>
        </is>
      </c>
      <c r="JAF8" t="inlineStr">
        <is>
          <t>Completion and certification tax credit (level 3 of a Red Seal or non-Red Seal program)</t>
        </is>
      </c>
      <c r="JAG8" t="inlineStr">
        <is>
          <t>Completion and certification tax credit (level 4 of a Red Seal or non-Red Seal program)</t>
        </is>
      </c>
      <c r="JAH8" t="inlineStr">
        <is>
          <t>Enhanced tax credit</t>
        </is>
      </c>
      <c r="JAI8" t="inlineStr">
        <is>
          <t>Basic tax credit</t>
        </is>
      </c>
      <c r="JAJ8" t="inlineStr">
        <is>
          <t>Completion tax credit</t>
        </is>
      </c>
      <c r="JAK8" t="inlineStr">
        <is>
          <t>Enhanced tax credit</t>
        </is>
      </c>
      <c r="JAL8" t="inlineStr">
        <is>
          <t>Equity tax credit</t>
        </is>
      </c>
      <c r="JAM8" t="inlineStr">
        <is>
          <t>Volunteer firefighter tax credit</t>
        </is>
      </c>
      <c r="JAN8" t="inlineStr">
        <is>
          <t>SK political contribution tax credit</t>
        </is>
      </c>
      <c r="JAO8" t="inlineStr">
        <is>
          <t>Labour-sponsored venture capital tax credit</t>
        </is>
      </c>
      <c r="JAP8" t="inlineStr">
        <is>
          <t>Mineral exploration tax credit</t>
        </is>
      </c>
      <c r="JAQ8" t="inlineStr">
        <is>
          <t>Amount to carry back to the first prior year</t>
        </is>
      </c>
      <c r="JAR8" t="inlineStr">
        <is>
          <t>Amount to carry back to the second prior year</t>
        </is>
      </c>
      <c r="JAS8" t="inlineStr">
        <is>
          <t>Amount to carry back to the third prior year</t>
        </is>
      </c>
      <c r="JAT8" t="inlineStr">
        <is>
          <t>Graduate tuition tax credit</t>
        </is>
      </c>
      <c r="JAU8" t="inlineStr">
        <is>
          <t>Number of qualifying children under 6 years of age</t>
        </is>
      </c>
      <c r="JAV8" t="inlineStr">
        <is>
          <t>Children’s fitness tax credit</t>
        </is>
      </c>
      <c r="JAW8" t="inlineStr">
        <is>
          <t>Small business investment tax credit</t>
        </is>
      </c>
      <c r="JAX8" t="inlineStr">
        <is>
          <t>Amount to carry back to the first prior year</t>
        </is>
      </c>
      <c r="JAY8" t="inlineStr">
        <is>
          <t>Amount to carry back to the second prior year</t>
        </is>
      </c>
      <c r="JAZ8" t="inlineStr">
        <is>
          <t>Amount to carry back to the third prior year</t>
        </is>
      </c>
      <c r="JBA8" t="inlineStr">
        <is>
          <t>Labour-sponsored venture capital corporation tax credit</t>
        </is>
      </c>
      <c r="JBB8" t="inlineStr">
        <is>
          <t>Amount to carry back to the first prior year</t>
        </is>
      </c>
      <c r="JBC8" t="inlineStr">
        <is>
          <t>Amount to carry back to the second prior year</t>
        </is>
      </c>
      <c r="JBD8" t="inlineStr">
        <is>
          <t>Amount to carry back to the third prior year</t>
        </is>
      </c>
      <c r="JBE8" t="inlineStr">
        <is>
          <t>Research and development tax credit</t>
        </is>
      </c>
      <c r="JBF8" t="inlineStr">
        <is>
          <t>YT political contribution tax credit</t>
        </is>
      </c>
      <c r="JBG8" t="inlineStr">
        <is>
          <t>Yukon First Nations income tax credit</t>
        </is>
      </c>
      <c r="JBH8" t="inlineStr">
        <is>
          <t>Cost of living supplement</t>
        </is>
      </c>
      <c r="JBI8" t="inlineStr">
        <is>
          <t>Total cost of living tax credit</t>
        </is>
      </c>
      <c r="JBJ8" t="inlineStr">
        <is>
          <t>NU political contribution tax credit</t>
        </is>
      </c>
      <c r="JBK8" t="inlineStr">
        <is>
          <t>Total expenses eligible for the GST rebate</t>
        </is>
      </c>
      <c r="JBL8" t="inlineStr">
        <is>
          <t>Total expenses eligible for the HST rebate</t>
        </is>
      </c>
      <c r="JBM8" t="inlineStr">
        <is>
          <t>Total expenses eligible for the HST rebate</t>
        </is>
      </c>
      <c r="JBN8" t="inlineStr">
        <is>
          <t>Benefits that can no longer be deferred</t>
        </is>
      </c>
      <c r="JBO8" t="inlineStr">
        <is>
          <t>Closing balance of deferred security option benefits</t>
        </is>
      </c>
      <c r="JBP8" t="inlineStr">
        <is>
          <t>Non-capital loss to be applied to the third prior year</t>
        </is>
      </c>
      <c r="JBQ8" t="inlineStr">
        <is>
          <t>Non-capital loss to be applied to the second prior year</t>
        </is>
      </c>
      <c r="JBR8" t="inlineStr">
        <is>
          <t>Non-capital loss to be applied to the first prior year</t>
        </is>
      </c>
      <c r="JBS8" t="inlineStr">
        <is>
          <t>Farming or fishing loss to be applied to the third prior year</t>
        </is>
      </c>
      <c r="JBT8" t="inlineStr">
        <is>
          <t>Farming or fishing loss to be applied to the second prior year</t>
        </is>
      </c>
      <c r="JBU8" t="inlineStr">
        <is>
          <t>Farming or fishing loss to be applied to the first prior year</t>
        </is>
      </c>
      <c r="JBV8" t="inlineStr">
        <is>
          <t>Net capital loss to be applied to the third prior year</t>
        </is>
      </c>
      <c r="JBW8" t="inlineStr">
        <is>
          <t>Net capital loss to be applied to the second prior year</t>
        </is>
      </c>
      <c r="JBX8" t="inlineStr">
        <is>
          <t>Net capital loss to be applied to the first prior year</t>
        </is>
      </c>
      <c r="JBY8" t="inlineStr">
        <is>
          <t>Listed personal property net loss to be applied to the third prior year listed personal property net gains</t>
        </is>
      </c>
      <c r="JBZ8" t="inlineStr">
        <is>
          <t>Listed personal property net loss to be applied to the second prior year listed personal property net gains</t>
        </is>
      </c>
      <c r="JCA8" t="inlineStr">
        <is>
          <t>Listed personal property net loss to be applied to the first prior year listed personal property net gains</t>
        </is>
      </c>
      <c r="JCB8" t="inlineStr">
        <is>
          <t>Restricted farm loss to be applied to the third prior year</t>
        </is>
      </c>
      <c r="JCC8" t="inlineStr">
        <is>
          <t>Restricted farm loss to be applied to the second prior year</t>
        </is>
      </c>
      <c r="JCD8" t="inlineStr">
        <is>
          <t>Restricted farm loss to be applied to the first prior year</t>
        </is>
      </c>
      <c r="JCE8" t="inlineStr">
        <is>
          <t>Amount of 2018 reserve for dispositions of QFFP to your child after 2009, and before April 21, 2015 and all other dispositions of QFFP after 2014 and before April 21, 2015</t>
        </is>
      </c>
      <c r="JCF8" t="inlineStr">
        <is>
          <t>Amount of 2019 reserve for dispositions of QFFP to your child after 2010, and before April 21, 2015, and all other dispositions of QFFP after 2015 and before April 21, 2015</t>
        </is>
      </c>
      <c r="JCG8" t="inlineStr">
        <is>
          <t>Amount of 2018 reserve for dispositions of QFFP after April 20, 2015</t>
        </is>
      </c>
      <c r="JCH8" t="inlineStr">
        <is>
          <t>Amount of 2019 reserve for dispositions of QFFP after April 20, 2015</t>
        </is>
      </c>
      <c r="JCI8" t="inlineStr">
        <is>
          <t>Amount of the most recent reserve claimed on line 66840</t>
        </is>
      </c>
      <c r="JCJ8" t="inlineStr">
        <is>
          <t>Amount of 2019 reserve for dispositions of QSBCS to your child after 2010, and all other dispositions of QSBCS after 2015</t>
        </is>
      </c>
      <c r="JCK8" t="inlineStr">
        <is>
          <t>Amount of 2018 reserve for dispositions of QSBCS to your child after 2009, and all other dispositions of QSBCS after 2014</t>
        </is>
      </c>
      <c r="JCL8" t="inlineStr">
        <is>
          <t>Amount of the most recent reserve claimed on line 66850</t>
        </is>
      </c>
      <c r="JCM8" t="inlineStr">
        <is>
          <t>Amount of 2018 reserve for dispositions to your child after 2009, of family farm or fishing property other than QFFP and of shares of capital stock of a small business corporation other than QSBCS</t>
        </is>
      </c>
      <c r="JCN8" t="inlineStr">
        <is>
          <t>Amount of 2019 reserve for dispositions to your child after 2010, of family farm or fishing property other than QFFP and of shares of capital stock of a small business corporation other than QSBCS</t>
        </is>
      </c>
      <c r="JCO8" t="inlineStr">
        <is>
          <t>Amount of 2018 reserve for dispositions of property after 2014, other than dispositions listed on lines 66815, 66843, 66883, and 66910</t>
        </is>
      </c>
      <c r="JCP8" t="inlineStr">
        <is>
          <t>Amount of 2019 reserve for dispositions of property after 2015, other than dispositions listed on lines 66840, 66844, 66850, and 66920</t>
        </is>
      </c>
      <c r="JCQ8" t="inlineStr">
        <is>
          <t>Amount of 2018 reserve for dispositions before November 13, 1981</t>
        </is>
      </c>
      <c r="JCR8" t="inlineStr">
        <is>
          <t>Total capital reserves</t>
        </is>
      </c>
      <c r="JCS8" t="inlineStr">
        <is>
          <t>ITC for total qualified expenditures for SR&amp;ED</t>
        </is>
      </c>
      <c r="JCT8" t="inlineStr">
        <is>
          <t>80% of total contributions made to agricultural organizations for SR&amp;ED</t>
        </is>
      </c>
      <c r="JCU8" t="inlineStr">
        <is>
          <t>ITC allocated from a partnership for SR&amp;ED</t>
        </is>
      </c>
      <c r="JCV8" t="inlineStr">
        <is>
          <t>ITC for total investments in qualified property</t>
        </is>
      </c>
      <c r="JCW8" t="inlineStr">
        <is>
          <t>Total flow-through mining expenditures</t>
        </is>
      </c>
      <c r="JCX8" t="inlineStr">
        <is>
          <t>Total apprenticeship job creation tax credit</t>
        </is>
      </c>
      <c r="JCY8" t="inlineStr">
        <is>
          <t>ITC for child care spaces</t>
        </is>
      </c>
      <c r="JCZ8" t="inlineStr">
        <is>
          <t>Amount of expenditure on which ITC is recaptured at 15%</t>
        </is>
      </c>
      <c r="JDA8" t="inlineStr">
        <is>
          <t>Amount of expenditure on which ITC is recaptured at 20%</t>
        </is>
      </c>
      <c r="JDB8" t="inlineStr">
        <is>
          <t>Total recapture of ITC for child care spaces</t>
        </is>
      </c>
      <c r="JDC8" t="inlineStr">
        <is>
          <t>Amount of carryback to the third previous year</t>
        </is>
      </c>
      <c r="JDD8" t="inlineStr">
        <is>
          <t>Amount of carryback to the second previous year</t>
        </is>
      </c>
      <c r="JDE8" t="inlineStr">
        <is>
          <t>Amount of carryback to the first previous year</t>
        </is>
      </c>
      <c r="JDF8" t="inlineStr">
        <is>
          <t>Maximum residency amount for residents of prescribed northern zones</t>
        </is>
      </c>
      <c r="JDG8" t="inlineStr">
        <is>
          <t>Non-taxable benefits for board and lodging at a special work site in a prescribed northern zone</t>
        </is>
      </c>
      <c r="JDH8" t="inlineStr">
        <is>
          <t>Maximum residency amount for residents of prescribed intermediate zones</t>
        </is>
      </c>
      <c r="JDI8" t="inlineStr">
        <is>
          <t>Non-taxable benefits for board and lodging at a special work site in a prescribed intermediate zone</t>
        </is>
      </c>
      <c r="JDJ8" t="inlineStr">
        <is>
          <t>Total travel amount for trips from a prescribed northern zone</t>
        </is>
      </c>
      <c r="JDK8" t="inlineStr">
        <is>
          <t>Total travel amount for trips from a prescribed intermediate zone</t>
        </is>
      </c>
      <c r="JDL8" t="inlineStr">
        <is>
          <t>Claim for tax shelter loss or deduction</t>
        </is>
      </c>
      <c r="JDM8" t="inlineStr">
        <is>
          <t>Amount of loss created or increased by CCA and carrying charges on certified film property</t>
        </is>
      </c>
      <c r="JDN8" t="inlineStr">
        <is>
          <t>Amount of loss created or increased by CCA and carrying charges on rental and leasing property</t>
        </is>
      </c>
      <c r="JDO8" t="inlineStr">
        <is>
          <t>Losses, amounts deductible and carrying charges for tax shelters, limited partnership, and non-active partners</t>
        </is>
      </c>
      <c r="JDP8" t="inlineStr">
        <is>
          <t>Total of all resource expenditures, depletion allowances, and carrying charges for resource property and flow-through shares</t>
        </is>
      </c>
      <c r="JDQ8" t="inlineStr">
        <is>
          <t>Certain capital gains from graduated rate estates</t>
        </is>
      </c>
      <c r="JDR8" t="inlineStr">
        <is>
          <t>Part of total capital gains that is exempt from Canadian tax under a tax treaty</t>
        </is>
      </c>
      <c r="JDS8" t="inlineStr">
        <is>
          <t>Capital gains on gifts of property to qualified donees</t>
        </is>
      </c>
      <c r="JDT8" t="inlineStr">
        <is>
          <t>Security options deductions under paragraph 110(1)(d)</t>
        </is>
      </c>
      <c r="JDU8" t="inlineStr">
        <is>
          <t>Gifts of securities acquired under a security option plan</t>
        </is>
      </c>
      <c r="JDV8" t="inlineStr">
        <is>
          <t>Other security options deductions included on line 24900</t>
        </is>
      </c>
      <c r="JDW8" t="inlineStr">
        <is>
          <t>Limited partnership losses incurred in prior years that are tax shelters</t>
        </is>
      </c>
      <c r="JDX8" t="inlineStr">
        <is>
          <t>Federal tax payable under alternative minimum tax</t>
        </is>
      </c>
      <c r="JDY8" t="inlineStr">
        <is>
          <t>Total child care expenses paid in the year</t>
        </is>
      </c>
      <c r="JDZ8" t="inlineStr">
        <is>
          <t>Child care expenses incurred for a child age 6 or younger</t>
        </is>
      </c>
      <c r="JEA8" t="inlineStr">
        <is>
          <t>Basic limit for eligible children born in the current tax year or earlier for whom the disability amount can be claimed</t>
        </is>
      </c>
      <c r="JEB8" t="inlineStr">
        <is>
          <t>Part C – Child care expenses paid by the other person with lower net income</t>
        </is>
      </c>
      <c r="JEC8" t="inlineStr">
        <is>
          <t>Part D – Child care expenses paid while enrolled in an educational program</t>
        </is>
      </c>
      <c r="JED8" t="inlineStr">
        <is>
          <t>Total eligible pensions or superannuation, annuity and RRSP/RRIF payments (including life income fund) received</t>
        </is>
      </c>
      <c r="JEE8" t="inlineStr">
        <is>
          <t>Veteran’s benefits on T4A slips eligible for pension income splitting</t>
        </is>
      </c>
      <c r="JEF8" t="inlineStr">
        <is>
          <t>Distributions on T4A-RCA slips eligible for pension income splitting</t>
        </is>
      </c>
      <c r="JEG8" t="inlineStr">
        <is>
          <t>Number of months married or living common-law in the current tax year</t>
        </is>
      </c>
      <c r="JEH8" t="inlineStr">
        <is>
          <t>Total tax deducted from the transferring spouse’s or common-law partner’s pension income</t>
        </is>
      </c>
      <c r="JEI8" t="inlineStr">
        <is>
          <t>Tax deducted for the elected split-pension amount</t>
        </is>
      </c>
      <c r="JEJ8" t="inlineStr">
        <is>
          <t>Any other investment expenses claimed in the current tax year to earn property income</t>
        </is>
      </c>
      <c r="JEK8" t="inlineStr">
        <is>
          <t>Any other property income reported in the current tax year</t>
        </is>
      </c>
      <c r="JEL8" t="inlineStr">
        <is>
          <t>50% of income from the recovery of exploration and development expenses</t>
        </is>
      </c>
      <c r="JEM8" t="inlineStr">
        <is>
          <t>Capital gains from T3 slips</t>
        </is>
      </c>
      <c r="JEN8" t="inlineStr">
        <is>
          <t>Non-eligible capital gains from T3 slips</t>
        </is>
      </c>
      <c r="JEO8" t="inlineStr">
        <is>
          <t>Special tax for Quebec LSVCC</t>
        </is>
      </c>
      <c r="JEP8" t="inlineStr">
        <is>
          <t>Excess employees profit-sharing plan amounts</t>
        </is>
      </c>
      <c r="JEQ8" t="inlineStr">
        <is>
          <t>Proceeds from disposition of publicly traded shares, other shares and mutual fund units</t>
        </is>
      </c>
      <c r="JER8" t="inlineStr">
        <is>
          <t>Gains eligible for 0% inclusion rate from the disposition of publicly traded shares, other shares and mutual funds units</t>
        </is>
      </c>
      <c r="JES8" t="inlineStr">
        <is>
          <t>Proceeds from disposition of bonds, debentures, promissory notes, and other properties (including ecologically sensitive land)</t>
        </is>
      </c>
      <c r="JET8" t="inlineStr">
        <is>
          <t>Gains eligible for 0% inclusion rate from the disposition of bonds, debentures, promissory notes, and other properties (including ecologically sensitive land)</t>
        </is>
      </c>
      <c r="JEU8" t="inlineStr">
        <is>
          <t>Total of all accumulated income payments</t>
        </is>
      </c>
      <c r="JEV8" t="inlineStr">
        <is>
          <t>Total of all accumulated income payments</t>
        </is>
      </c>
      <c r="JEW8" t="inlineStr">
        <is>
          <t>Taxable amount of dividends (eligible and other than eligible) from taxable Canadian corporations</t>
        </is>
      </c>
      <c r="JEX8" t="inlineStr">
        <is>
          <t>Taxable amount of dividends other than eligible dividends, included on line 68330, from taxable Canadian corporations</t>
        </is>
      </c>
      <c r="JEY8" t="inlineStr">
        <is>
          <t>Total split income</t>
        </is>
      </c>
      <c r="JEZ8" t="inlineStr">
        <is>
          <t>Split income from foreign sources</t>
        </is>
      </c>
      <c r="JFA8" t="inlineStr">
        <is>
          <t>Total income from foreign sources</t>
        </is>
      </c>
      <c r="JFB8" t="inlineStr">
        <is>
          <t>Current-year credit available</t>
        </is>
      </c>
      <c r="JFC8" t="inlineStr">
        <is>
          <t>Mining flow-through share tax credit</t>
        </is>
      </c>
      <c r="JFD8" t="inlineStr">
        <is>
          <t>Amount to carry back to the first prior year</t>
        </is>
      </c>
      <c r="JFE8" t="inlineStr">
        <is>
          <t>Amount to carry back to the second prior year</t>
        </is>
      </c>
      <c r="JFF8" t="inlineStr">
        <is>
          <t>Amount to carry back to the third prior year</t>
        </is>
      </c>
      <c r="JFG8" t="inlineStr">
        <is>
          <t>Current year tax credit available</t>
        </is>
      </c>
      <c r="JFH8" s="87" t="inlineStr">
        <is>
          <t>Tax Year Filed</t>
        </is>
      </c>
      <c r="JFI8" t="inlineStr">
        <is>
          <t>Taxing Province</t>
        </is>
      </c>
      <c r="JFJ8" t="inlineStr">
        <is>
          <t>Marital Status</t>
        </is>
      </c>
      <c r="JFK8" t="inlineStr">
        <is>
          <t>Balance before penalty and interest</t>
        </is>
      </c>
      <c r="JFL8" t="inlineStr">
        <is>
          <t>Balance before penalty and interest</t>
        </is>
      </c>
      <c r="JFM8" t="inlineStr">
        <is>
          <t>Final balance</t>
        </is>
      </c>
      <c r="JFN8" t="inlineStr">
        <is>
          <t>Basic federal tax</t>
        </is>
      </c>
      <c r="JFO8" t="inlineStr">
        <is>
          <t>Basic provincial or territorial tax</t>
        </is>
      </c>
      <c r="JFP8" t="inlineStr">
        <is>
          <t>Ontario Health Premium</t>
        </is>
      </c>
      <c r="JFQ8" t="inlineStr">
        <is>
          <t>Employment income from T4 slips</t>
        </is>
      </c>
      <c r="JFR8" t="inlineStr">
        <is>
          <t>Commissions included on line 10100</t>
        </is>
      </c>
      <c r="JFS8" t="inlineStr">
        <is>
          <t>Wage-loss replacement contributions</t>
        </is>
      </c>
      <c r="JFT8" t="inlineStr">
        <is>
          <t>Other employment income</t>
        </is>
      </c>
      <c r="JFU8" t="inlineStr">
        <is>
          <t>Proceeds from disposition of qualified small business corporation shares</t>
        </is>
      </c>
      <c r="JFV8" t="inlineStr">
        <is>
          <t>Gain (or loss) from disposition of qualified small business corporation shares</t>
        </is>
      </c>
      <c r="JFW8" t="inlineStr">
        <is>
          <t>Proceeds from disposition of qualified farm or fishing property</t>
        </is>
      </c>
      <c r="JFX8" t="inlineStr">
        <is>
          <t>Gain (or loss) from disposition of qualified farm or fishing property</t>
        </is>
      </c>
      <c r="JFY8" t="inlineStr">
        <is>
          <t>Old age security pension</t>
        </is>
      </c>
      <c r="JFZ8" t="inlineStr">
        <is>
          <t>CPP or QPP benefits</t>
        </is>
      </c>
      <c r="JGA8" t="inlineStr">
        <is>
          <t>Other pensions and superannuation</t>
        </is>
      </c>
      <c r="JGB8" t="inlineStr">
        <is>
          <t>Elected split-pension amount</t>
        </is>
      </c>
      <c r="JGC8" t="inlineStr">
        <is>
          <t>Universal child care benefit (UCCB)</t>
        </is>
      </c>
      <c r="JGD8" t="inlineStr">
        <is>
          <t>Employment insurance and other benefits</t>
        </is>
      </c>
      <c r="JGE8" t="inlineStr">
        <is>
          <t>Taxable amount of dividends (eligible and other than eligible) from taxable Canadian corporations</t>
        </is>
      </c>
      <c r="JGF8" t="inlineStr">
        <is>
          <t>Interest and other investment income</t>
        </is>
      </c>
      <c r="JGG8" t="inlineStr">
        <is>
          <t>Net partnership income: limited or non-active partners only</t>
        </is>
      </c>
      <c r="JGH8" t="inlineStr">
        <is>
          <t>Proceeds from disposition of mortgage foreclosures and conditional sales repossessions of a qualified farm or fishing property</t>
        </is>
      </c>
      <c r="JGI8" t="inlineStr">
        <is>
          <t>Gain (or loss) from disposition of mortgage foreclosures and conditional sales repossessions of a qualified farm or fishing property</t>
        </is>
      </c>
      <c r="JGJ8" t="inlineStr">
        <is>
          <t>Registered disability savings plan (RDSP) income</t>
        </is>
      </c>
      <c r="JGK8" t="inlineStr">
        <is>
          <t>Net rental income (loss)</t>
        </is>
      </c>
      <c r="JGL8" t="inlineStr">
        <is>
          <t>Taxable capital gains (or net capital loss)</t>
        </is>
      </c>
      <c r="JGM8" t="inlineStr">
        <is>
          <t>Taxable amount of support payments received Registered retirement savings plan (RRSP) income Other income</t>
        </is>
      </c>
      <c r="JGN8" t="inlineStr">
        <is>
          <t>Registered retirement savings plan (RRSP) income</t>
        </is>
      </c>
      <c r="JGO8" t="inlineStr">
        <is>
          <t>Other income</t>
        </is>
      </c>
      <c r="JGP8" t="inlineStr">
        <is>
          <t>Proceeds from disposition of publicly traded shares, mutual fund units, deferral of eligible small business corporation shares, and other shares</t>
        </is>
      </c>
      <c r="JGQ8" t="inlineStr">
        <is>
          <t>Gain (or loss) from disposition of publicly traded shares, mutual fund units, deferral of eligible small business corporation shares, and other shares</t>
        </is>
      </c>
      <c r="JGR8" t="inlineStr">
        <is>
          <t>Net business income (loss)</t>
        </is>
      </c>
      <c r="JGS8" t="inlineStr">
        <is>
          <t>Proceeds from disposition of real estate, depreciable property, and other properties</t>
        </is>
      </c>
      <c r="JGT8" t="inlineStr">
        <is>
          <t>Net professional income (loss)</t>
        </is>
      </c>
      <c r="JGU8" t="inlineStr">
        <is>
          <t>Gain (or loss) from disposition of real estate, depreciable property, and other properties</t>
        </is>
      </c>
      <c r="JGV8" t="inlineStr">
        <is>
          <t>Net commission income (loss)</t>
        </is>
      </c>
      <c r="JGW8" t="inlineStr">
        <is>
          <t>Net farming income (loss)</t>
        </is>
      </c>
      <c r="JGX8" t="inlineStr">
        <is>
          <t>Net fishing income (loss)</t>
        </is>
      </c>
      <c r="JGY8" t="inlineStr">
        <is>
          <t>Workers’ compensation benefits</t>
        </is>
      </c>
      <c r="JGZ8" t="inlineStr">
        <is>
          <t>Social assistance payments</t>
        </is>
      </c>
      <c r="JHA8" t="inlineStr">
        <is>
          <t>Net federal supplements</t>
        </is>
      </c>
      <c r="JHB8" t="inlineStr">
        <is>
          <t>Total income</t>
        </is>
      </c>
      <c r="JHC8" t="inlineStr">
        <is>
          <t>Proceeds from disposition of bonds, debentures, promissory notes, and other similar properties</t>
        </is>
      </c>
      <c r="JHD8" t="inlineStr">
        <is>
          <t>Disability benefits included on line 11400</t>
        </is>
      </c>
      <c r="JHE8" t="inlineStr">
        <is>
          <t>Gain (or loss) from disposition of bonds, debentures, promissory notes, and other similar properties Proceeds from disposition of other mortgage foreclosures and conditional sales repossessions</t>
        </is>
      </c>
      <c r="JHF8" t="inlineStr">
        <is>
          <t>Proceeds from disposition of other mortgage foreclosures and conditional sales repossessions</t>
        </is>
      </c>
      <c r="JHG8" t="inlineStr">
        <is>
          <t>Gain (or loss) from disposition of other mortgage foreclosures and conditional sales repossessions</t>
        </is>
      </c>
      <c r="JHH8" t="inlineStr">
        <is>
          <t>Total support payments received</t>
        </is>
      </c>
      <c r="JHI8" t="inlineStr">
        <is>
          <t>Gain from disposition of personal-use property</t>
        </is>
      </c>
      <c r="JHJ8" t="inlineStr">
        <is>
          <t>Net gain from disposition of listed personal property Capital gains deferral from qualifying dispositions of eligible small business corporation shares</t>
        </is>
      </c>
      <c r="JHK8" t="inlineStr">
        <is>
          <t>Gross rental income</t>
        </is>
      </c>
      <c r="JHL8" t="inlineStr">
        <is>
          <t>Capital gains deferral from qualifying dispositions of eligible small business corporation shares</t>
        </is>
      </c>
      <c r="JHM8" t="inlineStr">
        <is>
          <t>Gross business income</t>
        </is>
      </c>
      <c r="JHN8" t="inlineStr">
        <is>
          <t>Gross professional income</t>
        </is>
      </c>
      <c r="JHO8" t="inlineStr">
        <is>
          <t>Gross commission income</t>
        </is>
      </c>
      <c r="JHP8" t="inlineStr">
        <is>
          <t>Gross farming income</t>
        </is>
      </c>
      <c r="JHQ8" t="inlineStr">
        <is>
          <t>Gross fishing income</t>
        </is>
      </c>
      <c r="JHR8" t="inlineStr">
        <is>
          <t>T5, T5013, and T4PS information slips – Capital gains (or losses)</t>
        </is>
      </c>
      <c r="JHS8" t="inlineStr">
        <is>
          <t>T3 information slips – Capital gains (or losses)</t>
        </is>
      </c>
      <c r="JHT8" t="inlineStr">
        <is>
          <t>Capital loss from a reduction in the business investment loss</t>
        </is>
      </c>
      <c r="JHU8" t="inlineStr">
        <is>
          <t>Principal residence designation</t>
        </is>
      </c>
      <c r="JHV8" t="inlineStr">
        <is>
          <t>Taxable amount of dividends other than eligible dividends, included on line 12000, from taxable Canadian corporations</t>
        </is>
      </c>
      <c r="JHW8" t="inlineStr">
        <is>
          <t>UCCB amount designated to a dependant</t>
        </is>
      </c>
      <c r="JHX8" t="inlineStr">
        <is>
          <t>Pooled registered pension plan (PRPP) employer contributions</t>
        </is>
      </c>
      <c r="JHY8" t="inlineStr">
        <is>
          <t>Pension adjustment</t>
        </is>
      </c>
      <c r="JHZ8" t="inlineStr">
        <is>
          <t>Registered pension plan deduction</t>
        </is>
      </c>
      <c r="JIA8" t="inlineStr">
        <is>
          <t>RRSP deduction</t>
        </is>
      </c>
      <c r="JIB8" t="inlineStr">
        <is>
          <t>Deduction for elected split-pension amount</t>
        </is>
      </c>
      <c r="JIC8" t="inlineStr">
        <is>
          <t>Annual union, professional, or like dues</t>
        </is>
      </c>
      <c r="JID8" t="inlineStr">
        <is>
          <t>Universal child care benefit repayment</t>
        </is>
      </c>
      <c r="JIE8" t="inlineStr">
        <is>
          <t>Child care expenses</t>
        </is>
      </c>
      <c r="JIF8" t="inlineStr">
        <is>
          <t>Disability supports deduction</t>
        </is>
      </c>
      <c r="JIG8" t="inlineStr">
        <is>
          <t>Allowable business investment loss deduction</t>
        </is>
      </c>
      <c r="JIH8" t="inlineStr">
        <is>
          <t>Moving expenses</t>
        </is>
      </c>
      <c r="JII8" t="inlineStr">
        <is>
          <t>Allowable deduction for support payments made</t>
        </is>
      </c>
      <c r="JIJ8" t="inlineStr">
        <is>
          <t>Carrying charges and interest expenses</t>
        </is>
      </c>
      <c r="JIK8" t="inlineStr">
        <is>
          <t>Deduction for CPP or QPP contributions on self-employment and other earnings</t>
        </is>
      </c>
      <c r="JIL8" t="inlineStr">
        <is>
          <t>Deduction for PPIP premiums on self-employment income</t>
        </is>
      </c>
      <c r="JIM8" t="inlineStr">
        <is>
          <t>Exploration and development expenses</t>
        </is>
      </c>
      <c r="JIN8" t="inlineStr">
        <is>
          <t>Gross business investment loss</t>
        </is>
      </c>
      <c r="JIO8" t="inlineStr">
        <is>
          <t>Other employment expenses</t>
        </is>
      </c>
      <c r="JIP8" t="inlineStr">
        <is>
          <t>Total support payments made</t>
        </is>
      </c>
      <c r="JIQ8" t="inlineStr">
        <is>
          <t>Clergy residence deduction</t>
        </is>
      </c>
      <c r="JIR8" t="inlineStr">
        <is>
          <t>Other deductions</t>
        </is>
      </c>
      <c r="JIS8" t="inlineStr">
        <is>
          <t>Social benefits repayment</t>
        </is>
      </c>
      <c r="JIT8" t="inlineStr">
        <is>
          <t>Net income</t>
        </is>
      </c>
      <c r="JIU8" t="inlineStr">
        <is>
          <t>Transfers to an RRSP/PRPP/SPP</t>
        </is>
      </c>
      <c r="JIV8" t="inlineStr">
        <is>
          <t>Canadian Forces personnel and police deduction</t>
        </is>
      </c>
      <c r="JIW8" t="inlineStr">
        <is>
          <t>Total RRSP, SPP, and PRPP contributions from March 2, 2019 to March 2, 2020</t>
        </is>
      </c>
      <c r="JIX8" t="inlineStr">
        <is>
          <t>Contributions designated as a repayment under the Home Buyers’ Plan</t>
        </is>
      </c>
      <c r="JIY8" t="inlineStr">
        <is>
          <t>Current year withdrawals for the HBP on T4RSP slips</t>
        </is>
      </c>
      <c r="JIZ8" t="inlineStr">
        <is>
          <t>Security options deductions</t>
        </is>
      </c>
      <c r="JJA8" t="inlineStr">
        <is>
          <t>Other payments deduction</t>
        </is>
      </c>
      <c r="JJB8" t="inlineStr">
        <is>
          <t>Limited partnership losses of other years</t>
        </is>
      </c>
      <c r="JJC8" t="inlineStr">
        <is>
          <t>Non-capital losses of other years</t>
        </is>
      </c>
      <c r="JJD8" t="inlineStr">
        <is>
          <t>Net capital losses of other years</t>
        </is>
      </c>
      <c r="JJE8" t="inlineStr">
        <is>
          <t>Capital gains deduction</t>
        </is>
      </c>
      <c r="JJF8" t="inlineStr">
        <is>
          <t>Northern residents deductions</t>
        </is>
      </c>
      <c r="JJG8" t="inlineStr">
        <is>
          <t>Additional deductions</t>
        </is>
      </c>
      <c r="JJH8" t="inlineStr">
        <is>
          <t>Address of home purchased under the HBP is the same as on page 1 of return</t>
        </is>
      </c>
      <c r="JJI8" t="inlineStr">
        <is>
          <t>Taxable income</t>
        </is>
      </c>
      <c r="JJJ8" t="inlineStr">
        <is>
          <t>Contributions designated as a repayment under the Lifelong Learning Plan</t>
        </is>
      </c>
      <c r="JJK8" t="inlineStr">
        <is>
          <t>Current year withdrawals for the LLP on T4RSP slips</t>
        </is>
      </c>
      <c r="JJL8" t="inlineStr">
        <is>
          <t>Designation of the spouse or common-law partner as the student for whom the funds were withdrawn under the LLP</t>
        </is>
      </c>
      <c r="JJM8" t="inlineStr">
        <is>
          <t>Foreign property held in the current tax year with a total cost of more than CAN$100,000</t>
        </is>
      </c>
      <c r="JJN8" t="inlineStr">
        <is>
          <t>Current year contributions to an amateur athlete trust</t>
        </is>
      </c>
      <c r="JJO8" t="inlineStr">
        <is>
          <t>Basic personal amount</t>
        </is>
      </c>
      <c r="JJP8" t="inlineStr">
        <is>
          <t>Age amount</t>
        </is>
      </c>
      <c r="JJQ8" t="inlineStr">
        <is>
          <t>Spouse or common-law partner amount</t>
        </is>
      </c>
      <c r="JJR8" t="inlineStr">
        <is>
          <t>Canada caregiver amount for spouse or common-law partner, or eligible dependant age 18 or older</t>
        </is>
      </c>
      <c r="JJS8" t="inlineStr">
        <is>
          <t>Amount for an eligible dependant</t>
        </is>
      </c>
      <c r="JJT8" t="inlineStr">
        <is>
          <t>Canada caregiver amount for other infirm dependants age 18 or older</t>
        </is>
      </c>
      <c r="JJU8" t="inlineStr">
        <is>
          <t>CPP contributions</t>
        </is>
      </c>
      <c r="JJV8" t="inlineStr">
        <is>
          <t>CPP contributions on self-employment and other earnings</t>
        </is>
      </c>
      <c r="JJW8" t="inlineStr">
        <is>
          <t>Employment insurance premiums</t>
        </is>
      </c>
      <c r="JJX8" t="inlineStr">
        <is>
          <t>Adoption expenses</t>
        </is>
      </c>
      <c r="JJY8" t="inlineStr">
        <is>
          <t>Pension income amount</t>
        </is>
      </c>
      <c r="JJZ8" t="inlineStr">
        <is>
          <t>Disability amount (for self)</t>
        </is>
      </c>
      <c r="JKA8" t="inlineStr">
        <is>
          <t>Employment insurance premiums on self-employment and other eligible earnings</t>
        </is>
      </c>
      <c r="JKB8" t="inlineStr">
        <is>
          <t>Disability amount transferred from a dependant Interest paid on your student loans</t>
        </is>
      </c>
      <c r="JKC8" t="inlineStr">
        <is>
          <t>Interest paid on your student loans</t>
        </is>
      </c>
      <c r="JKD8" t="inlineStr">
        <is>
          <t>Eligible tuition fees paid to Canadian educational institutions for the current tax year</t>
        </is>
      </c>
      <c r="JKE8" t="inlineStr">
        <is>
          <t>Your tuition, education, and textbook amounts</t>
        </is>
      </c>
      <c r="JKF8" t="inlineStr">
        <is>
          <t>Tuition amount transferred from a child</t>
        </is>
      </c>
      <c r="JKG8" t="inlineStr">
        <is>
          <t>Number of months enrolled as a part-time student</t>
        </is>
      </c>
      <c r="JKH8" t="inlineStr">
        <is>
          <t>Amounts transferred from your spouse or common-law partner</t>
        </is>
      </c>
      <c r="JKI8" t="inlineStr">
        <is>
          <t>Federal tuition amount transferred</t>
        </is>
      </c>
      <c r="JKJ8" t="inlineStr">
        <is>
          <t>Number of months enrolled as a full-time student</t>
        </is>
      </c>
      <c r="JKK8" t="inlineStr">
        <is>
          <t>Donations made to government bodies</t>
        </is>
      </c>
      <c r="JKL8" t="inlineStr">
        <is>
          <t>Medical expenses for self, spouse or common-law partner, and dependent children under 18 years of age</t>
        </is>
      </c>
      <c r="JKM8" t="inlineStr">
        <is>
          <t>Allowable amount of medical expenses for other dependants</t>
        </is>
      </c>
      <c r="JKN8" t="inlineStr">
        <is>
          <t>Allowable amount of medical expenses</t>
        </is>
      </c>
      <c r="JKO8" t="inlineStr">
        <is>
          <t>Donations made to registered universities outside Canada</t>
        </is>
      </c>
      <c r="JKP8" t="inlineStr">
        <is>
          <t>Donations made to the United Nations, its agencies, and certain registered foreign charitable organizations</t>
        </is>
      </c>
      <c r="JKQ8" t="inlineStr">
        <is>
          <t>Gifts of depreciable property</t>
        </is>
      </c>
      <c r="JKR8" t="inlineStr">
        <is>
          <t>Non-refundable tax credits before donations and gifts</t>
        </is>
      </c>
      <c r="JKS8" t="inlineStr">
        <is>
          <t>Gifts of capital property</t>
        </is>
      </c>
      <c r="JKT8" t="inlineStr">
        <is>
          <t>Allowable charitable donations</t>
        </is>
      </c>
      <c r="JKU8" t="inlineStr">
        <is>
          <t>Eligible amount of cultural and ecological gifts</t>
        </is>
      </c>
      <c r="JKV8" t="inlineStr">
        <is>
          <t>Not enrolled full-time due to effects of impairment Number of months enrolled as a part-time student Number of months enrolled as a full-time student</t>
        </is>
      </c>
      <c r="JKW8" t="inlineStr">
        <is>
          <t>Donations and gifts</t>
        </is>
      </c>
      <c r="JKX8" t="inlineStr">
        <is>
          <t>Total federal non-refundable tax credits</t>
        </is>
      </c>
      <c r="JKY8" t="inlineStr">
        <is>
          <t>Spouse’s or common-law partner’s adjusted taxable income</t>
        </is>
      </c>
      <c r="JKZ8" t="inlineStr">
        <is>
          <t>Number of children for whom you are claiming the Canada caregiver amount for infirm children under 18 years of age</t>
        </is>
      </c>
      <c r="JLA8" t="inlineStr">
        <is>
          <t>Spouse’s or common-law partner’s age amount</t>
        </is>
      </c>
      <c r="JLB8" t="inlineStr">
        <is>
          <t>Total of donations made before 2016</t>
        </is>
      </c>
      <c r="JLC8" t="inlineStr">
        <is>
          <t>Spouse’s or common-law partner’s pension income amount</t>
        </is>
      </c>
      <c r="JLD8" t="inlineStr">
        <is>
          <t>Spouse’s or common-law partner’s disability amount</t>
        </is>
      </c>
      <c r="JLE8" t="inlineStr">
        <is>
          <t>Tuition amount designated by your spouse or common-law partner</t>
        </is>
      </c>
      <c r="JLF8" t="inlineStr">
        <is>
          <t>Spouse’s or common-law partner’s Canada caregiver amount for infirm children under 18 years of age</t>
        </is>
      </c>
      <c r="JLG8" t="inlineStr">
        <is>
          <t>Volunteer firefighters’ amount</t>
        </is>
      </c>
      <c r="JLH8" t="inlineStr">
        <is>
          <t>Canada employment amount Home buyers’ amount</t>
        </is>
      </c>
      <c r="JLI8" t="inlineStr">
        <is>
          <t>Canada caregiver amount for infirm children under 18 years of age</t>
        </is>
      </c>
      <c r="JLJ8" t="inlineStr">
        <is>
          <t>Home buyers’ amount</t>
        </is>
      </c>
      <c r="JLK8" t="inlineStr">
        <is>
          <t>Net business income/Pensionable net self-employment earnings</t>
        </is>
      </c>
      <c r="JLL8" t="inlineStr">
        <is>
          <t>Effective date of the electing to stop contributing to CPP on self-employment earnings</t>
        </is>
      </c>
      <c r="JLM8" t="inlineStr">
        <is>
          <t>Employment earnings not shown on a T4 slip on which you elect to pay additional CPP contributions/Income on which you wish to make optional contributions</t>
        </is>
      </c>
      <c r="JLN8" t="inlineStr">
        <is>
          <t>Effective date to revoke an election made in a prior year to stop contributing to CPP on self-employment earnings</t>
        </is>
      </c>
      <c r="JLO8" t="inlineStr">
        <is>
          <t>PPIP premiums paid</t>
        </is>
      </c>
      <c r="JLP8" t="inlineStr">
        <is>
          <t>PPIP premiums payable on employment income</t>
        </is>
      </c>
      <c r="JLQ8" t="inlineStr">
        <is>
          <t>PPIP premiums payable on self-employment income</t>
        </is>
      </c>
      <c r="JLR8" t="inlineStr">
        <is>
          <t>Do you have an eligible dependant?</t>
        </is>
      </c>
      <c r="JLS8" t="inlineStr">
        <is>
          <t>Do you have an eligible spouse?</t>
        </is>
      </c>
      <c r="JLT8" t="inlineStr">
        <is>
          <t>Taxable part of scholarship income reported at line 130</t>
        </is>
      </c>
      <c r="JLU8" t="inlineStr">
        <is>
          <t>Eligible spouse’s taxable part of scholarship and grant income</t>
        </is>
      </c>
      <c r="JLV8" t="inlineStr">
        <is>
          <t>Tax-exempt part of working income earned on a reserve or an allowance received as an emergency volunteer</t>
        </is>
      </c>
      <c r="JLW8" t="inlineStr">
        <is>
          <t>Eligible spouse’s tax-exempt part of working income earned on a reserve or an allowance received as an emergency volunteer</t>
        </is>
      </c>
      <c r="JLX8" t="inlineStr">
        <is>
          <t>Eligible spouse’s working income</t>
        </is>
      </c>
      <c r="JLY8" t="inlineStr">
        <is>
          <t>Tax-exempt part of all income earned or received on a reserve less the deductions related to that income or an allowance received as an emergency volunteer</t>
        </is>
      </c>
      <c r="JLZ8" t="inlineStr">
        <is>
          <t>Eligible spouse’s tax-exempt part of all income earned or received on a reserve less the deductions related to that income or an allowance received as an emergency volunteer</t>
        </is>
      </c>
      <c r="JMA8" t="inlineStr">
        <is>
          <t>Eligible spouse’s adjusted net income</t>
        </is>
      </c>
      <c r="JMB8" t="inlineStr">
        <is>
          <t>Are you eligible for the CWB/WITB?</t>
        </is>
      </c>
      <c r="JMC8" t="inlineStr">
        <is>
          <t>Are you eligible for the disability tax credit?</t>
        </is>
      </c>
      <c r="JMD8" t="inlineStr">
        <is>
          <t>Is your eligible spouse eligible for the disability tax credit for themselves?</t>
        </is>
      </c>
      <c r="JME8" t="inlineStr">
        <is>
          <t>Search and rescue volunteers’ amount</t>
        </is>
      </c>
      <c r="JMF8" t="inlineStr">
        <is>
          <t>Home accessibility expenses</t>
        </is>
      </c>
      <c r="JMG8" t="inlineStr">
        <is>
          <t>Employment earnings shown on a T4 slip on which you elect to pay additional CPP contributions</t>
        </is>
      </c>
      <c r="JMH8" t="inlineStr">
        <is>
          <t>Federal tax</t>
        </is>
      </c>
      <c r="JMI8" t="inlineStr">
        <is>
          <t>Total federal political contributions</t>
        </is>
      </c>
      <c r="JMJ8" t="inlineStr">
        <is>
          <t>Federal political contribution tax credit</t>
        </is>
      </c>
      <c r="JMK8" t="inlineStr">
        <is>
          <t>Investment tax credit</t>
        </is>
      </c>
      <c r="JML8" t="inlineStr">
        <is>
          <t>Labour-sponsored funds tax credit – Net cost</t>
        </is>
      </c>
      <c r="JMM8" t="inlineStr">
        <is>
          <t>Labour-sponsored funds tax credit – Allowable credit</t>
        </is>
      </c>
      <c r="JMN8" t="inlineStr">
        <is>
          <t>Canada workers benefit advance payments received</t>
        </is>
      </c>
      <c r="JMO8" t="inlineStr">
        <is>
          <t>Net federal tax before inclusion of CWB advance payments and special taxes</t>
        </is>
      </c>
      <c r="JMP8" t="inlineStr">
        <is>
          <t>Special taxes</t>
        </is>
      </c>
      <c r="JMQ8" t="inlineStr">
        <is>
          <t>Net Federal Tax</t>
        </is>
      </c>
      <c r="JMR8" t="inlineStr">
        <is>
          <t>Federal tax on split income</t>
        </is>
      </c>
      <c r="JMS8" t="inlineStr">
        <is>
          <t>Federal dividend tax credit</t>
        </is>
      </c>
      <c r="JMT8" t="inlineStr">
        <is>
          <t>Minimum tax carry-over</t>
        </is>
      </c>
      <c r="JMU8" t="inlineStr">
        <is>
          <t>Provincial or territorial tax</t>
        </is>
      </c>
      <c r="JMV8" t="inlineStr">
        <is>
          <t>Non-business income tax paid to a foreign country</t>
        </is>
      </c>
      <c r="JMW8" t="inlineStr">
        <is>
          <t>Yukon First Nations tax</t>
        </is>
      </c>
      <c r="JMX8" t="inlineStr">
        <is>
          <t>Net foreign non-business income</t>
        </is>
      </c>
      <c r="JMY8" t="inlineStr">
        <is>
          <t>Business income tax paid to a foreign country</t>
        </is>
      </c>
      <c r="JMZ8" t="inlineStr">
        <is>
          <t>Total payable</t>
        </is>
      </c>
      <c r="JNA8" t="inlineStr">
        <is>
          <t>Total income tax deducted</t>
        </is>
      </c>
      <c r="JNB8" t="inlineStr">
        <is>
          <t>Tax transfer for residents of Quebec</t>
        </is>
      </c>
      <c r="JNC8" t="inlineStr">
        <is>
          <t>Net foreign business income</t>
        </is>
      </c>
      <c r="JND8" t="inlineStr">
        <is>
          <t>Refundable Quebec abatement</t>
        </is>
      </c>
      <c r="JNE8" t="inlineStr">
        <is>
          <t>Federal refundable First Nations abatement</t>
        </is>
      </c>
      <c r="JNF8" t="inlineStr">
        <is>
          <t>CPP overpayment</t>
        </is>
      </c>
      <c r="JNG8" t="inlineStr">
        <is>
          <t>Climate action incentive</t>
        </is>
      </c>
      <c r="JNH8" t="inlineStr">
        <is>
          <t>Employment insurance overpayment</t>
        </is>
      </c>
      <c r="JNI8" t="inlineStr">
        <is>
          <t>Refundable medical expense supplement</t>
        </is>
      </c>
      <c r="JNJ8" t="inlineStr">
        <is>
          <t>Canada workers benefit (Working income tax benefit)</t>
        </is>
      </c>
      <c r="JNK8" t="inlineStr">
        <is>
          <t>Refund of investment tax credit</t>
        </is>
      </c>
      <c r="JNL8" t="inlineStr">
        <is>
          <t>Part XII.2 trust tax credit</t>
        </is>
      </c>
      <c r="JNM8" t="inlineStr">
        <is>
          <t>Employee and partner GST/HST rebate</t>
        </is>
      </c>
      <c r="JNN8" t="inlineStr">
        <is>
          <t>Direct deposit – Branch number</t>
        </is>
      </c>
      <c r="JNO8" t="inlineStr">
        <is>
          <t>Direct deposit – Institution number</t>
        </is>
      </c>
      <c r="JNP8" t="inlineStr">
        <is>
          <t>Direct deposit – Account number</t>
        </is>
      </c>
      <c r="JNQ8" t="inlineStr">
        <is>
          <t>Donation to the Ontario opportunities fund</t>
        </is>
      </c>
      <c r="JNR8" t="inlineStr">
        <is>
          <t>Net refund</t>
        </is>
      </c>
      <c r="JNS8" t="inlineStr">
        <is>
          <t>Supplies expenses for eligible educator school supply tax credit</t>
        </is>
      </c>
      <c r="JNT8" t="inlineStr">
        <is>
          <t>Eligible educator school supply tax credit</t>
        </is>
      </c>
      <c r="JNU8" t="inlineStr">
        <is>
          <t>Tax paid by instalments</t>
        </is>
      </c>
      <c r="JNV8" t="inlineStr">
        <is>
          <t>Provincial or territorial credits</t>
        </is>
      </c>
      <c r="JNW8" t="inlineStr">
        <is>
          <t>Refund</t>
        </is>
      </c>
      <c r="JNX8" t="inlineStr">
        <is>
          <t>Balance owing</t>
        </is>
      </c>
      <c r="JNY8" t="inlineStr">
        <is>
          <t>Amount enclosed</t>
        </is>
      </c>
      <c r="JNZ8" t="inlineStr">
        <is>
          <t>Volunteer program</t>
        </is>
      </c>
      <c r="JOA8" t="inlineStr">
        <is>
          <t>Refund transfer</t>
        </is>
      </c>
      <c r="JOB8" t="inlineStr">
        <is>
          <t>Tax preparer code</t>
        </is>
      </c>
      <c r="JOC8" t="inlineStr">
        <is>
          <t>EI and PPIP premiums (non-Quebec return)</t>
        </is>
      </c>
      <c r="JOD8" t="inlineStr">
        <is>
          <t>Total PPIP premiums</t>
        </is>
      </c>
      <c r="JOE8" t="inlineStr">
        <is>
          <t>Total EI premiums</t>
        </is>
      </c>
      <c r="JOF8" t="inlineStr">
        <is>
          <t>PPIP indicator</t>
        </is>
      </c>
      <c r="JOG8" t="inlineStr">
        <is>
          <t>QPP contributions</t>
        </is>
      </c>
      <c r="JOH8" t="inlineStr">
        <is>
          <t>QPP contributions on self-employment and other earnings</t>
        </is>
      </c>
      <c r="JOI8" t="inlineStr">
        <is>
          <t>Actual total contributions on QPP pensionable earnings</t>
        </is>
      </c>
      <c r="JOJ8" t="inlineStr">
        <is>
          <t>Actual total contributions on CPP pensionable earnings</t>
        </is>
      </c>
      <c r="JOK8" t="inlineStr">
        <is>
          <t>Capital gains at 100%</t>
        </is>
      </c>
      <c r="JOL8" t="inlineStr">
        <is>
          <t>Dependant’s net income (line 23600 of his or her return)</t>
        </is>
      </c>
      <c r="JOM8" t="inlineStr">
        <is>
          <t>Canada caregiver amount for spouse or common-law partner</t>
        </is>
      </c>
      <c r="JON8" t="inlineStr">
        <is>
          <t>Canada caregiver amount for a dependant (other than an infirm child under 18 year of age)</t>
        </is>
      </c>
      <c r="JOO8" t="inlineStr">
        <is>
          <t>Total number of dependants</t>
        </is>
      </c>
      <c r="JOP8" t="inlineStr">
        <is>
          <t>Number of full weeks in attendance at a designated educational institution or secondary school</t>
        </is>
      </c>
      <c r="JOQ8" t="inlineStr">
        <is>
          <t>Earnings for services performed in Canada on which the foreign social security contributions were made</t>
        </is>
      </c>
      <c r="JOR8" t="inlineStr">
        <is>
          <t>Amount contributed to a foreign social security arrangement</t>
        </is>
      </c>
      <c r="JOS8" t="inlineStr">
        <is>
          <t>Allowable non-refundable tax credit for contributions to a foreign social security arrangement</t>
        </is>
      </c>
      <c r="JOT8" t="inlineStr">
        <is>
          <t>Contributions to a foreign employer-sponsored pension plan</t>
        </is>
      </c>
      <c r="JOU8" t="inlineStr">
        <is>
          <t>Resident compensation from employment services</t>
        </is>
      </c>
      <c r="JOV8" t="inlineStr">
        <is>
          <t>Pension adjustment from a U.S. retirement plan/Prescribed amount from a U.S. retirement plan/Pension adjustment from a foreign employer-sponsored pension plan</t>
        </is>
      </c>
      <c r="JOW8" t="inlineStr">
        <is>
          <t>Contributions to a U.S. retirement plan</t>
        </is>
      </c>
      <c r="JOX8" t="inlineStr">
        <is>
          <t>Contributions to a U.S. retirement plan</t>
        </is>
      </c>
      <c r="JOY8" t="inlineStr">
        <is>
          <t>Spouse’s or common-law partner’s capital gains from mortgage foreclosures and conditional sales repossessions</t>
        </is>
      </c>
      <c r="JOZ8" t="inlineStr">
        <is>
          <t>Spouse’s or common-law partner’s net-income while the taxpayer is living in Canada</t>
        </is>
      </c>
      <c r="JPA8" t="inlineStr">
        <is>
          <t>Spouse’s or common-law partner’s net-income while the taxpayer is living outside of Canada</t>
        </is>
      </c>
      <c r="JPB8" t="inlineStr">
        <is>
          <t>Net foreign non-business income from the first foreign country</t>
        </is>
      </c>
      <c r="JPC8" t="inlineStr">
        <is>
          <t>Net foreign non-business income from the second foreign country</t>
        </is>
      </c>
      <c r="JPD8" t="inlineStr">
        <is>
          <t>Net foreign non-business income from the third foreign country</t>
        </is>
      </c>
      <c r="JPE8" t="inlineStr">
        <is>
          <t>Business income tax paid to the first foreign country</t>
        </is>
      </c>
      <c r="JPF8" t="inlineStr">
        <is>
          <t>Non-business income tax paid to first foreign country</t>
        </is>
      </c>
      <c r="JPG8" t="inlineStr">
        <is>
          <t>Non-business income tax paid to second foreign country</t>
        </is>
      </c>
      <c r="JPH8" t="inlineStr">
        <is>
          <t>Non-business income tax paid to third foreign country</t>
        </is>
      </c>
      <c r="JPI8" t="inlineStr">
        <is>
          <t>Net business income from the first foreign country</t>
        </is>
      </c>
      <c r="JPJ8" t="inlineStr">
        <is>
          <t>Net business income from the second foreign country</t>
        </is>
      </c>
      <c r="JPK8" t="inlineStr">
        <is>
          <t>Net business income from the third foreign country</t>
        </is>
      </c>
      <c r="JPL8" t="inlineStr">
        <is>
          <t>Business income tax paid to the second foreign country</t>
        </is>
      </c>
      <c r="JPM8" t="inlineStr">
        <is>
          <t>Business income tax paid to the third foreign country</t>
        </is>
      </c>
      <c r="JPN8" t="inlineStr">
        <is>
          <t>Vow of perpetual poverty</t>
        </is>
      </c>
      <c r="JPO8" t="inlineStr">
        <is>
          <t>Canadian sourced non-resident income, excluding the income subject to Part XIII tax</t>
        </is>
      </c>
      <c r="JPP8" t="inlineStr">
        <is>
          <t>Canadian sourced non-resident income subject to Part XIII tax plus foreign sourced non-resident income</t>
        </is>
      </c>
      <c r="JPQ8" t="inlineStr">
        <is>
          <t>BC logging tax paid</t>
        </is>
      </c>
      <c r="JPR8" t="inlineStr">
        <is>
          <t>QC logging tax paid</t>
        </is>
      </c>
      <c r="JPS8" t="inlineStr">
        <is>
          <t>Total QPP pensionable earnings</t>
        </is>
      </c>
      <c r="JPT8" t="inlineStr">
        <is>
          <t>Total CPP pensionable earnings</t>
        </is>
      </c>
      <c r="JPU8" t="inlineStr">
        <is>
          <t>Indicator for filing due date for tax shelter, or inactive or active business income</t>
        </is>
      </c>
      <c r="JPV8" t="inlineStr">
        <is>
          <t>BC logging income</t>
        </is>
      </c>
      <c r="JPW8" t="inlineStr">
        <is>
          <t>CCA on certified film property</t>
        </is>
      </c>
      <c r="JPX8" t="inlineStr">
        <is>
          <t>Ineligible pension income</t>
        </is>
      </c>
      <c r="JPY8" t="inlineStr">
        <is>
          <t>Income with tax withheld supported by information slips</t>
        </is>
      </c>
      <c r="JPZ8" t="inlineStr">
        <is>
          <t>T4 earning reduction</t>
        </is>
      </c>
      <c r="JQA8" t="inlineStr">
        <is>
          <t>Quebec tax deducted (from slips in the taxpayer's name)</t>
        </is>
      </c>
      <c r="JQB8" t="inlineStr">
        <is>
          <t>Income on which Quebec tax was withheld (from slips in the taxpayer's name)</t>
        </is>
      </c>
      <c r="JQC8" t="inlineStr">
        <is>
          <t>Amount of OAS pension repaid</t>
        </is>
      </c>
      <c r="JQD8" t="inlineStr">
        <is>
          <t>Limited partnership loss carryforward from 1986 and 1987</t>
        </is>
      </c>
      <c r="JQE8" t="inlineStr">
        <is>
          <t>Limited partnership loss available for carryforward</t>
        </is>
      </c>
      <c r="JQF8" t="inlineStr">
        <is>
          <t>Amount of self-employment net earnings reported at self-employed lines in relation to T4 self-employment on which EI premiums through employment were deducted</t>
        </is>
      </c>
      <c r="JQG8" t="inlineStr">
        <is>
          <t>Shareholder's loan repayment</t>
        </is>
      </c>
      <c r="JQH8" t="inlineStr">
        <is>
          <t>QC logging income</t>
        </is>
      </c>
      <c r="JQI8" t="inlineStr">
        <is>
          <t>Spouse's or common-law partner's total split income</t>
        </is>
      </c>
      <c r="JQJ8" t="inlineStr">
        <is>
          <t>Net business income (amount from line 27 of Schedule L of the Quebec provincial income tax return)</t>
        </is>
      </c>
      <c r="JQK8" t="inlineStr">
        <is>
          <t>Employment income where the province or territory of employment is other than Quebec</t>
        </is>
      </c>
      <c r="JQL8" t="inlineStr">
        <is>
          <t>PPIP insurable earnings</t>
        </is>
      </c>
      <c r="JQM8" t="inlineStr">
        <is>
          <t>Shareholder earnings</t>
        </is>
      </c>
      <c r="JQN8" t="inlineStr">
        <is>
          <t>Tax-exempt self-employment income earned by a status indian</t>
        </is>
      </c>
      <c r="JQO8" t="inlineStr">
        <is>
          <t>Taxable income from the post-bankruptcy period</t>
        </is>
      </c>
      <c r="JQP8" t="inlineStr">
        <is>
          <t>EI insurable earnings</t>
        </is>
      </c>
      <c r="JQQ8" t="inlineStr">
        <is>
          <t>EI and other benefits repaid</t>
        </is>
      </c>
      <c r="JQR8" t="inlineStr">
        <is>
          <t>Farm/fish loss</t>
        </is>
      </c>
      <c r="JQS8" t="inlineStr">
        <is>
          <t>Total section 31 farm loss</t>
        </is>
      </c>
      <c r="JQT8" t="inlineStr">
        <is>
          <t>Restricted farm loss</t>
        </is>
      </c>
      <c r="JQU8" t="inlineStr">
        <is>
          <t>RRSP earned income calculation</t>
        </is>
      </c>
      <c r="JQV8" t="inlineStr">
        <is>
          <t>Home Buyers' Plan (HBP) participant repayment amount</t>
        </is>
      </c>
      <c r="JQW8" t="inlineStr">
        <is>
          <t>Lifelong Learning Plan (LLP) participant repayment amount</t>
        </is>
      </c>
      <c r="JQX8" t="inlineStr">
        <is>
          <t>Indicator for marital status change</t>
        </is>
      </c>
      <c r="JQY8" t="inlineStr">
        <is>
          <t>Spousal indicator</t>
        </is>
      </c>
      <c r="JQZ8" t="inlineStr">
        <is>
          <t>Marital status change indicator for the amount for an eligible dependant</t>
        </is>
      </c>
      <c r="JRA8" t="inlineStr">
        <is>
          <t>Earned income adjustment amount</t>
        </is>
      </c>
      <c r="JRB8" t="inlineStr">
        <is>
          <t>Net self-employment income (loss) adjustment amount</t>
        </is>
      </c>
      <c r="JRC8" t="inlineStr">
        <is>
          <t>RDSP repayment by taxpayer</t>
        </is>
      </c>
      <c r="JRD8" t="inlineStr">
        <is>
          <t>RDSP income of spouse or common-law partner</t>
        </is>
      </c>
      <c r="JRE8" t="inlineStr">
        <is>
          <t>RDSP repayment by spouse or common-law partner</t>
        </is>
      </c>
      <c r="JRF8" t="inlineStr">
        <is>
          <t>Number of months of retirement</t>
        </is>
      </c>
      <c r="JRG8" t="inlineStr">
        <is>
          <t>Number of months of disability</t>
        </is>
      </c>
      <c r="JRH8" t="inlineStr">
        <is>
          <t>CPP/QPP retirement benefits</t>
        </is>
      </c>
      <c r="JRI8" t="inlineStr">
        <is>
          <t>Basic personal amount</t>
        </is>
      </c>
      <c r="JRJ8" t="inlineStr">
        <is>
          <t>Age amount</t>
        </is>
      </c>
      <c r="JRK8" t="inlineStr">
        <is>
          <t>Spousal or common-law law partner amount</t>
        </is>
      </c>
      <c r="JRL8" t="inlineStr">
        <is>
          <t>Amount for an eligible dependant</t>
        </is>
      </c>
      <c r="JRM8" t="inlineStr">
        <is>
          <t>Caregiver amount for spouse or common-law partner, or eligible dependant age 18 or older</t>
        </is>
      </c>
      <c r="JRN8" t="inlineStr">
        <is>
          <t>British Columbia caregiver amount</t>
        </is>
      </c>
      <c r="JRO8" t="inlineStr">
        <is>
          <t>Caregiver amount for infirm dependants age 18 or older</t>
        </is>
      </c>
      <c r="JRP8" t="inlineStr">
        <is>
          <t>Ontario caregiver amount</t>
        </is>
      </c>
      <c r="JRQ8" t="inlineStr">
        <is>
          <t>Caregiver amount for infirm children under 18 years of age</t>
        </is>
      </c>
      <c r="JRR8" t="inlineStr">
        <is>
          <t>Amount for infirm dependants age 18 or older</t>
        </is>
      </c>
      <c r="JRS8" t="inlineStr">
        <is>
          <t>Number of children</t>
        </is>
      </c>
      <c r="JRT8" t="inlineStr">
        <is>
          <t>Amount for dependent children age 18 or younger</t>
        </is>
      </c>
      <c r="JRU8" t="inlineStr">
        <is>
          <t>Senior supplementary amount</t>
        </is>
      </c>
      <c r="JRV8" t="inlineStr">
        <is>
          <t>Number of months being claimed for all qualifying children</t>
        </is>
      </c>
      <c r="JRW8" t="inlineStr">
        <is>
          <t>Amount for young children</t>
        </is>
      </c>
      <c r="JRX8" t="inlineStr">
        <is>
          <t>CPP or QPP contributions</t>
        </is>
      </c>
      <c r="JRY8" t="inlineStr">
        <is>
          <t>CPP or QPP contributions on self-employment and other earnings</t>
        </is>
      </c>
      <c r="JRZ8" t="inlineStr">
        <is>
          <t>Employment insurance premiums</t>
        </is>
      </c>
      <c r="JSA8" t="inlineStr">
        <is>
          <t>Employment insurance premiums on self-employment and other eligible earnings</t>
        </is>
      </c>
      <c r="JSB8" t="inlineStr">
        <is>
          <t>Canada employment amount</t>
        </is>
      </c>
      <c r="JSC8" t="inlineStr">
        <is>
          <t>Volunteer firefighters’ amount</t>
        </is>
      </c>
      <c r="JSD8" t="inlineStr">
        <is>
          <t>Search and rescue volunteers’ amount</t>
        </is>
      </c>
      <c r="JSE8" t="inlineStr">
        <is>
          <t>Child care amount</t>
        </is>
      </c>
      <c r="JSF8" t="inlineStr">
        <is>
          <t>Fitness amount</t>
        </is>
      </c>
      <c r="JSG8" t="inlineStr">
        <is>
          <t>Children’s arts amount</t>
        </is>
      </c>
      <c r="JSH8" t="inlineStr">
        <is>
          <t>Adoption expenses</t>
        </is>
      </c>
      <c r="JSI8" t="inlineStr">
        <is>
          <t>First-time home buyers’ amount</t>
        </is>
      </c>
      <c r="JSJ8" t="inlineStr">
        <is>
          <t>Pension income amount</t>
        </is>
      </c>
      <c r="JSK8" t="inlineStr">
        <is>
          <t>Caregiver amount</t>
        </is>
      </c>
      <c r="JSL8" t="inlineStr">
        <is>
          <t>Disability amount (for self)</t>
        </is>
      </c>
      <c r="JSM8" t="inlineStr">
        <is>
          <t>Disability amount transferred from a dependant</t>
        </is>
      </c>
      <c r="JSN8" t="inlineStr">
        <is>
          <t>Teacher school supply amount</t>
        </is>
      </c>
      <c r="JSO8" t="inlineStr">
        <is>
          <t>Interest paid on your student loans</t>
        </is>
      </c>
      <c r="JSP8" t="inlineStr">
        <is>
          <t>Your tuition and education amounts</t>
        </is>
      </c>
      <c r="JSQ8" t="inlineStr">
        <is>
          <t>Your unused tuition and education amounts</t>
        </is>
      </c>
      <c r="JSR8" t="inlineStr">
        <is>
          <t>Your tuition, education, and textbook amounts</t>
        </is>
      </c>
      <c r="JSS8" t="inlineStr">
        <is>
          <t>Tuition and education amounts transferred from a child</t>
        </is>
      </c>
      <c r="JST8" t="inlineStr">
        <is>
          <t>Tuition amounts transferred from a child NB428</t>
        </is>
      </c>
      <c r="JSU8" t="inlineStr">
        <is>
          <t>Tuition, education, and textbook amounts transferred from a child</t>
        </is>
      </c>
      <c r="JSV8" t="inlineStr">
        <is>
          <t>Amounts transferred from your spouse or common-law partner</t>
        </is>
      </c>
      <c r="JSW8" t="inlineStr">
        <is>
          <t>Medical expenses for self, spouse or common-law partner, and your dependent children under 18 years of age</t>
        </is>
      </c>
      <c r="JSX8" t="inlineStr">
        <is>
          <t>Allowable amount of medical expenses for other dependants</t>
        </is>
      </c>
      <c r="JSY8" t="inlineStr">
        <is>
          <t>Total tax-exempt employment earnings</t>
        </is>
      </c>
      <c r="JSZ8" t="inlineStr">
        <is>
          <t>Allowable amount of medical expenses</t>
        </is>
      </c>
      <c r="JTA8" t="inlineStr">
        <is>
          <t>Add lines 58040 to 58640 (and line 61470 for MB) and line 58769</t>
        </is>
      </c>
      <c r="JTB8" t="inlineStr">
        <is>
          <t>Total tax-exempt self-employment earnings and other tax-exempt earned income</t>
        </is>
      </c>
      <c r="JTC8" t="inlineStr">
        <is>
          <t>Total eligible PRPP contributions from tax-exempt income</t>
        </is>
      </c>
      <c r="JTD8" t="inlineStr">
        <is>
          <t>PRPP contributions from tax-exempt income designated as a repayment under the HBP</t>
        </is>
      </c>
      <c r="JTE8" t="inlineStr">
        <is>
          <t>Provincial or territorial non-refundable tax credits before donations and gifts</t>
        </is>
      </c>
      <c r="JTF8" t="inlineStr">
        <is>
          <t>Non-refundable tax credits before donations and gifts and the farmers’ food donation tax credit</t>
        </is>
      </c>
      <c r="JTG8" t="inlineStr">
        <is>
          <t>Donations and gifts</t>
        </is>
      </c>
      <c r="JTH8" t="inlineStr">
        <is>
          <t>PRPP contributions from tax-exempt income designated as a repayment under the LLP</t>
        </is>
      </c>
      <c r="JTI8" t="inlineStr">
        <is>
          <t>BC farmers’ food donation tax credit</t>
        </is>
      </c>
      <c r="JTJ8" t="inlineStr">
        <is>
          <t>Spouse’s or common-law partner’s amount for young children less than 6 years of age</t>
        </is>
      </c>
      <c r="JTK8" t="inlineStr">
        <is>
          <t>Spouse’s or common-law partner’s amount for dependent children age 18 or younger</t>
        </is>
      </c>
      <c r="JTL8" t="inlineStr">
        <is>
          <t>Spouse’s or common-law partner’s age amount</t>
        </is>
      </c>
      <c r="JTM8" t="inlineStr">
        <is>
          <t>Spouse’s or common-law partner’s senior supplementary amount</t>
        </is>
      </c>
      <c r="JTN8" t="inlineStr">
        <is>
          <t>Spouse’s or common-law partner’s provincial/territorial caregiver amount for infirm children under 18 years of age</t>
        </is>
      </c>
      <c r="JTO8" t="inlineStr">
        <is>
          <t>Spouse’s or common-law partner’s pension income amount</t>
        </is>
      </c>
      <c r="JTP8" t="inlineStr">
        <is>
          <t>Spouse’s or common-law partner’s disability amount</t>
        </is>
      </c>
      <c r="JTQ8" t="inlineStr">
        <is>
          <t>Tuition and education amounts designated by your spouse or common-law partner</t>
        </is>
      </c>
      <c r="JTR8" t="inlineStr">
        <is>
          <t>Tuition amounts designated by your spouse or common-law partner</t>
        </is>
      </c>
      <c r="JTS8" t="inlineStr">
        <is>
          <t>Tuition, education, and textbook amounts designated by your spouse or common-law partner</t>
        </is>
      </c>
      <c r="JTT8" t="inlineStr">
        <is>
          <t>Spouse’s or common-law partner’s adjusted taxable income</t>
        </is>
      </c>
      <c r="JTU8" t="inlineStr">
        <is>
          <t>Eligible tuition fees paid for the current tax year</t>
        </is>
      </c>
      <c r="JTV8" t="inlineStr">
        <is>
          <t>Part-time education amount</t>
        </is>
      </c>
      <c r="JTW8" t="inlineStr">
        <is>
          <t>Part-time education and textbook amounts</t>
        </is>
      </c>
      <c r="JTX8" t="inlineStr">
        <is>
          <t>Full-time education amount</t>
        </is>
      </c>
      <c r="JTY8" t="inlineStr">
        <is>
          <t>Full-time education and textbook amounts</t>
        </is>
      </c>
      <c r="JTZ8" t="inlineStr">
        <is>
          <t>Provincial amount transferred</t>
        </is>
      </c>
      <c r="JUA8" t="inlineStr">
        <is>
          <t>Territorial amount transferred</t>
        </is>
      </c>
      <c r="JUB8" t="inlineStr">
        <is>
          <t>Provincial tuition amount transferred</t>
        </is>
      </c>
      <c r="JUC8" t="inlineStr">
        <is>
          <t>Territorial tuition amount transferred</t>
        </is>
      </c>
      <c r="JUD8" t="inlineStr">
        <is>
          <t>Amount for infirm dependants age 18 or older</t>
        </is>
      </c>
      <c r="JUE8" t="inlineStr">
        <is>
          <t>Caregiver amount</t>
        </is>
      </c>
      <c r="JUF8" t="inlineStr">
        <is>
          <t>Disability amount (for self)</t>
        </is>
      </c>
      <c r="JUG8" t="inlineStr">
        <is>
          <t>Disability amount transferred from a dependant</t>
        </is>
      </c>
      <c r="JUH8" t="inlineStr">
        <is>
          <t>Amounts transferred from your spouse or common-law partner</t>
        </is>
      </c>
      <c r="JUI8" t="inlineStr">
        <is>
          <t>Allowable amount of medical expenses for other dependants</t>
        </is>
      </c>
      <c r="JUJ8" t="inlineStr">
        <is>
          <t>Disability amount (for self)</t>
        </is>
      </c>
      <c r="JUK8" t="inlineStr">
        <is>
          <t>Disability amount transferred from a dependant</t>
        </is>
      </c>
      <c r="JUL8" t="inlineStr">
        <is>
          <t>Total provincial amounts designated to you by a student</t>
        </is>
      </c>
      <c r="JUM8" t="inlineStr">
        <is>
          <t>Amounts transferred from your spouse or common-law partner</t>
        </is>
      </c>
      <c r="JUN8" t="inlineStr">
        <is>
          <t>Allowable amount of medical expenses for other dependants</t>
        </is>
      </c>
      <c r="JUO8" t="inlineStr">
        <is>
          <t>Program type from the current tax year</t>
        </is>
      </c>
      <c r="JUP8" t="inlineStr">
        <is>
          <t>Eligible tuition fees paid</t>
        </is>
      </c>
      <c r="JUQ8" t="inlineStr">
        <is>
          <t>“Eligibility Maximum” from the current tax year</t>
        </is>
      </c>
      <c r="JUR8" t="inlineStr">
        <is>
          <t>Program type from the current tax year</t>
        </is>
      </c>
      <c r="JUS8" t="inlineStr">
        <is>
          <t>Eligible tuition fees paid</t>
        </is>
      </c>
      <c r="JUT8" t="inlineStr">
        <is>
          <t>Eligibility Maximum from the current tax year</t>
        </is>
      </c>
      <c r="JUU8" t="inlineStr">
        <is>
          <t>Program type from the current tax year</t>
        </is>
      </c>
      <c r="JUV8" t="inlineStr">
        <is>
          <t>Eligible tuition fees paid</t>
        </is>
      </c>
      <c r="JUW8" t="inlineStr">
        <is>
          <t>Eligibility Maximum from the current tax year</t>
        </is>
      </c>
      <c r="JUX8" t="inlineStr">
        <is>
          <t>AB political contributions tax credit</t>
        </is>
      </c>
      <c r="JUY8" t="inlineStr">
        <is>
          <t>Investor tax credit – Current tax year</t>
        </is>
      </c>
      <c r="JUZ8" t="inlineStr">
        <is>
          <t>Climate action incentive – Basic amount</t>
        </is>
      </c>
      <c r="JVA8" t="inlineStr">
        <is>
          <t>Climate action incentive – Amount for an eligible spouse or common-law partner</t>
        </is>
      </c>
      <c r="JVB8" t="inlineStr">
        <is>
          <t>Climate action incentive – Amount for a single parent’s qualified dependant</t>
        </is>
      </c>
      <c r="JVC8" t="inlineStr">
        <is>
          <t>Climate action incentive – Number of qualified dependants</t>
        </is>
      </c>
      <c r="JVD8" t="inlineStr">
        <is>
          <t>Climate action incentive – Do you reside outside of a census metropolitan area on December 31 of the tax year, as defined by Statistics Canada?</t>
        </is>
      </c>
      <c r="JVE8" t="inlineStr">
        <is>
          <t>Basic sales tax credit</t>
        </is>
      </c>
      <c r="JVF8" t="inlineStr">
        <is>
          <t>Additional sales tax credit for spouse or common-law partner</t>
        </is>
      </c>
      <c r="JVG8" t="inlineStr">
        <is>
          <t>Home renovation expenses</t>
        </is>
      </c>
      <c r="JVH8" t="inlineStr">
        <is>
          <t>BC political contribution tax credit</t>
        </is>
      </c>
      <c r="JVI8" t="inlineStr">
        <is>
          <t>Employee share ownership plan tax credit</t>
        </is>
      </c>
      <c r="JVJ8" t="inlineStr">
        <is>
          <t>Employee venture capital tax credit</t>
        </is>
      </c>
      <c r="JVK8" t="inlineStr">
        <is>
          <t>Home renovation expenses for seniors and persons with disabilities</t>
        </is>
      </c>
      <c r="JVL8" t="inlineStr">
        <is>
          <t>Venture capital tax credit – Current tax year</t>
        </is>
      </c>
      <c r="JVM8" t="inlineStr">
        <is>
          <t>Venture capital tax credit – First 60 days subsequent to the current tax year</t>
        </is>
      </c>
      <c r="JVN8" t="inlineStr">
        <is>
          <t>Mining exploration tax credit</t>
        </is>
      </c>
      <c r="JVO8" t="inlineStr">
        <is>
          <t>Mining exploration tax credit allocated from a partnership</t>
        </is>
      </c>
      <c r="JVP8" t="inlineStr">
        <is>
          <t>Training tax credit (Individuals)</t>
        </is>
      </c>
      <c r="JVQ8" t="inlineStr">
        <is>
          <t>Training tax credit (Employers)</t>
        </is>
      </c>
      <c r="JVR8" t="inlineStr">
        <is>
          <t>Shipbuilding and ship repair industry tax credit</t>
        </is>
      </c>
      <c r="JVS8" t="inlineStr">
        <is>
          <t>Age amount for spouse or common-law partner</t>
        </is>
      </c>
      <c r="JVT8" t="inlineStr">
        <is>
          <t>Disability amount for spouse or common-law partner</t>
        </is>
      </c>
      <c r="JVU8" t="inlineStr">
        <is>
          <t>Number of disability claims for self or a dependant other than your spouse or common-law partner</t>
        </is>
      </c>
      <c r="JVV8" t="inlineStr">
        <is>
          <t>Number of disabled dependants 18 years of age or older</t>
        </is>
      </c>
      <c r="JVW8" t="inlineStr">
        <is>
          <t>Number of dependent children 18 years of age or younger</t>
        </is>
      </c>
      <c r="JVX8" t="inlineStr">
        <is>
          <t>Labour-sponsored funds tax credit</t>
        </is>
      </c>
      <c r="JVY8" t="inlineStr">
        <is>
          <t>Community enterprise development tax credit claimed</t>
        </is>
      </c>
      <c r="JVZ8" t="inlineStr">
        <is>
          <t>Community enterprise development tax credit amount from Slip T2CEDTC (MAN.)</t>
        </is>
      </c>
      <c r="JWA8" t="inlineStr">
        <is>
          <t>Small business venture capital tax credit claimed</t>
        </is>
      </c>
      <c r="JWB8" t="inlineStr">
        <is>
          <t>Credit amount from Slip T2SBVCTC (MAN.)</t>
        </is>
      </c>
      <c r="JWC8" t="inlineStr">
        <is>
          <t>Employee share purchase tax credit claimed</t>
        </is>
      </c>
      <c r="JWD8" t="inlineStr">
        <is>
          <t>Involuntary separation indicator</t>
        </is>
      </c>
      <c r="JWE8" t="inlineStr">
        <is>
          <t>Basic, age, and disability credits for spouse or common-law partner</t>
        </is>
      </c>
      <c r="JWF8" t="inlineStr">
        <is>
          <t>Mineral exploration tax credit claimed</t>
        </is>
      </c>
      <c r="JWG8" t="inlineStr">
        <is>
          <t>Total credit amounts from ESOP receipt(s)</t>
        </is>
      </c>
      <c r="JWH8" t="inlineStr">
        <is>
          <t>Number of disability claims for self or for a dependant other than your spouse or common-law partner</t>
        </is>
      </c>
      <c r="JWI8" t="inlineStr">
        <is>
          <t>Number of dependent children 18 years of age or younger</t>
        </is>
      </c>
      <c r="JWJ8" t="inlineStr">
        <is>
          <t>Number of disabled dependants 18 years of age or older</t>
        </is>
      </c>
      <c r="JWK8" t="inlineStr">
        <is>
          <t>Number dependants with a mental or physical infirmity</t>
        </is>
      </c>
      <c r="JWL8" t="inlineStr">
        <is>
          <t>Number of dependent children – Reduction for dependent children age 18 or younger</t>
        </is>
      </c>
      <c r="JWM8" t="inlineStr">
        <is>
          <t>Number of dependent children – Credit for dependent children age 18 or younger</t>
        </is>
      </c>
      <c r="JWN8" t="inlineStr">
        <is>
          <t>Application for the ON energy and property tax credit</t>
        </is>
      </c>
      <c r="JWO8" t="inlineStr">
        <is>
          <t>Application for the Northern ON energy credit</t>
        </is>
      </c>
      <c r="JWP8" t="inlineStr">
        <is>
          <t>Total personal tax credits</t>
        </is>
      </c>
      <c r="JWQ8" t="inlineStr">
        <is>
          <t>Choice for delayed single OTB payment</t>
        </is>
      </c>
      <c r="JWR8" t="inlineStr">
        <is>
          <t>Application for the ON senior homeowners’ property tax grant</t>
        </is>
      </c>
      <c r="JWS8" t="inlineStr">
        <is>
          <t>Involuntary separation indicator</t>
        </is>
      </c>
      <c r="JWT8" t="inlineStr">
        <is>
          <t>Total rent paid</t>
        </is>
      </c>
      <c r="JWU8" t="inlineStr">
        <is>
          <t>Total property tax paid</t>
        </is>
      </c>
      <c r="JWV8" t="inlineStr">
        <is>
          <t>School taxes paid</t>
        </is>
      </c>
      <c r="JWW8" t="inlineStr">
        <is>
          <t>Education property tax credit advance received</t>
        </is>
      </c>
      <c r="JWX8" t="inlineStr">
        <is>
          <t>Residing in a designated student residence</t>
        </is>
      </c>
      <c r="JWY8" t="inlineStr">
        <is>
          <t>Occupancy cost</t>
        </is>
      </c>
      <c r="JWZ8" t="inlineStr">
        <is>
          <t>Gross school taxes assessed</t>
        </is>
      </c>
      <c r="JXA8" t="inlineStr">
        <is>
          <t>Family income from the homeowners’ school tax credit table</t>
        </is>
      </c>
      <c r="JXB8" t="inlineStr">
        <is>
          <t>Total home energy costs for principal residence on a reserve</t>
        </is>
      </c>
      <c r="JXC8" t="inlineStr">
        <is>
          <t>School taxes assessed</t>
        </is>
      </c>
      <c r="JXD8" t="inlineStr">
        <is>
          <t>Total accommodation in a public long-term care home or non-profit long-term care home</t>
        </is>
      </c>
      <c r="JXE8" t="inlineStr">
        <is>
          <t>School tax credit for homeowners</t>
        </is>
      </c>
      <c r="JXF8" t="inlineStr">
        <is>
          <t>Total rent assist benefits received</t>
        </is>
      </c>
      <c r="JXG8" t="inlineStr">
        <is>
          <t>Percentage of social assistance</t>
        </is>
      </c>
      <c r="JXH8" t="inlineStr">
        <is>
          <t>Primary caregiver tax credit</t>
        </is>
      </c>
      <c r="JXI8" t="inlineStr">
        <is>
          <t>Fertility treatment tax credit</t>
        </is>
      </c>
      <c r="JXJ8" t="inlineStr">
        <is>
          <t>Paid work experience tax credit</t>
        </is>
      </c>
      <c r="JXK8" t="inlineStr">
        <is>
          <t>Odour-control tax credit</t>
        </is>
      </c>
      <c r="JXL8" t="inlineStr">
        <is>
          <t>Green energy equipment tax credit (purchaser)</t>
        </is>
      </c>
      <c r="JXM8" t="inlineStr">
        <is>
          <t>Green energy equipment tax credit (manufacturer)</t>
        </is>
      </c>
      <c r="JXN8" t="inlineStr">
        <is>
          <t>Book publishing tax credit</t>
        </is>
      </c>
      <c r="JXO8" t="inlineStr">
        <is>
          <t>Family tax benefit</t>
        </is>
      </c>
      <c r="JXP8" t="inlineStr">
        <is>
          <t>Cultural industries printing tax credit</t>
        </is>
      </c>
      <c r="JXQ8" t="inlineStr">
        <is>
          <t>Community enterprise development tax credit</t>
        </is>
      </c>
      <c r="JXR8" t="inlineStr">
        <is>
          <t>Employee share purchase tax credit</t>
        </is>
      </c>
      <c r="JXS8" t="inlineStr">
        <is>
          <t>Farm and small business capital gains tax credit</t>
        </is>
      </c>
      <c r="JXT8" t="inlineStr">
        <is>
          <t>Provincial or territorial non-refundable tax credits</t>
        </is>
      </c>
      <c r="JXU8" t="inlineStr">
        <is>
          <t>Provincial or territorial tax on split income</t>
        </is>
      </c>
      <c r="JXV8" t="inlineStr">
        <is>
          <t>Provincial or territorial dividend tax credit</t>
        </is>
      </c>
      <c r="JXW8" t="inlineStr">
        <is>
          <t>Provincial or territorial minimum tax carryover</t>
        </is>
      </c>
      <c r="JXX8" t="inlineStr">
        <is>
          <t>NB political contribution tax credit</t>
        </is>
      </c>
      <c r="JXY8" t="inlineStr">
        <is>
          <t>Unused low-income tax reduction from spouse or common-law partner</t>
        </is>
      </c>
      <c r="JXZ8" t="inlineStr">
        <is>
          <t>Basic low-income tax reduction</t>
        </is>
      </c>
      <c r="JYA8" t="inlineStr">
        <is>
          <t>Low-income tax reduction for spouse or common-law partner</t>
        </is>
      </c>
      <c r="JYB8" t="inlineStr">
        <is>
          <t>Low-income tax reduction for an eligible dependant claimed on 30400</t>
        </is>
      </c>
      <c r="JYC8" t="inlineStr">
        <is>
          <t>Labour-sponsored venture capital tax credit</t>
        </is>
      </c>
      <c r="JYD8" t="inlineStr">
        <is>
          <t>Small business investor tax credit</t>
        </is>
      </c>
      <c r="JYE8" t="inlineStr">
        <is>
          <t>Amount to carry back to the first prior year</t>
        </is>
      </c>
      <c r="JYF8" t="inlineStr">
        <is>
          <t>Amount to carry back to the second prior year</t>
        </is>
      </c>
      <c r="JYG8" t="inlineStr">
        <is>
          <t>Amount to carry back to the third prior year</t>
        </is>
      </c>
      <c r="JYH8" t="inlineStr">
        <is>
          <t>Resort property investment tax credit</t>
        </is>
      </c>
      <c r="JYI8" t="inlineStr">
        <is>
          <t>NL political contribution tax credit</t>
        </is>
      </c>
      <c r="JYJ8" t="inlineStr">
        <is>
          <t>Direct equity tax credit</t>
        </is>
      </c>
      <c r="JYK8" t="inlineStr">
        <is>
          <t>Amount to carry back to the first prior year</t>
        </is>
      </c>
      <c r="JYL8" t="inlineStr">
        <is>
          <t>Amount to carry back to the second prior year</t>
        </is>
      </c>
      <c r="JYM8" t="inlineStr">
        <is>
          <t>MB political contribution tax credit</t>
        </is>
      </c>
      <c r="JYN8" t="inlineStr">
        <is>
          <t>Amount to carry back to the third prior year</t>
        </is>
      </c>
      <c r="JYO8" t="inlineStr">
        <is>
          <t>Venture capital tax credit</t>
        </is>
      </c>
      <c r="JYP8" t="inlineStr">
        <is>
          <t>Amount to carry back to the first prior year</t>
        </is>
      </c>
      <c r="JYQ8" t="inlineStr">
        <is>
          <t>Amount to carry back to the second prior year</t>
        </is>
      </c>
      <c r="JYR8" t="inlineStr">
        <is>
          <t>Amount to carry back to the third prior year</t>
        </is>
      </c>
      <c r="JYS8" t="inlineStr">
        <is>
          <t>Unused low-income tax reduction from the spouse or common-law partner</t>
        </is>
      </c>
      <c r="JYT8" t="inlineStr">
        <is>
          <t>Basic low-income tax reduction</t>
        </is>
      </c>
      <c r="JYU8" t="inlineStr">
        <is>
          <t>Reduction for your spouse or common-law partner</t>
        </is>
      </c>
      <c r="JYV8" t="inlineStr">
        <is>
          <t>Reduction for an eligible dependant</t>
        </is>
      </c>
      <c r="JYW8" t="inlineStr">
        <is>
          <t>Basic low-income tax reduction</t>
        </is>
      </c>
      <c r="JYX8" t="inlineStr">
        <is>
          <t>Low-income tax reduction for spouse or common-law partner</t>
        </is>
      </c>
      <c r="JYY8" t="inlineStr">
        <is>
          <t>Low-income tax reduction for an eligible dependant</t>
        </is>
      </c>
      <c r="JYZ8" t="inlineStr">
        <is>
          <t>NS political contribution tax credit</t>
        </is>
      </c>
      <c r="JZA8" t="inlineStr">
        <is>
          <t>Food bank tax credit for farmers</t>
        </is>
      </c>
      <c r="JZB8" t="inlineStr">
        <is>
          <t>Community food program donation tax credit for farmers</t>
        </is>
      </c>
      <c r="JZC8" t="inlineStr">
        <is>
          <t>Labour-sponsored venture capital tax credit</t>
        </is>
      </c>
      <c r="JZD8" t="inlineStr">
        <is>
          <t>Equity tax credit</t>
        </is>
      </c>
      <c r="JZE8" t="inlineStr">
        <is>
          <t>Amount to carry back to the first prior year</t>
        </is>
      </c>
      <c r="JZF8" t="inlineStr">
        <is>
          <t>Amount to carry back to the second prior year</t>
        </is>
      </c>
      <c r="JZG8" t="inlineStr">
        <is>
          <t>Amount to carry back to the third prior year</t>
        </is>
      </c>
      <c r="JZH8" t="inlineStr">
        <is>
          <t>Volunteer firefighters’ tax credit</t>
        </is>
      </c>
      <c r="JZI8" t="inlineStr">
        <is>
          <t>Volunteer firefighters and ground search and rescue tax credit</t>
        </is>
      </c>
      <c r="JZJ8" t="inlineStr">
        <is>
          <t>Amount claimed for foreign income on 25600 of the return that is exempt under a tax treaty</t>
        </is>
      </c>
      <c r="JZK8" t="inlineStr">
        <is>
          <t>Basic cost of living tax credit for self</t>
        </is>
      </c>
      <c r="JZL8" t="inlineStr">
        <is>
          <t>Cost of living tax credit supplement for spouse or common-law partner</t>
        </is>
      </c>
      <c r="JZM8" t="inlineStr">
        <is>
          <t>The basic credit for self claimed by the spouse or common-law partner</t>
        </is>
      </c>
      <c r="JZN8" t="inlineStr">
        <is>
          <t>Cost of living tax credit supplement</t>
        </is>
      </c>
      <c r="JZO8" t="inlineStr">
        <is>
          <t>Northwest territories credit</t>
        </is>
      </c>
      <c r="JZP8" t="inlineStr">
        <is>
          <t>NT political contribution tax credit</t>
        </is>
      </c>
      <c r="JZQ8" t="inlineStr">
        <is>
          <t>Seniors’ public transit tax credit</t>
        </is>
      </c>
      <c r="JZR8" t="inlineStr">
        <is>
          <t>ON political contribution tax credit</t>
        </is>
      </c>
      <c r="JZS8" t="inlineStr">
        <is>
          <t>Focused flow-through share tax credit</t>
        </is>
      </c>
      <c r="JZT8" t="inlineStr">
        <is>
          <t>Tax credits for self-employed individuals – Apprenticeships</t>
        </is>
      </c>
      <c r="JZU8" t="inlineStr">
        <is>
          <t>Tax credits for self-employed individuals – Work placements</t>
        </is>
      </c>
      <c r="JZV8" t="inlineStr">
        <is>
          <t>Tax credits claimed as a member of a partnership</t>
        </is>
      </c>
      <c r="JZW8" t="inlineStr">
        <is>
          <t>Business number</t>
        </is>
      </c>
      <c r="JZX8" t="inlineStr">
        <is>
          <t>Apprenticeship training tax credit</t>
        </is>
      </c>
      <c r="JZY8" t="inlineStr">
        <is>
          <t>Co-operative education tax credit</t>
        </is>
      </c>
      <c r="JZZ8" t="inlineStr">
        <is>
          <t>Unused low-income tax reduction from spouse or common-law partner</t>
        </is>
      </c>
      <c r="KAA8" t="inlineStr">
        <is>
          <t>Basic low-income tax reduction</t>
        </is>
      </c>
      <c r="KAB8" t="inlineStr">
        <is>
          <t>Age reduction for self</t>
        </is>
      </c>
      <c r="KAC8" t="inlineStr">
        <is>
          <t>Low-income tax reduction for spouse or common-law partner</t>
        </is>
      </c>
      <c r="KAD8" t="inlineStr">
        <is>
          <t>Age reduction for spouse or common-law partner</t>
        </is>
      </c>
      <c r="KAE8" t="inlineStr">
        <is>
          <t>Low-income tax reduction for an eligible dependant</t>
        </is>
      </c>
      <c r="KAF8" t="inlineStr">
        <is>
          <t>PE political contribution tax credit</t>
        </is>
      </c>
      <c r="KAG8" t="inlineStr">
        <is>
          <t>Basic and certification tax credits (level 1 and/or level 2 of a non-Red Seal programs)</t>
        </is>
      </c>
      <c r="KAH8" t="inlineStr">
        <is>
          <t>Completion and certification tax credit (level 3 of a Red Seal or non-Red Seal program)</t>
        </is>
      </c>
      <c r="KAI8" t="inlineStr">
        <is>
          <t>Completion and certification tax credit (level 4 of a Red Seal or non-Red Seal program)</t>
        </is>
      </c>
      <c r="KAJ8" t="inlineStr">
        <is>
          <t>Enhanced tax credit</t>
        </is>
      </c>
      <c r="KAK8" t="inlineStr">
        <is>
          <t>Basic tax credit</t>
        </is>
      </c>
      <c r="KAL8" t="inlineStr">
        <is>
          <t>Completion tax credit</t>
        </is>
      </c>
      <c r="KAM8" t="inlineStr">
        <is>
          <t>Enhanced tax credit</t>
        </is>
      </c>
      <c r="KAN8" t="inlineStr">
        <is>
          <t>Equity tax credit</t>
        </is>
      </c>
      <c r="KAO8" t="inlineStr">
        <is>
          <t>Volunteer firefighter tax credit</t>
        </is>
      </c>
      <c r="KAP8" t="inlineStr">
        <is>
          <t>SK political contribution tax credit</t>
        </is>
      </c>
      <c r="KAQ8" t="inlineStr">
        <is>
          <t>Labour-sponsored venture capital tax credit</t>
        </is>
      </c>
      <c r="KAR8" t="inlineStr">
        <is>
          <t>Mineral exploration tax credit</t>
        </is>
      </c>
      <c r="KAS8" t="inlineStr">
        <is>
          <t>Amount to carry back to the first prior year</t>
        </is>
      </c>
      <c r="KAT8" t="inlineStr">
        <is>
          <t>Amount to carry back to the second prior year</t>
        </is>
      </c>
      <c r="KAU8" t="inlineStr">
        <is>
          <t>Amount to carry back to the third prior year</t>
        </is>
      </c>
      <c r="KAV8" t="inlineStr">
        <is>
          <t>Graduate tuition tax credit</t>
        </is>
      </c>
      <c r="KAW8" t="inlineStr">
        <is>
          <t>Number of qualifying children under 6 years of age</t>
        </is>
      </c>
      <c r="KAX8" t="inlineStr">
        <is>
          <t>Children’s fitness tax credit</t>
        </is>
      </c>
      <c r="KAY8" t="inlineStr">
        <is>
          <t>Small business investment tax credit</t>
        </is>
      </c>
      <c r="KAZ8" t="inlineStr">
        <is>
          <t>Amount to carry back to the first prior year</t>
        </is>
      </c>
      <c r="KBA8" t="inlineStr">
        <is>
          <t>Amount to carry back to the second prior year</t>
        </is>
      </c>
      <c r="KBB8" t="inlineStr">
        <is>
          <t>Amount to carry back to the third prior year</t>
        </is>
      </c>
      <c r="KBC8" t="inlineStr">
        <is>
          <t>Labour-sponsored venture capital corporation tax credit</t>
        </is>
      </c>
      <c r="KBD8" t="inlineStr">
        <is>
          <t>Amount to carry back to the first prior year</t>
        </is>
      </c>
      <c r="KBE8" t="inlineStr">
        <is>
          <t>Amount to carry back to the second prior year</t>
        </is>
      </c>
      <c r="KBF8" t="inlineStr">
        <is>
          <t>Amount to carry back to the third prior year</t>
        </is>
      </c>
      <c r="KBG8" t="inlineStr">
        <is>
          <t>Research and development tax credit</t>
        </is>
      </c>
      <c r="KBH8" t="inlineStr">
        <is>
          <t>YT political contribution tax credit</t>
        </is>
      </c>
      <c r="KBI8" t="inlineStr">
        <is>
          <t>Yukon First Nations income tax credit</t>
        </is>
      </c>
      <c r="KBJ8" t="inlineStr">
        <is>
          <t>Cost of living supplement</t>
        </is>
      </c>
      <c r="KBK8" t="inlineStr">
        <is>
          <t>Total cost of living tax credit</t>
        </is>
      </c>
      <c r="KBL8" t="inlineStr">
        <is>
          <t>NU political contribution tax credit</t>
        </is>
      </c>
      <c r="KBM8" t="inlineStr">
        <is>
          <t>Total expenses eligible for the GST rebate</t>
        </is>
      </c>
      <c r="KBN8" t="inlineStr">
        <is>
          <t>Total expenses eligible for the HST rebate</t>
        </is>
      </c>
      <c r="KBO8" t="inlineStr">
        <is>
          <t>Total expenses eligible for the HST rebate</t>
        </is>
      </c>
      <c r="KBP8" t="inlineStr">
        <is>
          <t>Benefits that can no longer be deferred</t>
        </is>
      </c>
      <c r="KBQ8" t="inlineStr">
        <is>
          <t>Closing balance of deferred security option benefits</t>
        </is>
      </c>
      <c r="KBR8" t="inlineStr">
        <is>
          <t>Non-capital loss to be applied to the third prior year</t>
        </is>
      </c>
      <c r="KBS8" t="inlineStr">
        <is>
          <t>Non-capital loss to be applied to the second prior year</t>
        </is>
      </c>
      <c r="KBT8" t="inlineStr">
        <is>
          <t>Non-capital loss to be applied to the first prior year</t>
        </is>
      </c>
      <c r="KBU8" t="inlineStr">
        <is>
          <t>Farming or fishing loss to be applied to the third prior year</t>
        </is>
      </c>
      <c r="KBV8" t="inlineStr">
        <is>
          <t>Farming or fishing loss to be applied to the second prior year</t>
        </is>
      </c>
      <c r="KBW8" t="inlineStr">
        <is>
          <t>Farming or fishing loss to be applied to the first prior year</t>
        </is>
      </c>
      <c r="KBX8" t="inlineStr">
        <is>
          <t>Net capital loss to be applied to the third prior year</t>
        </is>
      </c>
      <c r="KBY8" t="inlineStr">
        <is>
          <t>Net capital loss to be applied to the second prior year</t>
        </is>
      </c>
      <c r="KBZ8" t="inlineStr">
        <is>
          <t>Net capital loss to be applied to the first prior year</t>
        </is>
      </c>
      <c r="KCA8" t="inlineStr">
        <is>
          <t>Listed personal property net loss to be applied to the third prior year listed personal property net gains</t>
        </is>
      </c>
      <c r="KCB8" t="inlineStr">
        <is>
          <t>Listed personal property net loss to be applied to the second prior year listed personal property net gains</t>
        </is>
      </c>
      <c r="KCC8" t="inlineStr">
        <is>
          <t>Listed personal property net loss to be applied to the first prior year listed personal property net gains</t>
        </is>
      </c>
      <c r="KCD8" t="inlineStr">
        <is>
          <t>Restricted farm loss to be applied to the third prior year</t>
        </is>
      </c>
      <c r="KCE8" t="inlineStr">
        <is>
          <t>Restricted farm loss to be applied to the second prior year</t>
        </is>
      </c>
      <c r="KCF8" t="inlineStr">
        <is>
          <t>Restricted farm loss to be applied to the first prior year</t>
        </is>
      </c>
      <c r="KCG8" t="inlineStr">
        <is>
          <t>Amount of 2018 reserve for dispositions of QFFP to your child after 2009, and before April 21, 2015 and all other dispositions of QFFP after 2014 and before April 21, 2015</t>
        </is>
      </c>
      <c r="KCH8" t="inlineStr">
        <is>
          <t>Amount of 2019 reserve for dispositions of QFFP to your child after 2010, and before April 21, 2015, and all other dispositions of QFFP after 2015 and before April 21, 2015</t>
        </is>
      </c>
      <c r="KCI8" t="inlineStr">
        <is>
          <t>Amount of 2018 reserve for dispositions of QFFP after April 20, 2015</t>
        </is>
      </c>
      <c r="KCJ8" t="inlineStr">
        <is>
          <t>Amount of 2019 reserve for dispositions of QFFP after April 20, 2015</t>
        </is>
      </c>
      <c r="KCK8" t="inlineStr">
        <is>
          <t>Amount of the most recent reserve claimed on line 66840</t>
        </is>
      </c>
      <c r="KCL8" t="inlineStr">
        <is>
          <t>Amount of 2019 reserve for dispositions of QSBCS to your child after 2010, and all other dispositions of QSBCS after 2015</t>
        </is>
      </c>
      <c r="KCM8" t="inlineStr">
        <is>
          <t>Amount of 2018 reserve for dispositions of QSBCS to your child after 2009, and all other dispositions of QSBCS after 2014</t>
        </is>
      </c>
      <c r="KCN8" t="inlineStr">
        <is>
          <t>Amount of the most recent reserve claimed on line 66850</t>
        </is>
      </c>
      <c r="KCO8" t="inlineStr">
        <is>
          <t>Amount of 2018 reserve for dispositions to your child after 2009, of family farm or fishing property other than QFFP and of shares of capital stock of a small business corporation other than QSBCS</t>
        </is>
      </c>
      <c r="KCP8" t="inlineStr">
        <is>
          <t>Amount of 2019 reserve for dispositions to your child after 2010, of family farm or fishing property other than QFFP and of shares of capital stock of a small business corporation other than QSBCS</t>
        </is>
      </c>
      <c r="KCQ8" t="inlineStr">
        <is>
          <t>Amount of 2018 reserve for dispositions of property after 2014, other than dispositions listed on lines 66815, 66843, 66883, and 66910</t>
        </is>
      </c>
      <c r="KCR8" t="inlineStr">
        <is>
          <t>Amount of 2019 reserve for dispositions of property after 2015, other than dispositions listed on lines 66840, 66844, 66850, and 66920</t>
        </is>
      </c>
      <c r="KCS8" t="inlineStr">
        <is>
          <t>Amount of 2018 reserve for dispositions before November 13, 1981</t>
        </is>
      </c>
      <c r="KCT8" t="inlineStr">
        <is>
          <t>Total capital reserves</t>
        </is>
      </c>
      <c r="KCU8" t="inlineStr">
        <is>
          <t>ITC for total qualified expenditures for SR&amp;ED</t>
        </is>
      </c>
      <c r="KCV8" t="inlineStr">
        <is>
          <t>80% of total contributions made to agricultural organizations for SR&amp;ED</t>
        </is>
      </c>
      <c r="KCW8" t="inlineStr">
        <is>
          <t>ITC allocated from a partnership for SR&amp;ED</t>
        </is>
      </c>
      <c r="KCX8" t="inlineStr">
        <is>
          <t>ITC for total investments in qualified property</t>
        </is>
      </c>
      <c r="KCY8" t="inlineStr">
        <is>
          <t>Total flow-through mining expenditures</t>
        </is>
      </c>
      <c r="KCZ8" t="inlineStr">
        <is>
          <t>Total apprenticeship job creation tax credit</t>
        </is>
      </c>
      <c r="KDA8" t="inlineStr">
        <is>
          <t>ITC for child care spaces</t>
        </is>
      </c>
      <c r="KDB8" t="inlineStr">
        <is>
          <t>Amount of expenditure on which ITC is recaptured at 15%</t>
        </is>
      </c>
      <c r="KDC8" t="inlineStr">
        <is>
          <t>Amount of expenditure on which ITC is recaptured at 20%</t>
        </is>
      </c>
      <c r="KDD8" t="inlineStr">
        <is>
          <t>Total recapture of ITC for child care spaces</t>
        </is>
      </c>
      <c r="KDE8" t="inlineStr">
        <is>
          <t>Amount of carryback to the third previous year</t>
        </is>
      </c>
      <c r="KDF8" t="inlineStr">
        <is>
          <t>Amount of carryback to the second previous year</t>
        </is>
      </c>
      <c r="KDG8" t="inlineStr">
        <is>
          <t>Amount of carryback to the first previous year</t>
        </is>
      </c>
      <c r="KDH8" t="inlineStr">
        <is>
          <t>Maximum residency amount for residents of prescribed northern zones</t>
        </is>
      </c>
      <c r="KDI8" t="inlineStr">
        <is>
          <t>Non-taxable benefits for board and lodging at a special work site in a prescribed northern zone</t>
        </is>
      </c>
      <c r="KDJ8" t="inlineStr">
        <is>
          <t>Maximum residency amount for residents of prescribed intermediate zones</t>
        </is>
      </c>
      <c r="KDK8" t="inlineStr">
        <is>
          <t>Non-taxable benefits for board and lodging at a special work site in a prescribed intermediate zone</t>
        </is>
      </c>
      <c r="KDL8" t="inlineStr">
        <is>
          <t>Total travel amount for trips from a prescribed northern zone</t>
        </is>
      </c>
      <c r="KDM8" t="inlineStr">
        <is>
          <t>Total travel amount for trips from a prescribed intermediate zone</t>
        </is>
      </c>
      <c r="KDN8" t="inlineStr">
        <is>
          <t>Claim for tax shelter loss or deduction</t>
        </is>
      </c>
      <c r="KDO8" t="inlineStr">
        <is>
          <t>Amount of loss created or increased by CCA and carrying charges on certified film property</t>
        </is>
      </c>
      <c r="KDP8" t="inlineStr">
        <is>
          <t>Amount of loss created or increased by CCA and carrying charges on rental and leasing property</t>
        </is>
      </c>
      <c r="KDQ8" t="inlineStr">
        <is>
          <t>Losses, amounts deductible and carrying charges for tax shelters, limited partnership, and non-active partners</t>
        </is>
      </c>
      <c r="KDR8" t="inlineStr">
        <is>
          <t>Total of all resource expenditures, depletion allowances, and carrying charges for resource property and flow-through shares</t>
        </is>
      </c>
      <c r="KDS8" t="inlineStr">
        <is>
          <t>Certain capital gains from graduated rate estates</t>
        </is>
      </c>
      <c r="KDT8" t="inlineStr">
        <is>
          <t>Part of total capital gains that is exempt from Canadian tax under a tax treaty</t>
        </is>
      </c>
      <c r="KDU8" t="inlineStr">
        <is>
          <t>Capital gains on gifts of property to qualified donees</t>
        </is>
      </c>
      <c r="KDV8" t="inlineStr">
        <is>
          <t>Security options deductions under paragraph 110(1)(d)</t>
        </is>
      </c>
      <c r="KDW8" t="inlineStr">
        <is>
          <t>Gifts of securities acquired under a security option plan</t>
        </is>
      </c>
      <c r="KDX8" t="inlineStr">
        <is>
          <t>Other security options deductions included on line 24900</t>
        </is>
      </c>
      <c r="KDY8" t="inlineStr">
        <is>
          <t>Limited partnership losses incurred in prior years that are tax shelters</t>
        </is>
      </c>
      <c r="KDZ8" t="inlineStr">
        <is>
          <t>Federal tax payable under alternative minimum tax</t>
        </is>
      </c>
      <c r="KEA8" t="inlineStr">
        <is>
          <t>Total child care expenses paid in the year</t>
        </is>
      </c>
      <c r="KEB8" t="inlineStr">
        <is>
          <t>Child care expenses incurred for a child age 6 or younger</t>
        </is>
      </c>
      <c r="KEC8" t="inlineStr">
        <is>
          <t>Basic limit for eligible children born in the current tax year or earlier for whom the disability amount can be claimed</t>
        </is>
      </c>
      <c r="KED8" t="inlineStr">
        <is>
          <t>Part C – Child care expenses paid by the other person with lower net income</t>
        </is>
      </c>
      <c r="KEE8" t="inlineStr">
        <is>
          <t>Part D – Child care expenses paid while enrolled in an educational program</t>
        </is>
      </c>
      <c r="KEF8" t="inlineStr">
        <is>
          <t>Total eligible pensions or superannuation, annuity and RRSP/RRIF payments (including life income fund) received</t>
        </is>
      </c>
      <c r="KEG8" t="inlineStr">
        <is>
          <t>Veteran’s benefits on T4A slips eligible for pension income splitting</t>
        </is>
      </c>
      <c r="KEH8" t="inlineStr">
        <is>
          <t>Distributions on T4A-RCA slips eligible for pension income splitting</t>
        </is>
      </c>
      <c r="KEI8" t="inlineStr">
        <is>
          <t>Number of months married or living common-law in the current tax year</t>
        </is>
      </c>
      <c r="KEJ8" t="inlineStr">
        <is>
          <t>Total tax deducted from the transferring spouse’s or common-law partner’s pension income</t>
        </is>
      </c>
      <c r="KEK8" t="inlineStr">
        <is>
          <t>Tax deducted for the elected split-pension amount</t>
        </is>
      </c>
      <c r="KEL8" t="inlineStr">
        <is>
          <t>Any other investment expenses claimed in the current tax year to earn property income</t>
        </is>
      </c>
      <c r="KEM8" t="inlineStr">
        <is>
          <t>Any other property income reported in the current tax year</t>
        </is>
      </c>
      <c r="KEN8" t="inlineStr">
        <is>
          <t>50% of income from the recovery of exploration and development expenses</t>
        </is>
      </c>
      <c r="KEO8" t="inlineStr">
        <is>
          <t>Capital gains from T3 slips</t>
        </is>
      </c>
      <c r="KEP8" t="inlineStr">
        <is>
          <t>Non-eligible capital gains from T3 slips</t>
        </is>
      </c>
      <c r="KEQ8" t="inlineStr">
        <is>
          <t>Special tax for Quebec LSVCC</t>
        </is>
      </c>
      <c r="KER8" t="inlineStr">
        <is>
          <t>Excess employees profit-sharing plan amounts</t>
        </is>
      </c>
      <c r="KES8" t="inlineStr">
        <is>
          <t>Proceeds from disposition of publicly traded shares, other shares and mutual fund units</t>
        </is>
      </c>
      <c r="KET8" t="inlineStr">
        <is>
          <t>Gains eligible for 0% inclusion rate from the disposition of publicly traded shares, other shares and mutual funds units</t>
        </is>
      </c>
      <c r="KEU8" t="inlineStr">
        <is>
          <t>Proceeds from disposition of bonds, debentures, promissory notes, and other properties (including ecologically sensitive land)</t>
        </is>
      </c>
      <c r="KEV8" t="inlineStr">
        <is>
          <t>Gains eligible for 0% inclusion rate from the disposition of bonds, debentures, promissory notes, and other properties (including ecologically sensitive land)</t>
        </is>
      </c>
      <c r="KEW8" t="inlineStr">
        <is>
          <t>Total of all accumulated income payments</t>
        </is>
      </c>
      <c r="KEX8" t="inlineStr">
        <is>
          <t>Total of all accumulated income payments</t>
        </is>
      </c>
      <c r="KEY8" t="inlineStr">
        <is>
          <t>Taxable amount of dividends (eligible and other than eligible) from taxable Canadian corporations</t>
        </is>
      </c>
      <c r="KEZ8" t="inlineStr">
        <is>
          <t>Taxable amount of dividends other than eligible dividends, included on line 68330, from taxable Canadian corporations</t>
        </is>
      </c>
      <c r="KFA8" t="inlineStr">
        <is>
          <t>Total split income</t>
        </is>
      </c>
      <c r="KFB8" t="inlineStr">
        <is>
          <t>Split income from foreign sources</t>
        </is>
      </c>
      <c r="KFC8" t="inlineStr">
        <is>
          <t>Total income from foreign sources</t>
        </is>
      </c>
      <c r="KFD8" t="inlineStr">
        <is>
          <t>Current-year credit available</t>
        </is>
      </c>
      <c r="KFE8" t="inlineStr">
        <is>
          <t>Mining flow-through share tax credit</t>
        </is>
      </c>
      <c r="KFF8" t="inlineStr">
        <is>
          <t>Amount to carry back to the first prior year</t>
        </is>
      </c>
      <c r="KFG8" t="inlineStr">
        <is>
          <t>Amount to carry back to the second prior year</t>
        </is>
      </c>
      <c r="KFH8" t="inlineStr">
        <is>
          <t>Amount to carry back to the third prior year</t>
        </is>
      </c>
      <c r="KFI8" t="inlineStr">
        <is>
          <t>Current year tax credit available</t>
        </is>
      </c>
    </row>
    <row r="9">
      <c r="B9" t="inlineStr">
        <is>
          <t>1376087000722763995</t>
        </is>
      </c>
      <c r="C9" t="inlineStr"/>
      <c r="D9" t="inlineStr">
        <is>
          <t>TNDS68116</t>
        </is>
      </c>
      <c r="E9" t="inlineStr">
        <is>
          <t>CLAUDIA STONE</t>
        </is>
      </c>
      <c r="F9" t="inlineStr">
        <is>
          <t>CLAUDIA</t>
        </is>
      </c>
      <c r="G9" t="inlineStr">
        <is>
          <t>STONE</t>
        </is>
      </c>
      <c r="H9" t="inlineStr">
        <is>
          <t>CLAUDIA STONE</t>
        </is>
      </c>
      <c r="I9" t="n">
        <v>2013</v>
      </c>
      <c r="J9" t="inlineStr"/>
      <c r="K9" t="inlineStr"/>
      <c r="L9" t="inlineStr">
        <is>
          <t>No Client Debt</t>
        </is>
      </c>
      <c r="M9" t="inlineStr">
        <is>
          <t>1,581.28</t>
        </is>
      </c>
      <c r="N9" t="inlineStr">
        <is>
          <t>According to our records, you have never claimed the disability amount.</t>
        </is>
      </c>
      <c r="O9" t="inlineStr"/>
      <c r="P9" t="inlineStr"/>
      <c r="Q9" t="inlineStr"/>
      <c r="R9" t="inlineStr"/>
      <c r="S9" t="inlineStr"/>
      <c r="T9" t="inlineStr"/>
      <c r="U9" t="inlineStr"/>
      <c r="V9" t="inlineStr"/>
      <c r="W9" t="inlineStr"/>
      <c r="X9" t="inlineStr"/>
      <c r="Y9" t="inlineStr"/>
      <c r="Z9" t="inlineStr"/>
      <c r="AA9" t="inlineStr"/>
      <c r="AB9" t="inlineStr"/>
      <c r="AC9" t="inlineStr"/>
      <c r="AD9" t="inlineStr"/>
      <c r="AE9" t="inlineStr"/>
      <c r="AF9" t="inlineStr"/>
      <c r="AG9" t="inlineStr"/>
      <c r="AH9" t="inlineStr"/>
      <c r="AI9" t="inlineStr"/>
      <c r="AJ9" t="inlineStr"/>
      <c r="AK9" t="inlineStr"/>
      <c r="AL9" t="inlineStr"/>
      <c r="AM9" t="inlineStr"/>
      <c r="AN9" t="inlineStr"/>
      <c r="AO9" t="inlineStr"/>
      <c r="AP9" t="inlineStr"/>
      <c r="AQ9" t="inlineStr"/>
      <c r="AR9" t="inlineStr"/>
      <c r="AS9" t="inlineStr"/>
      <c r="AT9" t="inlineStr">
        <is>
          <t>Not setup</t>
        </is>
      </c>
      <c r="AU9" t="inlineStr">
        <is>
          <t>Not setup</t>
        </is>
      </c>
      <c r="AV9" t="inlineStr">
        <is>
          <t>None</t>
        </is>
      </c>
      <c r="AW9" t="inlineStr">
        <is>
          <t>NOT FILED</t>
        </is>
      </c>
      <c r="AX9" t="inlineStr"/>
      <c r="AY9" t="inlineStr"/>
      <c r="AZ9" t="n">
        <v>0</v>
      </c>
      <c r="BA9" t="n">
        <v>0</v>
      </c>
      <c r="BB9" t="n">
        <v>0</v>
      </c>
      <c r="BC9" t="n">
        <v>0</v>
      </c>
      <c r="BD9" t="n">
        <v>0</v>
      </c>
      <c r="BE9" t="n">
        <v>0</v>
      </c>
      <c r="BF9" t="n">
        <v>0</v>
      </c>
      <c r="BG9" t="n">
        <v>0</v>
      </c>
      <c r="BH9" t="n">
        <v>0</v>
      </c>
      <c r="BI9" t="n">
        <v>0</v>
      </c>
      <c r="BJ9" t="n">
        <v>0</v>
      </c>
      <c r="BK9" t="n">
        <v>0</v>
      </c>
      <c r="BL9" t="n">
        <v>0</v>
      </c>
      <c r="BM9" t="n">
        <v>0</v>
      </c>
      <c r="BN9" t="n">
        <v>0</v>
      </c>
      <c r="BO9" t="n">
        <v>0</v>
      </c>
      <c r="BP9" t="n">
        <v>0</v>
      </c>
      <c r="BQ9" t="n">
        <v>0</v>
      </c>
      <c r="BR9" t="n">
        <v>0</v>
      </c>
      <c r="BS9" t="n">
        <v>0</v>
      </c>
      <c r="BT9" t="n">
        <v>0</v>
      </c>
      <c r="BU9" t="n">
        <v>0</v>
      </c>
      <c r="BV9" t="n">
        <v>0</v>
      </c>
      <c r="BW9" t="n">
        <v>0</v>
      </c>
      <c r="BX9" t="n">
        <v>0</v>
      </c>
      <c r="BY9" t="n">
        <v>0</v>
      </c>
      <c r="BZ9" t="n">
        <v>0</v>
      </c>
      <c r="CA9" t="n">
        <v>0</v>
      </c>
      <c r="CB9" t="n">
        <v>0</v>
      </c>
      <c r="CC9" t="n">
        <v>0</v>
      </c>
      <c r="CD9" t="n">
        <v>0</v>
      </c>
      <c r="CE9" t="n">
        <v>0</v>
      </c>
      <c r="CF9" t="n">
        <v>0</v>
      </c>
      <c r="CG9" t="n">
        <v>0</v>
      </c>
      <c r="CH9" t="n">
        <v>0</v>
      </c>
      <c r="CI9" t="n">
        <v>0</v>
      </c>
      <c r="CJ9" t="n">
        <v>0</v>
      </c>
      <c r="CK9" t="n">
        <v>0</v>
      </c>
      <c r="CL9" t="n">
        <v>0</v>
      </c>
      <c r="CM9" t="n">
        <v>0</v>
      </c>
      <c r="CN9" t="n">
        <v>0</v>
      </c>
      <c r="CO9" t="n">
        <v>0</v>
      </c>
      <c r="CP9" t="n">
        <v>0</v>
      </c>
      <c r="CQ9" t="n">
        <v>0</v>
      </c>
      <c r="CR9" t="n">
        <v>0</v>
      </c>
      <c r="CS9" t="n">
        <v>0</v>
      </c>
      <c r="CT9" t="n">
        <v>0</v>
      </c>
      <c r="CU9" t="n">
        <v>0</v>
      </c>
      <c r="CV9" t="n">
        <v>0</v>
      </c>
      <c r="CW9" t="n">
        <v>0</v>
      </c>
      <c r="CX9" t="n">
        <v>0</v>
      </c>
      <c r="CY9" t="n">
        <v>0</v>
      </c>
      <c r="CZ9" t="n">
        <v>0</v>
      </c>
      <c r="DA9" t="n">
        <v>0</v>
      </c>
      <c r="DB9" t="n">
        <v>0</v>
      </c>
      <c r="DC9" t="n">
        <v>0</v>
      </c>
      <c r="DD9" t="n">
        <v>0</v>
      </c>
      <c r="DE9" t="n">
        <v>0</v>
      </c>
      <c r="DF9" t="n">
        <v>0</v>
      </c>
      <c r="DG9" t="n">
        <v>0</v>
      </c>
      <c r="DH9" t="n">
        <v>0</v>
      </c>
      <c r="DI9" t="n">
        <v>0</v>
      </c>
      <c r="DJ9" t="n">
        <v>0</v>
      </c>
      <c r="DK9" t="n">
        <v>0</v>
      </c>
      <c r="DL9" t="n">
        <v>0</v>
      </c>
      <c r="DM9" t="n">
        <v>0</v>
      </c>
      <c r="DN9" t="n">
        <v>0</v>
      </c>
      <c r="DO9" t="n">
        <v>0</v>
      </c>
      <c r="DP9" t="n">
        <v>0</v>
      </c>
      <c r="DQ9" t="n">
        <v>0</v>
      </c>
      <c r="DR9" t="n">
        <v>0</v>
      </c>
      <c r="DS9" t="n">
        <v>0</v>
      </c>
      <c r="DT9" t="n">
        <v>0</v>
      </c>
      <c r="DU9" t="n">
        <v>0</v>
      </c>
      <c r="DV9" t="n">
        <v>0</v>
      </c>
      <c r="DW9" t="n">
        <v>0</v>
      </c>
      <c r="DX9" t="n">
        <v>0</v>
      </c>
      <c r="DY9" t="n">
        <v>0</v>
      </c>
      <c r="DZ9" t="n">
        <v>0</v>
      </c>
      <c r="EA9" t="n">
        <v>0</v>
      </c>
      <c r="EB9" t="n">
        <v>0</v>
      </c>
      <c r="EC9" t="n">
        <v>0</v>
      </c>
      <c r="ED9" t="n">
        <v>0</v>
      </c>
      <c r="EE9" t="n">
        <v>0</v>
      </c>
      <c r="EF9" t="n">
        <v>0</v>
      </c>
      <c r="EG9" t="n">
        <v>0</v>
      </c>
      <c r="EH9" t="n">
        <v>0</v>
      </c>
      <c r="EI9" t="n">
        <v>0</v>
      </c>
      <c r="EJ9" t="n">
        <v>0</v>
      </c>
      <c r="EK9" t="n">
        <v>0</v>
      </c>
      <c r="EL9" t="n">
        <v>0</v>
      </c>
      <c r="EM9" t="n">
        <v>0</v>
      </c>
      <c r="EN9" t="n">
        <v>0</v>
      </c>
      <c r="EO9" t="n">
        <v>0</v>
      </c>
      <c r="EP9" t="n">
        <v>0</v>
      </c>
      <c r="EQ9" t="n">
        <v>0</v>
      </c>
      <c r="ER9" t="n">
        <v>0</v>
      </c>
      <c r="ES9" t="n">
        <v>0</v>
      </c>
      <c r="ET9" t="n">
        <v>0</v>
      </c>
      <c r="EU9" t="n">
        <v>0</v>
      </c>
      <c r="EV9" t="n">
        <v>0</v>
      </c>
      <c r="EW9" t="n">
        <v>0</v>
      </c>
      <c r="EX9" t="n">
        <v>0</v>
      </c>
      <c r="EY9" t="n">
        <v>0</v>
      </c>
      <c r="EZ9" t="n">
        <v>0</v>
      </c>
      <c r="FA9" t="n">
        <v>0</v>
      </c>
      <c r="FB9" t="n">
        <v>0</v>
      </c>
      <c r="FC9" t="n">
        <v>0</v>
      </c>
      <c r="FD9" t="n">
        <v>0</v>
      </c>
      <c r="FE9" t="n">
        <v>0</v>
      </c>
      <c r="FF9" t="n">
        <v>0</v>
      </c>
      <c r="FG9" t="n">
        <v>0</v>
      </c>
      <c r="FH9" t="n">
        <v>0</v>
      </c>
      <c r="FI9" t="n">
        <v>0</v>
      </c>
      <c r="FJ9" t="n">
        <v>0</v>
      </c>
      <c r="FK9" t="n">
        <v>0</v>
      </c>
      <c r="FL9" t="n">
        <v>0</v>
      </c>
      <c r="FM9" t="n">
        <v>0</v>
      </c>
      <c r="FN9" t="n">
        <v>0</v>
      </c>
      <c r="FO9" t="n">
        <v>0</v>
      </c>
      <c r="FP9" t="n">
        <v>0</v>
      </c>
      <c r="FQ9" t="n">
        <v>0</v>
      </c>
      <c r="FR9" t="n">
        <v>0</v>
      </c>
      <c r="FS9" t="n">
        <v>0</v>
      </c>
      <c r="FT9" t="n">
        <v>0</v>
      </c>
      <c r="FU9" t="n">
        <v>0</v>
      </c>
      <c r="FV9" t="n">
        <v>0</v>
      </c>
      <c r="FW9" t="n">
        <v>0</v>
      </c>
      <c r="FX9" t="n">
        <v>0</v>
      </c>
      <c r="FY9" t="n">
        <v>0</v>
      </c>
      <c r="FZ9" t="n">
        <v>0</v>
      </c>
      <c r="GA9" t="n">
        <v>0</v>
      </c>
      <c r="GB9" t="n">
        <v>0</v>
      </c>
      <c r="GC9" t="n">
        <v>0</v>
      </c>
      <c r="GD9" t="n">
        <v>0</v>
      </c>
      <c r="GE9" t="n">
        <v>0</v>
      </c>
      <c r="GF9" t="n">
        <v>0</v>
      </c>
      <c r="GG9" t="n">
        <v>0</v>
      </c>
      <c r="GH9" t="n">
        <v>0</v>
      </c>
      <c r="GI9" t="n">
        <v>0</v>
      </c>
      <c r="GJ9" t="n">
        <v>0</v>
      </c>
      <c r="GK9" t="n">
        <v>0</v>
      </c>
      <c r="GL9" t="n">
        <v>0</v>
      </c>
      <c r="GM9" t="n">
        <v>0</v>
      </c>
      <c r="GN9" t="n">
        <v>0</v>
      </c>
      <c r="GO9" t="n">
        <v>0</v>
      </c>
      <c r="GP9" t="n">
        <v>0</v>
      </c>
      <c r="GQ9" t="n">
        <v>0</v>
      </c>
      <c r="GR9" t="n">
        <v>0</v>
      </c>
      <c r="GS9" t="n">
        <v>0</v>
      </c>
      <c r="GT9" t="n">
        <v>0</v>
      </c>
      <c r="GU9" t="n">
        <v>0</v>
      </c>
      <c r="GV9" t="n">
        <v>0</v>
      </c>
      <c r="GW9" t="n">
        <v>0</v>
      </c>
      <c r="GX9" t="n">
        <v>0</v>
      </c>
      <c r="GY9" t="n">
        <v>0</v>
      </c>
      <c r="GZ9" t="n">
        <v>0</v>
      </c>
      <c r="HA9" t="n">
        <v>0</v>
      </c>
      <c r="HB9" t="n">
        <v>0</v>
      </c>
      <c r="HC9" t="n">
        <v>0</v>
      </c>
      <c r="HD9" t="n">
        <v>0</v>
      </c>
      <c r="HE9" t="n">
        <v>0</v>
      </c>
      <c r="HF9" t="n">
        <v>0</v>
      </c>
      <c r="HG9" t="n">
        <v>0</v>
      </c>
      <c r="HH9" t="n">
        <v>0</v>
      </c>
      <c r="HI9" t="n">
        <v>0</v>
      </c>
      <c r="HJ9" t="n">
        <v>0</v>
      </c>
      <c r="HK9" t="n">
        <v>0</v>
      </c>
      <c r="HL9" t="n">
        <v>0</v>
      </c>
      <c r="HM9" t="n">
        <v>0</v>
      </c>
      <c r="HN9" t="n">
        <v>0</v>
      </c>
      <c r="HO9" t="n">
        <v>0</v>
      </c>
      <c r="HP9" t="n">
        <v>0</v>
      </c>
      <c r="HQ9" t="n">
        <v>0</v>
      </c>
      <c r="HR9" t="n">
        <v>0</v>
      </c>
      <c r="HS9" t="n">
        <v>0</v>
      </c>
      <c r="HT9" t="n">
        <v>0</v>
      </c>
      <c r="HU9" t="n">
        <v>0</v>
      </c>
      <c r="HV9" t="n">
        <v>0</v>
      </c>
      <c r="HW9" t="n">
        <v>0</v>
      </c>
      <c r="HX9" t="n">
        <v>0</v>
      </c>
      <c r="HY9" t="n">
        <v>0</v>
      </c>
      <c r="HZ9" t="n">
        <v>0</v>
      </c>
      <c r="IA9" t="n">
        <v>0</v>
      </c>
      <c r="IB9" t="n">
        <v>0</v>
      </c>
      <c r="IC9" t="n">
        <v>0</v>
      </c>
      <c r="ID9" t="n">
        <v>0</v>
      </c>
      <c r="IE9" t="n">
        <v>0</v>
      </c>
      <c r="IF9" t="n">
        <v>0</v>
      </c>
      <c r="IG9" t="n">
        <v>0</v>
      </c>
      <c r="IH9" t="n">
        <v>0</v>
      </c>
      <c r="II9" t="n">
        <v>0</v>
      </c>
      <c r="IJ9" t="n">
        <v>0</v>
      </c>
      <c r="IK9" t="n">
        <v>0</v>
      </c>
      <c r="IL9" t="n">
        <v>0</v>
      </c>
      <c r="IM9" t="n">
        <v>0</v>
      </c>
      <c r="IN9" t="n">
        <v>0</v>
      </c>
      <c r="IO9" t="n">
        <v>0</v>
      </c>
      <c r="IP9" t="n">
        <v>0</v>
      </c>
      <c r="IQ9" t="n">
        <v>0</v>
      </c>
      <c r="IR9" t="n">
        <v>0</v>
      </c>
      <c r="IS9" t="n">
        <v>0</v>
      </c>
      <c r="IT9" t="n">
        <v>0</v>
      </c>
      <c r="IU9" t="n">
        <v>0</v>
      </c>
      <c r="IV9" t="n">
        <v>0</v>
      </c>
      <c r="IW9" t="n">
        <v>0</v>
      </c>
      <c r="IX9" t="n">
        <v>0</v>
      </c>
      <c r="IY9" t="n">
        <v>0</v>
      </c>
      <c r="IZ9" t="n">
        <v>0</v>
      </c>
      <c r="JA9" t="n">
        <v>0</v>
      </c>
      <c r="JB9" t="n">
        <v>0</v>
      </c>
      <c r="JC9" t="n">
        <v>0</v>
      </c>
      <c r="JD9" t="n">
        <v>0</v>
      </c>
      <c r="JE9" t="n">
        <v>0</v>
      </c>
      <c r="JF9" t="n">
        <v>0</v>
      </c>
      <c r="JG9" t="n">
        <v>0</v>
      </c>
      <c r="JH9" t="n">
        <v>0</v>
      </c>
      <c r="JI9" t="n">
        <v>0</v>
      </c>
      <c r="JJ9" t="n">
        <v>0</v>
      </c>
      <c r="JK9" t="n">
        <v>0</v>
      </c>
      <c r="JL9" t="n">
        <v>0</v>
      </c>
      <c r="JM9" t="n">
        <v>0</v>
      </c>
      <c r="JN9" t="n">
        <v>0</v>
      </c>
      <c r="JO9" t="n">
        <v>0</v>
      </c>
      <c r="JP9" t="n">
        <v>0</v>
      </c>
      <c r="JQ9" t="n">
        <v>0</v>
      </c>
      <c r="JR9" t="n">
        <v>0</v>
      </c>
      <c r="JS9" t="n">
        <v>0</v>
      </c>
      <c r="JT9" t="n">
        <v>0</v>
      </c>
      <c r="JU9" t="n">
        <v>0</v>
      </c>
      <c r="JV9" t="n">
        <v>0</v>
      </c>
      <c r="JW9" t="n">
        <v>0</v>
      </c>
      <c r="JX9" t="n">
        <v>0</v>
      </c>
      <c r="JY9" t="n">
        <v>0</v>
      </c>
      <c r="JZ9" t="n">
        <v>0</v>
      </c>
      <c r="KA9" t="n">
        <v>0</v>
      </c>
      <c r="KB9" t="n">
        <v>0</v>
      </c>
      <c r="KC9" t="n">
        <v>0</v>
      </c>
      <c r="KD9" t="n">
        <v>0</v>
      </c>
      <c r="KE9" t="n">
        <v>0</v>
      </c>
      <c r="KF9" t="n">
        <v>0</v>
      </c>
      <c r="KG9" t="n">
        <v>0</v>
      </c>
      <c r="KH9" t="n">
        <v>0</v>
      </c>
      <c r="KI9" t="n">
        <v>0</v>
      </c>
      <c r="KJ9" t="n">
        <v>0</v>
      </c>
      <c r="KK9" t="n">
        <v>0</v>
      </c>
      <c r="KL9" t="n">
        <v>0</v>
      </c>
      <c r="KM9" t="n">
        <v>0</v>
      </c>
      <c r="KN9" t="n">
        <v>0</v>
      </c>
      <c r="KO9" t="n">
        <v>0</v>
      </c>
      <c r="KP9" t="n">
        <v>0</v>
      </c>
      <c r="KQ9" t="n">
        <v>0</v>
      </c>
      <c r="KR9" t="n">
        <v>0</v>
      </c>
      <c r="KS9" t="n">
        <v>0</v>
      </c>
      <c r="KT9" t="n">
        <v>0</v>
      </c>
      <c r="KU9" t="n">
        <v>0</v>
      </c>
      <c r="KV9" t="n">
        <v>0</v>
      </c>
      <c r="KW9" t="n">
        <v>0</v>
      </c>
      <c r="KX9" t="n">
        <v>0</v>
      </c>
      <c r="KY9" t="n">
        <v>0</v>
      </c>
      <c r="KZ9" t="n">
        <v>0</v>
      </c>
      <c r="LA9" t="n">
        <v>0</v>
      </c>
      <c r="LB9" t="n">
        <v>0</v>
      </c>
      <c r="LC9" t="n">
        <v>0</v>
      </c>
      <c r="LD9" t="n">
        <v>0</v>
      </c>
      <c r="LE9" t="n">
        <v>0</v>
      </c>
      <c r="LF9" t="n">
        <v>0</v>
      </c>
      <c r="LG9" t="n">
        <v>0</v>
      </c>
      <c r="LH9" t="n">
        <v>0</v>
      </c>
      <c r="LI9" t="n">
        <v>0</v>
      </c>
      <c r="LJ9" t="n">
        <v>0</v>
      </c>
      <c r="LK9" t="n">
        <v>0</v>
      </c>
      <c r="LL9" t="n">
        <v>0</v>
      </c>
      <c r="LM9" t="n">
        <v>0</v>
      </c>
      <c r="LN9" t="n">
        <v>0</v>
      </c>
      <c r="LO9" t="n">
        <v>0</v>
      </c>
      <c r="LP9" t="n">
        <v>0</v>
      </c>
      <c r="LQ9" t="n">
        <v>0</v>
      </c>
      <c r="LR9" t="n">
        <v>0</v>
      </c>
      <c r="LS9" t="n">
        <v>0</v>
      </c>
      <c r="LT9" t="n">
        <v>0</v>
      </c>
      <c r="LU9" t="n">
        <v>0</v>
      </c>
      <c r="LV9" t="n">
        <v>0</v>
      </c>
      <c r="LW9" t="n">
        <v>0</v>
      </c>
      <c r="LX9" t="n">
        <v>0</v>
      </c>
      <c r="LY9" t="n">
        <v>0</v>
      </c>
      <c r="LZ9" t="n">
        <v>0</v>
      </c>
      <c r="MA9" t="n">
        <v>0</v>
      </c>
      <c r="MB9" t="n">
        <v>0</v>
      </c>
      <c r="MC9" t="n">
        <v>0</v>
      </c>
      <c r="MD9" t="n">
        <v>0</v>
      </c>
      <c r="ME9" t="n">
        <v>0</v>
      </c>
      <c r="MF9" t="n">
        <v>0</v>
      </c>
      <c r="MG9" t="n">
        <v>0</v>
      </c>
      <c r="MH9" t="n">
        <v>0</v>
      </c>
      <c r="MI9" t="n">
        <v>0</v>
      </c>
      <c r="MJ9" t="n">
        <v>0</v>
      </c>
      <c r="MK9" t="n">
        <v>0</v>
      </c>
      <c r="ML9" t="n">
        <v>0</v>
      </c>
      <c r="MM9" t="n">
        <v>0</v>
      </c>
      <c r="MN9" t="n">
        <v>0</v>
      </c>
      <c r="MO9" t="n">
        <v>0</v>
      </c>
      <c r="MP9" t="n">
        <v>0</v>
      </c>
      <c r="MQ9" t="n">
        <v>0</v>
      </c>
      <c r="MR9" t="n">
        <v>0</v>
      </c>
      <c r="MS9" t="n">
        <v>0</v>
      </c>
      <c r="MT9" t="n">
        <v>0</v>
      </c>
      <c r="MU9" t="n">
        <v>0</v>
      </c>
      <c r="MV9" t="n">
        <v>0</v>
      </c>
      <c r="MW9" t="n">
        <v>0</v>
      </c>
      <c r="MX9" t="n">
        <v>0</v>
      </c>
      <c r="MY9" t="n">
        <v>0</v>
      </c>
      <c r="MZ9" t="n">
        <v>0</v>
      </c>
      <c r="NA9" t="n">
        <v>0</v>
      </c>
      <c r="NB9" t="n">
        <v>0</v>
      </c>
      <c r="NC9" t="n">
        <v>0</v>
      </c>
      <c r="ND9" t="n">
        <v>0</v>
      </c>
      <c r="NE9" t="n">
        <v>0</v>
      </c>
      <c r="NF9" t="n">
        <v>0</v>
      </c>
      <c r="NG9" t="n">
        <v>0</v>
      </c>
      <c r="NH9" t="n">
        <v>0</v>
      </c>
      <c r="NI9" t="n">
        <v>0</v>
      </c>
      <c r="NJ9" t="n">
        <v>0</v>
      </c>
      <c r="NK9" t="n">
        <v>0</v>
      </c>
      <c r="NL9" t="n">
        <v>0</v>
      </c>
      <c r="NM9" t="n">
        <v>0</v>
      </c>
      <c r="NN9" t="n">
        <v>0</v>
      </c>
      <c r="NO9" t="n">
        <v>0</v>
      </c>
      <c r="NP9" t="n">
        <v>0</v>
      </c>
      <c r="NQ9" t="n">
        <v>0</v>
      </c>
      <c r="NR9" t="n">
        <v>0</v>
      </c>
      <c r="NS9" t="n">
        <v>0</v>
      </c>
      <c r="NT9" t="n">
        <v>0</v>
      </c>
      <c r="NU9" t="n">
        <v>0</v>
      </c>
      <c r="NV9" t="n">
        <v>0</v>
      </c>
      <c r="NW9" t="n">
        <v>0</v>
      </c>
      <c r="NX9" t="n">
        <v>0</v>
      </c>
      <c r="NY9" t="n">
        <v>0</v>
      </c>
      <c r="NZ9" t="n">
        <v>0</v>
      </c>
      <c r="OA9" t="n">
        <v>0</v>
      </c>
      <c r="OB9" t="n">
        <v>0</v>
      </c>
      <c r="OC9" t="n">
        <v>0</v>
      </c>
      <c r="OD9" t="n">
        <v>0</v>
      </c>
      <c r="OE9" t="n">
        <v>0</v>
      </c>
      <c r="OF9" t="n">
        <v>0</v>
      </c>
      <c r="OG9" t="n">
        <v>0</v>
      </c>
      <c r="OH9" t="n">
        <v>0</v>
      </c>
      <c r="OI9" t="n">
        <v>0</v>
      </c>
      <c r="OJ9" t="n">
        <v>0</v>
      </c>
      <c r="OK9" t="n">
        <v>0</v>
      </c>
      <c r="OL9" t="n">
        <v>0</v>
      </c>
      <c r="OM9" t="n">
        <v>0</v>
      </c>
      <c r="ON9" t="n">
        <v>0</v>
      </c>
      <c r="OO9" t="n">
        <v>0</v>
      </c>
      <c r="OP9" t="n">
        <v>0</v>
      </c>
      <c r="OQ9" t="n">
        <v>0</v>
      </c>
      <c r="OR9" t="n">
        <v>0</v>
      </c>
      <c r="OS9" t="n">
        <v>0</v>
      </c>
      <c r="OT9" t="n">
        <v>0</v>
      </c>
      <c r="OU9" t="n">
        <v>0</v>
      </c>
      <c r="OV9" t="n">
        <v>0</v>
      </c>
      <c r="OW9" t="n">
        <v>0</v>
      </c>
      <c r="OX9" t="n">
        <v>0</v>
      </c>
      <c r="OY9" t="n">
        <v>0</v>
      </c>
      <c r="OZ9" t="n">
        <v>0</v>
      </c>
      <c r="PA9" t="n">
        <v>0</v>
      </c>
      <c r="PB9" t="n">
        <v>0</v>
      </c>
      <c r="PC9" t="n">
        <v>0</v>
      </c>
      <c r="PD9" t="n">
        <v>0</v>
      </c>
      <c r="PE9" t="n">
        <v>0</v>
      </c>
      <c r="PF9" t="n">
        <v>0</v>
      </c>
      <c r="PG9" t="n">
        <v>0</v>
      </c>
      <c r="PH9" t="n">
        <v>0</v>
      </c>
      <c r="PI9" t="n">
        <v>0</v>
      </c>
      <c r="PJ9" t="n">
        <v>0</v>
      </c>
      <c r="PK9" t="n">
        <v>0</v>
      </c>
      <c r="PL9" t="n">
        <v>0</v>
      </c>
      <c r="PM9" t="n">
        <v>0</v>
      </c>
      <c r="PN9" t="n">
        <v>0</v>
      </c>
      <c r="PO9" t="n">
        <v>0</v>
      </c>
      <c r="PP9" t="n">
        <v>0</v>
      </c>
      <c r="PQ9" t="n">
        <v>0</v>
      </c>
      <c r="PR9" t="n">
        <v>0</v>
      </c>
      <c r="PS9" t="n">
        <v>0</v>
      </c>
      <c r="PT9" t="n">
        <v>0</v>
      </c>
      <c r="PU9" t="n">
        <v>0</v>
      </c>
      <c r="PV9" t="n">
        <v>0</v>
      </c>
      <c r="PW9" t="n">
        <v>0</v>
      </c>
      <c r="PX9" t="n">
        <v>0</v>
      </c>
      <c r="PY9" t="n">
        <v>0</v>
      </c>
      <c r="PZ9" t="n">
        <v>0</v>
      </c>
      <c r="QA9" t="n">
        <v>0</v>
      </c>
      <c r="QB9" t="n">
        <v>0</v>
      </c>
      <c r="QC9" t="n">
        <v>0</v>
      </c>
      <c r="QD9" t="n">
        <v>0</v>
      </c>
      <c r="QE9" t="n">
        <v>0</v>
      </c>
      <c r="QF9" t="n">
        <v>0</v>
      </c>
      <c r="QG9" t="n">
        <v>0</v>
      </c>
      <c r="QH9" t="n">
        <v>0</v>
      </c>
      <c r="QI9" t="n">
        <v>0</v>
      </c>
      <c r="QJ9" t="n">
        <v>0</v>
      </c>
      <c r="QK9" t="n">
        <v>0</v>
      </c>
      <c r="QL9" t="n">
        <v>0</v>
      </c>
      <c r="QM9" t="n">
        <v>0</v>
      </c>
      <c r="QN9" t="n">
        <v>0</v>
      </c>
      <c r="QO9" t="n">
        <v>0</v>
      </c>
      <c r="QP9" t="n">
        <v>0</v>
      </c>
      <c r="QQ9" t="n">
        <v>0</v>
      </c>
      <c r="QR9" t="n">
        <v>0</v>
      </c>
      <c r="QS9" t="n">
        <v>0</v>
      </c>
      <c r="QT9" t="n">
        <v>0</v>
      </c>
      <c r="QU9" t="n">
        <v>0</v>
      </c>
      <c r="QV9" t="n">
        <v>0</v>
      </c>
      <c r="QW9" t="n">
        <v>0</v>
      </c>
      <c r="QX9" t="n">
        <v>0</v>
      </c>
      <c r="QY9" t="n">
        <v>0</v>
      </c>
      <c r="QZ9" t="n">
        <v>0</v>
      </c>
      <c r="RA9" t="n">
        <v>0</v>
      </c>
      <c r="RB9" t="n">
        <v>0</v>
      </c>
      <c r="RC9" t="n">
        <v>0</v>
      </c>
      <c r="RD9" t="n">
        <v>0</v>
      </c>
      <c r="RE9" t="n">
        <v>0</v>
      </c>
      <c r="RF9" t="n">
        <v>0</v>
      </c>
      <c r="RG9" t="n">
        <v>0</v>
      </c>
      <c r="RH9" t="n">
        <v>0</v>
      </c>
      <c r="RI9" t="n">
        <v>0</v>
      </c>
      <c r="RJ9" t="n">
        <v>0</v>
      </c>
      <c r="RK9" t="n">
        <v>0</v>
      </c>
      <c r="RL9" t="n">
        <v>0</v>
      </c>
      <c r="RM9" t="n">
        <v>0</v>
      </c>
      <c r="RN9" t="n">
        <v>0</v>
      </c>
      <c r="RO9" t="n">
        <v>0</v>
      </c>
      <c r="RP9" t="n">
        <v>0</v>
      </c>
      <c r="RQ9" t="n">
        <v>0</v>
      </c>
      <c r="RR9" t="n">
        <v>0</v>
      </c>
      <c r="RS9" t="n">
        <v>0</v>
      </c>
      <c r="RT9" t="n">
        <v>0</v>
      </c>
      <c r="RU9" t="n">
        <v>0</v>
      </c>
      <c r="RV9" t="n">
        <v>0</v>
      </c>
      <c r="RW9" t="n">
        <v>0</v>
      </c>
      <c r="RX9" t="n">
        <v>0</v>
      </c>
      <c r="RY9" t="n">
        <v>0</v>
      </c>
      <c r="RZ9" t="n">
        <v>0</v>
      </c>
      <c r="SA9" t="n">
        <v>0</v>
      </c>
      <c r="SB9" t="n">
        <v>0</v>
      </c>
      <c r="SC9" t="n">
        <v>0</v>
      </c>
      <c r="SD9" t="n">
        <v>0</v>
      </c>
      <c r="SE9" t="n">
        <v>0</v>
      </c>
      <c r="SF9" t="n">
        <v>0</v>
      </c>
      <c r="SG9" t="n">
        <v>0</v>
      </c>
      <c r="SH9" t="n">
        <v>0</v>
      </c>
      <c r="SI9" t="n">
        <v>0</v>
      </c>
      <c r="SJ9" t="n">
        <v>0</v>
      </c>
      <c r="SK9" t="n">
        <v>0</v>
      </c>
      <c r="SL9" t="n">
        <v>0</v>
      </c>
      <c r="SM9" t="n">
        <v>0</v>
      </c>
      <c r="SN9" t="n">
        <v>0</v>
      </c>
      <c r="SO9" t="n">
        <v>0</v>
      </c>
      <c r="SP9" t="n">
        <v>0</v>
      </c>
      <c r="SQ9" t="n">
        <v>0</v>
      </c>
      <c r="SR9" t="n">
        <v>0</v>
      </c>
      <c r="SS9" t="n">
        <v>0</v>
      </c>
      <c r="ST9" t="n">
        <v>0</v>
      </c>
      <c r="SU9" t="n">
        <v>0</v>
      </c>
      <c r="SV9" t="n">
        <v>0</v>
      </c>
      <c r="SW9" t="n">
        <v>0</v>
      </c>
      <c r="SX9" t="n">
        <v>0</v>
      </c>
      <c r="SY9" t="n">
        <v>0</v>
      </c>
      <c r="SZ9" t="n">
        <v>0</v>
      </c>
      <c r="TA9" t="n">
        <v>0</v>
      </c>
      <c r="TB9" t="n">
        <v>0</v>
      </c>
      <c r="TC9" t="n">
        <v>0</v>
      </c>
      <c r="TD9" t="n">
        <v>0</v>
      </c>
      <c r="TE9" t="n">
        <v>0</v>
      </c>
      <c r="TF9" t="n">
        <v>0</v>
      </c>
      <c r="TG9" t="n">
        <v>0</v>
      </c>
      <c r="TH9" t="n">
        <v>0</v>
      </c>
      <c r="TI9" t="n">
        <v>0</v>
      </c>
      <c r="TJ9" t="n">
        <v>0</v>
      </c>
      <c r="TK9" t="n">
        <v>0</v>
      </c>
      <c r="TL9" t="n">
        <v>0</v>
      </c>
      <c r="TM9" t="n">
        <v>0</v>
      </c>
      <c r="TN9" t="n">
        <v>0</v>
      </c>
      <c r="TO9" t="n">
        <v>0</v>
      </c>
      <c r="TP9" t="n">
        <v>0</v>
      </c>
      <c r="TQ9" t="n">
        <v>0</v>
      </c>
      <c r="TR9" t="n">
        <v>0</v>
      </c>
      <c r="TS9" t="n">
        <v>0</v>
      </c>
      <c r="TT9" t="n">
        <v>0</v>
      </c>
      <c r="TU9" t="n">
        <v>0</v>
      </c>
      <c r="TV9" t="n">
        <v>0</v>
      </c>
      <c r="TW9" t="n">
        <v>0</v>
      </c>
      <c r="TX9" t="n">
        <v>0</v>
      </c>
      <c r="TY9" t="n">
        <v>0</v>
      </c>
      <c r="TZ9" t="n">
        <v>0</v>
      </c>
      <c r="UA9" t="n">
        <v>0</v>
      </c>
      <c r="UB9" t="n">
        <v>0</v>
      </c>
      <c r="UC9" t="n">
        <v>0</v>
      </c>
      <c r="UD9" t="n">
        <v>0</v>
      </c>
      <c r="UE9" t="n">
        <v>0</v>
      </c>
      <c r="UF9" t="n">
        <v>0</v>
      </c>
      <c r="UG9" t="n">
        <v>0</v>
      </c>
      <c r="UH9" t="n">
        <v>0</v>
      </c>
      <c r="UI9" t="n">
        <v>0</v>
      </c>
      <c r="UJ9" t="n">
        <v>0</v>
      </c>
      <c r="UK9" t="n">
        <v>0</v>
      </c>
      <c r="UL9" t="n">
        <v>0</v>
      </c>
      <c r="UM9" t="n">
        <v>0</v>
      </c>
      <c r="UN9" t="n">
        <v>0</v>
      </c>
      <c r="UO9" t="n">
        <v>0</v>
      </c>
      <c r="UP9" t="n">
        <v>0</v>
      </c>
      <c r="UQ9" t="n">
        <v>0</v>
      </c>
      <c r="UR9" t="n">
        <v>0</v>
      </c>
      <c r="US9" t="n">
        <v>0</v>
      </c>
      <c r="UT9" t="n">
        <v>0</v>
      </c>
      <c r="UU9" t="n">
        <v>0</v>
      </c>
      <c r="UV9" t="n">
        <v>0</v>
      </c>
      <c r="UW9" t="n">
        <v>0</v>
      </c>
      <c r="UX9" t="n">
        <v>0</v>
      </c>
      <c r="UY9" t="n">
        <v>0</v>
      </c>
      <c r="UZ9" t="n">
        <v>0</v>
      </c>
      <c r="VA9" t="n">
        <v>0</v>
      </c>
      <c r="VB9" t="n">
        <v>0</v>
      </c>
      <c r="VC9" t="n">
        <v>0</v>
      </c>
      <c r="VD9" t="n">
        <v>0</v>
      </c>
      <c r="VE9" t="n">
        <v>0</v>
      </c>
      <c r="VF9" t="n">
        <v>0</v>
      </c>
      <c r="VG9" t="n">
        <v>0</v>
      </c>
      <c r="VH9" t="n">
        <v>0</v>
      </c>
      <c r="VI9" t="n">
        <v>0</v>
      </c>
      <c r="VJ9" t="n">
        <v>0</v>
      </c>
      <c r="VK9" t="n">
        <v>0</v>
      </c>
      <c r="VL9" t="n">
        <v>0</v>
      </c>
      <c r="VM9" t="n">
        <v>0</v>
      </c>
      <c r="VN9" t="n">
        <v>0</v>
      </c>
      <c r="VO9" t="n">
        <v>0</v>
      </c>
      <c r="VP9" t="n">
        <v>0</v>
      </c>
      <c r="VQ9" t="n">
        <v>0</v>
      </c>
      <c r="VR9" t="n">
        <v>0</v>
      </c>
      <c r="VS9" t="n">
        <v>0</v>
      </c>
      <c r="VT9" t="n">
        <v>0</v>
      </c>
      <c r="VU9" t="n">
        <v>0</v>
      </c>
      <c r="VV9" t="n">
        <v>0</v>
      </c>
      <c r="VW9" t="n">
        <v>0</v>
      </c>
      <c r="VX9" t="n">
        <v>0</v>
      </c>
      <c r="VY9" t="n">
        <v>0</v>
      </c>
      <c r="VZ9" t="n">
        <v>0</v>
      </c>
      <c r="WA9" t="n">
        <v>0</v>
      </c>
      <c r="WB9" t="n">
        <v>0</v>
      </c>
      <c r="WC9" t="n">
        <v>0</v>
      </c>
      <c r="WD9" t="n">
        <v>0</v>
      </c>
      <c r="WE9" t="n">
        <v>0</v>
      </c>
      <c r="WF9" t="n">
        <v>0</v>
      </c>
      <c r="WG9" t="n">
        <v>0</v>
      </c>
      <c r="WH9" t="n">
        <v>0</v>
      </c>
      <c r="WI9" t="n">
        <v>0</v>
      </c>
      <c r="WJ9" t="n">
        <v>0</v>
      </c>
      <c r="WK9" t="n">
        <v>0</v>
      </c>
      <c r="WL9" t="n">
        <v>0</v>
      </c>
      <c r="WM9" t="n">
        <v>0</v>
      </c>
      <c r="WN9" t="n">
        <v>0</v>
      </c>
      <c r="WO9" t="n">
        <v>0</v>
      </c>
      <c r="WP9" t="n">
        <v>0</v>
      </c>
      <c r="WQ9" t="n">
        <v>0</v>
      </c>
      <c r="WR9" t="n">
        <v>0</v>
      </c>
      <c r="WS9" t="n">
        <v>0</v>
      </c>
      <c r="WT9" t="n">
        <v>0</v>
      </c>
      <c r="WU9" t="n">
        <v>0</v>
      </c>
      <c r="WV9" t="n">
        <v>0</v>
      </c>
      <c r="WW9" t="n">
        <v>0</v>
      </c>
      <c r="WX9" t="n">
        <v>0</v>
      </c>
      <c r="WY9" t="n">
        <v>0</v>
      </c>
      <c r="WZ9" t="n">
        <v>0</v>
      </c>
      <c r="XA9" t="n">
        <v>0</v>
      </c>
      <c r="XB9" t="n">
        <v>0</v>
      </c>
      <c r="XC9" t="n">
        <v>0</v>
      </c>
      <c r="XD9" t="n">
        <v>0</v>
      </c>
      <c r="XE9" t="n">
        <v>0</v>
      </c>
      <c r="XF9" t="n">
        <v>0</v>
      </c>
      <c r="XG9" t="n">
        <v>0</v>
      </c>
      <c r="XH9" t="n">
        <v>0</v>
      </c>
      <c r="XI9" t="n">
        <v>0</v>
      </c>
      <c r="XJ9" t="n">
        <v>0</v>
      </c>
      <c r="XK9" t="n">
        <v>0</v>
      </c>
      <c r="XL9" t="n">
        <v>0</v>
      </c>
      <c r="XM9" t="n">
        <v>0</v>
      </c>
      <c r="XN9" t="n">
        <v>0</v>
      </c>
      <c r="XO9" t="n">
        <v>0</v>
      </c>
      <c r="XP9" t="n">
        <v>0</v>
      </c>
      <c r="XQ9" t="n">
        <v>0</v>
      </c>
      <c r="XR9" t="n">
        <v>0</v>
      </c>
      <c r="XS9" t="n">
        <v>0</v>
      </c>
      <c r="XT9" t="n">
        <v>0</v>
      </c>
      <c r="XU9" t="n">
        <v>0</v>
      </c>
      <c r="XV9" t="n">
        <v>0</v>
      </c>
      <c r="XW9" t="n">
        <v>0</v>
      </c>
      <c r="XX9" t="n">
        <v>0</v>
      </c>
      <c r="XY9" t="n">
        <v>0</v>
      </c>
      <c r="XZ9" t="n">
        <v>0</v>
      </c>
      <c r="YA9" t="n">
        <v>0</v>
      </c>
      <c r="YB9" t="n">
        <v>0</v>
      </c>
      <c r="YC9" t="n">
        <v>0</v>
      </c>
      <c r="YD9" t="n">
        <v>0</v>
      </c>
      <c r="YE9" t="n">
        <v>0</v>
      </c>
      <c r="YF9" t="n">
        <v>0</v>
      </c>
      <c r="YG9" t="n">
        <v>0</v>
      </c>
      <c r="KFK9" s="253" t="n"/>
      <c r="KFL9" s="253" t="n"/>
      <c r="KFM9" s="253" t="n"/>
      <c r="KFN9" s="253" t="n"/>
      <c r="KFO9" s="253" t="n"/>
      <c r="KFP9" s="253" t="n"/>
      <c r="KFQ9" s="253" t="n"/>
      <c r="KFR9" s="253" t="n"/>
      <c r="KFS9" s="253" t="n"/>
      <c r="KFT9" s="253" t="n"/>
      <c r="KFU9" s="253" t="n"/>
      <c r="KFV9" s="253" t="n"/>
      <c r="KFW9" s="253" t="n"/>
      <c r="KFX9" s="253" t="n"/>
      <c r="KFY9" s="253" t="n"/>
      <c r="KFZ9" s="253" t="n"/>
      <c r="KGA9" s="253" t="n"/>
      <c r="KGB9" s="253" t="n"/>
      <c r="KGC9" s="253" t="n"/>
      <c r="KGD9" s="253" t="n"/>
      <c r="KGE9" s="253" t="n"/>
      <c r="KGF9" s="253" t="n"/>
      <c r="KGG9" s="253" t="n"/>
      <c r="KGH9" s="253" t="n"/>
      <c r="KGI9" s="253" t="n"/>
      <c r="KGJ9" s="253" t="n"/>
      <c r="KGK9" s="253" t="n"/>
      <c r="KGL9" s="253" t="n"/>
      <c r="KGM9" s="253" t="n"/>
      <c r="KGN9" s="253" t="n"/>
      <c r="KGO9" s="253" t="n"/>
      <c r="KGP9" s="253" t="n"/>
      <c r="KGQ9" s="253" t="n"/>
      <c r="KGR9" s="253" t="n"/>
      <c r="KGS9" s="253" t="n"/>
      <c r="KGT9" s="253" t="n"/>
      <c r="KGU9" s="253" t="n"/>
      <c r="KGV9" s="253" t="n"/>
      <c r="KGW9" s="253" t="n"/>
      <c r="KGX9" s="253" t="n"/>
      <c r="KGY9" s="253" t="n"/>
      <c r="KGZ9" s="253" t="n"/>
      <c r="KHA9" s="253" t="n"/>
      <c r="KHB9" s="253" t="n"/>
      <c r="KHC9" s="253" t="n"/>
      <c r="KHD9" s="253" t="n"/>
      <c r="KHE9" s="253" t="n"/>
      <c r="KHF9" s="253" t="n"/>
      <c r="KHG9" s="253" t="n"/>
      <c r="KHH9" s="253" t="n"/>
      <c r="KHI9" s="253" t="n"/>
      <c r="KHJ9" s="253" t="n"/>
      <c r="KHK9" s="253" t="n"/>
      <c r="KHL9" s="253" t="n"/>
      <c r="KHM9" s="253" t="n"/>
      <c r="KHN9" s="253" t="n"/>
      <c r="KHO9" s="253" t="n"/>
      <c r="KHP9" s="253" t="n"/>
      <c r="KHQ9" s="253" t="n"/>
      <c r="KHR9" s="253" t="n"/>
      <c r="KHS9" s="253" t="n"/>
      <c r="KHT9" s="253" t="n"/>
      <c r="KHU9" s="253" t="n"/>
      <c r="KHV9" s="253" t="n"/>
      <c r="KHW9" s="253" t="n"/>
      <c r="KHX9" s="253" t="n"/>
      <c r="KHY9" s="253" t="n"/>
      <c r="KHZ9" s="253" t="n"/>
      <c r="KIA9" s="253" t="n"/>
      <c r="KIB9" s="253" t="n"/>
      <c r="KIC9" s="253" t="n"/>
      <c r="KID9" s="253" t="n"/>
      <c r="KIE9" s="253" t="n"/>
      <c r="KIF9" s="253" t="n"/>
      <c r="KIG9" s="253" t="n"/>
      <c r="KIH9" s="253" t="n"/>
      <c r="KII9" s="253" t="n"/>
      <c r="KIJ9" s="253" t="n"/>
      <c r="KIK9" s="253" t="n"/>
      <c r="KIL9" s="253" t="n"/>
      <c r="KIM9" s="253" t="n"/>
      <c r="KIN9" s="253" t="n"/>
      <c r="KIO9" s="253" t="n"/>
      <c r="KIP9" s="253" t="n"/>
      <c r="KIQ9" s="253" t="n"/>
      <c r="KIR9" s="253" t="n"/>
      <c r="KIS9" s="253" t="n"/>
      <c r="KIT9" s="253" t="n"/>
      <c r="KIU9" s="253" t="n"/>
      <c r="KIV9" s="253" t="n"/>
      <c r="KIW9" s="253" t="n"/>
      <c r="KIX9" s="253" t="n"/>
      <c r="KIY9" s="253" t="n"/>
      <c r="KIZ9" s="253" t="n"/>
      <c r="KJA9" s="253" t="n"/>
      <c r="KJB9" s="253" t="n"/>
      <c r="KJC9" s="253" t="n"/>
      <c r="KJD9" s="253" t="n"/>
      <c r="KJE9" s="253" t="n"/>
      <c r="KJF9" s="253" t="n"/>
      <c r="KJG9" s="253" t="n"/>
      <c r="KJH9" s="253" t="n"/>
      <c r="KJI9" s="253" t="n"/>
      <c r="KJJ9" s="253" t="n"/>
      <c r="KJK9" s="253" t="n"/>
      <c r="KJL9" s="253" t="n"/>
      <c r="KJM9" s="253" t="n"/>
      <c r="KJN9" s="253" t="n"/>
      <c r="KJO9" s="253" t="n"/>
      <c r="KJP9" s="253" t="n"/>
      <c r="KJQ9" s="253" t="n"/>
      <c r="KJR9" s="253" t="n"/>
      <c r="KJS9" s="253" t="n"/>
      <c r="KJT9" s="253" t="n"/>
      <c r="KJU9" s="253" t="n"/>
      <c r="KJV9" s="253" t="n"/>
      <c r="KJW9" s="253" t="n"/>
      <c r="KJX9" s="253" t="n"/>
      <c r="KJY9" s="253" t="n"/>
      <c r="KJZ9" s="253" t="n"/>
      <c r="KKA9" s="253" t="n"/>
      <c r="KKB9" s="253" t="n"/>
      <c r="KKC9" s="253" t="n"/>
      <c r="KKD9" s="253" t="n"/>
      <c r="KKE9" s="253" t="n"/>
      <c r="KKF9" s="253" t="n"/>
      <c r="KKG9" s="253" t="n"/>
      <c r="KKH9" s="253" t="n"/>
      <c r="KKI9" s="253" t="n"/>
      <c r="KKJ9" s="253" t="n"/>
      <c r="KKK9" s="253" t="n"/>
      <c r="KKL9" s="253" t="n"/>
      <c r="KKM9" s="253" t="n"/>
      <c r="KKN9" s="253" t="n"/>
      <c r="KKO9" s="253" t="n"/>
      <c r="KKP9" s="253" t="n"/>
      <c r="KKQ9" s="253" t="n"/>
      <c r="KKR9" s="253" t="n"/>
      <c r="KKS9" s="253" t="n"/>
      <c r="KKT9" s="253" t="n"/>
      <c r="KKU9" s="253" t="n"/>
      <c r="KKV9" s="253" t="n"/>
      <c r="KKW9" s="253" t="n"/>
      <c r="KKX9" s="253" t="n"/>
      <c r="KKY9" s="253" t="n"/>
      <c r="KKZ9" s="253" t="n"/>
      <c r="KLA9" s="253" t="n"/>
      <c r="KLB9" s="253" t="n"/>
      <c r="KLC9" s="253" t="n"/>
      <c r="KLD9" s="253" t="n"/>
      <c r="KLE9" s="253" t="n"/>
      <c r="KLF9" s="253" t="n"/>
      <c r="KLG9" s="253" t="n"/>
      <c r="KLH9" s="253" t="n"/>
      <c r="KLI9" s="253" t="n"/>
      <c r="KLJ9" s="253" t="n"/>
      <c r="KLK9" s="253" t="n"/>
      <c r="KLL9" s="253" t="n"/>
      <c r="KLM9" s="253" t="n"/>
      <c r="KLN9" s="253" t="n"/>
      <c r="KLO9" s="253" t="n"/>
      <c r="KLP9" s="253" t="n"/>
      <c r="KLQ9" s="253" t="n"/>
      <c r="KLR9" s="253" t="n"/>
      <c r="KLS9" s="253" t="n"/>
      <c r="KLT9" s="253" t="n"/>
      <c r="KLU9" s="253" t="n"/>
      <c r="KLV9" s="253" t="n"/>
      <c r="KLW9" s="253" t="n"/>
      <c r="KLX9" s="253" t="n"/>
      <c r="KLY9" s="253" t="n"/>
      <c r="KLZ9" s="253" t="n"/>
      <c r="KMA9" s="253" t="n"/>
      <c r="KMB9" s="253" t="n"/>
      <c r="KMC9" s="253" t="n"/>
      <c r="KMD9" s="253" t="n"/>
      <c r="KME9" s="253" t="n"/>
      <c r="KMF9" s="253" t="n"/>
      <c r="KMG9" s="253" t="n"/>
      <c r="KMH9" s="253" t="n"/>
      <c r="KMI9" s="253" t="n"/>
      <c r="KMJ9" s="253" t="n"/>
      <c r="KMK9" s="253" t="n"/>
      <c r="KML9" s="253" t="n"/>
      <c r="KMM9" s="253" t="n"/>
      <c r="KMN9" s="253" t="n"/>
      <c r="KMO9" s="253" t="n"/>
      <c r="KMP9" s="253" t="n"/>
      <c r="KMQ9" s="253" t="n"/>
      <c r="KMR9" s="253" t="n"/>
      <c r="KMS9" s="253" t="n"/>
      <c r="KMT9" s="253" t="n"/>
      <c r="KMU9" s="253" t="n"/>
      <c r="KMV9" s="253" t="n"/>
      <c r="KMW9" s="253" t="n"/>
      <c r="KMX9" s="253" t="n"/>
      <c r="KMY9" s="253" t="n"/>
      <c r="KMZ9" s="253" t="n"/>
      <c r="KNA9" s="253" t="n"/>
      <c r="KNB9" s="253" t="n"/>
      <c r="KNC9" s="253" t="n"/>
      <c r="KND9" s="253" t="n"/>
      <c r="KNE9" s="253" t="n"/>
      <c r="KNF9" s="253" t="n"/>
      <c r="KNG9" s="253" t="n"/>
      <c r="KNH9" s="253" t="n"/>
      <c r="KNI9" s="253" t="n"/>
      <c r="KNJ9" s="253" t="n"/>
      <c r="KNK9" s="253" t="n"/>
      <c r="KNL9" s="253" t="n"/>
      <c r="KNM9" s="253" t="n"/>
      <c r="KNN9" s="253" t="n"/>
      <c r="KNO9" s="253" t="n"/>
      <c r="KNP9" s="253" t="n"/>
      <c r="KNQ9" s="253" t="n"/>
      <c r="KNR9" s="253" t="n"/>
      <c r="KNS9" s="253" t="n"/>
      <c r="KNT9" s="253" t="n"/>
      <c r="KNU9" s="253" t="n"/>
      <c r="KNV9" s="253" t="n"/>
      <c r="KNW9" s="253" t="n"/>
      <c r="KNX9" s="253" t="n"/>
      <c r="KNY9" s="253" t="n"/>
      <c r="KNZ9" s="253" t="n"/>
      <c r="KOA9" s="253" t="n"/>
      <c r="KOB9" s="253" t="n"/>
      <c r="KOC9" s="253" t="n"/>
      <c r="KOD9" s="253" t="n"/>
      <c r="KOE9" s="253" t="n"/>
      <c r="KOF9" s="253" t="n"/>
      <c r="KOG9" s="253" t="n"/>
      <c r="KOH9" s="253" t="n"/>
      <c r="KOI9" s="253" t="n"/>
      <c r="KOJ9" s="253" t="n"/>
      <c r="KOK9" s="253" t="n"/>
      <c r="KOL9" s="253" t="n"/>
      <c r="KOM9" s="253" t="n"/>
      <c r="KON9" s="253" t="n"/>
      <c r="KOO9" s="253" t="n"/>
      <c r="KOP9" s="253" t="n"/>
      <c r="KOQ9" s="253" t="n"/>
      <c r="KOR9" s="253" t="n"/>
      <c r="KOS9" s="253" t="n"/>
      <c r="KOT9" s="253" t="n"/>
      <c r="KOU9" s="253" t="n"/>
      <c r="KOV9" s="253" t="n"/>
      <c r="KOW9" s="253" t="n"/>
      <c r="KOX9" s="253" t="n"/>
      <c r="KOY9" s="253" t="n"/>
      <c r="KOZ9" s="253" t="n"/>
      <c r="KPA9" s="253" t="n"/>
      <c r="KPB9" s="253" t="n"/>
      <c r="KPC9" s="253" t="n"/>
      <c r="KPD9" s="253" t="n"/>
      <c r="KPE9" s="253" t="n"/>
      <c r="KPF9" s="253" t="n"/>
      <c r="KPG9" s="253" t="n"/>
      <c r="KPH9" s="253" t="n"/>
      <c r="KPI9" s="253" t="n"/>
      <c r="KPJ9" s="253" t="n"/>
      <c r="KPK9" s="253" t="n"/>
      <c r="KPL9" s="253" t="n"/>
      <c r="KPM9" s="253" t="n"/>
      <c r="KPN9" s="253" t="n"/>
      <c r="KPO9" s="253" t="n"/>
      <c r="KPP9" s="253" t="n"/>
      <c r="KPQ9" s="253" t="n"/>
      <c r="KPR9" s="253" t="n"/>
      <c r="KPS9" s="253" t="n"/>
      <c r="KPT9" s="253" t="n"/>
      <c r="KPU9" s="253" t="n"/>
      <c r="KPV9" s="253" t="n"/>
      <c r="KPW9" s="253" t="n"/>
      <c r="KPX9" s="253" t="n"/>
      <c r="KPY9" s="253" t="n"/>
      <c r="KPZ9" s="253" t="n"/>
      <c r="KQA9" s="253" t="n"/>
      <c r="KQB9" s="253" t="n"/>
      <c r="KQC9" s="253" t="n"/>
      <c r="KQD9" s="253" t="n"/>
      <c r="KQE9" s="253" t="n"/>
      <c r="KQF9" s="253" t="n"/>
      <c r="KQG9" s="253" t="n"/>
      <c r="KQH9" s="253" t="n"/>
      <c r="KQI9" s="253" t="n"/>
      <c r="KQJ9" s="253" t="n"/>
      <c r="KQK9" s="253" t="n"/>
      <c r="KQL9" s="253" t="n"/>
      <c r="KQM9" s="253" t="n"/>
      <c r="KQN9" s="253" t="n"/>
      <c r="KQO9" s="253" t="n"/>
      <c r="KQP9" s="253" t="n"/>
      <c r="KQQ9" s="253" t="n"/>
      <c r="KQR9" s="253" t="n"/>
      <c r="KQS9" s="253" t="n"/>
      <c r="KQT9" s="253" t="n"/>
      <c r="KQU9" s="253" t="n"/>
      <c r="KQV9" s="253" t="n"/>
      <c r="KQW9" s="253" t="n"/>
      <c r="KQX9" s="253" t="n"/>
      <c r="KQY9" s="253" t="n"/>
      <c r="KQZ9" s="253" t="n"/>
      <c r="KRA9" s="253" t="n"/>
      <c r="KRB9" s="253" t="n"/>
      <c r="KRC9" s="253" t="n"/>
      <c r="KRD9" s="253" t="n"/>
      <c r="KRE9" s="253" t="n"/>
      <c r="KRF9" s="253" t="n"/>
      <c r="KRG9" s="253" t="n"/>
      <c r="KRH9" s="253" t="n"/>
      <c r="KRI9" s="253" t="n"/>
      <c r="KRJ9" s="253" t="n"/>
      <c r="KRK9" s="253" t="n"/>
      <c r="KRL9" s="253" t="n"/>
      <c r="KRM9" s="253" t="n"/>
      <c r="KRN9" s="253" t="n"/>
      <c r="KRO9" s="253" t="n"/>
      <c r="KRP9" s="253" t="n"/>
      <c r="KRQ9" s="253" t="n"/>
      <c r="KRR9" s="253" t="n"/>
      <c r="KRS9" s="253" t="n"/>
      <c r="KRT9" s="253" t="n"/>
      <c r="KRU9" s="253" t="n"/>
      <c r="KRV9" s="253" t="n"/>
      <c r="KRW9" s="253" t="n"/>
      <c r="KRX9" s="253" t="n"/>
      <c r="KRY9" s="253" t="n"/>
      <c r="KRZ9" s="253" t="n"/>
      <c r="KSA9" s="253" t="n"/>
      <c r="KSB9" s="253" t="n"/>
      <c r="KSC9" s="253" t="n"/>
      <c r="KSD9" s="253" t="n"/>
      <c r="KSE9" s="253" t="n"/>
      <c r="KSF9" s="253" t="n"/>
      <c r="KSG9" s="253" t="n"/>
      <c r="KSH9" s="253" t="n"/>
      <c r="KSI9" s="253" t="n"/>
      <c r="KSJ9" s="253" t="n"/>
      <c r="KSK9" s="253" t="n"/>
      <c r="KSL9" s="253" t="n"/>
      <c r="KSM9" s="253" t="n"/>
      <c r="KSN9" s="253" t="n"/>
      <c r="KSO9" s="253" t="n"/>
      <c r="KSP9" s="253" t="n"/>
      <c r="KSQ9" s="253" t="n"/>
      <c r="KSR9" s="253" t="n"/>
      <c r="KSS9" s="253" t="n"/>
      <c r="KST9" s="253" t="n"/>
      <c r="KSU9" s="253" t="n"/>
      <c r="KSV9" s="253" t="n"/>
      <c r="KSW9" s="253" t="n"/>
      <c r="KSX9" s="253" t="n"/>
      <c r="KSY9" s="253" t="n"/>
      <c r="KSZ9" s="253" t="n"/>
      <c r="KTA9" s="253" t="n"/>
      <c r="KTB9" s="253" t="n"/>
      <c r="KTC9" s="253" t="n"/>
      <c r="KTD9" s="253" t="n"/>
      <c r="KTE9" s="253" t="n"/>
      <c r="KTF9" s="253" t="n"/>
      <c r="KTG9" s="253" t="n"/>
      <c r="KTH9" s="253" t="n"/>
      <c r="KTI9" s="253" t="n"/>
      <c r="KTJ9" s="253" t="n"/>
      <c r="KTK9" s="253" t="n"/>
      <c r="KTL9" s="253" t="n"/>
      <c r="KTM9" s="253" t="n"/>
      <c r="KTN9" s="253" t="n"/>
      <c r="KTO9" s="253" t="n"/>
      <c r="KTP9" s="253" t="n"/>
      <c r="KTQ9" s="253" t="n"/>
      <c r="KTR9" s="253" t="n"/>
      <c r="KTS9" s="253" t="n"/>
      <c r="KTT9" s="253" t="n"/>
      <c r="KTU9" s="253" t="n"/>
      <c r="KTV9" s="253" t="n"/>
      <c r="KTW9" s="253" t="n"/>
      <c r="KTX9" s="253" t="n"/>
      <c r="KTY9" s="253" t="n"/>
      <c r="KTZ9" s="253" t="n"/>
      <c r="KUA9" s="253" t="n"/>
      <c r="KUB9" s="253" t="n"/>
      <c r="KUC9" s="253" t="n"/>
      <c r="KUD9" s="253" t="n"/>
      <c r="KUE9" s="253" t="n"/>
      <c r="KUF9" s="253" t="n"/>
      <c r="KUG9" s="253" t="n"/>
      <c r="KUH9" s="253" t="n"/>
      <c r="KUI9" s="253" t="n"/>
      <c r="KUJ9" s="253" t="n"/>
      <c r="KUK9" s="253" t="n"/>
      <c r="KUL9" s="253" t="n"/>
      <c r="KUM9" s="253" t="n"/>
      <c r="KUN9" s="253" t="n"/>
      <c r="KUO9" s="253" t="n"/>
      <c r="KUP9" s="253" t="n"/>
      <c r="KUQ9" s="253" t="n"/>
      <c r="KUR9" s="253" t="n"/>
      <c r="KUS9" s="253" t="n"/>
      <c r="KUT9" s="253" t="n"/>
      <c r="KUU9" s="253" t="n"/>
      <c r="KUV9" s="253" t="n"/>
      <c r="KUW9" s="253" t="n"/>
      <c r="KUX9" s="253" t="n"/>
      <c r="KUY9" s="253" t="n"/>
      <c r="KUZ9" s="253" t="n"/>
      <c r="KVA9" s="253" t="n"/>
      <c r="KVB9" s="253" t="n"/>
      <c r="KVC9" s="253" t="n"/>
      <c r="KVD9" s="253" t="n"/>
      <c r="KVE9" s="253" t="n"/>
      <c r="KVF9" s="253" t="n"/>
      <c r="KVG9" s="253" t="n"/>
      <c r="KVH9" s="253" t="n"/>
      <c r="KVI9" s="253" t="n"/>
      <c r="KVJ9" s="253" t="n"/>
      <c r="KVK9" s="253" t="n"/>
      <c r="KVL9" s="253" t="n"/>
      <c r="KVM9" s="253" t="n"/>
      <c r="KVN9" s="253" t="n"/>
      <c r="KVO9" s="253" t="n"/>
      <c r="KVP9" s="253" t="n"/>
      <c r="KVQ9" s="253" t="n"/>
      <c r="KVR9" s="253" t="n"/>
      <c r="KVS9" s="253" t="n"/>
      <c r="KVT9" s="253" t="n"/>
      <c r="KVU9" s="253" t="n"/>
      <c r="KVV9" s="253" t="n"/>
      <c r="KVW9" s="253" t="n"/>
      <c r="KVX9" s="253" t="n"/>
      <c r="KVY9" s="253" t="n"/>
      <c r="KVZ9" s="253" t="n"/>
      <c r="KWA9" s="253" t="n"/>
      <c r="KWB9" s="253" t="n"/>
      <c r="KWC9" s="253" t="n"/>
      <c r="KWD9" s="253" t="n"/>
      <c r="KWE9" s="253" t="n"/>
      <c r="KWF9" s="253" t="n"/>
      <c r="KWG9" s="253" t="n"/>
      <c r="KWH9" s="253" t="n"/>
      <c r="KWI9" s="253" t="n"/>
      <c r="KWJ9" s="253" t="n"/>
      <c r="KWK9" s="253" t="n"/>
      <c r="KWL9" s="253" t="n"/>
      <c r="KWM9" s="253" t="n"/>
      <c r="KWN9" s="253" t="n"/>
      <c r="KWO9" s="253" t="n"/>
      <c r="KWP9" s="253" t="n"/>
      <c r="KWQ9" s="253" t="n"/>
      <c r="KWR9" s="253" t="n"/>
      <c r="KWS9" s="253" t="n"/>
      <c r="KWT9" s="253" t="n"/>
      <c r="KWU9" s="253" t="n"/>
      <c r="KWV9" s="253" t="n"/>
      <c r="KWW9" s="253" t="n"/>
      <c r="KWX9" s="253" t="n"/>
      <c r="KWY9" s="253" t="n"/>
      <c r="KWZ9" s="253" t="n"/>
      <c r="KXA9" s="253" t="n"/>
      <c r="KXB9" s="253" t="n"/>
      <c r="KXC9" s="253" t="n"/>
      <c r="KXD9" s="253" t="n"/>
      <c r="KXE9" s="253" t="n"/>
      <c r="KXF9" s="253" t="n"/>
      <c r="KXG9" s="253" t="n"/>
      <c r="KXH9" s="253" t="n"/>
      <c r="KXI9" s="253" t="n"/>
      <c r="KXJ9" s="253" t="n"/>
      <c r="KXK9" s="253" t="n"/>
      <c r="KXL9" s="253" t="n"/>
      <c r="KXM9" s="253" t="n"/>
      <c r="KXN9" s="253" t="n"/>
      <c r="KXO9" s="253" t="n"/>
      <c r="KXP9" s="253" t="n"/>
      <c r="KXQ9" s="253" t="n"/>
      <c r="KXR9" s="253" t="n"/>
      <c r="KXS9" s="253" t="n"/>
      <c r="KXT9" s="253" t="n"/>
      <c r="KXU9" s="253" t="n"/>
      <c r="KXV9" s="253" t="n"/>
      <c r="KXW9" s="253" t="n"/>
      <c r="KXX9" s="253" t="n"/>
      <c r="KXY9" s="253" t="n"/>
      <c r="KXZ9" s="253" t="n"/>
      <c r="KYA9" s="253" t="n"/>
      <c r="KYB9" s="253" t="n"/>
      <c r="KYC9" s="253" t="n"/>
      <c r="KYD9" s="253" t="n"/>
      <c r="KYE9" s="253" t="n"/>
      <c r="KYF9" s="253" t="n"/>
      <c r="KYG9" s="253" t="n"/>
      <c r="KYH9" s="253" t="n"/>
      <c r="KYI9" s="253" t="n"/>
      <c r="KYJ9" s="253" t="n"/>
      <c r="KYK9" s="253" t="n"/>
      <c r="KYL9" s="253" t="n"/>
      <c r="KYM9" s="253" t="n"/>
      <c r="KYN9" s="253" t="n"/>
      <c r="KYO9" s="253" t="n"/>
      <c r="KYP9" s="253" t="n"/>
      <c r="KYQ9" s="253" t="n"/>
      <c r="KYR9" s="253" t="n"/>
      <c r="KYS9" s="253" t="n"/>
      <c r="KYT9" s="253" t="n"/>
      <c r="KYU9" s="253" t="n"/>
      <c r="KYV9" s="253" t="n"/>
      <c r="KYW9" s="253" t="n"/>
      <c r="KYX9" s="253" t="n"/>
      <c r="KYY9" s="253" t="n"/>
      <c r="KYZ9" s="253" t="n"/>
      <c r="KZA9" s="253" t="n"/>
      <c r="KZB9" s="253" t="n"/>
      <c r="KZC9" s="253" t="n"/>
      <c r="KZD9" s="253" t="n"/>
      <c r="KZE9" s="253" t="n"/>
      <c r="KZF9" s="253" t="n"/>
      <c r="KZG9" s="253" t="n"/>
      <c r="KZH9" s="253" t="n"/>
      <c r="KZI9" s="253" t="n"/>
      <c r="KZJ9" s="253" t="n"/>
      <c r="KZK9" s="253" t="n"/>
      <c r="KZL9" s="253" t="n"/>
      <c r="KZM9" s="253" t="n"/>
      <c r="KZN9" s="253" t="n"/>
      <c r="KZO9" s="253" t="n"/>
      <c r="KZP9" s="253" t="n"/>
      <c r="KZQ9" s="253" t="n"/>
      <c r="KZR9" s="253" t="n"/>
      <c r="KZS9" s="253" t="n"/>
      <c r="KZT9" s="253" t="n"/>
      <c r="KZU9" s="253" t="n"/>
      <c r="KZV9" s="253" t="n"/>
      <c r="KZW9" s="253" t="n"/>
      <c r="KZX9" s="253" t="n"/>
      <c r="KZY9" s="253" t="n"/>
      <c r="KZZ9" s="253" t="n"/>
      <c r="LAA9" s="253" t="n"/>
      <c r="LAB9" s="253" t="n"/>
      <c r="LAC9" s="253" t="n"/>
      <c r="LAD9" s="253" t="n"/>
      <c r="LAE9" s="253" t="n"/>
      <c r="LAF9" s="253" t="n"/>
      <c r="LAG9" s="253" t="n"/>
      <c r="LAH9" s="253" t="n"/>
      <c r="LAI9" s="253" t="n"/>
      <c r="LAJ9" s="253" t="n"/>
      <c r="LAK9" s="253" t="n"/>
      <c r="LAL9" s="253" t="n"/>
      <c r="LAM9" s="253" t="n"/>
      <c r="LAN9" s="253" t="n"/>
      <c r="LAO9" s="253" t="n"/>
      <c r="LAP9" s="253" t="n"/>
      <c r="LAQ9" s="253" t="n"/>
      <c r="LAR9" s="253" t="n"/>
      <c r="LAS9" s="253" t="n"/>
      <c r="LAT9" s="253" t="n"/>
      <c r="LAU9" s="253" t="n"/>
      <c r="LAV9" s="253" t="n"/>
      <c r="LAW9" s="253" t="n"/>
      <c r="LAX9" s="253" t="n"/>
      <c r="LAY9" s="253" t="n"/>
      <c r="LAZ9" s="253" t="n"/>
      <c r="LBA9" s="253" t="n"/>
      <c r="LBB9" s="253" t="n"/>
      <c r="LBC9" s="253" t="n"/>
      <c r="LBD9" s="253" t="n"/>
      <c r="LBE9" s="253" t="n"/>
      <c r="LBF9" s="253" t="n"/>
      <c r="LBG9" s="253" t="n"/>
      <c r="LBH9" s="253" t="n"/>
      <c r="LBI9" s="253" t="n"/>
      <c r="LBJ9" s="253" t="n"/>
      <c r="LBK9" s="253" t="n"/>
      <c r="LBL9" s="253" t="n"/>
      <c r="LBM9" s="253" t="n"/>
      <c r="LBN9" s="253" t="n"/>
      <c r="LBO9" s="253" t="n"/>
      <c r="LBP9" s="253" t="n"/>
      <c r="LBQ9" s="253" t="n"/>
      <c r="LBR9" s="253" t="n"/>
      <c r="LBS9" s="253" t="n"/>
      <c r="LBT9" s="253" t="n"/>
      <c r="LBU9" s="253" t="n"/>
      <c r="LBV9" s="253" t="n"/>
      <c r="LBW9" s="253" t="n"/>
      <c r="LBX9" s="253" t="n"/>
      <c r="LBY9" s="253" t="n"/>
      <c r="LBZ9" s="253" t="n"/>
      <c r="LCA9" s="253" t="n"/>
      <c r="LCB9" s="253" t="n"/>
      <c r="LCC9" s="253" t="n"/>
      <c r="LCD9" s="253" t="n"/>
      <c r="LCE9" s="253" t="n"/>
      <c r="LCF9" s="253" t="n"/>
      <c r="LCG9" s="253" t="n"/>
      <c r="LCH9" s="253" t="n"/>
      <c r="LCI9" s="253" t="n"/>
      <c r="LCJ9" s="253" t="n"/>
      <c r="LCK9" s="253" t="n"/>
      <c r="LCL9" s="253" t="n"/>
      <c r="LCM9" s="253" t="n"/>
      <c r="LCN9" s="253" t="n"/>
      <c r="LCO9" s="253" t="n"/>
      <c r="LCP9" s="253" t="n"/>
      <c r="LCQ9" s="253" t="n"/>
      <c r="LCR9" s="253" t="n"/>
      <c r="LCS9" s="253" t="n"/>
      <c r="LCT9" s="253" t="n"/>
      <c r="LCU9" s="253" t="n"/>
      <c r="LCV9" s="253" t="n"/>
      <c r="LCW9" s="253" t="n"/>
      <c r="LCX9" s="253" t="n"/>
      <c r="LCY9" s="253" t="n"/>
      <c r="LCZ9" s="253" t="n"/>
      <c r="LDA9" s="253" t="n"/>
      <c r="LDB9" s="253" t="n"/>
      <c r="LDC9" s="253" t="n"/>
      <c r="LDD9" s="253" t="n"/>
      <c r="LDE9" s="253" t="n"/>
      <c r="LDF9" s="253" t="n"/>
      <c r="LDG9" s="253" t="n"/>
      <c r="LDH9" s="253" t="n"/>
      <c r="LDI9" s="253" t="n"/>
      <c r="LDJ9" s="253" t="n"/>
      <c r="LDK9" s="253" t="n"/>
      <c r="LDL9" s="253" t="n"/>
      <c r="LDM9" s="253" t="n"/>
      <c r="LDN9" s="253" t="n"/>
      <c r="LDO9" s="253" t="n"/>
      <c r="LDP9" s="253" t="n"/>
      <c r="LDQ9" s="253" t="n"/>
      <c r="LDR9" s="253" t="n"/>
      <c r="LDS9" s="253" t="n"/>
      <c r="LDT9" s="253" t="n"/>
      <c r="LDU9" s="253" t="n"/>
      <c r="LDV9" s="253" t="n"/>
      <c r="LDW9" s="253" t="n"/>
      <c r="LDX9" s="253" t="n"/>
      <c r="LDY9" s="253" t="n"/>
      <c r="LDZ9" s="253" t="n"/>
      <c r="LEA9" s="253" t="n"/>
      <c r="LEB9" s="253" t="n"/>
      <c r="LEC9" s="253" t="n"/>
      <c r="LED9" s="253" t="n"/>
      <c r="LEE9" s="253" t="n"/>
      <c r="LEF9" s="253" t="n"/>
      <c r="LEG9" s="253" t="n"/>
      <c r="LEH9" s="253" t="n"/>
      <c r="LEI9" s="253" t="n"/>
      <c r="LEJ9" s="253" t="n"/>
      <c r="LEK9" s="253" t="n"/>
      <c r="LEL9" s="253" t="n"/>
      <c r="LEM9" s="253" t="n"/>
      <c r="LEN9" s="253" t="n"/>
      <c r="LEO9" s="253" t="n"/>
      <c r="LEP9" s="253" t="n"/>
      <c r="LEQ9" s="253" t="n"/>
      <c r="LER9" s="253" t="n"/>
      <c r="LES9" s="253" t="n"/>
      <c r="LET9" s="253" t="n"/>
      <c r="LEU9" s="253" t="n"/>
      <c r="LEV9" s="253" t="n"/>
      <c r="LEW9" s="253" t="n"/>
      <c r="LEX9" s="253" t="n"/>
      <c r="LEY9" s="253" t="n"/>
      <c r="LEZ9" s="253" t="n"/>
      <c r="LFA9" s="253" t="n"/>
      <c r="LFB9" s="253" t="n"/>
      <c r="LFC9" s="253" t="n"/>
      <c r="LFD9" s="253" t="n"/>
      <c r="LFE9" s="253" t="n"/>
      <c r="LFF9" s="253" t="n"/>
      <c r="LFG9" s="253" t="n"/>
      <c r="LFH9" s="253" t="n"/>
      <c r="LFI9" s="253" t="n"/>
      <c r="LFJ9" s="253" t="n"/>
      <c r="LFK9" s="253" t="n"/>
      <c r="LFL9" s="252" t="n"/>
      <c r="LFM9" s="253" t="n"/>
      <c r="LFN9" s="253" t="n"/>
      <c r="LFO9" s="253" t="n"/>
      <c r="LFP9" s="253" t="n"/>
      <c r="LFQ9" s="253" t="n"/>
      <c r="LFR9" s="253" t="n"/>
      <c r="LFS9" s="253" t="n"/>
      <c r="LFT9" s="253" t="n"/>
      <c r="LFU9" s="253" t="n"/>
      <c r="LFV9" s="253" t="n"/>
      <c r="LFW9" s="253" t="n"/>
      <c r="LFX9" s="253" t="n"/>
      <c r="LFY9" s="253" t="n"/>
      <c r="LFZ9" s="253" t="n"/>
      <c r="LGA9" s="253" t="n"/>
      <c r="LGB9" s="253" t="n"/>
      <c r="LGC9" s="253" t="n"/>
      <c r="LGD9" s="253" t="n"/>
      <c r="LGE9" s="253" t="n"/>
      <c r="LGF9" s="253" t="n"/>
      <c r="LGG9" s="253" t="n"/>
      <c r="LGH9" s="253" t="n"/>
      <c r="LGI9" s="253" t="n"/>
      <c r="LGJ9" s="253" t="n"/>
      <c r="LGK9" s="253" t="n"/>
      <c r="LGL9" s="253" t="n"/>
      <c r="LGM9" s="253" t="n"/>
      <c r="LGN9" s="253" t="n"/>
      <c r="LGO9" s="253" t="n"/>
      <c r="LGP9" s="253" t="n"/>
      <c r="LGQ9" s="253" t="n"/>
      <c r="LGR9" s="253" t="n"/>
      <c r="LGS9" s="253" t="n"/>
      <c r="LGT9" s="253" t="n"/>
      <c r="LGU9" s="253" t="n"/>
      <c r="LGV9" s="253" t="n"/>
      <c r="LGW9" s="253" t="n"/>
      <c r="LGX9" s="253" t="n"/>
      <c r="LGY9" s="253" t="n"/>
      <c r="LGZ9" s="253" t="n"/>
      <c r="LHA9" s="253" t="n"/>
      <c r="LHB9" s="253" t="n"/>
      <c r="LHC9" s="253" t="n"/>
      <c r="LHD9" s="253" t="n"/>
      <c r="LHE9" s="253" t="n"/>
      <c r="LHF9" s="253" t="n"/>
      <c r="LHG9" s="253" t="n"/>
      <c r="LHH9" s="253" t="n"/>
      <c r="LHI9" s="253" t="n"/>
      <c r="LHJ9" s="253" t="n"/>
      <c r="LHK9" s="253" t="n"/>
      <c r="LHL9" s="253" t="n"/>
      <c r="LHM9" s="253" t="n"/>
      <c r="LHN9" s="253" t="n"/>
      <c r="LHO9" s="253" t="n"/>
      <c r="LHP9" s="253" t="n"/>
      <c r="LHQ9" s="253" t="n"/>
      <c r="LHR9" s="253" t="n"/>
      <c r="LHS9" s="253" t="n"/>
      <c r="LHT9" s="253" t="n"/>
      <c r="LHU9" s="253" t="n"/>
      <c r="LHV9" s="253" t="n"/>
      <c r="LHW9" s="253" t="n"/>
      <c r="LHX9" s="253" t="n"/>
      <c r="LHY9" s="253" t="n"/>
      <c r="LHZ9" s="253" t="n"/>
      <c r="LIA9" s="253" t="n"/>
      <c r="LIB9" s="253" t="n"/>
      <c r="LIC9" s="253" t="n"/>
      <c r="LID9" s="253" t="n"/>
      <c r="LIE9" s="253" t="n"/>
      <c r="LIF9" s="253" t="n"/>
      <c r="LIG9" s="253" t="n"/>
      <c r="LIH9" s="253" t="n"/>
      <c r="LII9" s="253" t="n"/>
      <c r="LIJ9" s="253" t="n"/>
      <c r="LIK9" s="253" t="n"/>
      <c r="LIL9" s="253" t="n"/>
      <c r="LIM9" s="253" t="n"/>
      <c r="LIN9" s="253" t="n"/>
      <c r="LIO9" s="253" t="n"/>
      <c r="LIP9" s="253" t="n"/>
      <c r="LIQ9" s="253" t="n"/>
      <c r="LIR9" s="253" t="n"/>
      <c r="LIS9" s="253" t="n"/>
      <c r="LIT9" s="253" t="n"/>
      <c r="LIU9" s="253" t="n"/>
      <c r="LIV9" s="253" t="n"/>
      <c r="LIW9" s="253" t="n"/>
      <c r="LIX9" s="253" t="n"/>
      <c r="LIY9" s="253" t="n"/>
      <c r="LIZ9" s="253" t="n"/>
      <c r="LJA9" s="253" t="n"/>
      <c r="LJB9" s="253" t="n"/>
      <c r="LJC9" s="253" t="n"/>
      <c r="LJD9" s="253" t="n"/>
      <c r="LJE9" s="253" t="n"/>
      <c r="LJF9" s="253" t="n"/>
      <c r="LJG9" s="253" t="n"/>
      <c r="LJH9" s="253" t="n"/>
      <c r="LJI9" s="253" t="n"/>
      <c r="LJJ9" s="253" t="n"/>
      <c r="LJK9" s="253" t="n"/>
      <c r="LJL9" s="253" t="n"/>
      <c r="LJM9" s="253" t="n"/>
      <c r="LJN9" s="253" t="n"/>
      <c r="LJO9" s="253" t="n"/>
      <c r="LJP9" s="253" t="n"/>
      <c r="LJQ9" s="253" t="n"/>
      <c r="LJR9" s="253" t="n"/>
      <c r="LJS9" s="253" t="n"/>
      <c r="LJT9" s="253" t="n"/>
      <c r="LJU9" s="253" t="n"/>
      <c r="LJV9" s="253" t="n"/>
      <c r="LJW9" s="253" t="n"/>
      <c r="LJX9" s="253" t="n"/>
      <c r="LJY9" s="253" t="n"/>
      <c r="LJZ9" s="253" t="n"/>
      <c r="LKA9" s="253" t="n"/>
      <c r="LKB9" s="253" t="n"/>
      <c r="LKC9" s="253" t="n"/>
      <c r="LKD9" s="253" t="n"/>
      <c r="LKE9" s="253" t="n"/>
      <c r="LKF9" s="253" t="n"/>
      <c r="LKG9" s="253" t="n"/>
      <c r="LKH9" s="253" t="n"/>
      <c r="LKI9" s="253" t="n"/>
      <c r="LKJ9" s="253" t="n"/>
      <c r="LKK9" s="253" t="n"/>
      <c r="LKL9" s="253" t="n"/>
      <c r="LKM9" s="253" t="n"/>
      <c r="LKN9" s="253" t="n"/>
      <c r="LKO9" s="253" t="n"/>
      <c r="LKP9" s="253" t="n"/>
      <c r="LKQ9" s="253" t="n"/>
      <c r="LKR9" s="253" t="n"/>
      <c r="LKS9" s="253" t="n"/>
      <c r="LKT9" s="253" t="n"/>
      <c r="LKU9" s="253" t="n"/>
      <c r="LKV9" s="253" t="n"/>
      <c r="LKW9" s="253" t="n"/>
      <c r="LKX9" s="253" t="n"/>
      <c r="LKY9" s="253" t="n"/>
      <c r="LKZ9" s="253" t="n"/>
      <c r="LLA9" s="253" t="n"/>
      <c r="LLB9" s="253" t="n"/>
      <c r="LLC9" s="253" t="n"/>
      <c r="LLD9" s="253" t="n"/>
      <c r="LLE9" s="253" t="n"/>
      <c r="LLF9" s="253" t="n"/>
      <c r="LLG9" s="253" t="n"/>
      <c r="LLH9" s="253" t="n"/>
      <c r="LLI9" s="253" t="n"/>
      <c r="LLJ9" s="253" t="n"/>
      <c r="LLK9" s="253" t="n"/>
      <c r="LLL9" s="253" t="n"/>
      <c r="LLM9" s="253" t="n"/>
      <c r="LLN9" s="253" t="n"/>
      <c r="LLO9" s="253" t="n"/>
      <c r="LLP9" s="253" t="n"/>
      <c r="LLQ9" s="253" t="n"/>
      <c r="LLR9" s="253" t="n"/>
      <c r="LLS9" s="253" t="n"/>
      <c r="LLT9" s="253" t="n"/>
      <c r="LLU9" s="253" t="n"/>
      <c r="LLV9" s="253" t="n"/>
      <c r="LLW9" s="253" t="n"/>
      <c r="LLX9" s="253" t="n"/>
      <c r="LLY9" s="253" t="n"/>
      <c r="LLZ9" s="253" t="n"/>
      <c r="LMA9" s="253" t="n"/>
      <c r="LMB9" s="253" t="n"/>
      <c r="LMC9" s="253" t="n"/>
      <c r="LMD9" s="253" t="n"/>
      <c r="LME9" s="253" t="n"/>
      <c r="LMF9" s="253" t="n"/>
      <c r="LMG9" s="253" t="n"/>
      <c r="LMH9" s="253" t="n"/>
      <c r="LMI9" s="253" t="n"/>
      <c r="LMJ9" s="253" t="n"/>
      <c r="LMK9" s="253" t="n"/>
      <c r="LML9" s="253" t="n"/>
      <c r="LMM9" s="253" t="n"/>
      <c r="LMN9" s="253" t="n"/>
      <c r="LMO9" s="253" t="n"/>
      <c r="LMP9" s="253" t="n"/>
      <c r="LMQ9" s="253" t="n"/>
      <c r="LMR9" s="253" t="n"/>
      <c r="LMS9" s="253" t="n"/>
      <c r="LMT9" s="253" t="n"/>
      <c r="LMU9" s="253" t="n"/>
      <c r="LMV9" s="253" t="n"/>
      <c r="LMW9" s="253" t="n"/>
      <c r="LMX9" s="253" t="n"/>
      <c r="LMY9" s="253" t="n"/>
      <c r="LMZ9" s="253" t="n"/>
      <c r="LNA9" s="253" t="n"/>
      <c r="LNB9" s="253" t="n"/>
      <c r="LNC9" s="253" t="n"/>
      <c r="LND9" s="253" t="n"/>
      <c r="LNE9" s="253" t="n"/>
      <c r="LNF9" s="253" t="n"/>
      <c r="LNG9" s="253" t="n"/>
      <c r="LNH9" s="253" t="n"/>
      <c r="LNI9" s="253" t="n"/>
      <c r="LNJ9" s="253" t="n"/>
      <c r="LNK9" s="253" t="n"/>
      <c r="LNL9" s="253" t="n"/>
      <c r="LNM9" s="253" t="n"/>
      <c r="LNN9" s="253" t="n"/>
      <c r="LNO9" s="253" t="n"/>
      <c r="LNP9" s="253" t="n"/>
      <c r="LNQ9" s="253" t="n"/>
      <c r="LNR9" s="253" t="n"/>
      <c r="LNS9" s="253" t="n"/>
      <c r="LNT9" s="253" t="n"/>
      <c r="LNU9" s="253" t="n"/>
      <c r="LNV9" s="253" t="n"/>
      <c r="LNW9" s="253" t="n"/>
      <c r="LNX9" s="253" t="n"/>
      <c r="LNY9" s="253" t="n"/>
      <c r="LNZ9" s="253" t="n"/>
      <c r="LOA9" s="253" t="n"/>
      <c r="LOB9" s="253" t="n"/>
      <c r="LOC9" s="253" t="n"/>
      <c r="LOD9" s="253" t="n"/>
      <c r="LOE9" s="253" t="n"/>
      <c r="LOF9" s="253" t="n"/>
      <c r="LOG9" s="253" t="n"/>
      <c r="LOH9" s="253" t="n"/>
      <c r="LOI9" s="253" t="n"/>
      <c r="LOJ9" s="253" t="n"/>
      <c r="LOK9" s="253" t="n"/>
      <c r="LOL9" s="253" t="n"/>
      <c r="LOM9" s="253" t="n"/>
      <c r="LON9" s="253" t="n"/>
      <c r="LOO9" s="253" t="n"/>
      <c r="LOP9" s="253" t="n"/>
      <c r="LOQ9" s="253" t="n"/>
      <c r="LOR9" s="253" t="n"/>
      <c r="LOS9" s="253" t="n"/>
      <c r="LOT9" s="253" t="n"/>
      <c r="LOU9" s="253" t="n"/>
      <c r="LOV9" s="253" t="n"/>
      <c r="LOW9" s="253" t="n"/>
      <c r="LOX9" s="253" t="n"/>
      <c r="LOY9" s="253" t="n"/>
      <c r="LOZ9" s="253" t="n"/>
      <c r="LPA9" s="253" t="n"/>
      <c r="LPB9" s="253" t="n"/>
      <c r="LPC9" s="253" t="n"/>
      <c r="LPD9" s="253" t="n"/>
      <c r="LPE9" s="253" t="n"/>
      <c r="LPF9" s="253" t="n"/>
      <c r="LPG9" s="253" t="n"/>
      <c r="LPH9" s="253" t="n"/>
      <c r="LPI9" s="253" t="n"/>
      <c r="LPJ9" s="253" t="n"/>
      <c r="LPK9" s="253" t="n"/>
      <c r="LPL9" s="253" t="n"/>
      <c r="LPM9" s="253" t="n"/>
      <c r="LPN9" s="253" t="n"/>
      <c r="LPO9" s="253" t="n"/>
      <c r="LPP9" s="253" t="n"/>
      <c r="LPQ9" s="253" t="n"/>
      <c r="LPR9" s="253" t="n"/>
      <c r="LPS9" s="253" t="n"/>
      <c r="LPT9" s="253" t="n"/>
      <c r="LPU9" s="253" t="n"/>
      <c r="LPV9" s="253" t="n"/>
      <c r="LPW9" s="253" t="n"/>
      <c r="LPX9" s="253" t="n"/>
      <c r="LPY9" s="253" t="n"/>
      <c r="LPZ9" s="253" t="n"/>
      <c r="LQA9" s="253" t="n"/>
      <c r="LQB9" s="253" t="n"/>
      <c r="LQC9" s="253" t="n"/>
      <c r="LQD9" s="253" t="n"/>
      <c r="LQE9" s="253" t="n"/>
      <c r="LQF9" s="253" t="n"/>
      <c r="LQG9" s="253" t="n"/>
      <c r="LQH9" s="253" t="n"/>
      <c r="LQI9" s="253" t="n"/>
      <c r="LQJ9" s="253" t="n"/>
      <c r="LQK9" s="253" t="n"/>
      <c r="LQL9" s="253" t="n"/>
      <c r="LQM9" s="253" t="n"/>
      <c r="LQN9" s="253" t="n"/>
      <c r="LQO9" s="253" t="n"/>
      <c r="LQP9" s="253" t="n"/>
      <c r="LQQ9" s="253" t="n"/>
      <c r="LQR9" s="253" t="n"/>
      <c r="LQS9" s="253" t="n"/>
      <c r="LQT9" s="253" t="n"/>
      <c r="LQU9" s="253" t="n"/>
      <c r="LQV9" s="253" t="n"/>
      <c r="LQW9" s="253" t="n"/>
      <c r="LQX9" s="253" t="n"/>
      <c r="LQY9" s="253" t="n"/>
      <c r="LQZ9" s="253" t="n"/>
      <c r="LRA9" s="253" t="n"/>
      <c r="LRB9" s="253" t="n"/>
      <c r="LRC9" s="253" t="n"/>
      <c r="LRD9" s="253" t="n"/>
      <c r="LRE9" s="253" t="n"/>
      <c r="LRF9" s="253" t="n"/>
      <c r="LRG9" s="253" t="n"/>
      <c r="LRH9" s="253" t="n"/>
      <c r="LRI9" s="253" t="n"/>
      <c r="LRJ9" s="253" t="n"/>
      <c r="LRK9" s="253" t="n"/>
      <c r="LRL9" s="253" t="n"/>
      <c r="LRM9" s="253" t="n"/>
      <c r="LRN9" s="253" t="n"/>
      <c r="LRO9" s="253" t="n"/>
      <c r="LRP9" s="253" t="n"/>
      <c r="LRQ9" s="253" t="n"/>
      <c r="LRR9" s="253" t="n"/>
      <c r="LRS9" s="253" t="n"/>
      <c r="LRT9" s="253" t="n"/>
      <c r="LRU9" s="253" t="n"/>
      <c r="LRV9" s="253" t="n"/>
      <c r="LRW9" s="253" t="n"/>
      <c r="LRX9" s="253" t="n"/>
      <c r="LRY9" s="253" t="n"/>
      <c r="LRZ9" s="253" t="n"/>
      <c r="LSA9" s="253" t="n"/>
      <c r="LSB9" s="253" t="n"/>
      <c r="LSC9" s="253" t="n"/>
      <c r="LSD9" s="253" t="n"/>
      <c r="LSE9" s="253" t="n"/>
      <c r="LSF9" s="253" t="n"/>
      <c r="LSG9" s="253" t="n"/>
      <c r="LSH9" s="253" t="n"/>
      <c r="LSI9" s="253" t="n"/>
      <c r="LSJ9" s="253" t="n"/>
      <c r="LSK9" s="253" t="n"/>
      <c r="LSL9" s="253" t="n"/>
      <c r="LSM9" s="253" t="n"/>
      <c r="LSN9" s="253" t="n"/>
      <c r="LSO9" s="253" t="n"/>
      <c r="LSP9" s="253" t="n"/>
      <c r="LSQ9" s="253" t="n"/>
      <c r="LSR9" s="253" t="n"/>
      <c r="LSS9" s="253" t="n"/>
      <c r="LST9" s="253" t="n"/>
      <c r="LSU9" s="253" t="n"/>
      <c r="LSV9" s="253" t="n"/>
      <c r="LSW9" s="253" t="n"/>
      <c r="LSX9" s="253" t="n"/>
      <c r="LSY9" s="253" t="n"/>
      <c r="LSZ9" s="253" t="n"/>
      <c r="LTA9" s="253" t="n"/>
      <c r="LTB9" s="253" t="n"/>
      <c r="LTC9" s="253" t="n"/>
      <c r="LTD9" s="253" t="n"/>
      <c r="LTE9" s="253" t="n"/>
      <c r="LTF9" s="253" t="n"/>
      <c r="LTG9" s="253" t="n"/>
      <c r="LTH9" s="253" t="n"/>
      <c r="LTI9" s="253" t="n"/>
      <c r="LTJ9" s="253" t="n"/>
      <c r="LTK9" s="253" t="n"/>
      <c r="LTL9" s="253" t="n"/>
      <c r="LTM9" s="253" t="n"/>
      <c r="LTN9" s="253" t="n"/>
      <c r="LTO9" s="253" t="n"/>
      <c r="LTP9" s="253" t="n"/>
      <c r="LTQ9" s="253" t="n"/>
      <c r="LTR9" s="253" t="n"/>
      <c r="LTS9" s="253" t="n"/>
      <c r="LTT9" s="253" t="n"/>
      <c r="LTU9" s="253" t="n"/>
      <c r="LTV9" s="253" t="n"/>
      <c r="LTW9" s="253" t="n"/>
      <c r="LTX9" s="253" t="n"/>
      <c r="LTY9" s="253" t="n"/>
      <c r="LTZ9" s="253" t="n"/>
      <c r="LUA9" s="253" t="n"/>
      <c r="LUB9" s="253" t="n"/>
      <c r="LUC9" s="253" t="n"/>
      <c r="LUD9" s="253" t="n"/>
      <c r="LUE9" s="253" t="n"/>
      <c r="LUF9" s="253" t="n"/>
      <c r="LUG9" s="253" t="n"/>
      <c r="LUH9" s="253" t="n"/>
      <c r="LUI9" s="253" t="n"/>
      <c r="LUJ9" s="253" t="n"/>
      <c r="LUK9" s="253" t="n"/>
      <c r="LUL9" s="253" t="n"/>
      <c r="LUM9" s="253" t="n"/>
      <c r="LUN9" s="253" t="n"/>
      <c r="LUO9" s="253" t="n"/>
      <c r="LUP9" s="253" t="n"/>
      <c r="LUQ9" s="253" t="n"/>
      <c r="LUR9" s="253" t="n"/>
      <c r="LUS9" s="253" t="n"/>
      <c r="LUT9" s="253" t="n"/>
      <c r="LUU9" s="253" t="n"/>
      <c r="LUV9" s="253" t="n"/>
      <c r="LUW9" s="253" t="n"/>
      <c r="LUX9" s="253" t="n"/>
      <c r="LUY9" s="253" t="n"/>
      <c r="LUZ9" s="253" t="n"/>
      <c r="LVA9" s="253" t="n"/>
      <c r="LVB9" s="253" t="n"/>
      <c r="LVC9" s="253" t="n"/>
      <c r="LVD9" s="253" t="n"/>
      <c r="LVE9" s="253" t="n"/>
      <c r="LVF9" s="253" t="n"/>
      <c r="LVG9" s="253" t="n"/>
      <c r="LVH9" s="253" t="n"/>
      <c r="LVI9" s="253" t="n"/>
      <c r="LVJ9" s="253" t="n"/>
      <c r="LVK9" s="253" t="n"/>
      <c r="LVL9" s="253" t="n"/>
      <c r="LVM9" s="253" t="n"/>
      <c r="LVN9" s="253" t="n"/>
      <c r="LVO9" s="253" t="n"/>
      <c r="LVP9" s="253" t="n"/>
      <c r="LVQ9" s="253" t="n"/>
      <c r="LVR9" s="253" t="n"/>
      <c r="LVS9" s="253" t="n"/>
      <c r="LVT9" s="253" t="n"/>
      <c r="LVU9" s="253" t="n"/>
      <c r="LVV9" s="253" t="n"/>
      <c r="LVW9" s="253" t="n"/>
      <c r="LVX9" s="253" t="n"/>
      <c r="LVY9" s="253" t="n"/>
      <c r="LVZ9" s="253" t="n"/>
      <c r="LWA9" s="253" t="n"/>
      <c r="LWB9" s="253" t="n"/>
      <c r="LWC9" s="253" t="n"/>
      <c r="LWD9" s="253" t="n"/>
      <c r="LWE9" s="253" t="n"/>
      <c r="LWF9" s="253" t="n"/>
      <c r="LWG9" s="253" t="n"/>
      <c r="LWH9" s="253" t="n"/>
      <c r="LWI9" s="253" t="n"/>
      <c r="LWJ9" s="253" t="n"/>
      <c r="LWK9" s="253" t="n"/>
      <c r="LWL9" s="253" t="n"/>
      <c r="LWM9" s="253" t="n"/>
      <c r="LWN9" s="253" t="n"/>
      <c r="LWO9" s="253" t="n"/>
      <c r="LWP9" s="253" t="n"/>
      <c r="LWQ9" s="253" t="n"/>
      <c r="LWR9" s="253" t="n"/>
      <c r="LWS9" s="253" t="n"/>
      <c r="LWT9" s="253" t="n"/>
      <c r="LWU9" s="253" t="n"/>
      <c r="LWV9" s="253" t="n"/>
      <c r="LWW9" s="253" t="n"/>
      <c r="LWX9" s="253" t="n"/>
      <c r="LWY9" s="253" t="n"/>
      <c r="LWZ9" s="253" t="n"/>
      <c r="LXA9" s="253" t="n"/>
      <c r="LXB9" s="253" t="n"/>
      <c r="LXC9" s="253" t="n"/>
      <c r="LXD9" s="253" t="n"/>
      <c r="LXE9" s="253" t="n"/>
      <c r="LXF9" s="253" t="n"/>
      <c r="LXG9" s="253" t="n"/>
      <c r="LXH9" s="253" t="n"/>
      <c r="LXI9" s="253" t="n"/>
      <c r="LXJ9" s="253" t="n"/>
      <c r="LXK9" s="253" t="n"/>
      <c r="LXL9" s="253" t="n"/>
      <c r="LXM9" s="253" t="n"/>
      <c r="LXN9" s="253" t="n"/>
      <c r="LXO9" s="253" t="n"/>
      <c r="LXP9" s="253" t="n"/>
      <c r="LXQ9" s="253" t="n"/>
      <c r="LXR9" s="253" t="n"/>
      <c r="LXS9" s="253" t="n"/>
      <c r="LXT9" s="253" t="n"/>
      <c r="LXU9" s="253" t="n"/>
      <c r="LXV9" s="253" t="n"/>
      <c r="LXW9" s="253" t="n"/>
      <c r="LXX9" s="253" t="n"/>
      <c r="LXY9" s="253" t="n"/>
      <c r="LXZ9" s="253" t="n"/>
      <c r="LYA9" s="253" t="n"/>
      <c r="LYB9" s="253" t="n"/>
      <c r="LYC9" s="253" t="n"/>
      <c r="LYD9" s="253" t="n"/>
      <c r="LYE9" s="253" t="n"/>
      <c r="LYF9" s="253" t="n"/>
      <c r="LYG9" s="253" t="n"/>
      <c r="LYH9" s="253" t="n"/>
      <c r="LYI9" s="253" t="n"/>
      <c r="LYJ9" s="253" t="n"/>
      <c r="LYK9" s="253" t="n"/>
      <c r="LYL9" s="253" t="n"/>
      <c r="LYM9" s="253" t="n"/>
      <c r="LYN9" s="253" t="n"/>
      <c r="LYO9" s="253" t="n"/>
      <c r="LYP9" s="253" t="n"/>
      <c r="LYQ9" s="253" t="n"/>
      <c r="LYR9" s="253" t="n"/>
      <c r="LYS9" s="253" t="n"/>
      <c r="LYT9" s="253" t="n"/>
      <c r="LYU9" s="253" t="n"/>
      <c r="LYV9" s="253" t="n"/>
      <c r="LYW9" s="253" t="n"/>
      <c r="LYX9" s="253" t="n"/>
      <c r="LYY9" s="253" t="n"/>
      <c r="LYZ9" s="253" t="n"/>
      <c r="LZA9" s="253" t="n"/>
      <c r="LZB9" s="253" t="n"/>
      <c r="LZC9" s="253" t="n"/>
      <c r="LZD9" s="253" t="n"/>
      <c r="LZE9" s="253" t="n"/>
      <c r="LZF9" s="253" t="n"/>
      <c r="LZG9" s="253" t="n"/>
      <c r="LZH9" s="253" t="n"/>
      <c r="LZI9" s="253" t="n"/>
      <c r="LZJ9" s="253" t="n"/>
      <c r="LZK9" s="253" t="n"/>
      <c r="LZL9" s="253" t="n"/>
      <c r="LZM9" s="253" t="n"/>
      <c r="LZN9" s="253" t="n"/>
      <c r="LZO9" s="253" t="n"/>
      <c r="LZP9" s="253" t="n"/>
      <c r="LZQ9" s="253" t="n"/>
      <c r="LZR9" s="253" t="n"/>
      <c r="LZS9" s="253" t="n"/>
      <c r="LZT9" s="253" t="n"/>
      <c r="LZU9" s="253" t="n"/>
      <c r="LZV9" s="253" t="n"/>
      <c r="LZW9" s="253" t="n"/>
      <c r="LZX9" s="253" t="n"/>
      <c r="LZY9" s="253" t="n"/>
      <c r="LZZ9" s="253" t="n"/>
      <c r="MAA9" s="253" t="n"/>
      <c r="MAB9" s="253" t="n"/>
      <c r="MAC9" s="253" t="n"/>
      <c r="MAD9" s="253" t="n"/>
      <c r="MAE9" s="253" t="n"/>
      <c r="MAF9" s="253" t="n"/>
      <c r="MAG9" s="253" t="n"/>
      <c r="MAH9" s="253" t="n"/>
      <c r="MAI9" s="253" t="n"/>
      <c r="MAJ9" s="253" t="n"/>
      <c r="MAK9" s="253" t="n"/>
      <c r="MAL9" s="253" t="n"/>
      <c r="MAM9" s="253" t="n"/>
      <c r="MAN9" s="253" t="n"/>
      <c r="MAO9" s="253" t="n"/>
      <c r="MAP9" s="253" t="n"/>
      <c r="MAQ9" s="253" t="n"/>
      <c r="MAR9" s="253" t="n"/>
      <c r="MAS9" s="253" t="n"/>
      <c r="MAT9" s="253" t="n"/>
      <c r="MAU9" s="253" t="n"/>
      <c r="MAV9" s="253" t="n"/>
      <c r="MAW9" s="253" t="n"/>
      <c r="MAX9" s="253" t="n"/>
      <c r="MAY9" s="253" t="n"/>
      <c r="MAZ9" s="253" t="n"/>
      <c r="MBA9" s="253" t="n"/>
      <c r="MBB9" s="253" t="n"/>
      <c r="MBC9" s="253" t="n"/>
      <c r="MBD9" s="253" t="n"/>
      <c r="MBE9" s="253" t="n"/>
      <c r="MBF9" s="253" t="n"/>
      <c r="MBG9" s="253" t="n"/>
      <c r="MBH9" s="253" t="n"/>
      <c r="MBI9" s="253" t="n"/>
      <c r="MBJ9" s="253" t="n"/>
      <c r="MBK9" s="253" t="n"/>
      <c r="MBL9" s="253" t="n"/>
      <c r="MBM9" s="253" t="n"/>
      <c r="MBN9" s="253" t="n"/>
      <c r="MBO9" s="253" t="n"/>
      <c r="MBP9" s="253" t="n"/>
      <c r="MBQ9" s="253" t="n"/>
      <c r="MBR9" s="253" t="n"/>
      <c r="MBS9" s="253" t="n"/>
      <c r="MBT9" s="253" t="n"/>
      <c r="MBU9" s="253" t="n"/>
      <c r="MBV9" s="253" t="n"/>
      <c r="MBW9" s="253" t="n"/>
      <c r="MBX9" s="253" t="n"/>
      <c r="MBY9" s="253" t="n"/>
      <c r="MBZ9" s="253" t="n"/>
      <c r="MCA9" s="253" t="n"/>
      <c r="MCB9" s="253" t="n"/>
      <c r="MCC9" s="253" t="n"/>
      <c r="MCD9" s="253" t="n"/>
      <c r="MCE9" s="253" t="n"/>
      <c r="MCF9" s="253" t="n"/>
      <c r="MCG9" s="253" t="n"/>
      <c r="MCH9" s="253" t="n"/>
      <c r="MCI9" s="253" t="n"/>
      <c r="MCJ9" s="253" t="n"/>
      <c r="MCK9" s="253" t="n"/>
      <c r="MCL9" s="253" t="n"/>
      <c r="MCM9" s="253" t="n"/>
      <c r="MCN9" s="253" t="n"/>
      <c r="MCO9" s="253" t="n"/>
      <c r="MCP9" s="253" t="n"/>
      <c r="MCQ9" s="253" t="n"/>
      <c r="MCR9" s="253" t="n"/>
      <c r="MCS9" s="253" t="n"/>
      <c r="MCT9" s="253" t="n"/>
      <c r="MCU9" s="253" t="n"/>
      <c r="MCV9" s="253" t="n"/>
      <c r="MCW9" s="253" t="n"/>
      <c r="MCX9" s="253" t="n"/>
      <c r="MCY9" s="253" t="n"/>
      <c r="MCZ9" s="253" t="n"/>
      <c r="MDA9" s="253" t="n"/>
      <c r="MDB9" s="253" t="n"/>
      <c r="MDC9" s="253" t="n"/>
      <c r="MDD9" s="253" t="n"/>
      <c r="MDE9" s="253" t="n"/>
      <c r="MDF9" s="253" t="n"/>
      <c r="MDG9" s="253" t="n"/>
      <c r="MDH9" s="253" t="n"/>
      <c r="MDI9" s="253" t="n"/>
      <c r="MDJ9" s="253" t="n"/>
      <c r="MDK9" s="253" t="n"/>
      <c r="MDL9" s="253" t="n"/>
      <c r="MDM9" s="253" t="n"/>
      <c r="MDN9" s="253" t="n"/>
      <c r="MDO9" s="253" t="n"/>
      <c r="MDP9" s="253" t="n"/>
      <c r="MDQ9" s="253" t="n"/>
      <c r="MDR9" s="253" t="n"/>
      <c r="MDS9" s="253" t="n"/>
      <c r="MDT9" s="253" t="n"/>
      <c r="MDU9" s="253" t="n"/>
      <c r="MDV9" s="253" t="n"/>
      <c r="MDW9" s="253" t="n"/>
      <c r="MDX9" s="253" t="n"/>
      <c r="MDY9" s="253" t="n"/>
      <c r="MDZ9" s="253" t="n"/>
      <c r="MEA9" s="253" t="n"/>
      <c r="MEB9" s="253" t="n"/>
      <c r="MEC9" s="253" t="n"/>
      <c r="MED9" s="253" t="n"/>
      <c r="MEE9" s="253" t="n"/>
      <c r="MEF9" s="253" t="n"/>
      <c r="MEG9" s="253" t="n"/>
      <c r="MEH9" s="253" t="n"/>
      <c r="MEI9" s="253" t="n"/>
      <c r="MEJ9" s="253" t="n"/>
      <c r="MEK9" s="253" t="n"/>
      <c r="MEL9" s="253" t="n"/>
      <c r="MEM9" s="253" t="n"/>
      <c r="MEN9" s="253" t="n"/>
      <c r="MEO9" s="253" t="n"/>
      <c r="MEP9" s="253" t="n"/>
      <c r="MEQ9" s="253" t="n"/>
      <c r="MER9" s="253" t="n"/>
      <c r="MES9" s="253" t="n"/>
      <c r="MET9" s="253" t="n"/>
      <c r="MEU9" s="253" t="n"/>
      <c r="MEV9" s="253" t="n"/>
      <c r="MEW9" s="253" t="n"/>
      <c r="MEX9" s="253" t="n"/>
      <c r="MEY9" s="253" t="n"/>
      <c r="MEZ9" s="253" t="n"/>
      <c r="MFA9" s="253" t="n"/>
      <c r="MFB9" s="253" t="n"/>
      <c r="MFC9" s="253" t="n"/>
      <c r="MFD9" s="253" t="n"/>
      <c r="MFE9" s="253" t="n"/>
      <c r="MFF9" s="253" t="n"/>
      <c r="MFG9" s="253" t="n"/>
      <c r="MFH9" s="253" t="n"/>
      <c r="MFI9" s="253" t="n"/>
      <c r="MFJ9" s="253" t="n"/>
      <c r="MFK9" s="253" t="n"/>
      <c r="MFL9" s="253" t="n"/>
      <c r="MFM9" s="253" t="n"/>
      <c r="MFN9" s="252" t="n"/>
      <c r="MFO9" s="253" t="n"/>
      <c r="MFP9" s="253" t="n"/>
      <c r="MFQ9" s="253" t="n"/>
      <c r="MFR9" s="253" t="n"/>
      <c r="MFS9" s="253" t="n"/>
      <c r="MFT9" s="253" t="n"/>
      <c r="MFU9" s="253" t="n"/>
      <c r="MFV9" s="253" t="n"/>
      <c r="MFW9" s="253" t="n"/>
      <c r="MFX9" s="253" t="n"/>
      <c r="MFY9" s="253" t="n"/>
      <c r="MFZ9" s="253" t="n"/>
      <c r="MGA9" s="253" t="n"/>
      <c r="MGB9" s="253" t="n"/>
      <c r="MGC9" s="253" t="n"/>
      <c r="MGD9" s="253" t="n"/>
      <c r="MGE9" s="253" t="n"/>
      <c r="MGF9" s="253" t="n"/>
      <c r="MGG9" s="253" t="n"/>
      <c r="MGH9" s="253" t="n"/>
      <c r="MGI9" s="253" t="n"/>
      <c r="MGJ9" s="253" t="n"/>
      <c r="MGK9" s="253" t="n"/>
      <c r="MGL9" s="253" t="n"/>
      <c r="MGM9" s="253" t="n"/>
      <c r="MGN9" s="253" t="n"/>
      <c r="MGO9" s="253" t="n"/>
      <c r="MGP9" s="253" t="n"/>
      <c r="MGQ9" s="253" t="n"/>
      <c r="MGR9" s="253" t="n"/>
      <c r="MGS9" s="253" t="n"/>
      <c r="MGT9" s="253" t="n"/>
      <c r="MGU9" s="253" t="n"/>
      <c r="MGV9" s="253" t="n"/>
      <c r="MGW9" s="253" t="n"/>
      <c r="MGX9" s="253" t="n"/>
      <c r="MGY9" s="253" t="n"/>
      <c r="MGZ9" s="253" t="n"/>
      <c r="MHA9" s="253" t="n"/>
      <c r="MHB9" s="253" t="n"/>
      <c r="MHC9" s="253" t="n"/>
      <c r="MHD9" s="253" t="n"/>
      <c r="MHE9" s="253" t="n"/>
      <c r="MHF9" s="253" t="n"/>
      <c r="MHG9" s="253" t="n"/>
      <c r="MHH9" s="253" t="n"/>
      <c r="MHI9" s="253" t="n"/>
      <c r="MHJ9" s="253" t="n"/>
      <c r="MHK9" s="253" t="n"/>
      <c r="MHL9" s="253" t="n"/>
      <c r="MHM9" s="253" t="n"/>
      <c r="MHN9" s="253" t="n"/>
      <c r="MHO9" s="253" t="n"/>
      <c r="MHP9" s="253" t="n"/>
      <c r="MHQ9" s="253" t="n"/>
      <c r="MHR9" s="253" t="n"/>
      <c r="MHS9" s="253" t="n"/>
      <c r="MHT9" s="253" t="n"/>
      <c r="MHU9" s="253" t="n"/>
      <c r="MHV9" s="253" t="n"/>
      <c r="MHW9" s="253" t="n"/>
      <c r="MHX9" s="253" t="n"/>
      <c r="MHY9" s="253" t="n"/>
      <c r="MHZ9" s="253" t="n"/>
      <c r="MIA9" s="253" t="n"/>
      <c r="MIB9" s="253" t="n"/>
      <c r="MIC9" s="253" t="n"/>
      <c r="MID9" s="253" t="n"/>
      <c r="MIE9" s="253" t="n"/>
      <c r="MIF9" s="253" t="n"/>
      <c r="MIG9" s="253" t="n"/>
      <c r="MIH9" s="253" t="n"/>
      <c r="MII9" s="253" t="n"/>
      <c r="MIJ9" s="253" t="n"/>
      <c r="MIK9" s="253" t="n"/>
      <c r="MIL9" s="253" t="n"/>
      <c r="MIM9" s="253" t="n"/>
      <c r="MIN9" s="253" t="n"/>
      <c r="MIO9" s="253" t="n"/>
      <c r="MIP9" s="253" t="n"/>
      <c r="MIQ9" s="253" t="n"/>
      <c r="MIR9" s="253" t="n"/>
      <c r="MIS9" s="253" t="n"/>
      <c r="MIT9" s="253" t="n"/>
      <c r="MIU9" s="253" t="n"/>
      <c r="MIV9" s="253" t="n"/>
      <c r="MIW9" s="253" t="n"/>
      <c r="MIX9" s="253" t="n"/>
      <c r="MIY9" s="253" t="n"/>
      <c r="MIZ9" s="253" t="n"/>
      <c r="MJA9" s="253" t="n"/>
      <c r="MJB9" s="253" t="n"/>
      <c r="MJC9" s="253" t="n"/>
      <c r="MJD9" s="253" t="n"/>
      <c r="MJE9" s="253" t="n"/>
      <c r="MJF9" s="253" t="n"/>
      <c r="MJG9" s="253" t="n"/>
      <c r="MJH9" s="253" t="n"/>
      <c r="MJI9" s="253" t="n"/>
      <c r="MJJ9" s="253" t="n"/>
      <c r="MJK9" s="253" t="n"/>
      <c r="MJL9" s="253" t="n"/>
      <c r="MJM9" s="253" t="n"/>
      <c r="MJN9" s="253" t="n"/>
      <c r="MJO9" s="253" t="n"/>
      <c r="MJP9" s="253" t="n"/>
      <c r="MJQ9" s="253" t="n"/>
      <c r="MJR9" s="253" t="n"/>
      <c r="MJS9" s="253" t="n"/>
      <c r="MJT9" s="253" t="n"/>
      <c r="MJU9" s="253" t="n"/>
      <c r="MJV9" s="253" t="n"/>
      <c r="MJW9" s="253" t="n"/>
      <c r="MJX9" s="253" t="n"/>
      <c r="MJY9" s="253" t="n"/>
      <c r="MJZ9" s="253" t="n"/>
      <c r="MKA9" s="253" t="n"/>
      <c r="MKB9" s="253" t="n"/>
      <c r="MKC9" s="253" t="n"/>
      <c r="MKD9" s="253" t="n"/>
      <c r="MKE9" s="253" t="n"/>
      <c r="MKF9" s="253" t="n"/>
      <c r="MKG9" s="253" t="n"/>
      <c r="MKH9" s="253" t="n"/>
      <c r="MKI9" s="253" t="n"/>
      <c r="MKJ9" s="253" t="n"/>
      <c r="MKK9" s="253" t="n"/>
      <c r="MKL9" s="253" t="n"/>
      <c r="MKM9" s="253" t="n"/>
      <c r="MKN9" s="253" t="n"/>
      <c r="MKO9" s="253" t="n"/>
      <c r="MKP9" s="253" t="n"/>
      <c r="MKQ9" s="253" t="n"/>
      <c r="MKR9" s="253" t="n"/>
      <c r="MKS9" s="253" t="n"/>
      <c r="MKT9" s="253" t="n"/>
      <c r="MKU9" s="253" t="n"/>
      <c r="MKV9" s="253" t="n"/>
      <c r="MKW9" s="253" t="n"/>
      <c r="MKX9" s="253" t="n"/>
      <c r="MKY9" s="253" t="n"/>
      <c r="MKZ9" s="253" t="n"/>
      <c r="MLA9" s="253" t="n"/>
      <c r="MLB9" s="253" t="n"/>
      <c r="MLC9" s="253" t="n"/>
      <c r="MLD9" s="253" t="n"/>
      <c r="MLE9" s="253" t="n"/>
      <c r="MLF9" s="253" t="n"/>
      <c r="MLG9" s="253" t="n"/>
      <c r="MLH9" s="253" t="n"/>
      <c r="MLI9" s="253" t="n"/>
      <c r="MLJ9" s="253" t="n"/>
      <c r="MLK9" s="253" t="n"/>
      <c r="MLL9" s="253" t="n"/>
      <c r="MLM9" s="253" t="n"/>
      <c r="MLN9" s="253" t="n"/>
      <c r="MLO9" s="253" t="n"/>
      <c r="MLP9" s="253" t="n"/>
      <c r="MLQ9" s="253" t="n"/>
      <c r="MLR9" s="253" t="n"/>
      <c r="MLS9" s="253" t="n"/>
      <c r="MLT9" s="253" t="n"/>
      <c r="MLU9" s="253" t="n"/>
      <c r="MLV9" s="253" t="n"/>
      <c r="MLW9" s="253" t="n"/>
      <c r="MLX9" s="253" t="n"/>
      <c r="MLY9" s="253" t="n"/>
      <c r="MLZ9" s="253" t="n"/>
      <c r="MMA9" s="253" t="n"/>
      <c r="MMB9" s="253" t="n"/>
      <c r="MMC9" s="253" t="n"/>
      <c r="MMD9" s="253" t="n"/>
      <c r="MME9" s="253" t="n"/>
      <c r="MMF9" s="253" t="n"/>
      <c r="MMG9" s="253" t="n"/>
      <c r="MMH9" s="253" t="n"/>
      <c r="MMI9" s="253" t="n"/>
      <c r="MMJ9" s="253" t="n"/>
      <c r="MMK9" s="253" t="n"/>
      <c r="MML9" s="253" t="n"/>
      <c r="MMM9" s="253" t="n"/>
      <c r="MMN9" s="253" t="n"/>
      <c r="MMO9" s="253" t="n"/>
      <c r="MMP9" s="253" t="n"/>
      <c r="MMQ9" s="253" t="n"/>
      <c r="MMR9" s="253" t="n"/>
      <c r="MMS9" s="253" t="n"/>
      <c r="MMT9" s="253" t="n"/>
      <c r="MMU9" s="253" t="n"/>
      <c r="MMV9" s="253" t="n"/>
      <c r="MMW9" s="253" t="n"/>
      <c r="MMX9" s="253" t="n"/>
      <c r="MMY9" s="253" t="n"/>
      <c r="MMZ9" s="253" t="n"/>
      <c r="MNA9" s="253" t="n"/>
      <c r="MNB9" s="253" t="n"/>
      <c r="MNC9" s="253" t="n"/>
      <c r="MND9" s="253" t="n"/>
      <c r="MNE9" s="253" t="n"/>
      <c r="MNF9" s="253" t="n"/>
      <c r="MNG9" s="253" t="n"/>
      <c r="MNH9" s="253" t="n"/>
      <c r="MNI9" s="253" t="n"/>
      <c r="MNJ9" s="253" t="n"/>
      <c r="MNK9" s="253" t="n"/>
      <c r="MNL9" s="253" t="n"/>
      <c r="MNM9" s="253" t="n"/>
      <c r="MNN9" s="253" t="n"/>
      <c r="MNO9" s="253" t="n"/>
      <c r="MNP9" s="253" t="n"/>
      <c r="MNQ9" s="253" t="n"/>
      <c r="MNR9" s="253" t="n"/>
      <c r="MNS9" s="253" t="n"/>
      <c r="MNT9" s="253" t="n"/>
      <c r="MNU9" s="253" t="n"/>
      <c r="MNV9" s="253" t="n"/>
      <c r="MNW9" s="253" t="n"/>
      <c r="MNX9" s="253" t="n"/>
      <c r="MNY9" s="253" t="n"/>
      <c r="MNZ9" s="253" t="n"/>
      <c r="MOA9" s="253" t="n"/>
      <c r="MOB9" s="253" t="n"/>
      <c r="MOC9" s="253" t="n"/>
      <c r="MOD9" s="253" t="n"/>
      <c r="MOE9" s="253" t="n"/>
      <c r="MOF9" s="253" t="n"/>
      <c r="MOG9" s="253" t="n"/>
      <c r="MOH9" s="253" t="n"/>
      <c r="MOI9" s="253" t="n"/>
      <c r="MOJ9" s="253" t="n"/>
      <c r="MOK9" s="253" t="n"/>
      <c r="MOL9" s="253" t="n"/>
      <c r="MOM9" s="253" t="n"/>
      <c r="MON9" s="253" t="n"/>
      <c r="MOO9" s="253" t="n"/>
      <c r="MOP9" s="253" t="n"/>
      <c r="MOQ9" s="253" t="n"/>
      <c r="MOR9" s="253" t="n"/>
      <c r="MOS9" s="253" t="n"/>
      <c r="MOT9" s="253" t="n"/>
      <c r="MOU9" s="253" t="n"/>
      <c r="MOV9" s="253" t="n"/>
      <c r="MOW9" s="253" t="n"/>
      <c r="MOX9" s="253" t="n"/>
      <c r="MOY9" s="253" t="n"/>
      <c r="MOZ9" s="253" t="n"/>
      <c r="MPA9" s="253" t="n"/>
      <c r="MPB9" s="253" t="n"/>
      <c r="MPC9" s="253" t="n"/>
      <c r="MPD9" s="253" t="n"/>
      <c r="MPE9" s="253" t="n"/>
      <c r="MPF9" s="253" t="n"/>
      <c r="MPG9" s="253" t="n"/>
      <c r="MPH9" s="253" t="n"/>
      <c r="MPI9" s="253" t="n"/>
      <c r="MPJ9" s="253" t="n"/>
      <c r="MPK9" s="253" t="n"/>
      <c r="MPL9" s="253" t="n"/>
      <c r="MPM9" s="253" t="n"/>
      <c r="MPN9" s="253" t="n"/>
      <c r="MPO9" s="253" t="n"/>
      <c r="MPP9" s="253" t="n"/>
      <c r="MPQ9" s="253" t="n"/>
      <c r="MPR9" s="253" t="n"/>
      <c r="MPS9" s="253" t="n"/>
      <c r="MPT9" s="253" t="n"/>
      <c r="MPU9" s="253" t="n"/>
      <c r="MPV9" s="253" t="n"/>
      <c r="MPW9" s="253" t="n"/>
      <c r="MPX9" s="253" t="n"/>
      <c r="MPY9" s="253" t="n"/>
      <c r="MPZ9" s="253" t="n"/>
      <c r="MQA9" s="253" t="n"/>
      <c r="MQB9" s="253" t="n"/>
      <c r="MQC9" s="253" t="n"/>
      <c r="MQD9" s="253" t="n"/>
      <c r="MQE9" s="253" t="n"/>
      <c r="MQF9" s="253" t="n"/>
      <c r="MQG9" s="253" t="n"/>
      <c r="MQH9" s="253" t="n"/>
      <c r="MQI9" s="253" t="n"/>
      <c r="MQJ9" s="253" t="n"/>
      <c r="MQK9" s="253" t="n"/>
      <c r="MQL9" s="253" t="n"/>
      <c r="MQM9" s="253" t="n"/>
      <c r="MQN9" s="253" t="n"/>
      <c r="MQO9" s="253" t="n"/>
      <c r="MQP9" s="253" t="n"/>
      <c r="MQQ9" s="253" t="n"/>
      <c r="MQR9" s="253" t="n"/>
      <c r="MQS9" s="253" t="n"/>
      <c r="MQT9" s="253" t="n"/>
      <c r="MQU9" s="253" t="n"/>
      <c r="MQV9" s="253" t="n"/>
      <c r="MQW9" s="253" t="n"/>
      <c r="MQX9" s="253" t="n"/>
      <c r="MQY9" s="253" t="n"/>
      <c r="MQZ9" s="253" t="n"/>
      <c r="MRA9" s="253" t="n"/>
      <c r="MRB9" s="253" t="n"/>
      <c r="MRC9" s="253" t="n"/>
      <c r="MRD9" s="253" t="n"/>
      <c r="MRE9" s="253" t="n"/>
      <c r="MRF9" s="253" t="n"/>
      <c r="MRG9" s="253" t="n"/>
      <c r="MRH9" s="253" t="n"/>
      <c r="MRI9" s="253" t="n"/>
      <c r="MRJ9" s="253" t="n"/>
      <c r="MRK9" s="253" t="n"/>
      <c r="MRL9" s="253" t="n"/>
      <c r="MRM9" s="253" t="n"/>
      <c r="MRN9" s="253" t="n"/>
      <c r="MRO9" s="253" t="n"/>
      <c r="MRP9" s="253" t="n"/>
      <c r="MRQ9" s="253" t="n"/>
      <c r="MRR9" s="253" t="n"/>
      <c r="MRS9" s="253" t="n"/>
      <c r="MRT9" s="253" t="n"/>
      <c r="MRU9" s="253" t="n"/>
      <c r="MRV9" s="253" t="n"/>
      <c r="MRW9" s="253" t="n"/>
      <c r="MRX9" s="253" t="n"/>
      <c r="MRY9" s="253" t="n"/>
      <c r="MRZ9" s="253" t="n"/>
      <c r="MSA9" s="253" t="n"/>
      <c r="MSB9" s="253" t="n"/>
      <c r="MSC9" s="253" t="n"/>
      <c r="MSD9" s="253" t="n"/>
      <c r="MSE9" s="253" t="n"/>
      <c r="MSF9" s="253" t="n"/>
      <c r="MSG9" s="253" t="n"/>
      <c r="MSH9" s="253" t="n"/>
      <c r="MSI9" s="253" t="n"/>
      <c r="MSJ9" s="253" t="n"/>
      <c r="MSK9" s="253" t="n"/>
      <c r="MSL9" s="253" t="n"/>
      <c r="MSM9" s="253" t="n"/>
      <c r="MSN9" s="253" t="n"/>
      <c r="MSO9" s="253" t="n"/>
      <c r="MSP9" s="253" t="n"/>
      <c r="MSQ9" s="253" t="n"/>
      <c r="MSR9" s="253" t="n"/>
      <c r="MSS9" s="253" t="n"/>
      <c r="MST9" s="253" t="n"/>
      <c r="MSU9" s="253" t="n"/>
      <c r="MSV9" s="253" t="n"/>
      <c r="MSW9" s="253" t="n"/>
      <c r="MSX9" s="253" t="n"/>
      <c r="MSY9" s="253" t="n"/>
      <c r="MSZ9" s="253" t="n"/>
      <c r="MTA9" s="253" t="n"/>
      <c r="MTB9" s="253" t="n"/>
      <c r="MTC9" s="253" t="n"/>
      <c r="MTD9" s="253" t="n"/>
      <c r="MTE9" s="253" t="n"/>
      <c r="MTF9" s="253" t="n"/>
      <c r="MTG9" s="253" t="n"/>
      <c r="MTH9" s="253" t="n"/>
      <c r="MTI9" s="253" t="n"/>
      <c r="MTJ9" s="253" t="n"/>
      <c r="MTK9" s="253" t="n"/>
      <c r="MTL9" s="253" t="n"/>
      <c r="MTM9" s="253" t="n"/>
      <c r="MTN9" s="253" t="n"/>
      <c r="MTO9" s="253" t="n"/>
      <c r="MTP9" s="253" t="n"/>
      <c r="MTQ9" s="253" t="n"/>
      <c r="MTR9" s="253" t="n"/>
      <c r="MTS9" s="253" t="n"/>
      <c r="MTT9" s="253" t="n"/>
      <c r="MTU9" s="253" t="n"/>
      <c r="MTV9" s="253" t="n"/>
      <c r="MTW9" s="253" t="n"/>
      <c r="MTX9" s="253" t="n"/>
      <c r="MTY9" s="253" t="n"/>
      <c r="MTZ9" s="253" t="n"/>
      <c r="MUA9" s="253" t="n"/>
      <c r="MUB9" s="253" t="n"/>
      <c r="MUC9" s="253" t="n"/>
      <c r="MUD9" s="253" t="n"/>
      <c r="MUE9" s="253" t="n"/>
      <c r="MUF9" s="253" t="n"/>
      <c r="MUG9" s="253" t="n"/>
      <c r="MUH9" s="253" t="n"/>
      <c r="MUI9" s="253" t="n"/>
      <c r="MUJ9" s="253" t="n"/>
      <c r="MUK9" s="253" t="n"/>
      <c r="MUL9" s="253" t="n"/>
      <c r="MUM9" s="253" t="n"/>
      <c r="MUN9" s="253" t="n"/>
      <c r="MUO9" s="253" t="n"/>
      <c r="MUP9" s="253" t="n"/>
      <c r="MUQ9" s="253" t="n"/>
      <c r="MUR9" s="253" t="n"/>
      <c r="MUS9" s="253" t="n"/>
      <c r="MUT9" s="253" t="n"/>
      <c r="MUU9" s="253" t="n"/>
      <c r="MUV9" s="253" t="n"/>
      <c r="MUW9" s="253" t="n"/>
      <c r="MUX9" s="253" t="n"/>
      <c r="MUY9" s="253" t="n"/>
      <c r="MUZ9" s="253" t="n"/>
      <c r="MVA9" s="253" t="n"/>
      <c r="MVB9" s="253" t="n"/>
      <c r="MVC9" s="253" t="n"/>
      <c r="MVD9" s="253" t="n"/>
      <c r="MVE9" s="253" t="n"/>
      <c r="MVF9" s="253" t="n"/>
      <c r="MVG9" s="253" t="n"/>
      <c r="MVH9" s="253" t="n"/>
      <c r="MVI9" s="253" t="n"/>
      <c r="MVJ9" s="253" t="n"/>
      <c r="MVK9" s="253" t="n"/>
      <c r="MVL9" s="253" t="n"/>
      <c r="MVM9" s="253" t="n"/>
      <c r="MVN9" s="253" t="n"/>
      <c r="MVO9" s="253" t="n"/>
      <c r="MVP9" s="253" t="n"/>
      <c r="MVQ9" s="253" t="n"/>
      <c r="MVR9" s="253" t="n"/>
      <c r="MVS9" s="253" t="n"/>
      <c r="MVT9" s="253" t="n"/>
      <c r="MVU9" s="253" t="n"/>
      <c r="MVV9" s="253" t="n"/>
      <c r="MVW9" s="253" t="n"/>
      <c r="MVX9" s="253" t="n"/>
      <c r="MVY9" s="253" t="n"/>
      <c r="MVZ9" s="253" t="n"/>
      <c r="MWA9" s="253" t="n"/>
      <c r="MWB9" s="253" t="n"/>
      <c r="MWC9" s="253" t="n"/>
      <c r="MWD9" s="253" t="n"/>
      <c r="MWE9" s="253" t="n"/>
      <c r="MWF9" s="253" t="n"/>
      <c r="MWG9" s="253" t="n"/>
      <c r="MWH9" s="253" t="n"/>
      <c r="MWI9" s="253" t="n"/>
      <c r="MWJ9" s="253" t="n"/>
      <c r="MWK9" s="253" t="n"/>
      <c r="MWL9" s="253" t="n"/>
      <c r="MWM9" s="253" t="n"/>
      <c r="MWN9" s="253" t="n"/>
      <c r="MWO9" s="253" t="n"/>
      <c r="MWP9" s="253" t="n"/>
      <c r="MWQ9" s="253" t="n"/>
      <c r="MWR9" s="253" t="n"/>
      <c r="MWS9" s="253" t="n"/>
      <c r="MWT9" s="253" t="n"/>
      <c r="MWU9" s="253" t="n"/>
      <c r="MWV9" s="253" t="n"/>
      <c r="MWW9" s="253" t="n"/>
      <c r="MWX9" s="253" t="n"/>
      <c r="MWY9" s="253" t="n"/>
      <c r="MWZ9" s="253" t="n"/>
      <c r="MXA9" s="253" t="n"/>
      <c r="MXB9" s="253" t="n"/>
      <c r="MXC9" s="253" t="n"/>
      <c r="MXD9" s="253" t="n"/>
      <c r="MXE9" s="253" t="n"/>
      <c r="MXF9" s="253" t="n"/>
      <c r="MXG9" s="253" t="n"/>
      <c r="MXH9" s="253" t="n"/>
      <c r="MXI9" s="253" t="n"/>
      <c r="MXJ9" s="253" t="n"/>
      <c r="MXK9" s="253" t="n"/>
      <c r="MXL9" s="253" t="n"/>
      <c r="MXM9" s="253" t="n"/>
      <c r="MXN9" s="253" t="n"/>
      <c r="MXO9" s="253" t="n"/>
      <c r="MXP9" s="253" t="n"/>
      <c r="MXQ9" s="253" t="n"/>
      <c r="MXR9" s="253" t="n"/>
      <c r="MXS9" s="253" t="n"/>
      <c r="MXT9" s="253" t="n"/>
      <c r="MXU9" s="253" t="n"/>
      <c r="MXV9" s="253" t="n"/>
      <c r="MXW9" s="253" t="n"/>
      <c r="MXX9" s="253" t="n"/>
      <c r="MXY9" s="253" t="n"/>
      <c r="MXZ9" s="253" t="n"/>
      <c r="MYA9" s="253" t="n"/>
      <c r="MYB9" s="253" t="n"/>
      <c r="MYC9" s="253" t="n"/>
      <c r="MYD9" s="253" t="n"/>
      <c r="MYE9" s="253" t="n"/>
      <c r="MYF9" s="253" t="n"/>
      <c r="MYG9" s="253" t="n"/>
      <c r="MYH9" s="253" t="n"/>
      <c r="MYI9" s="253" t="n"/>
      <c r="MYJ9" s="253" t="n"/>
      <c r="MYK9" s="253" t="n"/>
      <c r="MYL9" s="253" t="n"/>
      <c r="MYM9" s="253" t="n"/>
      <c r="MYN9" s="253" t="n"/>
      <c r="MYO9" s="253" t="n"/>
      <c r="MYP9" s="253" t="n"/>
      <c r="MYQ9" s="253" t="n"/>
      <c r="MYR9" s="253" t="n"/>
      <c r="MYS9" s="253" t="n"/>
      <c r="MYT9" s="253" t="n"/>
      <c r="MYU9" s="253" t="n"/>
      <c r="MYV9" s="253" t="n"/>
      <c r="MYW9" s="253" t="n"/>
      <c r="MYX9" s="253" t="n"/>
      <c r="MYY9" s="253" t="n"/>
      <c r="MYZ9" s="253" t="n"/>
      <c r="MZA9" s="253" t="n"/>
      <c r="MZB9" s="253" t="n"/>
      <c r="MZC9" s="253" t="n"/>
      <c r="MZD9" s="253" t="n"/>
      <c r="MZE9" s="253" t="n"/>
      <c r="MZF9" s="253" t="n"/>
      <c r="MZG9" s="253" t="n"/>
      <c r="MZH9" s="253" t="n"/>
      <c r="MZI9" s="253" t="n"/>
      <c r="MZJ9" s="253" t="n"/>
      <c r="MZK9" s="253" t="n"/>
      <c r="MZL9" s="253" t="n"/>
      <c r="MZM9" s="253" t="n"/>
      <c r="MZN9" s="253" t="n"/>
      <c r="MZO9" s="253" t="n"/>
      <c r="MZP9" s="253" t="n"/>
      <c r="MZQ9" s="253" t="n"/>
      <c r="MZR9" s="253" t="n"/>
      <c r="MZS9" s="253" t="n"/>
      <c r="MZT9" s="253" t="n"/>
      <c r="MZU9" s="253" t="n"/>
      <c r="MZV9" s="253" t="n"/>
      <c r="MZW9" s="253" t="n"/>
      <c r="MZX9" s="253" t="n"/>
      <c r="MZY9" s="253" t="n"/>
      <c r="MZZ9" s="253" t="n"/>
      <c r="NAA9" s="253" t="n"/>
      <c r="NAB9" s="253" t="n"/>
      <c r="NAC9" s="253" t="n"/>
      <c r="NAD9" s="253" t="n"/>
      <c r="NAE9" s="253" t="n"/>
      <c r="NAF9" s="253" t="n"/>
      <c r="NAG9" s="253" t="n"/>
      <c r="NAH9" s="253" t="n"/>
      <c r="NAI9" s="253" t="n"/>
      <c r="NAJ9" s="253" t="n"/>
      <c r="NAK9" s="253" t="n"/>
      <c r="NAL9" s="253" t="n"/>
      <c r="NAM9" s="253" t="n"/>
      <c r="NAN9" s="253" t="n"/>
      <c r="NAO9" s="253" t="n"/>
      <c r="NAP9" s="253" t="n"/>
      <c r="NAQ9" s="253" t="n"/>
      <c r="NAR9" s="253" t="n"/>
      <c r="NAS9" s="253" t="n"/>
      <c r="NAT9" s="253" t="n"/>
      <c r="NAU9" s="253" t="n"/>
      <c r="NAV9" s="253" t="n"/>
      <c r="NAW9" s="253" t="n"/>
      <c r="NAX9" s="253" t="n"/>
      <c r="NAY9" s="253" t="n"/>
      <c r="NAZ9" s="253" t="n"/>
      <c r="NBA9" s="253" t="n"/>
      <c r="NBB9" s="253" t="n"/>
      <c r="NBC9" s="253" t="n"/>
      <c r="NBD9" s="253" t="n"/>
      <c r="NBE9" s="253" t="n"/>
      <c r="NBF9" s="253" t="n"/>
      <c r="NBG9" s="253" t="n"/>
      <c r="NBH9" s="253" t="n"/>
      <c r="NBI9" s="253" t="n"/>
      <c r="NBJ9" s="253" t="n"/>
      <c r="NBK9" s="253" t="n"/>
      <c r="NBL9" s="253" t="n"/>
      <c r="NBM9" s="253" t="n"/>
      <c r="NBN9" s="253" t="n"/>
      <c r="NBO9" s="253" t="n"/>
      <c r="NBP9" s="253" t="n"/>
      <c r="NBQ9" s="253" t="n"/>
      <c r="NBR9" s="253" t="n"/>
      <c r="NBS9" s="253" t="n"/>
      <c r="NBT9" s="253" t="n"/>
      <c r="NBU9" s="253" t="n"/>
      <c r="NBV9" s="253" t="n"/>
      <c r="NBW9" s="253" t="n"/>
      <c r="NBX9" s="253" t="n"/>
      <c r="NBY9" s="253" t="n"/>
      <c r="NBZ9" s="253" t="n"/>
      <c r="NCA9" s="253" t="n"/>
      <c r="NCB9" s="253" t="n"/>
      <c r="NCC9" s="253" t="n"/>
      <c r="NCD9" s="253" t="n"/>
      <c r="NCE9" s="253" t="n"/>
      <c r="NCF9" s="253" t="n"/>
      <c r="NCG9" s="253" t="n"/>
      <c r="NCH9" s="253" t="n"/>
      <c r="NCI9" s="253" t="n"/>
      <c r="NCJ9" s="253" t="n"/>
      <c r="NCK9" s="253" t="n"/>
      <c r="NCL9" s="253" t="n"/>
      <c r="NCM9" s="253" t="n"/>
      <c r="NCN9" s="253" t="n"/>
      <c r="NCO9" s="253" t="n"/>
      <c r="NCP9" s="253" t="n"/>
      <c r="NCQ9" s="253" t="n"/>
      <c r="NCR9" s="253" t="n"/>
      <c r="NCS9" s="253" t="n"/>
      <c r="NCT9" s="253" t="n"/>
      <c r="NCU9" s="253" t="n"/>
      <c r="NCV9" s="253" t="n"/>
      <c r="NCW9" s="253" t="n"/>
      <c r="NCX9" s="253" t="n"/>
      <c r="NCY9" s="253" t="n"/>
      <c r="NCZ9" s="253" t="n"/>
      <c r="NDA9" s="253" t="n"/>
      <c r="NDB9" s="253" t="n"/>
      <c r="NDC9" s="253" t="n"/>
      <c r="NDD9" s="253" t="n"/>
      <c r="NDE9" s="253" t="n"/>
      <c r="NDF9" s="253" t="n"/>
      <c r="NDG9" s="253" t="n"/>
      <c r="NDH9" s="253" t="n"/>
      <c r="NDI9" s="253" t="n"/>
      <c r="NDJ9" s="253" t="n"/>
      <c r="NDK9" s="253" t="n"/>
      <c r="NDL9" s="253" t="n"/>
      <c r="NDM9" s="253" t="n"/>
      <c r="NDN9" s="253" t="n"/>
      <c r="NDO9" s="253" t="n"/>
      <c r="NDP9" s="253" t="n"/>
      <c r="NDQ9" s="253" t="n"/>
      <c r="NDR9" s="253" t="n"/>
      <c r="NDS9" s="253" t="n"/>
      <c r="NDT9" s="253" t="n"/>
      <c r="NDU9" s="253" t="n"/>
      <c r="NDV9" s="253" t="n"/>
      <c r="NDW9" s="253" t="n"/>
      <c r="NDX9" s="253" t="n"/>
      <c r="NDY9" s="253" t="n"/>
      <c r="NDZ9" s="253" t="n"/>
      <c r="NEA9" s="253" t="n"/>
      <c r="NEB9" s="253" t="n"/>
      <c r="NEC9" s="253" t="n"/>
      <c r="NED9" s="253" t="n"/>
      <c r="NEE9" s="253" t="n"/>
      <c r="NEF9" s="253" t="n"/>
      <c r="NEG9" s="253" t="n"/>
      <c r="NEH9" s="253" t="n"/>
      <c r="NEI9" s="253" t="n"/>
      <c r="NEJ9" s="253" t="n"/>
      <c r="NEK9" s="253" t="n"/>
      <c r="NEL9" s="253" t="n"/>
      <c r="NEM9" s="253" t="n"/>
      <c r="NEN9" s="253" t="n"/>
      <c r="NEO9" s="253" t="n"/>
      <c r="NEP9" s="253" t="n"/>
      <c r="NEQ9" s="253" t="n"/>
      <c r="NER9" s="253" t="n"/>
      <c r="NES9" s="253" t="n"/>
      <c r="NET9" s="253" t="n"/>
      <c r="NEU9" s="253" t="n"/>
      <c r="NEV9" s="253" t="n"/>
      <c r="NEW9" s="253" t="n"/>
      <c r="NEX9" s="253" t="n"/>
      <c r="NEY9" s="253" t="n"/>
      <c r="NEZ9" s="253" t="n"/>
      <c r="NFA9" s="253" t="n"/>
      <c r="NFB9" s="253" t="n"/>
      <c r="NFC9" s="253" t="n"/>
      <c r="NFD9" s="253" t="n"/>
      <c r="NFE9" s="253" t="n"/>
      <c r="NFF9" s="253" t="n"/>
      <c r="NFG9" s="253" t="n"/>
      <c r="NFH9" s="253" t="n"/>
      <c r="NFI9" s="253" t="n"/>
      <c r="NFJ9" s="253" t="n"/>
      <c r="NFK9" s="253" t="n"/>
      <c r="NFL9" s="253" t="n"/>
      <c r="NFM9" s="253" t="n"/>
      <c r="NFN9" s="253" t="n"/>
      <c r="NFO9" s="253" t="n"/>
      <c r="NFP9" s="87" t="n"/>
    </row>
    <row r="10">
      <c r="KFK10" s="253" t="n"/>
      <c r="KFL10" s="253" t="n"/>
      <c r="KFM10" s="253" t="n"/>
      <c r="KFN10" s="253" t="n"/>
      <c r="KFO10" s="253" t="n"/>
      <c r="KFP10" s="253" t="n"/>
      <c r="KFQ10" s="253" t="n"/>
      <c r="KFR10" s="253" t="n"/>
      <c r="KFS10" s="253" t="n"/>
      <c r="KFT10" s="253" t="n"/>
      <c r="KFU10" s="253" t="n"/>
      <c r="KFV10" s="253" t="n"/>
      <c r="KFW10" s="253" t="n"/>
      <c r="KFX10" s="253" t="n"/>
      <c r="KFY10" s="253" t="n"/>
      <c r="KFZ10" s="253" t="n"/>
      <c r="KGA10" s="253" t="n"/>
      <c r="KGB10" s="253" t="n"/>
      <c r="KGC10" s="253" t="n"/>
      <c r="KGD10" s="253" t="n"/>
      <c r="KGE10" s="253" t="n"/>
      <c r="KGF10" s="253" t="n"/>
      <c r="KGG10" s="253" t="n"/>
      <c r="KGH10" s="253" t="n"/>
      <c r="KGI10" s="253" t="n"/>
      <c r="KGJ10" s="253" t="n"/>
      <c r="KGK10" s="253" t="n"/>
      <c r="KGL10" s="253" t="n"/>
      <c r="KGM10" s="253" t="n"/>
      <c r="KGN10" s="253" t="n"/>
      <c r="KGO10" s="253" t="n"/>
      <c r="KGP10" s="253" t="n"/>
      <c r="KGQ10" s="253" t="n"/>
      <c r="KGR10" s="253" t="n"/>
      <c r="KGS10" s="253" t="n"/>
      <c r="KGT10" s="253" t="n"/>
      <c r="KGU10" s="253" t="n"/>
      <c r="KGV10" s="253" t="n"/>
      <c r="KGW10" s="253" t="n"/>
      <c r="KGX10" s="253" t="n"/>
      <c r="KGY10" s="253" t="n"/>
      <c r="KGZ10" s="253" t="n"/>
      <c r="KHA10" s="253" t="n"/>
      <c r="KHB10" s="253" t="n"/>
      <c r="KHC10" s="253" t="n"/>
      <c r="KHD10" s="253" t="n"/>
      <c r="KHE10" s="253" t="n"/>
      <c r="KHF10" s="253" t="n"/>
      <c r="KHG10" s="253" t="n"/>
      <c r="KHH10" s="253" t="n"/>
      <c r="KHI10" s="253" t="n"/>
      <c r="KHJ10" s="253" t="n"/>
      <c r="KHK10" s="253" t="n"/>
      <c r="KHL10" s="253" t="n"/>
      <c r="KHM10" s="253" t="n"/>
      <c r="KHN10" s="253" t="n"/>
      <c r="KHO10" s="253" t="n"/>
      <c r="KHP10" s="253" t="n"/>
      <c r="KHQ10" s="253" t="n"/>
      <c r="KHR10" s="253" t="n"/>
      <c r="KHS10" s="253" t="n"/>
      <c r="KHT10" s="253" t="n"/>
      <c r="KHU10" s="253" t="n"/>
      <c r="KHV10" s="253" t="n"/>
      <c r="KHW10" s="253" t="n"/>
      <c r="KHX10" s="253" t="n"/>
      <c r="KHY10" s="253" t="n"/>
      <c r="KHZ10" s="253" t="n"/>
      <c r="KIA10" s="253" t="n"/>
      <c r="KIB10" s="253" t="n"/>
      <c r="KIC10" s="253" t="n"/>
      <c r="KID10" s="253" t="n"/>
      <c r="KIE10" s="253" t="n"/>
      <c r="KIF10" s="253" t="n"/>
      <c r="KIG10" s="253" t="n"/>
      <c r="KIH10" s="253" t="n"/>
      <c r="KII10" s="253" t="n"/>
      <c r="KIJ10" s="253" t="n"/>
      <c r="KIK10" s="253" t="n"/>
      <c r="KIL10" s="253" t="n"/>
      <c r="KIM10" s="253" t="n"/>
      <c r="KIN10" s="253" t="n"/>
      <c r="KIO10" s="253" t="n"/>
      <c r="KIP10" s="253" t="n"/>
      <c r="KIQ10" s="253" t="n"/>
      <c r="KIR10" s="253" t="n"/>
      <c r="KIS10" s="253" t="n"/>
      <c r="KIT10" s="253" t="n"/>
      <c r="KIU10" s="253" t="n"/>
      <c r="KIV10" s="253" t="n"/>
      <c r="KIW10" s="253" t="n"/>
      <c r="KIX10" s="253" t="n"/>
      <c r="KIY10" s="253" t="n"/>
      <c r="KIZ10" s="253" t="n"/>
      <c r="KJA10" s="253" t="n"/>
      <c r="KJB10" s="253" t="n"/>
      <c r="KJC10" s="253" t="n"/>
      <c r="KJD10" s="253" t="n"/>
      <c r="KJE10" s="253" t="n"/>
      <c r="KJF10" s="253" t="n"/>
      <c r="KJG10" s="253" t="n"/>
      <c r="KJH10" s="253" t="n"/>
      <c r="KJI10" s="253" t="n"/>
      <c r="KJJ10" s="253" t="n"/>
      <c r="KJK10" s="253" t="n"/>
      <c r="KJL10" s="253" t="n"/>
      <c r="KJM10" s="253" t="n"/>
      <c r="KJN10" s="253" t="n"/>
      <c r="KJO10" s="253" t="n"/>
      <c r="KJP10" s="253" t="n"/>
      <c r="KJQ10" s="253" t="n"/>
      <c r="KJR10" s="253" t="n"/>
      <c r="KJS10" s="253" t="n"/>
      <c r="KJT10" s="253" t="n"/>
      <c r="KJU10" s="253" t="n"/>
      <c r="KJV10" s="253" t="n"/>
      <c r="KJW10" s="253" t="n"/>
      <c r="KJX10" s="253" t="n"/>
      <c r="KJY10" s="253" t="n"/>
      <c r="KJZ10" s="253" t="n"/>
      <c r="KKA10" s="253" t="n"/>
      <c r="KKB10" s="253" t="n"/>
      <c r="KKC10" s="253" t="n"/>
      <c r="KKD10" s="253" t="n"/>
      <c r="KKE10" s="253" t="n"/>
      <c r="KKF10" s="253" t="n"/>
      <c r="KKG10" s="253" t="n"/>
      <c r="KKH10" s="253" t="n"/>
      <c r="KKI10" s="253" t="n"/>
      <c r="KKJ10" s="253" t="n"/>
      <c r="KKK10" s="253" t="n"/>
      <c r="KKL10" s="253" t="n"/>
      <c r="KKM10" s="253" t="n"/>
      <c r="KKN10" s="253" t="n"/>
      <c r="KKO10" s="253" t="n"/>
      <c r="KKP10" s="253" t="n"/>
      <c r="KKQ10" s="253" t="n"/>
      <c r="KKR10" s="253" t="n"/>
      <c r="KKS10" s="253" t="n"/>
      <c r="KKT10" s="253" t="n"/>
      <c r="KKU10" s="253" t="n"/>
      <c r="KKV10" s="253" t="n"/>
      <c r="KKW10" s="253" t="n"/>
      <c r="KKX10" s="253" t="n"/>
      <c r="KKY10" s="253" t="n"/>
      <c r="KKZ10" s="253" t="n"/>
      <c r="KLA10" s="253" t="n"/>
      <c r="KLB10" s="253" t="n"/>
      <c r="KLC10" s="253" t="n"/>
      <c r="KLD10" s="253" t="n"/>
      <c r="KLE10" s="253" t="n"/>
      <c r="KLF10" s="253" t="n"/>
      <c r="KLG10" s="253" t="n"/>
      <c r="KLH10" s="253" t="n"/>
      <c r="KLI10" s="253" t="n"/>
      <c r="KLJ10" s="253" t="n"/>
      <c r="KLK10" s="253" t="n"/>
      <c r="KLL10" s="253" t="n"/>
      <c r="KLM10" s="253" t="n"/>
      <c r="KLN10" s="253" t="n"/>
      <c r="KLO10" s="253" t="n"/>
      <c r="KLP10" s="253" t="n"/>
      <c r="KLQ10" s="253" t="n"/>
      <c r="KLR10" s="253" t="n"/>
      <c r="KLS10" s="253" t="n"/>
      <c r="KLT10" s="253" t="n"/>
      <c r="KLU10" s="253" t="n"/>
      <c r="KLV10" s="253" t="n"/>
      <c r="KLW10" s="253" t="n"/>
      <c r="KLX10" s="253" t="n"/>
      <c r="KLY10" s="253" t="n"/>
      <c r="KLZ10" s="253" t="n"/>
      <c r="KMA10" s="253" t="n"/>
      <c r="KMB10" s="253" t="n"/>
      <c r="KMC10" s="253" t="n"/>
      <c r="KMD10" s="253" t="n"/>
      <c r="KME10" s="253" t="n"/>
      <c r="KMF10" s="253" t="n"/>
      <c r="KMG10" s="253" t="n"/>
      <c r="KMH10" s="253" t="n"/>
      <c r="KMI10" s="253" t="n"/>
      <c r="KMJ10" s="253" t="n"/>
      <c r="KMK10" s="253" t="n"/>
      <c r="KML10" s="253" t="n"/>
      <c r="KMM10" s="253" t="n"/>
      <c r="KMN10" s="253" t="n"/>
      <c r="KMO10" s="253" t="n"/>
      <c r="KMP10" s="253" t="n"/>
      <c r="KMQ10" s="253" t="n"/>
      <c r="KMR10" s="253" t="n"/>
      <c r="KMS10" s="253" t="n"/>
      <c r="KMT10" s="253" t="n"/>
      <c r="KMU10" s="253" t="n"/>
      <c r="KMV10" s="253" t="n"/>
      <c r="KMW10" s="253" t="n"/>
      <c r="KMX10" s="253" t="n"/>
      <c r="KMY10" s="253" t="n"/>
      <c r="KMZ10" s="253" t="n"/>
      <c r="KNA10" s="253" t="n"/>
      <c r="KNB10" s="253" t="n"/>
      <c r="KNC10" s="253" t="n"/>
      <c r="KND10" s="253" t="n"/>
      <c r="KNE10" s="253" t="n"/>
      <c r="KNF10" s="253" t="n"/>
      <c r="KNG10" s="253" t="n"/>
      <c r="KNH10" s="253" t="n"/>
      <c r="KNI10" s="253" t="n"/>
      <c r="KNJ10" s="253" t="n"/>
      <c r="KNK10" s="253" t="n"/>
      <c r="KNL10" s="253" t="n"/>
      <c r="KNM10" s="253" t="n"/>
      <c r="KNN10" s="253" t="n"/>
      <c r="KNO10" s="253" t="n"/>
      <c r="KNP10" s="253" t="n"/>
      <c r="KNQ10" s="253" t="n"/>
      <c r="KNR10" s="253" t="n"/>
      <c r="KNS10" s="253" t="n"/>
      <c r="KNT10" s="253" t="n"/>
      <c r="KNU10" s="253" t="n"/>
      <c r="KNV10" s="253" t="n"/>
      <c r="KNW10" s="253" t="n"/>
      <c r="KNX10" s="253" t="n"/>
      <c r="KNY10" s="253" t="n"/>
      <c r="KNZ10" s="253" t="n"/>
      <c r="KOA10" s="253" t="n"/>
      <c r="KOB10" s="253" t="n"/>
      <c r="KOC10" s="253" t="n"/>
      <c r="KOD10" s="253" t="n"/>
      <c r="KOE10" s="253" t="n"/>
      <c r="KOF10" s="253" t="n"/>
      <c r="KOG10" s="253" t="n"/>
      <c r="KOH10" s="253" t="n"/>
      <c r="KOI10" s="253" t="n"/>
      <c r="KOJ10" s="253" t="n"/>
      <c r="KOK10" s="253" t="n"/>
      <c r="KOL10" s="253" t="n"/>
      <c r="KOM10" s="253" t="n"/>
      <c r="KON10" s="253" t="n"/>
      <c r="KOO10" s="253" t="n"/>
      <c r="KOP10" s="253" t="n"/>
      <c r="KOQ10" s="253" t="n"/>
      <c r="KOR10" s="253" t="n"/>
      <c r="KOS10" s="253" t="n"/>
      <c r="KOT10" s="253" t="n"/>
      <c r="KOU10" s="253" t="n"/>
      <c r="KOV10" s="253" t="n"/>
      <c r="KOW10" s="253" t="n"/>
      <c r="KOX10" s="253" t="n"/>
      <c r="KOY10" s="253" t="n"/>
      <c r="KOZ10" s="253" t="n"/>
      <c r="KPA10" s="253" t="n"/>
      <c r="KPB10" s="253" t="n"/>
      <c r="KPC10" s="253" t="n"/>
      <c r="KPD10" s="253" t="n"/>
      <c r="KPE10" s="253" t="n"/>
      <c r="KPF10" s="253" t="n"/>
      <c r="KPG10" s="253" t="n"/>
      <c r="KPH10" s="253" t="n"/>
      <c r="KPI10" s="253" t="n"/>
      <c r="KPJ10" s="253" t="n"/>
      <c r="KPK10" s="253" t="n"/>
      <c r="KPL10" s="253" t="n"/>
      <c r="KPM10" s="253" t="n"/>
      <c r="KPN10" s="253" t="n"/>
      <c r="KPO10" s="253" t="n"/>
      <c r="KPP10" s="253" t="n"/>
      <c r="KPQ10" s="253" t="n"/>
      <c r="KPR10" s="253" t="n"/>
      <c r="KPS10" s="253" t="n"/>
      <c r="KPT10" s="253" t="n"/>
      <c r="KPU10" s="253" t="n"/>
      <c r="KPV10" s="253" t="n"/>
      <c r="KPW10" s="253" t="n"/>
      <c r="KPX10" s="253" t="n"/>
      <c r="KPY10" s="253" t="n"/>
      <c r="KPZ10" s="253" t="n"/>
      <c r="KQA10" s="253" t="n"/>
      <c r="KQB10" s="253" t="n"/>
      <c r="KQC10" s="253" t="n"/>
      <c r="KQD10" s="253" t="n"/>
      <c r="KQE10" s="253" t="n"/>
      <c r="KQF10" s="253" t="n"/>
      <c r="KQG10" s="253" t="n"/>
      <c r="KQH10" s="253" t="n"/>
      <c r="KQI10" s="253" t="n"/>
      <c r="KQJ10" s="253" t="n"/>
      <c r="KQK10" s="253" t="n"/>
      <c r="KQL10" s="253" t="n"/>
      <c r="KQM10" s="253" t="n"/>
      <c r="KQN10" s="253" t="n"/>
      <c r="KQO10" s="253" t="n"/>
      <c r="KQP10" s="253" t="n"/>
      <c r="KQQ10" s="253" t="n"/>
      <c r="KQR10" s="253" t="n"/>
      <c r="KQS10" s="253" t="n"/>
      <c r="KQT10" s="253" t="n"/>
      <c r="KQU10" s="253" t="n"/>
      <c r="KQV10" s="253" t="n"/>
      <c r="KQW10" s="253" t="n"/>
      <c r="KQX10" s="253" t="n"/>
      <c r="KQY10" s="253" t="n"/>
      <c r="KQZ10" s="253" t="n"/>
      <c r="KRA10" s="253" t="n"/>
      <c r="KRB10" s="253" t="n"/>
      <c r="KRC10" s="253" t="n"/>
      <c r="KRD10" s="253" t="n"/>
      <c r="KRE10" s="253" t="n"/>
      <c r="KRF10" s="253" t="n"/>
      <c r="KRG10" s="253" t="n"/>
      <c r="KRH10" s="253" t="n"/>
      <c r="KRI10" s="253" t="n"/>
      <c r="KRJ10" s="253" t="n"/>
      <c r="KRK10" s="253" t="n"/>
      <c r="KRL10" s="253" t="n"/>
      <c r="KRM10" s="253" t="n"/>
      <c r="KRN10" s="253" t="n"/>
      <c r="KRO10" s="253" t="n"/>
      <c r="KRP10" s="253" t="n"/>
      <c r="KRQ10" s="253" t="n"/>
      <c r="KRR10" s="253" t="n"/>
      <c r="KRS10" s="253" t="n"/>
      <c r="KRT10" s="253" t="n"/>
      <c r="KRU10" s="253" t="n"/>
      <c r="KRV10" s="253" t="n"/>
      <c r="KRW10" s="253" t="n"/>
      <c r="KRX10" s="253" t="n"/>
      <c r="KRY10" s="253" t="n"/>
      <c r="KRZ10" s="253" t="n"/>
      <c r="KSA10" s="253" t="n"/>
      <c r="KSB10" s="253" t="n"/>
      <c r="KSC10" s="253" t="n"/>
      <c r="KSD10" s="253" t="n"/>
      <c r="KSE10" s="253" t="n"/>
      <c r="KSF10" s="253" t="n"/>
      <c r="KSG10" s="253" t="n"/>
      <c r="KSH10" s="253" t="n"/>
      <c r="KSI10" s="253" t="n"/>
      <c r="KSJ10" s="253" t="n"/>
      <c r="KSK10" s="253" t="n"/>
      <c r="KSL10" s="253" t="n"/>
      <c r="KSM10" s="253" t="n"/>
      <c r="KSN10" s="253" t="n"/>
      <c r="KSO10" s="253" t="n"/>
      <c r="KSP10" s="253" t="n"/>
      <c r="KSQ10" s="253" t="n"/>
      <c r="KSR10" s="253" t="n"/>
      <c r="KSS10" s="253" t="n"/>
      <c r="KST10" s="253" t="n"/>
      <c r="KSU10" s="253" t="n"/>
      <c r="KSV10" s="253" t="n"/>
      <c r="KSW10" s="253" t="n"/>
      <c r="KSX10" s="253" t="n"/>
      <c r="KSY10" s="253" t="n"/>
      <c r="KSZ10" s="253" t="n"/>
      <c r="KTA10" s="253" t="n"/>
      <c r="KTB10" s="253" t="n"/>
      <c r="KTC10" s="253" t="n"/>
      <c r="KTD10" s="253" t="n"/>
      <c r="KTE10" s="253" t="n"/>
      <c r="KTF10" s="253" t="n"/>
      <c r="KTG10" s="253" t="n"/>
      <c r="KTH10" s="253" t="n"/>
      <c r="KTI10" s="253" t="n"/>
      <c r="KTJ10" s="253" t="n"/>
      <c r="KTK10" s="253" t="n"/>
      <c r="KTL10" s="253" t="n"/>
      <c r="KTM10" s="253" t="n"/>
      <c r="KTN10" s="253" t="n"/>
      <c r="KTO10" s="253" t="n"/>
      <c r="KTP10" s="253" t="n"/>
      <c r="KTQ10" s="253" t="n"/>
      <c r="KTR10" s="253" t="n"/>
      <c r="KTS10" s="253" t="n"/>
      <c r="KTT10" s="253" t="n"/>
      <c r="KTU10" s="253" t="n"/>
      <c r="KTV10" s="253" t="n"/>
      <c r="KTW10" s="253" t="n"/>
      <c r="KTX10" s="253" t="n"/>
      <c r="KTY10" s="253" t="n"/>
      <c r="KTZ10" s="253" t="n"/>
      <c r="KUA10" s="253" t="n"/>
      <c r="KUB10" s="253" t="n"/>
      <c r="KUC10" s="253" t="n"/>
      <c r="KUD10" s="253" t="n"/>
      <c r="KUE10" s="253" t="n"/>
      <c r="KUF10" s="253" t="n"/>
      <c r="KUG10" s="253" t="n"/>
      <c r="KUH10" s="253" t="n"/>
      <c r="KUI10" s="253" t="n"/>
      <c r="KUJ10" s="253" t="n"/>
      <c r="KUK10" s="253" t="n"/>
      <c r="KUL10" s="253" t="n"/>
      <c r="KUM10" s="253" t="n"/>
      <c r="KUN10" s="253" t="n"/>
      <c r="KUO10" s="253" t="n"/>
      <c r="KUP10" s="253" t="n"/>
      <c r="KUQ10" s="253" t="n"/>
      <c r="KUR10" s="253" t="n"/>
      <c r="KUS10" s="253" t="n"/>
      <c r="KUT10" s="253" t="n"/>
      <c r="KUU10" s="253" t="n"/>
      <c r="KUV10" s="253" t="n"/>
      <c r="KUW10" s="253" t="n"/>
      <c r="KUX10" s="253" t="n"/>
      <c r="KUY10" s="253" t="n"/>
      <c r="KUZ10" s="253" t="n"/>
      <c r="KVA10" s="253" t="n"/>
      <c r="KVB10" s="253" t="n"/>
      <c r="KVC10" s="253" t="n"/>
      <c r="KVD10" s="253" t="n"/>
      <c r="KVE10" s="253" t="n"/>
      <c r="KVF10" s="253" t="n"/>
      <c r="KVG10" s="253" t="n"/>
      <c r="KVH10" s="253" t="n"/>
      <c r="KVI10" s="253" t="n"/>
      <c r="KVJ10" s="253" t="n"/>
      <c r="KVK10" s="253" t="n"/>
      <c r="KVL10" s="253" t="n"/>
      <c r="KVM10" s="253" t="n"/>
      <c r="KVN10" s="253" t="n"/>
      <c r="KVO10" s="253" t="n"/>
      <c r="KVP10" s="253" t="n"/>
      <c r="KVQ10" s="253" t="n"/>
      <c r="KVR10" s="253" t="n"/>
      <c r="KVS10" s="253" t="n"/>
      <c r="KVT10" s="253" t="n"/>
      <c r="KVU10" s="253" t="n"/>
      <c r="KVV10" s="253" t="n"/>
      <c r="KVW10" s="253" t="n"/>
      <c r="KVX10" s="253" t="n"/>
      <c r="KVY10" s="253" t="n"/>
      <c r="KVZ10" s="253" t="n"/>
      <c r="KWA10" s="253" t="n"/>
      <c r="KWB10" s="253" t="n"/>
      <c r="KWC10" s="253" t="n"/>
      <c r="KWD10" s="253" t="n"/>
      <c r="KWE10" s="253" t="n"/>
      <c r="KWF10" s="253" t="n"/>
      <c r="KWG10" s="253" t="n"/>
      <c r="KWH10" s="253" t="n"/>
      <c r="KWI10" s="253" t="n"/>
      <c r="KWJ10" s="253" t="n"/>
      <c r="KWK10" s="253" t="n"/>
      <c r="KWL10" s="253" t="n"/>
      <c r="KWM10" s="253" t="n"/>
      <c r="KWN10" s="253" t="n"/>
      <c r="KWO10" s="253" t="n"/>
      <c r="KWP10" s="253" t="n"/>
      <c r="KWQ10" s="253" t="n"/>
      <c r="KWR10" s="253" t="n"/>
      <c r="KWS10" s="253" t="n"/>
      <c r="KWT10" s="253" t="n"/>
      <c r="KWU10" s="253" t="n"/>
      <c r="KWV10" s="253" t="n"/>
      <c r="KWW10" s="253" t="n"/>
      <c r="KWX10" s="253" t="n"/>
      <c r="KWY10" s="253" t="n"/>
      <c r="KWZ10" s="253" t="n"/>
      <c r="KXA10" s="253" t="n"/>
      <c r="KXB10" s="253" t="n"/>
      <c r="KXC10" s="253" t="n"/>
      <c r="KXD10" s="253" t="n"/>
      <c r="KXE10" s="253" t="n"/>
      <c r="KXF10" s="253" t="n"/>
      <c r="KXG10" s="253" t="n"/>
      <c r="KXH10" s="253" t="n"/>
      <c r="KXI10" s="253" t="n"/>
      <c r="KXJ10" s="253" t="n"/>
      <c r="KXK10" s="253" t="n"/>
      <c r="KXL10" s="253" t="n"/>
      <c r="KXM10" s="253" t="n"/>
      <c r="KXN10" s="253" t="n"/>
      <c r="KXO10" s="253" t="n"/>
      <c r="KXP10" s="253" t="n"/>
      <c r="KXQ10" s="253" t="n"/>
      <c r="KXR10" s="253" t="n"/>
      <c r="KXS10" s="253" t="n"/>
      <c r="KXT10" s="253" t="n"/>
      <c r="KXU10" s="253" t="n"/>
      <c r="KXV10" s="253" t="n"/>
      <c r="KXW10" s="253" t="n"/>
      <c r="KXX10" s="253" t="n"/>
      <c r="KXY10" s="253" t="n"/>
      <c r="KXZ10" s="253" t="n"/>
      <c r="KYA10" s="253" t="n"/>
      <c r="KYB10" s="253" t="n"/>
      <c r="KYC10" s="253" t="n"/>
      <c r="KYD10" s="253" t="n"/>
      <c r="KYE10" s="253" t="n"/>
      <c r="KYF10" s="253" t="n"/>
      <c r="KYG10" s="253" t="n"/>
      <c r="KYH10" s="253" t="n"/>
      <c r="KYI10" s="253" t="n"/>
      <c r="KYJ10" s="253" t="n"/>
      <c r="KYK10" s="253" t="n"/>
      <c r="KYL10" s="253" t="n"/>
      <c r="KYM10" s="253" t="n"/>
      <c r="KYN10" s="253" t="n"/>
      <c r="KYO10" s="253" t="n"/>
      <c r="KYP10" s="253" t="n"/>
      <c r="KYQ10" s="253" t="n"/>
      <c r="KYR10" s="253" t="n"/>
      <c r="KYS10" s="253" t="n"/>
      <c r="KYT10" s="253" t="n"/>
      <c r="KYU10" s="253" t="n"/>
      <c r="KYV10" s="253" t="n"/>
      <c r="KYW10" s="253" t="n"/>
      <c r="KYX10" s="253" t="n"/>
      <c r="KYY10" s="253" t="n"/>
      <c r="KYZ10" s="253" t="n"/>
      <c r="KZA10" s="253" t="n"/>
      <c r="KZB10" s="253" t="n"/>
      <c r="KZC10" s="253" t="n"/>
      <c r="KZD10" s="253" t="n"/>
      <c r="KZE10" s="253" t="n"/>
      <c r="KZF10" s="253" t="n"/>
      <c r="KZG10" s="253" t="n"/>
      <c r="KZH10" s="253" t="n"/>
      <c r="KZI10" s="253" t="n"/>
      <c r="KZJ10" s="253" t="n"/>
      <c r="KZK10" s="253" t="n"/>
      <c r="KZL10" s="253" t="n"/>
      <c r="KZM10" s="253" t="n"/>
      <c r="KZN10" s="253" t="n"/>
      <c r="KZO10" s="253" t="n"/>
      <c r="KZP10" s="253" t="n"/>
      <c r="KZQ10" s="253" t="n"/>
      <c r="KZR10" s="253" t="n"/>
      <c r="KZS10" s="253" t="n"/>
      <c r="KZT10" s="253" t="n"/>
      <c r="KZU10" s="253" t="n"/>
      <c r="KZV10" s="253" t="n"/>
      <c r="KZW10" s="253" t="n"/>
      <c r="KZX10" s="253" t="n"/>
      <c r="KZY10" s="253" t="n"/>
      <c r="KZZ10" s="253" t="n"/>
      <c r="LAA10" s="253" t="n"/>
      <c r="LAB10" s="253" t="n"/>
      <c r="LAC10" s="253" t="n"/>
      <c r="LAD10" s="253" t="n"/>
      <c r="LAE10" s="253" t="n"/>
      <c r="LAF10" s="253" t="n"/>
      <c r="LAG10" s="253" t="n"/>
      <c r="LAH10" s="253" t="n"/>
      <c r="LAI10" s="253" t="n"/>
      <c r="LAJ10" s="253" t="n"/>
      <c r="LAK10" s="253" t="n"/>
      <c r="LAL10" s="253" t="n"/>
      <c r="LAM10" s="253" t="n"/>
      <c r="LAN10" s="253" t="n"/>
      <c r="LAO10" s="253" t="n"/>
      <c r="LAP10" s="253" t="n"/>
      <c r="LAQ10" s="253" t="n"/>
      <c r="LAR10" s="253" t="n"/>
      <c r="LAS10" s="253" t="n"/>
      <c r="LAT10" s="253" t="n"/>
      <c r="LAU10" s="253" t="n"/>
      <c r="LAV10" s="253" t="n"/>
      <c r="LAW10" s="253" t="n"/>
      <c r="LAX10" s="253" t="n"/>
      <c r="LAY10" s="253" t="n"/>
      <c r="LAZ10" s="253" t="n"/>
      <c r="LBA10" s="253" t="n"/>
      <c r="LBB10" s="253" t="n"/>
      <c r="LBC10" s="253" t="n"/>
      <c r="LBD10" s="253" t="n"/>
      <c r="LBE10" s="253" t="n"/>
      <c r="LBF10" s="253" t="n"/>
      <c r="LBG10" s="253" t="n"/>
      <c r="LBH10" s="253" t="n"/>
      <c r="LBI10" s="253" t="n"/>
      <c r="LBJ10" s="253" t="n"/>
      <c r="LBK10" s="253" t="n"/>
      <c r="LBL10" s="253" t="n"/>
      <c r="LBM10" s="253" t="n"/>
      <c r="LBN10" s="253" t="n"/>
      <c r="LBO10" s="253" t="n"/>
      <c r="LBP10" s="253" t="n"/>
      <c r="LBQ10" s="253" t="n"/>
      <c r="LBR10" s="253" t="n"/>
      <c r="LBS10" s="253" t="n"/>
      <c r="LBT10" s="253" t="n"/>
      <c r="LBU10" s="253" t="n"/>
      <c r="LBV10" s="253" t="n"/>
      <c r="LBW10" s="253" t="n"/>
      <c r="LBX10" s="253" t="n"/>
      <c r="LBY10" s="253" t="n"/>
      <c r="LBZ10" s="253" t="n"/>
      <c r="LCA10" s="253" t="n"/>
      <c r="LCB10" s="253" t="n"/>
      <c r="LCC10" s="253" t="n"/>
      <c r="LCD10" s="253" t="n"/>
      <c r="LCE10" s="253" t="n"/>
      <c r="LCF10" s="253" t="n"/>
      <c r="LCG10" s="253" t="n"/>
      <c r="LCH10" s="253" t="n"/>
      <c r="LCI10" s="253" t="n"/>
      <c r="LCJ10" s="253" t="n"/>
      <c r="LCK10" s="253" t="n"/>
      <c r="LCL10" s="253" t="n"/>
      <c r="LCM10" s="253" t="n"/>
      <c r="LCN10" s="253" t="n"/>
      <c r="LCO10" s="253" t="n"/>
      <c r="LCP10" s="253" t="n"/>
      <c r="LCQ10" s="253" t="n"/>
      <c r="LCR10" s="253" t="n"/>
      <c r="LCS10" s="253" t="n"/>
      <c r="LCT10" s="253" t="n"/>
      <c r="LCU10" s="253" t="n"/>
      <c r="LCV10" s="253" t="n"/>
      <c r="LCW10" s="253" t="n"/>
      <c r="LCX10" s="253" t="n"/>
      <c r="LCY10" s="253" t="n"/>
      <c r="LCZ10" s="253" t="n"/>
      <c r="LDA10" s="253" t="n"/>
      <c r="LDB10" s="253" t="n"/>
      <c r="LDC10" s="253" t="n"/>
      <c r="LDD10" s="253" t="n"/>
      <c r="LDE10" s="253" t="n"/>
      <c r="LDF10" s="253" t="n"/>
      <c r="LDG10" s="253" t="n"/>
      <c r="LDH10" s="253" t="n"/>
      <c r="LDI10" s="253" t="n"/>
      <c r="LDJ10" s="253" t="n"/>
      <c r="LDK10" s="253" t="n"/>
      <c r="LDL10" s="253" t="n"/>
      <c r="LDM10" s="253" t="n"/>
      <c r="LDN10" s="253" t="n"/>
      <c r="LDO10" s="253" t="n"/>
      <c r="LDP10" s="253" t="n"/>
      <c r="LDQ10" s="253" t="n"/>
      <c r="LDR10" s="253" t="n"/>
      <c r="LDS10" s="253" t="n"/>
      <c r="LDT10" s="253" t="n"/>
      <c r="LDU10" s="253" t="n"/>
      <c r="LDV10" s="253" t="n"/>
      <c r="LDW10" s="253" t="n"/>
      <c r="LDX10" s="253" t="n"/>
      <c r="LDY10" s="253" t="n"/>
      <c r="LDZ10" s="253" t="n"/>
      <c r="LEA10" s="253" t="n"/>
      <c r="LEB10" s="253" t="n"/>
      <c r="LEC10" s="253" t="n"/>
      <c r="LED10" s="253" t="n"/>
      <c r="LEE10" s="253" t="n"/>
      <c r="LEF10" s="253" t="n"/>
      <c r="LEG10" s="253" t="n"/>
      <c r="LEH10" s="253" t="n"/>
      <c r="LEI10" s="253" t="n"/>
      <c r="LEJ10" s="253" t="n"/>
      <c r="LEK10" s="253" t="n"/>
      <c r="LEL10" s="253" t="n"/>
      <c r="LEM10" s="253" t="n"/>
      <c r="LEN10" s="253" t="n"/>
      <c r="LEO10" s="253" t="n"/>
      <c r="LEP10" s="253" t="n"/>
      <c r="LEQ10" s="253" t="n"/>
      <c r="LER10" s="253" t="n"/>
      <c r="LES10" s="253" t="n"/>
      <c r="LET10" s="253" t="n"/>
      <c r="LEU10" s="253" t="n"/>
      <c r="LEV10" s="253" t="n"/>
      <c r="LEW10" s="253" t="n"/>
      <c r="LEX10" s="253" t="n"/>
      <c r="LEY10" s="253" t="n"/>
      <c r="LEZ10" s="253" t="n"/>
      <c r="LFA10" s="253" t="n"/>
      <c r="LFB10" s="253" t="n"/>
      <c r="LFC10" s="253" t="n"/>
      <c r="LFD10" s="253" t="n"/>
      <c r="LFE10" s="253" t="n"/>
      <c r="LFF10" s="253" t="n"/>
      <c r="LFG10" s="253" t="n"/>
      <c r="LFH10" s="253" t="n"/>
      <c r="LFI10" s="253" t="n"/>
      <c r="LFJ10" s="253" t="n"/>
      <c r="LFK10" s="253" t="n"/>
      <c r="LFL10" s="252" t="n"/>
      <c r="LFM10" s="253" t="n"/>
      <c r="LFN10" s="253" t="n"/>
      <c r="LFO10" s="253" t="n"/>
      <c r="LFP10" s="253" t="n"/>
      <c r="LFQ10" s="253" t="n"/>
      <c r="LFR10" s="253" t="n"/>
      <c r="LFS10" s="253" t="n"/>
      <c r="LFT10" s="253" t="n"/>
      <c r="LFU10" s="253" t="n"/>
      <c r="LFV10" s="253" t="n"/>
      <c r="LFW10" s="253" t="n"/>
      <c r="LFX10" s="253" t="n"/>
      <c r="LFY10" s="253" t="n"/>
      <c r="LFZ10" s="253" t="n"/>
      <c r="LGA10" s="253" t="n"/>
      <c r="LGB10" s="253" t="n"/>
      <c r="LGC10" s="253" t="n"/>
      <c r="LGD10" s="253" t="n"/>
      <c r="LGE10" s="253" t="n"/>
      <c r="LGF10" s="253" t="n"/>
      <c r="LGG10" s="253" t="n"/>
      <c r="LGH10" s="253" t="n"/>
      <c r="LGI10" s="253" t="n"/>
      <c r="LGJ10" s="253" t="n"/>
      <c r="LGK10" s="253" t="n"/>
      <c r="LGL10" s="253" t="n"/>
      <c r="LGM10" s="253" t="n"/>
      <c r="LGN10" s="253" t="n"/>
      <c r="LGO10" s="253" t="n"/>
      <c r="LGP10" s="253" t="n"/>
      <c r="LGQ10" s="253" t="n"/>
      <c r="LGR10" s="253" t="n"/>
      <c r="LGS10" s="253" t="n"/>
      <c r="LGT10" s="253" t="n"/>
      <c r="LGU10" s="253" t="n"/>
      <c r="LGV10" s="253" t="n"/>
      <c r="LGW10" s="253" t="n"/>
      <c r="LGX10" s="253" t="n"/>
      <c r="LGY10" s="253" t="n"/>
      <c r="LGZ10" s="253" t="n"/>
      <c r="LHA10" s="253" t="n"/>
      <c r="LHB10" s="253" t="n"/>
      <c r="LHC10" s="253" t="n"/>
      <c r="LHD10" s="253" t="n"/>
      <c r="LHE10" s="253" t="n"/>
      <c r="LHF10" s="253" t="n"/>
      <c r="LHG10" s="253" t="n"/>
      <c r="LHH10" s="253" t="n"/>
      <c r="LHI10" s="253" t="n"/>
      <c r="LHJ10" s="253" t="n"/>
      <c r="LHK10" s="253" t="n"/>
      <c r="LHL10" s="253" t="n"/>
      <c r="LHM10" s="253" t="n"/>
      <c r="LHN10" s="253" t="n"/>
      <c r="LHO10" s="253" t="n"/>
      <c r="LHP10" s="253" t="n"/>
      <c r="LHQ10" s="253" t="n"/>
      <c r="LHR10" s="253" t="n"/>
      <c r="LHS10" s="253" t="n"/>
      <c r="LHT10" s="253" t="n"/>
      <c r="LHU10" s="253" t="n"/>
      <c r="LHV10" s="253" t="n"/>
      <c r="LHW10" s="253" t="n"/>
      <c r="LHX10" s="253" t="n"/>
      <c r="LHY10" s="253" t="n"/>
      <c r="LHZ10" s="253" t="n"/>
      <c r="LIA10" s="253" t="n"/>
      <c r="LIB10" s="253" t="n"/>
      <c r="LIC10" s="253" t="n"/>
      <c r="LID10" s="253" t="n"/>
      <c r="LIE10" s="253" t="n"/>
      <c r="LIF10" s="253" t="n"/>
      <c r="LIG10" s="253" t="n"/>
      <c r="LIH10" s="253" t="n"/>
      <c r="LII10" s="253" t="n"/>
      <c r="LIJ10" s="253" t="n"/>
      <c r="LIK10" s="253" t="n"/>
      <c r="LIL10" s="253" t="n"/>
      <c r="LIM10" s="253" t="n"/>
      <c r="LIN10" s="253" t="n"/>
      <c r="LIO10" s="253" t="n"/>
      <c r="LIP10" s="253" t="n"/>
      <c r="LIQ10" s="253" t="n"/>
      <c r="LIR10" s="253" t="n"/>
      <c r="LIS10" s="253" t="n"/>
      <c r="LIT10" s="253" t="n"/>
      <c r="LIU10" s="253" t="n"/>
      <c r="LIV10" s="253" t="n"/>
      <c r="LIW10" s="253" t="n"/>
      <c r="LIX10" s="253" t="n"/>
      <c r="LIY10" s="253" t="n"/>
      <c r="LIZ10" s="253" t="n"/>
      <c r="LJA10" s="253" t="n"/>
      <c r="LJB10" s="253" t="n"/>
      <c r="LJC10" s="253" t="n"/>
      <c r="LJD10" s="253" t="n"/>
      <c r="LJE10" s="253" t="n"/>
      <c r="LJF10" s="253" t="n"/>
      <c r="LJG10" s="253" t="n"/>
      <c r="LJH10" s="253" t="n"/>
      <c r="LJI10" s="253" t="n"/>
      <c r="LJJ10" s="253" t="n"/>
      <c r="LJK10" s="253" t="n"/>
      <c r="LJL10" s="253" t="n"/>
      <c r="LJM10" s="253" t="n"/>
      <c r="LJN10" s="253" t="n"/>
      <c r="LJO10" s="253" t="n"/>
      <c r="LJP10" s="253" t="n"/>
      <c r="LJQ10" s="253" t="n"/>
      <c r="LJR10" s="253" t="n"/>
      <c r="LJS10" s="253" t="n"/>
      <c r="LJT10" s="253" t="n"/>
      <c r="LJU10" s="253" t="n"/>
      <c r="LJV10" s="253" t="n"/>
      <c r="LJW10" s="253" t="n"/>
      <c r="LJX10" s="253" t="n"/>
      <c r="LJY10" s="253" t="n"/>
      <c r="LJZ10" s="253" t="n"/>
      <c r="LKA10" s="253" t="n"/>
      <c r="LKB10" s="253" t="n"/>
      <c r="LKC10" s="253" t="n"/>
      <c r="LKD10" s="253" t="n"/>
      <c r="LKE10" s="253" t="n"/>
      <c r="LKF10" s="253" t="n"/>
      <c r="LKG10" s="253" t="n"/>
      <c r="LKH10" s="253" t="n"/>
      <c r="LKI10" s="253" t="n"/>
      <c r="LKJ10" s="253" t="n"/>
      <c r="LKK10" s="253" t="n"/>
      <c r="LKL10" s="253" t="n"/>
      <c r="LKM10" s="253" t="n"/>
      <c r="LKN10" s="253" t="n"/>
      <c r="LKO10" s="253" t="n"/>
      <c r="LKP10" s="253" t="n"/>
      <c r="LKQ10" s="253" t="n"/>
      <c r="LKR10" s="253" t="n"/>
      <c r="LKS10" s="253" t="n"/>
      <c r="LKT10" s="253" t="n"/>
      <c r="LKU10" s="253" t="n"/>
      <c r="LKV10" s="253" t="n"/>
      <c r="LKW10" s="253" t="n"/>
      <c r="LKX10" s="253" t="n"/>
      <c r="LKY10" s="253" t="n"/>
      <c r="LKZ10" s="253" t="n"/>
      <c r="LLA10" s="253" t="n"/>
      <c r="LLB10" s="253" t="n"/>
      <c r="LLC10" s="253" t="n"/>
      <c r="LLD10" s="253" t="n"/>
      <c r="LLE10" s="253" t="n"/>
      <c r="LLF10" s="253" t="n"/>
      <c r="LLG10" s="253" t="n"/>
      <c r="LLH10" s="253" t="n"/>
      <c r="LLI10" s="253" t="n"/>
      <c r="LLJ10" s="253" t="n"/>
      <c r="LLK10" s="253" t="n"/>
      <c r="LLL10" s="253" t="n"/>
      <c r="LLM10" s="253" t="n"/>
      <c r="LLN10" s="253" t="n"/>
      <c r="LLO10" s="253" t="n"/>
      <c r="LLP10" s="253" t="n"/>
      <c r="LLQ10" s="253" t="n"/>
      <c r="LLR10" s="253" t="n"/>
      <c r="LLS10" s="253" t="n"/>
      <c r="LLT10" s="253" t="n"/>
      <c r="LLU10" s="253" t="n"/>
      <c r="LLV10" s="253" t="n"/>
      <c r="LLW10" s="253" t="n"/>
      <c r="LLX10" s="253" t="n"/>
      <c r="LLY10" s="253" t="n"/>
      <c r="LLZ10" s="253" t="n"/>
      <c r="LMA10" s="253" t="n"/>
      <c r="LMB10" s="253" t="n"/>
      <c r="LMC10" s="253" t="n"/>
      <c r="LMD10" s="253" t="n"/>
      <c r="LME10" s="253" t="n"/>
      <c r="LMF10" s="253" t="n"/>
      <c r="LMG10" s="253" t="n"/>
      <c r="LMH10" s="253" t="n"/>
      <c r="LMI10" s="253" t="n"/>
      <c r="LMJ10" s="253" t="n"/>
      <c r="LMK10" s="253" t="n"/>
      <c r="LML10" s="253" t="n"/>
      <c r="LMM10" s="253" t="n"/>
      <c r="LMN10" s="253" t="n"/>
      <c r="LMO10" s="253" t="n"/>
      <c r="LMP10" s="253" t="n"/>
      <c r="LMQ10" s="253" t="n"/>
      <c r="LMR10" s="253" t="n"/>
      <c r="LMS10" s="253" t="n"/>
      <c r="LMT10" s="253" t="n"/>
      <c r="LMU10" s="253" t="n"/>
      <c r="LMV10" s="253" t="n"/>
      <c r="LMW10" s="253" t="n"/>
      <c r="LMX10" s="253" t="n"/>
      <c r="LMY10" s="253" t="n"/>
      <c r="LMZ10" s="253" t="n"/>
      <c r="LNA10" s="253" t="n"/>
      <c r="LNB10" s="253" t="n"/>
      <c r="LNC10" s="253" t="n"/>
      <c r="LND10" s="253" t="n"/>
      <c r="LNE10" s="253" t="n"/>
      <c r="LNF10" s="253" t="n"/>
      <c r="LNG10" s="253" t="n"/>
      <c r="LNH10" s="253" t="n"/>
      <c r="LNI10" s="253" t="n"/>
      <c r="LNJ10" s="253" t="n"/>
      <c r="LNK10" s="253" t="n"/>
      <c r="LNL10" s="253" t="n"/>
      <c r="LNM10" s="253" t="n"/>
      <c r="LNN10" s="253" t="n"/>
      <c r="LNO10" s="253" t="n"/>
      <c r="LNP10" s="253" t="n"/>
      <c r="LNQ10" s="253" t="n"/>
      <c r="LNR10" s="253" t="n"/>
      <c r="LNS10" s="253" t="n"/>
      <c r="LNT10" s="253" t="n"/>
      <c r="LNU10" s="253" t="n"/>
      <c r="LNV10" s="253" t="n"/>
      <c r="LNW10" s="253" t="n"/>
      <c r="LNX10" s="253" t="n"/>
      <c r="LNY10" s="253" t="n"/>
      <c r="LNZ10" s="253" t="n"/>
      <c r="LOA10" s="253" t="n"/>
      <c r="LOB10" s="253" t="n"/>
      <c r="LOC10" s="253" t="n"/>
      <c r="LOD10" s="253" t="n"/>
      <c r="LOE10" s="253" t="n"/>
      <c r="LOF10" s="253" t="n"/>
      <c r="LOG10" s="253" t="n"/>
      <c r="LOH10" s="253" t="n"/>
      <c r="LOI10" s="253" t="n"/>
      <c r="LOJ10" s="253" t="n"/>
      <c r="LOK10" s="253" t="n"/>
      <c r="LOL10" s="253" t="n"/>
      <c r="LOM10" s="253" t="n"/>
      <c r="LON10" s="253" t="n"/>
      <c r="LOO10" s="253" t="n"/>
      <c r="LOP10" s="253" t="n"/>
      <c r="LOQ10" s="253" t="n"/>
      <c r="LOR10" s="253" t="n"/>
      <c r="LOS10" s="253" t="n"/>
      <c r="LOT10" s="253" t="n"/>
      <c r="LOU10" s="253" t="n"/>
      <c r="LOV10" s="253" t="n"/>
      <c r="LOW10" s="253" t="n"/>
      <c r="LOX10" s="253" t="n"/>
      <c r="LOY10" s="253" t="n"/>
      <c r="LOZ10" s="253" t="n"/>
      <c r="LPA10" s="253" t="n"/>
      <c r="LPB10" s="253" t="n"/>
      <c r="LPC10" s="253" t="n"/>
      <c r="LPD10" s="253" t="n"/>
      <c r="LPE10" s="253" t="n"/>
      <c r="LPF10" s="253" t="n"/>
      <c r="LPG10" s="253" t="n"/>
      <c r="LPH10" s="253" t="n"/>
      <c r="LPI10" s="253" t="n"/>
      <c r="LPJ10" s="253" t="n"/>
      <c r="LPK10" s="253" t="n"/>
      <c r="LPL10" s="253" t="n"/>
      <c r="LPM10" s="253" t="n"/>
      <c r="LPN10" s="253" t="n"/>
      <c r="LPO10" s="253" t="n"/>
      <c r="LPP10" s="253" t="n"/>
      <c r="LPQ10" s="253" t="n"/>
      <c r="LPR10" s="253" t="n"/>
      <c r="LPS10" s="253" t="n"/>
      <c r="LPT10" s="253" t="n"/>
      <c r="LPU10" s="253" t="n"/>
      <c r="LPV10" s="253" t="n"/>
      <c r="LPW10" s="253" t="n"/>
      <c r="LPX10" s="253" t="n"/>
      <c r="LPY10" s="253" t="n"/>
      <c r="LPZ10" s="253" t="n"/>
      <c r="LQA10" s="253" t="n"/>
      <c r="LQB10" s="253" t="n"/>
      <c r="LQC10" s="253" t="n"/>
      <c r="LQD10" s="253" t="n"/>
      <c r="LQE10" s="253" t="n"/>
      <c r="LQF10" s="253" t="n"/>
      <c r="LQG10" s="253" t="n"/>
      <c r="LQH10" s="253" t="n"/>
      <c r="LQI10" s="253" t="n"/>
      <c r="LQJ10" s="253" t="n"/>
      <c r="LQK10" s="253" t="n"/>
      <c r="LQL10" s="253" t="n"/>
      <c r="LQM10" s="253" t="n"/>
      <c r="LQN10" s="253" t="n"/>
      <c r="LQO10" s="253" t="n"/>
      <c r="LQP10" s="253" t="n"/>
      <c r="LQQ10" s="253" t="n"/>
      <c r="LQR10" s="253" t="n"/>
      <c r="LQS10" s="253" t="n"/>
      <c r="LQT10" s="253" t="n"/>
      <c r="LQU10" s="253" t="n"/>
      <c r="LQV10" s="253" t="n"/>
      <c r="LQW10" s="253" t="n"/>
      <c r="LQX10" s="253" t="n"/>
      <c r="LQY10" s="253" t="n"/>
      <c r="LQZ10" s="253" t="n"/>
      <c r="LRA10" s="253" t="n"/>
      <c r="LRB10" s="253" t="n"/>
      <c r="LRC10" s="253" t="n"/>
      <c r="LRD10" s="253" t="n"/>
      <c r="LRE10" s="253" t="n"/>
      <c r="LRF10" s="253" t="n"/>
      <c r="LRG10" s="253" t="n"/>
      <c r="LRH10" s="253" t="n"/>
      <c r="LRI10" s="253" t="n"/>
      <c r="LRJ10" s="253" t="n"/>
      <c r="LRK10" s="253" t="n"/>
      <c r="LRL10" s="253" t="n"/>
      <c r="LRM10" s="253" t="n"/>
      <c r="LRN10" s="253" t="n"/>
      <c r="LRO10" s="253" t="n"/>
      <c r="LRP10" s="253" t="n"/>
      <c r="LRQ10" s="253" t="n"/>
      <c r="LRR10" s="253" t="n"/>
      <c r="LRS10" s="253" t="n"/>
      <c r="LRT10" s="253" t="n"/>
      <c r="LRU10" s="253" t="n"/>
      <c r="LRV10" s="253" t="n"/>
      <c r="LRW10" s="253" t="n"/>
      <c r="LRX10" s="253" t="n"/>
      <c r="LRY10" s="253" t="n"/>
      <c r="LRZ10" s="253" t="n"/>
      <c r="LSA10" s="253" t="n"/>
      <c r="LSB10" s="253" t="n"/>
      <c r="LSC10" s="253" t="n"/>
      <c r="LSD10" s="253" t="n"/>
      <c r="LSE10" s="253" t="n"/>
      <c r="LSF10" s="253" t="n"/>
      <c r="LSG10" s="253" t="n"/>
      <c r="LSH10" s="253" t="n"/>
      <c r="LSI10" s="253" t="n"/>
      <c r="LSJ10" s="253" t="n"/>
      <c r="LSK10" s="253" t="n"/>
      <c r="LSL10" s="253" t="n"/>
      <c r="LSM10" s="253" t="n"/>
      <c r="LSN10" s="253" t="n"/>
      <c r="LSO10" s="253" t="n"/>
      <c r="LSP10" s="253" t="n"/>
      <c r="LSQ10" s="253" t="n"/>
      <c r="LSR10" s="253" t="n"/>
      <c r="LSS10" s="253" t="n"/>
      <c r="LST10" s="253" t="n"/>
      <c r="LSU10" s="253" t="n"/>
      <c r="LSV10" s="253" t="n"/>
      <c r="LSW10" s="253" t="n"/>
      <c r="LSX10" s="253" t="n"/>
      <c r="LSY10" s="253" t="n"/>
      <c r="LSZ10" s="253" t="n"/>
      <c r="LTA10" s="253" t="n"/>
      <c r="LTB10" s="253" t="n"/>
      <c r="LTC10" s="253" t="n"/>
      <c r="LTD10" s="253" t="n"/>
      <c r="LTE10" s="253" t="n"/>
      <c r="LTF10" s="253" t="n"/>
      <c r="LTG10" s="253" t="n"/>
      <c r="LTH10" s="253" t="n"/>
      <c r="LTI10" s="253" t="n"/>
      <c r="LTJ10" s="253" t="n"/>
      <c r="LTK10" s="253" t="n"/>
      <c r="LTL10" s="253" t="n"/>
      <c r="LTM10" s="253" t="n"/>
      <c r="LTN10" s="253" t="n"/>
      <c r="LTO10" s="253" t="n"/>
      <c r="LTP10" s="253" t="n"/>
      <c r="LTQ10" s="253" t="n"/>
      <c r="LTR10" s="253" t="n"/>
      <c r="LTS10" s="253" t="n"/>
      <c r="LTT10" s="253" t="n"/>
      <c r="LTU10" s="253" t="n"/>
      <c r="LTV10" s="253" t="n"/>
      <c r="LTW10" s="253" t="n"/>
      <c r="LTX10" s="253" t="n"/>
      <c r="LTY10" s="253" t="n"/>
      <c r="LTZ10" s="253" t="n"/>
      <c r="LUA10" s="253" t="n"/>
      <c r="LUB10" s="253" t="n"/>
      <c r="LUC10" s="253" t="n"/>
      <c r="LUD10" s="253" t="n"/>
      <c r="LUE10" s="253" t="n"/>
      <c r="LUF10" s="253" t="n"/>
      <c r="LUG10" s="253" t="n"/>
      <c r="LUH10" s="253" t="n"/>
      <c r="LUI10" s="253" t="n"/>
      <c r="LUJ10" s="253" t="n"/>
      <c r="LUK10" s="253" t="n"/>
      <c r="LUL10" s="253" t="n"/>
      <c r="LUM10" s="253" t="n"/>
      <c r="LUN10" s="253" t="n"/>
      <c r="LUO10" s="253" t="n"/>
      <c r="LUP10" s="253" t="n"/>
      <c r="LUQ10" s="253" t="n"/>
      <c r="LUR10" s="253" t="n"/>
      <c r="LUS10" s="253" t="n"/>
      <c r="LUT10" s="253" t="n"/>
      <c r="LUU10" s="253" t="n"/>
      <c r="LUV10" s="253" t="n"/>
      <c r="LUW10" s="253" t="n"/>
      <c r="LUX10" s="253" t="n"/>
      <c r="LUY10" s="253" t="n"/>
      <c r="LUZ10" s="253" t="n"/>
      <c r="LVA10" s="253" t="n"/>
      <c r="LVB10" s="253" t="n"/>
      <c r="LVC10" s="253" t="n"/>
      <c r="LVD10" s="253" t="n"/>
      <c r="LVE10" s="253" t="n"/>
      <c r="LVF10" s="253" t="n"/>
      <c r="LVG10" s="253" t="n"/>
      <c r="LVH10" s="253" t="n"/>
      <c r="LVI10" s="253" t="n"/>
      <c r="LVJ10" s="253" t="n"/>
      <c r="LVK10" s="253" t="n"/>
      <c r="LVL10" s="253" t="n"/>
      <c r="LVM10" s="253" t="n"/>
      <c r="LVN10" s="253" t="n"/>
      <c r="LVO10" s="253" t="n"/>
      <c r="LVP10" s="253" t="n"/>
      <c r="LVQ10" s="253" t="n"/>
      <c r="LVR10" s="253" t="n"/>
      <c r="LVS10" s="253" t="n"/>
      <c r="LVT10" s="253" t="n"/>
      <c r="LVU10" s="253" t="n"/>
      <c r="LVV10" s="253" t="n"/>
      <c r="LVW10" s="253" t="n"/>
      <c r="LVX10" s="253" t="n"/>
      <c r="LVY10" s="253" t="n"/>
      <c r="LVZ10" s="253" t="n"/>
      <c r="LWA10" s="253" t="n"/>
      <c r="LWB10" s="253" t="n"/>
      <c r="LWC10" s="253" t="n"/>
      <c r="LWD10" s="253" t="n"/>
      <c r="LWE10" s="253" t="n"/>
      <c r="LWF10" s="253" t="n"/>
      <c r="LWG10" s="253" t="n"/>
      <c r="LWH10" s="253" t="n"/>
      <c r="LWI10" s="253" t="n"/>
      <c r="LWJ10" s="253" t="n"/>
      <c r="LWK10" s="253" t="n"/>
      <c r="LWL10" s="253" t="n"/>
      <c r="LWM10" s="253" t="n"/>
      <c r="LWN10" s="253" t="n"/>
      <c r="LWO10" s="253" t="n"/>
      <c r="LWP10" s="253" t="n"/>
      <c r="LWQ10" s="253" t="n"/>
      <c r="LWR10" s="253" t="n"/>
      <c r="LWS10" s="253" t="n"/>
      <c r="LWT10" s="253" t="n"/>
      <c r="LWU10" s="253" t="n"/>
      <c r="LWV10" s="253" t="n"/>
      <c r="LWW10" s="253" t="n"/>
      <c r="LWX10" s="253" t="n"/>
      <c r="LWY10" s="253" t="n"/>
      <c r="LWZ10" s="253" t="n"/>
      <c r="LXA10" s="253" t="n"/>
      <c r="LXB10" s="253" t="n"/>
      <c r="LXC10" s="253" t="n"/>
      <c r="LXD10" s="253" t="n"/>
      <c r="LXE10" s="253" t="n"/>
      <c r="LXF10" s="253" t="n"/>
      <c r="LXG10" s="253" t="n"/>
      <c r="LXH10" s="253" t="n"/>
      <c r="LXI10" s="253" t="n"/>
      <c r="LXJ10" s="253" t="n"/>
      <c r="LXK10" s="253" t="n"/>
      <c r="LXL10" s="253" t="n"/>
      <c r="LXM10" s="253" t="n"/>
      <c r="LXN10" s="253" t="n"/>
      <c r="LXO10" s="253" t="n"/>
      <c r="LXP10" s="253" t="n"/>
      <c r="LXQ10" s="253" t="n"/>
      <c r="LXR10" s="253" t="n"/>
      <c r="LXS10" s="253" t="n"/>
      <c r="LXT10" s="253" t="n"/>
      <c r="LXU10" s="253" t="n"/>
      <c r="LXV10" s="253" t="n"/>
      <c r="LXW10" s="253" t="n"/>
      <c r="LXX10" s="253" t="n"/>
      <c r="LXY10" s="253" t="n"/>
      <c r="LXZ10" s="253" t="n"/>
      <c r="LYA10" s="253" t="n"/>
      <c r="LYB10" s="253" t="n"/>
      <c r="LYC10" s="253" t="n"/>
      <c r="LYD10" s="253" t="n"/>
      <c r="LYE10" s="253" t="n"/>
      <c r="LYF10" s="253" t="n"/>
      <c r="LYG10" s="253" t="n"/>
      <c r="LYH10" s="253" t="n"/>
      <c r="LYI10" s="253" t="n"/>
      <c r="LYJ10" s="253" t="n"/>
      <c r="LYK10" s="253" t="n"/>
      <c r="LYL10" s="253" t="n"/>
      <c r="LYM10" s="253" t="n"/>
      <c r="LYN10" s="253" t="n"/>
      <c r="LYO10" s="253" t="n"/>
      <c r="LYP10" s="253" t="n"/>
      <c r="LYQ10" s="253" t="n"/>
      <c r="LYR10" s="253" t="n"/>
      <c r="LYS10" s="253" t="n"/>
      <c r="LYT10" s="253" t="n"/>
      <c r="LYU10" s="253" t="n"/>
      <c r="LYV10" s="253" t="n"/>
      <c r="LYW10" s="253" t="n"/>
      <c r="LYX10" s="253" t="n"/>
      <c r="LYY10" s="253" t="n"/>
      <c r="LYZ10" s="253" t="n"/>
      <c r="LZA10" s="253" t="n"/>
      <c r="LZB10" s="253" t="n"/>
      <c r="LZC10" s="253" t="n"/>
      <c r="LZD10" s="253" t="n"/>
      <c r="LZE10" s="253" t="n"/>
      <c r="LZF10" s="253" t="n"/>
      <c r="LZG10" s="253" t="n"/>
      <c r="LZH10" s="253" t="n"/>
      <c r="LZI10" s="253" t="n"/>
      <c r="LZJ10" s="253" t="n"/>
      <c r="LZK10" s="253" t="n"/>
      <c r="LZL10" s="253" t="n"/>
      <c r="LZM10" s="253" t="n"/>
      <c r="LZN10" s="253" t="n"/>
      <c r="LZO10" s="253" t="n"/>
      <c r="LZP10" s="253" t="n"/>
      <c r="LZQ10" s="253" t="n"/>
      <c r="LZR10" s="253" t="n"/>
      <c r="LZS10" s="253" t="n"/>
      <c r="LZT10" s="253" t="n"/>
      <c r="LZU10" s="253" t="n"/>
      <c r="LZV10" s="253" t="n"/>
      <c r="LZW10" s="253" t="n"/>
      <c r="LZX10" s="253" t="n"/>
      <c r="LZY10" s="253" t="n"/>
      <c r="LZZ10" s="253" t="n"/>
      <c r="MAA10" s="253" t="n"/>
      <c r="MAB10" s="253" t="n"/>
      <c r="MAC10" s="253" t="n"/>
      <c r="MAD10" s="253" t="n"/>
      <c r="MAE10" s="253" t="n"/>
      <c r="MAF10" s="253" t="n"/>
      <c r="MAG10" s="253" t="n"/>
      <c r="MAH10" s="253" t="n"/>
      <c r="MAI10" s="253" t="n"/>
      <c r="MAJ10" s="253" t="n"/>
      <c r="MAK10" s="253" t="n"/>
      <c r="MAL10" s="253" t="n"/>
      <c r="MAM10" s="253" t="n"/>
      <c r="MAN10" s="253" t="n"/>
      <c r="MAO10" s="253" t="n"/>
      <c r="MAP10" s="253" t="n"/>
      <c r="MAQ10" s="253" t="n"/>
      <c r="MAR10" s="253" t="n"/>
      <c r="MAS10" s="253" t="n"/>
      <c r="MAT10" s="253" t="n"/>
      <c r="MAU10" s="253" t="n"/>
      <c r="MAV10" s="253" t="n"/>
      <c r="MAW10" s="253" t="n"/>
      <c r="MAX10" s="253" t="n"/>
      <c r="MAY10" s="253" t="n"/>
      <c r="MAZ10" s="253" t="n"/>
      <c r="MBA10" s="253" t="n"/>
      <c r="MBB10" s="253" t="n"/>
      <c r="MBC10" s="253" t="n"/>
      <c r="MBD10" s="253" t="n"/>
      <c r="MBE10" s="253" t="n"/>
      <c r="MBF10" s="253" t="n"/>
      <c r="MBG10" s="253" t="n"/>
      <c r="MBH10" s="253" t="n"/>
      <c r="MBI10" s="253" t="n"/>
      <c r="MBJ10" s="253" t="n"/>
      <c r="MBK10" s="253" t="n"/>
      <c r="MBL10" s="253" t="n"/>
      <c r="MBM10" s="253" t="n"/>
      <c r="MBN10" s="253" t="n"/>
      <c r="MBO10" s="253" t="n"/>
      <c r="MBP10" s="253" t="n"/>
      <c r="MBQ10" s="253" t="n"/>
      <c r="MBR10" s="253" t="n"/>
      <c r="MBS10" s="253" t="n"/>
      <c r="MBT10" s="253" t="n"/>
      <c r="MBU10" s="253" t="n"/>
      <c r="MBV10" s="253" t="n"/>
      <c r="MBW10" s="253" t="n"/>
      <c r="MBX10" s="253" t="n"/>
      <c r="MBY10" s="253" t="n"/>
      <c r="MBZ10" s="253" t="n"/>
      <c r="MCA10" s="253" t="n"/>
      <c r="MCB10" s="253" t="n"/>
      <c r="MCC10" s="253" t="n"/>
      <c r="MCD10" s="253" t="n"/>
      <c r="MCE10" s="253" t="n"/>
      <c r="MCF10" s="253" t="n"/>
      <c r="MCG10" s="253" t="n"/>
      <c r="MCH10" s="253" t="n"/>
      <c r="MCI10" s="253" t="n"/>
      <c r="MCJ10" s="253" t="n"/>
      <c r="MCK10" s="253" t="n"/>
      <c r="MCL10" s="253" t="n"/>
      <c r="MCM10" s="253" t="n"/>
      <c r="MCN10" s="253" t="n"/>
      <c r="MCO10" s="253" t="n"/>
      <c r="MCP10" s="253" t="n"/>
      <c r="MCQ10" s="253" t="n"/>
      <c r="MCR10" s="253" t="n"/>
      <c r="MCS10" s="253" t="n"/>
      <c r="MCT10" s="253" t="n"/>
      <c r="MCU10" s="253" t="n"/>
      <c r="MCV10" s="253" t="n"/>
      <c r="MCW10" s="253" t="n"/>
      <c r="MCX10" s="253" t="n"/>
      <c r="MCY10" s="253" t="n"/>
      <c r="MCZ10" s="253" t="n"/>
      <c r="MDA10" s="253" t="n"/>
      <c r="MDB10" s="253" t="n"/>
      <c r="MDC10" s="253" t="n"/>
      <c r="MDD10" s="253" t="n"/>
      <c r="MDE10" s="253" t="n"/>
      <c r="MDF10" s="253" t="n"/>
      <c r="MDG10" s="253" t="n"/>
      <c r="MDH10" s="253" t="n"/>
      <c r="MDI10" s="253" t="n"/>
      <c r="MDJ10" s="253" t="n"/>
      <c r="MDK10" s="253" t="n"/>
      <c r="MDL10" s="253" t="n"/>
      <c r="MDM10" s="253" t="n"/>
      <c r="MDN10" s="253" t="n"/>
      <c r="MDO10" s="253" t="n"/>
      <c r="MDP10" s="253" t="n"/>
      <c r="MDQ10" s="253" t="n"/>
      <c r="MDR10" s="253" t="n"/>
      <c r="MDS10" s="253" t="n"/>
      <c r="MDT10" s="253" t="n"/>
      <c r="MDU10" s="253" t="n"/>
      <c r="MDV10" s="253" t="n"/>
      <c r="MDW10" s="253" t="n"/>
      <c r="MDX10" s="253" t="n"/>
      <c r="MDY10" s="253" t="n"/>
      <c r="MDZ10" s="253" t="n"/>
      <c r="MEA10" s="253" t="n"/>
      <c r="MEB10" s="253" t="n"/>
      <c r="MEC10" s="253" t="n"/>
      <c r="MED10" s="253" t="n"/>
      <c r="MEE10" s="253" t="n"/>
      <c r="MEF10" s="253" t="n"/>
      <c r="MEG10" s="253" t="n"/>
      <c r="MEH10" s="253" t="n"/>
      <c r="MEI10" s="253" t="n"/>
      <c r="MEJ10" s="253" t="n"/>
      <c r="MEK10" s="253" t="n"/>
      <c r="MEL10" s="253" t="n"/>
      <c r="MEM10" s="253" t="n"/>
      <c r="MEN10" s="253" t="n"/>
      <c r="MEO10" s="253" t="n"/>
      <c r="MEP10" s="253" t="n"/>
      <c r="MEQ10" s="253" t="n"/>
      <c r="MER10" s="253" t="n"/>
      <c r="MES10" s="253" t="n"/>
      <c r="MET10" s="253" t="n"/>
      <c r="MEU10" s="253" t="n"/>
      <c r="MEV10" s="253" t="n"/>
      <c r="MEW10" s="253" t="n"/>
      <c r="MEX10" s="253" t="n"/>
      <c r="MEY10" s="253" t="n"/>
      <c r="MEZ10" s="253" t="n"/>
      <c r="MFA10" s="253" t="n"/>
      <c r="MFB10" s="253" t="n"/>
      <c r="MFC10" s="253" t="n"/>
      <c r="MFD10" s="253" t="n"/>
      <c r="MFE10" s="253" t="n"/>
      <c r="MFF10" s="253" t="n"/>
      <c r="MFG10" s="253" t="n"/>
      <c r="MFH10" s="253" t="n"/>
      <c r="MFI10" s="253" t="n"/>
      <c r="MFJ10" s="253" t="n"/>
      <c r="MFK10" s="253" t="n"/>
      <c r="MFL10" s="253" t="n"/>
      <c r="MFM10" s="253" t="n"/>
      <c r="MFN10" s="252" t="n"/>
      <c r="MFO10" s="253" t="n"/>
      <c r="MFP10" s="253" t="n"/>
      <c r="MFQ10" s="253" t="n"/>
      <c r="MFR10" s="253" t="n"/>
      <c r="MFS10" s="253" t="n"/>
      <c r="MFT10" s="253" t="n"/>
      <c r="MFU10" s="253" t="n"/>
      <c r="MFV10" s="253" t="n"/>
      <c r="MFW10" s="253" t="n"/>
      <c r="MFX10" s="253" t="n"/>
      <c r="MFY10" s="253" t="n"/>
      <c r="MFZ10" s="253" t="n"/>
      <c r="MGA10" s="253" t="n"/>
      <c r="MGB10" s="253" t="n"/>
      <c r="MGC10" s="253" t="n"/>
      <c r="MGD10" s="253" t="n"/>
      <c r="MGE10" s="253" t="n"/>
      <c r="MGF10" s="253" t="n"/>
      <c r="MGG10" s="253" t="n"/>
      <c r="MGH10" s="253" t="n"/>
      <c r="MGI10" s="253" t="n"/>
      <c r="MGJ10" s="253" t="n"/>
      <c r="MGK10" s="253" t="n"/>
      <c r="MGL10" s="253" t="n"/>
      <c r="MGM10" s="253" t="n"/>
      <c r="MGN10" s="253" t="n"/>
      <c r="MGO10" s="253" t="n"/>
      <c r="MGP10" s="253" t="n"/>
      <c r="MGQ10" s="253" t="n"/>
      <c r="MGR10" s="253" t="n"/>
      <c r="MGS10" s="253" t="n"/>
      <c r="MGT10" s="253" t="n"/>
      <c r="MGU10" s="253" t="n"/>
      <c r="MGV10" s="253" t="n"/>
      <c r="MGW10" s="253" t="n"/>
      <c r="MGX10" s="253" t="n"/>
      <c r="MGY10" s="253" t="n"/>
      <c r="MGZ10" s="253" t="n"/>
      <c r="MHA10" s="253" t="n"/>
      <c r="MHB10" s="253" t="n"/>
      <c r="MHC10" s="253" t="n"/>
      <c r="MHD10" s="253" t="n"/>
      <c r="MHE10" s="253" t="n"/>
      <c r="MHF10" s="253" t="n"/>
      <c r="MHG10" s="253" t="n"/>
      <c r="MHH10" s="253" t="n"/>
      <c r="MHI10" s="253" t="n"/>
      <c r="MHJ10" s="253" t="n"/>
      <c r="MHK10" s="253" t="n"/>
      <c r="MHL10" s="253" t="n"/>
      <c r="MHM10" s="253" t="n"/>
      <c r="MHN10" s="253" t="n"/>
      <c r="MHO10" s="253" t="n"/>
      <c r="MHP10" s="253" t="n"/>
      <c r="MHQ10" s="253" t="n"/>
      <c r="MHR10" s="253" t="n"/>
      <c r="MHS10" s="253" t="n"/>
      <c r="MHT10" s="253" t="n"/>
      <c r="MHU10" s="253" t="n"/>
      <c r="MHV10" s="253" t="n"/>
      <c r="MHW10" s="253" t="n"/>
      <c r="MHX10" s="253" t="n"/>
      <c r="MHY10" s="253" t="n"/>
      <c r="MHZ10" s="253" t="n"/>
      <c r="MIA10" s="253" t="n"/>
      <c r="MIB10" s="253" t="n"/>
      <c r="MIC10" s="253" t="n"/>
      <c r="MID10" s="253" t="n"/>
      <c r="MIE10" s="253" t="n"/>
      <c r="MIF10" s="253" t="n"/>
      <c r="MIG10" s="253" t="n"/>
      <c r="MIH10" s="253" t="n"/>
      <c r="MII10" s="253" t="n"/>
      <c r="MIJ10" s="253" t="n"/>
      <c r="MIK10" s="253" t="n"/>
      <c r="MIL10" s="253" t="n"/>
      <c r="MIM10" s="253" t="n"/>
      <c r="MIN10" s="253" t="n"/>
      <c r="MIO10" s="253" t="n"/>
      <c r="MIP10" s="253" t="n"/>
      <c r="MIQ10" s="253" t="n"/>
      <c r="MIR10" s="253" t="n"/>
      <c r="MIS10" s="253" t="n"/>
      <c r="MIT10" s="253" t="n"/>
      <c r="MIU10" s="253" t="n"/>
      <c r="MIV10" s="253" t="n"/>
      <c r="MIW10" s="253" t="n"/>
      <c r="MIX10" s="253" t="n"/>
      <c r="MIY10" s="253" t="n"/>
      <c r="MIZ10" s="253" t="n"/>
      <c r="MJA10" s="253" t="n"/>
      <c r="MJB10" s="253" t="n"/>
      <c r="MJC10" s="253" t="n"/>
      <c r="MJD10" s="253" t="n"/>
      <c r="MJE10" s="253" t="n"/>
      <c r="MJF10" s="253" t="n"/>
      <c r="MJG10" s="253" t="n"/>
      <c r="MJH10" s="253" t="n"/>
      <c r="MJI10" s="253" t="n"/>
      <c r="MJJ10" s="253" t="n"/>
      <c r="MJK10" s="253" t="n"/>
      <c r="MJL10" s="253" t="n"/>
      <c r="MJM10" s="253" t="n"/>
      <c r="MJN10" s="253" t="n"/>
      <c r="MJO10" s="253" t="n"/>
      <c r="MJP10" s="253" t="n"/>
      <c r="MJQ10" s="253" t="n"/>
      <c r="MJR10" s="253" t="n"/>
      <c r="MJS10" s="253" t="n"/>
      <c r="MJT10" s="253" t="n"/>
      <c r="MJU10" s="253" t="n"/>
      <c r="MJV10" s="253" t="n"/>
      <c r="MJW10" s="253" t="n"/>
      <c r="MJX10" s="253" t="n"/>
      <c r="MJY10" s="253" t="n"/>
      <c r="MJZ10" s="253" t="n"/>
      <c r="MKA10" s="253" t="n"/>
      <c r="MKB10" s="253" t="n"/>
      <c r="MKC10" s="253" t="n"/>
      <c r="MKD10" s="253" t="n"/>
      <c r="MKE10" s="253" t="n"/>
      <c r="MKF10" s="253" t="n"/>
      <c r="MKG10" s="253" t="n"/>
      <c r="MKH10" s="253" t="n"/>
      <c r="MKI10" s="253" t="n"/>
      <c r="MKJ10" s="253" t="n"/>
      <c r="MKK10" s="253" t="n"/>
      <c r="MKL10" s="253" t="n"/>
      <c r="MKM10" s="253" t="n"/>
      <c r="MKN10" s="253" t="n"/>
      <c r="MKO10" s="253" t="n"/>
      <c r="MKP10" s="253" t="n"/>
      <c r="MKQ10" s="253" t="n"/>
      <c r="MKR10" s="253" t="n"/>
      <c r="MKS10" s="253" t="n"/>
      <c r="MKT10" s="253" t="n"/>
      <c r="MKU10" s="253" t="n"/>
      <c r="MKV10" s="253" t="n"/>
      <c r="MKW10" s="253" t="n"/>
      <c r="MKX10" s="253" t="n"/>
      <c r="MKY10" s="253" t="n"/>
      <c r="MKZ10" s="253" t="n"/>
      <c r="MLA10" s="253" t="n"/>
      <c r="MLB10" s="253" t="n"/>
      <c r="MLC10" s="253" t="n"/>
      <c r="MLD10" s="253" t="n"/>
      <c r="MLE10" s="253" t="n"/>
      <c r="MLF10" s="253" t="n"/>
      <c r="MLG10" s="253" t="n"/>
      <c r="MLH10" s="253" t="n"/>
      <c r="MLI10" s="253" t="n"/>
      <c r="MLJ10" s="253" t="n"/>
      <c r="MLK10" s="253" t="n"/>
      <c r="MLL10" s="253" t="n"/>
      <c r="MLM10" s="253" t="n"/>
      <c r="MLN10" s="253" t="n"/>
      <c r="MLO10" s="253" t="n"/>
      <c r="MLP10" s="253" t="n"/>
      <c r="MLQ10" s="253" t="n"/>
      <c r="MLR10" s="253" t="n"/>
      <c r="MLS10" s="253" t="n"/>
      <c r="MLT10" s="253" t="n"/>
      <c r="MLU10" s="253" t="n"/>
      <c r="MLV10" s="253" t="n"/>
      <c r="MLW10" s="253" t="n"/>
      <c r="MLX10" s="253" t="n"/>
      <c r="MLY10" s="253" t="n"/>
      <c r="MLZ10" s="253" t="n"/>
      <c r="MMA10" s="253" t="n"/>
      <c r="MMB10" s="253" t="n"/>
      <c r="MMC10" s="253" t="n"/>
      <c r="MMD10" s="253" t="n"/>
      <c r="MME10" s="253" t="n"/>
      <c r="MMF10" s="253" t="n"/>
      <c r="MMG10" s="253" t="n"/>
      <c r="MMH10" s="253" t="n"/>
      <c r="MMI10" s="253" t="n"/>
      <c r="MMJ10" s="253" t="n"/>
      <c r="MMK10" s="253" t="n"/>
      <c r="MML10" s="253" t="n"/>
      <c r="MMM10" s="253" t="n"/>
      <c r="MMN10" s="253" t="n"/>
      <c r="MMO10" s="253" t="n"/>
      <c r="MMP10" s="253" t="n"/>
      <c r="MMQ10" s="253" t="n"/>
      <c r="MMR10" s="253" t="n"/>
      <c r="MMS10" s="253" t="n"/>
      <c r="MMT10" s="253" t="n"/>
      <c r="MMU10" s="253" t="n"/>
      <c r="MMV10" s="253" t="n"/>
      <c r="MMW10" s="253" t="n"/>
      <c r="MMX10" s="253" t="n"/>
      <c r="MMY10" s="253" t="n"/>
      <c r="MMZ10" s="253" t="n"/>
      <c r="MNA10" s="253" t="n"/>
      <c r="MNB10" s="253" t="n"/>
      <c r="MNC10" s="253" t="n"/>
      <c r="MND10" s="253" t="n"/>
      <c r="MNE10" s="253" t="n"/>
      <c r="MNF10" s="253" t="n"/>
      <c r="MNG10" s="253" t="n"/>
      <c r="MNH10" s="253" t="n"/>
      <c r="MNI10" s="253" t="n"/>
      <c r="MNJ10" s="253" t="n"/>
      <c r="MNK10" s="253" t="n"/>
      <c r="MNL10" s="253" t="n"/>
      <c r="MNM10" s="253" t="n"/>
      <c r="MNN10" s="253" t="n"/>
      <c r="MNO10" s="253" t="n"/>
      <c r="MNP10" s="253" t="n"/>
      <c r="MNQ10" s="253" t="n"/>
      <c r="MNR10" s="253" t="n"/>
      <c r="MNS10" s="253" t="n"/>
      <c r="MNT10" s="253" t="n"/>
      <c r="MNU10" s="253" t="n"/>
      <c r="MNV10" s="253" t="n"/>
      <c r="MNW10" s="253" t="n"/>
      <c r="MNX10" s="253" t="n"/>
      <c r="MNY10" s="253" t="n"/>
      <c r="MNZ10" s="253" t="n"/>
      <c r="MOA10" s="253" t="n"/>
      <c r="MOB10" s="253" t="n"/>
      <c r="MOC10" s="253" t="n"/>
      <c r="MOD10" s="253" t="n"/>
      <c r="MOE10" s="253" t="n"/>
      <c r="MOF10" s="253" t="n"/>
      <c r="MOG10" s="253" t="n"/>
      <c r="MOH10" s="253" t="n"/>
      <c r="MOI10" s="253" t="n"/>
      <c r="MOJ10" s="253" t="n"/>
      <c r="MOK10" s="253" t="n"/>
      <c r="MOL10" s="253" t="n"/>
      <c r="MOM10" s="253" t="n"/>
      <c r="MON10" s="253" t="n"/>
      <c r="MOO10" s="253" t="n"/>
      <c r="MOP10" s="253" t="n"/>
      <c r="MOQ10" s="253" t="n"/>
      <c r="MOR10" s="253" t="n"/>
      <c r="MOS10" s="253" t="n"/>
      <c r="MOT10" s="253" t="n"/>
      <c r="MOU10" s="253" t="n"/>
      <c r="MOV10" s="253" t="n"/>
      <c r="MOW10" s="253" t="n"/>
      <c r="MOX10" s="253" t="n"/>
      <c r="MOY10" s="253" t="n"/>
      <c r="MOZ10" s="253" t="n"/>
      <c r="MPA10" s="253" t="n"/>
      <c r="MPB10" s="253" t="n"/>
      <c r="MPC10" s="253" t="n"/>
      <c r="MPD10" s="253" t="n"/>
      <c r="MPE10" s="253" t="n"/>
      <c r="MPF10" s="253" t="n"/>
      <c r="MPG10" s="253" t="n"/>
      <c r="MPH10" s="253" t="n"/>
      <c r="MPI10" s="253" t="n"/>
      <c r="MPJ10" s="253" t="n"/>
      <c r="MPK10" s="253" t="n"/>
      <c r="MPL10" s="253" t="n"/>
      <c r="MPM10" s="253" t="n"/>
      <c r="MPN10" s="253" t="n"/>
      <c r="MPO10" s="253" t="n"/>
      <c r="MPP10" s="253" t="n"/>
      <c r="MPQ10" s="253" t="n"/>
      <c r="MPR10" s="253" t="n"/>
      <c r="MPS10" s="253" t="n"/>
      <c r="MPT10" s="253" t="n"/>
      <c r="MPU10" s="253" t="n"/>
      <c r="MPV10" s="253" t="n"/>
      <c r="MPW10" s="253" t="n"/>
      <c r="MPX10" s="253" t="n"/>
      <c r="MPY10" s="253" t="n"/>
      <c r="MPZ10" s="253" t="n"/>
      <c r="MQA10" s="253" t="n"/>
      <c r="MQB10" s="253" t="n"/>
      <c r="MQC10" s="253" t="n"/>
      <c r="MQD10" s="253" t="n"/>
      <c r="MQE10" s="253" t="n"/>
      <c r="MQF10" s="253" t="n"/>
      <c r="MQG10" s="253" t="n"/>
      <c r="MQH10" s="253" t="n"/>
      <c r="MQI10" s="253" t="n"/>
      <c r="MQJ10" s="253" t="n"/>
      <c r="MQK10" s="253" t="n"/>
      <c r="MQL10" s="253" t="n"/>
      <c r="MQM10" s="253" t="n"/>
      <c r="MQN10" s="253" t="n"/>
      <c r="MQO10" s="253" t="n"/>
      <c r="MQP10" s="253" t="n"/>
      <c r="MQQ10" s="253" t="n"/>
      <c r="MQR10" s="253" t="n"/>
      <c r="MQS10" s="253" t="n"/>
      <c r="MQT10" s="253" t="n"/>
      <c r="MQU10" s="253" t="n"/>
      <c r="MQV10" s="253" t="n"/>
      <c r="MQW10" s="253" t="n"/>
      <c r="MQX10" s="253" t="n"/>
      <c r="MQY10" s="253" t="n"/>
      <c r="MQZ10" s="253" t="n"/>
      <c r="MRA10" s="253" t="n"/>
      <c r="MRB10" s="253" t="n"/>
      <c r="MRC10" s="253" t="n"/>
      <c r="MRD10" s="253" t="n"/>
      <c r="MRE10" s="253" t="n"/>
      <c r="MRF10" s="253" t="n"/>
      <c r="MRG10" s="253" t="n"/>
      <c r="MRH10" s="253" t="n"/>
      <c r="MRI10" s="253" t="n"/>
      <c r="MRJ10" s="253" t="n"/>
      <c r="MRK10" s="253" t="n"/>
      <c r="MRL10" s="253" t="n"/>
      <c r="MRM10" s="253" t="n"/>
      <c r="MRN10" s="253" t="n"/>
      <c r="MRO10" s="253" t="n"/>
      <c r="MRP10" s="253" t="n"/>
      <c r="MRQ10" s="253" t="n"/>
      <c r="MRR10" s="253" t="n"/>
      <c r="MRS10" s="253" t="n"/>
      <c r="MRT10" s="253" t="n"/>
      <c r="MRU10" s="253" t="n"/>
      <c r="MRV10" s="253" t="n"/>
      <c r="MRW10" s="253" t="n"/>
      <c r="MRX10" s="253" t="n"/>
      <c r="MRY10" s="253" t="n"/>
      <c r="MRZ10" s="253" t="n"/>
      <c r="MSA10" s="253" t="n"/>
      <c r="MSB10" s="253" t="n"/>
      <c r="MSC10" s="253" t="n"/>
      <c r="MSD10" s="253" t="n"/>
      <c r="MSE10" s="253" t="n"/>
      <c r="MSF10" s="253" t="n"/>
      <c r="MSG10" s="253" t="n"/>
      <c r="MSH10" s="253" t="n"/>
      <c r="MSI10" s="253" t="n"/>
      <c r="MSJ10" s="253" t="n"/>
      <c r="MSK10" s="253" t="n"/>
      <c r="MSL10" s="253" t="n"/>
      <c r="MSM10" s="253" t="n"/>
      <c r="MSN10" s="253" t="n"/>
      <c r="MSO10" s="253" t="n"/>
      <c r="MSP10" s="253" t="n"/>
      <c r="MSQ10" s="253" t="n"/>
      <c r="MSR10" s="253" t="n"/>
      <c r="MSS10" s="253" t="n"/>
      <c r="MST10" s="253" t="n"/>
      <c r="MSU10" s="253" t="n"/>
      <c r="MSV10" s="253" t="n"/>
      <c r="MSW10" s="253" t="n"/>
      <c r="MSX10" s="253" t="n"/>
      <c r="MSY10" s="253" t="n"/>
      <c r="MSZ10" s="253" t="n"/>
      <c r="MTA10" s="253" t="n"/>
      <c r="MTB10" s="253" t="n"/>
      <c r="MTC10" s="253" t="n"/>
      <c r="MTD10" s="253" t="n"/>
      <c r="MTE10" s="253" t="n"/>
      <c r="MTF10" s="253" t="n"/>
      <c r="MTG10" s="253" t="n"/>
      <c r="MTH10" s="253" t="n"/>
      <c r="MTI10" s="253" t="n"/>
      <c r="MTJ10" s="253" t="n"/>
      <c r="MTK10" s="253" t="n"/>
      <c r="MTL10" s="253" t="n"/>
      <c r="MTM10" s="253" t="n"/>
      <c r="MTN10" s="253" t="n"/>
      <c r="MTO10" s="253" t="n"/>
      <c r="MTP10" s="253" t="n"/>
      <c r="MTQ10" s="253" t="n"/>
      <c r="MTR10" s="253" t="n"/>
      <c r="MTS10" s="253" t="n"/>
      <c r="MTT10" s="253" t="n"/>
      <c r="MTU10" s="253" t="n"/>
      <c r="MTV10" s="253" t="n"/>
      <c r="MTW10" s="253" t="n"/>
      <c r="MTX10" s="253" t="n"/>
      <c r="MTY10" s="253" t="n"/>
      <c r="MTZ10" s="253" t="n"/>
      <c r="MUA10" s="253" t="n"/>
      <c r="MUB10" s="253" t="n"/>
      <c r="MUC10" s="253" t="n"/>
      <c r="MUD10" s="253" t="n"/>
      <c r="MUE10" s="253" t="n"/>
      <c r="MUF10" s="253" t="n"/>
      <c r="MUG10" s="253" t="n"/>
      <c r="MUH10" s="253" t="n"/>
      <c r="MUI10" s="253" t="n"/>
      <c r="MUJ10" s="253" t="n"/>
      <c r="MUK10" s="253" t="n"/>
      <c r="MUL10" s="253" t="n"/>
      <c r="MUM10" s="253" t="n"/>
      <c r="MUN10" s="253" t="n"/>
      <c r="MUO10" s="253" t="n"/>
      <c r="MUP10" s="253" t="n"/>
      <c r="MUQ10" s="253" t="n"/>
      <c r="MUR10" s="253" t="n"/>
      <c r="MUS10" s="253" t="n"/>
      <c r="MUT10" s="253" t="n"/>
      <c r="MUU10" s="253" t="n"/>
      <c r="MUV10" s="253" t="n"/>
      <c r="MUW10" s="253" t="n"/>
      <c r="MUX10" s="253" t="n"/>
      <c r="MUY10" s="253" t="n"/>
      <c r="MUZ10" s="253" t="n"/>
      <c r="MVA10" s="253" t="n"/>
      <c r="MVB10" s="253" t="n"/>
      <c r="MVC10" s="253" t="n"/>
      <c r="MVD10" s="253" t="n"/>
      <c r="MVE10" s="253" t="n"/>
      <c r="MVF10" s="253" t="n"/>
      <c r="MVG10" s="253" t="n"/>
      <c r="MVH10" s="253" t="n"/>
      <c r="MVI10" s="253" t="n"/>
      <c r="MVJ10" s="253" t="n"/>
      <c r="MVK10" s="253" t="n"/>
      <c r="MVL10" s="253" t="n"/>
      <c r="MVM10" s="253" t="n"/>
      <c r="MVN10" s="253" t="n"/>
      <c r="MVO10" s="253" t="n"/>
      <c r="MVP10" s="253" t="n"/>
      <c r="MVQ10" s="253" t="n"/>
      <c r="MVR10" s="253" t="n"/>
      <c r="MVS10" s="253" t="n"/>
      <c r="MVT10" s="253" t="n"/>
      <c r="MVU10" s="253" t="n"/>
      <c r="MVV10" s="253" t="n"/>
      <c r="MVW10" s="253" t="n"/>
      <c r="MVX10" s="253" t="n"/>
      <c r="MVY10" s="253" t="n"/>
      <c r="MVZ10" s="253" t="n"/>
      <c r="MWA10" s="253" t="n"/>
      <c r="MWB10" s="253" t="n"/>
      <c r="MWC10" s="253" t="n"/>
      <c r="MWD10" s="253" t="n"/>
      <c r="MWE10" s="253" t="n"/>
      <c r="MWF10" s="253" t="n"/>
      <c r="MWG10" s="253" t="n"/>
      <c r="MWH10" s="253" t="n"/>
      <c r="MWI10" s="253" t="n"/>
      <c r="MWJ10" s="253" t="n"/>
      <c r="MWK10" s="253" t="n"/>
      <c r="MWL10" s="253" t="n"/>
      <c r="MWM10" s="253" t="n"/>
      <c r="MWN10" s="253" t="n"/>
      <c r="MWO10" s="253" t="n"/>
      <c r="MWP10" s="253" t="n"/>
      <c r="MWQ10" s="253" t="n"/>
      <c r="MWR10" s="253" t="n"/>
      <c r="MWS10" s="253" t="n"/>
      <c r="MWT10" s="253" t="n"/>
      <c r="MWU10" s="253" t="n"/>
      <c r="MWV10" s="253" t="n"/>
      <c r="MWW10" s="253" t="n"/>
      <c r="MWX10" s="253" t="n"/>
      <c r="MWY10" s="253" t="n"/>
      <c r="MWZ10" s="253" t="n"/>
      <c r="MXA10" s="253" t="n"/>
      <c r="MXB10" s="253" t="n"/>
      <c r="MXC10" s="253" t="n"/>
      <c r="MXD10" s="253" t="n"/>
      <c r="MXE10" s="253" t="n"/>
      <c r="MXF10" s="253" t="n"/>
      <c r="MXG10" s="253" t="n"/>
      <c r="MXH10" s="253" t="n"/>
      <c r="MXI10" s="253" t="n"/>
      <c r="MXJ10" s="253" t="n"/>
      <c r="MXK10" s="253" t="n"/>
      <c r="MXL10" s="253" t="n"/>
      <c r="MXM10" s="253" t="n"/>
      <c r="MXN10" s="253" t="n"/>
      <c r="MXO10" s="253" t="n"/>
      <c r="MXP10" s="253" t="n"/>
      <c r="MXQ10" s="253" t="n"/>
      <c r="MXR10" s="253" t="n"/>
      <c r="MXS10" s="253" t="n"/>
      <c r="MXT10" s="253" t="n"/>
      <c r="MXU10" s="253" t="n"/>
      <c r="MXV10" s="253" t="n"/>
      <c r="MXW10" s="253" t="n"/>
      <c r="MXX10" s="253" t="n"/>
      <c r="MXY10" s="253" t="n"/>
      <c r="MXZ10" s="253" t="n"/>
      <c r="MYA10" s="253" t="n"/>
      <c r="MYB10" s="253" t="n"/>
      <c r="MYC10" s="253" t="n"/>
      <c r="MYD10" s="253" t="n"/>
      <c r="MYE10" s="253" t="n"/>
      <c r="MYF10" s="253" t="n"/>
      <c r="MYG10" s="253" t="n"/>
      <c r="MYH10" s="253" t="n"/>
      <c r="MYI10" s="253" t="n"/>
      <c r="MYJ10" s="253" t="n"/>
      <c r="MYK10" s="253" t="n"/>
      <c r="MYL10" s="253" t="n"/>
      <c r="MYM10" s="253" t="n"/>
      <c r="MYN10" s="253" t="n"/>
      <c r="MYO10" s="253" t="n"/>
      <c r="MYP10" s="253" t="n"/>
      <c r="MYQ10" s="253" t="n"/>
      <c r="MYR10" s="253" t="n"/>
      <c r="MYS10" s="253" t="n"/>
      <c r="MYT10" s="253" t="n"/>
      <c r="MYU10" s="253" t="n"/>
      <c r="MYV10" s="253" t="n"/>
      <c r="MYW10" s="253" t="n"/>
      <c r="MYX10" s="253" t="n"/>
      <c r="MYY10" s="253" t="n"/>
      <c r="MYZ10" s="253" t="n"/>
      <c r="MZA10" s="253" t="n"/>
      <c r="MZB10" s="253" t="n"/>
      <c r="MZC10" s="253" t="n"/>
      <c r="MZD10" s="253" t="n"/>
      <c r="MZE10" s="253" t="n"/>
      <c r="MZF10" s="253" t="n"/>
      <c r="MZG10" s="253" t="n"/>
      <c r="MZH10" s="253" t="n"/>
      <c r="MZI10" s="253" t="n"/>
      <c r="MZJ10" s="253" t="n"/>
      <c r="MZK10" s="253" t="n"/>
      <c r="MZL10" s="253" t="n"/>
      <c r="MZM10" s="253" t="n"/>
      <c r="MZN10" s="253" t="n"/>
      <c r="MZO10" s="253" t="n"/>
      <c r="MZP10" s="253" t="n"/>
      <c r="MZQ10" s="253" t="n"/>
      <c r="MZR10" s="253" t="n"/>
      <c r="MZS10" s="253" t="n"/>
      <c r="MZT10" s="253" t="n"/>
      <c r="MZU10" s="253" t="n"/>
      <c r="MZV10" s="253" t="n"/>
      <c r="MZW10" s="253" t="n"/>
      <c r="MZX10" s="253" t="n"/>
      <c r="MZY10" s="253" t="n"/>
      <c r="MZZ10" s="253" t="n"/>
      <c r="NAA10" s="253" t="n"/>
      <c r="NAB10" s="253" t="n"/>
      <c r="NAC10" s="253" t="n"/>
      <c r="NAD10" s="253" t="n"/>
      <c r="NAE10" s="253" t="n"/>
      <c r="NAF10" s="253" t="n"/>
      <c r="NAG10" s="253" t="n"/>
      <c r="NAH10" s="253" t="n"/>
      <c r="NAI10" s="253" t="n"/>
      <c r="NAJ10" s="253" t="n"/>
      <c r="NAK10" s="253" t="n"/>
      <c r="NAL10" s="253" t="n"/>
      <c r="NAM10" s="253" t="n"/>
      <c r="NAN10" s="253" t="n"/>
      <c r="NAO10" s="253" t="n"/>
      <c r="NAP10" s="253" t="n"/>
      <c r="NAQ10" s="253" t="n"/>
      <c r="NAR10" s="253" t="n"/>
      <c r="NAS10" s="253" t="n"/>
      <c r="NAT10" s="253" t="n"/>
      <c r="NAU10" s="253" t="n"/>
      <c r="NAV10" s="253" t="n"/>
      <c r="NAW10" s="253" t="n"/>
      <c r="NAX10" s="253" t="n"/>
      <c r="NAY10" s="253" t="n"/>
      <c r="NAZ10" s="253" t="n"/>
      <c r="NBA10" s="253" t="n"/>
      <c r="NBB10" s="253" t="n"/>
      <c r="NBC10" s="253" t="n"/>
      <c r="NBD10" s="253" t="n"/>
      <c r="NBE10" s="253" t="n"/>
      <c r="NBF10" s="253" t="n"/>
      <c r="NBG10" s="253" t="n"/>
      <c r="NBH10" s="253" t="n"/>
      <c r="NBI10" s="253" t="n"/>
      <c r="NBJ10" s="253" t="n"/>
      <c r="NBK10" s="253" t="n"/>
      <c r="NBL10" s="253" t="n"/>
      <c r="NBM10" s="253" t="n"/>
      <c r="NBN10" s="253" t="n"/>
      <c r="NBO10" s="253" t="n"/>
      <c r="NBP10" s="253" t="n"/>
      <c r="NBQ10" s="253" t="n"/>
      <c r="NBR10" s="253" t="n"/>
      <c r="NBS10" s="253" t="n"/>
      <c r="NBT10" s="253" t="n"/>
      <c r="NBU10" s="253" t="n"/>
      <c r="NBV10" s="253" t="n"/>
      <c r="NBW10" s="253" t="n"/>
      <c r="NBX10" s="253" t="n"/>
      <c r="NBY10" s="253" t="n"/>
      <c r="NBZ10" s="253" t="n"/>
      <c r="NCA10" s="253" t="n"/>
      <c r="NCB10" s="253" t="n"/>
      <c r="NCC10" s="253" t="n"/>
      <c r="NCD10" s="253" t="n"/>
      <c r="NCE10" s="253" t="n"/>
      <c r="NCF10" s="253" t="n"/>
      <c r="NCG10" s="253" t="n"/>
      <c r="NCH10" s="253" t="n"/>
      <c r="NCI10" s="253" t="n"/>
      <c r="NCJ10" s="253" t="n"/>
      <c r="NCK10" s="253" t="n"/>
      <c r="NCL10" s="253" t="n"/>
      <c r="NCM10" s="253" t="n"/>
      <c r="NCN10" s="253" t="n"/>
      <c r="NCO10" s="253" t="n"/>
      <c r="NCP10" s="253" t="n"/>
      <c r="NCQ10" s="253" t="n"/>
      <c r="NCR10" s="253" t="n"/>
      <c r="NCS10" s="253" t="n"/>
      <c r="NCT10" s="253" t="n"/>
      <c r="NCU10" s="253" t="n"/>
      <c r="NCV10" s="253" t="n"/>
      <c r="NCW10" s="253" t="n"/>
      <c r="NCX10" s="253" t="n"/>
      <c r="NCY10" s="253" t="n"/>
      <c r="NCZ10" s="253" t="n"/>
      <c r="NDA10" s="253" t="n"/>
      <c r="NDB10" s="253" t="n"/>
      <c r="NDC10" s="253" t="n"/>
      <c r="NDD10" s="253" t="n"/>
      <c r="NDE10" s="253" t="n"/>
      <c r="NDF10" s="253" t="n"/>
      <c r="NDG10" s="253" t="n"/>
      <c r="NDH10" s="253" t="n"/>
      <c r="NDI10" s="253" t="n"/>
      <c r="NDJ10" s="253" t="n"/>
      <c r="NDK10" s="253" t="n"/>
      <c r="NDL10" s="253" t="n"/>
      <c r="NDM10" s="253" t="n"/>
      <c r="NDN10" s="253" t="n"/>
      <c r="NDO10" s="253" t="n"/>
      <c r="NDP10" s="253" t="n"/>
      <c r="NDQ10" s="253" t="n"/>
      <c r="NDR10" s="253" t="n"/>
      <c r="NDS10" s="253" t="n"/>
      <c r="NDT10" s="253" t="n"/>
      <c r="NDU10" s="253" t="n"/>
      <c r="NDV10" s="253" t="n"/>
      <c r="NDW10" s="253" t="n"/>
      <c r="NDX10" s="253" t="n"/>
      <c r="NDY10" s="253" t="n"/>
      <c r="NDZ10" s="253" t="n"/>
      <c r="NEA10" s="253" t="n"/>
      <c r="NEB10" s="253" t="n"/>
      <c r="NEC10" s="253" t="n"/>
      <c r="NED10" s="253" t="n"/>
      <c r="NEE10" s="253" t="n"/>
      <c r="NEF10" s="253" t="n"/>
      <c r="NEG10" s="253" t="n"/>
      <c r="NEH10" s="253" t="n"/>
      <c r="NEI10" s="253" t="n"/>
      <c r="NEJ10" s="253" t="n"/>
      <c r="NEK10" s="253" t="n"/>
      <c r="NEL10" s="253" t="n"/>
      <c r="NEM10" s="253" t="n"/>
      <c r="NEN10" s="253" t="n"/>
      <c r="NEO10" s="253" t="n"/>
      <c r="NEP10" s="253" t="n"/>
      <c r="NEQ10" s="253" t="n"/>
      <c r="NER10" s="253" t="n"/>
      <c r="NES10" s="253" t="n"/>
      <c r="NET10" s="253" t="n"/>
      <c r="NEU10" s="253" t="n"/>
      <c r="NEV10" s="253" t="n"/>
      <c r="NEW10" s="253" t="n"/>
      <c r="NEX10" s="253" t="n"/>
      <c r="NEY10" s="253" t="n"/>
      <c r="NEZ10" s="253" t="n"/>
      <c r="NFA10" s="253" t="n"/>
      <c r="NFB10" s="253" t="n"/>
      <c r="NFC10" s="253" t="n"/>
      <c r="NFD10" s="253" t="n"/>
      <c r="NFE10" s="253" t="n"/>
      <c r="NFF10" s="253" t="n"/>
      <c r="NFG10" s="253" t="n"/>
      <c r="NFH10" s="253" t="n"/>
      <c r="NFI10" s="253" t="n"/>
      <c r="NFJ10" s="253" t="n"/>
      <c r="NFK10" s="253" t="n"/>
      <c r="NFL10" s="253" t="n"/>
      <c r="NFM10" s="253" t="n"/>
      <c r="NFN10" s="253" t="n"/>
      <c r="NFO10" s="253" t="n"/>
      <c r="NFP10" s="87" t="n"/>
    </row>
    <row r="11">
      <c r="KFK11" s="253" t="n"/>
      <c r="KFL11" s="253" t="n"/>
      <c r="KFM11" s="253" t="n"/>
      <c r="KFN11" s="253" t="n"/>
      <c r="KFO11" s="253" t="n"/>
      <c r="KFP11" s="253" t="n"/>
      <c r="KFQ11" s="253" t="n"/>
      <c r="KFR11" s="253" t="n"/>
      <c r="KFS11" s="253" t="n"/>
      <c r="KFT11" s="253" t="n"/>
      <c r="KFU11" s="253" t="n"/>
      <c r="KFV11" s="253" t="n"/>
      <c r="KFW11" s="253" t="n"/>
      <c r="KFX11" s="253" t="n"/>
      <c r="KFY11" s="253" t="n"/>
      <c r="KFZ11" s="253" t="n"/>
      <c r="KGA11" s="253" t="n"/>
      <c r="KGB11" s="253" t="n"/>
      <c r="KGC11" s="253" t="n"/>
      <c r="KGD11" s="253" t="n"/>
      <c r="KGE11" s="253" t="n"/>
      <c r="KGF11" s="253" t="n"/>
      <c r="KGG11" s="253" t="n"/>
      <c r="KGH11" s="253" t="n"/>
      <c r="KGI11" s="253" t="n"/>
      <c r="KGJ11" s="253" t="n"/>
      <c r="KGK11" s="253" t="n"/>
      <c r="KGL11" s="253" t="n"/>
      <c r="KGM11" s="253" t="n"/>
      <c r="KGN11" s="253" t="n"/>
      <c r="KGO11" s="253" t="n"/>
      <c r="KGP11" s="253" t="n"/>
      <c r="KGQ11" s="253" t="n"/>
      <c r="KGR11" s="253" t="n"/>
      <c r="KGS11" s="253" t="n"/>
      <c r="KGT11" s="253" t="n"/>
      <c r="KGU11" s="253" t="n"/>
      <c r="KGV11" s="253" t="n"/>
      <c r="KGW11" s="253" t="n"/>
      <c r="KGX11" s="253" t="n"/>
      <c r="KGY11" s="253" t="n"/>
      <c r="KGZ11" s="253" t="n"/>
      <c r="KHA11" s="253" t="n"/>
      <c r="KHB11" s="253" t="n"/>
      <c r="KHC11" s="253" t="n"/>
      <c r="KHD11" s="253" t="n"/>
      <c r="KHE11" s="253" t="n"/>
      <c r="KHF11" s="253" t="n"/>
      <c r="KHG11" s="253" t="n"/>
      <c r="KHH11" s="253" t="n"/>
      <c r="KHI11" s="253" t="n"/>
      <c r="KHJ11" s="253" t="n"/>
      <c r="KHK11" s="253" t="n"/>
      <c r="KHL11" s="253" t="n"/>
      <c r="KHM11" s="253" t="n"/>
      <c r="KHN11" s="253" t="n"/>
      <c r="KHO11" s="253" t="n"/>
      <c r="KHP11" s="253" t="n"/>
      <c r="KHQ11" s="253" t="n"/>
      <c r="KHR11" s="253" t="n"/>
      <c r="KHS11" s="253" t="n"/>
      <c r="KHT11" s="253" t="n"/>
      <c r="KHU11" s="253" t="n"/>
      <c r="KHV11" s="253" t="n"/>
      <c r="KHW11" s="253" t="n"/>
      <c r="KHX11" s="253" t="n"/>
      <c r="KHY11" s="253" t="n"/>
      <c r="KHZ11" s="253" t="n"/>
      <c r="KIA11" s="253" t="n"/>
      <c r="KIB11" s="253" t="n"/>
      <c r="KIC11" s="253" t="n"/>
      <c r="KID11" s="253" t="n"/>
      <c r="KIE11" s="253" t="n"/>
      <c r="KIF11" s="253" t="n"/>
      <c r="KIG11" s="253" t="n"/>
      <c r="KIH11" s="253" t="n"/>
      <c r="KII11" s="253" t="n"/>
      <c r="KIJ11" s="253" t="n"/>
      <c r="KIK11" s="253" t="n"/>
      <c r="KIL11" s="253" t="n"/>
      <c r="KIM11" s="253" t="n"/>
      <c r="KIN11" s="253" t="n"/>
      <c r="KIO11" s="253" t="n"/>
      <c r="KIP11" s="253" t="n"/>
      <c r="KIQ11" s="253" t="n"/>
      <c r="KIR11" s="253" t="n"/>
      <c r="KIS11" s="253" t="n"/>
      <c r="KIT11" s="253" t="n"/>
      <c r="KIU11" s="253" t="n"/>
      <c r="KIV11" s="253" t="n"/>
      <c r="KIW11" s="253" t="n"/>
      <c r="KIX11" s="253" t="n"/>
      <c r="KIY11" s="253" t="n"/>
      <c r="KIZ11" s="253" t="n"/>
      <c r="KJA11" s="253" t="n"/>
      <c r="KJB11" s="253" t="n"/>
      <c r="KJC11" s="253" t="n"/>
      <c r="KJD11" s="253" t="n"/>
      <c r="KJE11" s="253" t="n"/>
      <c r="KJF11" s="253" t="n"/>
      <c r="KJG11" s="253" t="n"/>
      <c r="KJH11" s="253" t="n"/>
      <c r="KJI11" s="253" t="n"/>
      <c r="KJJ11" s="253" t="n"/>
      <c r="KJK11" s="253" t="n"/>
      <c r="KJL11" s="253" t="n"/>
      <c r="KJM11" s="253" t="n"/>
      <c r="KJN11" s="253" t="n"/>
      <c r="KJO11" s="253" t="n"/>
      <c r="KJP11" s="253" t="n"/>
      <c r="KJQ11" s="253" t="n"/>
      <c r="KJR11" s="253" t="n"/>
      <c r="KJS11" s="253" t="n"/>
      <c r="KJT11" s="253" t="n"/>
      <c r="KJU11" s="253" t="n"/>
      <c r="KJV11" s="253" t="n"/>
      <c r="KJW11" s="253" t="n"/>
      <c r="KJX11" s="253" t="n"/>
      <c r="KJY11" s="253" t="n"/>
      <c r="KJZ11" s="253" t="n"/>
      <c r="KKA11" s="253" t="n"/>
      <c r="KKB11" s="253" t="n"/>
      <c r="KKC11" s="253" t="n"/>
      <c r="KKD11" s="253" t="n"/>
      <c r="KKE11" s="253" t="n"/>
      <c r="KKF11" s="253" t="n"/>
      <c r="KKG11" s="253" t="n"/>
      <c r="KKH11" s="253" t="n"/>
      <c r="KKI11" s="253" t="n"/>
      <c r="KKJ11" s="253" t="n"/>
      <c r="KKK11" s="253" t="n"/>
      <c r="KKL11" s="253" t="n"/>
      <c r="KKM11" s="253" t="n"/>
      <c r="KKN11" s="253" t="n"/>
      <c r="KKO11" s="253" t="n"/>
      <c r="KKP11" s="253" t="n"/>
      <c r="KKQ11" s="253" t="n"/>
      <c r="KKR11" s="253" t="n"/>
      <c r="KKS11" s="253" t="n"/>
      <c r="KKT11" s="253" t="n"/>
      <c r="KKU11" s="253" t="n"/>
      <c r="KKV11" s="253" t="n"/>
      <c r="KKW11" s="253" t="n"/>
      <c r="KKX11" s="253" t="n"/>
      <c r="KKY11" s="253" t="n"/>
      <c r="KKZ11" s="253" t="n"/>
      <c r="KLA11" s="253" t="n"/>
      <c r="KLB11" s="253" t="n"/>
      <c r="KLC11" s="253" t="n"/>
      <c r="KLD11" s="253" t="n"/>
      <c r="KLE11" s="253" t="n"/>
      <c r="KLF11" s="253" t="n"/>
      <c r="KLG11" s="253" t="n"/>
      <c r="KLH11" s="253" t="n"/>
      <c r="KLI11" s="253" t="n"/>
      <c r="KLJ11" s="253" t="n"/>
      <c r="KLK11" s="253" t="n"/>
      <c r="KLL11" s="253" t="n"/>
      <c r="KLM11" s="253" t="n"/>
      <c r="KLN11" s="253" t="n"/>
      <c r="KLO11" s="253" t="n"/>
      <c r="KLP11" s="253" t="n"/>
      <c r="KLQ11" s="253" t="n"/>
      <c r="KLR11" s="253" t="n"/>
      <c r="KLS11" s="253" t="n"/>
      <c r="KLT11" s="253" t="n"/>
      <c r="KLU11" s="253" t="n"/>
      <c r="KLV11" s="253" t="n"/>
      <c r="KLW11" s="253" t="n"/>
      <c r="KLX11" s="253" t="n"/>
      <c r="KLY11" s="253" t="n"/>
      <c r="KLZ11" s="253" t="n"/>
      <c r="KMA11" s="253" t="n"/>
      <c r="KMB11" s="253" t="n"/>
      <c r="KMC11" s="253" t="n"/>
      <c r="KMD11" s="253" t="n"/>
      <c r="KME11" s="253" t="n"/>
      <c r="KMF11" s="253" t="n"/>
      <c r="KMG11" s="253" t="n"/>
      <c r="KMH11" s="253" t="n"/>
      <c r="KMI11" s="253" t="n"/>
      <c r="KMJ11" s="253" t="n"/>
      <c r="KMK11" s="253" t="n"/>
      <c r="KML11" s="253" t="n"/>
      <c r="KMM11" s="253" t="n"/>
      <c r="KMN11" s="253" t="n"/>
      <c r="KMO11" s="253" t="n"/>
      <c r="KMP11" s="253" t="n"/>
      <c r="KMQ11" s="253" t="n"/>
      <c r="KMR11" s="253" t="n"/>
      <c r="KMS11" s="253" t="n"/>
      <c r="KMT11" s="253" t="n"/>
      <c r="KMU11" s="253" t="n"/>
      <c r="KMV11" s="253" t="n"/>
      <c r="KMW11" s="253" t="n"/>
      <c r="KMX11" s="253" t="n"/>
      <c r="KMY11" s="253" t="n"/>
      <c r="KMZ11" s="253" t="n"/>
      <c r="KNA11" s="253" t="n"/>
      <c r="KNB11" s="253" t="n"/>
      <c r="KNC11" s="253" t="n"/>
      <c r="KND11" s="253" t="n"/>
      <c r="KNE11" s="253" t="n"/>
      <c r="KNF11" s="253" t="n"/>
      <c r="KNG11" s="253" t="n"/>
      <c r="KNH11" s="253" t="n"/>
      <c r="KNI11" s="253" t="n"/>
      <c r="KNJ11" s="253" t="n"/>
      <c r="KNK11" s="253" t="n"/>
      <c r="KNL11" s="253" t="n"/>
      <c r="KNM11" s="253" t="n"/>
      <c r="KNN11" s="253" t="n"/>
      <c r="KNO11" s="253" t="n"/>
      <c r="KNP11" s="253" t="n"/>
      <c r="KNQ11" s="253" t="n"/>
      <c r="KNR11" s="253" t="n"/>
      <c r="KNS11" s="253" t="n"/>
      <c r="KNT11" s="253" t="n"/>
      <c r="KNU11" s="253" t="n"/>
      <c r="KNV11" s="253" t="n"/>
      <c r="KNW11" s="253" t="n"/>
      <c r="KNX11" s="253" t="n"/>
      <c r="KNY11" s="253" t="n"/>
      <c r="KNZ11" s="253" t="n"/>
      <c r="KOA11" s="253" t="n"/>
      <c r="KOB11" s="253" t="n"/>
      <c r="KOC11" s="253" t="n"/>
      <c r="KOD11" s="253" t="n"/>
      <c r="KOE11" s="253" t="n"/>
      <c r="KOF11" s="253" t="n"/>
      <c r="KOG11" s="253" t="n"/>
      <c r="KOH11" s="253" t="n"/>
      <c r="KOI11" s="253" t="n"/>
      <c r="KOJ11" s="253" t="n"/>
      <c r="KOK11" s="253" t="n"/>
      <c r="KOL11" s="253" t="n"/>
      <c r="KOM11" s="253" t="n"/>
      <c r="KON11" s="253" t="n"/>
      <c r="KOO11" s="253" t="n"/>
      <c r="KOP11" s="253" t="n"/>
      <c r="KOQ11" s="253" t="n"/>
      <c r="KOR11" s="253" t="n"/>
      <c r="KOS11" s="253" t="n"/>
      <c r="KOT11" s="253" t="n"/>
      <c r="KOU11" s="253" t="n"/>
      <c r="KOV11" s="253" t="n"/>
      <c r="KOW11" s="253" t="n"/>
      <c r="KOX11" s="253" t="n"/>
      <c r="KOY11" s="253" t="n"/>
      <c r="KOZ11" s="253" t="n"/>
      <c r="KPA11" s="253" t="n"/>
      <c r="KPB11" s="253" t="n"/>
      <c r="KPC11" s="253" t="n"/>
      <c r="KPD11" s="253" t="n"/>
      <c r="KPE11" s="253" t="n"/>
      <c r="KPF11" s="253" t="n"/>
      <c r="KPG11" s="253" t="n"/>
      <c r="KPH11" s="253" t="n"/>
      <c r="KPI11" s="253" t="n"/>
      <c r="KPJ11" s="253" t="n"/>
      <c r="KPK11" s="253" t="n"/>
      <c r="KPL11" s="253" t="n"/>
      <c r="KPM11" s="253" t="n"/>
      <c r="KPN11" s="253" t="n"/>
      <c r="KPO11" s="253" t="n"/>
      <c r="KPP11" s="253" t="n"/>
      <c r="KPQ11" s="253" t="n"/>
      <c r="KPR11" s="253" t="n"/>
      <c r="KPS11" s="253" t="n"/>
      <c r="KPT11" s="253" t="n"/>
      <c r="KPU11" s="253" t="n"/>
      <c r="KPV11" s="253" t="n"/>
      <c r="KPW11" s="253" t="n"/>
      <c r="KPX11" s="253" t="n"/>
      <c r="KPY11" s="253" t="n"/>
      <c r="KPZ11" s="253" t="n"/>
      <c r="KQA11" s="253" t="n"/>
      <c r="KQB11" s="253" t="n"/>
      <c r="KQC11" s="253" t="n"/>
      <c r="KQD11" s="253" t="n"/>
      <c r="KQE11" s="253" t="n"/>
      <c r="KQF11" s="253" t="n"/>
      <c r="KQG11" s="253" t="n"/>
      <c r="KQH11" s="253" t="n"/>
      <c r="KQI11" s="253" t="n"/>
      <c r="KQJ11" s="253" t="n"/>
      <c r="KQK11" s="253" t="n"/>
      <c r="KQL11" s="253" t="n"/>
      <c r="KQM11" s="253" t="n"/>
      <c r="KQN11" s="253" t="n"/>
      <c r="KQO11" s="253" t="n"/>
      <c r="KQP11" s="253" t="n"/>
      <c r="KQQ11" s="253" t="n"/>
      <c r="KQR11" s="253" t="n"/>
      <c r="KQS11" s="253" t="n"/>
      <c r="KQT11" s="253" t="n"/>
      <c r="KQU11" s="253" t="n"/>
      <c r="KQV11" s="253" t="n"/>
      <c r="KQW11" s="253" t="n"/>
      <c r="KQX11" s="253" t="n"/>
      <c r="KQY11" s="253" t="n"/>
      <c r="KQZ11" s="253" t="n"/>
      <c r="KRA11" s="253" t="n"/>
      <c r="KRB11" s="253" t="n"/>
      <c r="KRC11" s="253" t="n"/>
      <c r="KRD11" s="253" t="n"/>
      <c r="KRE11" s="253" t="n"/>
      <c r="KRF11" s="253" t="n"/>
      <c r="KRG11" s="253" t="n"/>
      <c r="KRH11" s="253" t="n"/>
      <c r="KRI11" s="253" t="n"/>
      <c r="KRJ11" s="253" t="n"/>
      <c r="KRK11" s="253" t="n"/>
      <c r="KRL11" s="253" t="n"/>
      <c r="KRM11" s="253" t="n"/>
      <c r="KRN11" s="253" t="n"/>
      <c r="KRO11" s="253" t="n"/>
      <c r="KRP11" s="253" t="n"/>
      <c r="KRQ11" s="253" t="n"/>
      <c r="KRR11" s="253" t="n"/>
      <c r="KRS11" s="253" t="n"/>
      <c r="KRT11" s="253" t="n"/>
      <c r="KRU11" s="253" t="n"/>
      <c r="KRV11" s="253" t="n"/>
      <c r="KRW11" s="253" t="n"/>
      <c r="KRX11" s="253" t="n"/>
      <c r="KRY11" s="253" t="n"/>
      <c r="KRZ11" s="253" t="n"/>
      <c r="KSA11" s="253" t="n"/>
      <c r="KSB11" s="253" t="n"/>
      <c r="KSC11" s="253" t="n"/>
      <c r="KSD11" s="253" t="n"/>
      <c r="KSE11" s="253" t="n"/>
      <c r="KSF11" s="253" t="n"/>
      <c r="KSG11" s="253" t="n"/>
      <c r="KSH11" s="253" t="n"/>
      <c r="KSI11" s="253" t="n"/>
      <c r="KSJ11" s="253" t="n"/>
      <c r="KSK11" s="253" t="n"/>
      <c r="KSL11" s="253" t="n"/>
      <c r="KSM11" s="253" t="n"/>
      <c r="KSN11" s="253" t="n"/>
      <c r="KSO11" s="253" t="n"/>
      <c r="KSP11" s="253" t="n"/>
      <c r="KSQ11" s="253" t="n"/>
      <c r="KSR11" s="253" t="n"/>
      <c r="KSS11" s="253" t="n"/>
      <c r="KST11" s="253" t="n"/>
      <c r="KSU11" s="253" t="n"/>
      <c r="KSV11" s="253" t="n"/>
      <c r="KSW11" s="253" t="n"/>
      <c r="KSX11" s="253" t="n"/>
      <c r="KSY11" s="253" t="n"/>
      <c r="KSZ11" s="253" t="n"/>
      <c r="KTA11" s="253" t="n"/>
      <c r="KTB11" s="253" t="n"/>
      <c r="KTC11" s="253" t="n"/>
      <c r="KTD11" s="253" t="n"/>
      <c r="KTE11" s="253" t="n"/>
      <c r="KTF11" s="253" t="n"/>
      <c r="KTG11" s="253" t="n"/>
      <c r="KTH11" s="253" t="n"/>
      <c r="KTI11" s="253" t="n"/>
      <c r="KTJ11" s="253" t="n"/>
      <c r="KTK11" s="253" t="n"/>
      <c r="KTL11" s="253" t="n"/>
      <c r="KTM11" s="253" t="n"/>
      <c r="KTN11" s="253" t="n"/>
      <c r="KTO11" s="253" t="n"/>
      <c r="KTP11" s="253" t="n"/>
      <c r="KTQ11" s="253" t="n"/>
      <c r="KTR11" s="253" t="n"/>
      <c r="KTS11" s="253" t="n"/>
      <c r="KTT11" s="253" t="n"/>
      <c r="KTU11" s="253" t="n"/>
      <c r="KTV11" s="253" t="n"/>
      <c r="KTW11" s="253" t="n"/>
      <c r="KTX11" s="253" t="n"/>
      <c r="KTY11" s="253" t="n"/>
      <c r="KTZ11" s="253" t="n"/>
      <c r="KUA11" s="253" t="n"/>
      <c r="KUB11" s="253" t="n"/>
      <c r="KUC11" s="253" t="n"/>
      <c r="KUD11" s="253" t="n"/>
      <c r="KUE11" s="253" t="n"/>
      <c r="KUF11" s="253" t="n"/>
      <c r="KUG11" s="253" t="n"/>
      <c r="KUH11" s="253" t="n"/>
      <c r="KUI11" s="253" t="n"/>
      <c r="KUJ11" s="253" t="n"/>
      <c r="KUK11" s="253" t="n"/>
      <c r="KUL11" s="253" t="n"/>
      <c r="KUM11" s="253" t="n"/>
      <c r="KUN11" s="253" t="n"/>
      <c r="KUO11" s="253" t="n"/>
      <c r="KUP11" s="253" t="n"/>
      <c r="KUQ11" s="253" t="n"/>
      <c r="KUR11" s="253" t="n"/>
      <c r="KUS11" s="253" t="n"/>
      <c r="KUT11" s="253" t="n"/>
      <c r="KUU11" s="253" t="n"/>
      <c r="KUV11" s="253" t="n"/>
      <c r="KUW11" s="253" t="n"/>
      <c r="KUX11" s="253" t="n"/>
      <c r="KUY11" s="253" t="n"/>
      <c r="KUZ11" s="253" t="n"/>
      <c r="KVA11" s="253" t="n"/>
      <c r="KVB11" s="253" t="n"/>
      <c r="KVC11" s="253" t="n"/>
      <c r="KVD11" s="253" t="n"/>
      <c r="KVE11" s="253" t="n"/>
      <c r="KVF11" s="253" t="n"/>
      <c r="KVG11" s="253" t="n"/>
      <c r="KVH11" s="253" t="n"/>
      <c r="KVI11" s="253" t="n"/>
      <c r="KVJ11" s="253" t="n"/>
      <c r="KVK11" s="253" t="n"/>
      <c r="KVL11" s="253" t="n"/>
      <c r="KVM11" s="253" t="n"/>
      <c r="KVN11" s="253" t="n"/>
      <c r="KVO11" s="253" t="n"/>
      <c r="KVP11" s="253" t="n"/>
      <c r="KVQ11" s="253" t="n"/>
      <c r="KVR11" s="253" t="n"/>
      <c r="KVS11" s="253" t="n"/>
      <c r="KVT11" s="253" t="n"/>
      <c r="KVU11" s="253" t="n"/>
      <c r="KVV11" s="253" t="n"/>
      <c r="KVW11" s="253" t="n"/>
      <c r="KVX11" s="253" t="n"/>
      <c r="KVY11" s="253" t="n"/>
      <c r="KVZ11" s="253" t="n"/>
      <c r="KWA11" s="253" t="n"/>
      <c r="KWB11" s="253" t="n"/>
      <c r="KWC11" s="253" t="n"/>
      <c r="KWD11" s="253" t="n"/>
      <c r="KWE11" s="253" t="n"/>
      <c r="KWF11" s="253" t="n"/>
      <c r="KWG11" s="253" t="n"/>
      <c r="KWH11" s="253" t="n"/>
      <c r="KWI11" s="253" t="n"/>
      <c r="KWJ11" s="253" t="n"/>
      <c r="KWK11" s="253" t="n"/>
      <c r="KWL11" s="253" t="n"/>
      <c r="KWM11" s="253" t="n"/>
      <c r="KWN11" s="253" t="n"/>
      <c r="KWO11" s="253" t="n"/>
      <c r="KWP11" s="253" t="n"/>
      <c r="KWQ11" s="253" t="n"/>
      <c r="KWR11" s="253" t="n"/>
      <c r="KWS11" s="253" t="n"/>
      <c r="KWT11" s="253" t="n"/>
      <c r="KWU11" s="253" t="n"/>
      <c r="KWV11" s="253" t="n"/>
      <c r="KWW11" s="253" t="n"/>
      <c r="KWX11" s="253" t="n"/>
      <c r="KWY11" s="253" t="n"/>
      <c r="KWZ11" s="253" t="n"/>
      <c r="KXA11" s="253" t="n"/>
      <c r="KXB11" s="253" t="n"/>
      <c r="KXC11" s="253" t="n"/>
      <c r="KXD11" s="253" t="n"/>
      <c r="KXE11" s="253" t="n"/>
      <c r="KXF11" s="253" t="n"/>
      <c r="KXG11" s="253" t="n"/>
      <c r="KXH11" s="253" t="n"/>
      <c r="KXI11" s="253" t="n"/>
      <c r="KXJ11" s="253" t="n"/>
      <c r="KXK11" s="253" t="n"/>
      <c r="KXL11" s="253" t="n"/>
      <c r="KXM11" s="253" t="n"/>
      <c r="KXN11" s="253" t="n"/>
      <c r="KXO11" s="253" t="n"/>
      <c r="KXP11" s="253" t="n"/>
      <c r="KXQ11" s="253" t="n"/>
      <c r="KXR11" s="253" t="n"/>
      <c r="KXS11" s="253" t="n"/>
      <c r="KXT11" s="253" t="n"/>
      <c r="KXU11" s="253" t="n"/>
      <c r="KXV11" s="253" t="n"/>
      <c r="KXW11" s="253" t="n"/>
      <c r="KXX11" s="253" t="n"/>
      <c r="KXY11" s="253" t="n"/>
      <c r="KXZ11" s="253" t="n"/>
      <c r="KYA11" s="253" t="n"/>
      <c r="KYB11" s="253" t="n"/>
      <c r="KYC11" s="253" t="n"/>
      <c r="KYD11" s="253" t="n"/>
      <c r="KYE11" s="253" t="n"/>
      <c r="KYF11" s="253" t="n"/>
      <c r="KYG11" s="253" t="n"/>
      <c r="KYH11" s="253" t="n"/>
      <c r="KYI11" s="253" t="n"/>
      <c r="KYJ11" s="253" t="n"/>
      <c r="KYK11" s="253" t="n"/>
      <c r="KYL11" s="253" t="n"/>
      <c r="KYM11" s="253" t="n"/>
      <c r="KYN11" s="253" t="n"/>
      <c r="KYO11" s="253" t="n"/>
      <c r="KYP11" s="253" t="n"/>
      <c r="KYQ11" s="253" t="n"/>
      <c r="KYR11" s="253" t="n"/>
      <c r="KYS11" s="253" t="n"/>
      <c r="KYT11" s="253" t="n"/>
      <c r="KYU11" s="253" t="n"/>
      <c r="KYV11" s="253" t="n"/>
      <c r="KYW11" s="253" t="n"/>
      <c r="KYX11" s="253" t="n"/>
      <c r="KYY11" s="253" t="n"/>
      <c r="KYZ11" s="253" t="n"/>
      <c r="KZA11" s="253" t="n"/>
      <c r="KZB11" s="253" t="n"/>
      <c r="KZC11" s="253" t="n"/>
      <c r="KZD11" s="253" t="n"/>
      <c r="KZE11" s="253" t="n"/>
      <c r="KZF11" s="253" t="n"/>
      <c r="KZG11" s="253" t="n"/>
      <c r="KZH11" s="253" t="n"/>
      <c r="KZI11" s="253" t="n"/>
      <c r="KZJ11" s="253" t="n"/>
      <c r="KZK11" s="253" t="n"/>
      <c r="KZL11" s="253" t="n"/>
      <c r="KZM11" s="253" t="n"/>
      <c r="KZN11" s="253" t="n"/>
      <c r="KZO11" s="253" t="n"/>
      <c r="KZP11" s="253" t="n"/>
      <c r="KZQ11" s="253" t="n"/>
      <c r="KZR11" s="253" t="n"/>
      <c r="KZS11" s="253" t="n"/>
      <c r="KZT11" s="253" t="n"/>
      <c r="KZU11" s="253" t="n"/>
      <c r="KZV11" s="253" t="n"/>
      <c r="KZW11" s="253" t="n"/>
      <c r="KZX11" s="253" t="n"/>
      <c r="KZY11" s="253" t="n"/>
      <c r="KZZ11" s="253" t="n"/>
      <c r="LAA11" s="253" t="n"/>
      <c r="LAB11" s="253" t="n"/>
      <c r="LAC11" s="253" t="n"/>
      <c r="LAD11" s="253" t="n"/>
      <c r="LAE11" s="253" t="n"/>
      <c r="LAF11" s="253" t="n"/>
      <c r="LAG11" s="253" t="n"/>
      <c r="LAH11" s="253" t="n"/>
      <c r="LAI11" s="253" t="n"/>
      <c r="LAJ11" s="253" t="n"/>
      <c r="LAK11" s="253" t="n"/>
      <c r="LAL11" s="253" t="n"/>
      <c r="LAM11" s="253" t="n"/>
      <c r="LAN11" s="253" t="n"/>
      <c r="LAO11" s="253" t="n"/>
      <c r="LAP11" s="253" t="n"/>
      <c r="LAQ11" s="253" t="n"/>
      <c r="LAR11" s="253" t="n"/>
      <c r="LAS11" s="253" t="n"/>
      <c r="LAT11" s="253" t="n"/>
      <c r="LAU11" s="253" t="n"/>
      <c r="LAV11" s="253" t="n"/>
      <c r="LAW11" s="253" t="n"/>
      <c r="LAX11" s="253" t="n"/>
      <c r="LAY11" s="253" t="n"/>
      <c r="LAZ11" s="253" t="n"/>
      <c r="LBA11" s="253" t="n"/>
      <c r="LBB11" s="253" t="n"/>
      <c r="LBC11" s="253" t="n"/>
      <c r="LBD11" s="253" t="n"/>
      <c r="LBE11" s="253" t="n"/>
      <c r="LBF11" s="253" t="n"/>
      <c r="LBG11" s="253" t="n"/>
      <c r="LBH11" s="253" t="n"/>
      <c r="LBI11" s="253" t="n"/>
      <c r="LBJ11" s="253" t="n"/>
      <c r="LBK11" s="253" t="n"/>
      <c r="LBL11" s="253" t="n"/>
      <c r="LBM11" s="253" t="n"/>
      <c r="LBN11" s="253" t="n"/>
      <c r="LBO11" s="253" t="n"/>
      <c r="LBP11" s="253" t="n"/>
      <c r="LBQ11" s="253" t="n"/>
      <c r="LBR11" s="253" t="n"/>
      <c r="LBS11" s="253" t="n"/>
      <c r="LBT11" s="253" t="n"/>
      <c r="LBU11" s="253" t="n"/>
      <c r="LBV11" s="253" t="n"/>
      <c r="LBW11" s="253" t="n"/>
      <c r="LBX11" s="253" t="n"/>
      <c r="LBY11" s="253" t="n"/>
      <c r="LBZ11" s="253" t="n"/>
      <c r="LCA11" s="253" t="n"/>
      <c r="LCB11" s="253" t="n"/>
      <c r="LCC11" s="253" t="n"/>
      <c r="LCD11" s="253" t="n"/>
      <c r="LCE11" s="253" t="n"/>
      <c r="LCF11" s="253" t="n"/>
      <c r="LCG11" s="253" t="n"/>
      <c r="LCH11" s="253" t="n"/>
      <c r="LCI11" s="253" t="n"/>
      <c r="LCJ11" s="253" t="n"/>
      <c r="LCK11" s="253" t="n"/>
      <c r="LCL11" s="253" t="n"/>
      <c r="LCM11" s="253" t="n"/>
      <c r="LCN11" s="253" t="n"/>
      <c r="LCO11" s="253" t="n"/>
      <c r="LCP11" s="253" t="n"/>
      <c r="LCQ11" s="253" t="n"/>
      <c r="LCR11" s="253" t="n"/>
      <c r="LCS11" s="253" t="n"/>
      <c r="LCT11" s="253" t="n"/>
      <c r="LCU11" s="253" t="n"/>
      <c r="LCV11" s="253" t="n"/>
      <c r="LCW11" s="253" t="n"/>
      <c r="LCX11" s="253" t="n"/>
      <c r="LCY11" s="253" t="n"/>
      <c r="LCZ11" s="253" t="n"/>
      <c r="LDA11" s="253" t="n"/>
      <c r="LDB11" s="253" t="n"/>
      <c r="LDC11" s="253" t="n"/>
      <c r="LDD11" s="253" t="n"/>
      <c r="LDE11" s="253" t="n"/>
      <c r="LDF11" s="253" t="n"/>
      <c r="LDG11" s="253" t="n"/>
      <c r="LDH11" s="253" t="n"/>
      <c r="LDI11" s="253" t="n"/>
      <c r="LDJ11" s="253" t="n"/>
      <c r="LDK11" s="253" t="n"/>
      <c r="LDL11" s="253" t="n"/>
      <c r="LDM11" s="253" t="n"/>
      <c r="LDN11" s="253" t="n"/>
      <c r="LDO11" s="253" t="n"/>
      <c r="LDP11" s="253" t="n"/>
      <c r="LDQ11" s="253" t="n"/>
      <c r="LDR11" s="253" t="n"/>
      <c r="LDS11" s="253" t="n"/>
      <c r="LDT11" s="253" t="n"/>
      <c r="LDU11" s="253" t="n"/>
      <c r="LDV11" s="253" t="n"/>
      <c r="LDW11" s="253" t="n"/>
      <c r="LDX11" s="253" t="n"/>
      <c r="LDY11" s="253" t="n"/>
      <c r="LDZ11" s="253" t="n"/>
      <c r="LEA11" s="253" t="n"/>
      <c r="LEB11" s="253" t="n"/>
      <c r="LEC11" s="253" t="n"/>
      <c r="LED11" s="253" t="n"/>
      <c r="LEE11" s="253" t="n"/>
      <c r="LEF11" s="253" t="n"/>
      <c r="LEG11" s="253" t="n"/>
      <c r="LEH11" s="253" t="n"/>
      <c r="LEI11" s="253" t="n"/>
      <c r="LEJ11" s="253" t="n"/>
      <c r="LEK11" s="253" t="n"/>
      <c r="LEL11" s="253" t="n"/>
      <c r="LEM11" s="253" t="n"/>
      <c r="LEN11" s="253" t="n"/>
      <c r="LEO11" s="253" t="n"/>
      <c r="LEP11" s="253" t="n"/>
      <c r="LEQ11" s="253" t="n"/>
      <c r="LER11" s="253" t="n"/>
      <c r="LES11" s="253" t="n"/>
      <c r="LET11" s="253" t="n"/>
      <c r="LEU11" s="253" t="n"/>
      <c r="LEV11" s="253" t="n"/>
      <c r="LEW11" s="253" t="n"/>
      <c r="LEX11" s="253" t="n"/>
      <c r="LEY11" s="253" t="n"/>
      <c r="LEZ11" s="253" t="n"/>
      <c r="LFA11" s="253" t="n"/>
      <c r="LFB11" s="253" t="n"/>
      <c r="LFC11" s="253" t="n"/>
      <c r="LFD11" s="253" t="n"/>
      <c r="LFE11" s="253" t="n"/>
      <c r="LFF11" s="253" t="n"/>
      <c r="LFG11" s="253" t="n"/>
      <c r="LFH11" s="253" t="n"/>
      <c r="LFI11" s="253" t="n"/>
      <c r="LFJ11" s="253" t="n"/>
      <c r="LFK11" s="253" t="n"/>
      <c r="LFL11" s="252" t="n"/>
      <c r="LFM11" s="253" t="n"/>
      <c r="LFN11" s="253" t="n"/>
      <c r="LFO11" s="253" t="n"/>
      <c r="LFP11" s="253" t="n"/>
      <c r="LFQ11" s="253" t="n"/>
      <c r="LFR11" s="253" t="n"/>
      <c r="LFS11" s="253" t="n"/>
      <c r="LFT11" s="253" t="n"/>
      <c r="LFU11" s="253" t="n"/>
      <c r="LFV11" s="253" t="n"/>
      <c r="LFW11" s="253" t="n"/>
      <c r="LFX11" s="253" t="n"/>
      <c r="LFY11" s="253" t="n"/>
      <c r="LFZ11" s="253" t="n"/>
      <c r="LGA11" s="253" t="n"/>
      <c r="LGB11" s="253" t="n"/>
      <c r="LGC11" s="253" t="n"/>
      <c r="LGD11" s="253" t="n"/>
      <c r="LGE11" s="253" t="n"/>
      <c r="LGF11" s="253" t="n"/>
      <c r="LGG11" s="253" t="n"/>
      <c r="LGH11" s="253" t="n"/>
      <c r="LGI11" s="253" t="n"/>
      <c r="LGJ11" s="253" t="n"/>
      <c r="LGK11" s="253" t="n"/>
      <c r="LGL11" s="253" t="n"/>
      <c r="LGM11" s="253" t="n"/>
      <c r="LGN11" s="253" t="n"/>
      <c r="LGO11" s="253" t="n"/>
      <c r="LGP11" s="253" t="n"/>
      <c r="LGQ11" s="253" t="n"/>
      <c r="LGR11" s="253" t="n"/>
      <c r="LGS11" s="253" t="n"/>
      <c r="LGT11" s="253" t="n"/>
      <c r="LGU11" s="253" t="n"/>
      <c r="LGV11" s="253" t="n"/>
      <c r="LGW11" s="253" t="n"/>
      <c r="LGX11" s="253" t="n"/>
      <c r="LGY11" s="253" t="n"/>
      <c r="LGZ11" s="253" t="n"/>
      <c r="LHA11" s="253" t="n"/>
      <c r="LHB11" s="253" t="n"/>
      <c r="LHC11" s="253" t="n"/>
      <c r="LHD11" s="253" t="n"/>
      <c r="LHE11" s="253" t="n"/>
      <c r="LHF11" s="253" t="n"/>
      <c r="LHG11" s="253" t="n"/>
      <c r="LHH11" s="253" t="n"/>
      <c r="LHI11" s="253" t="n"/>
      <c r="LHJ11" s="253" t="n"/>
      <c r="LHK11" s="253" t="n"/>
      <c r="LHL11" s="253" t="n"/>
      <c r="LHM11" s="253" t="n"/>
      <c r="LHN11" s="253" t="n"/>
      <c r="LHO11" s="253" t="n"/>
      <c r="LHP11" s="253" t="n"/>
      <c r="LHQ11" s="253" t="n"/>
      <c r="LHR11" s="253" t="n"/>
      <c r="LHS11" s="253" t="n"/>
      <c r="LHT11" s="253" t="n"/>
      <c r="LHU11" s="253" t="n"/>
      <c r="LHV11" s="253" t="n"/>
      <c r="LHW11" s="253" t="n"/>
      <c r="LHX11" s="253" t="n"/>
      <c r="LHY11" s="253" t="n"/>
      <c r="LHZ11" s="253" t="n"/>
      <c r="LIA11" s="253" t="n"/>
      <c r="LIB11" s="253" t="n"/>
      <c r="LIC11" s="253" t="n"/>
      <c r="LID11" s="253" t="n"/>
      <c r="LIE11" s="253" t="n"/>
      <c r="LIF11" s="253" t="n"/>
      <c r="LIG11" s="253" t="n"/>
      <c r="LIH11" s="253" t="n"/>
      <c r="LII11" s="253" t="n"/>
      <c r="LIJ11" s="253" t="n"/>
      <c r="LIK11" s="253" t="n"/>
      <c r="LIL11" s="253" t="n"/>
      <c r="LIM11" s="253" t="n"/>
      <c r="LIN11" s="253" t="n"/>
      <c r="LIO11" s="253" t="n"/>
      <c r="LIP11" s="253" t="n"/>
      <c r="LIQ11" s="253" t="n"/>
      <c r="LIR11" s="253" t="n"/>
      <c r="LIS11" s="253" t="n"/>
      <c r="LIT11" s="253" t="n"/>
      <c r="LIU11" s="253" t="n"/>
      <c r="LIV11" s="253" t="n"/>
      <c r="LIW11" s="253" t="n"/>
      <c r="LIX11" s="253" t="n"/>
      <c r="LIY11" s="253" t="n"/>
      <c r="LIZ11" s="253" t="n"/>
      <c r="LJA11" s="253" t="n"/>
      <c r="LJB11" s="253" t="n"/>
      <c r="LJC11" s="253" t="n"/>
      <c r="LJD11" s="253" t="n"/>
      <c r="LJE11" s="253" t="n"/>
      <c r="LJF11" s="253" t="n"/>
      <c r="LJG11" s="253" t="n"/>
      <c r="LJH11" s="253" t="n"/>
      <c r="LJI11" s="253" t="n"/>
      <c r="LJJ11" s="253" t="n"/>
      <c r="LJK11" s="253" t="n"/>
      <c r="LJL11" s="253" t="n"/>
      <c r="LJM11" s="253" t="n"/>
      <c r="LJN11" s="253" t="n"/>
      <c r="LJO11" s="253" t="n"/>
      <c r="LJP11" s="253" t="n"/>
      <c r="LJQ11" s="253" t="n"/>
      <c r="LJR11" s="253" t="n"/>
      <c r="LJS11" s="253" t="n"/>
      <c r="LJT11" s="253" t="n"/>
      <c r="LJU11" s="253" t="n"/>
      <c r="LJV11" s="253" t="n"/>
      <c r="LJW11" s="253" t="n"/>
      <c r="LJX11" s="253" t="n"/>
      <c r="LJY11" s="253" t="n"/>
      <c r="LJZ11" s="253" t="n"/>
      <c r="LKA11" s="253" t="n"/>
      <c r="LKB11" s="253" t="n"/>
      <c r="LKC11" s="253" t="n"/>
      <c r="LKD11" s="253" t="n"/>
      <c r="LKE11" s="253" t="n"/>
      <c r="LKF11" s="253" t="n"/>
      <c r="LKG11" s="253" t="n"/>
      <c r="LKH11" s="253" t="n"/>
      <c r="LKI11" s="253" t="n"/>
      <c r="LKJ11" s="253" t="n"/>
      <c r="LKK11" s="253" t="n"/>
      <c r="LKL11" s="253" t="n"/>
      <c r="LKM11" s="253" t="n"/>
      <c r="LKN11" s="253" t="n"/>
      <c r="LKO11" s="253" t="n"/>
      <c r="LKP11" s="253" t="n"/>
      <c r="LKQ11" s="253" t="n"/>
      <c r="LKR11" s="253" t="n"/>
      <c r="LKS11" s="253" t="n"/>
      <c r="LKT11" s="253" t="n"/>
      <c r="LKU11" s="253" t="n"/>
      <c r="LKV11" s="253" t="n"/>
      <c r="LKW11" s="253" t="n"/>
      <c r="LKX11" s="253" t="n"/>
      <c r="LKY11" s="253" t="n"/>
      <c r="LKZ11" s="253" t="n"/>
      <c r="LLA11" s="253" t="n"/>
      <c r="LLB11" s="253" t="n"/>
      <c r="LLC11" s="253" t="n"/>
      <c r="LLD11" s="253" t="n"/>
      <c r="LLE11" s="253" t="n"/>
      <c r="LLF11" s="253" t="n"/>
      <c r="LLG11" s="253" t="n"/>
      <c r="LLH11" s="253" t="n"/>
      <c r="LLI11" s="253" t="n"/>
      <c r="LLJ11" s="253" t="n"/>
      <c r="LLK11" s="253" t="n"/>
      <c r="LLL11" s="253" t="n"/>
      <c r="LLM11" s="253" t="n"/>
      <c r="LLN11" s="253" t="n"/>
      <c r="LLO11" s="253" t="n"/>
      <c r="LLP11" s="253" t="n"/>
      <c r="LLQ11" s="253" t="n"/>
      <c r="LLR11" s="253" t="n"/>
      <c r="LLS11" s="253" t="n"/>
      <c r="LLT11" s="253" t="n"/>
      <c r="LLU11" s="253" t="n"/>
      <c r="LLV11" s="253" t="n"/>
      <c r="LLW11" s="253" t="n"/>
      <c r="LLX11" s="253" t="n"/>
      <c r="LLY11" s="253" t="n"/>
      <c r="LLZ11" s="253" t="n"/>
      <c r="LMA11" s="253" t="n"/>
      <c r="LMB11" s="253" t="n"/>
      <c r="LMC11" s="253" t="n"/>
      <c r="LMD11" s="253" t="n"/>
      <c r="LME11" s="253" t="n"/>
      <c r="LMF11" s="253" t="n"/>
      <c r="LMG11" s="253" t="n"/>
      <c r="LMH11" s="253" t="n"/>
      <c r="LMI11" s="253" t="n"/>
      <c r="LMJ11" s="253" t="n"/>
      <c r="LMK11" s="253" t="n"/>
      <c r="LML11" s="253" t="n"/>
      <c r="LMM11" s="253" t="n"/>
      <c r="LMN11" s="253" t="n"/>
      <c r="LMO11" s="253" t="n"/>
      <c r="LMP11" s="253" t="n"/>
      <c r="LMQ11" s="253" t="n"/>
      <c r="LMR11" s="253" t="n"/>
      <c r="LMS11" s="253" t="n"/>
      <c r="LMT11" s="253" t="n"/>
      <c r="LMU11" s="253" t="n"/>
      <c r="LMV11" s="253" t="n"/>
      <c r="LMW11" s="253" t="n"/>
      <c r="LMX11" s="253" t="n"/>
      <c r="LMY11" s="253" t="n"/>
      <c r="LMZ11" s="253" t="n"/>
      <c r="LNA11" s="253" t="n"/>
      <c r="LNB11" s="253" t="n"/>
      <c r="LNC11" s="253" t="n"/>
      <c r="LND11" s="253" t="n"/>
      <c r="LNE11" s="253" t="n"/>
      <c r="LNF11" s="253" t="n"/>
      <c r="LNG11" s="253" t="n"/>
      <c r="LNH11" s="253" t="n"/>
      <c r="LNI11" s="253" t="n"/>
      <c r="LNJ11" s="253" t="n"/>
      <c r="LNK11" s="253" t="n"/>
      <c r="LNL11" s="253" t="n"/>
      <c r="LNM11" s="253" t="n"/>
      <c r="LNN11" s="253" t="n"/>
      <c r="LNO11" s="253" t="n"/>
      <c r="LNP11" s="253" t="n"/>
      <c r="LNQ11" s="253" t="n"/>
      <c r="LNR11" s="253" t="n"/>
      <c r="LNS11" s="253" t="n"/>
      <c r="LNT11" s="253" t="n"/>
      <c r="LNU11" s="253" t="n"/>
      <c r="LNV11" s="253" t="n"/>
      <c r="LNW11" s="253" t="n"/>
      <c r="LNX11" s="253" t="n"/>
      <c r="LNY11" s="253" t="n"/>
      <c r="LNZ11" s="253" t="n"/>
      <c r="LOA11" s="253" t="n"/>
      <c r="LOB11" s="253" t="n"/>
      <c r="LOC11" s="253" t="n"/>
      <c r="LOD11" s="253" t="n"/>
      <c r="LOE11" s="253" t="n"/>
      <c r="LOF11" s="253" t="n"/>
      <c r="LOG11" s="253" t="n"/>
      <c r="LOH11" s="253" t="n"/>
      <c r="LOI11" s="253" t="n"/>
      <c r="LOJ11" s="253" t="n"/>
      <c r="LOK11" s="253" t="n"/>
      <c r="LOL11" s="253" t="n"/>
      <c r="LOM11" s="253" t="n"/>
      <c r="LON11" s="253" t="n"/>
      <c r="LOO11" s="253" t="n"/>
      <c r="LOP11" s="253" t="n"/>
      <c r="LOQ11" s="253" t="n"/>
      <c r="LOR11" s="253" t="n"/>
      <c r="LOS11" s="253" t="n"/>
      <c r="LOT11" s="253" t="n"/>
      <c r="LOU11" s="253" t="n"/>
      <c r="LOV11" s="253" t="n"/>
      <c r="LOW11" s="253" t="n"/>
      <c r="LOX11" s="253" t="n"/>
      <c r="LOY11" s="253" t="n"/>
      <c r="LOZ11" s="253" t="n"/>
      <c r="LPA11" s="253" t="n"/>
      <c r="LPB11" s="253" t="n"/>
      <c r="LPC11" s="253" t="n"/>
      <c r="LPD11" s="253" t="n"/>
      <c r="LPE11" s="253" t="n"/>
      <c r="LPF11" s="253" t="n"/>
      <c r="LPG11" s="253" t="n"/>
      <c r="LPH11" s="253" t="n"/>
      <c r="LPI11" s="253" t="n"/>
      <c r="LPJ11" s="253" t="n"/>
      <c r="LPK11" s="253" t="n"/>
      <c r="LPL11" s="253" t="n"/>
      <c r="LPM11" s="253" t="n"/>
      <c r="LPN11" s="253" t="n"/>
      <c r="LPO11" s="253" t="n"/>
      <c r="LPP11" s="253" t="n"/>
      <c r="LPQ11" s="253" t="n"/>
      <c r="LPR11" s="253" t="n"/>
      <c r="LPS11" s="253" t="n"/>
      <c r="LPT11" s="253" t="n"/>
      <c r="LPU11" s="253" t="n"/>
      <c r="LPV11" s="253" t="n"/>
      <c r="LPW11" s="253" t="n"/>
      <c r="LPX11" s="253" t="n"/>
      <c r="LPY11" s="253" t="n"/>
      <c r="LPZ11" s="253" t="n"/>
      <c r="LQA11" s="253" t="n"/>
      <c r="LQB11" s="253" t="n"/>
      <c r="LQC11" s="253" t="n"/>
      <c r="LQD11" s="253" t="n"/>
      <c r="LQE11" s="253" t="n"/>
      <c r="LQF11" s="253" t="n"/>
      <c r="LQG11" s="253" t="n"/>
      <c r="LQH11" s="253" t="n"/>
      <c r="LQI11" s="253" t="n"/>
      <c r="LQJ11" s="253" t="n"/>
      <c r="LQK11" s="253" t="n"/>
      <c r="LQL11" s="253" t="n"/>
      <c r="LQM11" s="253" t="n"/>
      <c r="LQN11" s="253" t="n"/>
      <c r="LQO11" s="253" t="n"/>
      <c r="LQP11" s="253" t="n"/>
      <c r="LQQ11" s="253" t="n"/>
      <c r="LQR11" s="253" t="n"/>
      <c r="LQS11" s="253" t="n"/>
      <c r="LQT11" s="253" t="n"/>
      <c r="LQU11" s="253" t="n"/>
      <c r="LQV11" s="253" t="n"/>
      <c r="LQW11" s="253" t="n"/>
      <c r="LQX11" s="253" t="n"/>
      <c r="LQY11" s="253" t="n"/>
      <c r="LQZ11" s="253" t="n"/>
      <c r="LRA11" s="253" t="n"/>
      <c r="LRB11" s="253" t="n"/>
      <c r="LRC11" s="253" t="n"/>
      <c r="LRD11" s="253" t="n"/>
      <c r="LRE11" s="253" t="n"/>
      <c r="LRF11" s="253" t="n"/>
      <c r="LRG11" s="253" t="n"/>
      <c r="LRH11" s="253" t="n"/>
      <c r="LRI11" s="253" t="n"/>
      <c r="LRJ11" s="253" t="n"/>
      <c r="LRK11" s="253" t="n"/>
      <c r="LRL11" s="253" t="n"/>
      <c r="LRM11" s="253" t="n"/>
      <c r="LRN11" s="253" t="n"/>
      <c r="LRO11" s="253" t="n"/>
      <c r="LRP11" s="253" t="n"/>
      <c r="LRQ11" s="253" t="n"/>
      <c r="LRR11" s="253" t="n"/>
      <c r="LRS11" s="253" t="n"/>
      <c r="LRT11" s="253" t="n"/>
      <c r="LRU11" s="253" t="n"/>
      <c r="LRV11" s="253" t="n"/>
      <c r="LRW11" s="253" t="n"/>
      <c r="LRX11" s="253" t="n"/>
      <c r="LRY11" s="253" t="n"/>
      <c r="LRZ11" s="253" t="n"/>
      <c r="LSA11" s="253" t="n"/>
      <c r="LSB11" s="253" t="n"/>
      <c r="LSC11" s="253" t="n"/>
      <c r="LSD11" s="253" t="n"/>
      <c r="LSE11" s="253" t="n"/>
      <c r="LSF11" s="253" t="n"/>
      <c r="LSG11" s="253" t="n"/>
      <c r="LSH11" s="253" t="n"/>
      <c r="LSI11" s="253" t="n"/>
      <c r="LSJ11" s="253" t="n"/>
      <c r="LSK11" s="253" t="n"/>
      <c r="LSL11" s="253" t="n"/>
      <c r="LSM11" s="253" t="n"/>
      <c r="LSN11" s="253" t="n"/>
      <c r="LSO11" s="253" t="n"/>
      <c r="LSP11" s="253" t="n"/>
      <c r="LSQ11" s="253" t="n"/>
      <c r="LSR11" s="253" t="n"/>
      <c r="LSS11" s="253" t="n"/>
      <c r="LST11" s="253" t="n"/>
      <c r="LSU11" s="253" t="n"/>
      <c r="LSV11" s="253" t="n"/>
      <c r="LSW11" s="253" t="n"/>
      <c r="LSX11" s="253" t="n"/>
      <c r="LSY11" s="253" t="n"/>
      <c r="LSZ11" s="253" t="n"/>
      <c r="LTA11" s="253" t="n"/>
      <c r="LTB11" s="253" t="n"/>
      <c r="LTC11" s="253" t="n"/>
      <c r="LTD11" s="253" t="n"/>
      <c r="LTE11" s="253" t="n"/>
      <c r="LTF11" s="253" t="n"/>
      <c r="LTG11" s="253" t="n"/>
      <c r="LTH11" s="253" t="n"/>
      <c r="LTI11" s="253" t="n"/>
      <c r="LTJ11" s="253" t="n"/>
      <c r="LTK11" s="253" t="n"/>
      <c r="LTL11" s="253" t="n"/>
      <c r="LTM11" s="253" t="n"/>
      <c r="LTN11" s="253" t="n"/>
      <c r="LTO11" s="253" t="n"/>
      <c r="LTP11" s="253" t="n"/>
      <c r="LTQ11" s="253" t="n"/>
      <c r="LTR11" s="253" t="n"/>
      <c r="LTS11" s="253" t="n"/>
      <c r="LTT11" s="253" t="n"/>
      <c r="LTU11" s="253" t="n"/>
      <c r="LTV11" s="253" t="n"/>
      <c r="LTW11" s="253" t="n"/>
      <c r="LTX11" s="253" t="n"/>
      <c r="LTY11" s="253" t="n"/>
      <c r="LTZ11" s="253" t="n"/>
      <c r="LUA11" s="253" t="n"/>
      <c r="LUB11" s="253" t="n"/>
      <c r="LUC11" s="253" t="n"/>
      <c r="LUD11" s="253" t="n"/>
      <c r="LUE11" s="253" t="n"/>
      <c r="LUF11" s="253" t="n"/>
      <c r="LUG11" s="253" t="n"/>
      <c r="LUH11" s="253" t="n"/>
      <c r="LUI11" s="253" t="n"/>
      <c r="LUJ11" s="253" t="n"/>
      <c r="LUK11" s="253" t="n"/>
      <c r="LUL11" s="253" t="n"/>
      <c r="LUM11" s="253" t="n"/>
      <c r="LUN11" s="253" t="n"/>
      <c r="LUO11" s="253" t="n"/>
      <c r="LUP11" s="253" t="n"/>
      <c r="LUQ11" s="253" t="n"/>
      <c r="LUR11" s="253" t="n"/>
      <c r="LUS11" s="253" t="n"/>
      <c r="LUT11" s="253" t="n"/>
      <c r="LUU11" s="253" t="n"/>
      <c r="LUV11" s="253" t="n"/>
      <c r="LUW11" s="253" t="n"/>
      <c r="LUX11" s="253" t="n"/>
      <c r="LUY11" s="253" t="n"/>
      <c r="LUZ11" s="253" t="n"/>
      <c r="LVA11" s="253" t="n"/>
      <c r="LVB11" s="253" t="n"/>
      <c r="LVC11" s="253" t="n"/>
      <c r="LVD11" s="253" t="n"/>
      <c r="LVE11" s="253" t="n"/>
      <c r="LVF11" s="253" t="n"/>
      <c r="LVG11" s="253" t="n"/>
      <c r="LVH11" s="253" t="n"/>
      <c r="LVI11" s="253" t="n"/>
      <c r="LVJ11" s="253" t="n"/>
      <c r="LVK11" s="253" t="n"/>
      <c r="LVL11" s="253" t="n"/>
      <c r="LVM11" s="253" t="n"/>
      <c r="LVN11" s="253" t="n"/>
      <c r="LVO11" s="253" t="n"/>
      <c r="LVP11" s="253" t="n"/>
      <c r="LVQ11" s="253" t="n"/>
      <c r="LVR11" s="253" t="n"/>
      <c r="LVS11" s="253" t="n"/>
      <c r="LVT11" s="253" t="n"/>
      <c r="LVU11" s="253" t="n"/>
      <c r="LVV11" s="253" t="n"/>
      <c r="LVW11" s="253" t="n"/>
      <c r="LVX11" s="253" t="n"/>
      <c r="LVY11" s="253" t="n"/>
      <c r="LVZ11" s="253" t="n"/>
      <c r="LWA11" s="253" t="n"/>
      <c r="LWB11" s="253" t="n"/>
      <c r="LWC11" s="253" t="n"/>
      <c r="LWD11" s="253" t="n"/>
      <c r="LWE11" s="253" t="n"/>
      <c r="LWF11" s="253" t="n"/>
      <c r="LWG11" s="253" t="n"/>
      <c r="LWH11" s="253" t="n"/>
      <c r="LWI11" s="253" t="n"/>
      <c r="LWJ11" s="253" t="n"/>
      <c r="LWK11" s="253" t="n"/>
      <c r="LWL11" s="253" t="n"/>
      <c r="LWM11" s="253" t="n"/>
      <c r="LWN11" s="253" t="n"/>
      <c r="LWO11" s="253" t="n"/>
      <c r="LWP11" s="253" t="n"/>
      <c r="LWQ11" s="253" t="n"/>
      <c r="LWR11" s="253" t="n"/>
      <c r="LWS11" s="253" t="n"/>
      <c r="LWT11" s="253" t="n"/>
      <c r="LWU11" s="253" t="n"/>
      <c r="LWV11" s="253" t="n"/>
      <c r="LWW11" s="253" t="n"/>
      <c r="LWX11" s="253" t="n"/>
      <c r="LWY11" s="253" t="n"/>
      <c r="LWZ11" s="253" t="n"/>
      <c r="LXA11" s="253" t="n"/>
      <c r="LXB11" s="253" t="n"/>
      <c r="LXC11" s="253" t="n"/>
      <c r="LXD11" s="253" t="n"/>
      <c r="LXE11" s="253" t="n"/>
      <c r="LXF11" s="253" t="n"/>
      <c r="LXG11" s="253" t="n"/>
      <c r="LXH11" s="253" t="n"/>
      <c r="LXI11" s="253" t="n"/>
      <c r="LXJ11" s="253" t="n"/>
      <c r="LXK11" s="253" t="n"/>
      <c r="LXL11" s="253" t="n"/>
      <c r="LXM11" s="253" t="n"/>
      <c r="LXN11" s="253" t="n"/>
      <c r="LXO11" s="253" t="n"/>
      <c r="LXP11" s="253" t="n"/>
      <c r="LXQ11" s="253" t="n"/>
      <c r="LXR11" s="253" t="n"/>
      <c r="LXS11" s="253" t="n"/>
      <c r="LXT11" s="253" t="n"/>
      <c r="LXU11" s="253" t="n"/>
      <c r="LXV11" s="253" t="n"/>
      <c r="LXW11" s="253" t="n"/>
      <c r="LXX11" s="253" t="n"/>
      <c r="LXY11" s="253" t="n"/>
      <c r="LXZ11" s="253" t="n"/>
      <c r="LYA11" s="253" t="n"/>
      <c r="LYB11" s="253" t="n"/>
      <c r="LYC11" s="253" t="n"/>
      <c r="LYD11" s="253" t="n"/>
      <c r="LYE11" s="253" t="n"/>
      <c r="LYF11" s="253" t="n"/>
      <c r="LYG11" s="253" t="n"/>
      <c r="LYH11" s="253" t="n"/>
      <c r="LYI11" s="253" t="n"/>
      <c r="LYJ11" s="253" t="n"/>
      <c r="LYK11" s="253" t="n"/>
      <c r="LYL11" s="253" t="n"/>
      <c r="LYM11" s="253" t="n"/>
      <c r="LYN11" s="253" t="n"/>
      <c r="LYO11" s="253" t="n"/>
      <c r="LYP11" s="253" t="n"/>
      <c r="LYQ11" s="253" t="n"/>
      <c r="LYR11" s="253" t="n"/>
      <c r="LYS11" s="253" t="n"/>
      <c r="LYT11" s="253" t="n"/>
      <c r="LYU11" s="253" t="n"/>
      <c r="LYV11" s="253" t="n"/>
      <c r="LYW11" s="253" t="n"/>
      <c r="LYX11" s="253" t="n"/>
      <c r="LYY11" s="253" t="n"/>
      <c r="LYZ11" s="253" t="n"/>
      <c r="LZA11" s="253" t="n"/>
      <c r="LZB11" s="253" t="n"/>
      <c r="LZC11" s="253" t="n"/>
      <c r="LZD11" s="253" t="n"/>
      <c r="LZE11" s="253" t="n"/>
      <c r="LZF11" s="253" t="n"/>
      <c r="LZG11" s="253" t="n"/>
      <c r="LZH11" s="253" t="n"/>
      <c r="LZI11" s="253" t="n"/>
      <c r="LZJ11" s="253" t="n"/>
      <c r="LZK11" s="253" t="n"/>
      <c r="LZL11" s="253" t="n"/>
      <c r="LZM11" s="253" t="n"/>
      <c r="LZN11" s="253" t="n"/>
      <c r="LZO11" s="253" t="n"/>
      <c r="LZP11" s="253" t="n"/>
      <c r="LZQ11" s="253" t="n"/>
      <c r="LZR11" s="253" t="n"/>
      <c r="LZS11" s="253" t="n"/>
      <c r="LZT11" s="253" t="n"/>
      <c r="LZU11" s="253" t="n"/>
      <c r="LZV11" s="253" t="n"/>
      <c r="LZW11" s="253" t="n"/>
      <c r="LZX11" s="253" t="n"/>
      <c r="LZY11" s="253" t="n"/>
      <c r="LZZ11" s="253" t="n"/>
      <c r="MAA11" s="253" t="n"/>
      <c r="MAB11" s="253" t="n"/>
      <c r="MAC11" s="253" t="n"/>
      <c r="MAD11" s="253" t="n"/>
      <c r="MAE11" s="253" t="n"/>
      <c r="MAF11" s="253" t="n"/>
      <c r="MAG11" s="253" t="n"/>
      <c r="MAH11" s="253" t="n"/>
      <c r="MAI11" s="253" t="n"/>
      <c r="MAJ11" s="253" t="n"/>
      <c r="MAK11" s="253" t="n"/>
      <c r="MAL11" s="253" t="n"/>
      <c r="MAM11" s="253" t="n"/>
      <c r="MAN11" s="253" t="n"/>
      <c r="MAO11" s="253" t="n"/>
      <c r="MAP11" s="253" t="n"/>
      <c r="MAQ11" s="253" t="n"/>
      <c r="MAR11" s="253" t="n"/>
      <c r="MAS11" s="253" t="n"/>
      <c r="MAT11" s="253" t="n"/>
      <c r="MAU11" s="253" t="n"/>
      <c r="MAV11" s="253" t="n"/>
      <c r="MAW11" s="253" t="n"/>
      <c r="MAX11" s="253" t="n"/>
      <c r="MAY11" s="253" t="n"/>
      <c r="MAZ11" s="253" t="n"/>
      <c r="MBA11" s="253" t="n"/>
      <c r="MBB11" s="253" t="n"/>
      <c r="MBC11" s="253" t="n"/>
      <c r="MBD11" s="253" t="n"/>
      <c r="MBE11" s="253" t="n"/>
      <c r="MBF11" s="253" t="n"/>
      <c r="MBG11" s="253" t="n"/>
      <c r="MBH11" s="253" t="n"/>
      <c r="MBI11" s="253" t="n"/>
      <c r="MBJ11" s="253" t="n"/>
      <c r="MBK11" s="253" t="n"/>
      <c r="MBL11" s="253" t="n"/>
      <c r="MBM11" s="253" t="n"/>
      <c r="MBN11" s="253" t="n"/>
      <c r="MBO11" s="253" t="n"/>
      <c r="MBP11" s="253" t="n"/>
      <c r="MBQ11" s="253" t="n"/>
      <c r="MBR11" s="253" t="n"/>
      <c r="MBS11" s="253" t="n"/>
      <c r="MBT11" s="253" t="n"/>
      <c r="MBU11" s="253" t="n"/>
      <c r="MBV11" s="253" t="n"/>
      <c r="MBW11" s="253" t="n"/>
      <c r="MBX11" s="253" t="n"/>
      <c r="MBY11" s="253" t="n"/>
      <c r="MBZ11" s="253" t="n"/>
      <c r="MCA11" s="253" t="n"/>
      <c r="MCB11" s="253" t="n"/>
      <c r="MCC11" s="253" t="n"/>
      <c r="MCD11" s="253" t="n"/>
      <c r="MCE11" s="253" t="n"/>
      <c r="MCF11" s="253" t="n"/>
      <c r="MCG11" s="253" t="n"/>
      <c r="MCH11" s="253" t="n"/>
      <c r="MCI11" s="253" t="n"/>
      <c r="MCJ11" s="253" t="n"/>
      <c r="MCK11" s="253" t="n"/>
      <c r="MCL11" s="253" t="n"/>
      <c r="MCM11" s="253" t="n"/>
      <c r="MCN11" s="253" t="n"/>
      <c r="MCO11" s="253" t="n"/>
      <c r="MCP11" s="253" t="n"/>
      <c r="MCQ11" s="253" t="n"/>
      <c r="MCR11" s="253" t="n"/>
      <c r="MCS11" s="253" t="n"/>
      <c r="MCT11" s="253" t="n"/>
      <c r="MCU11" s="253" t="n"/>
      <c r="MCV11" s="253" t="n"/>
      <c r="MCW11" s="253" t="n"/>
      <c r="MCX11" s="253" t="n"/>
      <c r="MCY11" s="253" t="n"/>
      <c r="MCZ11" s="253" t="n"/>
      <c r="MDA11" s="253" t="n"/>
      <c r="MDB11" s="253" t="n"/>
      <c r="MDC11" s="253" t="n"/>
      <c r="MDD11" s="253" t="n"/>
      <c r="MDE11" s="253" t="n"/>
      <c r="MDF11" s="253" t="n"/>
      <c r="MDG11" s="253" t="n"/>
      <c r="MDH11" s="253" t="n"/>
      <c r="MDI11" s="253" t="n"/>
      <c r="MDJ11" s="253" t="n"/>
      <c r="MDK11" s="253" t="n"/>
      <c r="MDL11" s="253" t="n"/>
      <c r="MDM11" s="253" t="n"/>
      <c r="MDN11" s="253" t="n"/>
      <c r="MDO11" s="253" t="n"/>
      <c r="MDP11" s="253" t="n"/>
      <c r="MDQ11" s="253" t="n"/>
      <c r="MDR11" s="253" t="n"/>
      <c r="MDS11" s="253" t="n"/>
      <c r="MDT11" s="253" t="n"/>
      <c r="MDU11" s="253" t="n"/>
      <c r="MDV11" s="253" t="n"/>
      <c r="MDW11" s="253" t="n"/>
      <c r="MDX11" s="253" t="n"/>
      <c r="MDY11" s="253" t="n"/>
      <c r="MDZ11" s="253" t="n"/>
      <c r="MEA11" s="253" t="n"/>
      <c r="MEB11" s="253" t="n"/>
      <c r="MEC11" s="253" t="n"/>
      <c r="MED11" s="253" t="n"/>
      <c r="MEE11" s="253" t="n"/>
      <c r="MEF11" s="253" t="n"/>
      <c r="MEG11" s="253" t="n"/>
      <c r="MEH11" s="253" t="n"/>
      <c r="MEI11" s="253" t="n"/>
      <c r="MEJ11" s="253" t="n"/>
      <c r="MEK11" s="253" t="n"/>
      <c r="MEL11" s="253" t="n"/>
      <c r="MEM11" s="253" t="n"/>
      <c r="MEN11" s="253" t="n"/>
      <c r="MEO11" s="253" t="n"/>
      <c r="MEP11" s="253" t="n"/>
      <c r="MEQ11" s="253" t="n"/>
      <c r="MER11" s="253" t="n"/>
      <c r="MES11" s="253" t="n"/>
      <c r="MET11" s="253" t="n"/>
      <c r="MEU11" s="253" t="n"/>
      <c r="MEV11" s="253" t="n"/>
      <c r="MEW11" s="253" t="n"/>
      <c r="MEX11" s="253" t="n"/>
      <c r="MEY11" s="253" t="n"/>
      <c r="MEZ11" s="253" t="n"/>
      <c r="MFA11" s="253" t="n"/>
      <c r="MFB11" s="253" t="n"/>
      <c r="MFC11" s="253" t="n"/>
      <c r="MFD11" s="253" t="n"/>
      <c r="MFE11" s="253" t="n"/>
      <c r="MFF11" s="253" t="n"/>
      <c r="MFG11" s="253" t="n"/>
      <c r="MFH11" s="253" t="n"/>
      <c r="MFI11" s="253" t="n"/>
      <c r="MFJ11" s="253" t="n"/>
      <c r="MFK11" s="253" t="n"/>
      <c r="MFL11" s="253" t="n"/>
      <c r="MFM11" s="253" t="n"/>
      <c r="MFN11" s="252" t="n"/>
      <c r="MFO11" s="253" t="n"/>
      <c r="MFP11" s="253" t="n"/>
      <c r="MFQ11" s="253" t="n"/>
      <c r="MFR11" s="253" t="n"/>
      <c r="MFS11" s="253" t="n"/>
      <c r="MFT11" s="253" t="n"/>
      <c r="MFU11" s="253" t="n"/>
      <c r="MFV11" s="253" t="n"/>
      <c r="MFW11" s="253" t="n"/>
      <c r="MFX11" s="253" t="n"/>
      <c r="MFY11" s="253" t="n"/>
      <c r="MFZ11" s="253" t="n"/>
      <c r="MGA11" s="253" t="n"/>
      <c r="MGB11" s="253" t="n"/>
      <c r="MGC11" s="253" t="n"/>
      <c r="MGD11" s="253" t="n"/>
      <c r="MGE11" s="253" t="n"/>
      <c r="MGF11" s="253" t="n"/>
      <c r="MGG11" s="253" t="n"/>
      <c r="MGH11" s="253" t="n"/>
      <c r="MGI11" s="253" t="n"/>
      <c r="MGJ11" s="253" t="n"/>
      <c r="MGK11" s="253" t="n"/>
      <c r="MGL11" s="253" t="n"/>
      <c r="MGM11" s="253" t="n"/>
      <c r="MGN11" s="253" t="n"/>
      <c r="MGO11" s="253" t="n"/>
      <c r="MGP11" s="253" t="n"/>
      <c r="MGQ11" s="253" t="n"/>
      <c r="MGR11" s="253" t="n"/>
      <c r="MGS11" s="253" t="n"/>
      <c r="MGT11" s="253" t="n"/>
      <c r="MGU11" s="253" t="n"/>
      <c r="MGV11" s="253" t="n"/>
      <c r="MGW11" s="253" t="n"/>
      <c r="MGX11" s="253" t="n"/>
      <c r="MGY11" s="253" t="n"/>
      <c r="MGZ11" s="253" t="n"/>
      <c r="MHA11" s="253" t="n"/>
      <c r="MHB11" s="253" t="n"/>
      <c r="MHC11" s="253" t="n"/>
      <c r="MHD11" s="253" t="n"/>
      <c r="MHE11" s="253" t="n"/>
      <c r="MHF11" s="253" t="n"/>
      <c r="MHG11" s="253" t="n"/>
      <c r="MHH11" s="253" t="n"/>
      <c r="MHI11" s="253" t="n"/>
      <c r="MHJ11" s="253" t="n"/>
      <c r="MHK11" s="253" t="n"/>
      <c r="MHL11" s="253" t="n"/>
      <c r="MHM11" s="253" t="n"/>
      <c r="MHN11" s="253" t="n"/>
      <c r="MHO11" s="253" t="n"/>
      <c r="MHP11" s="253" t="n"/>
      <c r="MHQ11" s="253" t="n"/>
      <c r="MHR11" s="253" t="n"/>
      <c r="MHS11" s="253" t="n"/>
      <c r="MHT11" s="253" t="n"/>
      <c r="MHU11" s="253" t="n"/>
      <c r="MHV11" s="253" t="n"/>
      <c r="MHW11" s="253" t="n"/>
      <c r="MHX11" s="253" t="n"/>
      <c r="MHY11" s="253" t="n"/>
      <c r="MHZ11" s="253" t="n"/>
      <c r="MIA11" s="253" t="n"/>
      <c r="MIB11" s="253" t="n"/>
      <c r="MIC11" s="253" t="n"/>
      <c r="MID11" s="253" t="n"/>
      <c r="MIE11" s="253" t="n"/>
      <c r="MIF11" s="253" t="n"/>
      <c r="MIG11" s="253" t="n"/>
      <c r="MIH11" s="253" t="n"/>
      <c r="MII11" s="253" t="n"/>
      <c r="MIJ11" s="253" t="n"/>
      <c r="MIK11" s="253" t="n"/>
      <c r="MIL11" s="253" t="n"/>
      <c r="MIM11" s="253" t="n"/>
      <c r="MIN11" s="253" t="n"/>
      <c r="MIO11" s="253" t="n"/>
      <c r="MIP11" s="253" t="n"/>
      <c r="MIQ11" s="253" t="n"/>
      <c r="MIR11" s="253" t="n"/>
      <c r="MIS11" s="253" t="n"/>
      <c r="MIT11" s="253" t="n"/>
      <c r="MIU11" s="253" t="n"/>
      <c r="MIV11" s="253" t="n"/>
      <c r="MIW11" s="253" t="n"/>
      <c r="MIX11" s="253" t="n"/>
      <c r="MIY11" s="253" t="n"/>
      <c r="MIZ11" s="253" t="n"/>
      <c r="MJA11" s="253" t="n"/>
      <c r="MJB11" s="253" t="n"/>
      <c r="MJC11" s="253" t="n"/>
      <c r="MJD11" s="253" t="n"/>
      <c r="MJE11" s="253" t="n"/>
      <c r="MJF11" s="253" t="n"/>
      <c r="MJG11" s="253" t="n"/>
      <c r="MJH11" s="253" t="n"/>
      <c r="MJI11" s="253" t="n"/>
      <c r="MJJ11" s="253" t="n"/>
      <c r="MJK11" s="253" t="n"/>
      <c r="MJL11" s="253" t="n"/>
      <c r="MJM11" s="253" t="n"/>
      <c r="MJN11" s="253" t="n"/>
      <c r="MJO11" s="253" t="n"/>
      <c r="MJP11" s="253" t="n"/>
      <c r="MJQ11" s="253" t="n"/>
      <c r="MJR11" s="253" t="n"/>
      <c r="MJS11" s="253" t="n"/>
      <c r="MJT11" s="253" t="n"/>
      <c r="MJU11" s="253" t="n"/>
      <c r="MJV11" s="253" t="n"/>
      <c r="MJW11" s="253" t="n"/>
      <c r="MJX11" s="253" t="n"/>
      <c r="MJY11" s="253" t="n"/>
      <c r="MJZ11" s="253" t="n"/>
      <c r="MKA11" s="253" t="n"/>
      <c r="MKB11" s="253" t="n"/>
      <c r="MKC11" s="253" t="n"/>
      <c r="MKD11" s="253" t="n"/>
      <c r="MKE11" s="253" t="n"/>
      <c r="MKF11" s="253" t="n"/>
      <c r="MKG11" s="253" t="n"/>
      <c r="MKH11" s="253" t="n"/>
      <c r="MKI11" s="253" t="n"/>
      <c r="MKJ11" s="253" t="n"/>
      <c r="MKK11" s="253" t="n"/>
      <c r="MKL11" s="253" t="n"/>
      <c r="MKM11" s="253" t="n"/>
      <c r="MKN11" s="253" t="n"/>
      <c r="MKO11" s="253" t="n"/>
      <c r="MKP11" s="253" t="n"/>
      <c r="MKQ11" s="253" t="n"/>
      <c r="MKR11" s="253" t="n"/>
      <c r="MKS11" s="253" t="n"/>
      <c r="MKT11" s="253" t="n"/>
      <c r="MKU11" s="253" t="n"/>
      <c r="MKV11" s="253" t="n"/>
      <c r="MKW11" s="253" t="n"/>
      <c r="MKX11" s="253" t="n"/>
      <c r="MKY11" s="253" t="n"/>
      <c r="MKZ11" s="253" t="n"/>
      <c r="MLA11" s="253" t="n"/>
      <c r="MLB11" s="253" t="n"/>
      <c r="MLC11" s="253" t="n"/>
      <c r="MLD11" s="253" t="n"/>
      <c r="MLE11" s="253" t="n"/>
      <c r="MLF11" s="253" t="n"/>
      <c r="MLG11" s="253" t="n"/>
      <c r="MLH11" s="253" t="n"/>
      <c r="MLI11" s="253" t="n"/>
      <c r="MLJ11" s="253" t="n"/>
      <c r="MLK11" s="253" t="n"/>
      <c r="MLL11" s="253" t="n"/>
      <c r="MLM11" s="253" t="n"/>
      <c r="MLN11" s="253" t="n"/>
      <c r="MLO11" s="253" t="n"/>
      <c r="MLP11" s="253" t="n"/>
      <c r="MLQ11" s="253" t="n"/>
      <c r="MLR11" s="253" t="n"/>
      <c r="MLS11" s="253" t="n"/>
      <c r="MLT11" s="253" t="n"/>
      <c r="MLU11" s="253" t="n"/>
      <c r="MLV11" s="253" t="n"/>
      <c r="MLW11" s="253" t="n"/>
      <c r="MLX11" s="253" t="n"/>
      <c r="MLY11" s="253" t="n"/>
      <c r="MLZ11" s="253" t="n"/>
      <c r="MMA11" s="253" t="n"/>
      <c r="MMB11" s="253" t="n"/>
      <c r="MMC11" s="253" t="n"/>
      <c r="MMD11" s="253" t="n"/>
      <c r="MME11" s="253" t="n"/>
      <c r="MMF11" s="253" t="n"/>
      <c r="MMG11" s="253" t="n"/>
      <c r="MMH11" s="253" t="n"/>
      <c r="MMI11" s="253" t="n"/>
      <c r="MMJ11" s="253" t="n"/>
      <c r="MMK11" s="253" t="n"/>
      <c r="MML11" s="253" t="n"/>
      <c r="MMM11" s="253" t="n"/>
      <c r="MMN11" s="253" t="n"/>
      <c r="MMO11" s="253" t="n"/>
      <c r="MMP11" s="253" t="n"/>
      <c r="MMQ11" s="253" t="n"/>
      <c r="MMR11" s="253" t="n"/>
      <c r="MMS11" s="253" t="n"/>
      <c r="MMT11" s="253" t="n"/>
      <c r="MMU11" s="253" t="n"/>
      <c r="MMV11" s="253" t="n"/>
      <c r="MMW11" s="253" t="n"/>
      <c r="MMX11" s="253" t="n"/>
      <c r="MMY11" s="253" t="n"/>
      <c r="MMZ11" s="253" t="n"/>
      <c r="MNA11" s="253" t="n"/>
      <c r="MNB11" s="253" t="n"/>
      <c r="MNC11" s="253" t="n"/>
      <c r="MND11" s="253" t="n"/>
      <c r="MNE11" s="253" t="n"/>
      <c r="MNF11" s="253" t="n"/>
      <c r="MNG11" s="253" t="n"/>
      <c r="MNH11" s="253" t="n"/>
      <c r="MNI11" s="253" t="n"/>
      <c r="MNJ11" s="253" t="n"/>
      <c r="MNK11" s="253" t="n"/>
      <c r="MNL11" s="253" t="n"/>
      <c r="MNM11" s="253" t="n"/>
      <c r="MNN11" s="253" t="n"/>
      <c r="MNO11" s="253" t="n"/>
      <c r="MNP11" s="253" t="n"/>
      <c r="MNQ11" s="253" t="n"/>
      <c r="MNR11" s="253" t="n"/>
      <c r="MNS11" s="253" t="n"/>
      <c r="MNT11" s="253" t="n"/>
      <c r="MNU11" s="253" t="n"/>
      <c r="MNV11" s="253" t="n"/>
      <c r="MNW11" s="253" t="n"/>
      <c r="MNX11" s="253" t="n"/>
      <c r="MNY11" s="253" t="n"/>
      <c r="MNZ11" s="253" t="n"/>
      <c r="MOA11" s="253" t="n"/>
      <c r="MOB11" s="253" t="n"/>
      <c r="MOC11" s="253" t="n"/>
      <c r="MOD11" s="253" t="n"/>
      <c r="MOE11" s="253" t="n"/>
      <c r="MOF11" s="253" t="n"/>
      <c r="MOG11" s="253" t="n"/>
      <c r="MOH11" s="253" t="n"/>
      <c r="MOI11" s="253" t="n"/>
      <c r="MOJ11" s="253" t="n"/>
      <c r="MOK11" s="253" t="n"/>
      <c r="MOL11" s="253" t="n"/>
      <c r="MOM11" s="253" t="n"/>
      <c r="MON11" s="253" t="n"/>
      <c r="MOO11" s="253" t="n"/>
      <c r="MOP11" s="253" t="n"/>
      <c r="MOQ11" s="253" t="n"/>
      <c r="MOR11" s="253" t="n"/>
      <c r="MOS11" s="253" t="n"/>
      <c r="MOT11" s="253" t="n"/>
      <c r="MOU11" s="253" t="n"/>
      <c r="MOV11" s="253" t="n"/>
      <c r="MOW11" s="253" t="n"/>
      <c r="MOX11" s="253" t="n"/>
      <c r="MOY11" s="253" t="n"/>
      <c r="MOZ11" s="253" t="n"/>
      <c r="MPA11" s="253" t="n"/>
      <c r="MPB11" s="253" t="n"/>
      <c r="MPC11" s="253" t="n"/>
      <c r="MPD11" s="253" t="n"/>
      <c r="MPE11" s="253" t="n"/>
      <c r="MPF11" s="253" t="n"/>
      <c r="MPG11" s="253" t="n"/>
      <c r="MPH11" s="253" t="n"/>
      <c r="MPI11" s="253" t="n"/>
      <c r="MPJ11" s="253" t="n"/>
      <c r="MPK11" s="253" t="n"/>
      <c r="MPL11" s="253" t="n"/>
      <c r="MPM11" s="253" t="n"/>
      <c r="MPN11" s="253" t="n"/>
      <c r="MPO11" s="253" t="n"/>
      <c r="MPP11" s="253" t="n"/>
      <c r="MPQ11" s="253" t="n"/>
      <c r="MPR11" s="253" t="n"/>
      <c r="MPS11" s="253" t="n"/>
      <c r="MPT11" s="253" t="n"/>
      <c r="MPU11" s="253" t="n"/>
      <c r="MPV11" s="253" t="n"/>
      <c r="MPW11" s="253" t="n"/>
      <c r="MPX11" s="253" t="n"/>
      <c r="MPY11" s="253" t="n"/>
      <c r="MPZ11" s="253" t="n"/>
      <c r="MQA11" s="253" t="n"/>
      <c r="MQB11" s="253" t="n"/>
      <c r="MQC11" s="253" t="n"/>
      <c r="MQD11" s="253" t="n"/>
      <c r="MQE11" s="253" t="n"/>
      <c r="MQF11" s="253" t="n"/>
      <c r="MQG11" s="253" t="n"/>
      <c r="MQH11" s="253" t="n"/>
      <c r="MQI11" s="253" t="n"/>
      <c r="MQJ11" s="253" t="n"/>
      <c r="MQK11" s="253" t="n"/>
      <c r="MQL11" s="253" t="n"/>
      <c r="MQM11" s="253" t="n"/>
      <c r="MQN11" s="253" t="n"/>
      <c r="MQO11" s="253" t="n"/>
      <c r="MQP11" s="253" t="n"/>
      <c r="MQQ11" s="253" t="n"/>
      <c r="MQR11" s="253" t="n"/>
      <c r="MQS11" s="253" t="n"/>
      <c r="MQT11" s="253" t="n"/>
      <c r="MQU11" s="253" t="n"/>
      <c r="MQV11" s="253" t="n"/>
      <c r="MQW11" s="253" t="n"/>
      <c r="MQX11" s="253" t="n"/>
      <c r="MQY11" s="253" t="n"/>
      <c r="MQZ11" s="253" t="n"/>
      <c r="MRA11" s="253" t="n"/>
      <c r="MRB11" s="253" t="n"/>
      <c r="MRC11" s="253" t="n"/>
      <c r="MRD11" s="253" t="n"/>
      <c r="MRE11" s="253" t="n"/>
      <c r="MRF11" s="253" t="n"/>
      <c r="MRG11" s="253" t="n"/>
      <c r="MRH11" s="253" t="n"/>
      <c r="MRI11" s="253" t="n"/>
      <c r="MRJ11" s="253" t="n"/>
      <c r="MRK11" s="253" t="n"/>
      <c r="MRL11" s="253" t="n"/>
      <c r="MRM11" s="253" t="n"/>
      <c r="MRN11" s="253" t="n"/>
      <c r="MRO11" s="253" t="n"/>
      <c r="MRP11" s="253" t="n"/>
      <c r="MRQ11" s="253" t="n"/>
      <c r="MRR11" s="253" t="n"/>
      <c r="MRS11" s="253" t="n"/>
      <c r="MRT11" s="253" t="n"/>
      <c r="MRU11" s="253" t="n"/>
      <c r="MRV11" s="253" t="n"/>
      <c r="MRW11" s="253" t="n"/>
      <c r="MRX11" s="253" t="n"/>
      <c r="MRY11" s="253" t="n"/>
      <c r="MRZ11" s="253" t="n"/>
      <c r="MSA11" s="253" t="n"/>
      <c r="MSB11" s="253" t="n"/>
      <c r="MSC11" s="253" t="n"/>
      <c r="MSD11" s="253" t="n"/>
      <c r="MSE11" s="253" t="n"/>
      <c r="MSF11" s="253" t="n"/>
      <c r="MSG11" s="253" t="n"/>
      <c r="MSH11" s="253" t="n"/>
      <c r="MSI11" s="253" t="n"/>
      <c r="MSJ11" s="253" t="n"/>
      <c r="MSK11" s="253" t="n"/>
      <c r="MSL11" s="253" t="n"/>
      <c r="MSM11" s="253" t="n"/>
      <c r="MSN11" s="253" t="n"/>
      <c r="MSO11" s="253" t="n"/>
      <c r="MSP11" s="253" t="n"/>
      <c r="MSQ11" s="253" t="n"/>
      <c r="MSR11" s="253" t="n"/>
      <c r="MSS11" s="253" t="n"/>
      <c r="MST11" s="253" t="n"/>
      <c r="MSU11" s="253" t="n"/>
      <c r="MSV11" s="253" t="n"/>
      <c r="MSW11" s="253" t="n"/>
      <c r="MSX11" s="253" t="n"/>
      <c r="MSY11" s="253" t="n"/>
      <c r="MSZ11" s="253" t="n"/>
      <c r="MTA11" s="253" t="n"/>
      <c r="MTB11" s="253" t="n"/>
      <c r="MTC11" s="253" t="n"/>
      <c r="MTD11" s="253" t="n"/>
      <c r="MTE11" s="253" t="n"/>
      <c r="MTF11" s="253" t="n"/>
      <c r="MTG11" s="253" t="n"/>
      <c r="MTH11" s="253" t="n"/>
      <c r="MTI11" s="253" t="n"/>
      <c r="MTJ11" s="253" t="n"/>
      <c r="MTK11" s="253" t="n"/>
      <c r="MTL11" s="253" t="n"/>
      <c r="MTM11" s="253" t="n"/>
      <c r="MTN11" s="253" t="n"/>
      <c r="MTO11" s="253" t="n"/>
      <c r="MTP11" s="253" t="n"/>
      <c r="MTQ11" s="253" t="n"/>
      <c r="MTR11" s="253" t="n"/>
      <c r="MTS11" s="253" t="n"/>
      <c r="MTT11" s="253" t="n"/>
      <c r="MTU11" s="253" t="n"/>
      <c r="MTV11" s="253" t="n"/>
      <c r="MTW11" s="253" t="n"/>
      <c r="MTX11" s="253" t="n"/>
      <c r="MTY11" s="253" t="n"/>
      <c r="MTZ11" s="253" t="n"/>
      <c r="MUA11" s="253" t="n"/>
      <c r="MUB11" s="253" t="n"/>
      <c r="MUC11" s="253" t="n"/>
      <c r="MUD11" s="253" t="n"/>
      <c r="MUE11" s="253" t="n"/>
      <c r="MUF11" s="253" t="n"/>
      <c r="MUG11" s="253" t="n"/>
      <c r="MUH11" s="253" t="n"/>
      <c r="MUI11" s="253" t="n"/>
      <c r="MUJ11" s="253" t="n"/>
      <c r="MUK11" s="253" t="n"/>
      <c r="MUL11" s="253" t="n"/>
      <c r="MUM11" s="253" t="n"/>
      <c r="MUN11" s="253" t="n"/>
      <c r="MUO11" s="253" t="n"/>
      <c r="MUP11" s="253" t="n"/>
      <c r="MUQ11" s="253" t="n"/>
      <c r="MUR11" s="253" t="n"/>
      <c r="MUS11" s="253" t="n"/>
      <c r="MUT11" s="253" t="n"/>
      <c r="MUU11" s="253" t="n"/>
      <c r="MUV11" s="253" t="n"/>
      <c r="MUW11" s="253" t="n"/>
      <c r="MUX11" s="253" t="n"/>
      <c r="MUY11" s="253" t="n"/>
      <c r="MUZ11" s="253" t="n"/>
      <c r="MVA11" s="253" t="n"/>
      <c r="MVB11" s="253" t="n"/>
      <c r="MVC11" s="253" t="n"/>
      <c r="MVD11" s="253" t="n"/>
      <c r="MVE11" s="253" t="n"/>
      <c r="MVF11" s="253" t="n"/>
      <c r="MVG11" s="253" t="n"/>
      <c r="MVH11" s="253" t="n"/>
      <c r="MVI11" s="253" t="n"/>
      <c r="MVJ11" s="253" t="n"/>
      <c r="MVK11" s="253" t="n"/>
      <c r="MVL11" s="253" t="n"/>
      <c r="MVM11" s="253" t="n"/>
      <c r="MVN11" s="253" t="n"/>
      <c r="MVO11" s="253" t="n"/>
      <c r="MVP11" s="253" t="n"/>
      <c r="MVQ11" s="253" t="n"/>
      <c r="MVR11" s="253" t="n"/>
      <c r="MVS11" s="253" t="n"/>
      <c r="MVT11" s="253" t="n"/>
      <c r="MVU11" s="253" t="n"/>
      <c r="MVV11" s="253" t="n"/>
      <c r="MVW11" s="253" t="n"/>
      <c r="MVX11" s="253" t="n"/>
      <c r="MVY11" s="253" t="n"/>
      <c r="MVZ11" s="253" t="n"/>
      <c r="MWA11" s="253" t="n"/>
      <c r="MWB11" s="253" t="n"/>
      <c r="MWC11" s="253" t="n"/>
      <c r="MWD11" s="253" t="n"/>
      <c r="MWE11" s="253" t="n"/>
      <c r="MWF11" s="253" t="n"/>
      <c r="MWG11" s="253" t="n"/>
      <c r="MWH11" s="253" t="n"/>
      <c r="MWI11" s="253" t="n"/>
      <c r="MWJ11" s="253" t="n"/>
      <c r="MWK11" s="253" t="n"/>
      <c r="MWL11" s="253" t="n"/>
      <c r="MWM11" s="253" t="n"/>
      <c r="MWN11" s="253" t="n"/>
      <c r="MWO11" s="253" t="n"/>
      <c r="MWP11" s="253" t="n"/>
      <c r="MWQ11" s="253" t="n"/>
      <c r="MWR11" s="253" t="n"/>
      <c r="MWS11" s="253" t="n"/>
      <c r="MWT11" s="253" t="n"/>
      <c r="MWU11" s="253" t="n"/>
      <c r="MWV11" s="253" t="n"/>
      <c r="MWW11" s="253" t="n"/>
      <c r="MWX11" s="253" t="n"/>
      <c r="MWY11" s="253" t="n"/>
      <c r="MWZ11" s="253" t="n"/>
      <c r="MXA11" s="253" t="n"/>
      <c r="MXB11" s="253" t="n"/>
      <c r="MXC11" s="253" t="n"/>
      <c r="MXD11" s="253" t="n"/>
      <c r="MXE11" s="253" t="n"/>
      <c r="MXF11" s="253" t="n"/>
      <c r="MXG11" s="253" t="n"/>
      <c r="MXH11" s="253" t="n"/>
      <c r="MXI11" s="253" t="n"/>
      <c r="MXJ11" s="253" t="n"/>
      <c r="MXK11" s="253" t="n"/>
      <c r="MXL11" s="253" t="n"/>
      <c r="MXM11" s="253" t="n"/>
      <c r="MXN11" s="253" t="n"/>
      <c r="MXO11" s="253" t="n"/>
      <c r="MXP11" s="253" t="n"/>
      <c r="MXQ11" s="253" t="n"/>
      <c r="MXR11" s="253" t="n"/>
      <c r="MXS11" s="253" t="n"/>
      <c r="MXT11" s="253" t="n"/>
      <c r="MXU11" s="253" t="n"/>
      <c r="MXV11" s="253" t="n"/>
      <c r="MXW11" s="253" t="n"/>
      <c r="MXX11" s="253" t="n"/>
      <c r="MXY11" s="253" t="n"/>
      <c r="MXZ11" s="253" t="n"/>
      <c r="MYA11" s="253" t="n"/>
      <c r="MYB11" s="253" t="n"/>
      <c r="MYC11" s="253" t="n"/>
      <c r="MYD11" s="253" t="n"/>
      <c r="MYE11" s="253" t="n"/>
      <c r="MYF11" s="253" t="n"/>
      <c r="MYG11" s="253" t="n"/>
      <c r="MYH11" s="253" t="n"/>
      <c r="MYI11" s="253" t="n"/>
      <c r="MYJ11" s="253" t="n"/>
      <c r="MYK11" s="253" t="n"/>
      <c r="MYL11" s="253" t="n"/>
      <c r="MYM11" s="253" t="n"/>
      <c r="MYN11" s="253" t="n"/>
      <c r="MYO11" s="253" t="n"/>
      <c r="MYP11" s="253" t="n"/>
      <c r="MYQ11" s="253" t="n"/>
      <c r="MYR11" s="253" t="n"/>
      <c r="MYS11" s="253" t="n"/>
      <c r="MYT11" s="253" t="n"/>
      <c r="MYU11" s="253" t="n"/>
      <c r="MYV11" s="253" t="n"/>
      <c r="MYW11" s="253" t="n"/>
      <c r="MYX11" s="253" t="n"/>
      <c r="MYY11" s="253" t="n"/>
      <c r="MYZ11" s="253" t="n"/>
      <c r="MZA11" s="253" t="n"/>
      <c r="MZB11" s="253" t="n"/>
      <c r="MZC11" s="253" t="n"/>
      <c r="MZD11" s="253" t="n"/>
      <c r="MZE11" s="253" t="n"/>
      <c r="MZF11" s="253" t="n"/>
      <c r="MZG11" s="253" t="n"/>
      <c r="MZH11" s="253" t="n"/>
      <c r="MZI11" s="253" t="n"/>
      <c r="MZJ11" s="253" t="n"/>
      <c r="MZK11" s="253" t="n"/>
      <c r="MZL11" s="253" t="n"/>
      <c r="MZM11" s="253" t="n"/>
      <c r="MZN11" s="253" t="n"/>
      <c r="MZO11" s="253" t="n"/>
      <c r="MZP11" s="253" t="n"/>
      <c r="MZQ11" s="253" t="n"/>
      <c r="MZR11" s="253" t="n"/>
      <c r="MZS11" s="253" t="n"/>
      <c r="MZT11" s="253" t="n"/>
      <c r="MZU11" s="253" t="n"/>
      <c r="MZV11" s="253" t="n"/>
      <c r="MZW11" s="253" t="n"/>
      <c r="MZX11" s="253" t="n"/>
      <c r="MZY11" s="253" t="n"/>
      <c r="MZZ11" s="253" t="n"/>
      <c r="NAA11" s="253" t="n"/>
      <c r="NAB11" s="253" t="n"/>
      <c r="NAC11" s="253" t="n"/>
      <c r="NAD11" s="253" t="n"/>
      <c r="NAE11" s="253" t="n"/>
      <c r="NAF11" s="253" t="n"/>
      <c r="NAG11" s="253" t="n"/>
      <c r="NAH11" s="253" t="n"/>
      <c r="NAI11" s="253" t="n"/>
      <c r="NAJ11" s="253" t="n"/>
      <c r="NAK11" s="253" t="n"/>
      <c r="NAL11" s="253" t="n"/>
      <c r="NAM11" s="253" t="n"/>
      <c r="NAN11" s="253" t="n"/>
      <c r="NAO11" s="253" t="n"/>
      <c r="NAP11" s="253" t="n"/>
      <c r="NAQ11" s="253" t="n"/>
      <c r="NAR11" s="253" t="n"/>
      <c r="NAS11" s="253" t="n"/>
      <c r="NAT11" s="253" t="n"/>
      <c r="NAU11" s="253" t="n"/>
      <c r="NAV11" s="253" t="n"/>
      <c r="NAW11" s="253" t="n"/>
      <c r="NAX11" s="253" t="n"/>
      <c r="NAY11" s="253" t="n"/>
      <c r="NAZ11" s="253" t="n"/>
      <c r="NBA11" s="253" t="n"/>
      <c r="NBB11" s="253" t="n"/>
      <c r="NBC11" s="253" t="n"/>
      <c r="NBD11" s="253" t="n"/>
      <c r="NBE11" s="253" t="n"/>
      <c r="NBF11" s="253" t="n"/>
      <c r="NBG11" s="253" t="n"/>
      <c r="NBH11" s="253" t="n"/>
      <c r="NBI11" s="253" t="n"/>
      <c r="NBJ11" s="253" t="n"/>
      <c r="NBK11" s="253" t="n"/>
      <c r="NBL11" s="253" t="n"/>
      <c r="NBM11" s="253" t="n"/>
      <c r="NBN11" s="253" t="n"/>
      <c r="NBO11" s="253" t="n"/>
      <c r="NBP11" s="253" t="n"/>
      <c r="NBQ11" s="253" t="n"/>
      <c r="NBR11" s="253" t="n"/>
      <c r="NBS11" s="253" t="n"/>
      <c r="NBT11" s="253" t="n"/>
      <c r="NBU11" s="253" t="n"/>
      <c r="NBV11" s="253" t="n"/>
      <c r="NBW11" s="253" t="n"/>
      <c r="NBX11" s="253" t="n"/>
      <c r="NBY11" s="253" t="n"/>
      <c r="NBZ11" s="253" t="n"/>
      <c r="NCA11" s="253" t="n"/>
      <c r="NCB11" s="253" t="n"/>
      <c r="NCC11" s="253" t="n"/>
      <c r="NCD11" s="253" t="n"/>
      <c r="NCE11" s="253" t="n"/>
      <c r="NCF11" s="253" t="n"/>
      <c r="NCG11" s="253" t="n"/>
      <c r="NCH11" s="253" t="n"/>
      <c r="NCI11" s="253" t="n"/>
      <c r="NCJ11" s="253" t="n"/>
      <c r="NCK11" s="253" t="n"/>
      <c r="NCL11" s="253" t="n"/>
      <c r="NCM11" s="253" t="n"/>
      <c r="NCN11" s="253" t="n"/>
      <c r="NCO11" s="253" t="n"/>
      <c r="NCP11" s="253" t="n"/>
      <c r="NCQ11" s="253" t="n"/>
      <c r="NCR11" s="253" t="n"/>
      <c r="NCS11" s="253" t="n"/>
      <c r="NCT11" s="253" t="n"/>
      <c r="NCU11" s="253" t="n"/>
      <c r="NCV11" s="253" t="n"/>
      <c r="NCW11" s="253" t="n"/>
      <c r="NCX11" s="253" t="n"/>
      <c r="NCY11" s="253" t="n"/>
      <c r="NCZ11" s="253" t="n"/>
      <c r="NDA11" s="253" t="n"/>
      <c r="NDB11" s="253" t="n"/>
      <c r="NDC11" s="253" t="n"/>
      <c r="NDD11" s="253" t="n"/>
      <c r="NDE11" s="253" t="n"/>
      <c r="NDF11" s="253" t="n"/>
      <c r="NDG11" s="253" t="n"/>
      <c r="NDH11" s="253" t="n"/>
      <c r="NDI11" s="253" t="n"/>
      <c r="NDJ11" s="253" t="n"/>
      <c r="NDK11" s="253" t="n"/>
      <c r="NDL11" s="253" t="n"/>
      <c r="NDM11" s="253" t="n"/>
      <c r="NDN11" s="253" t="n"/>
      <c r="NDO11" s="253" t="n"/>
      <c r="NDP11" s="253" t="n"/>
      <c r="NDQ11" s="253" t="n"/>
      <c r="NDR11" s="253" t="n"/>
      <c r="NDS11" s="253" t="n"/>
      <c r="NDT11" s="253" t="n"/>
      <c r="NDU11" s="253" t="n"/>
      <c r="NDV11" s="253" t="n"/>
      <c r="NDW11" s="253" t="n"/>
      <c r="NDX11" s="253" t="n"/>
      <c r="NDY11" s="253" t="n"/>
      <c r="NDZ11" s="253" t="n"/>
      <c r="NEA11" s="253" t="n"/>
      <c r="NEB11" s="253" t="n"/>
      <c r="NEC11" s="253" t="n"/>
      <c r="NED11" s="253" t="n"/>
      <c r="NEE11" s="253" t="n"/>
      <c r="NEF11" s="253" t="n"/>
      <c r="NEG11" s="253" t="n"/>
      <c r="NEH11" s="253" t="n"/>
      <c r="NEI11" s="253" t="n"/>
      <c r="NEJ11" s="253" t="n"/>
      <c r="NEK11" s="253" t="n"/>
      <c r="NEL11" s="253" t="n"/>
      <c r="NEM11" s="253" t="n"/>
      <c r="NEN11" s="253" t="n"/>
      <c r="NEO11" s="253" t="n"/>
      <c r="NEP11" s="253" t="n"/>
      <c r="NEQ11" s="253" t="n"/>
      <c r="NER11" s="253" t="n"/>
      <c r="NES11" s="253" t="n"/>
      <c r="NET11" s="253" t="n"/>
      <c r="NEU11" s="253" t="n"/>
      <c r="NEV11" s="253" t="n"/>
      <c r="NEW11" s="253" t="n"/>
      <c r="NEX11" s="253" t="n"/>
      <c r="NEY11" s="253" t="n"/>
      <c r="NEZ11" s="253" t="n"/>
      <c r="NFA11" s="253" t="n"/>
      <c r="NFB11" s="253" t="n"/>
      <c r="NFC11" s="253" t="n"/>
      <c r="NFD11" s="253" t="n"/>
      <c r="NFE11" s="253" t="n"/>
      <c r="NFF11" s="253" t="n"/>
      <c r="NFG11" s="253" t="n"/>
      <c r="NFH11" s="253" t="n"/>
      <c r="NFI11" s="253" t="n"/>
      <c r="NFJ11" s="253" t="n"/>
      <c r="NFK11" s="253" t="n"/>
      <c r="NFL11" s="253" t="n"/>
      <c r="NFM11" s="253" t="n"/>
      <c r="NFN11" s="253" t="n"/>
      <c r="NFO11" s="253" t="n"/>
      <c r="NFP11" s="87" t="n"/>
    </row>
    <row r="12">
      <c r="KFK12" s="253" t="n"/>
      <c r="KFL12" s="253" t="n"/>
      <c r="KFM12" s="253" t="n"/>
      <c r="KFN12" s="253" t="n"/>
      <c r="KFO12" s="253" t="n"/>
      <c r="KFP12" s="253" t="n"/>
      <c r="KFQ12" s="253" t="n"/>
      <c r="KFR12" s="253" t="n"/>
      <c r="KFS12" s="253" t="n"/>
      <c r="KFT12" s="253" t="n"/>
      <c r="KFU12" s="253" t="n"/>
      <c r="KFV12" s="253" t="n"/>
      <c r="KFW12" s="253" t="n"/>
      <c r="KFX12" s="253" t="n"/>
      <c r="KFY12" s="253" t="n"/>
      <c r="KFZ12" s="253" t="n"/>
      <c r="KGA12" s="253" t="n"/>
      <c r="KGB12" s="253" t="n"/>
      <c r="KGC12" s="253" t="n"/>
      <c r="KGD12" s="253" t="n"/>
      <c r="KGE12" s="253" t="n"/>
      <c r="KGF12" s="253" t="n"/>
      <c r="KGG12" s="253" t="n"/>
      <c r="KGH12" s="253" t="n"/>
      <c r="KGI12" s="253" t="n"/>
      <c r="KGJ12" s="253" t="n"/>
      <c r="KGK12" s="253" t="n"/>
      <c r="KGL12" s="253" t="n"/>
      <c r="KGM12" s="253" t="n"/>
      <c r="KGN12" s="253" t="n"/>
      <c r="KGO12" s="253" t="n"/>
      <c r="KGP12" s="253" t="n"/>
      <c r="KGQ12" s="253" t="n"/>
      <c r="KGR12" s="253" t="n"/>
      <c r="KGS12" s="253" t="n"/>
      <c r="KGT12" s="253" t="n"/>
      <c r="KGU12" s="253" t="n"/>
      <c r="KGV12" s="253" t="n"/>
      <c r="KGW12" s="253" t="n"/>
      <c r="KGX12" s="253" t="n"/>
      <c r="KGY12" s="253" t="n"/>
      <c r="KGZ12" s="253" t="n"/>
      <c r="KHA12" s="253" t="n"/>
      <c r="KHB12" s="253" t="n"/>
      <c r="KHC12" s="253" t="n"/>
      <c r="KHD12" s="253" t="n"/>
      <c r="KHE12" s="253" t="n"/>
      <c r="KHF12" s="253" t="n"/>
      <c r="KHG12" s="253" t="n"/>
      <c r="KHH12" s="253" t="n"/>
      <c r="KHI12" s="253" t="n"/>
      <c r="KHJ12" s="253" t="n"/>
      <c r="KHK12" s="253" t="n"/>
      <c r="KHL12" s="253" t="n"/>
      <c r="KHM12" s="253" t="n"/>
      <c r="KHN12" s="253" t="n"/>
      <c r="KHO12" s="253" t="n"/>
      <c r="KHP12" s="253" t="n"/>
      <c r="KHQ12" s="253" t="n"/>
      <c r="KHR12" s="253" t="n"/>
      <c r="KHS12" s="253" t="n"/>
      <c r="KHT12" s="253" t="n"/>
      <c r="KHU12" s="253" t="n"/>
      <c r="KHV12" s="253" t="n"/>
      <c r="KHW12" s="253" t="n"/>
      <c r="KHX12" s="253" t="n"/>
      <c r="KHY12" s="253" t="n"/>
      <c r="KHZ12" s="253" t="n"/>
      <c r="KIA12" s="253" t="n"/>
      <c r="KIB12" s="253" t="n"/>
      <c r="KIC12" s="253" t="n"/>
      <c r="KID12" s="253" t="n"/>
      <c r="KIE12" s="253" t="n"/>
      <c r="KIF12" s="253" t="n"/>
      <c r="KIG12" s="253" t="n"/>
      <c r="KIH12" s="253" t="n"/>
      <c r="KII12" s="253" t="n"/>
      <c r="KIJ12" s="253" t="n"/>
      <c r="KIK12" s="253" t="n"/>
      <c r="KIL12" s="253" t="n"/>
      <c r="KIM12" s="253" t="n"/>
      <c r="KIN12" s="253" t="n"/>
      <c r="KIO12" s="253" t="n"/>
      <c r="KIP12" s="253" t="n"/>
      <c r="KIQ12" s="253" t="n"/>
      <c r="KIR12" s="253" t="n"/>
      <c r="KIS12" s="253" t="n"/>
      <c r="KIT12" s="253" t="n"/>
      <c r="KIU12" s="253" t="n"/>
      <c r="KIV12" s="253" t="n"/>
      <c r="KIW12" s="253" t="n"/>
      <c r="KIX12" s="253" t="n"/>
      <c r="KIY12" s="253" t="n"/>
      <c r="KIZ12" s="253" t="n"/>
      <c r="KJA12" s="253" t="n"/>
      <c r="KJB12" s="253" t="n"/>
      <c r="KJC12" s="253" t="n"/>
      <c r="KJD12" s="253" t="n"/>
      <c r="KJE12" s="253" t="n"/>
      <c r="KJF12" s="253" t="n"/>
      <c r="KJG12" s="253" t="n"/>
      <c r="KJH12" s="253" t="n"/>
      <c r="KJI12" s="253" t="n"/>
      <c r="KJJ12" s="253" t="n"/>
      <c r="KJK12" s="253" t="n"/>
      <c r="KJL12" s="253" t="n"/>
      <c r="KJM12" s="253" t="n"/>
      <c r="KJN12" s="253" t="n"/>
      <c r="KJO12" s="253" t="n"/>
      <c r="KJP12" s="253" t="n"/>
      <c r="KJQ12" s="253" t="n"/>
      <c r="KJR12" s="253" t="n"/>
      <c r="KJS12" s="253" t="n"/>
      <c r="KJT12" s="253" t="n"/>
      <c r="KJU12" s="253" t="n"/>
      <c r="KJV12" s="253" t="n"/>
      <c r="KJW12" s="253" t="n"/>
      <c r="KJX12" s="253" t="n"/>
      <c r="KJY12" s="253" t="n"/>
      <c r="KJZ12" s="253" t="n"/>
      <c r="KKA12" s="253" t="n"/>
      <c r="KKB12" s="253" t="n"/>
      <c r="KKC12" s="253" t="n"/>
      <c r="KKD12" s="253" t="n"/>
      <c r="KKE12" s="253" t="n"/>
      <c r="KKF12" s="253" t="n"/>
      <c r="KKG12" s="253" t="n"/>
      <c r="KKH12" s="253" t="n"/>
      <c r="KKI12" s="253" t="n"/>
      <c r="KKJ12" s="253" t="n"/>
      <c r="KKK12" s="253" t="n"/>
      <c r="KKL12" s="253" t="n"/>
      <c r="KKM12" s="253" t="n"/>
      <c r="KKN12" s="253" t="n"/>
      <c r="KKO12" s="253" t="n"/>
      <c r="KKP12" s="253" t="n"/>
      <c r="KKQ12" s="253" t="n"/>
      <c r="KKR12" s="253" t="n"/>
      <c r="KKS12" s="253" t="n"/>
      <c r="KKT12" s="253" t="n"/>
      <c r="KKU12" s="253" t="n"/>
      <c r="KKV12" s="253" t="n"/>
      <c r="KKW12" s="253" t="n"/>
      <c r="KKX12" s="253" t="n"/>
      <c r="KKY12" s="253" t="n"/>
      <c r="KKZ12" s="253" t="n"/>
      <c r="KLA12" s="253" t="n"/>
      <c r="KLB12" s="253" t="n"/>
      <c r="KLC12" s="253" t="n"/>
      <c r="KLD12" s="253" t="n"/>
      <c r="KLE12" s="253" t="n"/>
      <c r="KLF12" s="253" t="n"/>
      <c r="KLG12" s="253" t="n"/>
      <c r="KLH12" s="253" t="n"/>
      <c r="KLI12" s="253" t="n"/>
      <c r="KLJ12" s="253" t="n"/>
      <c r="KLK12" s="253" t="n"/>
      <c r="KLL12" s="253" t="n"/>
      <c r="KLM12" s="253" t="n"/>
      <c r="KLN12" s="253" t="n"/>
      <c r="KLO12" s="253" t="n"/>
      <c r="KLP12" s="253" t="n"/>
      <c r="KLQ12" s="253" t="n"/>
      <c r="KLR12" s="253" t="n"/>
      <c r="KLS12" s="253" t="n"/>
      <c r="KLT12" s="253" t="n"/>
      <c r="KLU12" s="253" t="n"/>
      <c r="KLV12" s="253" t="n"/>
      <c r="KLW12" s="253" t="n"/>
      <c r="KLX12" s="253" t="n"/>
      <c r="KLY12" s="253" t="n"/>
      <c r="KLZ12" s="253" t="n"/>
      <c r="KMA12" s="253" t="n"/>
      <c r="KMB12" s="253" t="n"/>
      <c r="KMC12" s="253" t="n"/>
      <c r="KMD12" s="253" t="n"/>
      <c r="KME12" s="253" t="n"/>
      <c r="KMF12" s="253" t="n"/>
      <c r="KMG12" s="253" t="n"/>
      <c r="KMH12" s="253" t="n"/>
      <c r="KMI12" s="253" t="n"/>
      <c r="KMJ12" s="253" t="n"/>
      <c r="KMK12" s="253" t="n"/>
      <c r="KML12" s="253" t="n"/>
      <c r="KMM12" s="253" t="n"/>
      <c r="KMN12" s="253" t="n"/>
      <c r="KMO12" s="253" t="n"/>
      <c r="KMP12" s="253" t="n"/>
      <c r="KMQ12" s="253" t="n"/>
      <c r="KMR12" s="253" t="n"/>
      <c r="KMS12" s="253" t="n"/>
      <c r="KMT12" s="253" t="n"/>
      <c r="KMU12" s="253" t="n"/>
      <c r="KMV12" s="253" t="n"/>
      <c r="KMW12" s="253" t="n"/>
      <c r="KMX12" s="253" t="n"/>
      <c r="KMY12" s="253" t="n"/>
      <c r="KMZ12" s="253" t="n"/>
      <c r="KNA12" s="253" t="n"/>
      <c r="KNB12" s="253" t="n"/>
      <c r="KNC12" s="253" t="n"/>
      <c r="KND12" s="253" t="n"/>
      <c r="KNE12" s="253" t="n"/>
      <c r="KNF12" s="253" t="n"/>
      <c r="KNG12" s="253" t="n"/>
      <c r="KNH12" s="253" t="n"/>
      <c r="KNI12" s="253" t="n"/>
      <c r="KNJ12" s="253" t="n"/>
      <c r="KNK12" s="253" t="n"/>
      <c r="KNL12" s="253" t="n"/>
      <c r="KNM12" s="253" t="n"/>
      <c r="KNN12" s="253" t="n"/>
      <c r="KNO12" s="253" t="n"/>
      <c r="KNP12" s="253" t="n"/>
      <c r="KNQ12" s="253" t="n"/>
      <c r="KNR12" s="253" t="n"/>
      <c r="KNS12" s="253" t="n"/>
      <c r="KNT12" s="253" t="n"/>
      <c r="KNU12" s="253" t="n"/>
      <c r="KNV12" s="253" t="n"/>
      <c r="KNW12" s="253" t="n"/>
      <c r="KNX12" s="253" t="n"/>
      <c r="KNY12" s="253" t="n"/>
      <c r="KNZ12" s="253" t="n"/>
      <c r="KOA12" s="253" t="n"/>
      <c r="KOB12" s="253" t="n"/>
      <c r="KOC12" s="253" t="n"/>
      <c r="KOD12" s="253" t="n"/>
      <c r="KOE12" s="253" t="n"/>
      <c r="KOF12" s="253" t="n"/>
      <c r="KOG12" s="253" t="n"/>
      <c r="KOH12" s="253" t="n"/>
      <c r="KOI12" s="253" t="n"/>
      <c r="KOJ12" s="253" t="n"/>
      <c r="KOK12" s="253" t="n"/>
      <c r="KOL12" s="253" t="n"/>
      <c r="KOM12" s="253" t="n"/>
      <c r="KON12" s="253" t="n"/>
      <c r="KOO12" s="253" t="n"/>
      <c r="KOP12" s="253" t="n"/>
      <c r="KOQ12" s="253" t="n"/>
      <c r="KOR12" s="253" t="n"/>
      <c r="KOS12" s="253" t="n"/>
      <c r="KOT12" s="253" t="n"/>
      <c r="KOU12" s="253" t="n"/>
      <c r="KOV12" s="253" t="n"/>
      <c r="KOW12" s="253" t="n"/>
      <c r="KOX12" s="253" t="n"/>
      <c r="KOY12" s="253" t="n"/>
      <c r="KOZ12" s="253" t="n"/>
      <c r="KPA12" s="253" t="n"/>
      <c r="KPB12" s="253" t="n"/>
      <c r="KPC12" s="253" t="n"/>
      <c r="KPD12" s="253" t="n"/>
      <c r="KPE12" s="253" t="n"/>
      <c r="KPF12" s="253" t="n"/>
      <c r="KPG12" s="253" t="n"/>
      <c r="KPH12" s="253" t="n"/>
      <c r="KPI12" s="253" t="n"/>
      <c r="KPJ12" s="253" t="n"/>
      <c r="KPK12" s="253" t="n"/>
      <c r="KPL12" s="253" t="n"/>
      <c r="KPM12" s="253" t="n"/>
      <c r="KPN12" s="253" t="n"/>
      <c r="KPO12" s="253" t="n"/>
      <c r="KPP12" s="253" t="n"/>
      <c r="KPQ12" s="253" t="n"/>
      <c r="KPR12" s="253" t="n"/>
      <c r="KPS12" s="253" t="n"/>
      <c r="KPT12" s="253" t="n"/>
      <c r="KPU12" s="253" t="n"/>
      <c r="KPV12" s="253" t="n"/>
      <c r="KPW12" s="253" t="n"/>
      <c r="KPX12" s="253" t="n"/>
      <c r="KPY12" s="253" t="n"/>
      <c r="KPZ12" s="253" t="n"/>
      <c r="KQA12" s="253" t="n"/>
      <c r="KQB12" s="253" t="n"/>
      <c r="KQC12" s="253" t="n"/>
      <c r="KQD12" s="253" t="n"/>
      <c r="KQE12" s="253" t="n"/>
      <c r="KQF12" s="253" t="n"/>
      <c r="KQG12" s="253" t="n"/>
      <c r="KQH12" s="253" t="n"/>
      <c r="KQI12" s="253" t="n"/>
      <c r="KQJ12" s="253" t="n"/>
      <c r="KQK12" s="253" t="n"/>
      <c r="KQL12" s="253" t="n"/>
      <c r="KQM12" s="253" t="n"/>
      <c r="KQN12" s="253" t="n"/>
      <c r="KQO12" s="253" t="n"/>
      <c r="KQP12" s="253" t="n"/>
      <c r="KQQ12" s="253" t="n"/>
      <c r="KQR12" s="253" t="n"/>
      <c r="KQS12" s="253" t="n"/>
      <c r="KQT12" s="253" t="n"/>
      <c r="KQU12" s="253" t="n"/>
      <c r="KQV12" s="253" t="n"/>
      <c r="KQW12" s="253" t="n"/>
      <c r="KQX12" s="253" t="n"/>
      <c r="KQY12" s="253" t="n"/>
      <c r="KQZ12" s="253" t="n"/>
      <c r="KRA12" s="253" t="n"/>
      <c r="KRB12" s="253" t="n"/>
      <c r="KRC12" s="253" t="n"/>
      <c r="KRD12" s="253" t="n"/>
      <c r="KRE12" s="253" t="n"/>
      <c r="KRF12" s="253" t="n"/>
      <c r="KRG12" s="253" t="n"/>
      <c r="KRH12" s="253" t="n"/>
      <c r="KRI12" s="253" t="n"/>
      <c r="KRJ12" s="253" t="n"/>
      <c r="KRK12" s="253" t="n"/>
      <c r="KRL12" s="253" t="n"/>
      <c r="KRM12" s="253" t="n"/>
      <c r="KRN12" s="253" t="n"/>
      <c r="KRO12" s="253" t="n"/>
      <c r="KRP12" s="253" t="n"/>
      <c r="KRQ12" s="253" t="n"/>
      <c r="KRR12" s="253" t="n"/>
      <c r="KRS12" s="253" t="n"/>
      <c r="KRT12" s="253" t="n"/>
      <c r="KRU12" s="253" t="n"/>
      <c r="KRV12" s="253" t="n"/>
      <c r="KRW12" s="253" t="n"/>
      <c r="KRX12" s="253" t="n"/>
      <c r="KRY12" s="253" t="n"/>
      <c r="KRZ12" s="253" t="n"/>
      <c r="KSA12" s="253" t="n"/>
      <c r="KSB12" s="253" t="n"/>
      <c r="KSC12" s="253" t="n"/>
      <c r="KSD12" s="253" t="n"/>
      <c r="KSE12" s="253" t="n"/>
      <c r="KSF12" s="253" t="n"/>
      <c r="KSG12" s="253" t="n"/>
      <c r="KSH12" s="253" t="n"/>
      <c r="KSI12" s="253" t="n"/>
      <c r="KSJ12" s="253" t="n"/>
      <c r="KSK12" s="253" t="n"/>
      <c r="KSL12" s="253" t="n"/>
      <c r="KSM12" s="253" t="n"/>
      <c r="KSN12" s="253" t="n"/>
      <c r="KSO12" s="253" t="n"/>
      <c r="KSP12" s="253" t="n"/>
      <c r="KSQ12" s="253" t="n"/>
      <c r="KSR12" s="253" t="n"/>
      <c r="KSS12" s="253" t="n"/>
      <c r="KST12" s="253" t="n"/>
      <c r="KSU12" s="253" t="n"/>
      <c r="KSV12" s="253" t="n"/>
      <c r="KSW12" s="253" t="n"/>
      <c r="KSX12" s="253" t="n"/>
      <c r="KSY12" s="253" t="n"/>
      <c r="KSZ12" s="253" t="n"/>
      <c r="KTA12" s="253" t="n"/>
      <c r="KTB12" s="253" t="n"/>
      <c r="KTC12" s="253" t="n"/>
      <c r="KTD12" s="253" t="n"/>
      <c r="KTE12" s="253" t="n"/>
      <c r="KTF12" s="253" t="n"/>
      <c r="KTG12" s="253" t="n"/>
      <c r="KTH12" s="253" t="n"/>
      <c r="KTI12" s="253" t="n"/>
      <c r="KTJ12" s="253" t="n"/>
      <c r="KTK12" s="253" t="n"/>
      <c r="KTL12" s="253" t="n"/>
      <c r="KTM12" s="253" t="n"/>
      <c r="KTN12" s="253" t="n"/>
      <c r="KTO12" s="253" t="n"/>
      <c r="KTP12" s="253" t="n"/>
      <c r="KTQ12" s="253" t="n"/>
      <c r="KTR12" s="253" t="n"/>
      <c r="KTS12" s="253" t="n"/>
      <c r="KTT12" s="253" t="n"/>
      <c r="KTU12" s="253" t="n"/>
      <c r="KTV12" s="253" t="n"/>
      <c r="KTW12" s="253" t="n"/>
      <c r="KTX12" s="253" t="n"/>
      <c r="KTY12" s="253" t="n"/>
      <c r="KTZ12" s="253" t="n"/>
      <c r="KUA12" s="253" t="n"/>
      <c r="KUB12" s="253" t="n"/>
      <c r="KUC12" s="253" t="n"/>
      <c r="KUD12" s="253" t="n"/>
      <c r="KUE12" s="253" t="n"/>
      <c r="KUF12" s="253" t="n"/>
      <c r="KUG12" s="253" t="n"/>
      <c r="KUH12" s="253" t="n"/>
      <c r="KUI12" s="253" t="n"/>
      <c r="KUJ12" s="253" t="n"/>
      <c r="KUK12" s="253" t="n"/>
      <c r="KUL12" s="253" t="n"/>
      <c r="KUM12" s="253" t="n"/>
      <c r="KUN12" s="253" t="n"/>
      <c r="KUO12" s="253" t="n"/>
      <c r="KUP12" s="253" t="n"/>
      <c r="KUQ12" s="253" t="n"/>
      <c r="KUR12" s="253" t="n"/>
      <c r="KUS12" s="253" t="n"/>
      <c r="KUT12" s="253" t="n"/>
      <c r="KUU12" s="253" t="n"/>
      <c r="KUV12" s="253" t="n"/>
      <c r="KUW12" s="253" t="n"/>
      <c r="KUX12" s="253" t="n"/>
      <c r="KUY12" s="253" t="n"/>
      <c r="KUZ12" s="253" t="n"/>
      <c r="KVA12" s="253" t="n"/>
      <c r="KVB12" s="253" t="n"/>
      <c r="KVC12" s="253" t="n"/>
      <c r="KVD12" s="253" t="n"/>
      <c r="KVE12" s="253" t="n"/>
      <c r="KVF12" s="253" t="n"/>
      <c r="KVG12" s="253" t="n"/>
      <c r="KVH12" s="253" t="n"/>
      <c r="KVI12" s="253" t="n"/>
      <c r="KVJ12" s="253" t="n"/>
      <c r="KVK12" s="253" t="n"/>
      <c r="KVL12" s="253" t="n"/>
      <c r="KVM12" s="253" t="n"/>
      <c r="KVN12" s="253" t="n"/>
      <c r="KVO12" s="253" t="n"/>
      <c r="KVP12" s="253" t="n"/>
      <c r="KVQ12" s="253" t="n"/>
      <c r="KVR12" s="253" t="n"/>
      <c r="KVS12" s="253" t="n"/>
      <c r="KVT12" s="253" t="n"/>
      <c r="KVU12" s="253" t="n"/>
      <c r="KVV12" s="253" t="n"/>
      <c r="KVW12" s="253" t="n"/>
      <c r="KVX12" s="253" t="n"/>
      <c r="KVY12" s="253" t="n"/>
      <c r="KVZ12" s="253" t="n"/>
      <c r="KWA12" s="253" t="n"/>
      <c r="KWB12" s="253" t="n"/>
      <c r="KWC12" s="253" t="n"/>
      <c r="KWD12" s="253" t="n"/>
      <c r="KWE12" s="253" t="n"/>
      <c r="KWF12" s="253" t="n"/>
      <c r="KWG12" s="253" t="n"/>
      <c r="KWH12" s="253" t="n"/>
      <c r="KWI12" s="253" t="n"/>
      <c r="KWJ12" s="253" t="n"/>
      <c r="KWK12" s="253" t="n"/>
      <c r="KWL12" s="253" t="n"/>
      <c r="KWM12" s="253" t="n"/>
      <c r="KWN12" s="253" t="n"/>
      <c r="KWO12" s="253" t="n"/>
      <c r="KWP12" s="253" t="n"/>
      <c r="KWQ12" s="253" t="n"/>
      <c r="KWR12" s="253" t="n"/>
      <c r="KWS12" s="253" t="n"/>
      <c r="KWT12" s="253" t="n"/>
      <c r="KWU12" s="253" t="n"/>
      <c r="KWV12" s="253" t="n"/>
      <c r="KWW12" s="253" t="n"/>
      <c r="KWX12" s="253" t="n"/>
      <c r="KWY12" s="253" t="n"/>
      <c r="KWZ12" s="253" t="n"/>
      <c r="KXA12" s="253" t="n"/>
      <c r="KXB12" s="253" t="n"/>
      <c r="KXC12" s="253" t="n"/>
      <c r="KXD12" s="253" t="n"/>
      <c r="KXE12" s="253" t="n"/>
      <c r="KXF12" s="253" t="n"/>
      <c r="KXG12" s="253" t="n"/>
      <c r="KXH12" s="253" t="n"/>
      <c r="KXI12" s="253" t="n"/>
      <c r="KXJ12" s="253" t="n"/>
      <c r="KXK12" s="253" t="n"/>
      <c r="KXL12" s="253" t="n"/>
      <c r="KXM12" s="253" t="n"/>
      <c r="KXN12" s="253" t="n"/>
      <c r="KXO12" s="253" t="n"/>
      <c r="KXP12" s="253" t="n"/>
      <c r="KXQ12" s="253" t="n"/>
      <c r="KXR12" s="253" t="n"/>
      <c r="KXS12" s="253" t="n"/>
      <c r="KXT12" s="253" t="n"/>
      <c r="KXU12" s="253" t="n"/>
      <c r="KXV12" s="253" t="n"/>
      <c r="KXW12" s="253" t="n"/>
      <c r="KXX12" s="253" t="n"/>
      <c r="KXY12" s="253" t="n"/>
      <c r="KXZ12" s="253" t="n"/>
      <c r="KYA12" s="253" t="n"/>
      <c r="KYB12" s="253" t="n"/>
      <c r="KYC12" s="253" t="n"/>
      <c r="KYD12" s="253" t="n"/>
      <c r="KYE12" s="253" t="n"/>
      <c r="KYF12" s="253" t="n"/>
      <c r="KYG12" s="253" t="n"/>
      <c r="KYH12" s="253" t="n"/>
      <c r="KYI12" s="253" t="n"/>
      <c r="KYJ12" s="253" t="n"/>
      <c r="KYK12" s="253" t="n"/>
      <c r="KYL12" s="253" t="n"/>
      <c r="KYM12" s="253" t="n"/>
      <c r="KYN12" s="253" t="n"/>
      <c r="KYO12" s="253" t="n"/>
      <c r="KYP12" s="253" t="n"/>
      <c r="KYQ12" s="253" t="n"/>
      <c r="KYR12" s="253" t="n"/>
      <c r="KYS12" s="253" t="n"/>
      <c r="KYT12" s="253" t="n"/>
      <c r="KYU12" s="253" t="n"/>
      <c r="KYV12" s="253" t="n"/>
      <c r="KYW12" s="253" t="n"/>
      <c r="KYX12" s="253" t="n"/>
      <c r="KYY12" s="253" t="n"/>
      <c r="KYZ12" s="253" t="n"/>
      <c r="KZA12" s="253" t="n"/>
      <c r="KZB12" s="253" t="n"/>
      <c r="KZC12" s="253" t="n"/>
      <c r="KZD12" s="253" t="n"/>
      <c r="KZE12" s="253" t="n"/>
      <c r="KZF12" s="253" t="n"/>
      <c r="KZG12" s="253" t="n"/>
      <c r="KZH12" s="253" t="n"/>
      <c r="KZI12" s="253" t="n"/>
      <c r="KZJ12" s="253" t="n"/>
      <c r="KZK12" s="253" t="n"/>
      <c r="KZL12" s="253" t="n"/>
      <c r="KZM12" s="253" t="n"/>
      <c r="KZN12" s="253" t="n"/>
      <c r="KZO12" s="253" t="n"/>
      <c r="KZP12" s="253" t="n"/>
      <c r="KZQ12" s="253" t="n"/>
      <c r="KZR12" s="253" t="n"/>
      <c r="KZS12" s="253" t="n"/>
      <c r="KZT12" s="253" t="n"/>
      <c r="KZU12" s="253" t="n"/>
      <c r="KZV12" s="253" t="n"/>
      <c r="KZW12" s="253" t="n"/>
      <c r="KZX12" s="253" t="n"/>
      <c r="KZY12" s="253" t="n"/>
      <c r="KZZ12" s="253" t="n"/>
      <c r="LAA12" s="253" t="n"/>
      <c r="LAB12" s="253" t="n"/>
      <c r="LAC12" s="253" t="n"/>
      <c r="LAD12" s="253" t="n"/>
      <c r="LAE12" s="253" t="n"/>
      <c r="LAF12" s="253" t="n"/>
      <c r="LAG12" s="253" t="n"/>
      <c r="LAH12" s="253" t="n"/>
      <c r="LAI12" s="253" t="n"/>
      <c r="LAJ12" s="253" t="n"/>
      <c r="LAK12" s="253" t="n"/>
      <c r="LAL12" s="253" t="n"/>
      <c r="LAM12" s="253" t="n"/>
      <c r="LAN12" s="253" t="n"/>
      <c r="LAO12" s="253" t="n"/>
      <c r="LAP12" s="253" t="n"/>
      <c r="LAQ12" s="253" t="n"/>
      <c r="LAR12" s="253" t="n"/>
      <c r="LAS12" s="253" t="n"/>
      <c r="LAT12" s="253" t="n"/>
      <c r="LAU12" s="253" t="n"/>
      <c r="LAV12" s="253" t="n"/>
      <c r="LAW12" s="253" t="n"/>
      <c r="LAX12" s="253" t="n"/>
      <c r="LAY12" s="253" t="n"/>
      <c r="LAZ12" s="253" t="n"/>
      <c r="LBA12" s="253" t="n"/>
      <c r="LBB12" s="253" t="n"/>
      <c r="LBC12" s="253" t="n"/>
      <c r="LBD12" s="253" t="n"/>
      <c r="LBE12" s="253" t="n"/>
      <c r="LBF12" s="253" t="n"/>
      <c r="LBG12" s="253" t="n"/>
      <c r="LBH12" s="253" t="n"/>
      <c r="LBI12" s="253" t="n"/>
      <c r="LBJ12" s="253" t="n"/>
      <c r="LBK12" s="253" t="n"/>
      <c r="LBL12" s="253" t="n"/>
      <c r="LBM12" s="253" t="n"/>
      <c r="LBN12" s="253" t="n"/>
      <c r="LBO12" s="253" t="n"/>
      <c r="LBP12" s="253" t="n"/>
      <c r="LBQ12" s="253" t="n"/>
      <c r="LBR12" s="253" t="n"/>
      <c r="LBS12" s="253" t="n"/>
      <c r="LBT12" s="253" t="n"/>
      <c r="LBU12" s="253" t="n"/>
      <c r="LBV12" s="253" t="n"/>
      <c r="LBW12" s="253" t="n"/>
      <c r="LBX12" s="253" t="n"/>
      <c r="LBY12" s="253" t="n"/>
      <c r="LBZ12" s="253" t="n"/>
      <c r="LCA12" s="253" t="n"/>
      <c r="LCB12" s="253" t="n"/>
      <c r="LCC12" s="253" t="n"/>
      <c r="LCD12" s="253" t="n"/>
      <c r="LCE12" s="253" t="n"/>
      <c r="LCF12" s="253" t="n"/>
      <c r="LCG12" s="253" t="n"/>
      <c r="LCH12" s="253" t="n"/>
      <c r="LCI12" s="253" t="n"/>
      <c r="LCJ12" s="253" t="n"/>
      <c r="LCK12" s="253" t="n"/>
      <c r="LCL12" s="253" t="n"/>
      <c r="LCM12" s="253" t="n"/>
      <c r="LCN12" s="253" t="n"/>
      <c r="LCO12" s="253" t="n"/>
      <c r="LCP12" s="253" t="n"/>
      <c r="LCQ12" s="253" t="n"/>
      <c r="LCR12" s="253" t="n"/>
      <c r="LCS12" s="253" t="n"/>
      <c r="LCT12" s="253" t="n"/>
      <c r="LCU12" s="253" t="n"/>
      <c r="LCV12" s="253" t="n"/>
      <c r="LCW12" s="253" t="n"/>
      <c r="LCX12" s="253" t="n"/>
      <c r="LCY12" s="253" t="n"/>
      <c r="LCZ12" s="253" t="n"/>
      <c r="LDA12" s="253" t="n"/>
      <c r="LDB12" s="253" t="n"/>
      <c r="LDC12" s="253" t="n"/>
      <c r="LDD12" s="253" t="n"/>
      <c r="LDE12" s="253" t="n"/>
      <c r="LDF12" s="253" t="n"/>
      <c r="LDG12" s="253" t="n"/>
      <c r="LDH12" s="253" t="n"/>
      <c r="LDI12" s="253" t="n"/>
      <c r="LDJ12" s="253" t="n"/>
      <c r="LDK12" s="253" t="n"/>
      <c r="LDL12" s="253" t="n"/>
      <c r="LDM12" s="253" t="n"/>
      <c r="LDN12" s="253" t="n"/>
      <c r="LDO12" s="253" t="n"/>
      <c r="LDP12" s="253" t="n"/>
      <c r="LDQ12" s="253" t="n"/>
      <c r="LDR12" s="253" t="n"/>
      <c r="LDS12" s="253" t="n"/>
      <c r="LDT12" s="253" t="n"/>
      <c r="LDU12" s="253" t="n"/>
      <c r="LDV12" s="253" t="n"/>
      <c r="LDW12" s="253" t="n"/>
      <c r="LDX12" s="253" t="n"/>
      <c r="LDY12" s="253" t="n"/>
      <c r="LDZ12" s="253" t="n"/>
      <c r="LEA12" s="253" t="n"/>
      <c r="LEB12" s="253" t="n"/>
      <c r="LEC12" s="253" t="n"/>
      <c r="LED12" s="253" t="n"/>
      <c r="LEE12" s="253" t="n"/>
      <c r="LEF12" s="253" t="n"/>
      <c r="LEG12" s="253" t="n"/>
      <c r="LEH12" s="253" t="n"/>
      <c r="LEI12" s="253" t="n"/>
      <c r="LEJ12" s="253" t="n"/>
      <c r="LEK12" s="253" t="n"/>
      <c r="LEL12" s="253" t="n"/>
      <c r="LEM12" s="253" t="n"/>
      <c r="LEN12" s="253" t="n"/>
      <c r="LEO12" s="253" t="n"/>
      <c r="LEP12" s="253" t="n"/>
      <c r="LEQ12" s="253" t="n"/>
      <c r="LER12" s="253" t="n"/>
      <c r="LES12" s="253" t="n"/>
      <c r="LET12" s="253" t="n"/>
      <c r="LEU12" s="253" t="n"/>
      <c r="LEV12" s="253" t="n"/>
      <c r="LEW12" s="253" t="n"/>
      <c r="LEX12" s="253" t="n"/>
      <c r="LEY12" s="253" t="n"/>
      <c r="LEZ12" s="253" t="n"/>
      <c r="LFA12" s="253" t="n"/>
      <c r="LFB12" s="253" t="n"/>
      <c r="LFC12" s="253" t="n"/>
      <c r="LFD12" s="253" t="n"/>
      <c r="LFE12" s="253" t="n"/>
      <c r="LFF12" s="253" t="n"/>
      <c r="LFG12" s="253" t="n"/>
      <c r="LFH12" s="253" t="n"/>
      <c r="LFI12" s="253" t="n"/>
      <c r="LFJ12" s="253" t="n"/>
      <c r="LFK12" s="253" t="n"/>
      <c r="LFL12" s="252" t="n"/>
      <c r="LFM12" s="253" t="n"/>
      <c r="LFN12" s="253" t="n"/>
      <c r="LFO12" s="253" t="n"/>
      <c r="LFP12" s="253" t="n"/>
      <c r="LFQ12" s="253" t="n"/>
      <c r="LFR12" s="253" t="n"/>
      <c r="LFS12" s="253" t="n"/>
      <c r="LFT12" s="253" t="n"/>
      <c r="LFU12" s="253" t="n"/>
      <c r="LFV12" s="253" t="n"/>
      <c r="LFW12" s="253" t="n"/>
      <c r="LFX12" s="253" t="n"/>
      <c r="LFY12" s="253" t="n"/>
      <c r="LFZ12" s="253" t="n"/>
      <c r="LGA12" s="253" t="n"/>
      <c r="LGB12" s="253" t="n"/>
      <c r="LGC12" s="253" t="n"/>
      <c r="LGD12" s="253" t="n"/>
      <c r="LGE12" s="253" t="n"/>
      <c r="LGF12" s="253" t="n"/>
      <c r="LGG12" s="253" t="n"/>
      <c r="LGH12" s="253" t="n"/>
      <c r="LGI12" s="253" t="n"/>
      <c r="LGJ12" s="253" t="n"/>
      <c r="LGK12" s="253" t="n"/>
      <c r="LGL12" s="253" t="n"/>
      <c r="LGM12" s="253" t="n"/>
      <c r="LGN12" s="253" t="n"/>
      <c r="LGO12" s="253" t="n"/>
      <c r="LGP12" s="253" t="n"/>
      <c r="LGQ12" s="253" t="n"/>
      <c r="LGR12" s="253" t="n"/>
      <c r="LGS12" s="253" t="n"/>
      <c r="LGT12" s="253" t="n"/>
      <c r="LGU12" s="253" t="n"/>
      <c r="LGV12" s="253" t="n"/>
      <c r="LGW12" s="253" t="n"/>
      <c r="LGX12" s="253" t="n"/>
      <c r="LGY12" s="253" t="n"/>
      <c r="LGZ12" s="253" t="n"/>
      <c r="LHA12" s="253" t="n"/>
      <c r="LHB12" s="253" t="n"/>
      <c r="LHC12" s="253" t="n"/>
      <c r="LHD12" s="253" t="n"/>
      <c r="LHE12" s="253" t="n"/>
      <c r="LHF12" s="253" t="n"/>
      <c r="LHG12" s="253" t="n"/>
      <c r="LHH12" s="253" t="n"/>
      <c r="LHI12" s="253" t="n"/>
      <c r="LHJ12" s="253" t="n"/>
      <c r="LHK12" s="253" t="n"/>
      <c r="LHL12" s="253" t="n"/>
      <c r="LHM12" s="253" t="n"/>
      <c r="LHN12" s="253" t="n"/>
      <c r="LHO12" s="253" t="n"/>
      <c r="LHP12" s="253" t="n"/>
      <c r="LHQ12" s="253" t="n"/>
      <c r="LHR12" s="253" t="n"/>
      <c r="LHS12" s="253" t="n"/>
      <c r="LHT12" s="253" t="n"/>
      <c r="LHU12" s="253" t="n"/>
      <c r="LHV12" s="253" t="n"/>
      <c r="LHW12" s="253" t="n"/>
      <c r="LHX12" s="253" t="n"/>
      <c r="LHY12" s="253" t="n"/>
      <c r="LHZ12" s="253" t="n"/>
      <c r="LIA12" s="253" t="n"/>
      <c r="LIB12" s="253" t="n"/>
      <c r="LIC12" s="253" t="n"/>
      <c r="LID12" s="253" t="n"/>
      <c r="LIE12" s="253" t="n"/>
      <c r="LIF12" s="253" t="n"/>
      <c r="LIG12" s="253" t="n"/>
      <c r="LIH12" s="253" t="n"/>
      <c r="LII12" s="253" t="n"/>
      <c r="LIJ12" s="253" t="n"/>
      <c r="LIK12" s="253" t="n"/>
      <c r="LIL12" s="253" t="n"/>
      <c r="LIM12" s="253" t="n"/>
      <c r="LIN12" s="253" t="n"/>
      <c r="LIO12" s="253" t="n"/>
      <c r="LIP12" s="253" t="n"/>
      <c r="LIQ12" s="253" t="n"/>
      <c r="LIR12" s="253" t="n"/>
      <c r="LIS12" s="253" t="n"/>
      <c r="LIT12" s="253" t="n"/>
      <c r="LIU12" s="253" t="n"/>
      <c r="LIV12" s="253" t="n"/>
      <c r="LIW12" s="253" t="n"/>
      <c r="LIX12" s="253" t="n"/>
      <c r="LIY12" s="253" t="n"/>
      <c r="LIZ12" s="253" t="n"/>
      <c r="LJA12" s="253" t="n"/>
      <c r="LJB12" s="253" t="n"/>
      <c r="LJC12" s="253" t="n"/>
      <c r="LJD12" s="253" t="n"/>
      <c r="LJE12" s="253" t="n"/>
      <c r="LJF12" s="253" t="n"/>
      <c r="LJG12" s="253" t="n"/>
      <c r="LJH12" s="253" t="n"/>
      <c r="LJI12" s="253" t="n"/>
      <c r="LJJ12" s="253" t="n"/>
      <c r="LJK12" s="253" t="n"/>
      <c r="LJL12" s="253" t="n"/>
      <c r="LJM12" s="253" t="n"/>
      <c r="LJN12" s="253" t="n"/>
      <c r="LJO12" s="253" t="n"/>
      <c r="LJP12" s="253" t="n"/>
      <c r="LJQ12" s="253" t="n"/>
      <c r="LJR12" s="253" t="n"/>
      <c r="LJS12" s="253" t="n"/>
      <c r="LJT12" s="253" t="n"/>
      <c r="LJU12" s="253" t="n"/>
      <c r="LJV12" s="253" t="n"/>
      <c r="LJW12" s="253" t="n"/>
      <c r="LJX12" s="253" t="n"/>
      <c r="LJY12" s="253" t="n"/>
      <c r="LJZ12" s="253" t="n"/>
      <c r="LKA12" s="253" t="n"/>
      <c r="LKB12" s="253" t="n"/>
      <c r="LKC12" s="253" t="n"/>
      <c r="LKD12" s="253" t="n"/>
      <c r="LKE12" s="253" t="n"/>
      <c r="LKF12" s="253" t="n"/>
      <c r="LKG12" s="253" t="n"/>
      <c r="LKH12" s="253" t="n"/>
      <c r="LKI12" s="253" t="n"/>
      <c r="LKJ12" s="253" t="n"/>
      <c r="LKK12" s="253" t="n"/>
      <c r="LKL12" s="253" t="n"/>
      <c r="LKM12" s="253" t="n"/>
      <c r="LKN12" s="253" t="n"/>
      <c r="LKO12" s="253" t="n"/>
      <c r="LKP12" s="253" t="n"/>
      <c r="LKQ12" s="253" t="n"/>
      <c r="LKR12" s="253" t="n"/>
      <c r="LKS12" s="253" t="n"/>
      <c r="LKT12" s="253" t="n"/>
      <c r="LKU12" s="253" t="n"/>
      <c r="LKV12" s="253" t="n"/>
      <c r="LKW12" s="253" t="n"/>
      <c r="LKX12" s="253" t="n"/>
      <c r="LKY12" s="253" t="n"/>
      <c r="LKZ12" s="253" t="n"/>
      <c r="LLA12" s="253" t="n"/>
      <c r="LLB12" s="253" t="n"/>
      <c r="LLC12" s="253" t="n"/>
      <c r="LLD12" s="253" t="n"/>
      <c r="LLE12" s="253" t="n"/>
      <c r="LLF12" s="253" t="n"/>
      <c r="LLG12" s="253" t="n"/>
      <c r="LLH12" s="253" t="n"/>
      <c r="LLI12" s="253" t="n"/>
      <c r="LLJ12" s="253" t="n"/>
      <c r="LLK12" s="253" t="n"/>
      <c r="LLL12" s="253" t="n"/>
      <c r="LLM12" s="253" t="n"/>
      <c r="LLN12" s="253" t="n"/>
      <c r="LLO12" s="253" t="n"/>
      <c r="LLP12" s="253" t="n"/>
      <c r="LLQ12" s="253" t="n"/>
      <c r="LLR12" s="253" t="n"/>
      <c r="LLS12" s="253" t="n"/>
      <c r="LLT12" s="253" t="n"/>
      <c r="LLU12" s="253" t="n"/>
      <c r="LLV12" s="253" t="n"/>
      <c r="LLW12" s="253" t="n"/>
      <c r="LLX12" s="253" t="n"/>
      <c r="LLY12" s="253" t="n"/>
      <c r="LLZ12" s="253" t="n"/>
      <c r="LMA12" s="253" t="n"/>
      <c r="LMB12" s="253" t="n"/>
      <c r="LMC12" s="253" t="n"/>
      <c r="LMD12" s="253" t="n"/>
      <c r="LME12" s="253" t="n"/>
      <c r="LMF12" s="253" t="n"/>
      <c r="LMG12" s="253" t="n"/>
      <c r="LMH12" s="253" t="n"/>
      <c r="LMI12" s="253" t="n"/>
      <c r="LMJ12" s="253" t="n"/>
      <c r="LMK12" s="253" t="n"/>
      <c r="LML12" s="253" t="n"/>
      <c r="LMM12" s="253" t="n"/>
      <c r="LMN12" s="253" t="n"/>
      <c r="LMO12" s="253" t="n"/>
      <c r="LMP12" s="253" t="n"/>
      <c r="LMQ12" s="253" t="n"/>
      <c r="LMR12" s="253" t="n"/>
      <c r="LMS12" s="253" t="n"/>
      <c r="LMT12" s="253" t="n"/>
      <c r="LMU12" s="253" t="n"/>
      <c r="LMV12" s="253" t="n"/>
      <c r="LMW12" s="253" t="n"/>
      <c r="LMX12" s="253" t="n"/>
      <c r="LMY12" s="253" t="n"/>
      <c r="LMZ12" s="253" t="n"/>
      <c r="LNA12" s="253" t="n"/>
      <c r="LNB12" s="253" t="n"/>
      <c r="LNC12" s="253" t="n"/>
      <c r="LND12" s="253" t="n"/>
      <c r="LNE12" s="253" t="n"/>
      <c r="LNF12" s="253" t="n"/>
      <c r="LNG12" s="253" t="n"/>
      <c r="LNH12" s="253" t="n"/>
      <c r="LNI12" s="253" t="n"/>
      <c r="LNJ12" s="253" t="n"/>
      <c r="LNK12" s="253" t="n"/>
      <c r="LNL12" s="253" t="n"/>
      <c r="LNM12" s="253" t="n"/>
      <c r="LNN12" s="253" t="n"/>
      <c r="LNO12" s="253" t="n"/>
      <c r="LNP12" s="253" t="n"/>
      <c r="LNQ12" s="253" t="n"/>
      <c r="LNR12" s="253" t="n"/>
      <c r="LNS12" s="253" t="n"/>
      <c r="LNT12" s="253" t="n"/>
      <c r="LNU12" s="253" t="n"/>
      <c r="LNV12" s="253" t="n"/>
      <c r="LNW12" s="253" t="n"/>
      <c r="LNX12" s="253" t="n"/>
      <c r="LNY12" s="253" t="n"/>
      <c r="LNZ12" s="253" t="n"/>
      <c r="LOA12" s="253" t="n"/>
      <c r="LOB12" s="253" t="n"/>
      <c r="LOC12" s="253" t="n"/>
      <c r="LOD12" s="253" t="n"/>
      <c r="LOE12" s="253" t="n"/>
      <c r="LOF12" s="253" t="n"/>
      <c r="LOG12" s="253" t="n"/>
      <c r="LOH12" s="253" t="n"/>
      <c r="LOI12" s="253" t="n"/>
      <c r="LOJ12" s="253" t="n"/>
      <c r="LOK12" s="253" t="n"/>
      <c r="LOL12" s="253" t="n"/>
      <c r="LOM12" s="253" t="n"/>
      <c r="LON12" s="253" t="n"/>
      <c r="LOO12" s="253" t="n"/>
      <c r="LOP12" s="253" t="n"/>
      <c r="LOQ12" s="253" t="n"/>
      <c r="LOR12" s="253" t="n"/>
      <c r="LOS12" s="253" t="n"/>
      <c r="LOT12" s="253" t="n"/>
      <c r="LOU12" s="253" t="n"/>
      <c r="LOV12" s="253" t="n"/>
      <c r="LOW12" s="253" t="n"/>
      <c r="LOX12" s="253" t="n"/>
      <c r="LOY12" s="253" t="n"/>
      <c r="LOZ12" s="253" t="n"/>
      <c r="LPA12" s="253" t="n"/>
      <c r="LPB12" s="253" t="n"/>
      <c r="LPC12" s="253" t="n"/>
      <c r="LPD12" s="253" t="n"/>
      <c r="LPE12" s="253" t="n"/>
      <c r="LPF12" s="253" t="n"/>
      <c r="LPG12" s="253" t="n"/>
      <c r="LPH12" s="253" t="n"/>
      <c r="LPI12" s="253" t="n"/>
      <c r="LPJ12" s="253" t="n"/>
      <c r="LPK12" s="253" t="n"/>
      <c r="LPL12" s="253" t="n"/>
      <c r="LPM12" s="253" t="n"/>
      <c r="LPN12" s="253" t="n"/>
      <c r="LPO12" s="253" t="n"/>
      <c r="LPP12" s="253" t="n"/>
      <c r="LPQ12" s="253" t="n"/>
      <c r="LPR12" s="253" t="n"/>
      <c r="LPS12" s="253" t="n"/>
      <c r="LPT12" s="253" t="n"/>
      <c r="LPU12" s="253" t="n"/>
      <c r="LPV12" s="253" t="n"/>
      <c r="LPW12" s="253" t="n"/>
      <c r="LPX12" s="253" t="n"/>
      <c r="LPY12" s="253" t="n"/>
      <c r="LPZ12" s="253" t="n"/>
      <c r="LQA12" s="253" t="n"/>
      <c r="LQB12" s="253" t="n"/>
      <c r="LQC12" s="253" t="n"/>
      <c r="LQD12" s="253" t="n"/>
      <c r="LQE12" s="253" t="n"/>
      <c r="LQF12" s="253" t="n"/>
      <c r="LQG12" s="253" t="n"/>
      <c r="LQH12" s="253" t="n"/>
      <c r="LQI12" s="253" t="n"/>
      <c r="LQJ12" s="253" t="n"/>
      <c r="LQK12" s="253" t="n"/>
      <c r="LQL12" s="253" t="n"/>
      <c r="LQM12" s="253" t="n"/>
      <c r="LQN12" s="253" t="n"/>
      <c r="LQO12" s="253" t="n"/>
      <c r="LQP12" s="253" t="n"/>
      <c r="LQQ12" s="253" t="n"/>
      <c r="LQR12" s="253" t="n"/>
      <c r="LQS12" s="253" t="n"/>
      <c r="LQT12" s="253" t="n"/>
      <c r="LQU12" s="253" t="n"/>
      <c r="LQV12" s="253" t="n"/>
      <c r="LQW12" s="253" t="n"/>
      <c r="LQX12" s="253" t="n"/>
      <c r="LQY12" s="253" t="n"/>
      <c r="LQZ12" s="253" t="n"/>
      <c r="LRA12" s="253" t="n"/>
      <c r="LRB12" s="253" t="n"/>
      <c r="LRC12" s="253" t="n"/>
      <c r="LRD12" s="253" t="n"/>
      <c r="LRE12" s="253" t="n"/>
      <c r="LRF12" s="253" t="n"/>
      <c r="LRG12" s="253" t="n"/>
      <c r="LRH12" s="253" t="n"/>
      <c r="LRI12" s="253" t="n"/>
      <c r="LRJ12" s="253" t="n"/>
      <c r="LRK12" s="253" t="n"/>
      <c r="LRL12" s="253" t="n"/>
      <c r="LRM12" s="253" t="n"/>
      <c r="LRN12" s="253" t="n"/>
      <c r="LRO12" s="253" t="n"/>
      <c r="LRP12" s="253" t="n"/>
      <c r="LRQ12" s="253" t="n"/>
      <c r="LRR12" s="253" t="n"/>
      <c r="LRS12" s="253" t="n"/>
      <c r="LRT12" s="253" t="n"/>
      <c r="LRU12" s="253" t="n"/>
      <c r="LRV12" s="253" t="n"/>
      <c r="LRW12" s="253" t="n"/>
      <c r="LRX12" s="253" t="n"/>
      <c r="LRY12" s="253" t="n"/>
      <c r="LRZ12" s="253" t="n"/>
      <c r="LSA12" s="253" t="n"/>
      <c r="LSB12" s="253" t="n"/>
      <c r="LSC12" s="253" t="n"/>
      <c r="LSD12" s="253" t="n"/>
      <c r="LSE12" s="253" t="n"/>
      <c r="LSF12" s="253" t="n"/>
      <c r="LSG12" s="253" t="n"/>
      <c r="LSH12" s="253" t="n"/>
      <c r="LSI12" s="253" t="n"/>
      <c r="LSJ12" s="253" t="n"/>
      <c r="LSK12" s="253" t="n"/>
      <c r="LSL12" s="253" t="n"/>
      <c r="LSM12" s="253" t="n"/>
      <c r="LSN12" s="253" t="n"/>
      <c r="LSO12" s="253" t="n"/>
      <c r="LSP12" s="253" t="n"/>
      <c r="LSQ12" s="253" t="n"/>
      <c r="LSR12" s="253" t="n"/>
      <c r="LSS12" s="253" t="n"/>
      <c r="LST12" s="253" t="n"/>
      <c r="LSU12" s="253" t="n"/>
      <c r="LSV12" s="253" t="n"/>
      <c r="LSW12" s="253" t="n"/>
      <c r="LSX12" s="253" t="n"/>
      <c r="LSY12" s="253" t="n"/>
      <c r="LSZ12" s="253" t="n"/>
      <c r="LTA12" s="253" t="n"/>
      <c r="LTB12" s="253" t="n"/>
      <c r="LTC12" s="253" t="n"/>
      <c r="LTD12" s="253" t="n"/>
      <c r="LTE12" s="253" t="n"/>
      <c r="LTF12" s="253" t="n"/>
      <c r="LTG12" s="253" t="n"/>
      <c r="LTH12" s="253" t="n"/>
      <c r="LTI12" s="253" t="n"/>
      <c r="LTJ12" s="253" t="n"/>
      <c r="LTK12" s="253" t="n"/>
      <c r="LTL12" s="253" t="n"/>
      <c r="LTM12" s="253" t="n"/>
      <c r="LTN12" s="253" t="n"/>
      <c r="LTO12" s="253" t="n"/>
      <c r="LTP12" s="253" t="n"/>
      <c r="LTQ12" s="253" t="n"/>
      <c r="LTR12" s="253" t="n"/>
      <c r="LTS12" s="253" t="n"/>
      <c r="LTT12" s="253" t="n"/>
      <c r="LTU12" s="253" t="n"/>
      <c r="LTV12" s="253" t="n"/>
      <c r="LTW12" s="253" t="n"/>
      <c r="LTX12" s="253" t="n"/>
      <c r="LTY12" s="253" t="n"/>
      <c r="LTZ12" s="253" t="n"/>
      <c r="LUA12" s="253" t="n"/>
      <c r="LUB12" s="253" t="n"/>
      <c r="LUC12" s="253" t="n"/>
      <c r="LUD12" s="253" t="n"/>
      <c r="LUE12" s="253" t="n"/>
      <c r="LUF12" s="253" t="n"/>
      <c r="LUG12" s="253" t="n"/>
      <c r="LUH12" s="253" t="n"/>
      <c r="LUI12" s="253" t="n"/>
      <c r="LUJ12" s="253" t="n"/>
      <c r="LUK12" s="253" t="n"/>
      <c r="LUL12" s="253" t="n"/>
      <c r="LUM12" s="253" t="n"/>
      <c r="LUN12" s="253" t="n"/>
      <c r="LUO12" s="253" t="n"/>
      <c r="LUP12" s="253" t="n"/>
      <c r="LUQ12" s="253" t="n"/>
      <c r="LUR12" s="253" t="n"/>
      <c r="LUS12" s="253" t="n"/>
      <c r="LUT12" s="253" t="n"/>
      <c r="LUU12" s="253" t="n"/>
      <c r="LUV12" s="253" t="n"/>
      <c r="LUW12" s="253" t="n"/>
      <c r="LUX12" s="253" t="n"/>
      <c r="LUY12" s="253" t="n"/>
      <c r="LUZ12" s="253" t="n"/>
      <c r="LVA12" s="253" t="n"/>
      <c r="LVB12" s="253" t="n"/>
      <c r="LVC12" s="253" t="n"/>
      <c r="LVD12" s="253" t="n"/>
      <c r="LVE12" s="253" t="n"/>
      <c r="LVF12" s="253" t="n"/>
      <c r="LVG12" s="253" t="n"/>
      <c r="LVH12" s="253" t="n"/>
      <c r="LVI12" s="253" t="n"/>
      <c r="LVJ12" s="253" t="n"/>
      <c r="LVK12" s="253" t="n"/>
      <c r="LVL12" s="253" t="n"/>
      <c r="LVM12" s="253" t="n"/>
      <c r="LVN12" s="253" t="n"/>
      <c r="LVO12" s="253" t="n"/>
      <c r="LVP12" s="253" t="n"/>
      <c r="LVQ12" s="253" t="n"/>
      <c r="LVR12" s="253" t="n"/>
      <c r="LVS12" s="253" t="n"/>
      <c r="LVT12" s="253" t="n"/>
      <c r="LVU12" s="253" t="n"/>
      <c r="LVV12" s="253" t="n"/>
      <c r="LVW12" s="253" t="n"/>
      <c r="LVX12" s="253" t="n"/>
      <c r="LVY12" s="253" t="n"/>
      <c r="LVZ12" s="253" t="n"/>
      <c r="LWA12" s="253" t="n"/>
      <c r="LWB12" s="253" t="n"/>
      <c r="LWC12" s="253" t="n"/>
      <c r="LWD12" s="253" t="n"/>
      <c r="LWE12" s="253" t="n"/>
      <c r="LWF12" s="253" t="n"/>
      <c r="LWG12" s="253" t="n"/>
      <c r="LWH12" s="253" t="n"/>
      <c r="LWI12" s="253" t="n"/>
      <c r="LWJ12" s="253" t="n"/>
      <c r="LWK12" s="253" t="n"/>
      <c r="LWL12" s="253" t="n"/>
      <c r="LWM12" s="253" t="n"/>
      <c r="LWN12" s="253" t="n"/>
      <c r="LWO12" s="253" t="n"/>
      <c r="LWP12" s="253" t="n"/>
      <c r="LWQ12" s="253" t="n"/>
      <c r="LWR12" s="253" t="n"/>
      <c r="LWS12" s="253" t="n"/>
      <c r="LWT12" s="253" t="n"/>
      <c r="LWU12" s="253" t="n"/>
      <c r="LWV12" s="253" t="n"/>
      <c r="LWW12" s="253" t="n"/>
      <c r="LWX12" s="253" t="n"/>
      <c r="LWY12" s="253" t="n"/>
      <c r="LWZ12" s="253" t="n"/>
      <c r="LXA12" s="253" t="n"/>
      <c r="LXB12" s="253" t="n"/>
      <c r="LXC12" s="253" t="n"/>
      <c r="LXD12" s="253" t="n"/>
      <c r="LXE12" s="253" t="n"/>
      <c r="LXF12" s="253" t="n"/>
      <c r="LXG12" s="253" t="n"/>
      <c r="LXH12" s="253" t="n"/>
      <c r="LXI12" s="253" t="n"/>
      <c r="LXJ12" s="253" t="n"/>
      <c r="LXK12" s="253" t="n"/>
      <c r="LXL12" s="253" t="n"/>
      <c r="LXM12" s="253" t="n"/>
      <c r="LXN12" s="253" t="n"/>
      <c r="LXO12" s="253" t="n"/>
      <c r="LXP12" s="253" t="n"/>
      <c r="LXQ12" s="253" t="n"/>
      <c r="LXR12" s="253" t="n"/>
      <c r="LXS12" s="253" t="n"/>
      <c r="LXT12" s="253" t="n"/>
      <c r="LXU12" s="253" t="n"/>
      <c r="LXV12" s="253" t="n"/>
      <c r="LXW12" s="253" t="n"/>
      <c r="LXX12" s="253" t="n"/>
      <c r="LXY12" s="253" t="n"/>
      <c r="LXZ12" s="253" t="n"/>
      <c r="LYA12" s="253" t="n"/>
      <c r="LYB12" s="253" t="n"/>
      <c r="LYC12" s="253" t="n"/>
      <c r="LYD12" s="253" t="n"/>
      <c r="LYE12" s="253" t="n"/>
      <c r="LYF12" s="253" t="n"/>
      <c r="LYG12" s="253" t="n"/>
      <c r="LYH12" s="253" t="n"/>
      <c r="LYI12" s="253" t="n"/>
      <c r="LYJ12" s="253" t="n"/>
      <c r="LYK12" s="253" t="n"/>
      <c r="LYL12" s="253" t="n"/>
      <c r="LYM12" s="253" t="n"/>
      <c r="LYN12" s="253" t="n"/>
      <c r="LYO12" s="253" t="n"/>
      <c r="LYP12" s="253" t="n"/>
      <c r="LYQ12" s="253" t="n"/>
      <c r="LYR12" s="253" t="n"/>
      <c r="LYS12" s="253" t="n"/>
      <c r="LYT12" s="253" t="n"/>
      <c r="LYU12" s="253" t="n"/>
      <c r="LYV12" s="253" t="n"/>
      <c r="LYW12" s="253" t="n"/>
      <c r="LYX12" s="253" t="n"/>
      <c r="LYY12" s="253" t="n"/>
      <c r="LYZ12" s="253" t="n"/>
      <c r="LZA12" s="253" t="n"/>
      <c r="LZB12" s="253" t="n"/>
      <c r="LZC12" s="253" t="n"/>
      <c r="LZD12" s="253" t="n"/>
      <c r="LZE12" s="253" t="n"/>
      <c r="LZF12" s="253" t="n"/>
      <c r="LZG12" s="253" t="n"/>
      <c r="LZH12" s="253" t="n"/>
      <c r="LZI12" s="253" t="n"/>
      <c r="LZJ12" s="253" t="n"/>
      <c r="LZK12" s="253" t="n"/>
      <c r="LZL12" s="253" t="n"/>
      <c r="LZM12" s="253" t="n"/>
      <c r="LZN12" s="253" t="n"/>
      <c r="LZO12" s="253" t="n"/>
      <c r="LZP12" s="253" t="n"/>
      <c r="LZQ12" s="253" t="n"/>
      <c r="LZR12" s="253" t="n"/>
      <c r="LZS12" s="253" t="n"/>
      <c r="LZT12" s="253" t="n"/>
      <c r="LZU12" s="253" t="n"/>
      <c r="LZV12" s="253" t="n"/>
      <c r="LZW12" s="253" t="n"/>
      <c r="LZX12" s="253" t="n"/>
      <c r="LZY12" s="253" t="n"/>
      <c r="LZZ12" s="253" t="n"/>
      <c r="MAA12" s="253" t="n"/>
      <c r="MAB12" s="253" t="n"/>
      <c r="MAC12" s="253" t="n"/>
      <c r="MAD12" s="253" t="n"/>
      <c r="MAE12" s="253" t="n"/>
      <c r="MAF12" s="253" t="n"/>
      <c r="MAG12" s="253" t="n"/>
      <c r="MAH12" s="253" t="n"/>
      <c r="MAI12" s="253" t="n"/>
      <c r="MAJ12" s="253" t="n"/>
      <c r="MAK12" s="253" t="n"/>
      <c r="MAL12" s="253" t="n"/>
      <c r="MAM12" s="253" t="n"/>
      <c r="MAN12" s="253" t="n"/>
      <c r="MAO12" s="253" t="n"/>
      <c r="MAP12" s="253" t="n"/>
      <c r="MAQ12" s="253" t="n"/>
      <c r="MAR12" s="253" t="n"/>
      <c r="MAS12" s="253" t="n"/>
      <c r="MAT12" s="253" t="n"/>
      <c r="MAU12" s="253" t="n"/>
      <c r="MAV12" s="253" t="n"/>
      <c r="MAW12" s="253" t="n"/>
      <c r="MAX12" s="253" t="n"/>
      <c r="MAY12" s="253" t="n"/>
      <c r="MAZ12" s="253" t="n"/>
      <c r="MBA12" s="253" t="n"/>
      <c r="MBB12" s="253" t="n"/>
      <c r="MBC12" s="253" t="n"/>
      <c r="MBD12" s="253" t="n"/>
      <c r="MBE12" s="253" t="n"/>
      <c r="MBF12" s="253" t="n"/>
      <c r="MBG12" s="253" t="n"/>
      <c r="MBH12" s="253" t="n"/>
      <c r="MBI12" s="253" t="n"/>
      <c r="MBJ12" s="253" t="n"/>
      <c r="MBK12" s="253" t="n"/>
      <c r="MBL12" s="253" t="n"/>
      <c r="MBM12" s="253" t="n"/>
      <c r="MBN12" s="253" t="n"/>
      <c r="MBO12" s="253" t="n"/>
      <c r="MBP12" s="253" t="n"/>
      <c r="MBQ12" s="253" t="n"/>
      <c r="MBR12" s="253" t="n"/>
      <c r="MBS12" s="253" t="n"/>
      <c r="MBT12" s="253" t="n"/>
      <c r="MBU12" s="253" t="n"/>
      <c r="MBV12" s="253" t="n"/>
      <c r="MBW12" s="253" t="n"/>
      <c r="MBX12" s="253" t="n"/>
      <c r="MBY12" s="253" t="n"/>
      <c r="MBZ12" s="253" t="n"/>
      <c r="MCA12" s="253" t="n"/>
      <c r="MCB12" s="253" t="n"/>
      <c r="MCC12" s="253" t="n"/>
      <c r="MCD12" s="253" t="n"/>
      <c r="MCE12" s="253" t="n"/>
      <c r="MCF12" s="253" t="n"/>
      <c r="MCG12" s="253" t="n"/>
      <c r="MCH12" s="253" t="n"/>
      <c r="MCI12" s="253" t="n"/>
      <c r="MCJ12" s="253" t="n"/>
      <c r="MCK12" s="253" t="n"/>
      <c r="MCL12" s="253" t="n"/>
      <c r="MCM12" s="253" t="n"/>
      <c r="MCN12" s="253" t="n"/>
      <c r="MCO12" s="253" t="n"/>
      <c r="MCP12" s="253" t="n"/>
      <c r="MCQ12" s="253" t="n"/>
      <c r="MCR12" s="253" t="n"/>
      <c r="MCS12" s="253" t="n"/>
      <c r="MCT12" s="253" t="n"/>
      <c r="MCU12" s="253" t="n"/>
      <c r="MCV12" s="253" t="n"/>
      <c r="MCW12" s="253" t="n"/>
      <c r="MCX12" s="253" t="n"/>
      <c r="MCY12" s="253" t="n"/>
      <c r="MCZ12" s="253" t="n"/>
      <c r="MDA12" s="253" t="n"/>
      <c r="MDB12" s="253" t="n"/>
      <c r="MDC12" s="253" t="n"/>
      <c r="MDD12" s="253" t="n"/>
      <c r="MDE12" s="253" t="n"/>
      <c r="MDF12" s="253" t="n"/>
      <c r="MDG12" s="253" t="n"/>
      <c r="MDH12" s="253" t="n"/>
      <c r="MDI12" s="253" t="n"/>
      <c r="MDJ12" s="253" t="n"/>
      <c r="MDK12" s="253" t="n"/>
      <c r="MDL12" s="253" t="n"/>
      <c r="MDM12" s="253" t="n"/>
      <c r="MDN12" s="253" t="n"/>
      <c r="MDO12" s="253" t="n"/>
      <c r="MDP12" s="253" t="n"/>
      <c r="MDQ12" s="253" t="n"/>
      <c r="MDR12" s="253" t="n"/>
      <c r="MDS12" s="253" t="n"/>
      <c r="MDT12" s="253" t="n"/>
      <c r="MDU12" s="253" t="n"/>
      <c r="MDV12" s="253" t="n"/>
      <c r="MDW12" s="253" t="n"/>
      <c r="MDX12" s="253" t="n"/>
      <c r="MDY12" s="253" t="n"/>
      <c r="MDZ12" s="253" t="n"/>
      <c r="MEA12" s="253" t="n"/>
      <c r="MEB12" s="253" t="n"/>
      <c r="MEC12" s="253" t="n"/>
      <c r="MED12" s="253" t="n"/>
      <c r="MEE12" s="253" t="n"/>
      <c r="MEF12" s="253" t="n"/>
      <c r="MEG12" s="253" t="n"/>
      <c r="MEH12" s="253" t="n"/>
      <c r="MEI12" s="253" t="n"/>
      <c r="MEJ12" s="253" t="n"/>
      <c r="MEK12" s="253" t="n"/>
      <c r="MEL12" s="253" t="n"/>
      <c r="MEM12" s="253" t="n"/>
      <c r="MEN12" s="253" t="n"/>
      <c r="MEO12" s="253" t="n"/>
      <c r="MEP12" s="253" t="n"/>
      <c r="MEQ12" s="253" t="n"/>
      <c r="MER12" s="253" t="n"/>
      <c r="MES12" s="253" t="n"/>
      <c r="MET12" s="253" t="n"/>
      <c r="MEU12" s="253" t="n"/>
      <c r="MEV12" s="253" t="n"/>
      <c r="MEW12" s="253" t="n"/>
      <c r="MEX12" s="253" t="n"/>
      <c r="MEY12" s="253" t="n"/>
      <c r="MEZ12" s="253" t="n"/>
      <c r="MFA12" s="253" t="n"/>
      <c r="MFB12" s="253" t="n"/>
      <c r="MFC12" s="253" t="n"/>
      <c r="MFD12" s="253" t="n"/>
      <c r="MFE12" s="253" t="n"/>
      <c r="MFF12" s="253" t="n"/>
      <c r="MFG12" s="253" t="n"/>
      <c r="MFH12" s="253" t="n"/>
      <c r="MFI12" s="253" t="n"/>
      <c r="MFJ12" s="253" t="n"/>
      <c r="MFK12" s="253" t="n"/>
      <c r="MFL12" s="253" t="n"/>
      <c r="MFM12" s="253" t="n"/>
      <c r="MFN12" s="252" t="n"/>
      <c r="MFO12" s="253" t="n"/>
      <c r="MFP12" s="253" t="n"/>
      <c r="MFQ12" s="253" t="n"/>
      <c r="MFR12" s="253" t="n"/>
      <c r="MFS12" s="253" t="n"/>
      <c r="MFT12" s="253" t="n"/>
      <c r="MFU12" s="253" t="n"/>
      <c r="MFV12" s="253" t="n"/>
      <c r="MFW12" s="253" t="n"/>
      <c r="MFX12" s="253" t="n"/>
      <c r="MFY12" s="253" t="n"/>
      <c r="MFZ12" s="253" t="n"/>
      <c r="MGA12" s="253" t="n"/>
      <c r="MGB12" s="253" t="n"/>
      <c r="MGC12" s="253" t="n"/>
      <c r="MGD12" s="253" t="n"/>
      <c r="MGE12" s="253" t="n"/>
      <c r="MGF12" s="253" t="n"/>
      <c r="MGG12" s="253" t="n"/>
      <c r="MGH12" s="253" t="n"/>
      <c r="MGI12" s="253" t="n"/>
      <c r="MGJ12" s="253" t="n"/>
      <c r="MGK12" s="253" t="n"/>
      <c r="MGL12" s="253" t="n"/>
      <c r="MGM12" s="253" t="n"/>
      <c r="MGN12" s="253" t="n"/>
      <c r="MGO12" s="253" t="n"/>
      <c r="MGP12" s="253" t="n"/>
      <c r="MGQ12" s="253" t="n"/>
      <c r="MGR12" s="253" t="n"/>
      <c r="MGS12" s="253" t="n"/>
      <c r="MGT12" s="253" t="n"/>
      <c r="MGU12" s="253" t="n"/>
      <c r="MGV12" s="253" t="n"/>
      <c r="MGW12" s="253" t="n"/>
      <c r="MGX12" s="253" t="n"/>
      <c r="MGY12" s="253" t="n"/>
      <c r="MGZ12" s="253" t="n"/>
      <c r="MHA12" s="253" t="n"/>
      <c r="MHB12" s="253" t="n"/>
      <c r="MHC12" s="253" t="n"/>
      <c r="MHD12" s="253" t="n"/>
      <c r="MHE12" s="253" t="n"/>
      <c r="MHF12" s="253" t="n"/>
      <c r="MHG12" s="253" t="n"/>
      <c r="MHH12" s="253" t="n"/>
      <c r="MHI12" s="253" t="n"/>
      <c r="MHJ12" s="253" t="n"/>
      <c r="MHK12" s="253" t="n"/>
      <c r="MHL12" s="253" t="n"/>
      <c r="MHM12" s="253" t="n"/>
      <c r="MHN12" s="253" t="n"/>
      <c r="MHO12" s="253" t="n"/>
      <c r="MHP12" s="253" t="n"/>
      <c r="MHQ12" s="253" t="n"/>
      <c r="MHR12" s="253" t="n"/>
      <c r="MHS12" s="253" t="n"/>
      <c r="MHT12" s="253" t="n"/>
      <c r="MHU12" s="253" t="n"/>
      <c r="MHV12" s="253" t="n"/>
      <c r="MHW12" s="253" t="n"/>
      <c r="MHX12" s="253" t="n"/>
      <c r="MHY12" s="253" t="n"/>
      <c r="MHZ12" s="253" t="n"/>
      <c r="MIA12" s="253" t="n"/>
      <c r="MIB12" s="253" t="n"/>
      <c r="MIC12" s="253" t="n"/>
      <c r="MID12" s="253" t="n"/>
      <c r="MIE12" s="253" t="n"/>
      <c r="MIF12" s="253" t="n"/>
      <c r="MIG12" s="253" t="n"/>
      <c r="MIH12" s="253" t="n"/>
      <c r="MII12" s="253" t="n"/>
      <c r="MIJ12" s="253" t="n"/>
      <c r="MIK12" s="253" t="n"/>
      <c r="MIL12" s="253" t="n"/>
      <c r="MIM12" s="253" t="n"/>
      <c r="MIN12" s="253" t="n"/>
      <c r="MIO12" s="253" t="n"/>
      <c r="MIP12" s="253" t="n"/>
      <c r="MIQ12" s="253" t="n"/>
      <c r="MIR12" s="253" t="n"/>
      <c r="MIS12" s="253" t="n"/>
      <c r="MIT12" s="253" t="n"/>
      <c r="MIU12" s="253" t="n"/>
      <c r="MIV12" s="253" t="n"/>
      <c r="MIW12" s="253" t="n"/>
      <c r="MIX12" s="253" t="n"/>
      <c r="MIY12" s="253" t="n"/>
      <c r="MIZ12" s="253" t="n"/>
      <c r="MJA12" s="253" t="n"/>
      <c r="MJB12" s="253" t="n"/>
      <c r="MJC12" s="253" t="n"/>
      <c r="MJD12" s="253" t="n"/>
      <c r="MJE12" s="253" t="n"/>
      <c r="MJF12" s="253" t="n"/>
      <c r="MJG12" s="253" t="n"/>
      <c r="MJH12" s="253" t="n"/>
      <c r="MJI12" s="253" t="n"/>
      <c r="MJJ12" s="253" t="n"/>
      <c r="MJK12" s="253" t="n"/>
      <c r="MJL12" s="253" t="n"/>
      <c r="MJM12" s="253" t="n"/>
      <c r="MJN12" s="253" t="n"/>
      <c r="MJO12" s="253" t="n"/>
      <c r="MJP12" s="253" t="n"/>
      <c r="MJQ12" s="253" t="n"/>
      <c r="MJR12" s="253" t="n"/>
      <c r="MJS12" s="253" t="n"/>
      <c r="MJT12" s="253" t="n"/>
      <c r="MJU12" s="253" t="n"/>
      <c r="MJV12" s="253" t="n"/>
      <c r="MJW12" s="253" t="n"/>
      <c r="MJX12" s="253" t="n"/>
      <c r="MJY12" s="253" t="n"/>
      <c r="MJZ12" s="253" t="n"/>
      <c r="MKA12" s="253" t="n"/>
      <c r="MKB12" s="253" t="n"/>
      <c r="MKC12" s="253" t="n"/>
      <c r="MKD12" s="253" t="n"/>
      <c r="MKE12" s="253" t="n"/>
      <c r="MKF12" s="253" t="n"/>
      <c r="MKG12" s="253" t="n"/>
      <c r="MKH12" s="253" t="n"/>
      <c r="MKI12" s="253" t="n"/>
      <c r="MKJ12" s="253" t="n"/>
      <c r="MKK12" s="253" t="n"/>
      <c r="MKL12" s="253" t="n"/>
      <c r="MKM12" s="253" t="n"/>
      <c r="MKN12" s="253" t="n"/>
      <c r="MKO12" s="253" t="n"/>
      <c r="MKP12" s="253" t="n"/>
      <c r="MKQ12" s="253" t="n"/>
      <c r="MKR12" s="253" t="n"/>
      <c r="MKS12" s="253" t="n"/>
      <c r="MKT12" s="253" t="n"/>
      <c r="MKU12" s="253" t="n"/>
      <c r="MKV12" s="253" t="n"/>
      <c r="MKW12" s="253" t="n"/>
      <c r="MKX12" s="253" t="n"/>
      <c r="MKY12" s="253" t="n"/>
      <c r="MKZ12" s="253" t="n"/>
      <c r="MLA12" s="253" t="n"/>
      <c r="MLB12" s="253" t="n"/>
      <c r="MLC12" s="253" t="n"/>
      <c r="MLD12" s="253" t="n"/>
      <c r="MLE12" s="253" t="n"/>
      <c r="MLF12" s="253" t="n"/>
      <c r="MLG12" s="253" t="n"/>
      <c r="MLH12" s="253" t="n"/>
      <c r="MLI12" s="253" t="n"/>
      <c r="MLJ12" s="253" t="n"/>
      <c r="MLK12" s="253" t="n"/>
      <c r="MLL12" s="253" t="n"/>
      <c r="MLM12" s="253" t="n"/>
      <c r="MLN12" s="253" t="n"/>
      <c r="MLO12" s="253" t="n"/>
      <c r="MLP12" s="253" t="n"/>
      <c r="MLQ12" s="253" t="n"/>
      <c r="MLR12" s="253" t="n"/>
      <c r="MLS12" s="253" t="n"/>
      <c r="MLT12" s="253" t="n"/>
      <c r="MLU12" s="253" t="n"/>
      <c r="MLV12" s="253" t="n"/>
      <c r="MLW12" s="253" t="n"/>
      <c r="MLX12" s="253" t="n"/>
      <c r="MLY12" s="253" t="n"/>
      <c r="MLZ12" s="253" t="n"/>
      <c r="MMA12" s="253" t="n"/>
      <c r="MMB12" s="253" t="n"/>
      <c r="MMC12" s="253" t="n"/>
      <c r="MMD12" s="253" t="n"/>
      <c r="MME12" s="253" t="n"/>
      <c r="MMF12" s="253" t="n"/>
      <c r="MMG12" s="253" t="n"/>
      <c r="MMH12" s="253" t="n"/>
      <c r="MMI12" s="253" t="n"/>
      <c r="MMJ12" s="253" t="n"/>
      <c r="MMK12" s="253" t="n"/>
      <c r="MML12" s="253" t="n"/>
      <c r="MMM12" s="253" t="n"/>
      <c r="MMN12" s="253" t="n"/>
      <c r="MMO12" s="253" t="n"/>
      <c r="MMP12" s="253" t="n"/>
      <c r="MMQ12" s="253" t="n"/>
      <c r="MMR12" s="253" t="n"/>
      <c r="MMS12" s="253" t="n"/>
      <c r="MMT12" s="253" t="n"/>
      <c r="MMU12" s="253" t="n"/>
      <c r="MMV12" s="253" t="n"/>
      <c r="MMW12" s="253" t="n"/>
      <c r="MMX12" s="253" t="n"/>
      <c r="MMY12" s="253" t="n"/>
      <c r="MMZ12" s="253" t="n"/>
      <c r="MNA12" s="253" t="n"/>
      <c r="MNB12" s="253" t="n"/>
      <c r="MNC12" s="253" t="n"/>
      <c r="MND12" s="253" t="n"/>
      <c r="MNE12" s="253" t="n"/>
      <c r="MNF12" s="253" t="n"/>
      <c r="MNG12" s="253" t="n"/>
      <c r="MNH12" s="253" t="n"/>
      <c r="MNI12" s="253" t="n"/>
      <c r="MNJ12" s="253" t="n"/>
      <c r="MNK12" s="253" t="n"/>
      <c r="MNL12" s="253" t="n"/>
      <c r="MNM12" s="253" t="n"/>
      <c r="MNN12" s="253" t="n"/>
      <c r="MNO12" s="253" t="n"/>
      <c r="MNP12" s="253" t="n"/>
      <c r="MNQ12" s="253" t="n"/>
      <c r="MNR12" s="253" t="n"/>
      <c r="MNS12" s="253" t="n"/>
      <c r="MNT12" s="253" t="n"/>
      <c r="MNU12" s="253" t="n"/>
      <c r="MNV12" s="253" t="n"/>
      <c r="MNW12" s="253" t="n"/>
      <c r="MNX12" s="253" t="n"/>
      <c r="MNY12" s="253" t="n"/>
      <c r="MNZ12" s="253" t="n"/>
      <c r="MOA12" s="253" t="n"/>
      <c r="MOB12" s="253" t="n"/>
      <c r="MOC12" s="253" t="n"/>
      <c r="MOD12" s="253" t="n"/>
      <c r="MOE12" s="253" t="n"/>
      <c r="MOF12" s="253" t="n"/>
      <c r="MOG12" s="253" t="n"/>
      <c r="MOH12" s="253" t="n"/>
      <c r="MOI12" s="253" t="n"/>
      <c r="MOJ12" s="253" t="n"/>
      <c r="MOK12" s="253" t="n"/>
      <c r="MOL12" s="253" t="n"/>
      <c r="MOM12" s="253" t="n"/>
      <c r="MON12" s="253" t="n"/>
      <c r="MOO12" s="253" t="n"/>
      <c r="MOP12" s="253" t="n"/>
      <c r="MOQ12" s="253" t="n"/>
      <c r="MOR12" s="253" t="n"/>
      <c r="MOS12" s="253" t="n"/>
      <c r="MOT12" s="253" t="n"/>
      <c r="MOU12" s="253" t="n"/>
      <c r="MOV12" s="253" t="n"/>
      <c r="MOW12" s="253" t="n"/>
      <c r="MOX12" s="253" t="n"/>
      <c r="MOY12" s="253" t="n"/>
      <c r="MOZ12" s="253" t="n"/>
      <c r="MPA12" s="253" t="n"/>
      <c r="MPB12" s="253" t="n"/>
      <c r="MPC12" s="253" t="n"/>
      <c r="MPD12" s="253" t="n"/>
      <c r="MPE12" s="253" t="n"/>
      <c r="MPF12" s="253" t="n"/>
      <c r="MPG12" s="253" t="n"/>
      <c r="MPH12" s="253" t="n"/>
      <c r="MPI12" s="253" t="n"/>
      <c r="MPJ12" s="253" t="n"/>
      <c r="MPK12" s="253" t="n"/>
      <c r="MPL12" s="253" t="n"/>
      <c r="MPM12" s="253" t="n"/>
      <c r="MPN12" s="253" t="n"/>
      <c r="MPO12" s="253" t="n"/>
      <c r="MPP12" s="253" t="n"/>
      <c r="MPQ12" s="253" t="n"/>
      <c r="MPR12" s="253" t="n"/>
      <c r="MPS12" s="253" t="n"/>
      <c r="MPT12" s="253" t="n"/>
      <c r="MPU12" s="253" t="n"/>
      <c r="MPV12" s="253" t="n"/>
      <c r="MPW12" s="253" t="n"/>
      <c r="MPX12" s="253" t="n"/>
      <c r="MPY12" s="253" t="n"/>
      <c r="MPZ12" s="253" t="n"/>
      <c r="MQA12" s="253" t="n"/>
      <c r="MQB12" s="253" t="n"/>
      <c r="MQC12" s="253" t="n"/>
      <c r="MQD12" s="253" t="n"/>
      <c r="MQE12" s="253" t="n"/>
      <c r="MQF12" s="253" t="n"/>
      <c r="MQG12" s="253" t="n"/>
      <c r="MQH12" s="253" t="n"/>
      <c r="MQI12" s="253" t="n"/>
      <c r="MQJ12" s="253" t="n"/>
      <c r="MQK12" s="253" t="n"/>
      <c r="MQL12" s="253" t="n"/>
      <c r="MQM12" s="253" t="n"/>
      <c r="MQN12" s="253" t="n"/>
      <c r="MQO12" s="253" t="n"/>
      <c r="MQP12" s="253" t="n"/>
      <c r="MQQ12" s="253" t="n"/>
      <c r="MQR12" s="253" t="n"/>
      <c r="MQS12" s="253" t="n"/>
      <c r="MQT12" s="253" t="n"/>
      <c r="MQU12" s="253" t="n"/>
      <c r="MQV12" s="253" t="n"/>
      <c r="MQW12" s="253" t="n"/>
      <c r="MQX12" s="253" t="n"/>
      <c r="MQY12" s="253" t="n"/>
      <c r="MQZ12" s="253" t="n"/>
      <c r="MRA12" s="253" t="n"/>
      <c r="MRB12" s="253" t="n"/>
      <c r="MRC12" s="253" t="n"/>
      <c r="MRD12" s="253" t="n"/>
      <c r="MRE12" s="253" t="n"/>
      <c r="MRF12" s="253" t="n"/>
      <c r="MRG12" s="253" t="n"/>
      <c r="MRH12" s="253" t="n"/>
      <c r="MRI12" s="253" t="n"/>
      <c r="MRJ12" s="253" t="n"/>
      <c r="MRK12" s="253" t="n"/>
      <c r="MRL12" s="253" t="n"/>
      <c r="MRM12" s="253" t="n"/>
      <c r="MRN12" s="253" t="n"/>
      <c r="MRO12" s="253" t="n"/>
      <c r="MRP12" s="253" t="n"/>
      <c r="MRQ12" s="253" t="n"/>
      <c r="MRR12" s="253" t="n"/>
      <c r="MRS12" s="253" t="n"/>
      <c r="MRT12" s="253" t="n"/>
      <c r="MRU12" s="253" t="n"/>
      <c r="MRV12" s="253" t="n"/>
      <c r="MRW12" s="253" t="n"/>
      <c r="MRX12" s="253" t="n"/>
      <c r="MRY12" s="253" t="n"/>
      <c r="MRZ12" s="253" t="n"/>
      <c r="MSA12" s="253" t="n"/>
      <c r="MSB12" s="253" t="n"/>
      <c r="MSC12" s="253" t="n"/>
      <c r="MSD12" s="253" t="n"/>
      <c r="MSE12" s="253" t="n"/>
      <c r="MSF12" s="253" t="n"/>
      <c r="MSG12" s="253" t="n"/>
      <c r="MSH12" s="253" t="n"/>
      <c r="MSI12" s="253" t="n"/>
      <c r="MSJ12" s="253" t="n"/>
      <c r="MSK12" s="253" t="n"/>
      <c r="MSL12" s="253" t="n"/>
      <c r="MSM12" s="253" t="n"/>
      <c r="MSN12" s="253" t="n"/>
      <c r="MSO12" s="253" t="n"/>
      <c r="MSP12" s="253" t="n"/>
      <c r="MSQ12" s="253" t="n"/>
      <c r="MSR12" s="253" t="n"/>
      <c r="MSS12" s="253" t="n"/>
      <c r="MST12" s="253" t="n"/>
      <c r="MSU12" s="253" t="n"/>
      <c r="MSV12" s="253" t="n"/>
      <c r="MSW12" s="253" t="n"/>
      <c r="MSX12" s="253" t="n"/>
      <c r="MSY12" s="253" t="n"/>
      <c r="MSZ12" s="253" t="n"/>
      <c r="MTA12" s="253" t="n"/>
      <c r="MTB12" s="253" t="n"/>
      <c r="MTC12" s="253" t="n"/>
      <c r="MTD12" s="253" t="n"/>
      <c r="MTE12" s="253" t="n"/>
      <c r="MTF12" s="253" t="n"/>
      <c r="MTG12" s="253" t="n"/>
      <c r="MTH12" s="253" t="n"/>
      <c r="MTI12" s="253" t="n"/>
      <c r="MTJ12" s="253" t="n"/>
      <c r="MTK12" s="253" t="n"/>
      <c r="MTL12" s="253" t="n"/>
      <c r="MTM12" s="253" t="n"/>
      <c r="MTN12" s="253" t="n"/>
      <c r="MTO12" s="253" t="n"/>
      <c r="MTP12" s="253" t="n"/>
      <c r="MTQ12" s="253" t="n"/>
      <c r="MTR12" s="253" t="n"/>
      <c r="MTS12" s="253" t="n"/>
      <c r="MTT12" s="253" t="n"/>
      <c r="MTU12" s="253" t="n"/>
      <c r="MTV12" s="253" t="n"/>
      <c r="MTW12" s="253" t="n"/>
      <c r="MTX12" s="253" t="n"/>
      <c r="MTY12" s="253" t="n"/>
      <c r="MTZ12" s="253" t="n"/>
      <c r="MUA12" s="253" t="n"/>
      <c r="MUB12" s="253" t="n"/>
      <c r="MUC12" s="253" t="n"/>
      <c r="MUD12" s="253" t="n"/>
      <c r="MUE12" s="253" t="n"/>
      <c r="MUF12" s="253" t="n"/>
      <c r="MUG12" s="253" t="n"/>
      <c r="MUH12" s="253" t="n"/>
      <c r="MUI12" s="253" t="n"/>
      <c r="MUJ12" s="253" t="n"/>
      <c r="MUK12" s="253" t="n"/>
      <c r="MUL12" s="253" t="n"/>
      <c r="MUM12" s="253" t="n"/>
      <c r="MUN12" s="253" t="n"/>
      <c r="MUO12" s="253" t="n"/>
      <c r="MUP12" s="253" t="n"/>
      <c r="MUQ12" s="253" t="n"/>
      <c r="MUR12" s="253" t="n"/>
      <c r="MUS12" s="253" t="n"/>
      <c r="MUT12" s="253" t="n"/>
      <c r="MUU12" s="253" t="n"/>
      <c r="MUV12" s="253" t="n"/>
      <c r="MUW12" s="253" t="n"/>
      <c r="MUX12" s="253" t="n"/>
      <c r="MUY12" s="253" t="n"/>
      <c r="MUZ12" s="253" t="n"/>
      <c r="MVA12" s="253" t="n"/>
      <c r="MVB12" s="253" t="n"/>
      <c r="MVC12" s="253" t="n"/>
      <c r="MVD12" s="253" t="n"/>
      <c r="MVE12" s="253" t="n"/>
      <c r="MVF12" s="253" t="n"/>
      <c r="MVG12" s="253" t="n"/>
      <c r="MVH12" s="253" t="n"/>
      <c r="MVI12" s="253" t="n"/>
      <c r="MVJ12" s="253" t="n"/>
      <c r="MVK12" s="253" t="n"/>
      <c r="MVL12" s="253" t="n"/>
      <c r="MVM12" s="253" t="n"/>
      <c r="MVN12" s="253" t="n"/>
      <c r="MVO12" s="253" t="n"/>
      <c r="MVP12" s="253" t="n"/>
      <c r="MVQ12" s="253" t="n"/>
      <c r="MVR12" s="253" t="n"/>
      <c r="MVS12" s="253" t="n"/>
      <c r="MVT12" s="253" t="n"/>
      <c r="MVU12" s="253" t="n"/>
      <c r="MVV12" s="253" t="n"/>
      <c r="MVW12" s="253" t="n"/>
      <c r="MVX12" s="253" t="n"/>
      <c r="MVY12" s="253" t="n"/>
      <c r="MVZ12" s="253" t="n"/>
      <c r="MWA12" s="253" t="n"/>
      <c r="MWB12" s="253" t="n"/>
      <c r="MWC12" s="253" t="n"/>
      <c r="MWD12" s="253" t="n"/>
      <c r="MWE12" s="253" t="n"/>
      <c r="MWF12" s="253" t="n"/>
      <c r="MWG12" s="253" t="n"/>
      <c r="MWH12" s="253" t="n"/>
      <c r="MWI12" s="253" t="n"/>
      <c r="MWJ12" s="253" t="n"/>
      <c r="MWK12" s="253" t="n"/>
      <c r="MWL12" s="253" t="n"/>
      <c r="MWM12" s="253" t="n"/>
      <c r="MWN12" s="253" t="n"/>
      <c r="MWO12" s="253" t="n"/>
      <c r="MWP12" s="253" t="n"/>
      <c r="MWQ12" s="253" t="n"/>
      <c r="MWR12" s="253" t="n"/>
      <c r="MWS12" s="253" t="n"/>
      <c r="MWT12" s="253" t="n"/>
      <c r="MWU12" s="253" t="n"/>
      <c r="MWV12" s="253" t="n"/>
      <c r="MWW12" s="253" t="n"/>
      <c r="MWX12" s="253" t="n"/>
      <c r="MWY12" s="253" t="n"/>
      <c r="MWZ12" s="253" t="n"/>
      <c r="MXA12" s="253" t="n"/>
      <c r="MXB12" s="253" t="n"/>
      <c r="MXC12" s="253" t="n"/>
      <c r="MXD12" s="253" t="n"/>
      <c r="MXE12" s="253" t="n"/>
      <c r="MXF12" s="253" t="n"/>
      <c r="MXG12" s="253" t="n"/>
      <c r="MXH12" s="253" t="n"/>
      <c r="MXI12" s="253" t="n"/>
      <c r="MXJ12" s="253" t="n"/>
      <c r="MXK12" s="253" t="n"/>
      <c r="MXL12" s="253" t="n"/>
      <c r="MXM12" s="253" t="n"/>
      <c r="MXN12" s="253" t="n"/>
      <c r="MXO12" s="253" t="n"/>
      <c r="MXP12" s="253" t="n"/>
      <c r="MXQ12" s="253" t="n"/>
      <c r="MXR12" s="253" t="n"/>
      <c r="MXS12" s="253" t="n"/>
      <c r="MXT12" s="253" t="n"/>
      <c r="MXU12" s="253" t="n"/>
      <c r="MXV12" s="253" t="n"/>
      <c r="MXW12" s="253" t="n"/>
      <c r="MXX12" s="253" t="n"/>
      <c r="MXY12" s="253" t="n"/>
      <c r="MXZ12" s="253" t="n"/>
      <c r="MYA12" s="253" t="n"/>
      <c r="MYB12" s="253" t="n"/>
      <c r="MYC12" s="253" t="n"/>
      <c r="MYD12" s="253" t="n"/>
      <c r="MYE12" s="253" t="n"/>
      <c r="MYF12" s="253" t="n"/>
      <c r="MYG12" s="253" t="n"/>
      <c r="MYH12" s="253" t="n"/>
      <c r="MYI12" s="253" t="n"/>
      <c r="MYJ12" s="253" t="n"/>
      <c r="MYK12" s="253" t="n"/>
      <c r="MYL12" s="253" t="n"/>
      <c r="MYM12" s="253" t="n"/>
      <c r="MYN12" s="253" t="n"/>
      <c r="MYO12" s="253" t="n"/>
      <c r="MYP12" s="253" t="n"/>
      <c r="MYQ12" s="253" t="n"/>
      <c r="MYR12" s="253" t="n"/>
      <c r="MYS12" s="253" t="n"/>
      <c r="MYT12" s="253" t="n"/>
      <c r="MYU12" s="253" t="n"/>
      <c r="MYV12" s="253" t="n"/>
      <c r="MYW12" s="253" t="n"/>
      <c r="MYX12" s="253" t="n"/>
      <c r="MYY12" s="253" t="n"/>
      <c r="MYZ12" s="253" t="n"/>
      <c r="MZA12" s="253" t="n"/>
      <c r="MZB12" s="253" t="n"/>
      <c r="MZC12" s="253" t="n"/>
      <c r="MZD12" s="253" t="n"/>
      <c r="MZE12" s="253" t="n"/>
      <c r="MZF12" s="253" t="n"/>
      <c r="MZG12" s="253" t="n"/>
      <c r="MZH12" s="253" t="n"/>
      <c r="MZI12" s="253" t="n"/>
      <c r="MZJ12" s="253" t="n"/>
      <c r="MZK12" s="253" t="n"/>
      <c r="MZL12" s="253" t="n"/>
      <c r="MZM12" s="253" t="n"/>
      <c r="MZN12" s="253" t="n"/>
      <c r="MZO12" s="253" t="n"/>
      <c r="MZP12" s="253" t="n"/>
      <c r="MZQ12" s="253" t="n"/>
      <c r="MZR12" s="253" t="n"/>
      <c r="MZS12" s="253" t="n"/>
      <c r="MZT12" s="253" t="n"/>
      <c r="MZU12" s="253" t="n"/>
      <c r="MZV12" s="253" t="n"/>
      <c r="MZW12" s="253" t="n"/>
      <c r="MZX12" s="253" t="n"/>
      <c r="MZY12" s="253" t="n"/>
      <c r="MZZ12" s="253" t="n"/>
      <c r="NAA12" s="253" t="n"/>
      <c r="NAB12" s="253" t="n"/>
      <c r="NAC12" s="253" t="n"/>
      <c r="NAD12" s="253" t="n"/>
      <c r="NAE12" s="253" t="n"/>
      <c r="NAF12" s="253" t="n"/>
      <c r="NAG12" s="253" t="n"/>
      <c r="NAH12" s="253" t="n"/>
      <c r="NAI12" s="253" t="n"/>
      <c r="NAJ12" s="253" t="n"/>
      <c r="NAK12" s="253" t="n"/>
      <c r="NAL12" s="253" t="n"/>
      <c r="NAM12" s="253" t="n"/>
      <c r="NAN12" s="253" t="n"/>
      <c r="NAO12" s="253" t="n"/>
      <c r="NAP12" s="253" t="n"/>
      <c r="NAQ12" s="253" t="n"/>
      <c r="NAR12" s="253" t="n"/>
      <c r="NAS12" s="253" t="n"/>
      <c r="NAT12" s="253" t="n"/>
      <c r="NAU12" s="253" t="n"/>
      <c r="NAV12" s="253" t="n"/>
      <c r="NAW12" s="253" t="n"/>
      <c r="NAX12" s="253" t="n"/>
      <c r="NAY12" s="253" t="n"/>
      <c r="NAZ12" s="253" t="n"/>
      <c r="NBA12" s="253" t="n"/>
      <c r="NBB12" s="253" t="n"/>
      <c r="NBC12" s="253" t="n"/>
      <c r="NBD12" s="253" t="n"/>
      <c r="NBE12" s="253" t="n"/>
      <c r="NBF12" s="253" t="n"/>
      <c r="NBG12" s="253" t="n"/>
      <c r="NBH12" s="253" t="n"/>
      <c r="NBI12" s="253" t="n"/>
      <c r="NBJ12" s="253" t="n"/>
      <c r="NBK12" s="253" t="n"/>
      <c r="NBL12" s="253" t="n"/>
      <c r="NBM12" s="253" t="n"/>
      <c r="NBN12" s="253" t="n"/>
      <c r="NBO12" s="253" t="n"/>
      <c r="NBP12" s="253" t="n"/>
      <c r="NBQ12" s="253" t="n"/>
      <c r="NBR12" s="253" t="n"/>
      <c r="NBS12" s="253" t="n"/>
      <c r="NBT12" s="253" t="n"/>
      <c r="NBU12" s="253" t="n"/>
      <c r="NBV12" s="253" t="n"/>
      <c r="NBW12" s="253" t="n"/>
      <c r="NBX12" s="253" t="n"/>
      <c r="NBY12" s="253" t="n"/>
      <c r="NBZ12" s="253" t="n"/>
      <c r="NCA12" s="253" t="n"/>
      <c r="NCB12" s="253" t="n"/>
      <c r="NCC12" s="253" t="n"/>
      <c r="NCD12" s="253" t="n"/>
      <c r="NCE12" s="253" t="n"/>
      <c r="NCF12" s="253" t="n"/>
      <c r="NCG12" s="253" t="n"/>
      <c r="NCH12" s="253" t="n"/>
      <c r="NCI12" s="253" t="n"/>
      <c r="NCJ12" s="253" t="n"/>
      <c r="NCK12" s="253" t="n"/>
      <c r="NCL12" s="253" t="n"/>
      <c r="NCM12" s="253" t="n"/>
      <c r="NCN12" s="253" t="n"/>
      <c r="NCO12" s="253" t="n"/>
      <c r="NCP12" s="253" t="n"/>
      <c r="NCQ12" s="253" t="n"/>
      <c r="NCR12" s="253" t="n"/>
      <c r="NCS12" s="253" t="n"/>
      <c r="NCT12" s="253" t="n"/>
      <c r="NCU12" s="253" t="n"/>
      <c r="NCV12" s="253" t="n"/>
      <c r="NCW12" s="253" t="n"/>
      <c r="NCX12" s="253" t="n"/>
      <c r="NCY12" s="253" t="n"/>
      <c r="NCZ12" s="253" t="n"/>
      <c r="NDA12" s="253" t="n"/>
      <c r="NDB12" s="253" t="n"/>
      <c r="NDC12" s="253" t="n"/>
      <c r="NDD12" s="253" t="n"/>
      <c r="NDE12" s="253" t="n"/>
      <c r="NDF12" s="253" t="n"/>
      <c r="NDG12" s="253" t="n"/>
      <c r="NDH12" s="253" t="n"/>
      <c r="NDI12" s="253" t="n"/>
      <c r="NDJ12" s="253" t="n"/>
      <c r="NDK12" s="253" t="n"/>
      <c r="NDL12" s="253" t="n"/>
      <c r="NDM12" s="253" t="n"/>
      <c r="NDN12" s="253" t="n"/>
      <c r="NDO12" s="253" t="n"/>
      <c r="NDP12" s="253" t="n"/>
      <c r="NDQ12" s="253" t="n"/>
      <c r="NDR12" s="253" t="n"/>
      <c r="NDS12" s="253" t="n"/>
      <c r="NDT12" s="253" t="n"/>
      <c r="NDU12" s="253" t="n"/>
      <c r="NDV12" s="253" t="n"/>
      <c r="NDW12" s="253" t="n"/>
      <c r="NDX12" s="253" t="n"/>
      <c r="NDY12" s="253" t="n"/>
      <c r="NDZ12" s="253" t="n"/>
      <c r="NEA12" s="253" t="n"/>
      <c r="NEB12" s="253" t="n"/>
      <c r="NEC12" s="253" t="n"/>
      <c r="NED12" s="253" t="n"/>
      <c r="NEE12" s="253" t="n"/>
      <c r="NEF12" s="253" t="n"/>
      <c r="NEG12" s="253" t="n"/>
      <c r="NEH12" s="253" t="n"/>
      <c r="NEI12" s="253" t="n"/>
      <c r="NEJ12" s="253" t="n"/>
      <c r="NEK12" s="253" t="n"/>
      <c r="NEL12" s="253" t="n"/>
      <c r="NEM12" s="253" t="n"/>
      <c r="NEN12" s="253" t="n"/>
      <c r="NEO12" s="253" t="n"/>
      <c r="NEP12" s="253" t="n"/>
      <c r="NEQ12" s="253" t="n"/>
      <c r="NER12" s="253" t="n"/>
      <c r="NES12" s="253" t="n"/>
      <c r="NET12" s="253" t="n"/>
      <c r="NEU12" s="253" t="n"/>
      <c r="NEV12" s="253" t="n"/>
      <c r="NEW12" s="253" t="n"/>
      <c r="NEX12" s="253" t="n"/>
      <c r="NEY12" s="253" t="n"/>
      <c r="NEZ12" s="253" t="n"/>
      <c r="NFA12" s="253" t="n"/>
      <c r="NFB12" s="253" t="n"/>
      <c r="NFC12" s="253" t="n"/>
      <c r="NFD12" s="253" t="n"/>
      <c r="NFE12" s="253" t="n"/>
      <c r="NFF12" s="253" t="n"/>
      <c r="NFG12" s="253" t="n"/>
      <c r="NFH12" s="253" t="n"/>
      <c r="NFI12" s="253" t="n"/>
      <c r="NFJ12" s="253" t="n"/>
      <c r="NFK12" s="253" t="n"/>
      <c r="NFL12" s="253" t="n"/>
      <c r="NFM12" s="253" t="n"/>
      <c r="NFN12" s="253" t="n"/>
      <c r="NFO12" s="253" t="n"/>
      <c r="NFP12" s="87" t="n"/>
    </row>
    <row r="13">
      <c r="KFK13" s="253" t="n"/>
      <c r="KFL13" s="253" t="n"/>
      <c r="KFM13" s="253" t="n"/>
      <c r="KFN13" s="253" t="n"/>
      <c r="KFO13" s="253" t="n"/>
      <c r="KFP13" s="253" t="n"/>
      <c r="KFQ13" s="253" t="n"/>
      <c r="KFR13" s="253" t="n"/>
      <c r="KFS13" s="253" t="n"/>
      <c r="KFT13" s="253" t="n"/>
      <c r="KFU13" s="253" t="n"/>
      <c r="KFV13" s="253" t="n"/>
      <c r="KFW13" s="253" t="n"/>
      <c r="KFX13" s="253" t="n"/>
      <c r="KFY13" s="253" t="n"/>
      <c r="KFZ13" s="253" t="n"/>
      <c r="KGA13" s="253" t="n"/>
      <c r="KGB13" s="253" t="n"/>
      <c r="KGC13" s="253" t="n"/>
      <c r="KGD13" s="253" t="n"/>
      <c r="KGE13" s="253" t="n"/>
      <c r="KGF13" s="253" t="n"/>
      <c r="KGG13" s="253" t="n"/>
      <c r="KGH13" s="253" t="n"/>
      <c r="KGI13" s="253" t="n"/>
      <c r="KGJ13" s="253" t="n"/>
      <c r="KGK13" s="253" t="n"/>
      <c r="KGL13" s="253" t="n"/>
      <c r="KGM13" s="253" t="n"/>
      <c r="KGN13" s="253" t="n"/>
      <c r="KGO13" s="253" t="n"/>
      <c r="KGP13" s="253" t="n"/>
      <c r="KGQ13" s="253" t="n"/>
      <c r="KGR13" s="253" t="n"/>
      <c r="KGS13" s="253" t="n"/>
      <c r="KGT13" s="253" t="n"/>
      <c r="KGU13" s="253" t="n"/>
      <c r="KGV13" s="253" t="n"/>
      <c r="KGW13" s="253" t="n"/>
      <c r="KGX13" s="253" t="n"/>
      <c r="KGY13" s="253" t="n"/>
      <c r="KGZ13" s="253" t="n"/>
      <c r="KHA13" s="253" t="n"/>
      <c r="KHB13" s="253" t="n"/>
      <c r="KHC13" s="253" t="n"/>
      <c r="KHD13" s="253" t="n"/>
      <c r="KHE13" s="253" t="n"/>
      <c r="KHF13" s="253" t="n"/>
      <c r="KHG13" s="253" t="n"/>
      <c r="KHH13" s="253" t="n"/>
      <c r="KHI13" s="253" t="n"/>
      <c r="KHJ13" s="253" t="n"/>
      <c r="KHK13" s="253" t="n"/>
      <c r="KHL13" s="253" t="n"/>
      <c r="KHM13" s="253" t="n"/>
      <c r="KHN13" s="253" t="n"/>
      <c r="KHO13" s="253" t="n"/>
      <c r="KHP13" s="253" t="n"/>
      <c r="KHQ13" s="253" t="n"/>
      <c r="KHR13" s="253" t="n"/>
      <c r="KHS13" s="253" t="n"/>
      <c r="KHT13" s="253" t="n"/>
      <c r="KHU13" s="253" t="n"/>
      <c r="KHV13" s="253" t="n"/>
      <c r="KHW13" s="253" t="n"/>
      <c r="KHX13" s="253" t="n"/>
      <c r="KHY13" s="253" t="n"/>
      <c r="KHZ13" s="253" t="n"/>
      <c r="KIA13" s="253" t="n"/>
      <c r="KIB13" s="253" t="n"/>
      <c r="KIC13" s="253" t="n"/>
      <c r="KID13" s="253" t="n"/>
      <c r="KIE13" s="253" t="n"/>
      <c r="KIF13" s="253" t="n"/>
      <c r="KIG13" s="253" t="n"/>
      <c r="KIH13" s="253" t="n"/>
      <c r="KII13" s="253" t="n"/>
      <c r="KIJ13" s="253" t="n"/>
      <c r="KIK13" s="253" t="n"/>
      <c r="KIL13" s="253" t="n"/>
      <c r="KIM13" s="253" t="n"/>
      <c r="KIN13" s="253" t="n"/>
      <c r="KIO13" s="253" t="n"/>
      <c r="KIP13" s="253" t="n"/>
      <c r="KIQ13" s="253" t="n"/>
      <c r="KIR13" s="253" t="n"/>
      <c r="KIS13" s="253" t="n"/>
      <c r="KIT13" s="253" t="n"/>
      <c r="KIU13" s="253" t="n"/>
      <c r="KIV13" s="253" t="n"/>
      <c r="KIW13" s="253" t="n"/>
      <c r="KIX13" s="253" t="n"/>
      <c r="KIY13" s="253" t="n"/>
      <c r="KIZ13" s="253" t="n"/>
      <c r="KJA13" s="253" t="n"/>
      <c r="KJB13" s="253" t="n"/>
      <c r="KJC13" s="253" t="n"/>
      <c r="KJD13" s="253" t="n"/>
      <c r="KJE13" s="253" t="n"/>
      <c r="KJF13" s="253" t="n"/>
      <c r="KJG13" s="253" t="n"/>
      <c r="KJH13" s="253" t="n"/>
      <c r="KJI13" s="253" t="n"/>
      <c r="KJJ13" s="253" t="n"/>
      <c r="KJK13" s="253" t="n"/>
      <c r="KJL13" s="253" t="n"/>
      <c r="KJM13" s="253" t="n"/>
      <c r="KJN13" s="253" t="n"/>
      <c r="KJO13" s="253" t="n"/>
      <c r="KJP13" s="253" t="n"/>
      <c r="KJQ13" s="253" t="n"/>
      <c r="KJR13" s="253" t="n"/>
      <c r="KJS13" s="253" t="n"/>
      <c r="KJT13" s="253" t="n"/>
      <c r="KJU13" s="253" t="n"/>
      <c r="KJV13" s="253" t="n"/>
      <c r="KJW13" s="253" t="n"/>
      <c r="KJX13" s="253" t="n"/>
      <c r="KJY13" s="253" t="n"/>
      <c r="KJZ13" s="253" t="n"/>
      <c r="KKA13" s="253" t="n"/>
      <c r="KKB13" s="253" t="n"/>
      <c r="KKC13" s="253" t="n"/>
      <c r="KKD13" s="253" t="n"/>
      <c r="KKE13" s="253" t="n"/>
      <c r="KKF13" s="253" t="n"/>
      <c r="KKG13" s="253" t="n"/>
      <c r="KKH13" s="253" t="n"/>
      <c r="KKI13" s="253" t="n"/>
      <c r="KKJ13" s="253" t="n"/>
      <c r="KKK13" s="253" t="n"/>
      <c r="KKL13" s="253" t="n"/>
      <c r="KKM13" s="253" t="n"/>
      <c r="KKN13" s="253" t="n"/>
      <c r="KKO13" s="253" t="n"/>
      <c r="KKP13" s="253" t="n"/>
      <c r="KKQ13" s="253" t="n"/>
      <c r="KKR13" s="253" t="n"/>
      <c r="KKS13" s="253" t="n"/>
      <c r="KKT13" s="253" t="n"/>
      <c r="KKU13" s="253" t="n"/>
      <c r="KKV13" s="253" t="n"/>
      <c r="KKW13" s="253" t="n"/>
      <c r="KKX13" s="253" t="n"/>
      <c r="KKY13" s="253" t="n"/>
      <c r="KKZ13" s="253" t="n"/>
      <c r="KLA13" s="253" t="n"/>
      <c r="KLB13" s="253" t="n"/>
      <c r="KLC13" s="253" t="n"/>
      <c r="KLD13" s="253" t="n"/>
      <c r="KLE13" s="253" t="n"/>
      <c r="KLF13" s="253" t="n"/>
      <c r="KLG13" s="253" t="n"/>
      <c r="KLH13" s="253" t="n"/>
      <c r="KLI13" s="253" t="n"/>
      <c r="KLJ13" s="253" t="n"/>
      <c r="KLK13" s="253" t="n"/>
      <c r="KLL13" s="253" t="n"/>
      <c r="KLM13" s="253" t="n"/>
      <c r="KLN13" s="253" t="n"/>
      <c r="KLO13" s="253" t="n"/>
      <c r="KLP13" s="253" t="n"/>
      <c r="KLQ13" s="253" t="n"/>
      <c r="KLR13" s="253" t="n"/>
      <c r="KLS13" s="253" t="n"/>
      <c r="KLT13" s="253" t="n"/>
      <c r="KLU13" s="253" t="n"/>
      <c r="KLV13" s="253" t="n"/>
      <c r="KLW13" s="253" t="n"/>
      <c r="KLX13" s="253" t="n"/>
      <c r="KLY13" s="253" t="n"/>
      <c r="KLZ13" s="253" t="n"/>
      <c r="KMA13" s="253" t="n"/>
      <c r="KMB13" s="253" t="n"/>
      <c r="KMC13" s="253" t="n"/>
      <c r="KMD13" s="253" t="n"/>
      <c r="KME13" s="253" t="n"/>
      <c r="KMF13" s="253" t="n"/>
      <c r="KMG13" s="253" t="n"/>
      <c r="KMH13" s="253" t="n"/>
      <c r="KMI13" s="253" t="n"/>
      <c r="KMJ13" s="253" t="n"/>
      <c r="KMK13" s="253" t="n"/>
      <c r="KML13" s="253" t="n"/>
      <c r="KMM13" s="253" t="n"/>
      <c r="KMN13" s="253" t="n"/>
      <c r="KMO13" s="253" t="n"/>
      <c r="KMP13" s="253" t="n"/>
      <c r="KMQ13" s="253" t="n"/>
      <c r="KMR13" s="253" t="n"/>
      <c r="KMS13" s="253" t="n"/>
      <c r="KMT13" s="253" t="n"/>
      <c r="KMU13" s="253" t="n"/>
      <c r="KMV13" s="253" t="n"/>
      <c r="KMW13" s="253" t="n"/>
      <c r="KMX13" s="253" t="n"/>
      <c r="KMY13" s="253" t="n"/>
      <c r="KMZ13" s="253" t="n"/>
      <c r="KNA13" s="253" t="n"/>
      <c r="KNB13" s="253" t="n"/>
      <c r="KNC13" s="253" t="n"/>
      <c r="KND13" s="253" t="n"/>
      <c r="KNE13" s="253" t="n"/>
      <c r="KNF13" s="253" t="n"/>
      <c r="KNG13" s="253" t="n"/>
      <c r="KNH13" s="253" t="n"/>
      <c r="KNI13" s="253" t="n"/>
      <c r="KNJ13" s="253" t="n"/>
      <c r="KNK13" s="253" t="n"/>
      <c r="KNL13" s="253" t="n"/>
      <c r="KNM13" s="253" t="n"/>
      <c r="KNN13" s="253" t="n"/>
      <c r="KNO13" s="253" t="n"/>
      <c r="KNP13" s="253" t="n"/>
      <c r="KNQ13" s="253" t="n"/>
      <c r="KNR13" s="253" t="n"/>
      <c r="KNS13" s="253" t="n"/>
      <c r="KNT13" s="253" t="n"/>
      <c r="KNU13" s="253" t="n"/>
      <c r="KNV13" s="253" t="n"/>
      <c r="KNW13" s="253" t="n"/>
      <c r="KNX13" s="253" t="n"/>
      <c r="KNY13" s="253" t="n"/>
      <c r="KNZ13" s="253" t="n"/>
      <c r="KOA13" s="253" t="n"/>
      <c r="KOB13" s="253" t="n"/>
      <c r="KOC13" s="253" t="n"/>
      <c r="KOD13" s="253" t="n"/>
      <c r="KOE13" s="253" t="n"/>
      <c r="KOF13" s="253" t="n"/>
      <c r="KOG13" s="253" t="n"/>
      <c r="KOH13" s="253" t="n"/>
      <c r="KOI13" s="253" t="n"/>
      <c r="KOJ13" s="253" t="n"/>
      <c r="KOK13" s="253" t="n"/>
      <c r="KOL13" s="253" t="n"/>
      <c r="KOM13" s="253" t="n"/>
      <c r="KON13" s="253" t="n"/>
      <c r="KOO13" s="253" t="n"/>
      <c r="KOP13" s="253" t="n"/>
      <c r="KOQ13" s="253" t="n"/>
      <c r="KOR13" s="253" t="n"/>
      <c r="KOS13" s="253" t="n"/>
      <c r="KOT13" s="253" t="n"/>
      <c r="KOU13" s="253" t="n"/>
      <c r="KOV13" s="253" t="n"/>
      <c r="KOW13" s="253" t="n"/>
      <c r="KOX13" s="253" t="n"/>
      <c r="KOY13" s="253" t="n"/>
      <c r="KOZ13" s="253" t="n"/>
      <c r="KPA13" s="253" t="n"/>
      <c r="KPB13" s="253" t="n"/>
      <c r="KPC13" s="253" t="n"/>
      <c r="KPD13" s="253" t="n"/>
      <c r="KPE13" s="253" t="n"/>
      <c r="KPF13" s="253" t="n"/>
      <c r="KPG13" s="253" t="n"/>
      <c r="KPH13" s="253" t="n"/>
      <c r="KPI13" s="253" t="n"/>
      <c r="KPJ13" s="253" t="n"/>
      <c r="KPK13" s="253" t="n"/>
      <c r="KPL13" s="253" t="n"/>
      <c r="KPM13" s="253" t="n"/>
      <c r="KPN13" s="253" t="n"/>
      <c r="KPO13" s="253" t="n"/>
      <c r="KPP13" s="253" t="n"/>
      <c r="KPQ13" s="253" t="n"/>
      <c r="KPR13" s="253" t="n"/>
      <c r="KPS13" s="253" t="n"/>
      <c r="KPT13" s="253" t="n"/>
      <c r="KPU13" s="253" t="n"/>
      <c r="KPV13" s="253" t="n"/>
      <c r="KPW13" s="253" t="n"/>
      <c r="KPX13" s="253" t="n"/>
      <c r="KPY13" s="253" t="n"/>
      <c r="KPZ13" s="253" t="n"/>
      <c r="KQA13" s="253" t="n"/>
      <c r="KQB13" s="253" t="n"/>
      <c r="KQC13" s="253" t="n"/>
      <c r="KQD13" s="253" t="n"/>
      <c r="KQE13" s="253" t="n"/>
      <c r="KQF13" s="253" t="n"/>
      <c r="KQG13" s="253" t="n"/>
      <c r="KQH13" s="253" t="n"/>
      <c r="KQI13" s="253" t="n"/>
      <c r="KQJ13" s="253" t="n"/>
      <c r="KQK13" s="253" t="n"/>
      <c r="KQL13" s="253" t="n"/>
      <c r="KQM13" s="253" t="n"/>
      <c r="KQN13" s="253" t="n"/>
      <c r="KQO13" s="253" t="n"/>
      <c r="KQP13" s="253" t="n"/>
      <c r="KQQ13" s="253" t="n"/>
      <c r="KQR13" s="253" t="n"/>
      <c r="KQS13" s="253" t="n"/>
      <c r="KQT13" s="253" t="n"/>
      <c r="KQU13" s="253" t="n"/>
      <c r="KQV13" s="253" t="n"/>
      <c r="KQW13" s="253" t="n"/>
      <c r="KQX13" s="253" t="n"/>
      <c r="KQY13" s="253" t="n"/>
      <c r="KQZ13" s="253" t="n"/>
      <c r="KRA13" s="253" t="n"/>
      <c r="KRB13" s="253" t="n"/>
      <c r="KRC13" s="253" t="n"/>
      <c r="KRD13" s="253" t="n"/>
      <c r="KRE13" s="253" t="n"/>
      <c r="KRF13" s="253" t="n"/>
      <c r="KRG13" s="253" t="n"/>
      <c r="KRH13" s="253" t="n"/>
      <c r="KRI13" s="253" t="n"/>
      <c r="KRJ13" s="253" t="n"/>
      <c r="KRK13" s="253" t="n"/>
      <c r="KRL13" s="253" t="n"/>
      <c r="KRM13" s="253" t="n"/>
      <c r="KRN13" s="253" t="n"/>
      <c r="KRO13" s="253" t="n"/>
      <c r="KRP13" s="253" t="n"/>
      <c r="KRQ13" s="253" t="n"/>
      <c r="KRR13" s="253" t="n"/>
      <c r="KRS13" s="253" t="n"/>
      <c r="KRT13" s="253" t="n"/>
      <c r="KRU13" s="253" t="n"/>
      <c r="KRV13" s="253" t="n"/>
      <c r="KRW13" s="253" t="n"/>
      <c r="KRX13" s="253" t="n"/>
      <c r="KRY13" s="253" t="n"/>
      <c r="KRZ13" s="253" t="n"/>
      <c r="KSA13" s="253" t="n"/>
      <c r="KSB13" s="253" t="n"/>
      <c r="KSC13" s="253" t="n"/>
      <c r="KSD13" s="253" t="n"/>
      <c r="KSE13" s="253" t="n"/>
      <c r="KSF13" s="253" t="n"/>
      <c r="KSG13" s="253" t="n"/>
      <c r="KSH13" s="253" t="n"/>
      <c r="KSI13" s="253" t="n"/>
      <c r="KSJ13" s="253" t="n"/>
      <c r="KSK13" s="253" t="n"/>
      <c r="KSL13" s="253" t="n"/>
      <c r="KSM13" s="253" t="n"/>
      <c r="KSN13" s="253" t="n"/>
      <c r="KSO13" s="253" t="n"/>
      <c r="KSP13" s="253" t="n"/>
      <c r="KSQ13" s="253" t="n"/>
      <c r="KSR13" s="253" t="n"/>
      <c r="KSS13" s="253" t="n"/>
      <c r="KST13" s="253" t="n"/>
      <c r="KSU13" s="253" t="n"/>
      <c r="KSV13" s="253" t="n"/>
      <c r="KSW13" s="253" t="n"/>
      <c r="KSX13" s="253" t="n"/>
      <c r="KSY13" s="253" t="n"/>
      <c r="KSZ13" s="253" t="n"/>
      <c r="KTA13" s="253" t="n"/>
      <c r="KTB13" s="253" t="n"/>
      <c r="KTC13" s="253" t="n"/>
      <c r="KTD13" s="253" t="n"/>
      <c r="KTE13" s="253" t="n"/>
      <c r="KTF13" s="253" t="n"/>
      <c r="KTG13" s="253" t="n"/>
      <c r="KTH13" s="253" t="n"/>
      <c r="KTI13" s="253" t="n"/>
      <c r="KTJ13" s="253" t="n"/>
      <c r="KTK13" s="253" t="n"/>
      <c r="KTL13" s="253" t="n"/>
      <c r="KTM13" s="253" t="n"/>
      <c r="KTN13" s="253" t="n"/>
      <c r="KTO13" s="253" t="n"/>
      <c r="KTP13" s="253" t="n"/>
      <c r="KTQ13" s="253" t="n"/>
      <c r="KTR13" s="253" t="n"/>
      <c r="KTS13" s="253" t="n"/>
      <c r="KTT13" s="253" t="n"/>
      <c r="KTU13" s="253" t="n"/>
      <c r="KTV13" s="253" t="n"/>
      <c r="KTW13" s="253" t="n"/>
      <c r="KTX13" s="253" t="n"/>
      <c r="KTY13" s="253" t="n"/>
      <c r="KTZ13" s="253" t="n"/>
      <c r="KUA13" s="253" t="n"/>
      <c r="KUB13" s="253" t="n"/>
      <c r="KUC13" s="253" t="n"/>
      <c r="KUD13" s="253" t="n"/>
      <c r="KUE13" s="253" t="n"/>
      <c r="KUF13" s="253" t="n"/>
      <c r="KUG13" s="253" t="n"/>
      <c r="KUH13" s="253" t="n"/>
      <c r="KUI13" s="253" t="n"/>
      <c r="KUJ13" s="253" t="n"/>
      <c r="KUK13" s="253" t="n"/>
      <c r="KUL13" s="253" t="n"/>
      <c r="KUM13" s="253" t="n"/>
      <c r="KUN13" s="253" t="n"/>
      <c r="KUO13" s="253" t="n"/>
      <c r="KUP13" s="253" t="n"/>
      <c r="KUQ13" s="253" t="n"/>
      <c r="KUR13" s="253" t="n"/>
      <c r="KUS13" s="253" t="n"/>
      <c r="KUT13" s="253" t="n"/>
      <c r="KUU13" s="253" t="n"/>
      <c r="KUV13" s="253" t="n"/>
      <c r="KUW13" s="253" t="n"/>
      <c r="KUX13" s="253" t="n"/>
      <c r="KUY13" s="253" t="n"/>
      <c r="KUZ13" s="253" t="n"/>
      <c r="KVA13" s="253" t="n"/>
      <c r="KVB13" s="253" t="n"/>
      <c r="KVC13" s="253" t="n"/>
      <c r="KVD13" s="253" t="n"/>
      <c r="KVE13" s="253" t="n"/>
      <c r="KVF13" s="253" t="n"/>
      <c r="KVG13" s="253" t="n"/>
      <c r="KVH13" s="253" t="n"/>
      <c r="KVI13" s="253" t="n"/>
      <c r="KVJ13" s="253" t="n"/>
      <c r="KVK13" s="253" t="n"/>
      <c r="KVL13" s="253" t="n"/>
      <c r="KVM13" s="253" t="n"/>
      <c r="KVN13" s="253" t="n"/>
      <c r="KVO13" s="253" t="n"/>
      <c r="KVP13" s="253" t="n"/>
      <c r="KVQ13" s="253" t="n"/>
      <c r="KVR13" s="253" t="n"/>
      <c r="KVS13" s="253" t="n"/>
      <c r="KVT13" s="253" t="n"/>
      <c r="KVU13" s="253" t="n"/>
      <c r="KVV13" s="253" t="n"/>
      <c r="KVW13" s="253" t="n"/>
      <c r="KVX13" s="253" t="n"/>
      <c r="KVY13" s="253" t="n"/>
      <c r="KVZ13" s="253" t="n"/>
      <c r="KWA13" s="253" t="n"/>
      <c r="KWB13" s="253" t="n"/>
      <c r="KWC13" s="253" t="n"/>
      <c r="KWD13" s="253" t="n"/>
      <c r="KWE13" s="253" t="n"/>
      <c r="KWF13" s="253" t="n"/>
      <c r="KWG13" s="253" t="n"/>
      <c r="KWH13" s="253" t="n"/>
      <c r="KWI13" s="253" t="n"/>
      <c r="KWJ13" s="253" t="n"/>
      <c r="KWK13" s="253" t="n"/>
      <c r="KWL13" s="253" t="n"/>
      <c r="KWM13" s="253" t="n"/>
      <c r="KWN13" s="253" t="n"/>
      <c r="KWO13" s="253" t="n"/>
      <c r="KWP13" s="253" t="n"/>
      <c r="KWQ13" s="253" t="n"/>
      <c r="KWR13" s="253" t="n"/>
      <c r="KWS13" s="253" t="n"/>
      <c r="KWT13" s="253" t="n"/>
      <c r="KWU13" s="253" t="n"/>
      <c r="KWV13" s="253" t="n"/>
      <c r="KWW13" s="253" t="n"/>
      <c r="KWX13" s="253" t="n"/>
      <c r="KWY13" s="253" t="n"/>
      <c r="KWZ13" s="253" t="n"/>
      <c r="KXA13" s="253" t="n"/>
      <c r="KXB13" s="253" t="n"/>
      <c r="KXC13" s="253" t="n"/>
      <c r="KXD13" s="253" t="n"/>
      <c r="KXE13" s="253" t="n"/>
      <c r="KXF13" s="253" t="n"/>
      <c r="KXG13" s="253" t="n"/>
      <c r="KXH13" s="253" t="n"/>
      <c r="KXI13" s="253" t="n"/>
      <c r="KXJ13" s="253" t="n"/>
      <c r="KXK13" s="253" t="n"/>
      <c r="KXL13" s="253" t="n"/>
      <c r="KXM13" s="253" t="n"/>
      <c r="KXN13" s="253" t="n"/>
      <c r="KXO13" s="253" t="n"/>
      <c r="KXP13" s="253" t="n"/>
      <c r="KXQ13" s="253" t="n"/>
      <c r="KXR13" s="253" t="n"/>
      <c r="KXS13" s="253" t="n"/>
      <c r="KXT13" s="253" t="n"/>
      <c r="KXU13" s="253" t="n"/>
      <c r="KXV13" s="253" t="n"/>
      <c r="KXW13" s="253" t="n"/>
      <c r="KXX13" s="253" t="n"/>
      <c r="KXY13" s="253" t="n"/>
      <c r="KXZ13" s="253" t="n"/>
      <c r="KYA13" s="253" t="n"/>
      <c r="KYB13" s="253" t="n"/>
      <c r="KYC13" s="253" t="n"/>
      <c r="KYD13" s="253" t="n"/>
      <c r="KYE13" s="253" t="n"/>
      <c r="KYF13" s="253" t="n"/>
      <c r="KYG13" s="253" t="n"/>
      <c r="KYH13" s="253" t="n"/>
      <c r="KYI13" s="253" t="n"/>
      <c r="KYJ13" s="253" t="n"/>
      <c r="KYK13" s="253" t="n"/>
      <c r="KYL13" s="253" t="n"/>
      <c r="KYM13" s="253" t="n"/>
      <c r="KYN13" s="253" t="n"/>
      <c r="KYO13" s="253" t="n"/>
      <c r="KYP13" s="253" t="n"/>
      <c r="KYQ13" s="253" t="n"/>
      <c r="KYR13" s="253" t="n"/>
      <c r="KYS13" s="253" t="n"/>
      <c r="KYT13" s="253" t="n"/>
      <c r="KYU13" s="253" t="n"/>
      <c r="KYV13" s="253" t="n"/>
      <c r="KYW13" s="253" t="n"/>
      <c r="KYX13" s="253" t="n"/>
      <c r="KYY13" s="253" t="n"/>
      <c r="KYZ13" s="253" t="n"/>
      <c r="KZA13" s="253" t="n"/>
      <c r="KZB13" s="253" t="n"/>
      <c r="KZC13" s="253" t="n"/>
      <c r="KZD13" s="253" t="n"/>
      <c r="KZE13" s="253" t="n"/>
      <c r="KZF13" s="253" t="n"/>
      <c r="KZG13" s="253" t="n"/>
      <c r="KZH13" s="253" t="n"/>
      <c r="KZI13" s="253" t="n"/>
      <c r="KZJ13" s="253" t="n"/>
      <c r="KZK13" s="253" t="n"/>
      <c r="KZL13" s="253" t="n"/>
      <c r="KZM13" s="253" t="n"/>
      <c r="KZN13" s="253" t="n"/>
      <c r="KZO13" s="253" t="n"/>
      <c r="KZP13" s="253" t="n"/>
      <c r="KZQ13" s="253" t="n"/>
      <c r="KZR13" s="253" t="n"/>
      <c r="KZS13" s="253" t="n"/>
      <c r="KZT13" s="253" t="n"/>
      <c r="KZU13" s="253" t="n"/>
      <c r="KZV13" s="253" t="n"/>
      <c r="KZW13" s="253" t="n"/>
      <c r="KZX13" s="253" t="n"/>
      <c r="KZY13" s="253" t="n"/>
      <c r="KZZ13" s="253" t="n"/>
      <c r="LAA13" s="253" t="n"/>
      <c r="LAB13" s="253" t="n"/>
      <c r="LAC13" s="253" t="n"/>
      <c r="LAD13" s="253" t="n"/>
      <c r="LAE13" s="253" t="n"/>
      <c r="LAF13" s="253" t="n"/>
      <c r="LAG13" s="253" t="n"/>
      <c r="LAH13" s="253" t="n"/>
      <c r="LAI13" s="253" t="n"/>
      <c r="LAJ13" s="253" t="n"/>
      <c r="LAK13" s="253" t="n"/>
      <c r="LAL13" s="253" t="n"/>
      <c r="LAM13" s="253" t="n"/>
      <c r="LAN13" s="253" t="n"/>
      <c r="LAO13" s="253" t="n"/>
      <c r="LAP13" s="253" t="n"/>
      <c r="LAQ13" s="253" t="n"/>
      <c r="LAR13" s="253" t="n"/>
      <c r="LAS13" s="253" t="n"/>
      <c r="LAT13" s="253" t="n"/>
      <c r="LAU13" s="253" t="n"/>
      <c r="LAV13" s="253" t="n"/>
      <c r="LAW13" s="253" t="n"/>
      <c r="LAX13" s="253" t="n"/>
      <c r="LAY13" s="253" t="n"/>
      <c r="LAZ13" s="253" t="n"/>
      <c r="LBA13" s="253" t="n"/>
      <c r="LBB13" s="253" t="n"/>
      <c r="LBC13" s="253" t="n"/>
      <c r="LBD13" s="253" t="n"/>
      <c r="LBE13" s="253" t="n"/>
      <c r="LBF13" s="253" t="n"/>
      <c r="LBG13" s="253" t="n"/>
      <c r="LBH13" s="253" t="n"/>
      <c r="LBI13" s="253" t="n"/>
      <c r="LBJ13" s="253" t="n"/>
      <c r="LBK13" s="253" t="n"/>
      <c r="LBL13" s="253" t="n"/>
      <c r="LBM13" s="253" t="n"/>
      <c r="LBN13" s="253" t="n"/>
      <c r="LBO13" s="253" t="n"/>
      <c r="LBP13" s="253" t="n"/>
      <c r="LBQ13" s="253" t="n"/>
      <c r="LBR13" s="253" t="n"/>
      <c r="LBS13" s="253" t="n"/>
      <c r="LBT13" s="253" t="n"/>
      <c r="LBU13" s="253" t="n"/>
      <c r="LBV13" s="253" t="n"/>
      <c r="LBW13" s="253" t="n"/>
      <c r="LBX13" s="253" t="n"/>
      <c r="LBY13" s="253" t="n"/>
      <c r="LBZ13" s="253" t="n"/>
      <c r="LCA13" s="253" t="n"/>
      <c r="LCB13" s="253" t="n"/>
      <c r="LCC13" s="253" t="n"/>
      <c r="LCD13" s="253" t="n"/>
      <c r="LCE13" s="253" t="n"/>
      <c r="LCF13" s="253" t="n"/>
      <c r="LCG13" s="253" t="n"/>
      <c r="LCH13" s="253" t="n"/>
      <c r="LCI13" s="253" t="n"/>
      <c r="LCJ13" s="253" t="n"/>
      <c r="LCK13" s="253" t="n"/>
      <c r="LCL13" s="253" t="n"/>
      <c r="LCM13" s="253" t="n"/>
      <c r="LCN13" s="253" t="n"/>
      <c r="LCO13" s="253" t="n"/>
      <c r="LCP13" s="253" t="n"/>
      <c r="LCQ13" s="253" t="n"/>
      <c r="LCR13" s="253" t="n"/>
      <c r="LCS13" s="253" t="n"/>
      <c r="LCT13" s="253" t="n"/>
      <c r="LCU13" s="253" t="n"/>
      <c r="LCV13" s="253" t="n"/>
      <c r="LCW13" s="253" t="n"/>
      <c r="LCX13" s="253" t="n"/>
      <c r="LCY13" s="253" t="n"/>
      <c r="LCZ13" s="253" t="n"/>
      <c r="LDA13" s="253" t="n"/>
      <c r="LDB13" s="253" t="n"/>
      <c r="LDC13" s="253" t="n"/>
      <c r="LDD13" s="253" t="n"/>
      <c r="LDE13" s="253" t="n"/>
      <c r="LDF13" s="253" t="n"/>
      <c r="LDG13" s="253" t="n"/>
      <c r="LDH13" s="253" t="n"/>
      <c r="LDI13" s="253" t="n"/>
      <c r="LDJ13" s="253" t="n"/>
      <c r="LDK13" s="253" t="n"/>
      <c r="LDL13" s="253" t="n"/>
      <c r="LDM13" s="253" t="n"/>
      <c r="LDN13" s="253" t="n"/>
      <c r="LDO13" s="253" t="n"/>
      <c r="LDP13" s="253" t="n"/>
      <c r="LDQ13" s="253" t="n"/>
      <c r="LDR13" s="253" t="n"/>
      <c r="LDS13" s="253" t="n"/>
      <c r="LDT13" s="253" t="n"/>
      <c r="LDU13" s="253" t="n"/>
      <c r="LDV13" s="253" t="n"/>
      <c r="LDW13" s="253" t="n"/>
      <c r="LDX13" s="253" t="n"/>
      <c r="LDY13" s="253" t="n"/>
      <c r="LDZ13" s="253" t="n"/>
      <c r="LEA13" s="253" t="n"/>
      <c r="LEB13" s="253" t="n"/>
      <c r="LEC13" s="253" t="n"/>
      <c r="LED13" s="253" t="n"/>
      <c r="LEE13" s="253" t="n"/>
      <c r="LEF13" s="253" t="n"/>
      <c r="LEG13" s="253" t="n"/>
      <c r="LEH13" s="253" t="n"/>
      <c r="LEI13" s="253" t="n"/>
      <c r="LEJ13" s="253" t="n"/>
      <c r="LEK13" s="253" t="n"/>
      <c r="LEL13" s="253" t="n"/>
      <c r="LEM13" s="253" t="n"/>
      <c r="LEN13" s="253" t="n"/>
      <c r="LEO13" s="253" t="n"/>
      <c r="LEP13" s="253" t="n"/>
      <c r="LEQ13" s="253" t="n"/>
      <c r="LER13" s="253" t="n"/>
      <c r="LES13" s="253" t="n"/>
      <c r="LET13" s="253" t="n"/>
      <c r="LEU13" s="253" t="n"/>
      <c r="LEV13" s="253" t="n"/>
      <c r="LEW13" s="253" t="n"/>
      <c r="LEX13" s="253" t="n"/>
      <c r="LEY13" s="253" t="n"/>
      <c r="LEZ13" s="253" t="n"/>
      <c r="LFA13" s="253" t="n"/>
      <c r="LFB13" s="253" t="n"/>
      <c r="LFC13" s="253" t="n"/>
      <c r="LFD13" s="253" t="n"/>
      <c r="LFE13" s="253" t="n"/>
      <c r="LFF13" s="253" t="n"/>
      <c r="LFG13" s="253" t="n"/>
      <c r="LFH13" s="253" t="n"/>
      <c r="LFI13" s="253" t="n"/>
      <c r="LFJ13" s="253" t="n"/>
      <c r="LFK13" s="253" t="n"/>
      <c r="LFL13" s="252" t="n"/>
      <c r="LFM13" s="253" t="n"/>
      <c r="LFN13" s="253" t="n"/>
      <c r="LFO13" s="253" t="n"/>
      <c r="LFP13" s="253" t="n"/>
      <c r="LFQ13" s="253" t="n"/>
      <c r="LFR13" s="253" t="n"/>
      <c r="LFS13" s="253" t="n"/>
      <c r="LFT13" s="253" t="n"/>
      <c r="LFU13" s="253" t="n"/>
      <c r="LFV13" s="253" t="n"/>
      <c r="LFW13" s="253" t="n"/>
      <c r="LFX13" s="253" t="n"/>
      <c r="LFY13" s="253" t="n"/>
      <c r="LFZ13" s="253" t="n"/>
      <c r="LGA13" s="253" t="n"/>
      <c r="LGB13" s="253" t="n"/>
      <c r="LGC13" s="253" t="n"/>
      <c r="LGD13" s="253" t="n"/>
      <c r="LGE13" s="253" t="n"/>
      <c r="LGF13" s="253" t="n"/>
      <c r="LGG13" s="253" t="n"/>
      <c r="LGH13" s="253" t="n"/>
      <c r="LGI13" s="253" t="n"/>
      <c r="LGJ13" s="253" t="n"/>
      <c r="LGK13" s="253" t="n"/>
      <c r="LGL13" s="253" t="n"/>
      <c r="LGM13" s="253" t="n"/>
      <c r="LGN13" s="253" t="n"/>
      <c r="LGO13" s="253" t="n"/>
      <c r="LGP13" s="253" t="n"/>
      <c r="LGQ13" s="253" t="n"/>
      <c r="LGR13" s="253" t="n"/>
      <c r="LGS13" s="253" t="n"/>
      <c r="LGT13" s="253" t="n"/>
      <c r="LGU13" s="253" t="n"/>
      <c r="LGV13" s="253" t="n"/>
      <c r="LGW13" s="253" t="n"/>
      <c r="LGX13" s="253" t="n"/>
      <c r="LGY13" s="253" t="n"/>
      <c r="LGZ13" s="253" t="n"/>
      <c r="LHA13" s="253" t="n"/>
      <c r="LHB13" s="253" t="n"/>
      <c r="LHC13" s="253" t="n"/>
      <c r="LHD13" s="253" t="n"/>
      <c r="LHE13" s="253" t="n"/>
      <c r="LHF13" s="253" t="n"/>
      <c r="LHG13" s="253" t="n"/>
      <c r="LHH13" s="253" t="n"/>
      <c r="LHI13" s="253" t="n"/>
      <c r="LHJ13" s="253" t="n"/>
      <c r="LHK13" s="253" t="n"/>
      <c r="LHL13" s="253" t="n"/>
      <c r="LHM13" s="253" t="n"/>
      <c r="LHN13" s="253" t="n"/>
      <c r="LHO13" s="253" t="n"/>
      <c r="LHP13" s="253" t="n"/>
      <c r="LHQ13" s="253" t="n"/>
      <c r="LHR13" s="253" t="n"/>
      <c r="LHS13" s="253" t="n"/>
      <c r="LHT13" s="253" t="n"/>
      <c r="LHU13" s="253" t="n"/>
      <c r="LHV13" s="253" t="n"/>
      <c r="LHW13" s="253" t="n"/>
      <c r="LHX13" s="253" t="n"/>
      <c r="LHY13" s="253" t="n"/>
      <c r="LHZ13" s="253" t="n"/>
      <c r="LIA13" s="253" t="n"/>
      <c r="LIB13" s="253" t="n"/>
      <c r="LIC13" s="253" t="n"/>
      <c r="LID13" s="253" t="n"/>
      <c r="LIE13" s="253" t="n"/>
      <c r="LIF13" s="253" t="n"/>
      <c r="LIG13" s="253" t="n"/>
      <c r="LIH13" s="253" t="n"/>
      <c r="LII13" s="253" t="n"/>
      <c r="LIJ13" s="253" t="n"/>
      <c r="LIK13" s="253" t="n"/>
      <c r="LIL13" s="253" t="n"/>
      <c r="LIM13" s="253" t="n"/>
      <c r="LIN13" s="253" t="n"/>
      <c r="LIO13" s="253" t="n"/>
      <c r="LIP13" s="253" t="n"/>
      <c r="LIQ13" s="253" t="n"/>
      <c r="LIR13" s="253" t="n"/>
      <c r="LIS13" s="253" t="n"/>
      <c r="LIT13" s="253" t="n"/>
      <c r="LIU13" s="253" t="n"/>
      <c r="LIV13" s="253" t="n"/>
      <c r="LIW13" s="253" t="n"/>
      <c r="LIX13" s="253" t="n"/>
      <c r="LIY13" s="253" t="n"/>
      <c r="LIZ13" s="253" t="n"/>
      <c r="LJA13" s="253" t="n"/>
      <c r="LJB13" s="253" t="n"/>
      <c r="LJC13" s="253" t="n"/>
      <c r="LJD13" s="253" t="n"/>
      <c r="LJE13" s="253" t="n"/>
      <c r="LJF13" s="253" t="n"/>
      <c r="LJG13" s="253" t="n"/>
      <c r="LJH13" s="253" t="n"/>
      <c r="LJI13" s="253" t="n"/>
      <c r="LJJ13" s="253" t="n"/>
      <c r="LJK13" s="253" t="n"/>
      <c r="LJL13" s="253" t="n"/>
      <c r="LJM13" s="253" t="n"/>
      <c r="LJN13" s="253" t="n"/>
      <c r="LJO13" s="253" t="n"/>
      <c r="LJP13" s="253" t="n"/>
      <c r="LJQ13" s="253" t="n"/>
      <c r="LJR13" s="253" t="n"/>
      <c r="LJS13" s="253" t="n"/>
      <c r="LJT13" s="253" t="n"/>
      <c r="LJU13" s="253" t="n"/>
      <c r="LJV13" s="253" t="n"/>
      <c r="LJW13" s="253" t="n"/>
      <c r="LJX13" s="253" t="n"/>
      <c r="LJY13" s="253" t="n"/>
      <c r="LJZ13" s="253" t="n"/>
      <c r="LKA13" s="253" t="n"/>
      <c r="LKB13" s="253" t="n"/>
      <c r="LKC13" s="253" t="n"/>
      <c r="LKD13" s="253" t="n"/>
      <c r="LKE13" s="253" t="n"/>
      <c r="LKF13" s="253" t="n"/>
      <c r="LKG13" s="253" t="n"/>
      <c r="LKH13" s="253" t="n"/>
      <c r="LKI13" s="253" t="n"/>
      <c r="LKJ13" s="253" t="n"/>
      <c r="LKK13" s="253" t="n"/>
      <c r="LKL13" s="253" t="n"/>
      <c r="LKM13" s="253" t="n"/>
      <c r="LKN13" s="253" t="n"/>
      <c r="LKO13" s="253" t="n"/>
      <c r="LKP13" s="253" t="n"/>
      <c r="LKQ13" s="253" t="n"/>
      <c r="LKR13" s="253" t="n"/>
      <c r="LKS13" s="253" t="n"/>
      <c r="LKT13" s="253" t="n"/>
      <c r="LKU13" s="253" t="n"/>
      <c r="LKV13" s="253" t="n"/>
      <c r="LKW13" s="253" t="n"/>
      <c r="LKX13" s="253" t="n"/>
      <c r="LKY13" s="253" t="n"/>
      <c r="LKZ13" s="253" t="n"/>
      <c r="LLA13" s="253" t="n"/>
      <c r="LLB13" s="253" t="n"/>
      <c r="LLC13" s="253" t="n"/>
      <c r="LLD13" s="253" t="n"/>
      <c r="LLE13" s="253" t="n"/>
      <c r="LLF13" s="253" t="n"/>
      <c r="LLG13" s="253" t="n"/>
      <c r="LLH13" s="253" t="n"/>
      <c r="LLI13" s="253" t="n"/>
      <c r="LLJ13" s="253" t="n"/>
      <c r="LLK13" s="253" t="n"/>
      <c r="LLL13" s="253" t="n"/>
      <c r="LLM13" s="253" t="n"/>
      <c r="LLN13" s="253" t="n"/>
      <c r="LLO13" s="253" t="n"/>
      <c r="LLP13" s="253" t="n"/>
      <c r="LLQ13" s="253" t="n"/>
      <c r="LLR13" s="253" t="n"/>
      <c r="LLS13" s="253" t="n"/>
      <c r="LLT13" s="253" t="n"/>
      <c r="LLU13" s="253" t="n"/>
      <c r="LLV13" s="253" t="n"/>
      <c r="LLW13" s="253" t="n"/>
      <c r="LLX13" s="253" t="n"/>
      <c r="LLY13" s="253" t="n"/>
      <c r="LLZ13" s="253" t="n"/>
      <c r="LMA13" s="253" t="n"/>
      <c r="LMB13" s="253" t="n"/>
      <c r="LMC13" s="253" t="n"/>
      <c r="LMD13" s="253" t="n"/>
      <c r="LME13" s="253" t="n"/>
      <c r="LMF13" s="253" t="n"/>
      <c r="LMG13" s="253" t="n"/>
      <c r="LMH13" s="253" t="n"/>
      <c r="LMI13" s="253" t="n"/>
      <c r="LMJ13" s="253" t="n"/>
      <c r="LMK13" s="253" t="n"/>
      <c r="LML13" s="253" t="n"/>
      <c r="LMM13" s="253" t="n"/>
      <c r="LMN13" s="253" t="n"/>
      <c r="LMO13" s="253" t="n"/>
      <c r="LMP13" s="253" t="n"/>
      <c r="LMQ13" s="253" t="n"/>
      <c r="LMR13" s="253" t="n"/>
      <c r="LMS13" s="253" t="n"/>
      <c r="LMT13" s="253" t="n"/>
      <c r="LMU13" s="253" t="n"/>
      <c r="LMV13" s="253" t="n"/>
      <c r="LMW13" s="253" t="n"/>
      <c r="LMX13" s="253" t="n"/>
      <c r="LMY13" s="253" t="n"/>
      <c r="LMZ13" s="253" t="n"/>
      <c r="LNA13" s="253" t="n"/>
      <c r="LNB13" s="253" t="n"/>
      <c r="LNC13" s="253" t="n"/>
      <c r="LND13" s="253" t="n"/>
      <c r="LNE13" s="253" t="n"/>
      <c r="LNF13" s="253" t="n"/>
      <c r="LNG13" s="253" t="n"/>
      <c r="LNH13" s="253" t="n"/>
      <c r="LNI13" s="253" t="n"/>
      <c r="LNJ13" s="253" t="n"/>
      <c r="LNK13" s="253" t="n"/>
      <c r="LNL13" s="253" t="n"/>
      <c r="LNM13" s="253" t="n"/>
      <c r="LNN13" s="253" t="n"/>
      <c r="LNO13" s="253" t="n"/>
      <c r="LNP13" s="253" t="n"/>
      <c r="LNQ13" s="253" t="n"/>
      <c r="LNR13" s="253" t="n"/>
      <c r="LNS13" s="253" t="n"/>
      <c r="LNT13" s="253" t="n"/>
      <c r="LNU13" s="253" t="n"/>
      <c r="LNV13" s="253" t="n"/>
      <c r="LNW13" s="253" t="n"/>
      <c r="LNX13" s="253" t="n"/>
      <c r="LNY13" s="253" t="n"/>
      <c r="LNZ13" s="253" t="n"/>
      <c r="LOA13" s="253" t="n"/>
      <c r="LOB13" s="253" t="n"/>
      <c r="LOC13" s="253" t="n"/>
      <c r="LOD13" s="253" t="n"/>
      <c r="LOE13" s="253" t="n"/>
      <c r="LOF13" s="253" t="n"/>
      <c r="LOG13" s="253" t="n"/>
      <c r="LOH13" s="253" t="n"/>
      <c r="LOI13" s="253" t="n"/>
      <c r="LOJ13" s="253" t="n"/>
      <c r="LOK13" s="253" t="n"/>
      <c r="LOL13" s="253" t="n"/>
      <c r="LOM13" s="253" t="n"/>
      <c r="LON13" s="253" t="n"/>
      <c r="LOO13" s="253" t="n"/>
      <c r="LOP13" s="253" t="n"/>
      <c r="LOQ13" s="253" t="n"/>
      <c r="LOR13" s="253" t="n"/>
      <c r="LOS13" s="253" t="n"/>
      <c r="LOT13" s="253" t="n"/>
      <c r="LOU13" s="253" t="n"/>
      <c r="LOV13" s="253" t="n"/>
      <c r="LOW13" s="253" t="n"/>
      <c r="LOX13" s="253" t="n"/>
      <c r="LOY13" s="253" t="n"/>
      <c r="LOZ13" s="253" t="n"/>
      <c r="LPA13" s="253" t="n"/>
      <c r="LPB13" s="253" t="n"/>
      <c r="LPC13" s="253" t="n"/>
      <c r="LPD13" s="253" t="n"/>
      <c r="LPE13" s="253" t="n"/>
      <c r="LPF13" s="253" t="n"/>
      <c r="LPG13" s="253" t="n"/>
      <c r="LPH13" s="253" t="n"/>
      <c r="LPI13" s="253" t="n"/>
      <c r="LPJ13" s="253" t="n"/>
      <c r="LPK13" s="253" t="n"/>
      <c r="LPL13" s="253" t="n"/>
      <c r="LPM13" s="253" t="n"/>
      <c r="LPN13" s="253" t="n"/>
      <c r="LPO13" s="253" t="n"/>
      <c r="LPP13" s="253" t="n"/>
      <c r="LPQ13" s="253" t="n"/>
      <c r="LPR13" s="253" t="n"/>
      <c r="LPS13" s="253" t="n"/>
      <c r="LPT13" s="253" t="n"/>
      <c r="LPU13" s="253" t="n"/>
      <c r="LPV13" s="253" t="n"/>
      <c r="LPW13" s="253" t="n"/>
      <c r="LPX13" s="253" t="n"/>
      <c r="LPY13" s="253" t="n"/>
      <c r="LPZ13" s="253" t="n"/>
      <c r="LQA13" s="253" t="n"/>
      <c r="LQB13" s="253" t="n"/>
      <c r="LQC13" s="253" t="n"/>
      <c r="LQD13" s="253" t="n"/>
      <c r="LQE13" s="253" t="n"/>
      <c r="LQF13" s="253" t="n"/>
      <c r="LQG13" s="253" t="n"/>
      <c r="LQH13" s="253" t="n"/>
      <c r="LQI13" s="253" t="n"/>
      <c r="LQJ13" s="253" t="n"/>
      <c r="LQK13" s="253" t="n"/>
      <c r="LQL13" s="253" t="n"/>
      <c r="LQM13" s="253" t="n"/>
      <c r="LQN13" s="253" t="n"/>
      <c r="LQO13" s="253" t="n"/>
      <c r="LQP13" s="253" t="n"/>
      <c r="LQQ13" s="253" t="n"/>
      <c r="LQR13" s="253" t="n"/>
      <c r="LQS13" s="253" t="n"/>
      <c r="LQT13" s="253" t="n"/>
      <c r="LQU13" s="253" t="n"/>
      <c r="LQV13" s="253" t="n"/>
      <c r="LQW13" s="253" t="n"/>
      <c r="LQX13" s="253" t="n"/>
      <c r="LQY13" s="253" t="n"/>
      <c r="LQZ13" s="253" t="n"/>
      <c r="LRA13" s="253" t="n"/>
      <c r="LRB13" s="253" t="n"/>
      <c r="LRC13" s="253" t="n"/>
      <c r="LRD13" s="253" t="n"/>
      <c r="LRE13" s="253" t="n"/>
      <c r="LRF13" s="253" t="n"/>
      <c r="LRG13" s="253" t="n"/>
      <c r="LRH13" s="253" t="n"/>
      <c r="LRI13" s="253" t="n"/>
      <c r="LRJ13" s="253" t="n"/>
      <c r="LRK13" s="253" t="n"/>
      <c r="LRL13" s="253" t="n"/>
      <c r="LRM13" s="253" t="n"/>
      <c r="LRN13" s="253" t="n"/>
      <c r="LRO13" s="253" t="n"/>
      <c r="LRP13" s="253" t="n"/>
      <c r="LRQ13" s="253" t="n"/>
      <c r="LRR13" s="253" t="n"/>
      <c r="LRS13" s="253" t="n"/>
      <c r="LRT13" s="253" t="n"/>
      <c r="LRU13" s="253" t="n"/>
      <c r="LRV13" s="253" t="n"/>
      <c r="LRW13" s="253" t="n"/>
      <c r="LRX13" s="253" t="n"/>
      <c r="LRY13" s="253" t="n"/>
      <c r="LRZ13" s="253" t="n"/>
      <c r="LSA13" s="253" t="n"/>
      <c r="LSB13" s="253" t="n"/>
      <c r="LSC13" s="253" t="n"/>
      <c r="LSD13" s="253" t="n"/>
      <c r="LSE13" s="253" t="n"/>
      <c r="LSF13" s="253" t="n"/>
      <c r="LSG13" s="253" t="n"/>
      <c r="LSH13" s="253" t="n"/>
      <c r="LSI13" s="253" t="n"/>
      <c r="LSJ13" s="253" t="n"/>
      <c r="LSK13" s="253" t="n"/>
      <c r="LSL13" s="253" t="n"/>
      <c r="LSM13" s="253" t="n"/>
      <c r="LSN13" s="253" t="n"/>
      <c r="LSO13" s="253" t="n"/>
      <c r="LSP13" s="253" t="n"/>
      <c r="LSQ13" s="253" t="n"/>
      <c r="LSR13" s="253" t="n"/>
      <c r="LSS13" s="253" t="n"/>
      <c r="LST13" s="253" t="n"/>
      <c r="LSU13" s="253" t="n"/>
      <c r="LSV13" s="253" t="n"/>
      <c r="LSW13" s="253" t="n"/>
      <c r="LSX13" s="253" t="n"/>
      <c r="LSY13" s="253" t="n"/>
      <c r="LSZ13" s="253" t="n"/>
      <c r="LTA13" s="253" t="n"/>
      <c r="LTB13" s="253" t="n"/>
      <c r="LTC13" s="253" t="n"/>
      <c r="LTD13" s="253" t="n"/>
      <c r="LTE13" s="253" t="n"/>
      <c r="LTF13" s="253" t="n"/>
      <c r="LTG13" s="253" t="n"/>
      <c r="LTH13" s="253" t="n"/>
      <c r="LTI13" s="253" t="n"/>
      <c r="LTJ13" s="253" t="n"/>
      <c r="LTK13" s="253" t="n"/>
      <c r="LTL13" s="253" t="n"/>
      <c r="LTM13" s="253" t="n"/>
      <c r="LTN13" s="253" t="n"/>
      <c r="LTO13" s="253" t="n"/>
      <c r="LTP13" s="253" t="n"/>
      <c r="LTQ13" s="253" t="n"/>
      <c r="LTR13" s="253" t="n"/>
      <c r="LTS13" s="253" t="n"/>
      <c r="LTT13" s="253" t="n"/>
      <c r="LTU13" s="253" t="n"/>
      <c r="LTV13" s="253" t="n"/>
      <c r="LTW13" s="253" t="n"/>
      <c r="LTX13" s="253" t="n"/>
      <c r="LTY13" s="253" t="n"/>
      <c r="LTZ13" s="253" t="n"/>
      <c r="LUA13" s="253" t="n"/>
      <c r="LUB13" s="253" t="n"/>
      <c r="LUC13" s="253" t="n"/>
      <c r="LUD13" s="253" t="n"/>
      <c r="LUE13" s="253" t="n"/>
      <c r="LUF13" s="253" t="n"/>
      <c r="LUG13" s="253" t="n"/>
      <c r="LUH13" s="253" t="n"/>
      <c r="LUI13" s="253" t="n"/>
      <c r="LUJ13" s="253" t="n"/>
      <c r="LUK13" s="253" t="n"/>
      <c r="LUL13" s="253" t="n"/>
      <c r="LUM13" s="253" t="n"/>
      <c r="LUN13" s="253" t="n"/>
      <c r="LUO13" s="253" t="n"/>
      <c r="LUP13" s="253" t="n"/>
      <c r="LUQ13" s="253" t="n"/>
      <c r="LUR13" s="253" t="n"/>
      <c r="LUS13" s="253" t="n"/>
      <c r="LUT13" s="253" t="n"/>
      <c r="LUU13" s="253" t="n"/>
      <c r="LUV13" s="253" t="n"/>
      <c r="LUW13" s="253" t="n"/>
      <c r="LUX13" s="253" t="n"/>
      <c r="LUY13" s="253" t="n"/>
      <c r="LUZ13" s="253" t="n"/>
      <c r="LVA13" s="253" t="n"/>
      <c r="LVB13" s="253" t="n"/>
      <c r="LVC13" s="253" t="n"/>
      <c r="LVD13" s="253" t="n"/>
      <c r="LVE13" s="253" t="n"/>
      <c r="LVF13" s="253" t="n"/>
      <c r="LVG13" s="253" t="n"/>
      <c r="LVH13" s="253" t="n"/>
      <c r="LVI13" s="253" t="n"/>
      <c r="LVJ13" s="253" t="n"/>
      <c r="LVK13" s="253" t="n"/>
      <c r="LVL13" s="253" t="n"/>
      <c r="LVM13" s="253" t="n"/>
      <c r="LVN13" s="253" t="n"/>
      <c r="LVO13" s="253" t="n"/>
      <c r="LVP13" s="253" t="n"/>
      <c r="LVQ13" s="253" t="n"/>
      <c r="LVR13" s="253" t="n"/>
      <c r="LVS13" s="253" t="n"/>
      <c r="LVT13" s="253" t="n"/>
      <c r="LVU13" s="253" t="n"/>
      <c r="LVV13" s="253" t="n"/>
      <c r="LVW13" s="253" t="n"/>
      <c r="LVX13" s="253" t="n"/>
      <c r="LVY13" s="253" t="n"/>
      <c r="LVZ13" s="253" t="n"/>
      <c r="LWA13" s="253" t="n"/>
      <c r="LWB13" s="253" t="n"/>
      <c r="LWC13" s="253" t="n"/>
      <c r="LWD13" s="253" t="n"/>
      <c r="LWE13" s="253" t="n"/>
      <c r="LWF13" s="253" t="n"/>
      <c r="LWG13" s="253" t="n"/>
      <c r="LWH13" s="253" t="n"/>
      <c r="LWI13" s="253" t="n"/>
      <c r="LWJ13" s="253" t="n"/>
      <c r="LWK13" s="253" t="n"/>
      <c r="LWL13" s="253" t="n"/>
      <c r="LWM13" s="253" t="n"/>
      <c r="LWN13" s="253" t="n"/>
      <c r="LWO13" s="253" t="n"/>
      <c r="LWP13" s="253" t="n"/>
      <c r="LWQ13" s="253" t="n"/>
      <c r="LWR13" s="253" t="n"/>
      <c r="LWS13" s="253" t="n"/>
      <c r="LWT13" s="253" t="n"/>
      <c r="LWU13" s="253" t="n"/>
      <c r="LWV13" s="253" t="n"/>
      <c r="LWW13" s="253" t="n"/>
      <c r="LWX13" s="253" t="n"/>
      <c r="LWY13" s="253" t="n"/>
      <c r="LWZ13" s="253" t="n"/>
      <c r="LXA13" s="253" t="n"/>
      <c r="LXB13" s="253" t="n"/>
      <c r="LXC13" s="253" t="n"/>
      <c r="LXD13" s="253" t="n"/>
      <c r="LXE13" s="253" t="n"/>
      <c r="LXF13" s="253" t="n"/>
      <c r="LXG13" s="253" t="n"/>
      <c r="LXH13" s="253" t="n"/>
      <c r="LXI13" s="253" t="n"/>
      <c r="LXJ13" s="253" t="n"/>
      <c r="LXK13" s="253" t="n"/>
      <c r="LXL13" s="253" t="n"/>
      <c r="LXM13" s="253" t="n"/>
      <c r="LXN13" s="253" t="n"/>
      <c r="LXO13" s="253" t="n"/>
      <c r="LXP13" s="253" t="n"/>
      <c r="LXQ13" s="253" t="n"/>
      <c r="LXR13" s="253" t="n"/>
      <c r="LXS13" s="253" t="n"/>
      <c r="LXT13" s="253" t="n"/>
      <c r="LXU13" s="253" t="n"/>
      <c r="LXV13" s="253" t="n"/>
      <c r="LXW13" s="253" t="n"/>
      <c r="LXX13" s="253" t="n"/>
      <c r="LXY13" s="253" t="n"/>
      <c r="LXZ13" s="253" t="n"/>
      <c r="LYA13" s="253" t="n"/>
      <c r="LYB13" s="253" t="n"/>
      <c r="LYC13" s="253" t="n"/>
      <c r="LYD13" s="253" t="n"/>
      <c r="LYE13" s="253" t="n"/>
      <c r="LYF13" s="253" t="n"/>
      <c r="LYG13" s="253" t="n"/>
      <c r="LYH13" s="253" t="n"/>
      <c r="LYI13" s="253" t="n"/>
      <c r="LYJ13" s="253" t="n"/>
      <c r="LYK13" s="253" t="n"/>
      <c r="LYL13" s="253" t="n"/>
      <c r="LYM13" s="253" t="n"/>
      <c r="LYN13" s="253" t="n"/>
      <c r="LYO13" s="253" t="n"/>
      <c r="LYP13" s="253" t="n"/>
      <c r="LYQ13" s="253" t="n"/>
      <c r="LYR13" s="253" t="n"/>
      <c r="LYS13" s="253" t="n"/>
      <c r="LYT13" s="253" t="n"/>
      <c r="LYU13" s="253" t="n"/>
      <c r="LYV13" s="253" t="n"/>
      <c r="LYW13" s="253" t="n"/>
      <c r="LYX13" s="253" t="n"/>
      <c r="LYY13" s="253" t="n"/>
      <c r="LYZ13" s="253" t="n"/>
      <c r="LZA13" s="253" t="n"/>
      <c r="LZB13" s="253" t="n"/>
      <c r="LZC13" s="253" t="n"/>
      <c r="LZD13" s="253" t="n"/>
      <c r="LZE13" s="253" t="n"/>
      <c r="LZF13" s="253" t="n"/>
      <c r="LZG13" s="253" t="n"/>
      <c r="LZH13" s="253" t="n"/>
      <c r="LZI13" s="253" t="n"/>
      <c r="LZJ13" s="253" t="n"/>
      <c r="LZK13" s="253" t="n"/>
      <c r="LZL13" s="253" t="n"/>
      <c r="LZM13" s="253" t="n"/>
      <c r="LZN13" s="253" t="n"/>
      <c r="LZO13" s="253" t="n"/>
      <c r="LZP13" s="253" t="n"/>
      <c r="LZQ13" s="253" t="n"/>
      <c r="LZR13" s="253" t="n"/>
      <c r="LZS13" s="253" t="n"/>
      <c r="LZT13" s="253" t="n"/>
      <c r="LZU13" s="253" t="n"/>
      <c r="LZV13" s="253" t="n"/>
      <c r="LZW13" s="253" t="n"/>
      <c r="LZX13" s="253" t="n"/>
      <c r="LZY13" s="253" t="n"/>
      <c r="LZZ13" s="253" t="n"/>
      <c r="MAA13" s="253" t="n"/>
      <c r="MAB13" s="253" t="n"/>
      <c r="MAC13" s="253" t="n"/>
      <c r="MAD13" s="253" t="n"/>
      <c r="MAE13" s="253" t="n"/>
      <c r="MAF13" s="253" t="n"/>
      <c r="MAG13" s="253" t="n"/>
      <c r="MAH13" s="253" t="n"/>
      <c r="MAI13" s="253" t="n"/>
      <c r="MAJ13" s="253" t="n"/>
      <c r="MAK13" s="253" t="n"/>
      <c r="MAL13" s="253" t="n"/>
      <c r="MAM13" s="253" t="n"/>
      <c r="MAN13" s="253" t="n"/>
      <c r="MAO13" s="253" t="n"/>
      <c r="MAP13" s="253" t="n"/>
      <c r="MAQ13" s="253" t="n"/>
      <c r="MAR13" s="253" t="n"/>
      <c r="MAS13" s="253" t="n"/>
      <c r="MAT13" s="253" t="n"/>
      <c r="MAU13" s="253" t="n"/>
      <c r="MAV13" s="253" t="n"/>
      <c r="MAW13" s="253" t="n"/>
      <c r="MAX13" s="253" t="n"/>
      <c r="MAY13" s="253" t="n"/>
      <c r="MAZ13" s="253" t="n"/>
      <c r="MBA13" s="253" t="n"/>
      <c r="MBB13" s="253" t="n"/>
      <c r="MBC13" s="253" t="n"/>
      <c r="MBD13" s="253" t="n"/>
      <c r="MBE13" s="253" t="n"/>
      <c r="MBF13" s="253" t="n"/>
      <c r="MBG13" s="253" t="n"/>
      <c r="MBH13" s="253" t="n"/>
      <c r="MBI13" s="253" t="n"/>
      <c r="MBJ13" s="253" t="n"/>
      <c r="MBK13" s="253" t="n"/>
      <c r="MBL13" s="253" t="n"/>
      <c r="MBM13" s="253" t="n"/>
      <c r="MBN13" s="253" t="n"/>
      <c r="MBO13" s="253" t="n"/>
      <c r="MBP13" s="253" t="n"/>
      <c r="MBQ13" s="253" t="n"/>
      <c r="MBR13" s="253" t="n"/>
      <c r="MBS13" s="253" t="n"/>
      <c r="MBT13" s="253" t="n"/>
      <c r="MBU13" s="253" t="n"/>
      <c r="MBV13" s="253" t="n"/>
      <c r="MBW13" s="253" t="n"/>
      <c r="MBX13" s="253" t="n"/>
      <c r="MBY13" s="253" t="n"/>
      <c r="MBZ13" s="253" t="n"/>
      <c r="MCA13" s="253" t="n"/>
      <c r="MCB13" s="253" t="n"/>
      <c r="MCC13" s="253" t="n"/>
      <c r="MCD13" s="253" t="n"/>
      <c r="MCE13" s="253" t="n"/>
      <c r="MCF13" s="253" t="n"/>
      <c r="MCG13" s="253" t="n"/>
      <c r="MCH13" s="253" t="n"/>
      <c r="MCI13" s="253" t="n"/>
      <c r="MCJ13" s="253" t="n"/>
      <c r="MCK13" s="253" t="n"/>
      <c r="MCL13" s="253" t="n"/>
      <c r="MCM13" s="253" t="n"/>
      <c r="MCN13" s="253" t="n"/>
      <c r="MCO13" s="253" t="n"/>
      <c r="MCP13" s="253" t="n"/>
      <c r="MCQ13" s="253" t="n"/>
      <c r="MCR13" s="253" t="n"/>
      <c r="MCS13" s="253" t="n"/>
      <c r="MCT13" s="253" t="n"/>
      <c r="MCU13" s="253" t="n"/>
      <c r="MCV13" s="253" t="n"/>
      <c r="MCW13" s="253" t="n"/>
      <c r="MCX13" s="253" t="n"/>
      <c r="MCY13" s="253" t="n"/>
      <c r="MCZ13" s="253" t="n"/>
      <c r="MDA13" s="253" t="n"/>
      <c r="MDB13" s="253" t="n"/>
      <c r="MDC13" s="253" t="n"/>
      <c r="MDD13" s="253" t="n"/>
      <c r="MDE13" s="253" t="n"/>
      <c r="MDF13" s="253" t="n"/>
      <c r="MDG13" s="253" t="n"/>
      <c r="MDH13" s="253" t="n"/>
      <c r="MDI13" s="253" t="n"/>
      <c r="MDJ13" s="253" t="n"/>
      <c r="MDK13" s="253" t="n"/>
      <c r="MDL13" s="253" t="n"/>
      <c r="MDM13" s="253" t="n"/>
      <c r="MDN13" s="253" t="n"/>
      <c r="MDO13" s="253" t="n"/>
      <c r="MDP13" s="253" t="n"/>
      <c r="MDQ13" s="253" t="n"/>
      <c r="MDR13" s="253" t="n"/>
      <c r="MDS13" s="253" t="n"/>
      <c r="MDT13" s="253" t="n"/>
      <c r="MDU13" s="253" t="n"/>
      <c r="MDV13" s="253" t="n"/>
      <c r="MDW13" s="253" t="n"/>
      <c r="MDX13" s="253" t="n"/>
      <c r="MDY13" s="253" t="n"/>
      <c r="MDZ13" s="253" t="n"/>
      <c r="MEA13" s="253" t="n"/>
      <c r="MEB13" s="253" t="n"/>
      <c r="MEC13" s="253" t="n"/>
      <c r="MED13" s="253" t="n"/>
      <c r="MEE13" s="253" t="n"/>
      <c r="MEF13" s="253" t="n"/>
      <c r="MEG13" s="253" t="n"/>
      <c r="MEH13" s="253" t="n"/>
      <c r="MEI13" s="253" t="n"/>
      <c r="MEJ13" s="253" t="n"/>
      <c r="MEK13" s="253" t="n"/>
      <c r="MEL13" s="253" t="n"/>
      <c r="MEM13" s="253" t="n"/>
      <c r="MEN13" s="253" t="n"/>
      <c r="MEO13" s="253" t="n"/>
      <c r="MEP13" s="253" t="n"/>
      <c r="MEQ13" s="253" t="n"/>
      <c r="MER13" s="253" t="n"/>
      <c r="MES13" s="253" t="n"/>
      <c r="MET13" s="253" t="n"/>
      <c r="MEU13" s="253" t="n"/>
      <c r="MEV13" s="253" t="n"/>
      <c r="MEW13" s="253" t="n"/>
      <c r="MEX13" s="253" t="n"/>
      <c r="MEY13" s="253" t="n"/>
      <c r="MEZ13" s="253" t="n"/>
      <c r="MFA13" s="253" t="n"/>
      <c r="MFB13" s="253" t="n"/>
      <c r="MFC13" s="253" t="n"/>
      <c r="MFD13" s="253" t="n"/>
      <c r="MFE13" s="253" t="n"/>
      <c r="MFF13" s="253" t="n"/>
      <c r="MFG13" s="253" t="n"/>
      <c r="MFH13" s="253" t="n"/>
      <c r="MFI13" s="253" t="n"/>
      <c r="MFJ13" s="253" t="n"/>
      <c r="MFK13" s="253" t="n"/>
      <c r="MFL13" s="253" t="n"/>
      <c r="MFM13" s="253" t="n"/>
      <c r="MFN13" s="252" t="n"/>
      <c r="MFO13" s="253" t="n"/>
      <c r="MFP13" s="253" t="n"/>
      <c r="MFQ13" s="253" t="n"/>
      <c r="MFR13" s="253" t="n"/>
      <c r="MFS13" s="253" t="n"/>
      <c r="MFT13" s="253" t="n"/>
      <c r="MFU13" s="253" t="n"/>
      <c r="MFV13" s="253" t="n"/>
      <c r="MFW13" s="253" t="n"/>
      <c r="MFX13" s="253" t="n"/>
      <c r="MFY13" s="253" t="n"/>
      <c r="MFZ13" s="253" t="n"/>
      <c r="MGA13" s="253" t="n"/>
      <c r="MGB13" s="253" t="n"/>
      <c r="MGC13" s="253" t="n"/>
      <c r="MGD13" s="253" t="n"/>
      <c r="MGE13" s="253" t="n"/>
      <c r="MGF13" s="253" t="n"/>
      <c r="MGG13" s="253" t="n"/>
      <c r="MGH13" s="253" t="n"/>
      <c r="MGI13" s="253" t="n"/>
      <c r="MGJ13" s="253" t="n"/>
      <c r="MGK13" s="253" t="n"/>
      <c r="MGL13" s="253" t="n"/>
      <c r="MGM13" s="253" t="n"/>
      <c r="MGN13" s="253" t="n"/>
      <c r="MGO13" s="253" t="n"/>
      <c r="MGP13" s="253" t="n"/>
      <c r="MGQ13" s="253" t="n"/>
      <c r="MGR13" s="253" t="n"/>
      <c r="MGS13" s="253" t="n"/>
      <c r="MGT13" s="253" t="n"/>
      <c r="MGU13" s="253" t="n"/>
      <c r="MGV13" s="253" t="n"/>
      <c r="MGW13" s="253" t="n"/>
      <c r="MGX13" s="253" t="n"/>
      <c r="MGY13" s="253" t="n"/>
      <c r="MGZ13" s="253" t="n"/>
      <c r="MHA13" s="253" t="n"/>
      <c r="MHB13" s="253" t="n"/>
      <c r="MHC13" s="253" t="n"/>
      <c r="MHD13" s="253" t="n"/>
      <c r="MHE13" s="253" t="n"/>
      <c r="MHF13" s="253" t="n"/>
      <c r="MHG13" s="253" t="n"/>
      <c r="MHH13" s="253" t="n"/>
      <c r="MHI13" s="253" t="n"/>
      <c r="MHJ13" s="253" t="n"/>
      <c r="MHK13" s="253" t="n"/>
      <c r="MHL13" s="253" t="n"/>
      <c r="MHM13" s="253" t="n"/>
      <c r="MHN13" s="253" t="n"/>
      <c r="MHO13" s="253" t="n"/>
      <c r="MHP13" s="253" t="n"/>
      <c r="MHQ13" s="253" t="n"/>
      <c r="MHR13" s="253" t="n"/>
      <c r="MHS13" s="253" t="n"/>
      <c r="MHT13" s="253" t="n"/>
      <c r="MHU13" s="253" t="n"/>
      <c r="MHV13" s="253" t="n"/>
      <c r="MHW13" s="253" t="n"/>
      <c r="MHX13" s="253" t="n"/>
      <c r="MHY13" s="253" t="n"/>
      <c r="MHZ13" s="253" t="n"/>
      <c r="MIA13" s="253" t="n"/>
      <c r="MIB13" s="253" t="n"/>
      <c r="MIC13" s="253" t="n"/>
      <c r="MID13" s="253" t="n"/>
      <c r="MIE13" s="253" t="n"/>
      <c r="MIF13" s="253" t="n"/>
      <c r="MIG13" s="253" t="n"/>
      <c r="MIH13" s="253" t="n"/>
      <c r="MII13" s="253" t="n"/>
      <c r="MIJ13" s="253" t="n"/>
      <c r="MIK13" s="253" t="n"/>
      <c r="MIL13" s="253" t="n"/>
      <c r="MIM13" s="253" t="n"/>
      <c r="MIN13" s="253" t="n"/>
      <c r="MIO13" s="253" t="n"/>
      <c r="MIP13" s="253" t="n"/>
      <c r="MIQ13" s="253" t="n"/>
      <c r="MIR13" s="253" t="n"/>
      <c r="MIS13" s="253" t="n"/>
      <c r="MIT13" s="253" t="n"/>
      <c r="MIU13" s="253" t="n"/>
      <c r="MIV13" s="253" t="n"/>
      <c r="MIW13" s="253" t="n"/>
      <c r="MIX13" s="253" t="n"/>
      <c r="MIY13" s="253" t="n"/>
      <c r="MIZ13" s="253" t="n"/>
      <c r="MJA13" s="253" t="n"/>
      <c r="MJB13" s="253" t="n"/>
      <c r="MJC13" s="253" t="n"/>
      <c r="MJD13" s="253" t="n"/>
      <c r="MJE13" s="253" t="n"/>
      <c r="MJF13" s="253" t="n"/>
      <c r="MJG13" s="253" t="n"/>
      <c r="MJH13" s="253" t="n"/>
      <c r="MJI13" s="253" t="n"/>
      <c r="MJJ13" s="253" t="n"/>
      <c r="MJK13" s="253" t="n"/>
      <c r="MJL13" s="253" t="n"/>
      <c r="MJM13" s="253" t="n"/>
      <c r="MJN13" s="253" t="n"/>
      <c r="MJO13" s="253" t="n"/>
      <c r="MJP13" s="253" t="n"/>
      <c r="MJQ13" s="253" t="n"/>
      <c r="MJR13" s="253" t="n"/>
      <c r="MJS13" s="253" t="n"/>
      <c r="MJT13" s="253" t="n"/>
      <c r="MJU13" s="253" t="n"/>
      <c r="MJV13" s="253" t="n"/>
      <c r="MJW13" s="253" t="n"/>
      <c r="MJX13" s="253" t="n"/>
      <c r="MJY13" s="253" t="n"/>
      <c r="MJZ13" s="253" t="n"/>
      <c r="MKA13" s="253" t="n"/>
      <c r="MKB13" s="253" t="n"/>
      <c r="MKC13" s="253" t="n"/>
      <c r="MKD13" s="253" t="n"/>
      <c r="MKE13" s="253" t="n"/>
      <c r="MKF13" s="253" t="n"/>
      <c r="MKG13" s="253" t="n"/>
      <c r="MKH13" s="253" t="n"/>
      <c r="MKI13" s="253" t="n"/>
      <c r="MKJ13" s="253" t="n"/>
      <c r="MKK13" s="253" t="n"/>
      <c r="MKL13" s="253" t="n"/>
      <c r="MKM13" s="253" t="n"/>
      <c r="MKN13" s="253" t="n"/>
      <c r="MKO13" s="253" t="n"/>
      <c r="MKP13" s="253" t="n"/>
      <c r="MKQ13" s="253" t="n"/>
      <c r="MKR13" s="253" t="n"/>
      <c r="MKS13" s="253" t="n"/>
      <c r="MKT13" s="253" t="n"/>
      <c r="MKU13" s="253" t="n"/>
      <c r="MKV13" s="253" t="n"/>
      <c r="MKW13" s="253" t="n"/>
      <c r="MKX13" s="253" t="n"/>
      <c r="MKY13" s="253" t="n"/>
      <c r="MKZ13" s="253" t="n"/>
      <c r="MLA13" s="253" t="n"/>
      <c r="MLB13" s="253" t="n"/>
      <c r="MLC13" s="253" t="n"/>
      <c r="MLD13" s="253" t="n"/>
      <c r="MLE13" s="253" t="n"/>
      <c r="MLF13" s="253" t="n"/>
      <c r="MLG13" s="253" t="n"/>
      <c r="MLH13" s="253" t="n"/>
      <c r="MLI13" s="253" t="n"/>
      <c r="MLJ13" s="253" t="n"/>
      <c r="MLK13" s="253" t="n"/>
      <c r="MLL13" s="253" t="n"/>
      <c r="MLM13" s="253" t="n"/>
      <c r="MLN13" s="253" t="n"/>
      <c r="MLO13" s="253" t="n"/>
      <c r="MLP13" s="253" t="n"/>
      <c r="MLQ13" s="253" t="n"/>
      <c r="MLR13" s="253" t="n"/>
      <c r="MLS13" s="253" t="n"/>
      <c r="MLT13" s="253" t="n"/>
      <c r="MLU13" s="253" t="n"/>
      <c r="MLV13" s="253" t="n"/>
      <c r="MLW13" s="253" t="n"/>
      <c r="MLX13" s="253" t="n"/>
      <c r="MLY13" s="253" t="n"/>
      <c r="MLZ13" s="253" t="n"/>
      <c r="MMA13" s="253" t="n"/>
      <c r="MMB13" s="253" t="n"/>
      <c r="MMC13" s="253" t="n"/>
      <c r="MMD13" s="253" t="n"/>
      <c r="MME13" s="253" t="n"/>
      <c r="MMF13" s="253" t="n"/>
      <c r="MMG13" s="253" t="n"/>
      <c r="MMH13" s="253" t="n"/>
      <c r="MMI13" s="253" t="n"/>
      <c r="MMJ13" s="253" t="n"/>
      <c r="MMK13" s="253" t="n"/>
      <c r="MML13" s="253" t="n"/>
      <c r="MMM13" s="253" t="n"/>
      <c r="MMN13" s="253" t="n"/>
      <c r="MMO13" s="253" t="n"/>
      <c r="MMP13" s="253" t="n"/>
      <c r="MMQ13" s="253" t="n"/>
      <c r="MMR13" s="253" t="n"/>
      <c r="MMS13" s="253" t="n"/>
      <c r="MMT13" s="253" t="n"/>
      <c r="MMU13" s="253" t="n"/>
      <c r="MMV13" s="253" t="n"/>
      <c r="MMW13" s="253" t="n"/>
      <c r="MMX13" s="253" t="n"/>
      <c r="MMY13" s="253" t="n"/>
      <c r="MMZ13" s="253" t="n"/>
      <c r="MNA13" s="253" t="n"/>
      <c r="MNB13" s="253" t="n"/>
      <c r="MNC13" s="253" t="n"/>
      <c r="MND13" s="253" t="n"/>
      <c r="MNE13" s="253" t="n"/>
      <c r="MNF13" s="253" t="n"/>
      <c r="MNG13" s="253" t="n"/>
      <c r="MNH13" s="253" t="n"/>
      <c r="MNI13" s="253" t="n"/>
      <c r="MNJ13" s="253" t="n"/>
      <c r="MNK13" s="253" t="n"/>
      <c r="MNL13" s="253" t="n"/>
      <c r="MNM13" s="253" t="n"/>
      <c r="MNN13" s="253" t="n"/>
      <c r="MNO13" s="253" t="n"/>
      <c r="MNP13" s="253" t="n"/>
      <c r="MNQ13" s="253" t="n"/>
      <c r="MNR13" s="253" t="n"/>
      <c r="MNS13" s="253" t="n"/>
      <c r="MNT13" s="253" t="n"/>
      <c r="MNU13" s="253" t="n"/>
      <c r="MNV13" s="253" t="n"/>
      <c r="MNW13" s="253" t="n"/>
      <c r="MNX13" s="253" t="n"/>
      <c r="MNY13" s="253" t="n"/>
      <c r="MNZ13" s="253" t="n"/>
      <c r="MOA13" s="253" t="n"/>
      <c r="MOB13" s="253" t="n"/>
      <c r="MOC13" s="253" t="n"/>
      <c r="MOD13" s="253" t="n"/>
      <c r="MOE13" s="253" t="n"/>
      <c r="MOF13" s="253" t="n"/>
      <c r="MOG13" s="253" t="n"/>
      <c r="MOH13" s="253" t="n"/>
      <c r="MOI13" s="253" t="n"/>
      <c r="MOJ13" s="253" t="n"/>
      <c r="MOK13" s="253" t="n"/>
      <c r="MOL13" s="253" t="n"/>
      <c r="MOM13" s="253" t="n"/>
      <c r="MON13" s="253" t="n"/>
      <c r="MOO13" s="253" t="n"/>
      <c r="MOP13" s="253" t="n"/>
      <c r="MOQ13" s="253" t="n"/>
      <c r="MOR13" s="253" t="n"/>
      <c r="MOS13" s="253" t="n"/>
      <c r="MOT13" s="253" t="n"/>
      <c r="MOU13" s="253" t="n"/>
      <c r="MOV13" s="253" t="n"/>
      <c r="MOW13" s="253" t="n"/>
      <c r="MOX13" s="253" t="n"/>
      <c r="MOY13" s="253" t="n"/>
      <c r="MOZ13" s="253" t="n"/>
      <c r="MPA13" s="253" t="n"/>
      <c r="MPB13" s="253" t="n"/>
      <c r="MPC13" s="253" t="n"/>
      <c r="MPD13" s="253" t="n"/>
      <c r="MPE13" s="253" t="n"/>
      <c r="MPF13" s="253" t="n"/>
      <c r="MPG13" s="253" t="n"/>
      <c r="MPH13" s="253" t="n"/>
      <c r="MPI13" s="253" t="n"/>
      <c r="MPJ13" s="253" t="n"/>
      <c r="MPK13" s="253" t="n"/>
      <c r="MPL13" s="253" t="n"/>
      <c r="MPM13" s="253" t="n"/>
      <c r="MPN13" s="253" t="n"/>
      <c r="MPO13" s="253" t="n"/>
      <c r="MPP13" s="253" t="n"/>
      <c r="MPQ13" s="253" t="n"/>
      <c r="MPR13" s="253" t="n"/>
      <c r="MPS13" s="253" t="n"/>
      <c r="MPT13" s="253" t="n"/>
      <c r="MPU13" s="253" t="n"/>
      <c r="MPV13" s="253" t="n"/>
      <c r="MPW13" s="253" t="n"/>
      <c r="MPX13" s="253" t="n"/>
      <c r="MPY13" s="253" t="n"/>
      <c r="MPZ13" s="253" t="n"/>
      <c r="MQA13" s="253" t="n"/>
      <c r="MQB13" s="253" t="n"/>
      <c r="MQC13" s="253" t="n"/>
      <c r="MQD13" s="253" t="n"/>
      <c r="MQE13" s="253" t="n"/>
      <c r="MQF13" s="253" t="n"/>
      <c r="MQG13" s="253" t="n"/>
      <c r="MQH13" s="253" t="n"/>
      <c r="MQI13" s="253" t="n"/>
      <c r="MQJ13" s="253" t="n"/>
      <c r="MQK13" s="253" t="n"/>
      <c r="MQL13" s="253" t="n"/>
      <c r="MQM13" s="253" t="n"/>
      <c r="MQN13" s="253" t="n"/>
      <c r="MQO13" s="253" t="n"/>
      <c r="MQP13" s="253" t="n"/>
      <c r="MQQ13" s="253" t="n"/>
      <c r="MQR13" s="253" t="n"/>
      <c r="MQS13" s="253" t="n"/>
      <c r="MQT13" s="253" t="n"/>
      <c r="MQU13" s="253" t="n"/>
      <c r="MQV13" s="253" t="n"/>
      <c r="MQW13" s="253" t="n"/>
      <c r="MQX13" s="253" t="n"/>
      <c r="MQY13" s="253" t="n"/>
      <c r="MQZ13" s="253" t="n"/>
      <c r="MRA13" s="253" t="n"/>
      <c r="MRB13" s="253" t="n"/>
      <c r="MRC13" s="253" t="n"/>
      <c r="MRD13" s="253" t="n"/>
      <c r="MRE13" s="253" t="n"/>
      <c r="MRF13" s="253" t="n"/>
      <c r="MRG13" s="253" t="n"/>
      <c r="MRH13" s="253" t="n"/>
      <c r="MRI13" s="253" t="n"/>
      <c r="MRJ13" s="253" t="n"/>
      <c r="MRK13" s="253" t="n"/>
      <c r="MRL13" s="253" t="n"/>
      <c r="MRM13" s="253" t="n"/>
      <c r="MRN13" s="253" t="n"/>
      <c r="MRO13" s="253" t="n"/>
      <c r="MRP13" s="253" t="n"/>
      <c r="MRQ13" s="253" t="n"/>
      <c r="MRR13" s="253" t="n"/>
      <c r="MRS13" s="253" t="n"/>
      <c r="MRT13" s="253" t="n"/>
      <c r="MRU13" s="253" t="n"/>
      <c r="MRV13" s="253" t="n"/>
      <c r="MRW13" s="253" t="n"/>
      <c r="MRX13" s="253" t="n"/>
      <c r="MRY13" s="253" t="n"/>
      <c r="MRZ13" s="253" t="n"/>
      <c r="MSA13" s="253" t="n"/>
      <c r="MSB13" s="253" t="n"/>
      <c r="MSC13" s="253" t="n"/>
      <c r="MSD13" s="253" t="n"/>
      <c r="MSE13" s="253" t="n"/>
      <c r="MSF13" s="253" t="n"/>
      <c r="MSG13" s="253" t="n"/>
      <c r="MSH13" s="253" t="n"/>
      <c r="MSI13" s="253" t="n"/>
      <c r="MSJ13" s="253" t="n"/>
      <c r="MSK13" s="253" t="n"/>
      <c r="MSL13" s="253" t="n"/>
      <c r="MSM13" s="253" t="n"/>
      <c r="MSN13" s="253" t="n"/>
      <c r="MSO13" s="253" t="n"/>
      <c r="MSP13" s="253" t="n"/>
      <c r="MSQ13" s="253" t="n"/>
      <c r="MSR13" s="253" t="n"/>
      <c r="MSS13" s="253" t="n"/>
      <c r="MST13" s="253" t="n"/>
      <c r="MSU13" s="253" t="n"/>
      <c r="MSV13" s="253" t="n"/>
      <c r="MSW13" s="253" t="n"/>
      <c r="MSX13" s="253" t="n"/>
      <c r="MSY13" s="253" t="n"/>
      <c r="MSZ13" s="253" t="n"/>
      <c r="MTA13" s="253" t="n"/>
      <c r="MTB13" s="253" t="n"/>
      <c r="MTC13" s="253" t="n"/>
      <c r="MTD13" s="253" t="n"/>
      <c r="MTE13" s="253" t="n"/>
      <c r="MTF13" s="253" t="n"/>
      <c r="MTG13" s="253" t="n"/>
      <c r="MTH13" s="253" t="n"/>
      <c r="MTI13" s="253" t="n"/>
      <c r="MTJ13" s="253" t="n"/>
      <c r="MTK13" s="253" t="n"/>
      <c r="MTL13" s="253" t="n"/>
      <c r="MTM13" s="253" t="n"/>
      <c r="MTN13" s="253" t="n"/>
      <c r="MTO13" s="253" t="n"/>
      <c r="MTP13" s="253" t="n"/>
      <c r="MTQ13" s="253" t="n"/>
      <c r="MTR13" s="253" t="n"/>
      <c r="MTS13" s="253" t="n"/>
      <c r="MTT13" s="253" t="n"/>
      <c r="MTU13" s="253" t="n"/>
      <c r="MTV13" s="253" t="n"/>
      <c r="MTW13" s="253" t="n"/>
      <c r="MTX13" s="253" t="n"/>
      <c r="MTY13" s="253" t="n"/>
      <c r="MTZ13" s="253" t="n"/>
      <c r="MUA13" s="253" t="n"/>
      <c r="MUB13" s="253" t="n"/>
      <c r="MUC13" s="253" t="n"/>
      <c r="MUD13" s="253" t="n"/>
      <c r="MUE13" s="253" t="n"/>
      <c r="MUF13" s="253" t="n"/>
      <c r="MUG13" s="253" t="n"/>
      <c r="MUH13" s="253" t="n"/>
      <c r="MUI13" s="253" t="n"/>
      <c r="MUJ13" s="253" t="n"/>
      <c r="MUK13" s="253" t="n"/>
      <c r="MUL13" s="253" t="n"/>
      <c r="MUM13" s="253" t="n"/>
      <c r="MUN13" s="253" t="n"/>
      <c r="MUO13" s="253" t="n"/>
      <c r="MUP13" s="253" t="n"/>
      <c r="MUQ13" s="253" t="n"/>
      <c r="MUR13" s="253" t="n"/>
      <c r="MUS13" s="253" t="n"/>
      <c r="MUT13" s="253" t="n"/>
      <c r="MUU13" s="253" t="n"/>
      <c r="MUV13" s="253" t="n"/>
      <c r="MUW13" s="253" t="n"/>
      <c r="MUX13" s="253" t="n"/>
      <c r="MUY13" s="253" t="n"/>
      <c r="MUZ13" s="253" t="n"/>
      <c r="MVA13" s="253" t="n"/>
      <c r="MVB13" s="253" t="n"/>
      <c r="MVC13" s="253" t="n"/>
      <c r="MVD13" s="253" t="n"/>
      <c r="MVE13" s="253" t="n"/>
      <c r="MVF13" s="253" t="n"/>
      <c r="MVG13" s="253" t="n"/>
      <c r="MVH13" s="253" t="n"/>
      <c r="MVI13" s="253" t="n"/>
      <c r="MVJ13" s="253" t="n"/>
      <c r="MVK13" s="253" t="n"/>
      <c r="MVL13" s="253" t="n"/>
      <c r="MVM13" s="253" t="n"/>
      <c r="MVN13" s="253" t="n"/>
      <c r="MVO13" s="253" t="n"/>
      <c r="MVP13" s="253" t="n"/>
      <c r="MVQ13" s="253" t="n"/>
      <c r="MVR13" s="253" t="n"/>
      <c r="MVS13" s="253" t="n"/>
      <c r="MVT13" s="253" t="n"/>
      <c r="MVU13" s="253" t="n"/>
      <c r="MVV13" s="253" t="n"/>
      <c r="MVW13" s="253" t="n"/>
      <c r="MVX13" s="253" t="n"/>
      <c r="MVY13" s="253" t="n"/>
      <c r="MVZ13" s="253" t="n"/>
      <c r="MWA13" s="253" t="n"/>
      <c r="MWB13" s="253" t="n"/>
      <c r="MWC13" s="253" t="n"/>
      <c r="MWD13" s="253" t="n"/>
      <c r="MWE13" s="253" t="n"/>
      <c r="MWF13" s="253" t="n"/>
      <c r="MWG13" s="253" t="n"/>
      <c r="MWH13" s="253" t="n"/>
      <c r="MWI13" s="253" t="n"/>
      <c r="MWJ13" s="253" t="n"/>
      <c r="MWK13" s="253" t="n"/>
      <c r="MWL13" s="253" t="n"/>
      <c r="MWM13" s="253" t="n"/>
      <c r="MWN13" s="253" t="n"/>
      <c r="MWO13" s="253" t="n"/>
      <c r="MWP13" s="253" t="n"/>
      <c r="MWQ13" s="253" t="n"/>
      <c r="MWR13" s="253" t="n"/>
      <c r="MWS13" s="253" t="n"/>
      <c r="MWT13" s="253" t="n"/>
      <c r="MWU13" s="253" t="n"/>
      <c r="MWV13" s="253" t="n"/>
      <c r="MWW13" s="253" t="n"/>
      <c r="MWX13" s="253" t="n"/>
      <c r="MWY13" s="253" t="n"/>
      <c r="MWZ13" s="253" t="n"/>
      <c r="MXA13" s="253" t="n"/>
      <c r="MXB13" s="253" t="n"/>
      <c r="MXC13" s="253" t="n"/>
      <c r="MXD13" s="253" t="n"/>
      <c r="MXE13" s="253" t="n"/>
      <c r="MXF13" s="253" t="n"/>
      <c r="MXG13" s="253" t="n"/>
      <c r="MXH13" s="253" t="n"/>
      <c r="MXI13" s="253" t="n"/>
      <c r="MXJ13" s="253" t="n"/>
      <c r="MXK13" s="253" t="n"/>
      <c r="MXL13" s="253" t="n"/>
      <c r="MXM13" s="253" t="n"/>
      <c r="MXN13" s="253" t="n"/>
      <c r="MXO13" s="253" t="n"/>
      <c r="MXP13" s="253" t="n"/>
      <c r="MXQ13" s="253" t="n"/>
      <c r="MXR13" s="253" t="n"/>
      <c r="MXS13" s="253" t="n"/>
      <c r="MXT13" s="253" t="n"/>
      <c r="MXU13" s="253" t="n"/>
      <c r="MXV13" s="253" t="n"/>
      <c r="MXW13" s="253" t="n"/>
      <c r="MXX13" s="253" t="n"/>
      <c r="MXY13" s="253" t="n"/>
      <c r="MXZ13" s="253" t="n"/>
      <c r="MYA13" s="253" t="n"/>
      <c r="MYB13" s="253" t="n"/>
      <c r="MYC13" s="253" t="n"/>
      <c r="MYD13" s="253" t="n"/>
      <c r="MYE13" s="253" t="n"/>
      <c r="MYF13" s="253" t="n"/>
      <c r="MYG13" s="253" t="n"/>
      <c r="MYH13" s="253" t="n"/>
      <c r="MYI13" s="253" t="n"/>
      <c r="MYJ13" s="253" t="n"/>
      <c r="MYK13" s="253" t="n"/>
      <c r="MYL13" s="253" t="n"/>
      <c r="MYM13" s="253" t="n"/>
      <c r="MYN13" s="253" t="n"/>
      <c r="MYO13" s="253" t="n"/>
      <c r="MYP13" s="253" t="n"/>
      <c r="MYQ13" s="253" t="n"/>
      <c r="MYR13" s="253" t="n"/>
      <c r="MYS13" s="253" t="n"/>
      <c r="MYT13" s="253" t="n"/>
      <c r="MYU13" s="253" t="n"/>
      <c r="MYV13" s="253" t="n"/>
      <c r="MYW13" s="253" t="n"/>
      <c r="MYX13" s="253" t="n"/>
      <c r="MYY13" s="253" t="n"/>
      <c r="MYZ13" s="253" t="n"/>
      <c r="MZA13" s="253" t="n"/>
      <c r="MZB13" s="253" t="n"/>
      <c r="MZC13" s="253" t="n"/>
      <c r="MZD13" s="253" t="n"/>
      <c r="MZE13" s="253" t="n"/>
      <c r="MZF13" s="253" t="n"/>
      <c r="MZG13" s="253" t="n"/>
      <c r="MZH13" s="253" t="n"/>
      <c r="MZI13" s="253" t="n"/>
      <c r="MZJ13" s="253" t="n"/>
      <c r="MZK13" s="253" t="n"/>
      <c r="MZL13" s="253" t="n"/>
      <c r="MZM13" s="253" t="n"/>
      <c r="MZN13" s="253" t="n"/>
      <c r="MZO13" s="253" t="n"/>
      <c r="MZP13" s="253" t="n"/>
      <c r="MZQ13" s="253" t="n"/>
      <c r="MZR13" s="253" t="n"/>
      <c r="MZS13" s="253" t="n"/>
      <c r="MZT13" s="253" t="n"/>
      <c r="MZU13" s="253" t="n"/>
      <c r="MZV13" s="253" t="n"/>
      <c r="MZW13" s="253" t="n"/>
      <c r="MZX13" s="253" t="n"/>
      <c r="MZY13" s="253" t="n"/>
      <c r="MZZ13" s="253" t="n"/>
      <c r="NAA13" s="253" t="n"/>
      <c r="NAB13" s="253" t="n"/>
      <c r="NAC13" s="253" t="n"/>
      <c r="NAD13" s="253" t="n"/>
      <c r="NAE13" s="253" t="n"/>
      <c r="NAF13" s="253" t="n"/>
      <c r="NAG13" s="253" t="n"/>
      <c r="NAH13" s="253" t="n"/>
      <c r="NAI13" s="253" t="n"/>
      <c r="NAJ13" s="253" t="n"/>
      <c r="NAK13" s="253" t="n"/>
      <c r="NAL13" s="253" t="n"/>
      <c r="NAM13" s="253" t="n"/>
      <c r="NAN13" s="253" t="n"/>
      <c r="NAO13" s="253" t="n"/>
      <c r="NAP13" s="253" t="n"/>
      <c r="NAQ13" s="253" t="n"/>
      <c r="NAR13" s="253" t="n"/>
      <c r="NAS13" s="253" t="n"/>
      <c r="NAT13" s="253" t="n"/>
      <c r="NAU13" s="253" t="n"/>
      <c r="NAV13" s="253" t="n"/>
      <c r="NAW13" s="253" t="n"/>
      <c r="NAX13" s="253" t="n"/>
      <c r="NAY13" s="253" t="n"/>
      <c r="NAZ13" s="253" t="n"/>
      <c r="NBA13" s="253" t="n"/>
      <c r="NBB13" s="253" t="n"/>
      <c r="NBC13" s="253" t="n"/>
      <c r="NBD13" s="253" t="n"/>
      <c r="NBE13" s="253" t="n"/>
      <c r="NBF13" s="253" t="n"/>
      <c r="NBG13" s="253" t="n"/>
      <c r="NBH13" s="253" t="n"/>
      <c r="NBI13" s="253" t="n"/>
      <c r="NBJ13" s="253" t="n"/>
      <c r="NBK13" s="253" t="n"/>
      <c r="NBL13" s="253" t="n"/>
      <c r="NBM13" s="253" t="n"/>
      <c r="NBN13" s="253" t="n"/>
      <c r="NBO13" s="253" t="n"/>
      <c r="NBP13" s="253" t="n"/>
      <c r="NBQ13" s="253" t="n"/>
      <c r="NBR13" s="253" t="n"/>
      <c r="NBS13" s="253" t="n"/>
      <c r="NBT13" s="253" t="n"/>
      <c r="NBU13" s="253" t="n"/>
      <c r="NBV13" s="253" t="n"/>
      <c r="NBW13" s="253" t="n"/>
      <c r="NBX13" s="253" t="n"/>
      <c r="NBY13" s="253" t="n"/>
      <c r="NBZ13" s="253" t="n"/>
      <c r="NCA13" s="253" t="n"/>
      <c r="NCB13" s="253" t="n"/>
      <c r="NCC13" s="253" t="n"/>
      <c r="NCD13" s="253" t="n"/>
      <c r="NCE13" s="253" t="n"/>
      <c r="NCF13" s="253" t="n"/>
      <c r="NCG13" s="253" t="n"/>
      <c r="NCH13" s="253" t="n"/>
      <c r="NCI13" s="253" t="n"/>
      <c r="NCJ13" s="253" t="n"/>
      <c r="NCK13" s="253" t="n"/>
      <c r="NCL13" s="253" t="n"/>
      <c r="NCM13" s="253" t="n"/>
      <c r="NCN13" s="253" t="n"/>
      <c r="NCO13" s="253" t="n"/>
      <c r="NCP13" s="253" t="n"/>
      <c r="NCQ13" s="253" t="n"/>
      <c r="NCR13" s="253" t="n"/>
      <c r="NCS13" s="253" t="n"/>
      <c r="NCT13" s="253" t="n"/>
      <c r="NCU13" s="253" t="n"/>
      <c r="NCV13" s="253" t="n"/>
      <c r="NCW13" s="253" t="n"/>
      <c r="NCX13" s="253" t="n"/>
      <c r="NCY13" s="253" t="n"/>
      <c r="NCZ13" s="253" t="n"/>
      <c r="NDA13" s="253" t="n"/>
      <c r="NDB13" s="253" t="n"/>
      <c r="NDC13" s="253" t="n"/>
      <c r="NDD13" s="253" t="n"/>
      <c r="NDE13" s="253" t="n"/>
      <c r="NDF13" s="253" t="n"/>
      <c r="NDG13" s="253" t="n"/>
      <c r="NDH13" s="253" t="n"/>
      <c r="NDI13" s="253" t="n"/>
      <c r="NDJ13" s="253" t="n"/>
      <c r="NDK13" s="253" t="n"/>
      <c r="NDL13" s="253" t="n"/>
      <c r="NDM13" s="253" t="n"/>
      <c r="NDN13" s="253" t="n"/>
      <c r="NDO13" s="253" t="n"/>
      <c r="NDP13" s="253" t="n"/>
      <c r="NDQ13" s="253" t="n"/>
      <c r="NDR13" s="253" t="n"/>
      <c r="NDS13" s="253" t="n"/>
      <c r="NDT13" s="253" t="n"/>
      <c r="NDU13" s="253" t="n"/>
      <c r="NDV13" s="253" t="n"/>
      <c r="NDW13" s="253" t="n"/>
      <c r="NDX13" s="253" t="n"/>
      <c r="NDY13" s="253" t="n"/>
      <c r="NDZ13" s="253" t="n"/>
      <c r="NEA13" s="253" t="n"/>
      <c r="NEB13" s="253" t="n"/>
      <c r="NEC13" s="253" t="n"/>
      <c r="NED13" s="253" t="n"/>
      <c r="NEE13" s="253" t="n"/>
      <c r="NEF13" s="253" t="n"/>
      <c r="NEG13" s="253" t="n"/>
      <c r="NEH13" s="253" t="n"/>
      <c r="NEI13" s="253" t="n"/>
      <c r="NEJ13" s="253" t="n"/>
      <c r="NEK13" s="253" t="n"/>
      <c r="NEL13" s="253" t="n"/>
      <c r="NEM13" s="253" t="n"/>
      <c r="NEN13" s="253" t="n"/>
      <c r="NEO13" s="253" t="n"/>
      <c r="NEP13" s="253" t="n"/>
      <c r="NEQ13" s="253" t="n"/>
      <c r="NER13" s="253" t="n"/>
      <c r="NES13" s="253" t="n"/>
      <c r="NET13" s="253" t="n"/>
      <c r="NEU13" s="253" t="n"/>
      <c r="NEV13" s="253" t="n"/>
      <c r="NEW13" s="253" t="n"/>
      <c r="NEX13" s="253" t="n"/>
      <c r="NEY13" s="253" t="n"/>
      <c r="NEZ13" s="253" t="n"/>
      <c r="NFA13" s="253" t="n"/>
      <c r="NFB13" s="253" t="n"/>
      <c r="NFC13" s="253" t="n"/>
      <c r="NFD13" s="253" t="n"/>
      <c r="NFE13" s="253" t="n"/>
      <c r="NFF13" s="253" t="n"/>
      <c r="NFG13" s="253" t="n"/>
      <c r="NFH13" s="253" t="n"/>
      <c r="NFI13" s="253" t="n"/>
      <c r="NFJ13" s="253" t="n"/>
      <c r="NFK13" s="253" t="n"/>
      <c r="NFL13" s="253" t="n"/>
      <c r="NFM13" s="253" t="n"/>
      <c r="NFN13" s="253" t="n"/>
      <c r="NFO13" s="253" t="n"/>
      <c r="NFP13" s="87" t="n"/>
    </row>
    <row r="14">
      <c r="KFK14" s="253" t="n"/>
      <c r="KFL14" s="253" t="n"/>
      <c r="KFM14" s="253" t="n"/>
      <c r="KFN14" s="253" t="n"/>
      <c r="KFO14" s="253" t="n"/>
      <c r="KFP14" s="253" t="n"/>
      <c r="KFQ14" s="253" t="n"/>
      <c r="KFR14" s="253" t="n"/>
      <c r="KFS14" s="253" t="n"/>
      <c r="KFT14" s="253" t="n"/>
      <c r="KFU14" s="253" t="n"/>
      <c r="KFV14" s="253" t="n"/>
      <c r="KFW14" s="253" t="n"/>
      <c r="KFX14" s="253" t="n"/>
      <c r="KFY14" s="253" t="n"/>
      <c r="KFZ14" s="253" t="n"/>
      <c r="KGA14" s="253" t="n"/>
      <c r="KGB14" s="253" t="n"/>
      <c r="KGC14" s="253" t="n"/>
      <c r="KGD14" s="253" t="n"/>
      <c r="KGE14" s="253" t="n"/>
      <c r="KGF14" s="253" t="n"/>
      <c r="KGG14" s="253" t="n"/>
      <c r="KGH14" s="253" t="n"/>
      <c r="KGI14" s="253" t="n"/>
      <c r="KGJ14" s="253" t="n"/>
      <c r="KGK14" s="253" t="n"/>
      <c r="KGL14" s="253" t="n"/>
      <c r="KGM14" s="253" t="n"/>
      <c r="KGN14" s="253" t="n"/>
      <c r="KGO14" s="253" t="n"/>
      <c r="KGP14" s="253" t="n"/>
      <c r="KGQ14" s="253" t="n"/>
      <c r="KGR14" s="253" t="n"/>
      <c r="KGS14" s="253" t="n"/>
      <c r="KGT14" s="253" t="n"/>
      <c r="KGU14" s="253" t="n"/>
      <c r="KGV14" s="253" t="n"/>
      <c r="KGW14" s="253" t="n"/>
      <c r="KGX14" s="253" t="n"/>
      <c r="KGY14" s="253" t="n"/>
      <c r="KGZ14" s="253" t="n"/>
      <c r="KHA14" s="253" t="n"/>
      <c r="KHB14" s="253" t="n"/>
      <c r="KHC14" s="253" t="n"/>
      <c r="KHD14" s="253" t="n"/>
      <c r="KHE14" s="253" t="n"/>
      <c r="KHF14" s="253" t="n"/>
      <c r="KHG14" s="253" t="n"/>
      <c r="KHH14" s="253" t="n"/>
      <c r="KHI14" s="253" t="n"/>
      <c r="KHJ14" s="253" t="n"/>
      <c r="KHK14" s="253" t="n"/>
      <c r="KHL14" s="253" t="n"/>
      <c r="KHM14" s="253" t="n"/>
      <c r="KHN14" s="253" t="n"/>
      <c r="KHO14" s="253" t="n"/>
      <c r="KHP14" s="253" t="n"/>
      <c r="KHQ14" s="253" t="n"/>
      <c r="KHR14" s="253" t="n"/>
      <c r="KHS14" s="253" t="n"/>
      <c r="KHT14" s="253" t="n"/>
      <c r="KHU14" s="253" t="n"/>
      <c r="KHV14" s="253" t="n"/>
      <c r="KHW14" s="253" t="n"/>
      <c r="KHX14" s="253" t="n"/>
      <c r="KHY14" s="253" t="n"/>
      <c r="KHZ14" s="253" t="n"/>
      <c r="KIA14" s="253" t="n"/>
      <c r="KIB14" s="253" t="n"/>
      <c r="KIC14" s="253" t="n"/>
      <c r="KID14" s="253" t="n"/>
      <c r="KIE14" s="253" t="n"/>
      <c r="KIF14" s="253" t="n"/>
      <c r="KIG14" s="253" t="n"/>
      <c r="KIH14" s="253" t="n"/>
      <c r="KII14" s="253" t="n"/>
      <c r="KIJ14" s="253" t="n"/>
      <c r="KIK14" s="253" t="n"/>
      <c r="KIL14" s="253" t="n"/>
      <c r="KIM14" s="253" t="n"/>
      <c r="KIN14" s="253" t="n"/>
      <c r="KIO14" s="253" t="n"/>
      <c r="KIP14" s="253" t="n"/>
      <c r="KIQ14" s="253" t="n"/>
      <c r="KIR14" s="253" t="n"/>
      <c r="KIS14" s="253" t="n"/>
      <c r="KIT14" s="253" t="n"/>
      <c r="KIU14" s="253" t="n"/>
      <c r="KIV14" s="253" t="n"/>
      <c r="KIW14" s="253" t="n"/>
      <c r="KIX14" s="253" t="n"/>
      <c r="KIY14" s="253" t="n"/>
      <c r="KIZ14" s="253" t="n"/>
      <c r="KJA14" s="253" t="n"/>
      <c r="KJB14" s="253" t="n"/>
      <c r="KJC14" s="253" t="n"/>
      <c r="KJD14" s="253" t="n"/>
      <c r="KJE14" s="253" t="n"/>
      <c r="KJF14" s="253" t="n"/>
      <c r="KJG14" s="253" t="n"/>
      <c r="KJH14" s="253" t="n"/>
      <c r="KJI14" s="253" t="n"/>
      <c r="KJJ14" s="253" t="n"/>
      <c r="KJK14" s="253" t="n"/>
      <c r="KJL14" s="253" t="n"/>
      <c r="KJM14" s="253" t="n"/>
      <c r="KJN14" s="253" t="n"/>
      <c r="KJO14" s="253" t="n"/>
      <c r="KJP14" s="253" t="n"/>
      <c r="KJQ14" s="253" t="n"/>
      <c r="KJR14" s="253" t="n"/>
      <c r="KJS14" s="253" t="n"/>
      <c r="KJT14" s="253" t="n"/>
      <c r="KJU14" s="253" t="n"/>
      <c r="KJV14" s="253" t="n"/>
      <c r="KJW14" s="253" t="n"/>
      <c r="KJX14" s="253" t="n"/>
      <c r="KJY14" s="253" t="n"/>
      <c r="KJZ14" s="253" t="n"/>
      <c r="KKA14" s="253" t="n"/>
      <c r="KKB14" s="253" t="n"/>
      <c r="KKC14" s="253" t="n"/>
      <c r="KKD14" s="253" t="n"/>
      <c r="KKE14" s="253" t="n"/>
      <c r="KKF14" s="253" t="n"/>
      <c r="KKG14" s="253" t="n"/>
      <c r="KKH14" s="253" t="n"/>
      <c r="KKI14" s="253" t="n"/>
      <c r="KKJ14" s="253" t="n"/>
      <c r="KKK14" s="253" t="n"/>
      <c r="KKL14" s="253" t="n"/>
      <c r="KKM14" s="253" t="n"/>
      <c r="KKN14" s="253" t="n"/>
      <c r="KKO14" s="253" t="n"/>
      <c r="KKP14" s="253" t="n"/>
      <c r="KKQ14" s="253" t="n"/>
      <c r="KKR14" s="253" t="n"/>
      <c r="KKS14" s="253" t="n"/>
      <c r="KKT14" s="253" t="n"/>
      <c r="KKU14" s="253" t="n"/>
      <c r="KKV14" s="253" t="n"/>
      <c r="KKW14" s="253" t="n"/>
      <c r="KKX14" s="253" t="n"/>
      <c r="KKY14" s="253" t="n"/>
      <c r="KKZ14" s="253" t="n"/>
      <c r="KLA14" s="253" t="n"/>
      <c r="KLB14" s="253" t="n"/>
      <c r="KLC14" s="253" t="n"/>
      <c r="KLD14" s="253" t="n"/>
      <c r="KLE14" s="253" t="n"/>
      <c r="KLF14" s="253" t="n"/>
      <c r="KLG14" s="253" t="n"/>
      <c r="KLH14" s="253" t="n"/>
      <c r="KLI14" s="253" t="n"/>
      <c r="KLJ14" s="253" t="n"/>
      <c r="KLK14" s="253" t="n"/>
      <c r="KLL14" s="253" t="n"/>
      <c r="KLM14" s="253" t="n"/>
      <c r="KLN14" s="253" t="n"/>
      <c r="KLO14" s="253" t="n"/>
      <c r="KLP14" s="253" t="n"/>
      <c r="KLQ14" s="253" t="n"/>
      <c r="KLR14" s="253" t="n"/>
      <c r="KLS14" s="253" t="n"/>
      <c r="KLT14" s="253" t="n"/>
      <c r="KLU14" s="253" t="n"/>
      <c r="KLV14" s="253" t="n"/>
      <c r="KLW14" s="253" t="n"/>
      <c r="KLX14" s="253" t="n"/>
      <c r="KLY14" s="253" t="n"/>
      <c r="KLZ14" s="253" t="n"/>
      <c r="KMA14" s="253" t="n"/>
      <c r="KMB14" s="253" t="n"/>
      <c r="KMC14" s="253" t="n"/>
      <c r="KMD14" s="253" t="n"/>
      <c r="KME14" s="253" t="n"/>
      <c r="KMF14" s="253" t="n"/>
      <c r="KMG14" s="253" t="n"/>
      <c r="KMH14" s="253" t="n"/>
      <c r="KMI14" s="253" t="n"/>
      <c r="KMJ14" s="253" t="n"/>
      <c r="KMK14" s="253" t="n"/>
      <c r="KML14" s="253" t="n"/>
      <c r="KMM14" s="253" t="n"/>
      <c r="KMN14" s="253" t="n"/>
      <c r="KMO14" s="253" t="n"/>
      <c r="KMP14" s="253" t="n"/>
      <c r="KMQ14" s="253" t="n"/>
      <c r="KMR14" s="253" t="n"/>
      <c r="KMS14" s="253" t="n"/>
      <c r="KMT14" s="253" t="n"/>
      <c r="KMU14" s="253" t="n"/>
      <c r="KMV14" s="253" t="n"/>
      <c r="KMW14" s="253" t="n"/>
      <c r="KMX14" s="253" t="n"/>
      <c r="KMY14" s="253" t="n"/>
      <c r="KMZ14" s="253" t="n"/>
      <c r="KNA14" s="253" t="n"/>
      <c r="KNB14" s="253" t="n"/>
      <c r="KNC14" s="253" t="n"/>
      <c r="KND14" s="253" t="n"/>
      <c r="KNE14" s="253" t="n"/>
      <c r="KNF14" s="253" t="n"/>
      <c r="KNG14" s="253" t="n"/>
      <c r="KNH14" s="253" t="n"/>
      <c r="KNI14" s="253" t="n"/>
      <c r="KNJ14" s="253" t="n"/>
      <c r="KNK14" s="253" t="n"/>
      <c r="KNL14" s="253" t="n"/>
      <c r="KNM14" s="253" t="n"/>
      <c r="KNN14" s="253" t="n"/>
      <c r="KNO14" s="253" t="n"/>
      <c r="KNP14" s="253" t="n"/>
      <c r="KNQ14" s="253" t="n"/>
      <c r="KNR14" s="253" t="n"/>
      <c r="KNS14" s="253" t="n"/>
      <c r="KNT14" s="253" t="n"/>
      <c r="KNU14" s="253" t="n"/>
      <c r="KNV14" s="253" t="n"/>
      <c r="KNW14" s="253" t="n"/>
      <c r="KNX14" s="253" t="n"/>
      <c r="KNY14" s="253" t="n"/>
      <c r="KNZ14" s="253" t="n"/>
      <c r="KOA14" s="253" t="n"/>
      <c r="KOB14" s="253" t="n"/>
      <c r="KOC14" s="253" t="n"/>
      <c r="KOD14" s="253" t="n"/>
      <c r="KOE14" s="253" t="n"/>
      <c r="KOF14" s="253" t="n"/>
      <c r="KOG14" s="253" t="n"/>
      <c r="KOH14" s="253" t="n"/>
      <c r="KOI14" s="253" t="n"/>
      <c r="KOJ14" s="253" t="n"/>
      <c r="KOK14" s="253" t="n"/>
      <c r="KOL14" s="253" t="n"/>
      <c r="KOM14" s="253" t="n"/>
      <c r="KON14" s="253" t="n"/>
      <c r="KOO14" s="253" t="n"/>
      <c r="KOP14" s="253" t="n"/>
      <c r="KOQ14" s="253" t="n"/>
      <c r="KOR14" s="253" t="n"/>
      <c r="KOS14" s="253" t="n"/>
      <c r="KOT14" s="253" t="n"/>
      <c r="KOU14" s="253" t="n"/>
      <c r="KOV14" s="253" t="n"/>
      <c r="KOW14" s="253" t="n"/>
      <c r="KOX14" s="253" t="n"/>
      <c r="KOY14" s="253" t="n"/>
      <c r="KOZ14" s="253" t="n"/>
      <c r="KPA14" s="253" t="n"/>
      <c r="KPB14" s="253" t="n"/>
      <c r="KPC14" s="253" t="n"/>
      <c r="KPD14" s="253" t="n"/>
      <c r="KPE14" s="253" t="n"/>
      <c r="KPF14" s="253" t="n"/>
      <c r="KPG14" s="253" t="n"/>
      <c r="KPH14" s="253" t="n"/>
      <c r="KPI14" s="253" t="n"/>
      <c r="KPJ14" s="253" t="n"/>
      <c r="KPK14" s="253" t="n"/>
      <c r="KPL14" s="253" t="n"/>
      <c r="KPM14" s="253" t="n"/>
      <c r="KPN14" s="253" t="n"/>
      <c r="KPO14" s="253" t="n"/>
      <c r="KPP14" s="253" t="n"/>
      <c r="KPQ14" s="253" t="n"/>
      <c r="KPR14" s="253" t="n"/>
      <c r="KPS14" s="253" t="n"/>
      <c r="KPT14" s="253" t="n"/>
      <c r="KPU14" s="253" t="n"/>
      <c r="KPV14" s="253" t="n"/>
      <c r="KPW14" s="253" t="n"/>
      <c r="KPX14" s="253" t="n"/>
      <c r="KPY14" s="253" t="n"/>
      <c r="KPZ14" s="253" t="n"/>
      <c r="KQA14" s="253" t="n"/>
      <c r="KQB14" s="253" t="n"/>
      <c r="KQC14" s="253" t="n"/>
      <c r="KQD14" s="253" t="n"/>
      <c r="KQE14" s="253" t="n"/>
      <c r="KQF14" s="253" t="n"/>
      <c r="KQG14" s="253" t="n"/>
      <c r="KQH14" s="253" t="n"/>
      <c r="KQI14" s="253" t="n"/>
      <c r="KQJ14" s="253" t="n"/>
      <c r="KQK14" s="253" t="n"/>
      <c r="KQL14" s="253" t="n"/>
      <c r="KQM14" s="253" t="n"/>
      <c r="KQN14" s="253" t="n"/>
      <c r="KQO14" s="253" t="n"/>
      <c r="KQP14" s="253" t="n"/>
      <c r="KQQ14" s="253" t="n"/>
      <c r="KQR14" s="253" t="n"/>
      <c r="KQS14" s="253" t="n"/>
      <c r="KQT14" s="253" t="n"/>
      <c r="KQU14" s="253" t="n"/>
      <c r="KQV14" s="253" t="n"/>
      <c r="KQW14" s="253" t="n"/>
      <c r="KQX14" s="253" t="n"/>
      <c r="KQY14" s="253" t="n"/>
      <c r="KQZ14" s="253" t="n"/>
      <c r="KRA14" s="253" t="n"/>
      <c r="KRB14" s="253" t="n"/>
      <c r="KRC14" s="253" t="n"/>
      <c r="KRD14" s="253" t="n"/>
      <c r="KRE14" s="253" t="n"/>
      <c r="KRF14" s="253" t="n"/>
      <c r="KRG14" s="253" t="n"/>
      <c r="KRH14" s="253" t="n"/>
      <c r="KRI14" s="253" t="n"/>
      <c r="KRJ14" s="253" t="n"/>
      <c r="KRK14" s="253" t="n"/>
      <c r="KRL14" s="253" t="n"/>
      <c r="KRM14" s="253" t="n"/>
      <c r="KRN14" s="253" t="n"/>
      <c r="KRO14" s="253" t="n"/>
      <c r="KRP14" s="253" t="n"/>
      <c r="KRQ14" s="253" t="n"/>
      <c r="KRR14" s="253" t="n"/>
      <c r="KRS14" s="253" t="n"/>
      <c r="KRT14" s="253" t="n"/>
      <c r="KRU14" s="253" t="n"/>
      <c r="KRV14" s="253" t="n"/>
      <c r="KRW14" s="253" t="n"/>
      <c r="KRX14" s="253" t="n"/>
      <c r="KRY14" s="253" t="n"/>
      <c r="KRZ14" s="253" t="n"/>
      <c r="KSA14" s="253" t="n"/>
      <c r="KSB14" s="253" t="n"/>
      <c r="KSC14" s="253" t="n"/>
      <c r="KSD14" s="253" t="n"/>
      <c r="KSE14" s="253" t="n"/>
      <c r="KSF14" s="253" t="n"/>
      <c r="KSG14" s="253" t="n"/>
      <c r="KSH14" s="253" t="n"/>
      <c r="KSI14" s="253" t="n"/>
      <c r="KSJ14" s="253" t="n"/>
      <c r="KSK14" s="253" t="n"/>
      <c r="KSL14" s="253" t="n"/>
      <c r="KSM14" s="253" t="n"/>
      <c r="KSN14" s="253" t="n"/>
      <c r="KSO14" s="253" t="n"/>
      <c r="KSP14" s="253" t="n"/>
      <c r="KSQ14" s="253" t="n"/>
      <c r="KSR14" s="253" t="n"/>
      <c r="KSS14" s="253" t="n"/>
      <c r="KST14" s="253" t="n"/>
      <c r="KSU14" s="253" t="n"/>
      <c r="KSV14" s="253" t="n"/>
      <c r="KSW14" s="253" t="n"/>
      <c r="KSX14" s="253" t="n"/>
      <c r="KSY14" s="253" t="n"/>
      <c r="KSZ14" s="253" t="n"/>
      <c r="KTA14" s="253" t="n"/>
      <c r="KTB14" s="253" t="n"/>
      <c r="KTC14" s="253" t="n"/>
      <c r="KTD14" s="253" t="n"/>
      <c r="KTE14" s="253" t="n"/>
      <c r="KTF14" s="253" t="n"/>
      <c r="KTG14" s="253" t="n"/>
      <c r="KTH14" s="253" t="n"/>
      <c r="KTI14" s="253" t="n"/>
      <c r="KTJ14" s="253" t="n"/>
      <c r="KTK14" s="253" t="n"/>
      <c r="KTL14" s="253" t="n"/>
      <c r="KTM14" s="253" t="n"/>
      <c r="KTN14" s="253" t="n"/>
      <c r="KTO14" s="253" t="n"/>
      <c r="KTP14" s="253" t="n"/>
      <c r="KTQ14" s="253" t="n"/>
      <c r="KTR14" s="253" t="n"/>
      <c r="KTS14" s="253" t="n"/>
      <c r="KTT14" s="253" t="n"/>
      <c r="KTU14" s="253" t="n"/>
      <c r="KTV14" s="253" t="n"/>
      <c r="KTW14" s="253" t="n"/>
      <c r="KTX14" s="253" t="n"/>
      <c r="KTY14" s="253" t="n"/>
      <c r="KTZ14" s="253" t="n"/>
      <c r="KUA14" s="253" t="n"/>
      <c r="KUB14" s="253" t="n"/>
      <c r="KUC14" s="253" t="n"/>
      <c r="KUD14" s="253" t="n"/>
      <c r="KUE14" s="253" t="n"/>
      <c r="KUF14" s="253" t="n"/>
      <c r="KUG14" s="253" t="n"/>
      <c r="KUH14" s="253" t="n"/>
      <c r="KUI14" s="253" t="n"/>
      <c r="KUJ14" s="253" t="n"/>
      <c r="KUK14" s="253" t="n"/>
      <c r="KUL14" s="253" t="n"/>
      <c r="KUM14" s="253" t="n"/>
      <c r="KUN14" s="253" t="n"/>
      <c r="KUO14" s="253" t="n"/>
      <c r="KUP14" s="253" t="n"/>
      <c r="KUQ14" s="253" t="n"/>
      <c r="KUR14" s="253" t="n"/>
      <c r="KUS14" s="253" t="n"/>
      <c r="KUT14" s="253" t="n"/>
      <c r="KUU14" s="253" t="n"/>
      <c r="KUV14" s="253" t="n"/>
      <c r="KUW14" s="253" t="n"/>
      <c r="KUX14" s="253" t="n"/>
      <c r="KUY14" s="253" t="n"/>
      <c r="KUZ14" s="253" t="n"/>
      <c r="KVA14" s="253" t="n"/>
      <c r="KVB14" s="253" t="n"/>
      <c r="KVC14" s="253" t="n"/>
      <c r="KVD14" s="253" t="n"/>
      <c r="KVE14" s="253" t="n"/>
      <c r="KVF14" s="253" t="n"/>
      <c r="KVG14" s="253" t="n"/>
      <c r="KVH14" s="253" t="n"/>
      <c r="KVI14" s="253" t="n"/>
      <c r="KVJ14" s="253" t="n"/>
      <c r="KVK14" s="253" t="n"/>
      <c r="KVL14" s="253" t="n"/>
      <c r="KVM14" s="253" t="n"/>
      <c r="KVN14" s="253" t="n"/>
      <c r="KVO14" s="253" t="n"/>
      <c r="KVP14" s="253" t="n"/>
      <c r="KVQ14" s="253" t="n"/>
      <c r="KVR14" s="253" t="n"/>
      <c r="KVS14" s="253" t="n"/>
      <c r="KVT14" s="253" t="n"/>
      <c r="KVU14" s="253" t="n"/>
      <c r="KVV14" s="253" t="n"/>
      <c r="KVW14" s="253" t="n"/>
      <c r="KVX14" s="253" t="n"/>
      <c r="KVY14" s="253" t="n"/>
      <c r="KVZ14" s="253" t="n"/>
      <c r="KWA14" s="253" t="n"/>
      <c r="KWB14" s="253" t="n"/>
      <c r="KWC14" s="253" t="n"/>
      <c r="KWD14" s="253" t="n"/>
      <c r="KWE14" s="253" t="n"/>
      <c r="KWF14" s="253" t="n"/>
      <c r="KWG14" s="253" t="n"/>
      <c r="KWH14" s="253" t="n"/>
      <c r="KWI14" s="253" t="n"/>
      <c r="KWJ14" s="253" t="n"/>
      <c r="KWK14" s="253" t="n"/>
      <c r="KWL14" s="253" t="n"/>
      <c r="KWM14" s="253" t="n"/>
      <c r="KWN14" s="253" t="n"/>
      <c r="KWO14" s="253" t="n"/>
      <c r="KWP14" s="253" t="n"/>
      <c r="KWQ14" s="253" t="n"/>
      <c r="KWR14" s="253" t="n"/>
      <c r="KWS14" s="253" t="n"/>
      <c r="KWT14" s="253" t="n"/>
      <c r="KWU14" s="253" t="n"/>
      <c r="KWV14" s="253" t="n"/>
      <c r="KWW14" s="253" t="n"/>
      <c r="KWX14" s="253" t="n"/>
      <c r="KWY14" s="253" t="n"/>
      <c r="KWZ14" s="253" t="n"/>
      <c r="KXA14" s="253" t="n"/>
      <c r="KXB14" s="253" t="n"/>
      <c r="KXC14" s="253" t="n"/>
      <c r="KXD14" s="253" t="n"/>
      <c r="KXE14" s="253" t="n"/>
      <c r="KXF14" s="253" t="n"/>
      <c r="KXG14" s="253" t="n"/>
      <c r="KXH14" s="253" t="n"/>
      <c r="KXI14" s="253" t="n"/>
      <c r="KXJ14" s="253" t="n"/>
      <c r="KXK14" s="253" t="n"/>
      <c r="KXL14" s="253" t="n"/>
      <c r="KXM14" s="253" t="n"/>
      <c r="KXN14" s="253" t="n"/>
      <c r="KXO14" s="253" t="n"/>
      <c r="KXP14" s="253" t="n"/>
      <c r="KXQ14" s="253" t="n"/>
      <c r="KXR14" s="253" t="n"/>
      <c r="KXS14" s="253" t="n"/>
      <c r="KXT14" s="253" t="n"/>
      <c r="KXU14" s="253" t="n"/>
      <c r="KXV14" s="253" t="n"/>
      <c r="KXW14" s="253" t="n"/>
      <c r="KXX14" s="253" t="n"/>
      <c r="KXY14" s="253" t="n"/>
      <c r="KXZ14" s="253" t="n"/>
      <c r="KYA14" s="253" t="n"/>
      <c r="KYB14" s="253" t="n"/>
      <c r="KYC14" s="253" t="n"/>
      <c r="KYD14" s="253" t="n"/>
      <c r="KYE14" s="253" t="n"/>
      <c r="KYF14" s="253" t="n"/>
      <c r="KYG14" s="253" t="n"/>
      <c r="KYH14" s="253" t="n"/>
      <c r="KYI14" s="253" t="n"/>
      <c r="KYJ14" s="253" t="n"/>
      <c r="KYK14" s="253" t="n"/>
      <c r="KYL14" s="253" t="n"/>
      <c r="KYM14" s="253" t="n"/>
      <c r="KYN14" s="253" t="n"/>
      <c r="KYO14" s="253" t="n"/>
      <c r="KYP14" s="253" t="n"/>
      <c r="KYQ14" s="253" t="n"/>
      <c r="KYR14" s="253" t="n"/>
      <c r="KYS14" s="253" t="n"/>
      <c r="KYT14" s="253" t="n"/>
      <c r="KYU14" s="253" t="n"/>
      <c r="KYV14" s="253" t="n"/>
      <c r="KYW14" s="253" t="n"/>
      <c r="KYX14" s="253" t="n"/>
      <c r="KYY14" s="253" t="n"/>
      <c r="KYZ14" s="253" t="n"/>
      <c r="KZA14" s="253" t="n"/>
      <c r="KZB14" s="253" t="n"/>
      <c r="KZC14" s="253" t="n"/>
      <c r="KZD14" s="253" t="n"/>
      <c r="KZE14" s="253" t="n"/>
      <c r="KZF14" s="253" t="n"/>
      <c r="KZG14" s="253" t="n"/>
      <c r="KZH14" s="253" t="n"/>
      <c r="KZI14" s="253" t="n"/>
      <c r="KZJ14" s="253" t="n"/>
      <c r="KZK14" s="253" t="n"/>
      <c r="KZL14" s="253" t="n"/>
      <c r="KZM14" s="253" t="n"/>
      <c r="KZN14" s="253" t="n"/>
      <c r="KZO14" s="253" t="n"/>
      <c r="KZP14" s="253" t="n"/>
      <c r="KZQ14" s="253" t="n"/>
      <c r="KZR14" s="253" t="n"/>
      <c r="KZS14" s="253" t="n"/>
      <c r="KZT14" s="253" t="n"/>
      <c r="KZU14" s="253" t="n"/>
      <c r="KZV14" s="253" t="n"/>
      <c r="KZW14" s="253" t="n"/>
      <c r="KZX14" s="253" t="n"/>
      <c r="KZY14" s="253" t="n"/>
      <c r="KZZ14" s="253" t="n"/>
      <c r="LAA14" s="253" t="n"/>
      <c r="LAB14" s="253" t="n"/>
      <c r="LAC14" s="253" t="n"/>
      <c r="LAD14" s="253" t="n"/>
      <c r="LAE14" s="253" t="n"/>
      <c r="LAF14" s="253" t="n"/>
      <c r="LAG14" s="253" t="n"/>
      <c r="LAH14" s="253" t="n"/>
      <c r="LAI14" s="253" t="n"/>
      <c r="LAJ14" s="253" t="n"/>
      <c r="LAK14" s="253" t="n"/>
      <c r="LAL14" s="253" t="n"/>
      <c r="LAM14" s="253" t="n"/>
      <c r="LAN14" s="253" t="n"/>
      <c r="LAO14" s="253" t="n"/>
      <c r="LAP14" s="253" t="n"/>
      <c r="LAQ14" s="253" t="n"/>
      <c r="LAR14" s="253" t="n"/>
      <c r="LAS14" s="253" t="n"/>
      <c r="LAT14" s="253" t="n"/>
      <c r="LAU14" s="253" t="n"/>
      <c r="LAV14" s="253" t="n"/>
      <c r="LAW14" s="253" t="n"/>
      <c r="LAX14" s="253" t="n"/>
      <c r="LAY14" s="253" t="n"/>
      <c r="LAZ14" s="253" t="n"/>
      <c r="LBA14" s="253" t="n"/>
      <c r="LBB14" s="253" t="n"/>
      <c r="LBC14" s="253" t="n"/>
      <c r="LBD14" s="253" t="n"/>
      <c r="LBE14" s="253" t="n"/>
      <c r="LBF14" s="253" t="n"/>
      <c r="LBG14" s="253" t="n"/>
      <c r="LBH14" s="253" t="n"/>
      <c r="LBI14" s="253" t="n"/>
      <c r="LBJ14" s="253" t="n"/>
      <c r="LBK14" s="253" t="n"/>
      <c r="LBL14" s="253" t="n"/>
      <c r="LBM14" s="253" t="n"/>
      <c r="LBN14" s="253" t="n"/>
      <c r="LBO14" s="253" t="n"/>
      <c r="LBP14" s="253" t="n"/>
      <c r="LBQ14" s="253" t="n"/>
      <c r="LBR14" s="253" t="n"/>
      <c r="LBS14" s="253" t="n"/>
      <c r="LBT14" s="253" t="n"/>
      <c r="LBU14" s="253" t="n"/>
      <c r="LBV14" s="253" t="n"/>
      <c r="LBW14" s="253" t="n"/>
      <c r="LBX14" s="253" t="n"/>
      <c r="LBY14" s="253" t="n"/>
      <c r="LBZ14" s="253" t="n"/>
      <c r="LCA14" s="253" t="n"/>
      <c r="LCB14" s="253" t="n"/>
      <c r="LCC14" s="253" t="n"/>
      <c r="LCD14" s="253" t="n"/>
      <c r="LCE14" s="253" t="n"/>
      <c r="LCF14" s="253" t="n"/>
      <c r="LCG14" s="253" t="n"/>
      <c r="LCH14" s="253" t="n"/>
      <c r="LCI14" s="253" t="n"/>
      <c r="LCJ14" s="253" t="n"/>
      <c r="LCK14" s="253" t="n"/>
      <c r="LCL14" s="253" t="n"/>
      <c r="LCM14" s="253" t="n"/>
      <c r="LCN14" s="253" t="n"/>
      <c r="LCO14" s="253" t="n"/>
      <c r="LCP14" s="253" t="n"/>
      <c r="LCQ14" s="253" t="n"/>
      <c r="LCR14" s="253" t="n"/>
      <c r="LCS14" s="253" t="n"/>
      <c r="LCT14" s="253" t="n"/>
      <c r="LCU14" s="253" t="n"/>
      <c r="LCV14" s="253" t="n"/>
      <c r="LCW14" s="253" t="n"/>
      <c r="LCX14" s="253" t="n"/>
      <c r="LCY14" s="253" t="n"/>
      <c r="LCZ14" s="253" t="n"/>
      <c r="LDA14" s="253" t="n"/>
      <c r="LDB14" s="253" t="n"/>
      <c r="LDC14" s="253" t="n"/>
      <c r="LDD14" s="253" t="n"/>
      <c r="LDE14" s="253" t="n"/>
      <c r="LDF14" s="253" t="n"/>
      <c r="LDG14" s="253" t="n"/>
      <c r="LDH14" s="253" t="n"/>
      <c r="LDI14" s="253" t="n"/>
      <c r="LDJ14" s="253" t="n"/>
      <c r="LDK14" s="253" t="n"/>
      <c r="LDL14" s="253" t="n"/>
      <c r="LDM14" s="253" t="n"/>
      <c r="LDN14" s="253" t="n"/>
      <c r="LDO14" s="253" t="n"/>
      <c r="LDP14" s="253" t="n"/>
      <c r="LDQ14" s="253" t="n"/>
      <c r="LDR14" s="253" t="n"/>
      <c r="LDS14" s="253" t="n"/>
      <c r="LDT14" s="253" t="n"/>
      <c r="LDU14" s="253" t="n"/>
      <c r="LDV14" s="253" t="n"/>
      <c r="LDW14" s="253" t="n"/>
      <c r="LDX14" s="253" t="n"/>
      <c r="LDY14" s="253" t="n"/>
      <c r="LDZ14" s="253" t="n"/>
      <c r="LEA14" s="253" t="n"/>
      <c r="LEB14" s="253" t="n"/>
      <c r="LEC14" s="253" t="n"/>
      <c r="LED14" s="253" t="n"/>
      <c r="LEE14" s="253" t="n"/>
      <c r="LEF14" s="253" t="n"/>
      <c r="LEG14" s="253" t="n"/>
      <c r="LEH14" s="253" t="n"/>
      <c r="LEI14" s="253" t="n"/>
      <c r="LEJ14" s="253" t="n"/>
      <c r="LEK14" s="253" t="n"/>
      <c r="LEL14" s="253" t="n"/>
      <c r="LEM14" s="253" t="n"/>
      <c r="LEN14" s="253" t="n"/>
      <c r="LEO14" s="253" t="n"/>
      <c r="LEP14" s="253" t="n"/>
      <c r="LEQ14" s="253" t="n"/>
      <c r="LER14" s="253" t="n"/>
      <c r="LES14" s="253" t="n"/>
      <c r="LET14" s="253" t="n"/>
      <c r="LEU14" s="253" t="n"/>
      <c r="LEV14" s="253" t="n"/>
      <c r="LEW14" s="253" t="n"/>
      <c r="LEX14" s="253" t="n"/>
      <c r="LEY14" s="253" t="n"/>
      <c r="LEZ14" s="253" t="n"/>
      <c r="LFA14" s="253" t="n"/>
      <c r="LFB14" s="253" t="n"/>
      <c r="LFC14" s="253" t="n"/>
      <c r="LFD14" s="253" t="n"/>
      <c r="LFE14" s="253" t="n"/>
      <c r="LFF14" s="253" t="n"/>
      <c r="LFG14" s="253" t="n"/>
      <c r="LFH14" s="253" t="n"/>
      <c r="LFI14" s="253" t="n"/>
      <c r="LFJ14" s="253" t="n"/>
      <c r="LFK14" s="253" t="n"/>
      <c r="LFL14" s="252" t="n"/>
      <c r="LFM14" s="253" t="n"/>
      <c r="LFN14" s="253" t="n"/>
      <c r="LFO14" s="253" t="n"/>
      <c r="LFP14" s="253" t="n"/>
      <c r="LFQ14" s="253" t="n"/>
      <c r="LFR14" s="253" t="n"/>
      <c r="LFS14" s="253" t="n"/>
      <c r="LFT14" s="253" t="n"/>
      <c r="LFU14" s="253" t="n"/>
      <c r="LFV14" s="253" t="n"/>
      <c r="LFW14" s="253" t="n"/>
      <c r="LFX14" s="253" t="n"/>
      <c r="LFY14" s="253" t="n"/>
      <c r="LFZ14" s="253" t="n"/>
      <c r="LGA14" s="253" t="n"/>
      <c r="LGB14" s="253" t="n"/>
      <c r="LGC14" s="253" t="n"/>
      <c r="LGD14" s="253" t="n"/>
      <c r="LGE14" s="253" t="n"/>
      <c r="LGF14" s="253" t="n"/>
      <c r="LGG14" s="253" t="n"/>
      <c r="LGH14" s="253" t="n"/>
      <c r="LGI14" s="253" t="n"/>
      <c r="LGJ14" s="253" t="n"/>
      <c r="LGK14" s="253" t="n"/>
      <c r="LGL14" s="253" t="n"/>
      <c r="LGM14" s="253" t="n"/>
      <c r="LGN14" s="253" t="n"/>
      <c r="LGO14" s="253" t="n"/>
      <c r="LGP14" s="253" t="n"/>
      <c r="LGQ14" s="253" t="n"/>
      <c r="LGR14" s="253" t="n"/>
      <c r="LGS14" s="253" t="n"/>
      <c r="LGT14" s="253" t="n"/>
      <c r="LGU14" s="253" t="n"/>
      <c r="LGV14" s="253" t="n"/>
      <c r="LGW14" s="253" t="n"/>
      <c r="LGX14" s="253" t="n"/>
      <c r="LGY14" s="253" t="n"/>
      <c r="LGZ14" s="253" t="n"/>
      <c r="LHA14" s="253" t="n"/>
      <c r="LHB14" s="253" t="n"/>
      <c r="LHC14" s="253" t="n"/>
      <c r="LHD14" s="253" t="n"/>
      <c r="LHE14" s="253" t="n"/>
      <c r="LHF14" s="253" t="n"/>
      <c r="LHG14" s="253" t="n"/>
      <c r="LHH14" s="253" t="n"/>
      <c r="LHI14" s="253" t="n"/>
      <c r="LHJ14" s="253" t="n"/>
      <c r="LHK14" s="253" t="n"/>
      <c r="LHL14" s="253" t="n"/>
      <c r="LHM14" s="253" t="n"/>
      <c r="LHN14" s="253" t="n"/>
      <c r="LHO14" s="253" t="n"/>
      <c r="LHP14" s="253" t="n"/>
      <c r="LHQ14" s="253" t="n"/>
      <c r="LHR14" s="253" t="n"/>
      <c r="LHS14" s="253" t="n"/>
      <c r="LHT14" s="253" t="n"/>
      <c r="LHU14" s="253" t="n"/>
      <c r="LHV14" s="253" t="n"/>
      <c r="LHW14" s="253" t="n"/>
      <c r="LHX14" s="253" t="n"/>
      <c r="LHY14" s="253" t="n"/>
      <c r="LHZ14" s="253" t="n"/>
      <c r="LIA14" s="253" t="n"/>
      <c r="LIB14" s="253" t="n"/>
      <c r="LIC14" s="253" t="n"/>
      <c r="LID14" s="253" t="n"/>
      <c r="LIE14" s="253" t="n"/>
      <c r="LIF14" s="253" t="n"/>
      <c r="LIG14" s="253" t="n"/>
      <c r="LIH14" s="253" t="n"/>
      <c r="LII14" s="253" t="n"/>
      <c r="LIJ14" s="253" t="n"/>
      <c r="LIK14" s="253" t="n"/>
      <c r="LIL14" s="253" t="n"/>
      <c r="LIM14" s="253" t="n"/>
      <c r="LIN14" s="253" t="n"/>
      <c r="LIO14" s="253" t="n"/>
      <c r="LIP14" s="253" t="n"/>
      <c r="LIQ14" s="253" t="n"/>
      <c r="LIR14" s="253" t="n"/>
      <c r="LIS14" s="253" t="n"/>
      <c r="LIT14" s="253" t="n"/>
      <c r="LIU14" s="253" t="n"/>
      <c r="LIV14" s="253" t="n"/>
      <c r="LIW14" s="253" t="n"/>
      <c r="LIX14" s="253" t="n"/>
      <c r="LIY14" s="253" t="n"/>
      <c r="LIZ14" s="253" t="n"/>
      <c r="LJA14" s="253" t="n"/>
      <c r="LJB14" s="253" t="n"/>
      <c r="LJC14" s="253" t="n"/>
      <c r="LJD14" s="253" t="n"/>
      <c r="LJE14" s="253" t="n"/>
      <c r="LJF14" s="253" t="n"/>
      <c r="LJG14" s="253" t="n"/>
      <c r="LJH14" s="253" t="n"/>
      <c r="LJI14" s="253" t="n"/>
      <c r="LJJ14" s="253" t="n"/>
      <c r="LJK14" s="253" t="n"/>
      <c r="LJL14" s="253" t="n"/>
      <c r="LJM14" s="253" t="n"/>
      <c r="LJN14" s="253" t="n"/>
      <c r="LJO14" s="253" t="n"/>
      <c r="LJP14" s="253" t="n"/>
      <c r="LJQ14" s="253" t="n"/>
      <c r="LJR14" s="253" t="n"/>
      <c r="LJS14" s="253" t="n"/>
      <c r="LJT14" s="253" t="n"/>
      <c r="LJU14" s="253" t="n"/>
      <c r="LJV14" s="253" t="n"/>
      <c r="LJW14" s="253" t="n"/>
      <c r="LJX14" s="253" t="n"/>
      <c r="LJY14" s="253" t="n"/>
      <c r="LJZ14" s="253" t="n"/>
      <c r="LKA14" s="253" t="n"/>
      <c r="LKB14" s="253" t="n"/>
      <c r="LKC14" s="253" t="n"/>
      <c r="LKD14" s="253" t="n"/>
      <c r="LKE14" s="253" t="n"/>
      <c r="LKF14" s="253" t="n"/>
      <c r="LKG14" s="253" t="n"/>
      <c r="LKH14" s="253" t="n"/>
      <c r="LKI14" s="253" t="n"/>
      <c r="LKJ14" s="253" t="n"/>
      <c r="LKK14" s="253" t="n"/>
      <c r="LKL14" s="253" t="n"/>
      <c r="LKM14" s="253" t="n"/>
      <c r="LKN14" s="253" t="n"/>
      <c r="LKO14" s="253" t="n"/>
      <c r="LKP14" s="253" t="n"/>
      <c r="LKQ14" s="253" t="n"/>
      <c r="LKR14" s="253" t="n"/>
      <c r="LKS14" s="253" t="n"/>
      <c r="LKT14" s="253" t="n"/>
      <c r="LKU14" s="253" t="n"/>
      <c r="LKV14" s="253" t="n"/>
      <c r="LKW14" s="253" t="n"/>
      <c r="LKX14" s="253" t="n"/>
      <c r="LKY14" s="253" t="n"/>
      <c r="LKZ14" s="253" t="n"/>
      <c r="LLA14" s="253" t="n"/>
      <c r="LLB14" s="253" t="n"/>
      <c r="LLC14" s="253" t="n"/>
      <c r="LLD14" s="253" t="n"/>
      <c r="LLE14" s="253" t="n"/>
      <c r="LLF14" s="253" t="n"/>
      <c r="LLG14" s="253" t="n"/>
      <c r="LLH14" s="253" t="n"/>
      <c r="LLI14" s="253" t="n"/>
      <c r="LLJ14" s="253" t="n"/>
      <c r="LLK14" s="253" t="n"/>
      <c r="LLL14" s="253" t="n"/>
      <c r="LLM14" s="253" t="n"/>
      <c r="LLN14" s="253" t="n"/>
      <c r="LLO14" s="253" t="n"/>
      <c r="LLP14" s="253" t="n"/>
      <c r="LLQ14" s="253" t="n"/>
      <c r="LLR14" s="253" t="n"/>
      <c r="LLS14" s="253" t="n"/>
      <c r="LLT14" s="253" t="n"/>
      <c r="LLU14" s="253" t="n"/>
      <c r="LLV14" s="253" t="n"/>
      <c r="LLW14" s="253" t="n"/>
      <c r="LLX14" s="253" t="n"/>
      <c r="LLY14" s="253" t="n"/>
      <c r="LLZ14" s="253" t="n"/>
      <c r="LMA14" s="253" t="n"/>
      <c r="LMB14" s="253" t="n"/>
      <c r="LMC14" s="253" t="n"/>
      <c r="LMD14" s="253" t="n"/>
      <c r="LME14" s="253" t="n"/>
      <c r="LMF14" s="253" t="n"/>
      <c r="LMG14" s="253" t="n"/>
      <c r="LMH14" s="253" t="n"/>
      <c r="LMI14" s="253" t="n"/>
      <c r="LMJ14" s="253" t="n"/>
      <c r="LMK14" s="253" t="n"/>
      <c r="LML14" s="253" t="n"/>
      <c r="LMM14" s="253" t="n"/>
      <c r="LMN14" s="253" t="n"/>
      <c r="LMO14" s="253" t="n"/>
      <c r="LMP14" s="253" t="n"/>
      <c r="LMQ14" s="253" t="n"/>
      <c r="LMR14" s="253" t="n"/>
      <c r="LMS14" s="253" t="n"/>
      <c r="LMT14" s="253" t="n"/>
      <c r="LMU14" s="253" t="n"/>
      <c r="LMV14" s="253" t="n"/>
      <c r="LMW14" s="253" t="n"/>
      <c r="LMX14" s="253" t="n"/>
      <c r="LMY14" s="253" t="n"/>
      <c r="LMZ14" s="253" t="n"/>
      <c r="LNA14" s="253" t="n"/>
      <c r="LNB14" s="253" t="n"/>
      <c r="LNC14" s="253" t="n"/>
      <c r="LND14" s="253" t="n"/>
      <c r="LNE14" s="253" t="n"/>
      <c r="LNF14" s="253" t="n"/>
      <c r="LNG14" s="253" t="n"/>
      <c r="LNH14" s="253" t="n"/>
      <c r="LNI14" s="253" t="n"/>
      <c r="LNJ14" s="253" t="n"/>
      <c r="LNK14" s="253" t="n"/>
      <c r="LNL14" s="253" t="n"/>
      <c r="LNM14" s="253" t="n"/>
      <c r="LNN14" s="253" t="n"/>
      <c r="LNO14" s="253" t="n"/>
      <c r="LNP14" s="253" t="n"/>
      <c r="LNQ14" s="253" t="n"/>
      <c r="LNR14" s="253" t="n"/>
      <c r="LNS14" s="253" t="n"/>
      <c r="LNT14" s="253" t="n"/>
      <c r="LNU14" s="253" t="n"/>
      <c r="LNV14" s="253" t="n"/>
      <c r="LNW14" s="253" t="n"/>
      <c r="LNX14" s="253" t="n"/>
      <c r="LNY14" s="253" t="n"/>
      <c r="LNZ14" s="253" t="n"/>
      <c r="LOA14" s="253" t="n"/>
      <c r="LOB14" s="253" t="n"/>
      <c r="LOC14" s="253" t="n"/>
      <c r="LOD14" s="253" t="n"/>
      <c r="LOE14" s="253" t="n"/>
      <c r="LOF14" s="253" t="n"/>
      <c r="LOG14" s="253" t="n"/>
      <c r="LOH14" s="253" t="n"/>
      <c r="LOI14" s="253" t="n"/>
      <c r="LOJ14" s="253" t="n"/>
      <c r="LOK14" s="253" t="n"/>
      <c r="LOL14" s="253" t="n"/>
      <c r="LOM14" s="253" t="n"/>
      <c r="LON14" s="253" t="n"/>
      <c r="LOO14" s="253" t="n"/>
      <c r="LOP14" s="253" t="n"/>
      <c r="LOQ14" s="253" t="n"/>
      <c r="LOR14" s="253" t="n"/>
      <c r="LOS14" s="253" t="n"/>
      <c r="LOT14" s="253" t="n"/>
      <c r="LOU14" s="253" t="n"/>
      <c r="LOV14" s="253" t="n"/>
      <c r="LOW14" s="253" t="n"/>
      <c r="LOX14" s="253" t="n"/>
      <c r="LOY14" s="253" t="n"/>
      <c r="LOZ14" s="253" t="n"/>
      <c r="LPA14" s="253" t="n"/>
      <c r="LPB14" s="253" t="n"/>
      <c r="LPC14" s="253" t="n"/>
      <c r="LPD14" s="253" t="n"/>
      <c r="LPE14" s="253" t="n"/>
      <c r="LPF14" s="253" t="n"/>
      <c r="LPG14" s="253" t="n"/>
      <c r="LPH14" s="253" t="n"/>
      <c r="LPI14" s="253" t="n"/>
      <c r="LPJ14" s="253" t="n"/>
      <c r="LPK14" s="253" t="n"/>
      <c r="LPL14" s="253" t="n"/>
      <c r="LPM14" s="253" t="n"/>
      <c r="LPN14" s="253" t="n"/>
      <c r="LPO14" s="253" t="n"/>
      <c r="LPP14" s="253" t="n"/>
      <c r="LPQ14" s="253" t="n"/>
      <c r="LPR14" s="253" t="n"/>
      <c r="LPS14" s="253" t="n"/>
      <c r="LPT14" s="253" t="n"/>
      <c r="LPU14" s="253" t="n"/>
      <c r="LPV14" s="253" t="n"/>
      <c r="LPW14" s="253" t="n"/>
      <c r="LPX14" s="253" t="n"/>
      <c r="LPY14" s="253" t="n"/>
      <c r="LPZ14" s="253" t="n"/>
      <c r="LQA14" s="253" t="n"/>
      <c r="LQB14" s="253" t="n"/>
      <c r="LQC14" s="253" t="n"/>
      <c r="LQD14" s="253" t="n"/>
      <c r="LQE14" s="253" t="n"/>
      <c r="LQF14" s="253" t="n"/>
      <c r="LQG14" s="253" t="n"/>
      <c r="LQH14" s="253" t="n"/>
      <c r="LQI14" s="253" t="n"/>
      <c r="LQJ14" s="253" t="n"/>
      <c r="LQK14" s="253" t="n"/>
      <c r="LQL14" s="253" t="n"/>
      <c r="LQM14" s="253" t="n"/>
      <c r="LQN14" s="253" t="n"/>
      <c r="LQO14" s="253" t="n"/>
      <c r="LQP14" s="253" t="n"/>
      <c r="LQQ14" s="253" t="n"/>
      <c r="LQR14" s="253" t="n"/>
      <c r="LQS14" s="253" t="n"/>
      <c r="LQT14" s="253" t="n"/>
      <c r="LQU14" s="253" t="n"/>
      <c r="LQV14" s="253" t="n"/>
      <c r="LQW14" s="253" t="n"/>
      <c r="LQX14" s="253" t="n"/>
      <c r="LQY14" s="253" t="n"/>
      <c r="LQZ14" s="253" t="n"/>
      <c r="LRA14" s="253" t="n"/>
      <c r="LRB14" s="253" t="n"/>
      <c r="LRC14" s="253" t="n"/>
      <c r="LRD14" s="253" t="n"/>
      <c r="LRE14" s="253" t="n"/>
      <c r="LRF14" s="253" t="n"/>
      <c r="LRG14" s="253" t="n"/>
      <c r="LRH14" s="253" t="n"/>
      <c r="LRI14" s="253" t="n"/>
      <c r="LRJ14" s="253" t="n"/>
      <c r="LRK14" s="253" t="n"/>
      <c r="LRL14" s="253" t="n"/>
      <c r="LRM14" s="253" t="n"/>
      <c r="LRN14" s="253" t="n"/>
      <c r="LRO14" s="253" t="n"/>
      <c r="LRP14" s="253" t="n"/>
      <c r="LRQ14" s="253" t="n"/>
      <c r="LRR14" s="253" t="n"/>
      <c r="LRS14" s="253" t="n"/>
      <c r="LRT14" s="253" t="n"/>
      <c r="LRU14" s="253" t="n"/>
      <c r="LRV14" s="253" t="n"/>
      <c r="LRW14" s="253" t="n"/>
      <c r="LRX14" s="253" t="n"/>
      <c r="LRY14" s="253" t="n"/>
      <c r="LRZ14" s="253" t="n"/>
      <c r="LSA14" s="253" t="n"/>
      <c r="LSB14" s="253" t="n"/>
      <c r="LSC14" s="253" t="n"/>
      <c r="LSD14" s="253" t="n"/>
      <c r="LSE14" s="253" t="n"/>
      <c r="LSF14" s="253" t="n"/>
      <c r="LSG14" s="253" t="n"/>
      <c r="LSH14" s="253" t="n"/>
      <c r="LSI14" s="253" t="n"/>
      <c r="LSJ14" s="253" t="n"/>
      <c r="LSK14" s="253" t="n"/>
      <c r="LSL14" s="253" t="n"/>
      <c r="LSM14" s="253" t="n"/>
      <c r="LSN14" s="253" t="n"/>
      <c r="LSO14" s="253" t="n"/>
      <c r="LSP14" s="253" t="n"/>
      <c r="LSQ14" s="253" t="n"/>
      <c r="LSR14" s="253" t="n"/>
      <c r="LSS14" s="253" t="n"/>
      <c r="LST14" s="253" t="n"/>
      <c r="LSU14" s="253" t="n"/>
      <c r="LSV14" s="253" t="n"/>
      <c r="LSW14" s="253" t="n"/>
      <c r="LSX14" s="253" t="n"/>
      <c r="LSY14" s="253" t="n"/>
      <c r="LSZ14" s="253" t="n"/>
      <c r="LTA14" s="253" t="n"/>
      <c r="LTB14" s="253" t="n"/>
      <c r="LTC14" s="253" t="n"/>
      <c r="LTD14" s="253" t="n"/>
      <c r="LTE14" s="253" t="n"/>
      <c r="LTF14" s="253" t="n"/>
      <c r="LTG14" s="253" t="n"/>
      <c r="LTH14" s="253" t="n"/>
      <c r="LTI14" s="253" t="n"/>
      <c r="LTJ14" s="253" t="n"/>
      <c r="LTK14" s="253" t="n"/>
      <c r="LTL14" s="253" t="n"/>
      <c r="LTM14" s="253" t="n"/>
      <c r="LTN14" s="253" t="n"/>
      <c r="LTO14" s="253" t="n"/>
      <c r="LTP14" s="253" t="n"/>
      <c r="LTQ14" s="253" t="n"/>
      <c r="LTR14" s="253" t="n"/>
      <c r="LTS14" s="253" t="n"/>
      <c r="LTT14" s="253" t="n"/>
      <c r="LTU14" s="253" t="n"/>
      <c r="LTV14" s="253" t="n"/>
      <c r="LTW14" s="253" t="n"/>
      <c r="LTX14" s="253" t="n"/>
      <c r="LTY14" s="253" t="n"/>
      <c r="LTZ14" s="253" t="n"/>
      <c r="LUA14" s="253" t="n"/>
      <c r="LUB14" s="253" t="n"/>
      <c r="LUC14" s="253" t="n"/>
      <c r="LUD14" s="253" t="n"/>
      <c r="LUE14" s="253" t="n"/>
      <c r="LUF14" s="253" t="n"/>
      <c r="LUG14" s="253" t="n"/>
      <c r="LUH14" s="253" t="n"/>
      <c r="LUI14" s="253" t="n"/>
      <c r="LUJ14" s="253" t="n"/>
      <c r="LUK14" s="253" t="n"/>
      <c r="LUL14" s="253" t="n"/>
      <c r="LUM14" s="253" t="n"/>
      <c r="LUN14" s="253" t="n"/>
      <c r="LUO14" s="253" t="n"/>
      <c r="LUP14" s="253" t="n"/>
      <c r="LUQ14" s="253" t="n"/>
      <c r="LUR14" s="253" t="n"/>
      <c r="LUS14" s="253" t="n"/>
      <c r="LUT14" s="253" t="n"/>
      <c r="LUU14" s="253" t="n"/>
      <c r="LUV14" s="253" t="n"/>
      <c r="LUW14" s="253" t="n"/>
      <c r="LUX14" s="253" t="n"/>
      <c r="LUY14" s="253" t="n"/>
      <c r="LUZ14" s="253" t="n"/>
      <c r="LVA14" s="253" t="n"/>
      <c r="LVB14" s="253" t="n"/>
      <c r="LVC14" s="253" t="n"/>
      <c r="LVD14" s="253" t="n"/>
      <c r="LVE14" s="253" t="n"/>
      <c r="LVF14" s="253" t="n"/>
      <c r="LVG14" s="253" t="n"/>
      <c r="LVH14" s="253" t="n"/>
      <c r="LVI14" s="253" t="n"/>
      <c r="LVJ14" s="253" t="n"/>
      <c r="LVK14" s="253" t="n"/>
      <c r="LVL14" s="253" t="n"/>
      <c r="LVM14" s="253" t="n"/>
      <c r="LVN14" s="253" t="n"/>
      <c r="LVO14" s="253" t="n"/>
      <c r="LVP14" s="253" t="n"/>
      <c r="LVQ14" s="253" t="n"/>
      <c r="LVR14" s="253" t="n"/>
      <c r="LVS14" s="253" t="n"/>
      <c r="LVT14" s="253" t="n"/>
      <c r="LVU14" s="253" t="n"/>
      <c r="LVV14" s="253" t="n"/>
      <c r="LVW14" s="253" t="n"/>
      <c r="LVX14" s="253" t="n"/>
      <c r="LVY14" s="253" t="n"/>
      <c r="LVZ14" s="253" t="n"/>
      <c r="LWA14" s="253" t="n"/>
      <c r="LWB14" s="253" t="n"/>
      <c r="LWC14" s="253" t="n"/>
      <c r="LWD14" s="253" t="n"/>
      <c r="LWE14" s="253" t="n"/>
      <c r="LWF14" s="253" t="n"/>
      <c r="LWG14" s="253" t="n"/>
      <c r="LWH14" s="253" t="n"/>
      <c r="LWI14" s="253" t="n"/>
      <c r="LWJ14" s="253" t="n"/>
      <c r="LWK14" s="253" t="n"/>
      <c r="LWL14" s="253" t="n"/>
      <c r="LWM14" s="253" t="n"/>
      <c r="LWN14" s="253" t="n"/>
      <c r="LWO14" s="253" t="n"/>
      <c r="LWP14" s="253" t="n"/>
      <c r="LWQ14" s="253" t="n"/>
      <c r="LWR14" s="253" t="n"/>
      <c r="LWS14" s="253" t="n"/>
      <c r="LWT14" s="253" t="n"/>
      <c r="LWU14" s="253" t="n"/>
      <c r="LWV14" s="253" t="n"/>
      <c r="LWW14" s="253" t="n"/>
      <c r="LWX14" s="253" t="n"/>
      <c r="LWY14" s="253" t="n"/>
      <c r="LWZ14" s="253" t="n"/>
      <c r="LXA14" s="253" t="n"/>
      <c r="LXB14" s="253" t="n"/>
      <c r="LXC14" s="253" t="n"/>
      <c r="LXD14" s="253" t="n"/>
      <c r="LXE14" s="253" t="n"/>
      <c r="LXF14" s="253" t="n"/>
      <c r="LXG14" s="253" t="n"/>
      <c r="LXH14" s="253" t="n"/>
      <c r="LXI14" s="253" t="n"/>
      <c r="LXJ14" s="253" t="n"/>
      <c r="LXK14" s="253" t="n"/>
      <c r="LXL14" s="253" t="n"/>
      <c r="LXM14" s="253" t="n"/>
      <c r="LXN14" s="253" t="n"/>
      <c r="LXO14" s="253" t="n"/>
      <c r="LXP14" s="253" t="n"/>
      <c r="LXQ14" s="253" t="n"/>
      <c r="LXR14" s="253" t="n"/>
      <c r="LXS14" s="253" t="n"/>
      <c r="LXT14" s="253" t="n"/>
      <c r="LXU14" s="253" t="n"/>
      <c r="LXV14" s="253" t="n"/>
      <c r="LXW14" s="253" t="n"/>
      <c r="LXX14" s="253" t="n"/>
      <c r="LXY14" s="253" t="n"/>
      <c r="LXZ14" s="253" t="n"/>
      <c r="LYA14" s="253" t="n"/>
      <c r="LYB14" s="253" t="n"/>
      <c r="LYC14" s="253" t="n"/>
      <c r="LYD14" s="253" t="n"/>
      <c r="LYE14" s="253" t="n"/>
      <c r="LYF14" s="253" t="n"/>
      <c r="LYG14" s="253" t="n"/>
      <c r="LYH14" s="253" t="n"/>
      <c r="LYI14" s="253" t="n"/>
      <c r="LYJ14" s="253" t="n"/>
      <c r="LYK14" s="253" t="n"/>
      <c r="LYL14" s="253" t="n"/>
      <c r="LYM14" s="253" t="n"/>
      <c r="LYN14" s="253" t="n"/>
      <c r="LYO14" s="253" t="n"/>
      <c r="LYP14" s="253" t="n"/>
      <c r="LYQ14" s="253" t="n"/>
      <c r="LYR14" s="253" t="n"/>
      <c r="LYS14" s="253" t="n"/>
      <c r="LYT14" s="253" t="n"/>
      <c r="LYU14" s="253" t="n"/>
      <c r="LYV14" s="253" t="n"/>
      <c r="LYW14" s="253" t="n"/>
      <c r="LYX14" s="253" t="n"/>
      <c r="LYY14" s="253" t="n"/>
      <c r="LYZ14" s="253" t="n"/>
      <c r="LZA14" s="253" t="n"/>
      <c r="LZB14" s="253" t="n"/>
      <c r="LZC14" s="253" t="n"/>
      <c r="LZD14" s="253" t="n"/>
      <c r="LZE14" s="253" t="n"/>
      <c r="LZF14" s="253" t="n"/>
      <c r="LZG14" s="253" t="n"/>
      <c r="LZH14" s="253" t="n"/>
      <c r="LZI14" s="253" t="n"/>
      <c r="LZJ14" s="253" t="n"/>
      <c r="LZK14" s="253" t="n"/>
      <c r="LZL14" s="253" t="n"/>
      <c r="LZM14" s="253" t="n"/>
      <c r="LZN14" s="253" t="n"/>
      <c r="LZO14" s="253" t="n"/>
      <c r="LZP14" s="253" t="n"/>
      <c r="LZQ14" s="253" t="n"/>
      <c r="LZR14" s="253" t="n"/>
      <c r="LZS14" s="253" t="n"/>
      <c r="LZT14" s="253" t="n"/>
      <c r="LZU14" s="253" t="n"/>
      <c r="LZV14" s="253" t="n"/>
      <c r="LZW14" s="253" t="n"/>
      <c r="LZX14" s="253" t="n"/>
      <c r="LZY14" s="253" t="n"/>
      <c r="LZZ14" s="253" t="n"/>
      <c r="MAA14" s="253" t="n"/>
      <c r="MAB14" s="253" t="n"/>
      <c r="MAC14" s="253" t="n"/>
      <c r="MAD14" s="253" t="n"/>
      <c r="MAE14" s="253" t="n"/>
      <c r="MAF14" s="253" t="n"/>
      <c r="MAG14" s="253" t="n"/>
      <c r="MAH14" s="253" t="n"/>
      <c r="MAI14" s="253" t="n"/>
      <c r="MAJ14" s="253" t="n"/>
      <c r="MAK14" s="253" t="n"/>
      <c r="MAL14" s="253" t="n"/>
      <c r="MAM14" s="253" t="n"/>
      <c r="MAN14" s="253" t="n"/>
      <c r="MAO14" s="253" t="n"/>
      <c r="MAP14" s="253" t="n"/>
      <c r="MAQ14" s="253" t="n"/>
      <c r="MAR14" s="253" t="n"/>
      <c r="MAS14" s="253" t="n"/>
      <c r="MAT14" s="253" t="n"/>
      <c r="MAU14" s="253" t="n"/>
      <c r="MAV14" s="253" t="n"/>
      <c r="MAW14" s="253" t="n"/>
      <c r="MAX14" s="253" t="n"/>
      <c r="MAY14" s="253" t="n"/>
      <c r="MAZ14" s="253" t="n"/>
      <c r="MBA14" s="253" t="n"/>
      <c r="MBB14" s="253" t="n"/>
      <c r="MBC14" s="253" t="n"/>
      <c r="MBD14" s="253" t="n"/>
      <c r="MBE14" s="253" t="n"/>
      <c r="MBF14" s="253" t="n"/>
      <c r="MBG14" s="253" t="n"/>
      <c r="MBH14" s="253" t="n"/>
      <c r="MBI14" s="253" t="n"/>
      <c r="MBJ14" s="253" t="n"/>
      <c r="MBK14" s="253" t="n"/>
      <c r="MBL14" s="253" t="n"/>
      <c r="MBM14" s="253" t="n"/>
      <c r="MBN14" s="253" t="n"/>
      <c r="MBO14" s="253" t="n"/>
      <c r="MBP14" s="253" t="n"/>
      <c r="MBQ14" s="253" t="n"/>
      <c r="MBR14" s="253" t="n"/>
      <c r="MBS14" s="253" t="n"/>
      <c r="MBT14" s="253" t="n"/>
      <c r="MBU14" s="253" t="n"/>
      <c r="MBV14" s="253" t="n"/>
      <c r="MBW14" s="253" t="n"/>
      <c r="MBX14" s="253" t="n"/>
      <c r="MBY14" s="253" t="n"/>
      <c r="MBZ14" s="253" t="n"/>
      <c r="MCA14" s="253" t="n"/>
      <c r="MCB14" s="253" t="n"/>
      <c r="MCC14" s="253" t="n"/>
      <c r="MCD14" s="253" t="n"/>
      <c r="MCE14" s="253" t="n"/>
      <c r="MCF14" s="253" t="n"/>
      <c r="MCG14" s="253" t="n"/>
      <c r="MCH14" s="253" t="n"/>
      <c r="MCI14" s="253" t="n"/>
      <c r="MCJ14" s="253" t="n"/>
      <c r="MCK14" s="253" t="n"/>
      <c r="MCL14" s="253" t="n"/>
      <c r="MCM14" s="253" t="n"/>
      <c r="MCN14" s="253" t="n"/>
      <c r="MCO14" s="253" t="n"/>
      <c r="MCP14" s="253" t="n"/>
      <c r="MCQ14" s="253" t="n"/>
      <c r="MCR14" s="253" t="n"/>
      <c r="MCS14" s="253" t="n"/>
      <c r="MCT14" s="253" t="n"/>
      <c r="MCU14" s="253" t="n"/>
      <c r="MCV14" s="253" t="n"/>
      <c r="MCW14" s="253" t="n"/>
      <c r="MCX14" s="253" t="n"/>
      <c r="MCY14" s="253" t="n"/>
      <c r="MCZ14" s="253" t="n"/>
      <c r="MDA14" s="253" t="n"/>
      <c r="MDB14" s="253" t="n"/>
      <c r="MDC14" s="253" t="n"/>
      <c r="MDD14" s="253" t="n"/>
      <c r="MDE14" s="253" t="n"/>
      <c r="MDF14" s="253" t="n"/>
      <c r="MDG14" s="253" t="n"/>
      <c r="MDH14" s="253" t="n"/>
      <c r="MDI14" s="253" t="n"/>
      <c r="MDJ14" s="253" t="n"/>
      <c r="MDK14" s="253" t="n"/>
      <c r="MDL14" s="253" t="n"/>
      <c r="MDM14" s="253" t="n"/>
      <c r="MDN14" s="253" t="n"/>
      <c r="MDO14" s="253" t="n"/>
      <c r="MDP14" s="253" t="n"/>
      <c r="MDQ14" s="253" t="n"/>
      <c r="MDR14" s="253" t="n"/>
      <c r="MDS14" s="253" t="n"/>
      <c r="MDT14" s="253" t="n"/>
      <c r="MDU14" s="253" t="n"/>
      <c r="MDV14" s="253" t="n"/>
      <c r="MDW14" s="253" t="n"/>
      <c r="MDX14" s="253" t="n"/>
      <c r="MDY14" s="253" t="n"/>
      <c r="MDZ14" s="253" t="n"/>
      <c r="MEA14" s="253" t="n"/>
      <c r="MEB14" s="253" t="n"/>
      <c r="MEC14" s="253" t="n"/>
      <c r="MED14" s="253" t="n"/>
      <c r="MEE14" s="253" t="n"/>
      <c r="MEF14" s="253" t="n"/>
      <c r="MEG14" s="253" t="n"/>
      <c r="MEH14" s="253" t="n"/>
      <c r="MEI14" s="253" t="n"/>
      <c r="MEJ14" s="253" t="n"/>
      <c r="MEK14" s="253" t="n"/>
      <c r="MEL14" s="253" t="n"/>
      <c r="MEM14" s="253" t="n"/>
      <c r="MEN14" s="253" t="n"/>
      <c r="MEO14" s="253" t="n"/>
      <c r="MEP14" s="253" t="n"/>
      <c r="MEQ14" s="253" t="n"/>
      <c r="MER14" s="253" t="n"/>
      <c r="MES14" s="253" t="n"/>
      <c r="MET14" s="253" t="n"/>
      <c r="MEU14" s="253" t="n"/>
      <c r="MEV14" s="253" t="n"/>
      <c r="MEW14" s="253" t="n"/>
      <c r="MEX14" s="253" t="n"/>
      <c r="MEY14" s="253" t="n"/>
      <c r="MEZ14" s="253" t="n"/>
      <c r="MFA14" s="253" t="n"/>
      <c r="MFB14" s="253" t="n"/>
      <c r="MFC14" s="253" t="n"/>
      <c r="MFD14" s="253" t="n"/>
      <c r="MFE14" s="253" t="n"/>
      <c r="MFF14" s="253" t="n"/>
      <c r="MFG14" s="253" t="n"/>
      <c r="MFH14" s="253" t="n"/>
      <c r="MFI14" s="253" t="n"/>
      <c r="MFJ14" s="253" t="n"/>
      <c r="MFK14" s="253" t="n"/>
      <c r="MFL14" s="253" t="n"/>
      <c r="MFM14" s="253" t="n"/>
      <c r="MFN14" s="252" t="n"/>
      <c r="MFO14" s="253" t="n"/>
      <c r="MFP14" s="253" t="n"/>
      <c r="MFQ14" s="253" t="n"/>
      <c r="MFR14" s="253" t="n"/>
      <c r="MFS14" s="253" t="n"/>
      <c r="MFT14" s="253" t="n"/>
      <c r="MFU14" s="253" t="n"/>
      <c r="MFV14" s="253" t="n"/>
      <c r="MFW14" s="253" t="n"/>
      <c r="MFX14" s="253" t="n"/>
      <c r="MFY14" s="253" t="n"/>
      <c r="MFZ14" s="253" t="n"/>
      <c r="MGA14" s="253" t="n"/>
      <c r="MGB14" s="253" t="n"/>
      <c r="MGC14" s="253" t="n"/>
      <c r="MGD14" s="253" t="n"/>
      <c r="MGE14" s="253" t="n"/>
      <c r="MGF14" s="253" t="n"/>
      <c r="MGG14" s="253" t="n"/>
      <c r="MGH14" s="253" t="n"/>
      <c r="MGI14" s="253" t="n"/>
      <c r="MGJ14" s="253" t="n"/>
      <c r="MGK14" s="253" t="n"/>
      <c r="MGL14" s="253" t="n"/>
      <c r="MGM14" s="253" t="n"/>
      <c r="MGN14" s="253" t="n"/>
      <c r="MGO14" s="253" t="n"/>
      <c r="MGP14" s="253" t="n"/>
      <c r="MGQ14" s="253" t="n"/>
      <c r="MGR14" s="253" t="n"/>
      <c r="MGS14" s="253" t="n"/>
      <c r="MGT14" s="253" t="n"/>
      <c r="MGU14" s="253" t="n"/>
      <c r="MGV14" s="253" t="n"/>
      <c r="MGW14" s="253" t="n"/>
      <c r="MGX14" s="253" t="n"/>
      <c r="MGY14" s="253" t="n"/>
      <c r="MGZ14" s="253" t="n"/>
      <c r="MHA14" s="253" t="n"/>
      <c r="MHB14" s="253" t="n"/>
      <c r="MHC14" s="253" t="n"/>
      <c r="MHD14" s="253" t="n"/>
      <c r="MHE14" s="253" t="n"/>
      <c r="MHF14" s="253" t="n"/>
      <c r="MHG14" s="253" t="n"/>
      <c r="MHH14" s="253" t="n"/>
      <c r="MHI14" s="253" t="n"/>
      <c r="MHJ14" s="253" t="n"/>
      <c r="MHK14" s="253" t="n"/>
      <c r="MHL14" s="253" t="n"/>
      <c r="MHM14" s="253" t="n"/>
      <c r="MHN14" s="253" t="n"/>
      <c r="MHO14" s="253" t="n"/>
      <c r="MHP14" s="253" t="n"/>
      <c r="MHQ14" s="253" t="n"/>
      <c r="MHR14" s="253" t="n"/>
      <c r="MHS14" s="253" t="n"/>
      <c r="MHT14" s="253" t="n"/>
      <c r="MHU14" s="253" t="n"/>
      <c r="MHV14" s="253" t="n"/>
      <c r="MHW14" s="253" t="n"/>
      <c r="MHX14" s="253" t="n"/>
      <c r="MHY14" s="253" t="n"/>
      <c r="MHZ14" s="253" t="n"/>
      <c r="MIA14" s="253" t="n"/>
      <c r="MIB14" s="253" t="n"/>
      <c r="MIC14" s="253" t="n"/>
      <c r="MID14" s="253" t="n"/>
      <c r="MIE14" s="253" t="n"/>
      <c r="MIF14" s="253" t="n"/>
      <c r="MIG14" s="253" t="n"/>
      <c r="MIH14" s="253" t="n"/>
      <c r="MII14" s="253" t="n"/>
      <c r="MIJ14" s="253" t="n"/>
      <c r="MIK14" s="253" t="n"/>
      <c r="MIL14" s="253" t="n"/>
      <c r="MIM14" s="253" t="n"/>
      <c r="MIN14" s="253" t="n"/>
      <c r="MIO14" s="253" t="n"/>
      <c r="MIP14" s="253" t="n"/>
      <c r="MIQ14" s="253" t="n"/>
      <c r="MIR14" s="253" t="n"/>
      <c r="MIS14" s="253" t="n"/>
      <c r="MIT14" s="253" t="n"/>
      <c r="MIU14" s="253" t="n"/>
      <c r="MIV14" s="253" t="n"/>
      <c r="MIW14" s="253" t="n"/>
      <c r="MIX14" s="253" t="n"/>
      <c r="MIY14" s="253" t="n"/>
      <c r="MIZ14" s="253" t="n"/>
      <c r="MJA14" s="253" t="n"/>
      <c r="MJB14" s="253" t="n"/>
      <c r="MJC14" s="253" t="n"/>
      <c r="MJD14" s="253" t="n"/>
      <c r="MJE14" s="253" t="n"/>
      <c r="MJF14" s="253" t="n"/>
      <c r="MJG14" s="253" t="n"/>
      <c r="MJH14" s="253" t="n"/>
      <c r="MJI14" s="253" t="n"/>
      <c r="MJJ14" s="253" t="n"/>
      <c r="MJK14" s="253" t="n"/>
      <c r="MJL14" s="253" t="n"/>
      <c r="MJM14" s="253" t="n"/>
      <c r="MJN14" s="253" t="n"/>
      <c r="MJO14" s="253" t="n"/>
      <c r="MJP14" s="253" t="n"/>
      <c r="MJQ14" s="253" t="n"/>
      <c r="MJR14" s="253" t="n"/>
      <c r="MJS14" s="253" t="n"/>
      <c r="MJT14" s="253" t="n"/>
      <c r="MJU14" s="253" t="n"/>
      <c r="MJV14" s="253" t="n"/>
      <c r="MJW14" s="253" t="n"/>
      <c r="MJX14" s="253" t="n"/>
      <c r="MJY14" s="253" t="n"/>
      <c r="MJZ14" s="253" t="n"/>
      <c r="MKA14" s="253" t="n"/>
      <c r="MKB14" s="253" t="n"/>
      <c r="MKC14" s="253" t="n"/>
      <c r="MKD14" s="253" t="n"/>
      <c r="MKE14" s="253" t="n"/>
      <c r="MKF14" s="253" t="n"/>
      <c r="MKG14" s="253" t="n"/>
      <c r="MKH14" s="253" t="n"/>
      <c r="MKI14" s="253" t="n"/>
      <c r="MKJ14" s="253" t="n"/>
      <c r="MKK14" s="253" t="n"/>
      <c r="MKL14" s="253" t="n"/>
      <c r="MKM14" s="253" t="n"/>
      <c r="MKN14" s="253" t="n"/>
      <c r="MKO14" s="253" t="n"/>
      <c r="MKP14" s="253" t="n"/>
      <c r="MKQ14" s="253" t="n"/>
      <c r="MKR14" s="253" t="n"/>
      <c r="MKS14" s="253" t="n"/>
      <c r="MKT14" s="253" t="n"/>
      <c r="MKU14" s="253" t="n"/>
      <c r="MKV14" s="253" t="n"/>
      <c r="MKW14" s="253" t="n"/>
      <c r="MKX14" s="253" t="n"/>
      <c r="MKY14" s="253" t="n"/>
      <c r="MKZ14" s="253" t="n"/>
      <c r="MLA14" s="253" t="n"/>
      <c r="MLB14" s="253" t="n"/>
      <c r="MLC14" s="253" t="n"/>
      <c r="MLD14" s="253" t="n"/>
      <c r="MLE14" s="253" t="n"/>
      <c r="MLF14" s="253" t="n"/>
      <c r="MLG14" s="253" t="n"/>
      <c r="MLH14" s="253" t="n"/>
      <c r="MLI14" s="253" t="n"/>
      <c r="MLJ14" s="253" t="n"/>
      <c r="MLK14" s="253" t="n"/>
      <c r="MLL14" s="253" t="n"/>
      <c r="MLM14" s="253" t="n"/>
      <c r="MLN14" s="253" t="n"/>
      <c r="MLO14" s="253" t="n"/>
      <c r="MLP14" s="253" t="n"/>
      <c r="MLQ14" s="253" t="n"/>
      <c r="MLR14" s="253" t="n"/>
      <c r="MLS14" s="253" t="n"/>
      <c r="MLT14" s="253" t="n"/>
      <c r="MLU14" s="253" t="n"/>
      <c r="MLV14" s="253" t="n"/>
      <c r="MLW14" s="253" t="n"/>
      <c r="MLX14" s="253" t="n"/>
      <c r="MLY14" s="253" t="n"/>
      <c r="MLZ14" s="253" t="n"/>
      <c r="MMA14" s="253" t="n"/>
      <c r="MMB14" s="253" t="n"/>
      <c r="MMC14" s="253" t="n"/>
      <c r="MMD14" s="253" t="n"/>
      <c r="MME14" s="253" t="n"/>
      <c r="MMF14" s="253" t="n"/>
      <c r="MMG14" s="253" t="n"/>
      <c r="MMH14" s="253" t="n"/>
      <c r="MMI14" s="253" t="n"/>
      <c r="MMJ14" s="253" t="n"/>
      <c r="MMK14" s="253" t="n"/>
      <c r="MML14" s="253" t="n"/>
      <c r="MMM14" s="253" t="n"/>
      <c r="MMN14" s="253" t="n"/>
      <c r="MMO14" s="253" t="n"/>
      <c r="MMP14" s="253" t="n"/>
      <c r="MMQ14" s="253" t="n"/>
      <c r="MMR14" s="253" t="n"/>
      <c r="MMS14" s="253" t="n"/>
      <c r="MMT14" s="253" t="n"/>
      <c r="MMU14" s="253" t="n"/>
      <c r="MMV14" s="253" t="n"/>
      <c r="MMW14" s="253" t="n"/>
      <c r="MMX14" s="253" t="n"/>
      <c r="MMY14" s="253" t="n"/>
      <c r="MMZ14" s="253" t="n"/>
      <c r="MNA14" s="253" t="n"/>
      <c r="MNB14" s="253" t="n"/>
      <c r="MNC14" s="253" t="n"/>
      <c r="MND14" s="253" t="n"/>
      <c r="MNE14" s="253" t="n"/>
      <c r="MNF14" s="253" t="n"/>
      <c r="MNG14" s="253" t="n"/>
      <c r="MNH14" s="253" t="n"/>
      <c r="MNI14" s="253" t="n"/>
      <c r="MNJ14" s="253" t="n"/>
      <c r="MNK14" s="253" t="n"/>
      <c r="MNL14" s="253" t="n"/>
      <c r="MNM14" s="253" t="n"/>
      <c r="MNN14" s="253" t="n"/>
      <c r="MNO14" s="253" t="n"/>
      <c r="MNP14" s="253" t="n"/>
      <c r="MNQ14" s="253" t="n"/>
      <c r="MNR14" s="253" t="n"/>
      <c r="MNS14" s="253" t="n"/>
      <c r="MNT14" s="253" t="n"/>
      <c r="MNU14" s="253" t="n"/>
      <c r="MNV14" s="253" t="n"/>
      <c r="MNW14" s="253" t="n"/>
      <c r="MNX14" s="253" t="n"/>
      <c r="MNY14" s="253" t="n"/>
      <c r="MNZ14" s="253" t="n"/>
      <c r="MOA14" s="253" t="n"/>
      <c r="MOB14" s="253" t="n"/>
      <c r="MOC14" s="253" t="n"/>
      <c r="MOD14" s="253" t="n"/>
      <c r="MOE14" s="253" t="n"/>
      <c r="MOF14" s="253" t="n"/>
      <c r="MOG14" s="253" t="n"/>
      <c r="MOH14" s="253" t="n"/>
      <c r="MOI14" s="253" t="n"/>
      <c r="MOJ14" s="253" t="n"/>
      <c r="MOK14" s="253" t="n"/>
      <c r="MOL14" s="253" t="n"/>
      <c r="MOM14" s="253" t="n"/>
      <c r="MON14" s="253" t="n"/>
      <c r="MOO14" s="253" t="n"/>
      <c r="MOP14" s="253" t="n"/>
      <c r="MOQ14" s="253" t="n"/>
      <c r="MOR14" s="253" t="n"/>
      <c r="MOS14" s="253" t="n"/>
      <c r="MOT14" s="253" t="n"/>
      <c r="MOU14" s="253" t="n"/>
      <c r="MOV14" s="253" t="n"/>
      <c r="MOW14" s="253" t="n"/>
      <c r="MOX14" s="253" t="n"/>
      <c r="MOY14" s="253" t="n"/>
      <c r="MOZ14" s="253" t="n"/>
      <c r="MPA14" s="253" t="n"/>
      <c r="MPB14" s="253" t="n"/>
      <c r="MPC14" s="253" t="n"/>
      <c r="MPD14" s="253" t="n"/>
      <c r="MPE14" s="253" t="n"/>
      <c r="MPF14" s="253" t="n"/>
      <c r="MPG14" s="253" t="n"/>
      <c r="MPH14" s="253" t="n"/>
      <c r="MPI14" s="253" t="n"/>
      <c r="MPJ14" s="253" t="n"/>
      <c r="MPK14" s="253" t="n"/>
      <c r="MPL14" s="253" t="n"/>
      <c r="MPM14" s="253" t="n"/>
      <c r="MPN14" s="253" t="n"/>
      <c r="MPO14" s="253" t="n"/>
      <c r="MPP14" s="253" t="n"/>
      <c r="MPQ14" s="253" t="n"/>
      <c r="MPR14" s="253" t="n"/>
      <c r="MPS14" s="253" t="n"/>
      <c r="MPT14" s="253" t="n"/>
      <c r="MPU14" s="253" t="n"/>
      <c r="MPV14" s="253" t="n"/>
      <c r="MPW14" s="253" t="n"/>
      <c r="MPX14" s="253" t="n"/>
      <c r="MPY14" s="253" t="n"/>
      <c r="MPZ14" s="253" t="n"/>
      <c r="MQA14" s="253" t="n"/>
      <c r="MQB14" s="253" t="n"/>
      <c r="MQC14" s="253" t="n"/>
      <c r="MQD14" s="253" t="n"/>
      <c r="MQE14" s="253" t="n"/>
      <c r="MQF14" s="253" t="n"/>
      <c r="MQG14" s="253" t="n"/>
      <c r="MQH14" s="253" t="n"/>
      <c r="MQI14" s="253" t="n"/>
      <c r="MQJ14" s="253" t="n"/>
      <c r="MQK14" s="253" t="n"/>
      <c r="MQL14" s="253" t="n"/>
      <c r="MQM14" s="253" t="n"/>
      <c r="MQN14" s="253" t="n"/>
      <c r="MQO14" s="253" t="n"/>
      <c r="MQP14" s="253" t="n"/>
      <c r="MQQ14" s="253" t="n"/>
      <c r="MQR14" s="253" t="n"/>
      <c r="MQS14" s="253" t="n"/>
      <c r="MQT14" s="253" t="n"/>
      <c r="MQU14" s="253" t="n"/>
      <c r="MQV14" s="253" t="n"/>
      <c r="MQW14" s="253" t="n"/>
      <c r="MQX14" s="253" t="n"/>
      <c r="MQY14" s="253" t="n"/>
      <c r="MQZ14" s="253" t="n"/>
      <c r="MRA14" s="253" t="n"/>
      <c r="MRB14" s="253" t="n"/>
      <c r="MRC14" s="253" t="n"/>
      <c r="MRD14" s="253" t="n"/>
      <c r="MRE14" s="253" t="n"/>
      <c r="MRF14" s="253" t="n"/>
      <c r="MRG14" s="253" t="n"/>
      <c r="MRH14" s="253" t="n"/>
      <c r="MRI14" s="253" t="n"/>
      <c r="MRJ14" s="253" t="n"/>
      <c r="MRK14" s="253" t="n"/>
      <c r="MRL14" s="253" t="n"/>
      <c r="MRM14" s="253" t="n"/>
      <c r="MRN14" s="253" t="n"/>
      <c r="MRO14" s="253" t="n"/>
      <c r="MRP14" s="253" t="n"/>
      <c r="MRQ14" s="253" t="n"/>
      <c r="MRR14" s="253" t="n"/>
      <c r="MRS14" s="253" t="n"/>
      <c r="MRT14" s="253" t="n"/>
      <c r="MRU14" s="253" t="n"/>
      <c r="MRV14" s="253" t="n"/>
      <c r="MRW14" s="253" t="n"/>
      <c r="MRX14" s="253" t="n"/>
      <c r="MRY14" s="253" t="n"/>
      <c r="MRZ14" s="253" t="n"/>
      <c r="MSA14" s="253" t="n"/>
      <c r="MSB14" s="253" t="n"/>
      <c r="MSC14" s="253" t="n"/>
      <c r="MSD14" s="253" t="n"/>
      <c r="MSE14" s="253" t="n"/>
      <c r="MSF14" s="253" t="n"/>
      <c r="MSG14" s="253" t="n"/>
      <c r="MSH14" s="253" t="n"/>
      <c r="MSI14" s="253" t="n"/>
      <c r="MSJ14" s="253" t="n"/>
      <c r="MSK14" s="253" t="n"/>
      <c r="MSL14" s="253" t="n"/>
      <c r="MSM14" s="253" t="n"/>
      <c r="MSN14" s="253" t="n"/>
      <c r="MSO14" s="253" t="n"/>
      <c r="MSP14" s="253" t="n"/>
      <c r="MSQ14" s="253" t="n"/>
      <c r="MSR14" s="253" t="n"/>
      <c r="MSS14" s="253" t="n"/>
      <c r="MST14" s="253" t="n"/>
      <c r="MSU14" s="253" t="n"/>
      <c r="MSV14" s="253" t="n"/>
      <c r="MSW14" s="253" t="n"/>
      <c r="MSX14" s="253" t="n"/>
      <c r="MSY14" s="253" t="n"/>
      <c r="MSZ14" s="253" t="n"/>
      <c r="MTA14" s="253" t="n"/>
      <c r="MTB14" s="253" t="n"/>
      <c r="MTC14" s="253" t="n"/>
      <c r="MTD14" s="253" t="n"/>
      <c r="MTE14" s="253" t="n"/>
      <c r="MTF14" s="253" t="n"/>
      <c r="MTG14" s="253" t="n"/>
      <c r="MTH14" s="253" t="n"/>
      <c r="MTI14" s="253" t="n"/>
      <c r="MTJ14" s="253" t="n"/>
      <c r="MTK14" s="253" t="n"/>
      <c r="MTL14" s="253" t="n"/>
      <c r="MTM14" s="253" t="n"/>
      <c r="MTN14" s="253" t="n"/>
      <c r="MTO14" s="253" t="n"/>
      <c r="MTP14" s="253" t="n"/>
      <c r="MTQ14" s="253" t="n"/>
      <c r="MTR14" s="253" t="n"/>
      <c r="MTS14" s="253" t="n"/>
      <c r="MTT14" s="253" t="n"/>
      <c r="MTU14" s="253" t="n"/>
      <c r="MTV14" s="253" t="n"/>
      <c r="MTW14" s="253" t="n"/>
      <c r="MTX14" s="253" t="n"/>
      <c r="MTY14" s="253" t="n"/>
      <c r="MTZ14" s="253" t="n"/>
      <c r="MUA14" s="253" t="n"/>
      <c r="MUB14" s="253" t="n"/>
      <c r="MUC14" s="253" t="n"/>
      <c r="MUD14" s="253" t="n"/>
      <c r="MUE14" s="253" t="n"/>
      <c r="MUF14" s="253" t="n"/>
      <c r="MUG14" s="253" t="n"/>
      <c r="MUH14" s="253" t="n"/>
      <c r="MUI14" s="253" t="n"/>
      <c r="MUJ14" s="253" t="n"/>
      <c r="MUK14" s="253" t="n"/>
      <c r="MUL14" s="253" t="n"/>
      <c r="MUM14" s="253" t="n"/>
      <c r="MUN14" s="253" t="n"/>
      <c r="MUO14" s="253" t="n"/>
      <c r="MUP14" s="253" t="n"/>
      <c r="MUQ14" s="253" t="n"/>
      <c r="MUR14" s="253" t="n"/>
      <c r="MUS14" s="253" t="n"/>
      <c r="MUT14" s="253" t="n"/>
      <c r="MUU14" s="253" t="n"/>
      <c r="MUV14" s="253" t="n"/>
      <c r="MUW14" s="253" t="n"/>
      <c r="MUX14" s="253" t="n"/>
      <c r="MUY14" s="253" t="n"/>
      <c r="MUZ14" s="253" t="n"/>
      <c r="MVA14" s="253" t="n"/>
      <c r="MVB14" s="253" t="n"/>
      <c r="MVC14" s="253" t="n"/>
      <c r="MVD14" s="253" t="n"/>
      <c r="MVE14" s="253" t="n"/>
      <c r="MVF14" s="253" t="n"/>
      <c r="MVG14" s="253" t="n"/>
      <c r="MVH14" s="253" t="n"/>
      <c r="MVI14" s="253" t="n"/>
      <c r="MVJ14" s="253" t="n"/>
      <c r="MVK14" s="253" t="n"/>
      <c r="MVL14" s="253" t="n"/>
      <c r="MVM14" s="253" t="n"/>
      <c r="MVN14" s="253" t="n"/>
      <c r="MVO14" s="253" t="n"/>
      <c r="MVP14" s="253" t="n"/>
      <c r="MVQ14" s="253" t="n"/>
      <c r="MVR14" s="253" t="n"/>
      <c r="MVS14" s="253" t="n"/>
      <c r="MVT14" s="253" t="n"/>
      <c r="MVU14" s="253" t="n"/>
      <c r="MVV14" s="253" t="n"/>
      <c r="MVW14" s="253" t="n"/>
      <c r="MVX14" s="253" t="n"/>
      <c r="MVY14" s="253" t="n"/>
      <c r="MVZ14" s="253" t="n"/>
      <c r="MWA14" s="253" t="n"/>
      <c r="MWB14" s="253" t="n"/>
      <c r="MWC14" s="253" t="n"/>
      <c r="MWD14" s="253" t="n"/>
      <c r="MWE14" s="253" t="n"/>
      <c r="MWF14" s="253" t="n"/>
      <c r="MWG14" s="253" t="n"/>
      <c r="MWH14" s="253" t="n"/>
      <c r="MWI14" s="253" t="n"/>
      <c r="MWJ14" s="253" t="n"/>
      <c r="MWK14" s="253" t="n"/>
      <c r="MWL14" s="253" t="n"/>
      <c r="MWM14" s="253" t="n"/>
      <c r="MWN14" s="253" t="n"/>
      <c r="MWO14" s="253" t="n"/>
      <c r="MWP14" s="253" t="n"/>
      <c r="MWQ14" s="253" t="n"/>
      <c r="MWR14" s="253" t="n"/>
      <c r="MWS14" s="253" t="n"/>
      <c r="MWT14" s="253" t="n"/>
      <c r="MWU14" s="253" t="n"/>
      <c r="MWV14" s="253" t="n"/>
      <c r="MWW14" s="253" t="n"/>
      <c r="MWX14" s="253" t="n"/>
      <c r="MWY14" s="253" t="n"/>
      <c r="MWZ14" s="253" t="n"/>
      <c r="MXA14" s="253" t="n"/>
      <c r="MXB14" s="253" t="n"/>
      <c r="MXC14" s="253" t="n"/>
      <c r="MXD14" s="253" t="n"/>
      <c r="MXE14" s="253" t="n"/>
      <c r="MXF14" s="253" t="n"/>
      <c r="MXG14" s="253" t="n"/>
      <c r="MXH14" s="253" t="n"/>
      <c r="MXI14" s="253" t="n"/>
      <c r="MXJ14" s="253" t="n"/>
      <c r="MXK14" s="253" t="n"/>
      <c r="MXL14" s="253" t="n"/>
      <c r="MXM14" s="253" t="n"/>
      <c r="MXN14" s="253" t="n"/>
      <c r="MXO14" s="253" t="n"/>
      <c r="MXP14" s="253" t="n"/>
      <c r="MXQ14" s="253" t="n"/>
      <c r="MXR14" s="253" t="n"/>
      <c r="MXS14" s="253" t="n"/>
      <c r="MXT14" s="253" t="n"/>
      <c r="MXU14" s="253" t="n"/>
      <c r="MXV14" s="253" t="n"/>
      <c r="MXW14" s="253" t="n"/>
      <c r="MXX14" s="253" t="n"/>
      <c r="MXY14" s="253" t="n"/>
      <c r="MXZ14" s="253" t="n"/>
      <c r="MYA14" s="253" t="n"/>
      <c r="MYB14" s="253" t="n"/>
      <c r="MYC14" s="253" t="n"/>
      <c r="MYD14" s="253" t="n"/>
      <c r="MYE14" s="253" t="n"/>
      <c r="MYF14" s="253" t="n"/>
      <c r="MYG14" s="253" t="n"/>
      <c r="MYH14" s="253" t="n"/>
      <c r="MYI14" s="253" t="n"/>
      <c r="MYJ14" s="253" t="n"/>
      <c r="MYK14" s="253" t="n"/>
      <c r="MYL14" s="253" t="n"/>
      <c r="MYM14" s="253" t="n"/>
      <c r="MYN14" s="253" t="n"/>
      <c r="MYO14" s="253" t="n"/>
      <c r="MYP14" s="253" t="n"/>
      <c r="MYQ14" s="253" t="n"/>
      <c r="MYR14" s="253" t="n"/>
      <c r="MYS14" s="253" t="n"/>
      <c r="MYT14" s="253" t="n"/>
      <c r="MYU14" s="253" t="n"/>
      <c r="MYV14" s="253" t="n"/>
      <c r="MYW14" s="253" t="n"/>
      <c r="MYX14" s="253" t="n"/>
      <c r="MYY14" s="253" t="n"/>
      <c r="MYZ14" s="253" t="n"/>
      <c r="MZA14" s="253" t="n"/>
      <c r="MZB14" s="253" t="n"/>
      <c r="MZC14" s="253" t="n"/>
      <c r="MZD14" s="253" t="n"/>
      <c r="MZE14" s="253" t="n"/>
      <c r="MZF14" s="253" t="n"/>
      <c r="MZG14" s="253" t="n"/>
      <c r="MZH14" s="253" t="n"/>
      <c r="MZI14" s="253" t="n"/>
      <c r="MZJ14" s="253" t="n"/>
      <c r="MZK14" s="253" t="n"/>
      <c r="MZL14" s="253" t="n"/>
      <c r="MZM14" s="253" t="n"/>
      <c r="MZN14" s="253" t="n"/>
      <c r="MZO14" s="253" t="n"/>
      <c r="MZP14" s="253" t="n"/>
      <c r="MZQ14" s="253" t="n"/>
      <c r="MZR14" s="253" t="n"/>
      <c r="MZS14" s="253" t="n"/>
      <c r="MZT14" s="253" t="n"/>
      <c r="MZU14" s="253" t="n"/>
      <c r="MZV14" s="253" t="n"/>
      <c r="MZW14" s="253" t="n"/>
      <c r="MZX14" s="253" t="n"/>
      <c r="MZY14" s="253" t="n"/>
      <c r="MZZ14" s="253" t="n"/>
      <c r="NAA14" s="253" t="n"/>
      <c r="NAB14" s="253" t="n"/>
      <c r="NAC14" s="253" t="n"/>
      <c r="NAD14" s="253" t="n"/>
      <c r="NAE14" s="253" t="n"/>
      <c r="NAF14" s="253" t="n"/>
      <c r="NAG14" s="253" t="n"/>
      <c r="NAH14" s="253" t="n"/>
      <c r="NAI14" s="253" t="n"/>
      <c r="NAJ14" s="253" t="n"/>
      <c r="NAK14" s="253" t="n"/>
      <c r="NAL14" s="253" t="n"/>
      <c r="NAM14" s="253" t="n"/>
      <c r="NAN14" s="253" t="n"/>
      <c r="NAO14" s="253" t="n"/>
      <c r="NAP14" s="253" t="n"/>
      <c r="NAQ14" s="253" t="n"/>
      <c r="NAR14" s="253" t="n"/>
      <c r="NAS14" s="253" t="n"/>
      <c r="NAT14" s="253" t="n"/>
      <c r="NAU14" s="253" t="n"/>
      <c r="NAV14" s="253" t="n"/>
      <c r="NAW14" s="253" t="n"/>
      <c r="NAX14" s="253" t="n"/>
      <c r="NAY14" s="253" t="n"/>
      <c r="NAZ14" s="253" t="n"/>
      <c r="NBA14" s="253" t="n"/>
      <c r="NBB14" s="253" t="n"/>
      <c r="NBC14" s="253" t="n"/>
      <c r="NBD14" s="253" t="n"/>
      <c r="NBE14" s="253" t="n"/>
      <c r="NBF14" s="253" t="n"/>
      <c r="NBG14" s="253" t="n"/>
      <c r="NBH14" s="253" t="n"/>
      <c r="NBI14" s="253" t="n"/>
      <c r="NBJ14" s="253" t="n"/>
      <c r="NBK14" s="253" t="n"/>
      <c r="NBL14" s="253" t="n"/>
      <c r="NBM14" s="253" t="n"/>
      <c r="NBN14" s="253" t="n"/>
      <c r="NBO14" s="253" t="n"/>
      <c r="NBP14" s="253" t="n"/>
      <c r="NBQ14" s="253" t="n"/>
      <c r="NBR14" s="253" t="n"/>
      <c r="NBS14" s="253" t="n"/>
      <c r="NBT14" s="253" t="n"/>
      <c r="NBU14" s="253" t="n"/>
      <c r="NBV14" s="253" t="n"/>
      <c r="NBW14" s="253" t="n"/>
      <c r="NBX14" s="253" t="n"/>
      <c r="NBY14" s="253" t="n"/>
      <c r="NBZ14" s="253" t="n"/>
      <c r="NCA14" s="253" t="n"/>
      <c r="NCB14" s="253" t="n"/>
      <c r="NCC14" s="253" t="n"/>
      <c r="NCD14" s="253" t="n"/>
      <c r="NCE14" s="253" t="n"/>
      <c r="NCF14" s="253" t="n"/>
      <c r="NCG14" s="253" t="n"/>
      <c r="NCH14" s="253" t="n"/>
      <c r="NCI14" s="253" t="n"/>
      <c r="NCJ14" s="253" t="n"/>
      <c r="NCK14" s="253" t="n"/>
      <c r="NCL14" s="253" t="n"/>
      <c r="NCM14" s="253" t="n"/>
      <c r="NCN14" s="253" t="n"/>
      <c r="NCO14" s="253" t="n"/>
      <c r="NCP14" s="253" t="n"/>
      <c r="NCQ14" s="253" t="n"/>
      <c r="NCR14" s="253" t="n"/>
      <c r="NCS14" s="253" t="n"/>
      <c r="NCT14" s="253" t="n"/>
      <c r="NCU14" s="253" t="n"/>
      <c r="NCV14" s="253" t="n"/>
      <c r="NCW14" s="253" t="n"/>
      <c r="NCX14" s="253" t="n"/>
      <c r="NCY14" s="253" t="n"/>
      <c r="NCZ14" s="253" t="n"/>
      <c r="NDA14" s="253" t="n"/>
      <c r="NDB14" s="253" t="n"/>
      <c r="NDC14" s="253" t="n"/>
      <c r="NDD14" s="253" t="n"/>
      <c r="NDE14" s="253" t="n"/>
      <c r="NDF14" s="253" t="n"/>
      <c r="NDG14" s="253" t="n"/>
      <c r="NDH14" s="253" t="n"/>
      <c r="NDI14" s="253" t="n"/>
      <c r="NDJ14" s="253" t="n"/>
      <c r="NDK14" s="253" t="n"/>
      <c r="NDL14" s="253" t="n"/>
      <c r="NDM14" s="253" t="n"/>
      <c r="NDN14" s="253" t="n"/>
      <c r="NDO14" s="253" t="n"/>
      <c r="NDP14" s="253" t="n"/>
      <c r="NDQ14" s="253" t="n"/>
      <c r="NDR14" s="253" t="n"/>
      <c r="NDS14" s="253" t="n"/>
      <c r="NDT14" s="253" t="n"/>
      <c r="NDU14" s="253" t="n"/>
      <c r="NDV14" s="253" t="n"/>
      <c r="NDW14" s="253" t="n"/>
      <c r="NDX14" s="253" t="n"/>
      <c r="NDY14" s="253" t="n"/>
      <c r="NDZ14" s="253" t="n"/>
      <c r="NEA14" s="253" t="n"/>
      <c r="NEB14" s="253" t="n"/>
      <c r="NEC14" s="253" t="n"/>
      <c r="NED14" s="253" t="n"/>
      <c r="NEE14" s="253" t="n"/>
      <c r="NEF14" s="253" t="n"/>
      <c r="NEG14" s="253" t="n"/>
      <c r="NEH14" s="253" t="n"/>
      <c r="NEI14" s="253" t="n"/>
      <c r="NEJ14" s="253" t="n"/>
      <c r="NEK14" s="253" t="n"/>
      <c r="NEL14" s="253" t="n"/>
      <c r="NEM14" s="253" t="n"/>
      <c r="NEN14" s="253" t="n"/>
      <c r="NEO14" s="253" t="n"/>
      <c r="NEP14" s="253" t="n"/>
      <c r="NEQ14" s="253" t="n"/>
      <c r="NER14" s="253" t="n"/>
      <c r="NES14" s="253" t="n"/>
      <c r="NET14" s="253" t="n"/>
      <c r="NEU14" s="253" t="n"/>
      <c r="NEV14" s="253" t="n"/>
      <c r="NEW14" s="253" t="n"/>
      <c r="NEX14" s="253" t="n"/>
      <c r="NEY14" s="253" t="n"/>
      <c r="NEZ14" s="253" t="n"/>
      <c r="NFA14" s="253" t="n"/>
      <c r="NFB14" s="253" t="n"/>
      <c r="NFC14" s="253" t="n"/>
      <c r="NFD14" s="253" t="n"/>
      <c r="NFE14" s="253" t="n"/>
      <c r="NFF14" s="253" t="n"/>
      <c r="NFG14" s="253" t="n"/>
      <c r="NFH14" s="253" t="n"/>
      <c r="NFI14" s="253" t="n"/>
      <c r="NFJ14" s="253" t="n"/>
      <c r="NFK14" s="253" t="n"/>
      <c r="NFL14" s="253" t="n"/>
      <c r="NFM14" s="253" t="n"/>
      <c r="NFN14" s="253" t="n"/>
      <c r="NFO14" s="253" t="n"/>
      <c r="NFP14" s="87" t="n"/>
    </row>
    <row r="15">
      <c r="KFK15" s="253" t="n"/>
      <c r="KFL15" s="253" t="n"/>
      <c r="KFM15" s="253" t="n"/>
      <c r="KFN15" s="253" t="n"/>
      <c r="KFO15" s="253" t="n"/>
      <c r="KFP15" s="253" t="n"/>
      <c r="KFQ15" s="253" t="n"/>
      <c r="KFR15" s="253" t="n"/>
      <c r="KFS15" s="253" t="n"/>
      <c r="KFT15" s="253" t="n"/>
      <c r="KFU15" s="253" t="n"/>
      <c r="KFV15" s="253" t="n"/>
      <c r="KFW15" s="253" t="n"/>
      <c r="KFX15" s="253" t="n"/>
      <c r="KFY15" s="253" t="n"/>
      <c r="KFZ15" s="253" t="n"/>
      <c r="KGA15" s="253" t="n"/>
      <c r="KGB15" s="253" t="n"/>
      <c r="KGC15" s="253" t="n"/>
      <c r="KGD15" s="253" t="n"/>
      <c r="KGE15" s="253" t="n"/>
      <c r="KGF15" s="253" t="n"/>
      <c r="KGG15" s="253" t="n"/>
      <c r="KGH15" s="253" t="n"/>
      <c r="KGI15" s="253" t="n"/>
      <c r="KGJ15" s="253" t="n"/>
      <c r="KGK15" s="253" t="n"/>
      <c r="KGL15" s="253" t="n"/>
      <c r="KGM15" s="253" t="n"/>
      <c r="KGN15" s="253" t="n"/>
      <c r="KGO15" s="253" t="n"/>
      <c r="KGP15" s="253" t="n"/>
      <c r="KGQ15" s="253" t="n"/>
      <c r="KGR15" s="253" t="n"/>
      <c r="KGS15" s="253" t="n"/>
      <c r="KGT15" s="253" t="n"/>
      <c r="KGU15" s="253" t="n"/>
      <c r="KGV15" s="253" t="n"/>
      <c r="KGW15" s="253" t="n"/>
      <c r="KGX15" s="253" t="n"/>
      <c r="KGY15" s="253" t="n"/>
      <c r="KGZ15" s="253" t="n"/>
      <c r="KHA15" s="253" t="n"/>
      <c r="KHB15" s="253" t="n"/>
      <c r="KHC15" s="253" t="n"/>
      <c r="KHD15" s="253" t="n"/>
      <c r="KHE15" s="253" t="n"/>
      <c r="KHF15" s="253" t="n"/>
      <c r="KHG15" s="253" t="n"/>
      <c r="KHH15" s="253" t="n"/>
      <c r="KHI15" s="253" t="n"/>
      <c r="KHJ15" s="253" t="n"/>
      <c r="KHK15" s="253" t="n"/>
      <c r="KHL15" s="253" t="n"/>
      <c r="KHM15" s="253" t="n"/>
      <c r="KHN15" s="253" t="n"/>
      <c r="KHO15" s="253" t="n"/>
      <c r="KHP15" s="253" t="n"/>
      <c r="KHQ15" s="253" t="n"/>
      <c r="KHR15" s="253" t="n"/>
      <c r="KHS15" s="253" t="n"/>
      <c r="KHT15" s="253" t="n"/>
      <c r="KHU15" s="253" t="n"/>
      <c r="KHV15" s="253" t="n"/>
      <c r="KHW15" s="253" t="n"/>
      <c r="KHX15" s="253" t="n"/>
      <c r="KHY15" s="253" t="n"/>
      <c r="KHZ15" s="253" t="n"/>
      <c r="KIA15" s="253" t="n"/>
      <c r="KIB15" s="253" t="n"/>
      <c r="KIC15" s="253" t="n"/>
      <c r="KID15" s="253" t="n"/>
      <c r="KIE15" s="253" t="n"/>
      <c r="KIF15" s="253" t="n"/>
      <c r="KIG15" s="253" t="n"/>
      <c r="KIH15" s="253" t="n"/>
      <c r="KII15" s="253" t="n"/>
      <c r="KIJ15" s="253" t="n"/>
      <c r="KIK15" s="253" t="n"/>
      <c r="KIL15" s="253" t="n"/>
      <c r="KIM15" s="253" t="n"/>
      <c r="KIN15" s="253" t="n"/>
      <c r="KIO15" s="253" t="n"/>
      <c r="KIP15" s="253" t="n"/>
      <c r="KIQ15" s="253" t="n"/>
      <c r="KIR15" s="253" t="n"/>
      <c r="KIS15" s="253" t="n"/>
      <c r="KIT15" s="253" t="n"/>
      <c r="KIU15" s="253" t="n"/>
      <c r="KIV15" s="253" t="n"/>
      <c r="KIW15" s="253" t="n"/>
      <c r="KIX15" s="253" t="n"/>
      <c r="KIY15" s="253" t="n"/>
      <c r="KIZ15" s="253" t="n"/>
      <c r="KJA15" s="253" t="n"/>
      <c r="KJB15" s="253" t="n"/>
      <c r="KJC15" s="253" t="n"/>
      <c r="KJD15" s="253" t="n"/>
      <c r="KJE15" s="253" t="n"/>
      <c r="KJF15" s="253" t="n"/>
      <c r="KJG15" s="253" t="n"/>
      <c r="KJH15" s="253" t="n"/>
      <c r="KJI15" s="253" t="n"/>
      <c r="KJJ15" s="253" t="n"/>
      <c r="KJK15" s="253" t="n"/>
      <c r="KJL15" s="253" t="n"/>
      <c r="KJM15" s="253" t="n"/>
      <c r="KJN15" s="253" t="n"/>
      <c r="KJO15" s="253" t="n"/>
      <c r="KJP15" s="253" t="n"/>
      <c r="KJQ15" s="253" t="n"/>
      <c r="KJR15" s="253" t="n"/>
      <c r="KJS15" s="253" t="n"/>
      <c r="KJT15" s="253" t="n"/>
      <c r="KJU15" s="253" t="n"/>
      <c r="KJV15" s="253" t="n"/>
      <c r="KJW15" s="253" t="n"/>
      <c r="KJX15" s="253" t="n"/>
      <c r="KJY15" s="253" t="n"/>
      <c r="KJZ15" s="253" t="n"/>
      <c r="KKA15" s="253" t="n"/>
      <c r="KKB15" s="253" t="n"/>
      <c r="KKC15" s="253" t="n"/>
      <c r="KKD15" s="253" t="n"/>
      <c r="KKE15" s="253" t="n"/>
      <c r="KKF15" s="253" t="n"/>
      <c r="KKG15" s="253" t="n"/>
      <c r="KKH15" s="253" t="n"/>
      <c r="KKI15" s="253" t="n"/>
      <c r="KKJ15" s="253" t="n"/>
      <c r="KKK15" s="253" t="n"/>
      <c r="KKL15" s="253" t="n"/>
      <c r="KKM15" s="253" t="n"/>
      <c r="KKN15" s="253" t="n"/>
      <c r="KKO15" s="253" t="n"/>
      <c r="KKP15" s="253" t="n"/>
      <c r="KKQ15" s="253" t="n"/>
      <c r="KKR15" s="253" t="n"/>
      <c r="KKS15" s="253" t="n"/>
      <c r="KKT15" s="253" t="n"/>
      <c r="KKU15" s="253" t="n"/>
      <c r="KKV15" s="253" t="n"/>
      <c r="KKW15" s="253" t="n"/>
      <c r="KKX15" s="253" t="n"/>
      <c r="KKY15" s="253" t="n"/>
      <c r="KKZ15" s="253" t="n"/>
      <c r="KLA15" s="253" t="n"/>
      <c r="KLB15" s="253" t="n"/>
      <c r="KLC15" s="253" t="n"/>
      <c r="KLD15" s="253" t="n"/>
      <c r="KLE15" s="253" t="n"/>
      <c r="KLF15" s="253" t="n"/>
      <c r="KLG15" s="253" t="n"/>
      <c r="KLH15" s="253" t="n"/>
      <c r="KLI15" s="253" t="n"/>
      <c r="KLJ15" s="253" t="n"/>
      <c r="KLK15" s="253" t="n"/>
      <c r="KLL15" s="253" t="n"/>
      <c r="KLM15" s="253" t="n"/>
      <c r="KLN15" s="253" t="n"/>
      <c r="KLO15" s="253" t="n"/>
      <c r="KLP15" s="253" t="n"/>
      <c r="KLQ15" s="253" t="n"/>
      <c r="KLR15" s="253" t="n"/>
      <c r="KLS15" s="253" t="n"/>
      <c r="KLT15" s="253" t="n"/>
      <c r="KLU15" s="253" t="n"/>
      <c r="KLV15" s="253" t="n"/>
      <c r="KLW15" s="253" t="n"/>
      <c r="KLX15" s="253" t="n"/>
      <c r="KLY15" s="253" t="n"/>
      <c r="KLZ15" s="253" t="n"/>
      <c r="KMA15" s="253" t="n"/>
      <c r="KMB15" s="253" t="n"/>
      <c r="KMC15" s="253" t="n"/>
      <c r="KMD15" s="253" t="n"/>
      <c r="KME15" s="253" t="n"/>
      <c r="KMF15" s="253" t="n"/>
      <c r="KMG15" s="253" t="n"/>
      <c r="KMH15" s="253" t="n"/>
      <c r="KMI15" s="253" t="n"/>
      <c r="KMJ15" s="253" t="n"/>
      <c r="KMK15" s="253" t="n"/>
      <c r="KML15" s="253" t="n"/>
      <c r="KMM15" s="253" t="n"/>
      <c r="KMN15" s="253" t="n"/>
      <c r="KMO15" s="253" t="n"/>
      <c r="KMP15" s="253" t="n"/>
      <c r="KMQ15" s="253" t="n"/>
      <c r="KMR15" s="253" t="n"/>
      <c r="KMS15" s="253" t="n"/>
      <c r="KMT15" s="253" t="n"/>
      <c r="KMU15" s="253" t="n"/>
      <c r="KMV15" s="253" t="n"/>
      <c r="KMW15" s="253" t="n"/>
      <c r="KMX15" s="253" t="n"/>
      <c r="KMY15" s="253" t="n"/>
      <c r="KMZ15" s="253" t="n"/>
      <c r="KNA15" s="253" t="n"/>
      <c r="KNB15" s="253" t="n"/>
      <c r="KNC15" s="253" t="n"/>
      <c r="KND15" s="253" t="n"/>
      <c r="KNE15" s="253" t="n"/>
      <c r="KNF15" s="253" t="n"/>
      <c r="KNG15" s="253" t="n"/>
      <c r="KNH15" s="253" t="n"/>
      <c r="KNI15" s="253" t="n"/>
      <c r="KNJ15" s="253" t="n"/>
      <c r="KNK15" s="253" t="n"/>
      <c r="KNL15" s="253" t="n"/>
      <c r="KNM15" s="253" t="n"/>
      <c r="KNN15" s="253" t="n"/>
      <c r="KNO15" s="253" t="n"/>
      <c r="KNP15" s="253" t="n"/>
      <c r="KNQ15" s="253" t="n"/>
      <c r="KNR15" s="253" t="n"/>
      <c r="KNS15" s="253" t="n"/>
      <c r="KNT15" s="253" t="n"/>
      <c r="KNU15" s="253" t="n"/>
      <c r="KNV15" s="253" t="n"/>
      <c r="KNW15" s="253" t="n"/>
      <c r="KNX15" s="253" t="n"/>
      <c r="KNY15" s="253" t="n"/>
      <c r="KNZ15" s="253" t="n"/>
      <c r="KOA15" s="253" t="n"/>
      <c r="KOB15" s="253" t="n"/>
      <c r="KOC15" s="253" t="n"/>
      <c r="KOD15" s="253" t="n"/>
      <c r="KOE15" s="253" t="n"/>
      <c r="KOF15" s="253" t="n"/>
      <c r="KOG15" s="253" t="n"/>
      <c r="KOH15" s="253" t="n"/>
      <c r="KOI15" s="253" t="n"/>
      <c r="KOJ15" s="253" t="n"/>
      <c r="KOK15" s="253" t="n"/>
      <c r="KOL15" s="253" t="n"/>
      <c r="KOM15" s="253" t="n"/>
      <c r="KON15" s="253" t="n"/>
      <c r="KOO15" s="253" t="n"/>
      <c r="KOP15" s="253" t="n"/>
      <c r="KOQ15" s="253" t="n"/>
      <c r="KOR15" s="253" t="n"/>
      <c r="KOS15" s="253" t="n"/>
      <c r="KOT15" s="253" t="n"/>
      <c r="KOU15" s="253" t="n"/>
      <c r="KOV15" s="253" t="n"/>
      <c r="KOW15" s="253" t="n"/>
      <c r="KOX15" s="253" t="n"/>
      <c r="KOY15" s="253" t="n"/>
      <c r="KOZ15" s="253" t="n"/>
      <c r="KPA15" s="253" t="n"/>
      <c r="KPB15" s="253" t="n"/>
      <c r="KPC15" s="253" t="n"/>
      <c r="KPD15" s="253" t="n"/>
      <c r="KPE15" s="253" t="n"/>
      <c r="KPF15" s="253" t="n"/>
      <c r="KPG15" s="253" t="n"/>
      <c r="KPH15" s="253" t="n"/>
      <c r="KPI15" s="253" t="n"/>
      <c r="KPJ15" s="253" t="n"/>
      <c r="KPK15" s="253" t="n"/>
      <c r="KPL15" s="253" t="n"/>
      <c r="KPM15" s="253" t="n"/>
      <c r="KPN15" s="253" t="n"/>
      <c r="KPO15" s="253" t="n"/>
      <c r="KPP15" s="253" t="n"/>
      <c r="KPQ15" s="253" t="n"/>
      <c r="KPR15" s="253" t="n"/>
      <c r="KPS15" s="253" t="n"/>
      <c r="KPT15" s="253" t="n"/>
      <c r="KPU15" s="253" t="n"/>
      <c r="KPV15" s="253" t="n"/>
      <c r="KPW15" s="253" t="n"/>
      <c r="KPX15" s="253" t="n"/>
      <c r="KPY15" s="253" t="n"/>
      <c r="KPZ15" s="253" t="n"/>
      <c r="KQA15" s="253" t="n"/>
      <c r="KQB15" s="253" t="n"/>
      <c r="KQC15" s="253" t="n"/>
      <c r="KQD15" s="253" t="n"/>
      <c r="KQE15" s="253" t="n"/>
      <c r="KQF15" s="253" t="n"/>
      <c r="KQG15" s="253" t="n"/>
      <c r="KQH15" s="253" t="n"/>
      <c r="KQI15" s="253" t="n"/>
      <c r="KQJ15" s="253" t="n"/>
      <c r="KQK15" s="253" t="n"/>
      <c r="KQL15" s="253" t="n"/>
      <c r="KQM15" s="253" t="n"/>
      <c r="KQN15" s="253" t="n"/>
      <c r="KQO15" s="253" t="n"/>
      <c r="KQP15" s="253" t="n"/>
      <c r="KQQ15" s="253" t="n"/>
      <c r="KQR15" s="253" t="n"/>
      <c r="KQS15" s="253" t="n"/>
      <c r="KQT15" s="253" t="n"/>
      <c r="KQU15" s="253" t="n"/>
      <c r="KQV15" s="253" t="n"/>
      <c r="KQW15" s="253" t="n"/>
      <c r="KQX15" s="253" t="n"/>
      <c r="KQY15" s="253" t="n"/>
      <c r="KQZ15" s="253" t="n"/>
      <c r="KRA15" s="253" t="n"/>
      <c r="KRB15" s="253" t="n"/>
      <c r="KRC15" s="253" t="n"/>
      <c r="KRD15" s="253" t="n"/>
      <c r="KRE15" s="253" t="n"/>
      <c r="KRF15" s="253" t="n"/>
      <c r="KRG15" s="253" t="n"/>
      <c r="KRH15" s="253" t="n"/>
      <c r="KRI15" s="253" t="n"/>
      <c r="KRJ15" s="253" t="n"/>
      <c r="KRK15" s="253" t="n"/>
      <c r="KRL15" s="253" t="n"/>
      <c r="KRM15" s="253" t="n"/>
      <c r="KRN15" s="253" t="n"/>
      <c r="KRO15" s="253" t="n"/>
      <c r="KRP15" s="253" t="n"/>
      <c r="KRQ15" s="253" t="n"/>
      <c r="KRR15" s="253" t="n"/>
      <c r="KRS15" s="253" t="n"/>
      <c r="KRT15" s="253" t="n"/>
      <c r="KRU15" s="253" t="n"/>
      <c r="KRV15" s="253" t="n"/>
      <c r="KRW15" s="253" t="n"/>
      <c r="KRX15" s="253" t="n"/>
      <c r="KRY15" s="253" t="n"/>
      <c r="KRZ15" s="253" t="n"/>
      <c r="KSA15" s="253" t="n"/>
      <c r="KSB15" s="253" t="n"/>
      <c r="KSC15" s="253" t="n"/>
      <c r="KSD15" s="253" t="n"/>
      <c r="KSE15" s="253" t="n"/>
      <c r="KSF15" s="253" t="n"/>
      <c r="KSG15" s="253" t="n"/>
      <c r="KSH15" s="253" t="n"/>
      <c r="KSI15" s="253" t="n"/>
      <c r="KSJ15" s="253" t="n"/>
      <c r="KSK15" s="253" t="n"/>
      <c r="KSL15" s="253" t="n"/>
      <c r="KSM15" s="253" t="n"/>
      <c r="KSN15" s="253" t="n"/>
      <c r="KSO15" s="253" t="n"/>
      <c r="KSP15" s="253" t="n"/>
      <c r="KSQ15" s="253" t="n"/>
      <c r="KSR15" s="253" t="n"/>
      <c r="KSS15" s="253" t="n"/>
      <c r="KST15" s="253" t="n"/>
      <c r="KSU15" s="253" t="n"/>
      <c r="KSV15" s="253" t="n"/>
      <c r="KSW15" s="253" t="n"/>
      <c r="KSX15" s="253" t="n"/>
      <c r="KSY15" s="253" t="n"/>
      <c r="KSZ15" s="253" t="n"/>
      <c r="KTA15" s="253" t="n"/>
      <c r="KTB15" s="253" t="n"/>
      <c r="KTC15" s="253" t="n"/>
      <c r="KTD15" s="253" t="n"/>
      <c r="KTE15" s="253" t="n"/>
      <c r="KTF15" s="253" t="n"/>
      <c r="KTG15" s="253" t="n"/>
      <c r="KTH15" s="253" t="n"/>
      <c r="KTI15" s="253" t="n"/>
      <c r="KTJ15" s="253" t="n"/>
      <c r="KTK15" s="253" t="n"/>
      <c r="KTL15" s="253" t="n"/>
      <c r="KTM15" s="253" t="n"/>
      <c r="KTN15" s="253" t="n"/>
      <c r="KTO15" s="253" t="n"/>
      <c r="KTP15" s="253" t="n"/>
      <c r="KTQ15" s="253" t="n"/>
      <c r="KTR15" s="253" t="n"/>
      <c r="KTS15" s="253" t="n"/>
      <c r="KTT15" s="253" t="n"/>
      <c r="KTU15" s="253" t="n"/>
      <c r="KTV15" s="253" t="n"/>
      <c r="KTW15" s="253" t="n"/>
      <c r="KTX15" s="253" t="n"/>
      <c r="KTY15" s="253" t="n"/>
      <c r="KTZ15" s="253" t="n"/>
      <c r="KUA15" s="253" t="n"/>
      <c r="KUB15" s="253" t="n"/>
      <c r="KUC15" s="253" t="n"/>
      <c r="KUD15" s="253" t="n"/>
      <c r="KUE15" s="253" t="n"/>
      <c r="KUF15" s="253" t="n"/>
      <c r="KUG15" s="253" t="n"/>
      <c r="KUH15" s="253" t="n"/>
      <c r="KUI15" s="253" t="n"/>
      <c r="KUJ15" s="253" t="n"/>
      <c r="KUK15" s="253" t="n"/>
      <c r="KUL15" s="253" t="n"/>
      <c r="KUM15" s="253" t="n"/>
      <c r="KUN15" s="253" t="n"/>
      <c r="KUO15" s="253" t="n"/>
      <c r="KUP15" s="253" t="n"/>
      <c r="KUQ15" s="253" t="n"/>
      <c r="KUR15" s="253" t="n"/>
      <c r="KUS15" s="253" t="n"/>
      <c r="KUT15" s="253" t="n"/>
      <c r="KUU15" s="253" t="n"/>
      <c r="KUV15" s="253" t="n"/>
      <c r="KUW15" s="253" t="n"/>
      <c r="KUX15" s="253" t="n"/>
      <c r="KUY15" s="253" t="n"/>
      <c r="KUZ15" s="253" t="n"/>
      <c r="KVA15" s="253" t="n"/>
      <c r="KVB15" s="253" t="n"/>
      <c r="KVC15" s="253" t="n"/>
      <c r="KVD15" s="253" t="n"/>
      <c r="KVE15" s="253" t="n"/>
      <c r="KVF15" s="253" t="n"/>
      <c r="KVG15" s="253" t="n"/>
      <c r="KVH15" s="253" t="n"/>
      <c r="KVI15" s="253" t="n"/>
      <c r="KVJ15" s="253" t="n"/>
      <c r="KVK15" s="253" t="n"/>
      <c r="KVL15" s="253" t="n"/>
      <c r="KVM15" s="253" t="n"/>
      <c r="KVN15" s="253" t="n"/>
      <c r="KVO15" s="253" t="n"/>
      <c r="KVP15" s="253" t="n"/>
      <c r="KVQ15" s="253" t="n"/>
      <c r="KVR15" s="253" t="n"/>
      <c r="KVS15" s="253" t="n"/>
      <c r="KVT15" s="253" t="n"/>
      <c r="KVU15" s="253" t="n"/>
      <c r="KVV15" s="253" t="n"/>
      <c r="KVW15" s="253" t="n"/>
      <c r="KVX15" s="253" t="n"/>
      <c r="KVY15" s="253" t="n"/>
      <c r="KVZ15" s="253" t="n"/>
      <c r="KWA15" s="253" t="n"/>
      <c r="KWB15" s="253" t="n"/>
      <c r="KWC15" s="253" t="n"/>
      <c r="KWD15" s="253" t="n"/>
      <c r="KWE15" s="253" t="n"/>
      <c r="KWF15" s="253" t="n"/>
      <c r="KWG15" s="253" t="n"/>
      <c r="KWH15" s="253" t="n"/>
      <c r="KWI15" s="253" t="n"/>
      <c r="KWJ15" s="253" t="n"/>
      <c r="KWK15" s="253" t="n"/>
      <c r="KWL15" s="253" t="n"/>
      <c r="KWM15" s="253" t="n"/>
      <c r="KWN15" s="253" t="n"/>
      <c r="KWO15" s="253" t="n"/>
      <c r="KWP15" s="253" t="n"/>
      <c r="KWQ15" s="253" t="n"/>
      <c r="KWR15" s="253" t="n"/>
      <c r="KWS15" s="253" t="n"/>
      <c r="KWT15" s="253" t="n"/>
      <c r="KWU15" s="253" t="n"/>
      <c r="KWV15" s="253" t="n"/>
      <c r="KWW15" s="253" t="n"/>
      <c r="KWX15" s="253" t="n"/>
      <c r="KWY15" s="253" t="n"/>
      <c r="KWZ15" s="253" t="n"/>
      <c r="KXA15" s="253" t="n"/>
      <c r="KXB15" s="253" t="n"/>
      <c r="KXC15" s="253" t="n"/>
      <c r="KXD15" s="253" t="n"/>
      <c r="KXE15" s="253" t="n"/>
      <c r="KXF15" s="253" t="n"/>
      <c r="KXG15" s="253" t="n"/>
      <c r="KXH15" s="253" t="n"/>
      <c r="KXI15" s="253" t="n"/>
      <c r="KXJ15" s="253" t="n"/>
      <c r="KXK15" s="253" t="n"/>
      <c r="KXL15" s="253" t="n"/>
      <c r="KXM15" s="253" t="n"/>
      <c r="KXN15" s="253" t="n"/>
      <c r="KXO15" s="253" t="n"/>
      <c r="KXP15" s="253" t="n"/>
      <c r="KXQ15" s="253" t="n"/>
      <c r="KXR15" s="253" t="n"/>
      <c r="KXS15" s="253" t="n"/>
      <c r="KXT15" s="253" t="n"/>
      <c r="KXU15" s="253" t="n"/>
      <c r="KXV15" s="253" t="n"/>
      <c r="KXW15" s="253" t="n"/>
      <c r="KXX15" s="253" t="n"/>
      <c r="KXY15" s="253" t="n"/>
      <c r="KXZ15" s="253" t="n"/>
      <c r="KYA15" s="253" t="n"/>
      <c r="KYB15" s="253" t="n"/>
      <c r="KYC15" s="253" t="n"/>
      <c r="KYD15" s="253" t="n"/>
      <c r="KYE15" s="253" t="n"/>
      <c r="KYF15" s="253" t="n"/>
      <c r="KYG15" s="253" t="n"/>
      <c r="KYH15" s="253" t="n"/>
      <c r="KYI15" s="253" t="n"/>
      <c r="KYJ15" s="253" t="n"/>
      <c r="KYK15" s="253" t="n"/>
      <c r="KYL15" s="253" t="n"/>
      <c r="KYM15" s="253" t="n"/>
      <c r="KYN15" s="253" t="n"/>
      <c r="KYO15" s="253" t="n"/>
      <c r="KYP15" s="253" t="n"/>
      <c r="KYQ15" s="253" t="n"/>
      <c r="KYR15" s="253" t="n"/>
      <c r="KYS15" s="253" t="n"/>
      <c r="KYT15" s="253" t="n"/>
      <c r="KYU15" s="253" t="n"/>
      <c r="KYV15" s="253" t="n"/>
      <c r="KYW15" s="253" t="n"/>
      <c r="KYX15" s="253" t="n"/>
      <c r="KYY15" s="253" t="n"/>
      <c r="KYZ15" s="253" t="n"/>
      <c r="KZA15" s="253" t="n"/>
      <c r="KZB15" s="253" t="n"/>
      <c r="KZC15" s="253" t="n"/>
      <c r="KZD15" s="253" t="n"/>
      <c r="KZE15" s="253" t="n"/>
      <c r="KZF15" s="253" t="n"/>
      <c r="KZG15" s="253" t="n"/>
      <c r="KZH15" s="253" t="n"/>
      <c r="KZI15" s="253" t="n"/>
      <c r="KZJ15" s="253" t="n"/>
      <c r="KZK15" s="253" t="n"/>
      <c r="KZL15" s="253" t="n"/>
      <c r="KZM15" s="253" t="n"/>
      <c r="KZN15" s="253" t="n"/>
      <c r="KZO15" s="253" t="n"/>
      <c r="KZP15" s="253" t="n"/>
      <c r="KZQ15" s="253" t="n"/>
      <c r="KZR15" s="253" t="n"/>
      <c r="KZS15" s="253" t="n"/>
      <c r="KZT15" s="253" t="n"/>
      <c r="KZU15" s="253" t="n"/>
      <c r="KZV15" s="253" t="n"/>
      <c r="KZW15" s="253" t="n"/>
      <c r="KZX15" s="253" t="n"/>
      <c r="KZY15" s="253" t="n"/>
      <c r="KZZ15" s="253" t="n"/>
      <c r="LAA15" s="253" t="n"/>
      <c r="LAB15" s="253" t="n"/>
      <c r="LAC15" s="253" t="n"/>
      <c r="LAD15" s="253" t="n"/>
      <c r="LAE15" s="253" t="n"/>
      <c r="LAF15" s="253" t="n"/>
      <c r="LAG15" s="253" t="n"/>
      <c r="LAH15" s="253" t="n"/>
      <c r="LAI15" s="253" t="n"/>
      <c r="LAJ15" s="253" t="n"/>
      <c r="LAK15" s="253" t="n"/>
      <c r="LAL15" s="253" t="n"/>
      <c r="LAM15" s="253" t="n"/>
      <c r="LAN15" s="253" t="n"/>
      <c r="LAO15" s="253" t="n"/>
      <c r="LAP15" s="253" t="n"/>
      <c r="LAQ15" s="253" t="n"/>
      <c r="LAR15" s="253" t="n"/>
      <c r="LAS15" s="253" t="n"/>
      <c r="LAT15" s="253" t="n"/>
      <c r="LAU15" s="253" t="n"/>
      <c r="LAV15" s="253" t="n"/>
      <c r="LAW15" s="253" t="n"/>
      <c r="LAX15" s="253" t="n"/>
      <c r="LAY15" s="253" t="n"/>
      <c r="LAZ15" s="253" t="n"/>
      <c r="LBA15" s="253" t="n"/>
      <c r="LBB15" s="253" t="n"/>
      <c r="LBC15" s="253" t="n"/>
      <c r="LBD15" s="253" t="n"/>
      <c r="LBE15" s="253" t="n"/>
      <c r="LBF15" s="253" t="n"/>
      <c r="LBG15" s="253" t="n"/>
      <c r="LBH15" s="253" t="n"/>
      <c r="LBI15" s="253" t="n"/>
      <c r="LBJ15" s="253" t="n"/>
      <c r="LBK15" s="253" t="n"/>
      <c r="LBL15" s="253" t="n"/>
      <c r="LBM15" s="253" t="n"/>
      <c r="LBN15" s="253" t="n"/>
      <c r="LBO15" s="253" t="n"/>
      <c r="LBP15" s="253" t="n"/>
      <c r="LBQ15" s="253" t="n"/>
      <c r="LBR15" s="253" t="n"/>
      <c r="LBS15" s="253" t="n"/>
      <c r="LBT15" s="253" t="n"/>
      <c r="LBU15" s="253" t="n"/>
      <c r="LBV15" s="253" t="n"/>
      <c r="LBW15" s="253" t="n"/>
      <c r="LBX15" s="253" t="n"/>
      <c r="LBY15" s="253" t="n"/>
      <c r="LBZ15" s="253" t="n"/>
      <c r="LCA15" s="253" t="n"/>
      <c r="LCB15" s="253" t="n"/>
      <c r="LCC15" s="253" t="n"/>
      <c r="LCD15" s="253" t="n"/>
      <c r="LCE15" s="253" t="n"/>
      <c r="LCF15" s="253" t="n"/>
      <c r="LCG15" s="253" t="n"/>
      <c r="LCH15" s="253" t="n"/>
      <c r="LCI15" s="253" t="n"/>
      <c r="LCJ15" s="253" t="n"/>
      <c r="LCK15" s="253" t="n"/>
      <c r="LCL15" s="253" t="n"/>
      <c r="LCM15" s="253" t="n"/>
      <c r="LCN15" s="253" t="n"/>
      <c r="LCO15" s="253" t="n"/>
      <c r="LCP15" s="253" t="n"/>
      <c r="LCQ15" s="253" t="n"/>
      <c r="LCR15" s="253" t="n"/>
      <c r="LCS15" s="253" t="n"/>
      <c r="LCT15" s="253" t="n"/>
      <c r="LCU15" s="253" t="n"/>
      <c r="LCV15" s="253" t="n"/>
      <c r="LCW15" s="253" t="n"/>
      <c r="LCX15" s="253" t="n"/>
      <c r="LCY15" s="253" t="n"/>
      <c r="LCZ15" s="253" t="n"/>
      <c r="LDA15" s="253" t="n"/>
      <c r="LDB15" s="253" t="n"/>
      <c r="LDC15" s="253" t="n"/>
      <c r="LDD15" s="253" t="n"/>
      <c r="LDE15" s="253" t="n"/>
      <c r="LDF15" s="253" t="n"/>
      <c r="LDG15" s="253" t="n"/>
      <c r="LDH15" s="253" t="n"/>
      <c r="LDI15" s="253" t="n"/>
      <c r="LDJ15" s="253" t="n"/>
      <c r="LDK15" s="253" t="n"/>
      <c r="LDL15" s="253" t="n"/>
      <c r="LDM15" s="253" t="n"/>
      <c r="LDN15" s="253" t="n"/>
      <c r="LDO15" s="253" t="n"/>
      <c r="LDP15" s="253" t="n"/>
      <c r="LDQ15" s="253" t="n"/>
      <c r="LDR15" s="253" t="n"/>
      <c r="LDS15" s="253" t="n"/>
      <c r="LDT15" s="253" t="n"/>
      <c r="LDU15" s="253" t="n"/>
      <c r="LDV15" s="253" t="n"/>
      <c r="LDW15" s="253" t="n"/>
      <c r="LDX15" s="253" t="n"/>
      <c r="LDY15" s="253" t="n"/>
      <c r="LDZ15" s="253" t="n"/>
      <c r="LEA15" s="253" t="n"/>
      <c r="LEB15" s="253" t="n"/>
      <c r="LEC15" s="253" t="n"/>
      <c r="LED15" s="253" t="n"/>
      <c r="LEE15" s="253" t="n"/>
      <c r="LEF15" s="253" t="n"/>
      <c r="LEG15" s="253" t="n"/>
      <c r="LEH15" s="253" t="n"/>
      <c r="LEI15" s="253" t="n"/>
      <c r="LEJ15" s="253" t="n"/>
      <c r="LEK15" s="253" t="n"/>
      <c r="LEL15" s="253" t="n"/>
      <c r="LEM15" s="253" t="n"/>
      <c r="LEN15" s="253" t="n"/>
      <c r="LEO15" s="253" t="n"/>
      <c r="LEP15" s="253" t="n"/>
      <c r="LEQ15" s="253" t="n"/>
      <c r="LER15" s="253" t="n"/>
      <c r="LES15" s="253" t="n"/>
      <c r="LET15" s="253" t="n"/>
      <c r="LEU15" s="253" t="n"/>
      <c r="LEV15" s="253" t="n"/>
      <c r="LEW15" s="253" t="n"/>
      <c r="LEX15" s="253" t="n"/>
      <c r="LEY15" s="253" t="n"/>
      <c r="LEZ15" s="253" t="n"/>
      <c r="LFA15" s="253" t="n"/>
      <c r="LFB15" s="253" t="n"/>
      <c r="LFC15" s="253" t="n"/>
      <c r="LFD15" s="253" t="n"/>
      <c r="LFE15" s="253" t="n"/>
      <c r="LFF15" s="253" t="n"/>
      <c r="LFG15" s="253" t="n"/>
      <c r="LFH15" s="253" t="n"/>
      <c r="LFI15" s="253" t="n"/>
      <c r="LFJ15" s="253" t="n"/>
      <c r="LFK15" s="253" t="n"/>
      <c r="LFL15" s="252" t="n"/>
      <c r="LFM15" s="253" t="n"/>
      <c r="LFN15" s="253" t="n"/>
      <c r="LFO15" s="253" t="n"/>
      <c r="LFP15" s="253" t="n"/>
      <c r="LFQ15" s="253" t="n"/>
      <c r="LFR15" s="253" t="n"/>
      <c r="LFS15" s="253" t="n"/>
      <c r="LFT15" s="253" t="n"/>
      <c r="LFU15" s="253" t="n"/>
      <c r="LFV15" s="253" t="n"/>
      <c r="LFW15" s="253" t="n"/>
      <c r="LFX15" s="253" t="n"/>
      <c r="LFY15" s="253" t="n"/>
      <c r="LFZ15" s="253" t="n"/>
      <c r="LGA15" s="253" t="n"/>
      <c r="LGB15" s="253" t="n"/>
      <c r="LGC15" s="253" t="n"/>
      <c r="LGD15" s="253" t="n"/>
      <c r="LGE15" s="253" t="n"/>
      <c r="LGF15" s="253" t="n"/>
      <c r="LGG15" s="253" t="n"/>
      <c r="LGH15" s="253" t="n"/>
      <c r="LGI15" s="253" t="n"/>
      <c r="LGJ15" s="253" t="n"/>
      <c r="LGK15" s="253" t="n"/>
      <c r="LGL15" s="253" t="n"/>
      <c r="LGM15" s="253" t="n"/>
      <c r="LGN15" s="253" t="n"/>
      <c r="LGO15" s="253" t="n"/>
      <c r="LGP15" s="253" t="n"/>
      <c r="LGQ15" s="253" t="n"/>
      <c r="LGR15" s="253" t="n"/>
      <c r="LGS15" s="253" t="n"/>
      <c r="LGT15" s="253" t="n"/>
      <c r="LGU15" s="253" t="n"/>
      <c r="LGV15" s="253" t="n"/>
      <c r="LGW15" s="253" t="n"/>
      <c r="LGX15" s="253" t="n"/>
      <c r="LGY15" s="253" t="n"/>
      <c r="LGZ15" s="253" t="n"/>
      <c r="LHA15" s="253" t="n"/>
      <c r="LHB15" s="253" t="n"/>
      <c r="LHC15" s="253" t="n"/>
      <c r="LHD15" s="253" t="n"/>
      <c r="LHE15" s="253" t="n"/>
      <c r="LHF15" s="253" t="n"/>
      <c r="LHG15" s="253" t="n"/>
      <c r="LHH15" s="253" t="n"/>
      <c r="LHI15" s="253" t="n"/>
      <c r="LHJ15" s="253" t="n"/>
      <c r="LHK15" s="253" t="n"/>
      <c r="LHL15" s="253" t="n"/>
      <c r="LHM15" s="253" t="n"/>
      <c r="LHN15" s="253" t="n"/>
      <c r="LHO15" s="253" t="n"/>
      <c r="LHP15" s="253" t="n"/>
      <c r="LHQ15" s="253" t="n"/>
      <c r="LHR15" s="253" t="n"/>
      <c r="LHS15" s="253" t="n"/>
      <c r="LHT15" s="253" t="n"/>
      <c r="LHU15" s="253" t="n"/>
      <c r="LHV15" s="253" t="n"/>
      <c r="LHW15" s="253" t="n"/>
      <c r="LHX15" s="253" t="n"/>
      <c r="LHY15" s="253" t="n"/>
      <c r="LHZ15" s="253" t="n"/>
      <c r="LIA15" s="253" t="n"/>
      <c r="LIB15" s="253" t="n"/>
      <c r="LIC15" s="253" t="n"/>
      <c r="LID15" s="253" t="n"/>
      <c r="LIE15" s="253" t="n"/>
      <c r="LIF15" s="253" t="n"/>
      <c r="LIG15" s="253" t="n"/>
      <c r="LIH15" s="253" t="n"/>
      <c r="LII15" s="253" t="n"/>
      <c r="LIJ15" s="253" t="n"/>
      <c r="LIK15" s="253" t="n"/>
      <c r="LIL15" s="253" t="n"/>
      <c r="LIM15" s="253" t="n"/>
      <c r="LIN15" s="253" t="n"/>
      <c r="LIO15" s="253" t="n"/>
      <c r="LIP15" s="253" t="n"/>
      <c r="LIQ15" s="253" t="n"/>
      <c r="LIR15" s="253" t="n"/>
      <c r="LIS15" s="253" t="n"/>
      <c r="LIT15" s="253" t="n"/>
      <c r="LIU15" s="253" t="n"/>
      <c r="LIV15" s="253" t="n"/>
      <c r="LIW15" s="253" t="n"/>
      <c r="LIX15" s="253" t="n"/>
      <c r="LIY15" s="253" t="n"/>
      <c r="LIZ15" s="253" t="n"/>
      <c r="LJA15" s="253" t="n"/>
      <c r="LJB15" s="253" t="n"/>
      <c r="LJC15" s="253" t="n"/>
      <c r="LJD15" s="253" t="n"/>
      <c r="LJE15" s="253" t="n"/>
      <c r="LJF15" s="253" t="n"/>
      <c r="LJG15" s="253" t="n"/>
      <c r="LJH15" s="253" t="n"/>
      <c r="LJI15" s="253" t="n"/>
      <c r="LJJ15" s="253" t="n"/>
      <c r="LJK15" s="253" t="n"/>
      <c r="LJL15" s="253" t="n"/>
      <c r="LJM15" s="253" t="n"/>
      <c r="LJN15" s="253" t="n"/>
      <c r="LJO15" s="253" t="n"/>
      <c r="LJP15" s="253" t="n"/>
      <c r="LJQ15" s="253" t="n"/>
      <c r="LJR15" s="253" t="n"/>
      <c r="LJS15" s="253" t="n"/>
      <c r="LJT15" s="253" t="n"/>
      <c r="LJU15" s="253" t="n"/>
      <c r="LJV15" s="253" t="n"/>
      <c r="LJW15" s="253" t="n"/>
      <c r="LJX15" s="253" t="n"/>
      <c r="LJY15" s="253" t="n"/>
      <c r="LJZ15" s="253" t="n"/>
      <c r="LKA15" s="253" t="n"/>
      <c r="LKB15" s="253" t="n"/>
      <c r="LKC15" s="253" t="n"/>
      <c r="LKD15" s="253" t="n"/>
      <c r="LKE15" s="253" t="n"/>
      <c r="LKF15" s="253" t="n"/>
      <c r="LKG15" s="253" t="n"/>
      <c r="LKH15" s="253" t="n"/>
      <c r="LKI15" s="253" t="n"/>
      <c r="LKJ15" s="253" t="n"/>
      <c r="LKK15" s="253" t="n"/>
      <c r="LKL15" s="253" t="n"/>
      <c r="LKM15" s="253" t="n"/>
      <c r="LKN15" s="253" t="n"/>
      <c r="LKO15" s="253" t="n"/>
      <c r="LKP15" s="253" t="n"/>
      <c r="LKQ15" s="253" t="n"/>
      <c r="LKR15" s="253" t="n"/>
      <c r="LKS15" s="253" t="n"/>
      <c r="LKT15" s="253" t="n"/>
      <c r="LKU15" s="253" t="n"/>
      <c r="LKV15" s="253" t="n"/>
      <c r="LKW15" s="253" t="n"/>
      <c r="LKX15" s="253" t="n"/>
      <c r="LKY15" s="253" t="n"/>
      <c r="LKZ15" s="253" t="n"/>
      <c r="LLA15" s="253" t="n"/>
      <c r="LLB15" s="253" t="n"/>
      <c r="LLC15" s="253" t="n"/>
      <c r="LLD15" s="253" t="n"/>
      <c r="LLE15" s="253" t="n"/>
      <c r="LLF15" s="253" t="n"/>
      <c r="LLG15" s="253" t="n"/>
      <c r="LLH15" s="253" t="n"/>
      <c r="LLI15" s="253" t="n"/>
      <c r="LLJ15" s="253" t="n"/>
      <c r="LLK15" s="253" t="n"/>
      <c r="LLL15" s="253" t="n"/>
      <c r="LLM15" s="253" t="n"/>
      <c r="LLN15" s="253" t="n"/>
      <c r="LLO15" s="253" t="n"/>
      <c r="LLP15" s="253" t="n"/>
      <c r="LLQ15" s="253" t="n"/>
      <c r="LLR15" s="253" t="n"/>
      <c r="LLS15" s="253" t="n"/>
      <c r="LLT15" s="253" t="n"/>
      <c r="LLU15" s="253" t="n"/>
      <c r="LLV15" s="253" t="n"/>
      <c r="LLW15" s="253" t="n"/>
      <c r="LLX15" s="253" t="n"/>
      <c r="LLY15" s="253" t="n"/>
      <c r="LLZ15" s="253" t="n"/>
      <c r="LMA15" s="253" t="n"/>
      <c r="LMB15" s="253" t="n"/>
      <c r="LMC15" s="253" t="n"/>
      <c r="LMD15" s="253" t="n"/>
      <c r="LME15" s="253" t="n"/>
      <c r="LMF15" s="253" t="n"/>
      <c r="LMG15" s="253" t="n"/>
      <c r="LMH15" s="253" t="n"/>
      <c r="LMI15" s="253" t="n"/>
      <c r="LMJ15" s="253" t="n"/>
      <c r="LMK15" s="253" t="n"/>
      <c r="LML15" s="253" t="n"/>
      <c r="LMM15" s="253" t="n"/>
      <c r="LMN15" s="253" t="n"/>
      <c r="LMO15" s="253" t="n"/>
      <c r="LMP15" s="253" t="n"/>
      <c r="LMQ15" s="253" t="n"/>
      <c r="LMR15" s="253" t="n"/>
      <c r="LMS15" s="253" t="n"/>
      <c r="LMT15" s="253" t="n"/>
      <c r="LMU15" s="253" t="n"/>
      <c r="LMV15" s="253" t="n"/>
      <c r="LMW15" s="253" t="n"/>
      <c r="LMX15" s="253" t="n"/>
      <c r="LMY15" s="253" t="n"/>
      <c r="LMZ15" s="253" t="n"/>
      <c r="LNA15" s="253" t="n"/>
      <c r="LNB15" s="253" t="n"/>
      <c r="LNC15" s="253" t="n"/>
      <c r="LND15" s="253" t="n"/>
      <c r="LNE15" s="253" t="n"/>
      <c r="LNF15" s="253" t="n"/>
      <c r="LNG15" s="253" t="n"/>
      <c r="LNH15" s="253" t="n"/>
      <c r="LNI15" s="253" t="n"/>
      <c r="LNJ15" s="253" t="n"/>
      <c r="LNK15" s="253" t="n"/>
      <c r="LNL15" s="253" t="n"/>
      <c r="LNM15" s="253" t="n"/>
      <c r="LNN15" s="253" t="n"/>
      <c r="LNO15" s="253" t="n"/>
      <c r="LNP15" s="253" t="n"/>
      <c r="LNQ15" s="253" t="n"/>
      <c r="LNR15" s="253" t="n"/>
      <c r="LNS15" s="253" t="n"/>
      <c r="LNT15" s="253" t="n"/>
      <c r="LNU15" s="253" t="n"/>
      <c r="LNV15" s="253" t="n"/>
      <c r="LNW15" s="253" t="n"/>
      <c r="LNX15" s="253" t="n"/>
      <c r="LNY15" s="253" t="n"/>
      <c r="LNZ15" s="253" t="n"/>
      <c r="LOA15" s="253" t="n"/>
      <c r="LOB15" s="253" t="n"/>
      <c r="LOC15" s="253" t="n"/>
      <c r="LOD15" s="253" t="n"/>
      <c r="LOE15" s="253" t="n"/>
      <c r="LOF15" s="253" t="n"/>
      <c r="LOG15" s="253" t="n"/>
      <c r="LOH15" s="253" t="n"/>
      <c r="LOI15" s="253" t="n"/>
      <c r="LOJ15" s="253" t="n"/>
      <c r="LOK15" s="253" t="n"/>
      <c r="LOL15" s="253" t="n"/>
      <c r="LOM15" s="253" t="n"/>
      <c r="LON15" s="253" t="n"/>
      <c r="LOO15" s="253" t="n"/>
      <c r="LOP15" s="253" t="n"/>
      <c r="LOQ15" s="253" t="n"/>
      <c r="LOR15" s="253" t="n"/>
      <c r="LOS15" s="253" t="n"/>
      <c r="LOT15" s="253" t="n"/>
      <c r="LOU15" s="253" t="n"/>
      <c r="LOV15" s="253" t="n"/>
      <c r="LOW15" s="253" t="n"/>
      <c r="LOX15" s="253" t="n"/>
      <c r="LOY15" s="253" t="n"/>
      <c r="LOZ15" s="253" t="n"/>
      <c r="LPA15" s="253" t="n"/>
      <c r="LPB15" s="253" t="n"/>
      <c r="LPC15" s="253" t="n"/>
      <c r="LPD15" s="253" t="n"/>
      <c r="LPE15" s="253" t="n"/>
      <c r="LPF15" s="253" t="n"/>
      <c r="LPG15" s="253" t="n"/>
      <c r="LPH15" s="253" t="n"/>
      <c r="LPI15" s="253" t="n"/>
      <c r="LPJ15" s="253" t="n"/>
      <c r="LPK15" s="253" t="n"/>
      <c r="LPL15" s="253" t="n"/>
      <c r="LPM15" s="253" t="n"/>
      <c r="LPN15" s="253" t="n"/>
      <c r="LPO15" s="253" t="n"/>
      <c r="LPP15" s="253" t="n"/>
      <c r="LPQ15" s="253" t="n"/>
      <c r="LPR15" s="253" t="n"/>
      <c r="LPS15" s="253" t="n"/>
      <c r="LPT15" s="253" t="n"/>
      <c r="LPU15" s="253" t="n"/>
      <c r="LPV15" s="253" t="n"/>
      <c r="LPW15" s="253" t="n"/>
      <c r="LPX15" s="253" t="n"/>
      <c r="LPY15" s="253" t="n"/>
      <c r="LPZ15" s="253" t="n"/>
      <c r="LQA15" s="253" t="n"/>
      <c r="LQB15" s="253" t="n"/>
      <c r="LQC15" s="253" t="n"/>
      <c r="LQD15" s="253" t="n"/>
      <c r="LQE15" s="253" t="n"/>
      <c r="LQF15" s="253" t="n"/>
      <c r="LQG15" s="253" t="n"/>
      <c r="LQH15" s="253" t="n"/>
      <c r="LQI15" s="253" t="n"/>
      <c r="LQJ15" s="253" t="n"/>
      <c r="LQK15" s="253" t="n"/>
      <c r="LQL15" s="253" t="n"/>
      <c r="LQM15" s="253" t="n"/>
      <c r="LQN15" s="253" t="n"/>
      <c r="LQO15" s="253" t="n"/>
      <c r="LQP15" s="253" t="n"/>
      <c r="LQQ15" s="253" t="n"/>
      <c r="LQR15" s="253" t="n"/>
      <c r="LQS15" s="253" t="n"/>
      <c r="LQT15" s="253" t="n"/>
      <c r="LQU15" s="253" t="n"/>
      <c r="LQV15" s="253" t="n"/>
      <c r="LQW15" s="253" t="n"/>
      <c r="LQX15" s="253" t="n"/>
      <c r="LQY15" s="253" t="n"/>
      <c r="LQZ15" s="253" t="n"/>
      <c r="LRA15" s="253" t="n"/>
      <c r="LRB15" s="253" t="n"/>
      <c r="LRC15" s="253" t="n"/>
      <c r="LRD15" s="253" t="n"/>
      <c r="LRE15" s="253" t="n"/>
      <c r="LRF15" s="253" t="n"/>
      <c r="LRG15" s="253" t="n"/>
      <c r="LRH15" s="253" t="n"/>
      <c r="LRI15" s="253" t="n"/>
      <c r="LRJ15" s="253" t="n"/>
      <c r="LRK15" s="253" t="n"/>
      <c r="LRL15" s="253" t="n"/>
      <c r="LRM15" s="253" t="n"/>
      <c r="LRN15" s="253" t="n"/>
      <c r="LRO15" s="253" t="n"/>
      <c r="LRP15" s="253" t="n"/>
      <c r="LRQ15" s="253" t="n"/>
      <c r="LRR15" s="253" t="n"/>
      <c r="LRS15" s="253" t="n"/>
      <c r="LRT15" s="253" t="n"/>
      <c r="LRU15" s="253" t="n"/>
      <c r="LRV15" s="253" t="n"/>
      <c r="LRW15" s="253" t="n"/>
      <c r="LRX15" s="253" t="n"/>
      <c r="LRY15" s="253" t="n"/>
      <c r="LRZ15" s="253" t="n"/>
      <c r="LSA15" s="253" t="n"/>
      <c r="LSB15" s="253" t="n"/>
      <c r="LSC15" s="253" t="n"/>
      <c r="LSD15" s="253" t="n"/>
      <c r="LSE15" s="253" t="n"/>
      <c r="LSF15" s="253" t="n"/>
      <c r="LSG15" s="253" t="n"/>
      <c r="LSH15" s="253" t="n"/>
      <c r="LSI15" s="253" t="n"/>
      <c r="LSJ15" s="253" t="n"/>
      <c r="LSK15" s="253" t="n"/>
      <c r="LSL15" s="253" t="n"/>
      <c r="LSM15" s="253" t="n"/>
      <c r="LSN15" s="253" t="n"/>
      <c r="LSO15" s="253" t="n"/>
      <c r="LSP15" s="253" t="n"/>
      <c r="LSQ15" s="253" t="n"/>
      <c r="LSR15" s="253" t="n"/>
      <c r="LSS15" s="253" t="n"/>
      <c r="LST15" s="253" t="n"/>
      <c r="LSU15" s="253" t="n"/>
      <c r="LSV15" s="253" t="n"/>
      <c r="LSW15" s="253" t="n"/>
      <c r="LSX15" s="253" t="n"/>
      <c r="LSY15" s="253" t="n"/>
      <c r="LSZ15" s="253" t="n"/>
      <c r="LTA15" s="253" t="n"/>
      <c r="LTB15" s="253" t="n"/>
      <c r="LTC15" s="253" t="n"/>
      <c r="LTD15" s="253" t="n"/>
      <c r="LTE15" s="253" t="n"/>
      <c r="LTF15" s="253" t="n"/>
      <c r="LTG15" s="253" t="n"/>
      <c r="LTH15" s="253" t="n"/>
      <c r="LTI15" s="253" t="n"/>
      <c r="LTJ15" s="253" t="n"/>
      <c r="LTK15" s="253" t="n"/>
      <c r="LTL15" s="253" t="n"/>
      <c r="LTM15" s="253" t="n"/>
      <c r="LTN15" s="253" t="n"/>
      <c r="LTO15" s="253" t="n"/>
      <c r="LTP15" s="253" t="n"/>
      <c r="LTQ15" s="253" t="n"/>
      <c r="LTR15" s="253" t="n"/>
      <c r="LTS15" s="253" t="n"/>
      <c r="LTT15" s="253" t="n"/>
      <c r="LTU15" s="253" t="n"/>
      <c r="LTV15" s="253" t="n"/>
      <c r="LTW15" s="253" t="n"/>
      <c r="LTX15" s="253" t="n"/>
      <c r="LTY15" s="253" t="n"/>
      <c r="LTZ15" s="253" t="n"/>
      <c r="LUA15" s="253" t="n"/>
      <c r="LUB15" s="253" t="n"/>
      <c r="LUC15" s="253" t="n"/>
      <c r="LUD15" s="253" t="n"/>
      <c r="LUE15" s="253" t="n"/>
      <c r="LUF15" s="253" t="n"/>
      <c r="LUG15" s="253" t="n"/>
      <c r="LUH15" s="253" t="n"/>
      <c r="LUI15" s="253" t="n"/>
      <c r="LUJ15" s="253" t="n"/>
      <c r="LUK15" s="253" t="n"/>
      <c r="LUL15" s="253" t="n"/>
      <c r="LUM15" s="253" t="n"/>
      <c r="LUN15" s="253" t="n"/>
      <c r="LUO15" s="253" t="n"/>
      <c r="LUP15" s="253" t="n"/>
      <c r="LUQ15" s="253" t="n"/>
      <c r="LUR15" s="253" t="n"/>
      <c r="LUS15" s="253" t="n"/>
      <c r="LUT15" s="253" t="n"/>
      <c r="LUU15" s="253" t="n"/>
      <c r="LUV15" s="253" t="n"/>
      <c r="LUW15" s="253" t="n"/>
      <c r="LUX15" s="253" t="n"/>
      <c r="LUY15" s="253" t="n"/>
      <c r="LUZ15" s="253" t="n"/>
      <c r="LVA15" s="253" t="n"/>
      <c r="LVB15" s="253" t="n"/>
      <c r="LVC15" s="253" t="n"/>
      <c r="LVD15" s="253" t="n"/>
      <c r="LVE15" s="253" t="n"/>
      <c r="LVF15" s="253" t="n"/>
      <c r="LVG15" s="253" t="n"/>
      <c r="LVH15" s="253" t="n"/>
      <c r="LVI15" s="253" t="n"/>
      <c r="LVJ15" s="253" t="n"/>
      <c r="LVK15" s="253" t="n"/>
      <c r="LVL15" s="253" t="n"/>
      <c r="LVM15" s="253" t="n"/>
      <c r="LVN15" s="253" t="n"/>
      <c r="LVO15" s="253" t="n"/>
      <c r="LVP15" s="253" t="n"/>
      <c r="LVQ15" s="253" t="n"/>
      <c r="LVR15" s="253" t="n"/>
      <c r="LVS15" s="253" t="n"/>
      <c r="LVT15" s="253" t="n"/>
      <c r="LVU15" s="253" t="n"/>
      <c r="LVV15" s="253" t="n"/>
      <c r="LVW15" s="253" t="n"/>
      <c r="LVX15" s="253" t="n"/>
      <c r="LVY15" s="253" t="n"/>
      <c r="LVZ15" s="253" t="n"/>
      <c r="LWA15" s="253" t="n"/>
      <c r="LWB15" s="253" t="n"/>
      <c r="LWC15" s="253" t="n"/>
      <c r="LWD15" s="253" t="n"/>
      <c r="LWE15" s="253" t="n"/>
      <c r="LWF15" s="253" t="n"/>
      <c r="LWG15" s="253" t="n"/>
      <c r="LWH15" s="253" t="n"/>
      <c r="LWI15" s="253" t="n"/>
      <c r="LWJ15" s="253" t="n"/>
      <c r="LWK15" s="253" t="n"/>
      <c r="LWL15" s="253" t="n"/>
      <c r="LWM15" s="253" t="n"/>
      <c r="LWN15" s="253" t="n"/>
      <c r="LWO15" s="253" t="n"/>
      <c r="LWP15" s="253" t="n"/>
      <c r="LWQ15" s="253" t="n"/>
      <c r="LWR15" s="253" t="n"/>
      <c r="LWS15" s="253" t="n"/>
      <c r="LWT15" s="253" t="n"/>
      <c r="LWU15" s="253" t="n"/>
      <c r="LWV15" s="253" t="n"/>
      <c r="LWW15" s="253" t="n"/>
      <c r="LWX15" s="253" t="n"/>
      <c r="LWY15" s="253" t="n"/>
      <c r="LWZ15" s="253" t="n"/>
      <c r="LXA15" s="253" t="n"/>
      <c r="LXB15" s="253" t="n"/>
      <c r="LXC15" s="253" t="n"/>
      <c r="LXD15" s="253" t="n"/>
      <c r="LXE15" s="253" t="n"/>
      <c r="LXF15" s="253" t="n"/>
      <c r="LXG15" s="253" t="n"/>
      <c r="LXH15" s="253" t="n"/>
      <c r="LXI15" s="253" t="n"/>
      <c r="LXJ15" s="253" t="n"/>
      <c r="LXK15" s="253" t="n"/>
      <c r="LXL15" s="253" t="n"/>
      <c r="LXM15" s="253" t="n"/>
      <c r="LXN15" s="253" t="n"/>
      <c r="LXO15" s="253" t="n"/>
      <c r="LXP15" s="253" t="n"/>
      <c r="LXQ15" s="253" t="n"/>
      <c r="LXR15" s="253" t="n"/>
      <c r="LXS15" s="253" t="n"/>
      <c r="LXT15" s="253" t="n"/>
      <c r="LXU15" s="253" t="n"/>
      <c r="LXV15" s="253" t="n"/>
      <c r="LXW15" s="253" t="n"/>
      <c r="LXX15" s="253" t="n"/>
      <c r="LXY15" s="253" t="n"/>
      <c r="LXZ15" s="253" t="n"/>
      <c r="LYA15" s="253" t="n"/>
      <c r="LYB15" s="253" t="n"/>
      <c r="LYC15" s="253" t="n"/>
      <c r="LYD15" s="253" t="n"/>
      <c r="LYE15" s="253" t="n"/>
      <c r="LYF15" s="253" t="n"/>
      <c r="LYG15" s="253" t="n"/>
      <c r="LYH15" s="253" t="n"/>
      <c r="LYI15" s="253" t="n"/>
      <c r="LYJ15" s="253" t="n"/>
      <c r="LYK15" s="253" t="n"/>
      <c r="LYL15" s="253" t="n"/>
      <c r="LYM15" s="253" t="n"/>
      <c r="LYN15" s="253" t="n"/>
      <c r="LYO15" s="253" t="n"/>
      <c r="LYP15" s="253" t="n"/>
      <c r="LYQ15" s="253" t="n"/>
      <c r="LYR15" s="253" t="n"/>
      <c r="LYS15" s="253" t="n"/>
      <c r="LYT15" s="253" t="n"/>
      <c r="LYU15" s="253" t="n"/>
      <c r="LYV15" s="253" t="n"/>
      <c r="LYW15" s="253" t="n"/>
      <c r="LYX15" s="253" t="n"/>
      <c r="LYY15" s="253" t="n"/>
      <c r="LYZ15" s="253" t="n"/>
      <c r="LZA15" s="253" t="n"/>
      <c r="LZB15" s="253" t="n"/>
      <c r="LZC15" s="253" t="n"/>
      <c r="LZD15" s="253" t="n"/>
      <c r="LZE15" s="253" t="n"/>
      <c r="LZF15" s="253" t="n"/>
      <c r="LZG15" s="253" t="n"/>
      <c r="LZH15" s="253" t="n"/>
      <c r="LZI15" s="253" t="n"/>
      <c r="LZJ15" s="253" t="n"/>
      <c r="LZK15" s="253" t="n"/>
      <c r="LZL15" s="253" t="n"/>
      <c r="LZM15" s="253" t="n"/>
      <c r="LZN15" s="253" t="n"/>
      <c r="LZO15" s="253" t="n"/>
      <c r="LZP15" s="253" t="n"/>
      <c r="LZQ15" s="253" t="n"/>
      <c r="LZR15" s="253" t="n"/>
      <c r="LZS15" s="253" t="n"/>
      <c r="LZT15" s="253" t="n"/>
      <c r="LZU15" s="253" t="n"/>
      <c r="LZV15" s="253" t="n"/>
      <c r="LZW15" s="253" t="n"/>
      <c r="LZX15" s="253" t="n"/>
      <c r="LZY15" s="253" t="n"/>
      <c r="LZZ15" s="253" t="n"/>
      <c r="MAA15" s="253" t="n"/>
      <c r="MAB15" s="253" t="n"/>
      <c r="MAC15" s="253" t="n"/>
      <c r="MAD15" s="253" t="n"/>
      <c r="MAE15" s="253" t="n"/>
      <c r="MAF15" s="253" t="n"/>
      <c r="MAG15" s="253" t="n"/>
      <c r="MAH15" s="253" t="n"/>
      <c r="MAI15" s="253" t="n"/>
      <c r="MAJ15" s="253" t="n"/>
      <c r="MAK15" s="253" t="n"/>
      <c r="MAL15" s="253" t="n"/>
      <c r="MAM15" s="253" t="n"/>
      <c r="MAN15" s="253" t="n"/>
      <c r="MAO15" s="253" t="n"/>
      <c r="MAP15" s="253" t="n"/>
      <c r="MAQ15" s="253" t="n"/>
      <c r="MAR15" s="253" t="n"/>
      <c r="MAS15" s="253" t="n"/>
      <c r="MAT15" s="253" t="n"/>
      <c r="MAU15" s="253" t="n"/>
      <c r="MAV15" s="253" t="n"/>
      <c r="MAW15" s="253" t="n"/>
      <c r="MAX15" s="253" t="n"/>
      <c r="MAY15" s="253" t="n"/>
      <c r="MAZ15" s="253" t="n"/>
      <c r="MBA15" s="253" t="n"/>
      <c r="MBB15" s="253" t="n"/>
      <c r="MBC15" s="253" t="n"/>
      <c r="MBD15" s="253" t="n"/>
      <c r="MBE15" s="253" t="n"/>
      <c r="MBF15" s="253" t="n"/>
      <c r="MBG15" s="253" t="n"/>
      <c r="MBH15" s="253" t="n"/>
      <c r="MBI15" s="253" t="n"/>
      <c r="MBJ15" s="253" t="n"/>
      <c r="MBK15" s="253" t="n"/>
      <c r="MBL15" s="253" t="n"/>
      <c r="MBM15" s="253" t="n"/>
      <c r="MBN15" s="253" t="n"/>
      <c r="MBO15" s="253" t="n"/>
      <c r="MBP15" s="253" t="n"/>
      <c r="MBQ15" s="253" t="n"/>
      <c r="MBR15" s="253" t="n"/>
      <c r="MBS15" s="253" t="n"/>
      <c r="MBT15" s="253" t="n"/>
      <c r="MBU15" s="253" t="n"/>
      <c r="MBV15" s="253" t="n"/>
      <c r="MBW15" s="253" t="n"/>
      <c r="MBX15" s="253" t="n"/>
      <c r="MBY15" s="253" t="n"/>
      <c r="MBZ15" s="253" t="n"/>
      <c r="MCA15" s="253" t="n"/>
      <c r="MCB15" s="253" t="n"/>
      <c r="MCC15" s="253" t="n"/>
      <c r="MCD15" s="253" t="n"/>
      <c r="MCE15" s="253" t="n"/>
      <c r="MCF15" s="253" t="n"/>
      <c r="MCG15" s="253" t="n"/>
      <c r="MCH15" s="253" t="n"/>
      <c r="MCI15" s="253" t="n"/>
      <c r="MCJ15" s="253" t="n"/>
      <c r="MCK15" s="253" t="n"/>
      <c r="MCL15" s="253" t="n"/>
      <c r="MCM15" s="253" t="n"/>
      <c r="MCN15" s="253" t="n"/>
      <c r="MCO15" s="253" t="n"/>
      <c r="MCP15" s="253" t="n"/>
      <c r="MCQ15" s="253" t="n"/>
      <c r="MCR15" s="253" t="n"/>
      <c r="MCS15" s="253" t="n"/>
      <c r="MCT15" s="253" t="n"/>
      <c r="MCU15" s="253" t="n"/>
      <c r="MCV15" s="253" t="n"/>
      <c r="MCW15" s="253" t="n"/>
      <c r="MCX15" s="253" t="n"/>
      <c r="MCY15" s="253" t="n"/>
      <c r="MCZ15" s="253" t="n"/>
      <c r="MDA15" s="253" t="n"/>
      <c r="MDB15" s="253" t="n"/>
      <c r="MDC15" s="253" t="n"/>
      <c r="MDD15" s="253" t="n"/>
      <c r="MDE15" s="253" t="n"/>
      <c r="MDF15" s="253" t="n"/>
      <c r="MDG15" s="253" t="n"/>
      <c r="MDH15" s="253" t="n"/>
      <c r="MDI15" s="253" t="n"/>
      <c r="MDJ15" s="253" t="n"/>
      <c r="MDK15" s="253" t="n"/>
      <c r="MDL15" s="253" t="n"/>
      <c r="MDM15" s="253" t="n"/>
      <c r="MDN15" s="253" t="n"/>
      <c r="MDO15" s="253" t="n"/>
      <c r="MDP15" s="253" t="n"/>
      <c r="MDQ15" s="253" t="n"/>
      <c r="MDR15" s="253" t="n"/>
      <c r="MDS15" s="253" t="n"/>
      <c r="MDT15" s="253" t="n"/>
      <c r="MDU15" s="253" t="n"/>
      <c r="MDV15" s="253" t="n"/>
      <c r="MDW15" s="253" t="n"/>
      <c r="MDX15" s="253" t="n"/>
      <c r="MDY15" s="253" t="n"/>
      <c r="MDZ15" s="253" t="n"/>
      <c r="MEA15" s="253" t="n"/>
      <c r="MEB15" s="253" t="n"/>
      <c r="MEC15" s="253" t="n"/>
      <c r="MED15" s="253" t="n"/>
      <c r="MEE15" s="253" t="n"/>
      <c r="MEF15" s="253" t="n"/>
      <c r="MEG15" s="253" t="n"/>
      <c r="MEH15" s="253" t="n"/>
      <c r="MEI15" s="253" t="n"/>
      <c r="MEJ15" s="253" t="n"/>
      <c r="MEK15" s="253" t="n"/>
      <c r="MEL15" s="253" t="n"/>
      <c r="MEM15" s="253" t="n"/>
      <c r="MEN15" s="253" t="n"/>
      <c r="MEO15" s="253" t="n"/>
      <c r="MEP15" s="253" t="n"/>
      <c r="MEQ15" s="253" t="n"/>
      <c r="MER15" s="253" t="n"/>
      <c r="MES15" s="253" t="n"/>
      <c r="MET15" s="253" t="n"/>
      <c r="MEU15" s="253" t="n"/>
      <c r="MEV15" s="253" t="n"/>
      <c r="MEW15" s="253" t="n"/>
      <c r="MEX15" s="253" t="n"/>
      <c r="MEY15" s="253" t="n"/>
      <c r="MEZ15" s="253" t="n"/>
      <c r="MFA15" s="253" t="n"/>
      <c r="MFB15" s="253" t="n"/>
      <c r="MFC15" s="253" t="n"/>
      <c r="MFD15" s="253" t="n"/>
      <c r="MFE15" s="253" t="n"/>
      <c r="MFF15" s="253" t="n"/>
      <c r="MFG15" s="253" t="n"/>
      <c r="MFH15" s="253" t="n"/>
      <c r="MFI15" s="253" t="n"/>
      <c r="MFJ15" s="253" t="n"/>
      <c r="MFK15" s="253" t="n"/>
      <c r="MFL15" s="253" t="n"/>
      <c r="MFM15" s="253" t="n"/>
      <c r="MFN15" s="252" t="n"/>
      <c r="MFO15" s="253" t="n"/>
      <c r="MFP15" s="253" t="n"/>
      <c r="MFQ15" s="253" t="n"/>
      <c r="MFR15" s="253" t="n"/>
      <c r="MFS15" s="253" t="n"/>
      <c r="MFT15" s="253" t="n"/>
      <c r="MFU15" s="253" t="n"/>
      <c r="MFV15" s="253" t="n"/>
      <c r="MFW15" s="253" t="n"/>
      <c r="MFX15" s="253" t="n"/>
      <c r="MFY15" s="253" t="n"/>
      <c r="MFZ15" s="253" t="n"/>
      <c r="MGA15" s="253" t="n"/>
      <c r="MGB15" s="253" t="n"/>
      <c r="MGC15" s="253" t="n"/>
      <c r="MGD15" s="253" t="n"/>
      <c r="MGE15" s="253" t="n"/>
      <c r="MGF15" s="253" t="n"/>
      <c r="MGG15" s="253" t="n"/>
      <c r="MGH15" s="253" t="n"/>
      <c r="MGI15" s="253" t="n"/>
      <c r="MGJ15" s="253" t="n"/>
      <c r="MGK15" s="253" t="n"/>
      <c r="MGL15" s="253" t="n"/>
      <c r="MGM15" s="253" t="n"/>
      <c r="MGN15" s="253" t="n"/>
      <c r="MGO15" s="253" t="n"/>
      <c r="MGP15" s="253" t="n"/>
      <c r="MGQ15" s="253" t="n"/>
      <c r="MGR15" s="253" t="n"/>
      <c r="MGS15" s="253" t="n"/>
      <c r="MGT15" s="253" t="n"/>
      <c r="MGU15" s="253" t="n"/>
      <c r="MGV15" s="253" t="n"/>
      <c r="MGW15" s="253" t="n"/>
      <c r="MGX15" s="253" t="n"/>
      <c r="MGY15" s="253" t="n"/>
      <c r="MGZ15" s="253" t="n"/>
      <c r="MHA15" s="253" t="n"/>
      <c r="MHB15" s="253" t="n"/>
      <c r="MHC15" s="253" t="n"/>
      <c r="MHD15" s="253" t="n"/>
      <c r="MHE15" s="253" t="n"/>
      <c r="MHF15" s="253" t="n"/>
      <c r="MHG15" s="253" t="n"/>
      <c r="MHH15" s="253" t="n"/>
      <c r="MHI15" s="253" t="n"/>
      <c r="MHJ15" s="253" t="n"/>
      <c r="MHK15" s="253" t="n"/>
      <c r="MHL15" s="253" t="n"/>
      <c r="MHM15" s="253" t="n"/>
      <c r="MHN15" s="253" t="n"/>
      <c r="MHO15" s="253" t="n"/>
      <c r="MHP15" s="253" t="n"/>
      <c r="MHQ15" s="253" t="n"/>
      <c r="MHR15" s="253" t="n"/>
      <c r="MHS15" s="253" t="n"/>
      <c r="MHT15" s="253" t="n"/>
      <c r="MHU15" s="253" t="n"/>
      <c r="MHV15" s="253" t="n"/>
      <c r="MHW15" s="253" t="n"/>
      <c r="MHX15" s="253" t="n"/>
      <c r="MHY15" s="253" t="n"/>
      <c r="MHZ15" s="253" t="n"/>
      <c r="MIA15" s="253" t="n"/>
      <c r="MIB15" s="253" t="n"/>
      <c r="MIC15" s="253" t="n"/>
      <c r="MID15" s="253" t="n"/>
      <c r="MIE15" s="253" t="n"/>
      <c r="MIF15" s="253" t="n"/>
      <c r="MIG15" s="253" t="n"/>
      <c r="MIH15" s="253" t="n"/>
      <c r="MII15" s="253" t="n"/>
      <c r="MIJ15" s="253" t="n"/>
      <c r="MIK15" s="253" t="n"/>
      <c r="MIL15" s="253" t="n"/>
      <c r="MIM15" s="253" t="n"/>
      <c r="MIN15" s="253" t="n"/>
      <c r="MIO15" s="253" t="n"/>
      <c r="MIP15" s="253" t="n"/>
      <c r="MIQ15" s="253" t="n"/>
      <c r="MIR15" s="253" t="n"/>
      <c r="MIS15" s="253" t="n"/>
      <c r="MIT15" s="253" t="n"/>
      <c r="MIU15" s="253" t="n"/>
      <c r="MIV15" s="253" t="n"/>
      <c r="MIW15" s="253" t="n"/>
      <c r="MIX15" s="253" t="n"/>
      <c r="MIY15" s="253" t="n"/>
      <c r="MIZ15" s="253" t="n"/>
      <c r="MJA15" s="253" t="n"/>
      <c r="MJB15" s="253" t="n"/>
      <c r="MJC15" s="253" t="n"/>
      <c r="MJD15" s="253" t="n"/>
      <c r="MJE15" s="253" t="n"/>
      <c r="MJF15" s="253" t="n"/>
      <c r="MJG15" s="253" t="n"/>
      <c r="MJH15" s="253" t="n"/>
      <c r="MJI15" s="253" t="n"/>
      <c r="MJJ15" s="253" t="n"/>
      <c r="MJK15" s="253" t="n"/>
      <c r="MJL15" s="253" t="n"/>
      <c r="MJM15" s="253" t="n"/>
      <c r="MJN15" s="253" t="n"/>
      <c r="MJO15" s="253" t="n"/>
      <c r="MJP15" s="253" t="n"/>
      <c r="MJQ15" s="253" t="n"/>
      <c r="MJR15" s="253" t="n"/>
      <c r="MJS15" s="253" t="n"/>
      <c r="MJT15" s="253" t="n"/>
      <c r="MJU15" s="253" t="n"/>
      <c r="MJV15" s="253" t="n"/>
      <c r="MJW15" s="253" t="n"/>
      <c r="MJX15" s="253" t="n"/>
      <c r="MJY15" s="253" t="n"/>
      <c r="MJZ15" s="253" t="n"/>
      <c r="MKA15" s="253" t="n"/>
      <c r="MKB15" s="253" t="n"/>
      <c r="MKC15" s="253" t="n"/>
      <c r="MKD15" s="253" t="n"/>
      <c r="MKE15" s="253" t="n"/>
      <c r="MKF15" s="253" t="n"/>
      <c r="MKG15" s="253" t="n"/>
      <c r="MKH15" s="253" t="n"/>
      <c r="MKI15" s="253" t="n"/>
      <c r="MKJ15" s="253" t="n"/>
      <c r="MKK15" s="253" t="n"/>
      <c r="MKL15" s="253" t="n"/>
      <c r="MKM15" s="253" t="n"/>
      <c r="MKN15" s="253" t="n"/>
      <c r="MKO15" s="253" t="n"/>
      <c r="MKP15" s="253" t="n"/>
      <c r="MKQ15" s="253" t="n"/>
      <c r="MKR15" s="253" t="n"/>
      <c r="MKS15" s="253" t="n"/>
      <c r="MKT15" s="253" t="n"/>
      <c r="MKU15" s="253" t="n"/>
      <c r="MKV15" s="253" t="n"/>
      <c r="MKW15" s="253" t="n"/>
      <c r="MKX15" s="253" t="n"/>
      <c r="MKY15" s="253" t="n"/>
      <c r="MKZ15" s="253" t="n"/>
      <c r="MLA15" s="253" t="n"/>
      <c r="MLB15" s="253" t="n"/>
      <c r="MLC15" s="253" t="n"/>
      <c r="MLD15" s="253" t="n"/>
      <c r="MLE15" s="253" t="n"/>
      <c r="MLF15" s="253" t="n"/>
      <c r="MLG15" s="253" t="n"/>
      <c r="MLH15" s="253" t="n"/>
      <c r="MLI15" s="253" t="n"/>
      <c r="MLJ15" s="253" t="n"/>
      <c r="MLK15" s="253" t="n"/>
      <c r="MLL15" s="253" t="n"/>
      <c r="MLM15" s="253" t="n"/>
      <c r="MLN15" s="253" t="n"/>
      <c r="MLO15" s="253" t="n"/>
      <c r="MLP15" s="253" t="n"/>
      <c r="MLQ15" s="253" t="n"/>
      <c r="MLR15" s="253" t="n"/>
      <c r="MLS15" s="253" t="n"/>
      <c r="MLT15" s="253" t="n"/>
      <c r="MLU15" s="253" t="n"/>
      <c r="MLV15" s="253" t="n"/>
      <c r="MLW15" s="253" t="n"/>
      <c r="MLX15" s="253" t="n"/>
      <c r="MLY15" s="253" t="n"/>
      <c r="MLZ15" s="253" t="n"/>
      <c r="MMA15" s="253" t="n"/>
      <c r="MMB15" s="253" t="n"/>
      <c r="MMC15" s="253" t="n"/>
      <c r="MMD15" s="253" t="n"/>
      <c r="MME15" s="253" t="n"/>
      <c r="MMF15" s="253" t="n"/>
      <c r="MMG15" s="253" t="n"/>
      <c r="MMH15" s="253" t="n"/>
      <c r="MMI15" s="253" t="n"/>
      <c r="MMJ15" s="253" t="n"/>
      <c r="MMK15" s="253" t="n"/>
      <c r="MML15" s="253" t="n"/>
      <c r="MMM15" s="253" t="n"/>
      <c r="MMN15" s="253" t="n"/>
      <c r="MMO15" s="253" t="n"/>
      <c r="MMP15" s="253" t="n"/>
      <c r="MMQ15" s="253" t="n"/>
      <c r="MMR15" s="253" t="n"/>
      <c r="MMS15" s="253" t="n"/>
      <c r="MMT15" s="253" t="n"/>
      <c r="MMU15" s="253" t="n"/>
      <c r="MMV15" s="253" t="n"/>
      <c r="MMW15" s="253" t="n"/>
      <c r="MMX15" s="253" t="n"/>
      <c r="MMY15" s="253" t="n"/>
      <c r="MMZ15" s="253" t="n"/>
      <c r="MNA15" s="253" t="n"/>
      <c r="MNB15" s="253" t="n"/>
      <c r="MNC15" s="253" t="n"/>
      <c r="MND15" s="253" t="n"/>
      <c r="MNE15" s="253" t="n"/>
      <c r="MNF15" s="253" t="n"/>
      <c r="MNG15" s="253" t="n"/>
      <c r="MNH15" s="253" t="n"/>
      <c r="MNI15" s="253" t="n"/>
      <c r="MNJ15" s="253" t="n"/>
      <c r="MNK15" s="253" t="n"/>
      <c r="MNL15" s="253" t="n"/>
      <c r="MNM15" s="253" t="n"/>
      <c r="MNN15" s="253" t="n"/>
      <c r="MNO15" s="253" t="n"/>
      <c r="MNP15" s="253" t="n"/>
      <c r="MNQ15" s="253" t="n"/>
      <c r="MNR15" s="253" t="n"/>
      <c r="MNS15" s="253" t="n"/>
      <c r="MNT15" s="253" t="n"/>
      <c r="MNU15" s="253" t="n"/>
      <c r="MNV15" s="253" t="n"/>
      <c r="MNW15" s="253" t="n"/>
      <c r="MNX15" s="253" t="n"/>
      <c r="MNY15" s="253" t="n"/>
      <c r="MNZ15" s="253" t="n"/>
      <c r="MOA15" s="253" t="n"/>
      <c r="MOB15" s="253" t="n"/>
      <c r="MOC15" s="253" t="n"/>
      <c r="MOD15" s="253" t="n"/>
      <c r="MOE15" s="253" t="n"/>
      <c r="MOF15" s="253" t="n"/>
      <c r="MOG15" s="253" t="n"/>
      <c r="MOH15" s="253" t="n"/>
      <c r="MOI15" s="253" t="n"/>
      <c r="MOJ15" s="253" t="n"/>
      <c r="MOK15" s="253" t="n"/>
      <c r="MOL15" s="253" t="n"/>
      <c r="MOM15" s="253" t="n"/>
      <c r="MON15" s="253" t="n"/>
      <c r="MOO15" s="253" t="n"/>
      <c r="MOP15" s="253" t="n"/>
      <c r="MOQ15" s="253" t="n"/>
      <c r="MOR15" s="253" t="n"/>
      <c r="MOS15" s="253" t="n"/>
      <c r="MOT15" s="253" t="n"/>
      <c r="MOU15" s="253" t="n"/>
      <c r="MOV15" s="253" t="n"/>
      <c r="MOW15" s="253" t="n"/>
      <c r="MOX15" s="253" t="n"/>
      <c r="MOY15" s="253" t="n"/>
      <c r="MOZ15" s="253" t="n"/>
      <c r="MPA15" s="253" t="n"/>
      <c r="MPB15" s="253" t="n"/>
      <c r="MPC15" s="253" t="n"/>
      <c r="MPD15" s="253" t="n"/>
      <c r="MPE15" s="253" t="n"/>
      <c r="MPF15" s="253" t="n"/>
      <c r="MPG15" s="253" t="n"/>
      <c r="MPH15" s="253" t="n"/>
      <c r="MPI15" s="253" t="n"/>
      <c r="MPJ15" s="253" t="n"/>
      <c r="MPK15" s="253" t="n"/>
      <c r="MPL15" s="253" t="n"/>
      <c r="MPM15" s="253" t="n"/>
      <c r="MPN15" s="253" t="n"/>
      <c r="MPO15" s="253" t="n"/>
      <c r="MPP15" s="253" t="n"/>
      <c r="MPQ15" s="253" t="n"/>
      <c r="MPR15" s="253" t="n"/>
      <c r="MPS15" s="253" t="n"/>
      <c r="MPT15" s="253" t="n"/>
      <c r="MPU15" s="253" t="n"/>
      <c r="MPV15" s="253" t="n"/>
      <c r="MPW15" s="253" t="n"/>
      <c r="MPX15" s="253" t="n"/>
      <c r="MPY15" s="253" t="n"/>
      <c r="MPZ15" s="253" t="n"/>
      <c r="MQA15" s="253" t="n"/>
      <c r="MQB15" s="253" t="n"/>
      <c r="MQC15" s="253" t="n"/>
      <c r="MQD15" s="253" t="n"/>
      <c r="MQE15" s="253" t="n"/>
      <c r="MQF15" s="253" t="n"/>
      <c r="MQG15" s="253" t="n"/>
      <c r="MQH15" s="253" t="n"/>
      <c r="MQI15" s="253" t="n"/>
      <c r="MQJ15" s="253" t="n"/>
      <c r="MQK15" s="253" t="n"/>
      <c r="MQL15" s="253" t="n"/>
      <c r="MQM15" s="253" t="n"/>
      <c r="MQN15" s="253" t="n"/>
      <c r="MQO15" s="253" t="n"/>
      <c r="MQP15" s="253" t="n"/>
      <c r="MQQ15" s="253" t="n"/>
      <c r="MQR15" s="253" t="n"/>
      <c r="MQS15" s="253" t="n"/>
      <c r="MQT15" s="253" t="n"/>
      <c r="MQU15" s="253" t="n"/>
      <c r="MQV15" s="253" t="n"/>
      <c r="MQW15" s="253" t="n"/>
      <c r="MQX15" s="253" t="n"/>
      <c r="MQY15" s="253" t="n"/>
      <c r="MQZ15" s="253" t="n"/>
      <c r="MRA15" s="253" t="n"/>
      <c r="MRB15" s="253" t="n"/>
      <c r="MRC15" s="253" t="n"/>
      <c r="MRD15" s="253" t="n"/>
      <c r="MRE15" s="253" t="n"/>
      <c r="MRF15" s="253" t="n"/>
      <c r="MRG15" s="253" t="n"/>
      <c r="MRH15" s="253" t="n"/>
      <c r="MRI15" s="253" t="n"/>
      <c r="MRJ15" s="253" t="n"/>
      <c r="MRK15" s="253" t="n"/>
      <c r="MRL15" s="253" t="n"/>
      <c r="MRM15" s="253" t="n"/>
      <c r="MRN15" s="253" t="n"/>
      <c r="MRO15" s="253" t="n"/>
      <c r="MRP15" s="253" t="n"/>
      <c r="MRQ15" s="253" t="n"/>
      <c r="MRR15" s="253" t="n"/>
      <c r="MRS15" s="253" t="n"/>
      <c r="MRT15" s="253" t="n"/>
      <c r="MRU15" s="253" t="n"/>
      <c r="MRV15" s="253" t="n"/>
      <c r="MRW15" s="253" t="n"/>
      <c r="MRX15" s="253" t="n"/>
      <c r="MRY15" s="253" t="n"/>
      <c r="MRZ15" s="253" t="n"/>
      <c r="MSA15" s="253" t="n"/>
      <c r="MSB15" s="253" t="n"/>
      <c r="MSC15" s="253" t="n"/>
      <c r="MSD15" s="253" t="n"/>
      <c r="MSE15" s="253" t="n"/>
      <c r="MSF15" s="253" t="n"/>
      <c r="MSG15" s="253" t="n"/>
      <c r="MSH15" s="253" t="n"/>
      <c r="MSI15" s="253" t="n"/>
      <c r="MSJ15" s="253" t="n"/>
      <c r="MSK15" s="253" t="n"/>
      <c r="MSL15" s="253" t="n"/>
      <c r="MSM15" s="253" t="n"/>
      <c r="MSN15" s="253" t="n"/>
      <c r="MSO15" s="253" t="n"/>
      <c r="MSP15" s="253" t="n"/>
      <c r="MSQ15" s="253" t="n"/>
      <c r="MSR15" s="253" t="n"/>
      <c r="MSS15" s="253" t="n"/>
      <c r="MST15" s="253" t="n"/>
      <c r="MSU15" s="253" t="n"/>
      <c r="MSV15" s="253" t="n"/>
      <c r="MSW15" s="253" t="n"/>
      <c r="MSX15" s="253" t="n"/>
      <c r="MSY15" s="253" t="n"/>
      <c r="MSZ15" s="253" t="n"/>
      <c r="MTA15" s="253" t="n"/>
      <c r="MTB15" s="253" t="n"/>
      <c r="MTC15" s="253" t="n"/>
      <c r="MTD15" s="253" t="n"/>
      <c r="MTE15" s="253" t="n"/>
      <c r="MTF15" s="253" t="n"/>
      <c r="MTG15" s="253" t="n"/>
      <c r="MTH15" s="253" t="n"/>
      <c r="MTI15" s="253" t="n"/>
      <c r="MTJ15" s="253" t="n"/>
      <c r="MTK15" s="253" t="n"/>
      <c r="MTL15" s="253" t="n"/>
      <c r="MTM15" s="253" t="n"/>
      <c r="MTN15" s="253" t="n"/>
      <c r="MTO15" s="253" t="n"/>
      <c r="MTP15" s="253" t="n"/>
      <c r="MTQ15" s="253" t="n"/>
      <c r="MTR15" s="253" t="n"/>
      <c r="MTS15" s="253" t="n"/>
      <c r="MTT15" s="253" t="n"/>
      <c r="MTU15" s="253" t="n"/>
      <c r="MTV15" s="253" t="n"/>
      <c r="MTW15" s="253" t="n"/>
      <c r="MTX15" s="253" t="n"/>
      <c r="MTY15" s="253" t="n"/>
      <c r="MTZ15" s="253" t="n"/>
      <c r="MUA15" s="253" t="n"/>
      <c r="MUB15" s="253" t="n"/>
      <c r="MUC15" s="253" t="n"/>
      <c r="MUD15" s="253" t="n"/>
      <c r="MUE15" s="253" t="n"/>
      <c r="MUF15" s="253" t="n"/>
      <c r="MUG15" s="253" t="n"/>
      <c r="MUH15" s="253" t="n"/>
      <c r="MUI15" s="253" t="n"/>
      <c r="MUJ15" s="253" t="n"/>
      <c r="MUK15" s="253" t="n"/>
      <c r="MUL15" s="253" t="n"/>
      <c r="MUM15" s="253" t="n"/>
      <c r="MUN15" s="253" t="n"/>
      <c r="MUO15" s="253" t="n"/>
      <c r="MUP15" s="253" t="n"/>
      <c r="MUQ15" s="253" t="n"/>
      <c r="MUR15" s="253" t="n"/>
      <c r="MUS15" s="253" t="n"/>
      <c r="MUT15" s="253" t="n"/>
      <c r="MUU15" s="253" t="n"/>
      <c r="MUV15" s="253" t="n"/>
      <c r="MUW15" s="253" t="n"/>
      <c r="MUX15" s="253" t="n"/>
      <c r="MUY15" s="253" t="n"/>
      <c r="MUZ15" s="253" t="n"/>
      <c r="MVA15" s="253" t="n"/>
      <c r="MVB15" s="253" t="n"/>
      <c r="MVC15" s="253" t="n"/>
      <c r="MVD15" s="253" t="n"/>
      <c r="MVE15" s="253" t="n"/>
      <c r="MVF15" s="253" t="n"/>
      <c r="MVG15" s="253" t="n"/>
      <c r="MVH15" s="253" t="n"/>
      <c r="MVI15" s="253" t="n"/>
      <c r="MVJ15" s="253" t="n"/>
      <c r="MVK15" s="253" t="n"/>
      <c r="MVL15" s="253" t="n"/>
      <c r="MVM15" s="253" t="n"/>
      <c r="MVN15" s="253" t="n"/>
      <c r="MVO15" s="253" t="n"/>
      <c r="MVP15" s="253" t="n"/>
      <c r="MVQ15" s="253" t="n"/>
      <c r="MVR15" s="253" t="n"/>
      <c r="MVS15" s="253" t="n"/>
      <c r="MVT15" s="253" t="n"/>
      <c r="MVU15" s="253" t="n"/>
      <c r="MVV15" s="253" t="n"/>
      <c r="MVW15" s="253" t="n"/>
      <c r="MVX15" s="253" t="n"/>
      <c r="MVY15" s="253" t="n"/>
      <c r="MVZ15" s="253" t="n"/>
      <c r="MWA15" s="253" t="n"/>
      <c r="MWB15" s="253" t="n"/>
      <c r="MWC15" s="253" t="n"/>
      <c r="MWD15" s="253" t="n"/>
      <c r="MWE15" s="253" t="n"/>
      <c r="MWF15" s="253" t="n"/>
      <c r="MWG15" s="253" t="n"/>
      <c r="MWH15" s="253" t="n"/>
      <c r="MWI15" s="253" t="n"/>
      <c r="MWJ15" s="253" t="n"/>
      <c r="MWK15" s="253" t="n"/>
      <c r="MWL15" s="253" t="n"/>
      <c r="MWM15" s="253" t="n"/>
      <c r="MWN15" s="253" t="n"/>
      <c r="MWO15" s="253" t="n"/>
      <c r="MWP15" s="253" t="n"/>
      <c r="MWQ15" s="253" t="n"/>
      <c r="MWR15" s="253" t="n"/>
      <c r="MWS15" s="253" t="n"/>
      <c r="MWT15" s="253" t="n"/>
      <c r="MWU15" s="253" t="n"/>
      <c r="MWV15" s="253" t="n"/>
      <c r="MWW15" s="253" t="n"/>
      <c r="MWX15" s="253" t="n"/>
      <c r="MWY15" s="253" t="n"/>
      <c r="MWZ15" s="253" t="n"/>
      <c r="MXA15" s="253" t="n"/>
      <c r="MXB15" s="253" t="n"/>
      <c r="MXC15" s="253" t="n"/>
      <c r="MXD15" s="253" t="n"/>
      <c r="MXE15" s="253" t="n"/>
      <c r="MXF15" s="253" t="n"/>
      <c r="MXG15" s="253" t="n"/>
      <c r="MXH15" s="253" t="n"/>
      <c r="MXI15" s="253" t="n"/>
      <c r="MXJ15" s="253" t="n"/>
      <c r="MXK15" s="253" t="n"/>
      <c r="MXL15" s="253" t="n"/>
      <c r="MXM15" s="253" t="n"/>
      <c r="MXN15" s="253" t="n"/>
      <c r="MXO15" s="253" t="n"/>
      <c r="MXP15" s="253" t="n"/>
      <c r="MXQ15" s="253" t="n"/>
      <c r="MXR15" s="253" t="n"/>
      <c r="MXS15" s="253" t="n"/>
      <c r="MXT15" s="253" t="n"/>
      <c r="MXU15" s="253" t="n"/>
      <c r="MXV15" s="253" t="n"/>
      <c r="MXW15" s="253" t="n"/>
      <c r="MXX15" s="253" t="n"/>
      <c r="MXY15" s="253" t="n"/>
      <c r="MXZ15" s="253" t="n"/>
      <c r="MYA15" s="253" t="n"/>
      <c r="MYB15" s="253" t="n"/>
      <c r="MYC15" s="253" t="n"/>
      <c r="MYD15" s="253" t="n"/>
      <c r="MYE15" s="253" t="n"/>
      <c r="MYF15" s="253" t="n"/>
      <c r="MYG15" s="253" t="n"/>
      <c r="MYH15" s="253" t="n"/>
      <c r="MYI15" s="253" t="n"/>
      <c r="MYJ15" s="253" t="n"/>
      <c r="MYK15" s="253" t="n"/>
      <c r="MYL15" s="253" t="n"/>
      <c r="MYM15" s="253" t="n"/>
      <c r="MYN15" s="253" t="n"/>
      <c r="MYO15" s="253" t="n"/>
      <c r="MYP15" s="253" t="n"/>
      <c r="MYQ15" s="253" t="n"/>
      <c r="MYR15" s="253" t="n"/>
      <c r="MYS15" s="253" t="n"/>
      <c r="MYT15" s="253" t="n"/>
      <c r="MYU15" s="253" t="n"/>
      <c r="MYV15" s="253" t="n"/>
      <c r="MYW15" s="253" t="n"/>
      <c r="MYX15" s="253" t="n"/>
      <c r="MYY15" s="253" t="n"/>
      <c r="MYZ15" s="253" t="n"/>
      <c r="MZA15" s="253" t="n"/>
      <c r="MZB15" s="253" t="n"/>
      <c r="MZC15" s="253" t="n"/>
      <c r="MZD15" s="253" t="n"/>
      <c r="MZE15" s="253" t="n"/>
      <c r="MZF15" s="253" t="n"/>
      <c r="MZG15" s="253" t="n"/>
      <c r="MZH15" s="253" t="n"/>
      <c r="MZI15" s="253" t="n"/>
      <c r="MZJ15" s="253" t="n"/>
      <c r="MZK15" s="253" t="n"/>
      <c r="MZL15" s="253" t="n"/>
      <c r="MZM15" s="253" t="n"/>
      <c r="MZN15" s="253" t="n"/>
      <c r="MZO15" s="253" t="n"/>
      <c r="MZP15" s="253" t="n"/>
      <c r="MZQ15" s="253" t="n"/>
      <c r="MZR15" s="253" t="n"/>
      <c r="MZS15" s="253" t="n"/>
      <c r="MZT15" s="253" t="n"/>
      <c r="MZU15" s="253" t="n"/>
      <c r="MZV15" s="253" t="n"/>
      <c r="MZW15" s="253" t="n"/>
      <c r="MZX15" s="253" t="n"/>
      <c r="MZY15" s="253" t="n"/>
      <c r="MZZ15" s="253" t="n"/>
      <c r="NAA15" s="253" t="n"/>
      <c r="NAB15" s="253" t="n"/>
      <c r="NAC15" s="253" t="n"/>
      <c r="NAD15" s="253" t="n"/>
      <c r="NAE15" s="253" t="n"/>
      <c r="NAF15" s="253" t="n"/>
      <c r="NAG15" s="253" t="n"/>
      <c r="NAH15" s="253" t="n"/>
      <c r="NAI15" s="253" t="n"/>
      <c r="NAJ15" s="253" t="n"/>
      <c r="NAK15" s="253" t="n"/>
      <c r="NAL15" s="253" t="n"/>
      <c r="NAM15" s="253" t="n"/>
      <c r="NAN15" s="253" t="n"/>
      <c r="NAO15" s="253" t="n"/>
      <c r="NAP15" s="253" t="n"/>
      <c r="NAQ15" s="253" t="n"/>
      <c r="NAR15" s="253" t="n"/>
      <c r="NAS15" s="253" t="n"/>
      <c r="NAT15" s="253" t="n"/>
      <c r="NAU15" s="253" t="n"/>
      <c r="NAV15" s="253" t="n"/>
      <c r="NAW15" s="253" t="n"/>
      <c r="NAX15" s="253" t="n"/>
      <c r="NAY15" s="253" t="n"/>
      <c r="NAZ15" s="253" t="n"/>
      <c r="NBA15" s="253" t="n"/>
      <c r="NBB15" s="253" t="n"/>
      <c r="NBC15" s="253" t="n"/>
      <c r="NBD15" s="253" t="n"/>
      <c r="NBE15" s="253" t="n"/>
      <c r="NBF15" s="253" t="n"/>
      <c r="NBG15" s="253" t="n"/>
      <c r="NBH15" s="253" t="n"/>
      <c r="NBI15" s="253" t="n"/>
      <c r="NBJ15" s="253" t="n"/>
      <c r="NBK15" s="253" t="n"/>
      <c r="NBL15" s="253" t="n"/>
      <c r="NBM15" s="253" t="n"/>
      <c r="NBN15" s="253" t="n"/>
      <c r="NBO15" s="253" t="n"/>
      <c r="NBP15" s="253" t="n"/>
      <c r="NBQ15" s="253" t="n"/>
      <c r="NBR15" s="253" t="n"/>
      <c r="NBS15" s="253" t="n"/>
      <c r="NBT15" s="253" t="n"/>
      <c r="NBU15" s="253" t="n"/>
      <c r="NBV15" s="253" t="n"/>
      <c r="NBW15" s="253" t="n"/>
      <c r="NBX15" s="253" t="n"/>
      <c r="NBY15" s="253" t="n"/>
      <c r="NBZ15" s="253" t="n"/>
      <c r="NCA15" s="253" t="n"/>
      <c r="NCB15" s="253" t="n"/>
      <c r="NCC15" s="253" t="n"/>
      <c r="NCD15" s="253" t="n"/>
      <c r="NCE15" s="253" t="n"/>
      <c r="NCF15" s="253" t="n"/>
      <c r="NCG15" s="253" t="n"/>
      <c r="NCH15" s="253" t="n"/>
      <c r="NCI15" s="253" t="n"/>
      <c r="NCJ15" s="253" t="n"/>
      <c r="NCK15" s="253" t="n"/>
      <c r="NCL15" s="253" t="n"/>
      <c r="NCM15" s="253" t="n"/>
      <c r="NCN15" s="253" t="n"/>
      <c r="NCO15" s="253" t="n"/>
      <c r="NCP15" s="253" t="n"/>
      <c r="NCQ15" s="253" t="n"/>
      <c r="NCR15" s="253" t="n"/>
      <c r="NCS15" s="253" t="n"/>
      <c r="NCT15" s="253" t="n"/>
      <c r="NCU15" s="253" t="n"/>
      <c r="NCV15" s="253" t="n"/>
      <c r="NCW15" s="253" t="n"/>
      <c r="NCX15" s="253" t="n"/>
      <c r="NCY15" s="253" t="n"/>
      <c r="NCZ15" s="253" t="n"/>
      <c r="NDA15" s="253" t="n"/>
      <c r="NDB15" s="253" t="n"/>
      <c r="NDC15" s="253" t="n"/>
      <c r="NDD15" s="253" t="n"/>
      <c r="NDE15" s="253" t="n"/>
      <c r="NDF15" s="253" t="n"/>
      <c r="NDG15" s="253" t="n"/>
      <c r="NDH15" s="253" t="n"/>
      <c r="NDI15" s="253" t="n"/>
      <c r="NDJ15" s="253" t="n"/>
      <c r="NDK15" s="253" t="n"/>
      <c r="NDL15" s="253" t="n"/>
      <c r="NDM15" s="253" t="n"/>
      <c r="NDN15" s="253" t="n"/>
      <c r="NDO15" s="253" t="n"/>
      <c r="NDP15" s="253" t="n"/>
      <c r="NDQ15" s="253" t="n"/>
      <c r="NDR15" s="253" t="n"/>
      <c r="NDS15" s="253" t="n"/>
      <c r="NDT15" s="253" t="n"/>
      <c r="NDU15" s="253" t="n"/>
      <c r="NDV15" s="253" t="n"/>
      <c r="NDW15" s="253" t="n"/>
      <c r="NDX15" s="253" t="n"/>
      <c r="NDY15" s="253" t="n"/>
      <c r="NDZ15" s="253" t="n"/>
      <c r="NEA15" s="253" t="n"/>
      <c r="NEB15" s="253" t="n"/>
      <c r="NEC15" s="253" t="n"/>
      <c r="NED15" s="253" t="n"/>
      <c r="NEE15" s="253" t="n"/>
      <c r="NEF15" s="253" t="n"/>
      <c r="NEG15" s="253" t="n"/>
      <c r="NEH15" s="253" t="n"/>
      <c r="NEI15" s="253" t="n"/>
      <c r="NEJ15" s="253" t="n"/>
      <c r="NEK15" s="253" t="n"/>
      <c r="NEL15" s="253" t="n"/>
      <c r="NEM15" s="253" t="n"/>
      <c r="NEN15" s="253" t="n"/>
      <c r="NEO15" s="253" t="n"/>
      <c r="NEP15" s="253" t="n"/>
      <c r="NEQ15" s="253" t="n"/>
      <c r="NER15" s="253" t="n"/>
      <c r="NES15" s="253" t="n"/>
      <c r="NET15" s="253" t="n"/>
      <c r="NEU15" s="253" t="n"/>
      <c r="NEV15" s="253" t="n"/>
      <c r="NEW15" s="253" t="n"/>
      <c r="NEX15" s="253" t="n"/>
      <c r="NEY15" s="253" t="n"/>
      <c r="NEZ15" s="253" t="n"/>
      <c r="NFA15" s="253" t="n"/>
      <c r="NFB15" s="253" t="n"/>
      <c r="NFC15" s="253" t="n"/>
      <c r="NFD15" s="253" t="n"/>
      <c r="NFE15" s="253" t="n"/>
      <c r="NFF15" s="253" t="n"/>
      <c r="NFG15" s="253" t="n"/>
      <c r="NFH15" s="253" t="n"/>
      <c r="NFI15" s="253" t="n"/>
      <c r="NFJ15" s="253" t="n"/>
      <c r="NFK15" s="253" t="n"/>
      <c r="NFL15" s="253" t="n"/>
      <c r="NFM15" s="253" t="n"/>
      <c r="NFN15" s="253" t="n"/>
      <c r="NFO15" s="253" t="n"/>
      <c r="NFP15" s="87" t="n"/>
    </row>
    <row r="16">
      <c r="KFK16" s="253" t="n"/>
      <c r="KFL16" s="253" t="n"/>
      <c r="KFM16" s="253" t="n"/>
      <c r="KFN16" s="253" t="n"/>
      <c r="KFO16" s="253" t="n"/>
      <c r="KFP16" s="253" t="n"/>
      <c r="KFQ16" s="253" t="n"/>
      <c r="KFR16" s="253" t="n"/>
      <c r="KFS16" s="253" t="n"/>
      <c r="KFT16" s="253" t="n"/>
      <c r="KFU16" s="253" t="n"/>
      <c r="KFV16" s="253" t="n"/>
      <c r="KFW16" s="253" t="n"/>
      <c r="KFX16" s="253" t="n"/>
      <c r="KFY16" s="253" t="n"/>
      <c r="KFZ16" s="253" t="n"/>
      <c r="KGA16" s="253" t="n"/>
      <c r="KGB16" s="253" t="n"/>
      <c r="KGC16" s="253" t="n"/>
      <c r="KGD16" s="253" t="n"/>
      <c r="KGE16" s="253" t="n"/>
      <c r="KGF16" s="253" t="n"/>
      <c r="KGG16" s="253" t="n"/>
      <c r="KGH16" s="253" t="n"/>
      <c r="KGI16" s="253" t="n"/>
      <c r="KGJ16" s="253" t="n"/>
      <c r="KGK16" s="253" t="n"/>
      <c r="KGL16" s="253" t="n"/>
      <c r="KGM16" s="253" t="n"/>
      <c r="KGN16" s="253" t="n"/>
      <c r="KGO16" s="253" t="n"/>
      <c r="KGP16" s="253" t="n"/>
      <c r="KGQ16" s="253" t="n"/>
      <c r="KGR16" s="253" t="n"/>
      <c r="KGS16" s="253" t="n"/>
      <c r="KGT16" s="253" t="n"/>
      <c r="KGU16" s="253" t="n"/>
      <c r="KGV16" s="253" t="n"/>
      <c r="KGW16" s="253" t="n"/>
      <c r="KGX16" s="253" t="n"/>
      <c r="KGY16" s="253" t="n"/>
      <c r="KGZ16" s="253" t="n"/>
      <c r="KHA16" s="253" t="n"/>
      <c r="KHB16" s="253" t="n"/>
      <c r="KHC16" s="253" t="n"/>
      <c r="KHD16" s="253" t="n"/>
      <c r="KHE16" s="253" t="n"/>
      <c r="KHF16" s="253" t="n"/>
      <c r="KHG16" s="253" t="n"/>
      <c r="KHH16" s="253" t="n"/>
      <c r="KHI16" s="253" t="n"/>
      <c r="KHJ16" s="253" t="n"/>
      <c r="KHK16" s="253" t="n"/>
      <c r="KHL16" s="253" t="n"/>
      <c r="KHM16" s="253" t="n"/>
      <c r="KHN16" s="253" t="n"/>
      <c r="KHO16" s="253" t="n"/>
      <c r="KHP16" s="253" t="n"/>
      <c r="KHQ16" s="253" t="n"/>
      <c r="KHR16" s="253" t="n"/>
      <c r="KHS16" s="253" t="n"/>
      <c r="KHT16" s="253" t="n"/>
      <c r="KHU16" s="253" t="n"/>
      <c r="KHV16" s="253" t="n"/>
      <c r="KHW16" s="253" t="n"/>
      <c r="KHX16" s="253" t="n"/>
      <c r="KHY16" s="253" t="n"/>
      <c r="KHZ16" s="253" t="n"/>
      <c r="KIA16" s="253" t="n"/>
      <c r="KIB16" s="253" t="n"/>
      <c r="KIC16" s="253" t="n"/>
      <c r="KID16" s="253" t="n"/>
      <c r="KIE16" s="253" t="n"/>
      <c r="KIF16" s="253" t="n"/>
      <c r="KIG16" s="253" t="n"/>
      <c r="KIH16" s="253" t="n"/>
      <c r="KII16" s="253" t="n"/>
      <c r="KIJ16" s="253" t="n"/>
      <c r="KIK16" s="253" t="n"/>
      <c r="KIL16" s="253" t="n"/>
      <c r="KIM16" s="253" t="n"/>
      <c r="KIN16" s="253" t="n"/>
      <c r="KIO16" s="253" t="n"/>
      <c r="KIP16" s="253" t="n"/>
      <c r="KIQ16" s="253" t="n"/>
      <c r="KIR16" s="253" t="n"/>
      <c r="KIS16" s="253" t="n"/>
      <c r="KIT16" s="253" t="n"/>
      <c r="KIU16" s="253" t="n"/>
      <c r="KIV16" s="253" t="n"/>
      <c r="KIW16" s="253" t="n"/>
      <c r="KIX16" s="253" t="n"/>
      <c r="KIY16" s="253" t="n"/>
      <c r="KIZ16" s="253" t="n"/>
      <c r="KJA16" s="253" t="n"/>
      <c r="KJB16" s="253" t="n"/>
      <c r="KJC16" s="253" t="n"/>
      <c r="KJD16" s="253" t="n"/>
      <c r="KJE16" s="253" t="n"/>
      <c r="KJF16" s="253" t="n"/>
      <c r="KJG16" s="253" t="n"/>
      <c r="KJH16" s="253" t="n"/>
      <c r="KJI16" s="253" t="n"/>
      <c r="KJJ16" s="253" t="n"/>
      <c r="KJK16" s="253" t="n"/>
      <c r="KJL16" s="253" t="n"/>
      <c r="KJM16" s="253" t="n"/>
      <c r="KJN16" s="253" t="n"/>
      <c r="KJO16" s="253" t="n"/>
      <c r="KJP16" s="253" t="n"/>
      <c r="KJQ16" s="253" t="n"/>
      <c r="KJR16" s="253" t="n"/>
      <c r="KJS16" s="253" t="n"/>
      <c r="KJT16" s="253" t="n"/>
      <c r="KJU16" s="253" t="n"/>
      <c r="KJV16" s="253" t="n"/>
      <c r="KJW16" s="253" t="n"/>
      <c r="KJX16" s="253" t="n"/>
      <c r="KJY16" s="253" t="n"/>
      <c r="KJZ16" s="253" t="n"/>
      <c r="KKA16" s="253" t="n"/>
      <c r="KKB16" s="253" t="n"/>
      <c r="KKC16" s="253" t="n"/>
      <c r="KKD16" s="253" t="n"/>
      <c r="KKE16" s="253" t="n"/>
      <c r="KKF16" s="253" t="n"/>
      <c r="KKG16" s="253" t="n"/>
      <c r="KKH16" s="253" t="n"/>
      <c r="KKI16" s="253" t="n"/>
      <c r="KKJ16" s="253" t="n"/>
      <c r="KKK16" s="253" t="n"/>
      <c r="KKL16" s="253" t="n"/>
      <c r="KKM16" s="253" t="n"/>
      <c r="KKN16" s="253" t="n"/>
      <c r="KKO16" s="253" t="n"/>
      <c r="KKP16" s="253" t="n"/>
      <c r="KKQ16" s="253" t="n"/>
      <c r="KKR16" s="253" t="n"/>
      <c r="KKS16" s="253" t="n"/>
      <c r="KKT16" s="253" t="n"/>
      <c r="KKU16" s="253" t="n"/>
      <c r="KKV16" s="253" t="n"/>
      <c r="KKW16" s="253" t="n"/>
      <c r="KKX16" s="253" t="n"/>
      <c r="KKY16" s="253" t="n"/>
      <c r="KKZ16" s="253" t="n"/>
      <c r="KLA16" s="253" t="n"/>
      <c r="KLB16" s="253" t="n"/>
      <c r="KLC16" s="253" t="n"/>
      <c r="KLD16" s="253" t="n"/>
      <c r="KLE16" s="253" t="n"/>
      <c r="KLF16" s="253" t="n"/>
      <c r="KLG16" s="253" t="n"/>
      <c r="KLH16" s="253" t="n"/>
      <c r="KLI16" s="253" t="n"/>
      <c r="KLJ16" s="253" t="n"/>
      <c r="KLK16" s="253" t="n"/>
      <c r="KLL16" s="253" t="n"/>
      <c r="KLM16" s="253" t="n"/>
      <c r="KLN16" s="253" t="n"/>
      <c r="KLO16" s="253" t="n"/>
      <c r="KLP16" s="253" t="n"/>
      <c r="KLQ16" s="253" t="n"/>
      <c r="KLR16" s="253" t="n"/>
      <c r="KLS16" s="253" t="n"/>
      <c r="KLT16" s="253" t="n"/>
      <c r="KLU16" s="253" t="n"/>
      <c r="KLV16" s="253" t="n"/>
      <c r="KLW16" s="253" t="n"/>
      <c r="KLX16" s="253" t="n"/>
      <c r="KLY16" s="253" t="n"/>
      <c r="KLZ16" s="253" t="n"/>
      <c r="KMA16" s="253" t="n"/>
      <c r="KMB16" s="253" t="n"/>
      <c r="KMC16" s="253" t="n"/>
      <c r="KMD16" s="253" t="n"/>
      <c r="KME16" s="253" t="n"/>
      <c r="KMF16" s="253" t="n"/>
      <c r="KMG16" s="253" t="n"/>
      <c r="KMH16" s="253" t="n"/>
      <c r="KMI16" s="253" t="n"/>
      <c r="KMJ16" s="253" t="n"/>
      <c r="KMK16" s="253" t="n"/>
      <c r="KML16" s="253" t="n"/>
      <c r="KMM16" s="253" t="n"/>
      <c r="KMN16" s="253" t="n"/>
      <c r="KMO16" s="253" t="n"/>
      <c r="KMP16" s="253" t="n"/>
      <c r="KMQ16" s="253" t="n"/>
      <c r="KMR16" s="253" t="n"/>
      <c r="KMS16" s="253" t="n"/>
      <c r="KMT16" s="253" t="n"/>
      <c r="KMU16" s="253" t="n"/>
      <c r="KMV16" s="253" t="n"/>
      <c r="KMW16" s="253" t="n"/>
      <c r="KMX16" s="253" t="n"/>
      <c r="KMY16" s="253" t="n"/>
      <c r="KMZ16" s="253" t="n"/>
      <c r="KNA16" s="253" t="n"/>
      <c r="KNB16" s="253" t="n"/>
      <c r="KNC16" s="253" t="n"/>
      <c r="KND16" s="253" t="n"/>
      <c r="KNE16" s="253" t="n"/>
      <c r="KNF16" s="253" t="n"/>
      <c r="KNG16" s="253" t="n"/>
      <c r="KNH16" s="253" t="n"/>
      <c r="KNI16" s="253" t="n"/>
      <c r="KNJ16" s="253" t="n"/>
      <c r="KNK16" s="253" t="n"/>
      <c r="KNL16" s="253" t="n"/>
      <c r="KNM16" s="253" t="n"/>
      <c r="KNN16" s="253" t="n"/>
      <c r="KNO16" s="253" t="n"/>
      <c r="KNP16" s="253" t="n"/>
      <c r="KNQ16" s="253" t="n"/>
      <c r="KNR16" s="253" t="n"/>
      <c r="KNS16" s="253" t="n"/>
      <c r="KNT16" s="253" t="n"/>
      <c r="KNU16" s="253" t="n"/>
      <c r="KNV16" s="253" t="n"/>
      <c r="KNW16" s="253" t="n"/>
      <c r="KNX16" s="253" t="n"/>
      <c r="KNY16" s="253" t="n"/>
      <c r="KNZ16" s="253" t="n"/>
      <c r="KOA16" s="253" t="n"/>
      <c r="KOB16" s="253" t="n"/>
      <c r="KOC16" s="253" t="n"/>
      <c r="KOD16" s="253" t="n"/>
      <c r="KOE16" s="253" t="n"/>
      <c r="KOF16" s="253" t="n"/>
      <c r="KOG16" s="253" t="n"/>
      <c r="KOH16" s="253" t="n"/>
      <c r="KOI16" s="253" t="n"/>
      <c r="KOJ16" s="253" t="n"/>
      <c r="KOK16" s="253" t="n"/>
      <c r="KOL16" s="253" t="n"/>
      <c r="KOM16" s="253" t="n"/>
      <c r="KON16" s="253" t="n"/>
      <c r="KOO16" s="253" t="n"/>
      <c r="KOP16" s="253" t="n"/>
      <c r="KOQ16" s="253" t="n"/>
      <c r="KOR16" s="253" t="n"/>
      <c r="KOS16" s="253" t="n"/>
      <c r="KOT16" s="253" t="n"/>
      <c r="KOU16" s="253" t="n"/>
      <c r="KOV16" s="253" t="n"/>
      <c r="KOW16" s="253" t="n"/>
      <c r="KOX16" s="253" t="n"/>
      <c r="KOY16" s="253" t="n"/>
      <c r="KOZ16" s="253" t="n"/>
      <c r="KPA16" s="253" t="n"/>
      <c r="KPB16" s="253" t="n"/>
      <c r="KPC16" s="253" t="n"/>
      <c r="KPD16" s="253" t="n"/>
      <c r="KPE16" s="253" t="n"/>
      <c r="KPF16" s="253" t="n"/>
      <c r="KPG16" s="253" t="n"/>
      <c r="KPH16" s="253" t="n"/>
      <c r="KPI16" s="253" t="n"/>
      <c r="KPJ16" s="253" t="n"/>
      <c r="KPK16" s="253" t="n"/>
      <c r="KPL16" s="253" t="n"/>
      <c r="KPM16" s="253" t="n"/>
      <c r="KPN16" s="253" t="n"/>
      <c r="KPO16" s="253" t="n"/>
      <c r="KPP16" s="253" t="n"/>
      <c r="KPQ16" s="253" t="n"/>
      <c r="KPR16" s="253" t="n"/>
      <c r="KPS16" s="253" t="n"/>
      <c r="KPT16" s="253" t="n"/>
      <c r="KPU16" s="253" t="n"/>
      <c r="KPV16" s="253" t="n"/>
      <c r="KPW16" s="253" t="n"/>
      <c r="KPX16" s="253" t="n"/>
      <c r="KPY16" s="253" t="n"/>
      <c r="KPZ16" s="253" t="n"/>
      <c r="KQA16" s="253" t="n"/>
      <c r="KQB16" s="253" t="n"/>
      <c r="KQC16" s="253" t="n"/>
      <c r="KQD16" s="253" t="n"/>
      <c r="KQE16" s="253" t="n"/>
      <c r="KQF16" s="253" t="n"/>
      <c r="KQG16" s="253" t="n"/>
      <c r="KQH16" s="253" t="n"/>
      <c r="KQI16" s="253" t="n"/>
      <c r="KQJ16" s="253" t="n"/>
      <c r="KQK16" s="253" t="n"/>
      <c r="KQL16" s="253" t="n"/>
      <c r="KQM16" s="253" t="n"/>
      <c r="KQN16" s="253" t="n"/>
      <c r="KQO16" s="253" t="n"/>
      <c r="KQP16" s="253" t="n"/>
      <c r="KQQ16" s="253" t="n"/>
      <c r="KQR16" s="253" t="n"/>
      <c r="KQS16" s="253" t="n"/>
      <c r="KQT16" s="253" t="n"/>
      <c r="KQU16" s="253" t="n"/>
      <c r="KQV16" s="253" t="n"/>
      <c r="KQW16" s="253" t="n"/>
      <c r="KQX16" s="253" t="n"/>
      <c r="KQY16" s="253" t="n"/>
      <c r="KQZ16" s="253" t="n"/>
      <c r="KRA16" s="253" t="n"/>
      <c r="KRB16" s="253" t="n"/>
      <c r="KRC16" s="253" t="n"/>
      <c r="KRD16" s="253" t="n"/>
      <c r="KRE16" s="253" t="n"/>
      <c r="KRF16" s="253" t="n"/>
      <c r="KRG16" s="253" t="n"/>
      <c r="KRH16" s="253" t="n"/>
      <c r="KRI16" s="253" t="n"/>
      <c r="KRJ16" s="253" t="n"/>
      <c r="KRK16" s="253" t="n"/>
      <c r="KRL16" s="253" t="n"/>
      <c r="KRM16" s="253" t="n"/>
      <c r="KRN16" s="253" t="n"/>
      <c r="KRO16" s="253" t="n"/>
      <c r="KRP16" s="253" t="n"/>
      <c r="KRQ16" s="253" t="n"/>
      <c r="KRR16" s="253" t="n"/>
      <c r="KRS16" s="253" t="n"/>
      <c r="KRT16" s="253" t="n"/>
      <c r="KRU16" s="253" t="n"/>
      <c r="KRV16" s="253" t="n"/>
      <c r="KRW16" s="253" t="n"/>
      <c r="KRX16" s="253" t="n"/>
      <c r="KRY16" s="253" t="n"/>
      <c r="KRZ16" s="253" t="n"/>
      <c r="KSA16" s="253" t="n"/>
      <c r="KSB16" s="253" t="n"/>
      <c r="KSC16" s="253" t="n"/>
      <c r="KSD16" s="253" t="n"/>
      <c r="KSE16" s="253" t="n"/>
      <c r="KSF16" s="253" t="n"/>
      <c r="KSG16" s="253" t="n"/>
      <c r="KSH16" s="253" t="n"/>
      <c r="KSI16" s="253" t="n"/>
      <c r="KSJ16" s="253" t="n"/>
      <c r="KSK16" s="253" t="n"/>
      <c r="KSL16" s="253" t="n"/>
      <c r="KSM16" s="253" t="n"/>
      <c r="KSN16" s="253" t="n"/>
      <c r="KSO16" s="253" t="n"/>
      <c r="KSP16" s="253" t="n"/>
      <c r="KSQ16" s="253" t="n"/>
      <c r="KSR16" s="253" t="n"/>
      <c r="KSS16" s="253" t="n"/>
      <c r="KST16" s="253" t="n"/>
      <c r="KSU16" s="253" t="n"/>
      <c r="KSV16" s="253" t="n"/>
      <c r="KSW16" s="253" t="n"/>
      <c r="KSX16" s="253" t="n"/>
      <c r="KSY16" s="253" t="n"/>
      <c r="KSZ16" s="253" t="n"/>
      <c r="KTA16" s="253" t="n"/>
      <c r="KTB16" s="253" t="n"/>
      <c r="KTC16" s="253" t="n"/>
      <c r="KTD16" s="253" t="n"/>
      <c r="KTE16" s="253" t="n"/>
      <c r="KTF16" s="253" t="n"/>
      <c r="KTG16" s="253" t="n"/>
      <c r="KTH16" s="253" t="n"/>
      <c r="KTI16" s="253" t="n"/>
      <c r="KTJ16" s="253" t="n"/>
      <c r="KTK16" s="253" t="n"/>
      <c r="KTL16" s="253" t="n"/>
      <c r="KTM16" s="253" t="n"/>
      <c r="KTN16" s="253" t="n"/>
      <c r="KTO16" s="253" t="n"/>
      <c r="KTP16" s="253" t="n"/>
      <c r="KTQ16" s="253" t="n"/>
      <c r="KTR16" s="253" t="n"/>
      <c r="KTS16" s="253" t="n"/>
      <c r="KTT16" s="253" t="n"/>
      <c r="KTU16" s="253" t="n"/>
      <c r="KTV16" s="253" t="n"/>
      <c r="KTW16" s="253" t="n"/>
      <c r="KTX16" s="253" t="n"/>
      <c r="KTY16" s="253" t="n"/>
      <c r="KTZ16" s="253" t="n"/>
      <c r="KUA16" s="253" t="n"/>
      <c r="KUB16" s="253" t="n"/>
      <c r="KUC16" s="253" t="n"/>
      <c r="KUD16" s="253" t="n"/>
      <c r="KUE16" s="253" t="n"/>
      <c r="KUF16" s="253" t="n"/>
      <c r="KUG16" s="253" t="n"/>
      <c r="KUH16" s="253" t="n"/>
      <c r="KUI16" s="253" t="n"/>
      <c r="KUJ16" s="253" t="n"/>
      <c r="KUK16" s="253" t="n"/>
      <c r="KUL16" s="253" t="n"/>
      <c r="KUM16" s="253" t="n"/>
      <c r="KUN16" s="253" t="n"/>
      <c r="KUO16" s="253" t="n"/>
      <c r="KUP16" s="253" t="n"/>
      <c r="KUQ16" s="253" t="n"/>
      <c r="KUR16" s="253" t="n"/>
      <c r="KUS16" s="253" t="n"/>
      <c r="KUT16" s="253" t="n"/>
      <c r="KUU16" s="253" t="n"/>
      <c r="KUV16" s="253" t="n"/>
      <c r="KUW16" s="253" t="n"/>
      <c r="KUX16" s="253" t="n"/>
      <c r="KUY16" s="253" t="n"/>
      <c r="KUZ16" s="253" t="n"/>
      <c r="KVA16" s="253" t="n"/>
      <c r="KVB16" s="253" t="n"/>
      <c r="KVC16" s="253" t="n"/>
      <c r="KVD16" s="253" t="n"/>
      <c r="KVE16" s="253" t="n"/>
      <c r="KVF16" s="253" t="n"/>
      <c r="KVG16" s="253" t="n"/>
      <c r="KVH16" s="253" t="n"/>
      <c r="KVI16" s="253" t="n"/>
      <c r="KVJ16" s="253" t="n"/>
      <c r="KVK16" s="253" t="n"/>
      <c r="KVL16" s="253" t="n"/>
      <c r="KVM16" s="253" t="n"/>
      <c r="KVN16" s="253" t="n"/>
      <c r="KVO16" s="253" t="n"/>
      <c r="KVP16" s="253" t="n"/>
      <c r="KVQ16" s="253" t="n"/>
      <c r="KVR16" s="253" t="n"/>
      <c r="KVS16" s="253" t="n"/>
      <c r="KVT16" s="253" t="n"/>
      <c r="KVU16" s="253" t="n"/>
      <c r="KVV16" s="253" t="n"/>
      <c r="KVW16" s="253" t="n"/>
      <c r="KVX16" s="253" t="n"/>
      <c r="KVY16" s="253" t="n"/>
      <c r="KVZ16" s="253" t="n"/>
      <c r="KWA16" s="253" t="n"/>
      <c r="KWB16" s="253" t="n"/>
      <c r="KWC16" s="253" t="n"/>
      <c r="KWD16" s="253" t="n"/>
      <c r="KWE16" s="253" t="n"/>
      <c r="KWF16" s="253" t="n"/>
      <c r="KWG16" s="253" t="n"/>
      <c r="KWH16" s="253" t="n"/>
      <c r="KWI16" s="253" t="n"/>
      <c r="KWJ16" s="253" t="n"/>
      <c r="KWK16" s="253" t="n"/>
      <c r="KWL16" s="253" t="n"/>
      <c r="KWM16" s="253" t="n"/>
      <c r="KWN16" s="253" t="n"/>
      <c r="KWO16" s="253" t="n"/>
      <c r="KWP16" s="253" t="n"/>
      <c r="KWQ16" s="253" t="n"/>
      <c r="KWR16" s="253" t="n"/>
      <c r="KWS16" s="253" t="n"/>
      <c r="KWT16" s="253" t="n"/>
      <c r="KWU16" s="253" t="n"/>
      <c r="KWV16" s="253" t="n"/>
      <c r="KWW16" s="253" t="n"/>
      <c r="KWX16" s="253" t="n"/>
      <c r="KWY16" s="253" t="n"/>
      <c r="KWZ16" s="253" t="n"/>
      <c r="KXA16" s="253" t="n"/>
      <c r="KXB16" s="253" t="n"/>
      <c r="KXC16" s="253" t="n"/>
      <c r="KXD16" s="253" t="n"/>
      <c r="KXE16" s="253" t="n"/>
      <c r="KXF16" s="253" t="n"/>
      <c r="KXG16" s="253" t="n"/>
      <c r="KXH16" s="253" t="n"/>
      <c r="KXI16" s="253" t="n"/>
      <c r="KXJ16" s="253" t="n"/>
      <c r="KXK16" s="253" t="n"/>
      <c r="KXL16" s="253" t="n"/>
      <c r="KXM16" s="253" t="n"/>
      <c r="KXN16" s="253" t="n"/>
      <c r="KXO16" s="253" t="n"/>
      <c r="KXP16" s="253" t="n"/>
      <c r="KXQ16" s="253" t="n"/>
      <c r="KXR16" s="253" t="n"/>
      <c r="KXS16" s="253" t="n"/>
      <c r="KXT16" s="253" t="n"/>
      <c r="KXU16" s="253" t="n"/>
      <c r="KXV16" s="253" t="n"/>
      <c r="KXW16" s="253" t="n"/>
      <c r="KXX16" s="253" t="n"/>
      <c r="KXY16" s="253" t="n"/>
      <c r="KXZ16" s="253" t="n"/>
      <c r="KYA16" s="253" t="n"/>
      <c r="KYB16" s="253" t="n"/>
      <c r="KYC16" s="253" t="n"/>
      <c r="KYD16" s="253" t="n"/>
      <c r="KYE16" s="253" t="n"/>
      <c r="KYF16" s="253" t="n"/>
      <c r="KYG16" s="253" t="n"/>
      <c r="KYH16" s="253" t="n"/>
      <c r="KYI16" s="253" t="n"/>
      <c r="KYJ16" s="253" t="n"/>
      <c r="KYK16" s="253" t="n"/>
      <c r="KYL16" s="253" t="n"/>
      <c r="KYM16" s="253" t="n"/>
      <c r="KYN16" s="253" t="n"/>
      <c r="KYO16" s="253" t="n"/>
      <c r="KYP16" s="253" t="n"/>
      <c r="KYQ16" s="253" t="n"/>
      <c r="KYR16" s="253" t="n"/>
      <c r="KYS16" s="253" t="n"/>
      <c r="KYT16" s="253" t="n"/>
      <c r="KYU16" s="253" t="n"/>
      <c r="KYV16" s="253" t="n"/>
      <c r="KYW16" s="253" t="n"/>
      <c r="KYX16" s="253" t="n"/>
      <c r="KYY16" s="253" t="n"/>
      <c r="KYZ16" s="253" t="n"/>
      <c r="KZA16" s="253" t="n"/>
      <c r="KZB16" s="253" t="n"/>
      <c r="KZC16" s="253" t="n"/>
      <c r="KZD16" s="253" t="n"/>
      <c r="KZE16" s="253" t="n"/>
      <c r="KZF16" s="253" t="n"/>
      <c r="KZG16" s="253" t="n"/>
      <c r="KZH16" s="253" t="n"/>
      <c r="KZI16" s="253" t="n"/>
      <c r="KZJ16" s="253" t="n"/>
      <c r="KZK16" s="253" t="n"/>
      <c r="KZL16" s="253" t="n"/>
      <c r="KZM16" s="253" t="n"/>
      <c r="KZN16" s="253" t="n"/>
      <c r="KZO16" s="253" t="n"/>
      <c r="KZP16" s="253" t="n"/>
      <c r="KZQ16" s="253" t="n"/>
      <c r="KZR16" s="253" t="n"/>
      <c r="KZS16" s="253" t="n"/>
      <c r="KZT16" s="253" t="n"/>
      <c r="KZU16" s="253" t="n"/>
      <c r="KZV16" s="253" t="n"/>
      <c r="KZW16" s="253" t="n"/>
      <c r="KZX16" s="253" t="n"/>
      <c r="KZY16" s="253" t="n"/>
      <c r="KZZ16" s="253" t="n"/>
      <c r="LAA16" s="253" t="n"/>
      <c r="LAB16" s="253" t="n"/>
      <c r="LAC16" s="253" t="n"/>
      <c r="LAD16" s="253" t="n"/>
      <c r="LAE16" s="253" t="n"/>
      <c r="LAF16" s="253" t="n"/>
      <c r="LAG16" s="253" t="n"/>
      <c r="LAH16" s="253" t="n"/>
      <c r="LAI16" s="253" t="n"/>
      <c r="LAJ16" s="253" t="n"/>
      <c r="LAK16" s="253" t="n"/>
      <c r="LAL16" s="253" t="n"/>
      <c r="LAM16" s="253" t="n"/>
      <c r="LAN16" s="253" t="n"/>
      <c r="LAO16" s="253" t="n"/>
      <c r="LAP16" s="253" t="n"/>
      <c r="LAQ16" s="253" t="n"/>
      <c r="LAR16" s="253" t="n"/>
      <c r="LAS16" s="253" t="n"/>
      <c r="LAT16" s="253" t="n"/>
      <c r="LAU16" s="253" t="n"/>
      <c r="LAV16" s="253" t="n"/>
      <c r="LAW16" s="253" t="n"/>
      <c r="LAX16" s="253" t="n"/>
      <c r="LAY16" s="253" t="n"/>
      <c r="LAZ16" s="253" t="n"/>
      <c r="LBA16" s="253" t="n"/>
      <c r="LBB16" s="253" t="n"/>
      <c r="LBC16" s="253" t="n"/>
      <c r="LBD16" s="253" t="n"/>
      <c r="LBE16" s="253" t="n"/>
      <c r="LBF16" s="253" t="n"/>
      <c r="LBG16" s="253" t="n"/>
      <c r="LBH16" s="253" t="n"/>
      <c r="LBI16" s="253" t="n"/>
      <c r="LBJ16" s="253" t="n"/>
      <c r="LBK16" s="253" t="n"/>
      <c r="LBL16" s="253" t="n"/>
      <c r="LBM16" s="253" t="n"/>
      <c r="LBN16" s="253" t="n"/>
      <c r="LBO16" s="253" t="n"/>
      <c r="LBP16" s="253" t="n"/>
      <c r="LBQ16" s="253" t="n"/>
      <c r="LBR16" s="253" t="n"/>
      <c r="LBS16" s="253" t="n"/>
      <c r="LBT16" s="253" t="n"/>
      <c r="LBU16" s="253" t="n"/>
      <c r="LBV16" s="253" t="n"/>
      <c r="LBW16" s="253" t="n"/>
      <c r="LBX16" s="253" t="n"/>
      <c r="LBY16" s="253" t="n"/>
      <c r="LBZ16" s="253" t="n"/>
      <c r="LCA16" s="253" t="n"/>
      <c r="LCB16" s="253" t="n"/>
      <c r="LCC16" s="253" t="n"/>
      <c r="LCD16" s="253" t="n"/>
      <c r="LCE16" s="253" t="n"/>
      <c r="LCF16" s="253" t="n"/>
      <c r="LCG16" s="253" t="n"/>
      <c r="LCH16" s="253" t="n"/>
      <c r="LCI16" s="253" t="n"/>
      <c r="LCJ16" s="253" t="n"/>
      <c r="LCK16" s="253" t="n"/>
      <c r="LCL16" s="253" t="n"/>
      <c r="LCM16" s="253" t="n"/>
      <c r="LCN16" s="253" t="n"/>
      <c r="LCO16" s="253" t="n"/>
      <c r="LCP16" s="253" t="n"/>
      <c r="LCQ16" s="253" t="n"/>
      <c r="LCR16" s="253" t="n"/>
      <c r="LCS16" s="253" t="n"/>
      <c r="LCT16" s="253" t="n"/>
      <c r="LCU16" s="253" t="n"/>
      <c r="LCV16" s="253" t="n"/>
      <c r="LCW16" s="253" t="n"/>
      <c r="LCX16" s="253" t="n"/>
      <c r="LCY16" s="253" t="n"/>
      <c r="LCZ16" s="253" t="n"/>
      <c r="LDA16" s="253" t="n"/>
      <c r="LDB16" s="253" t="n"/>
      <c r="LDC16" s="253" t="n"/>
      <c r="LDD16" s="253" t="n"/>
      <c r="LDE16" s="253" t="n"/>
      <c r="LDF16" s="253" t="n"/>
      <c r="LDG16" s="253" t="n"/>
      <c r="LDH16" s="253" t="n"/>
      <c r="LDI16" s="253" t="n"/>
      <c r="LDJ16" s="253" t="n"/>
      <c r="LDK16" s="253" t="n"/>
      <c r="LDL16" s="253" t="n"/>
      <c r="LDM16" s="253" t="n"/>
      <c r="LDN16" s="253" t="n"/>
      <c r="LDO16" s="253" t="n"/>
      <c r="LDP16" s="253" t="n"/>
      <c r="LDQ16" s="253" t="n"/>
      <c r="LDR16" s="253" t="n"/>
      <c r="LDS16" s="253" t="n"/>
      <c r="LDT16" s="253" t="n"/>
      <c r="LDU16" s="253" t="n"/>
      <c r="LDV16" s="253" t="n"/>
      <c r="LDW16" s="253" t="n"/>
      <c r="LDX16" s="253" t="n"/>
      <c r="LDY16" s="253" t="n"/>
      <c r="LDZ16" s="253" t="n"/>
      <c r="LEA16" s="253" t="n"/>
      <c r="LEB16" s="253" t="n"/>
      <c r="LEC16" s="253" t="n"/>
      <c r="LED16" s="253" t="n"/>
      <c r="LEE16" s="253" t="n"/>
      <c r="LEF16" s="253" t="n"/>
      <c r="LEG16" s="253" t="n"/>
      <c r="LEH16" s="253" t="n"/>
      <c r="LEI16" s="253" t="n"/>
      <c r="LEJ16" s="253" t="n"/>
      <c r="LEK16" s="253" t="n"/>
      <c r="LEL16" s="253" t="n"/>
      <c r="LEM16" s="253" t="n"/>
      <c r="LEN16" s="253" t="n"/>
      <c r="LEO16" s="253" t="n"/>
      <c r="LEP16" s="253" t="n"/>
      <c r="LEQ16" s="253" t="n"/>
      <c r="LER16" s="253" t="n"/>
      <c r="LES16" s="253" t="n"/>
      <c r="LET16" s="253" t="n"/>
      <c r="LEU16" s="253" t="n"/>
      <c r="LEV16" s="253" t="n"/>
      <c r="LEW16" s="253" t="n"/>
      <c r="LEX16" s="253" t="n"/>
      <c r="LEY16" s="253" t="n"/>
      <c r="LEZ16" s="253" t="n"/>
      <c r="LFA16" s="253" t="n"/>
      <c r="LFB16" s="253" t="n"/>
      <c r="LFC16" s="253" t="n"/>
      <c r="LFD16" s="253" t="n"/>
      <c r="LFE16" s="253" t="n"/>
      <c r="LFF16" s="253" t="n"/>
      <c r="LFG16" s="253" t="n"/>
      <c r="LFH16" s="253" t="n"/>
      <c r="LFI16" s="253" t="n"/>
      <c r="LFJ16" s="253" t="n"/>
      <c r="LFK16" s="253" t="n"/>
      <c r="LFL16" s="252" t="n"/>
      <c r="LFM16" s="253" t="n"/>
      <c r="LFN16" s="253" t="n"/>
      <c r="LFO16" s="253" t="n"/>
      <c r="LFP16" s="253" t="n"/>
      <c r="LFQ16" s="253" t="n"/>
      <c r="LFR16" s="253" t="n"/>
      <c r="LFS16" s="253" t="n"/>
      <c r="LFT16" s="253" t="n"/>
      <c r="LFU16" s="253" t="n"/>
      <c r="LFV16" s="253" t="n"/>
      <c r="LFW16" s="253" t="n"/>
      <c r="LFX16" s="253" t="n"/>
      <c r="LFY16" s="253" t="n"/>
      <c r="LFZ16" s="253" t="n"/>
      <c r="LGA16" s="253" t="n"/>
      <c r="LGB16" s="253" t="n"/>
      <c r="LGC16" s="253" t="n"/>
      <c r="LGD16" s="253" t="n"/>
      <c r="LGE16" s="253" t="n"/>
      <c r="LGF16" s="253" t="n"/>
      <c r="LGG16" s="253" t="n"/>
      <c r="LGH16" s="253" t="n"/>
      <c r="LGI16" s="253" t="n"/>
      <c r="LGJ16" s="253" t="n"/>
      <c r="LGK16" s="253" t="n"/>
      <c r="LGL16" s="253" t="n"/>
      <c r="LGM16" s="253" t="n"/>
      <c r="LGN16" s="253" t="n"/>
      <c r="LGO16" s="253" t="n"/>
      <c r="LGP16" s="253" t="n"/>
      <c r="LGQ16" s="253" t="n"/>
      <c r="LGR16" s="253" t="n"/>
      <c r="LGS16" s="253" t="n"/>
      <c r="LGT16" s="253" t="n"/>
      <c r="LGU16" s="253" t="n"/>
      <c r="LGV16" s="253" t="n"/>
      <c r="LGW16" s="253" t="n"/>
      <c r="LGX16" s="253" t="n"/>
      <c r="LGY16" s="253" t="n"/>
      <c r="LGZ16" s="253" t="n"/>
      <c r="LHA16" s="253" t="n"/>
      <c r="LHB16" s="253" t="n"/>
      <c r="LHC16" s="253" t="n"/>
      <c r="LHD16" s="253" t="n"/>
      <c r="LHE16" s="253" t="n"/>
      <c r="LHF16" s="253" t="n"/>
      <c r="LHG16" s="253" t="n"/>
      <c r="LHH16" s="253" t="n"/>
      <c r="LHI16" s="253" t="n"/>
      <c r="LHJ16" s="253" t="n"/>
      <c r="LHK16" s="253" t="n"/>
      <c r="LHL16" s="253" t="n"/>
      <c r="LHM16" s="253" t="n"/>
      <c r="LHN16" s="253" t="n"/>
      <c r="LHO16" s="253" t="n"/>
      <c r="LHP16" s="253" t="n"/>
      <c r="LHQ16" s="253" t="n"/>
      <c r="LHR16" s="253" t="n"/>
      <c r="LHS16" s="253" t="n"/>
      <c r="LHT16" s="253" t="n"/>
      <c r="LHU16" s="253" t="n"/>
      <c r="LHV16" s="253" t="n"/>
      <c r="LHW16" s="253" t="n"/>
      <c r="LHX16" s="253" t="n"/>
      <c r="LHY16" s="253" t="n"/>
      <c r="LHZ16" s="253" t="n"/>
      <c r="LIA16" s="253" t="n"/>
      <c r="LIB16" s="253" t="n"/>
      <c r="LIC16" s="253" t="n"/>
      <c r="LID16" s="253" t="n"/>
      <c r="LIE16" s="253" t="n"/>
      <c r="LIF16" s="253" t="n"/>
      <c r="LIG16" s="253" t="n"/>
      <c r="LIH16" s="253" t="n"/>
      <c r="LII16" s="253" t="n"/>
      <c r="LIJ16" s="253" t="n"/>
      <c r="LIK16" s="253" t="n"/>
      <c r="LIL16" s="253" t="n"/>
      <c r="LIM16" s="253" t="n"/>
      <c r="LIN16" s="253" t="n"/>
      <c r="LIO16" s="253" t="n"/>
      <c r="LIP16" s="253" t="n"/>
      <c r="LIQ16" s="253" t="n"/>
      <c r="LIR16" s="253" t="n"/>
      <c r="LIS16" s="253" t="n"/>
      <c r="LIT16" s="253" t="n"/>
      <c r="LIU16" s="253" t="n"/>
      <c r="LIV16" s="253" t="n"/>
      <c r="LIW16" s="253" t="n"/>
      <c r="LIX16" s="253" t="n"/>
      <c r="LIY16" s="253" t="n"/>
      <c r="LIZ16" s="253" t="n"/>
      <c r="LJA16" s="253" t="n"/>
      <c r="LJB16" s="253" t="n"/>
      <c r="LJC16" s="253" t="n"/>
      <c r="LJD16" s="253" t="n"/>
      <c r="LJE16" s="253" t="n"/>
      <c r="LJF16" s="253" t="n"/>
      <c r="LJG16" s="253" t="n"/>
      <c r="LJH16" s="253" t="n"/>
      <c r="LJI16" s="253" t="n"/>
      <c r="LJJ16" s="253" t="n"/>
      <c r="LJK16" s="253" t="n"/>
      <c r="LJL16" s="253" t="n"/>
      <c r="LJM16" s="253" t="n"/>
      <c r="LJN16" s="253" t="n"/>
      <c r="LJO16" s="253" t="n"/>
      <c r="LJP16" s="253" t="n"/>
      <c r="LJQ16" s="253" t="n"/>
      <c r="LJR16" s="253" t="n"/>
      <c r="LJS16" s="253" t="n"/>
      <c r="LJT16" s="253" t="n"/>
      <c r="LJU16" s="253" t="n"/>
      <c r="LJV16" s="253" t="n"/>
      <c r="LJW16" s="253" t="n"/>
      <c r="LJX16" s="253" t="n"/>
      <c r="LJY16" s="253" t="n"/>
      <c r="LJZ16" s="253" t="n"/>
      <c r="LKA16" s="253" t="n"/>
      <c r="LKB16" s="253" t="n"/>
      <c r="LKC16" s="253" t="n"/>
      <c r="LKD16" s="253" t="n"/>
      <c r="LKE16" s="253" t="n"/>
      <c r="LKF16" s="253" t="n"/>
      <c r="LKG16" s="253" t="n"/>
      <c r="LKH16" s="253" t="n"/>
      <c r="LKI16" s="253" t="n"/>
      <c r="LKJ16" s="253" t="n"/>
      <c r="LKK16" s="253" t="n"/>
      <c r="LKL16" s="253" t="n"/>
      <c r="LKM16" s="253" t="n"/>
      <c r="LKN16" s="253" t="n"/>
      <c r="LKO16" s="253" t="n"/>
      <c r="LKP16" s="253" t="n"/>
      <c r="LKQ16" s="253" t="n"/>
      <c r="LKR16" s="253" t="n"/>
      <c r="LKS16" s="253" t="n"/>
      <c r="LKT16" s="253" t="n"/>
      <c r="LKU16" s="253" t="n"/>
      <c r="LKV16" s="253" t="n"/>
      <c r="LKW16" s="253" t="n"/>
      <c r="LKX16" s="253" t="n"/>
      <c r="LKY16" s="253" t="n"/>
      <c r="LKZ16" s="253" t="n"/>
      <c r="LLA16" s="253" t="n"/>
      <c r="LLB16" s="253" t="n"/>
      <c r="LLC16" s="253" t="n"/>
      <c r="LLD16" s="253" t="n"/>
      <c r="LLE16" s="253" t="n"/>
      <c r="LLF16" s="253" t="n"/>
      <c r="LLG16" s="253" t="n"/>
      <c r="LLH16" s="253" t="n"/>
      <c r="LLI16" s="253" t="n"/>
      <c r="LLJ16" s="253" t="n"/>
      <c r="LLK16" s="253" t="n"/>
      <c r="LLL16" s="253" t="n"/>
      <c r="LLM16" s="253" t="n"/>
      <c r="LLN16" s="253" t="n"/>
      <c r="LLO16" s="253" t="n"/>
      <c r="LLP16" s="253" t="n"/>
      <c r="LLQ16" s="253" t="n"/>
      <c r="LLR16" s="253" t="n"/>
      <c r="LLS16" s="253" t="n"/>
      <c r="LLT16" s="253" t="n"/>
      <c r="LLU16" s="253" t="n"/>
      <c r="LLV16" s="253" t="n"/>
      <c r="LLW16" s="253" t="n"/>
      <c r="LLX16" s="253" t="n"/>
      <c r="LLY16" s="253" t="n"/>
      <c r="LLZ16" s="253" t="n"/>
      <c r="LMA16" s="253" t="n"/>
      <c r="LMB16" s="253" t="n"/>
      <c r="LMC16" s="253" t="n"/>
      <c r="LMD16" s="253" t="n"/>
      <c r="LME16" s="253" t="n"/>
      <c r="LMF16" s="253" t="n"/>
      <c r="LMG16" s="253" t="n"/>
      <c r="LMH16" s="253" t="n"/>
      <c r="LMI16" s="253" t="n"/>
      <c r="LMJ16" s="253" t="n"/>
      <c r="LMK16" s="253" t="n"/>
      <c r="LML16" s="253" t="n"/>
      <c r="LMM16" s="253" t="n"/>
      <c r="LMN16" s="253" t="n"/>
      <c r="LMO16" s="253" t="n"/>
      <c r="LMP16" s="253" t="n"/>
      <c r="LMQ16" s="253" t="n"/>
      <c r="LMR16" s="253" t="n"/>
      <c r="LMS16" s="253" t="n"/>
      <c r="LMT16" s="253" t="n"/>
      <c r="LMU16" s="253" t="n"/>
      <c r="LMV16" s="253" t="n"/>
      <c r="LMW16" s="253" t="n"/>
      <c r="LMX16" s="253" t="n"/>
      <c r="LMY16" s="253" t="n"/>
      <c r="LMZ16" s="253" t="n"/>
      <c r="LNA16" s="253" t="n"/>
      <c r="LNB16" s="253" t="n"/>
      <c r="LNC16" s="253" t="n"/>
      <c r="LND16" s="253" t="n"/>
      <c r="LNE16" s="253" t="n"/>
      <c r="LNF16" s="253" t="n"/>
      <c r="LNG16" s="253" t="n"/>
      <c r="LNH16" s="253" t="n"/>
      <c r="LNI16" s="253" t="n"/>
      <c r="LNJ16" s="253" t="n"/>
      <c r="LNK16" s="253" t="n"/>
      <c r="LNL16" s="253" t="n"/>
      <c r="LNM16" s="253" t="n"/>
      <c r="LNN16" s="253" t="n"/>
      <c r="LNO16" s="253" t="n"/>
      <c r="LNP16" s="253" t="n"/>
      <c r="LNQ16" s="253" t="n"/>
      <c r="LNR16" s="253" t="n"/>
      <c r="LNS16" s="253" t="n"/>
      <c r="LNT16" s="253" t="n"/>
      <c r="LNU16" s="253" t="n"/>
      <c r="LNV16" s="253" t="n"/>
      <c r="LNW16" s="253" t="n"/>
      <c r="LNX16" s="253" t="n"/>
      <c r="LNY16" s="253" t="n"/>
      <c r="LNZ16" s="253" t="n"/>
      <c r="LOA16" s="253" t="n"/>
      <c r="LOB16" s="253" t="n"/>
      <c r="LOC16" s="253" t="n"/>
      <c r="LOD16" s="253" t="n"/>
      <c r="LOE16" s="253" t="n"/>
      <c r="LOF16" s="253" t="n"/>
      <c r="LOG16" s="253" t="n"/>
      <c r="LOH16" s="253" t="n"/>
      <c r="LOI16" s="253" t="n"/>
      <c r="LOJ16" s="253" t="n"/>
      <c r="LOK16" s="253" t="n"/>
      <c r="LOL16" s="253" t="n"/>
      <c r="LOM16" s="253" t="n"/>
      <c r="LON16" s="253" t="n"/>
      <c r="LOO16" s="253" t="n"/>
      <c r="LOP16" s="253" t="n"/>
      <c r="LOQ16" s="253" t="n"/>
      <c r="LOR16" s="253" t="n"/>
      <c r="LOS16" s="253" t="n"/>
      <c r="LOT16" s="253" t="n"/>
      <c r="LOU16" s="253" t="n"/>
      <c r="LOV16" s="253" t="n"/>
      <c r="LOW16" s="253" t="n"/>
      <c r="LOX16" s="253" t="n"/>
      <c r="LOY16" s="253" t="n"/>
      <c r="LOZ16" s="253" t="n"/>
      <c r="LPA16" s="253" t="n"/>
      <c r="LPB16" s="253" t="n"/>
      <c r="LPC16" s="253" t="n"/>
      <c r="LPD16" s="253" t="n"/>
      <c r="LPE16" s="253" t="n"/>
      <c r="LPF16" s="253" t="n"/>
      <c r="LPG16" s="253" t="n"/>
      <c r="LPH16" s="253" t="n"/>
      <c r="LPI16" s="253" t="n"/>
      <c r="LPJ16" s="253" t="n"/>
      <c r="LPK16" s="253" t="n"/>
      <c r="LPL16" s="253" t="n"/>
      <c r="LPM16" s="253" t="n"/>
      <c r="LPN16" s="253" t="n"/>
      <c r="LPO16" s="253" t="n"/>
      <c r="LPP16" s="253" t="n"/>
      <c r="LPQ16" s="253" t="n"/>
      <c r="LPR16" s="253" t="n"/>
      <c r="LPS16" s="253" t="n"/>
      <c r="LPT16" s="253" t="n"/>
      <c r="LPU16" s="253" t="n"/>
      <c r="LPV16" s="253" t="n"/>
      <c r="LPW16" s="253" t="n"/>
      <c r="LPX16" s="253" t="n"/>
      <c r="LPY16" s="253" t="n"/>
      <c r="LPZ16" s="253" t="n"/>
      <c r="LQA16" s="253" t="n"/>
      <c r="LQB16" s="253" t="n"/>
      <c r="LQC16" s="253" t="n"/>
      <c r="LQD16" s="253" t="n"/>
      <c r="LQE16" s="253" t="n"/>
      <c r="LQF16" s="253" t="n"/>
      <c r="LQG16" s="253" t="n"/>
      <c r="LQH16" s="253" t="n"/>
      <c r="LQI16" s="253" t="n"/>
      <c r="LQJ16" s="253" t="n"/>
      <c r="LQK16" s="253" t="n"/>
      <c r="LQL16" s="253" t="n"/>
      <c r="LQM16" s="253" t="n"/>
      <c r="LQN16" s="253" t="n"/>
      <c r="LQO16" s="253" t="n"/>
      <c r="LQP16" s="253" t="n"/>
      <c r="LQQ16" s="253" t="n"/>
      <c r="LQR16" s="253" t="n"/>
      <c r="LQS16" s="253" t="n"/>
      <c r="LQT16" s="253" t="n"/>
      <c r="LQU16" s="253" t="n"/>
      <c r="LQV16" s="253" t="n"/>
      <c r="LQW16" s="253" t="n"/>
      <c r="LQX16" s="253" t="n"/>
      <c r="LQY16" s="253" t="n"/>
      <c r="LQZ16" s="253" t="n"/>
      <c r="LRA16" s="253" t="n"/>
      <c r="LRB16" s="253" t="n"/>
      <c r="LRC16" s="253" t="n"/>
      <c r="LRD16" s="253" t="n"/>
      <c r="LRE16" s="253" t="n"/>
      <c r="LRF16" s="253" t="n"/>
      <c r="LRG16" s="253" t="n"/>
      <c r="LRH16" s="253" t="n"/>
      <c r="LRI16" s="253" t="n"/>
      <c r="LRJ16" s="253" t="n"/>
      <c r="LRK16" s="253" t="n"/>
      <c r="LRL16" s="253" t="n"/>
      <c r="LRM16" s="253" t="n"/>
      <c r="LRN16" s="253" t="n"/>
      <c r="LRO16" s="253" t="n"/>
      <c r="LRP16" s="253" t="n"/>
      <c r="LRQ16" s="253" t="n"/>
      <c r="LRR16" s="253" t="n"/>
      <c r="LRS16" s="253" t="n"/>
      <c r="LRT16" s="253" t="n"/>
      <c r="LRU16" s="253" t="n"/>
      <c r="LRV16" s="253" t="n"/>
      <c r="LRW16" s="253" t="n"/>
      <c r="LRX16" s="253" t="n"/>
      <c r="LRY16" s="253" t="n"/>
      <c r="LRZ16" s="253" t="n"/>
      <c r="LSA16" s="253" t="n"/>
      <c r="LSB16" s="253" t="n"/>
      <c r="LSC16" s="253" t="n"/>
      <c r="LSD16" s="253" t="n"/>
      <c r="LSE16" s="253" t="n"/>
      <c r="LSF16" s="253" t="n"/>
      <c r="LSG16" s="253" t="n"/>
      <c r="LSH16" s="253" t="n"/>
      <c r="LSI16" s="253" t="n"/>
      <c r="LSJ16" s="253" t="n"/>
      <c r="LSK16" s="253" t="n"/>
      <c r="LSL16" s="253" t="n"/>
      <c r="LSM16" s="253" t="n"/>
      <c r="LSN16" s="253" t="n"/>
      <c r="LSO16" s="253" t="n"/>
      <c r="LSP16" s="253" t="n"/>
      <c r="LSQ16" s="253" t="n"/>
      <c r="LSR16" s="253" t="n"/>
      <c r="LSS16" s="253" t="n"/>
      <c r="LST16" s="253" t="n"/>
      <c r="LSU16" s="253" t="n"/>
      <c r="LSV16" s="253" t="n"/>
      <c r="LSW16" s="253" t="n"/>
      <c r="LSX16" s="253" t="n"/>
      <c r="LSY16" s="253" t="n"/>
      <c r="LSZ16" s="253" t="n"/>
      <c r="LTA16" s="253" t="n"/>
      <c r="LTB16" s="253" t="n"/>
      <c r="LTC16" s="253" t="n"/>
      <c r="LTD16" s="253" t="n"/>
      <c r="LTE16" s="253" t="n"/>
      <c r="LTF16" s="253" t="n"/>
      <c r="LTG16" s="253" t="n"/>
      <c r="LTH16" s="253" t="n"/>
      <c r="LTI16" s="253" t="n"/>
      <c r="LTJ16" s="253" t="n"/>
      <c r="LTK16" s="253" t="n"/>
      <c r="LTL16" s="253" t="n"/>
      <c r="LTM16" s="253" t="n"/>
      <c r="LTN16" s="253" t="n"/>
      <c r="LTO16" s="253" t="n"/>
      <c r="LTP16" s="253" t="n"/>
      <c r="LTQ16" s="253" t="n"/>
      <c r="LTR16" s="253" t="n"/>
      <c r="LTS16" s="253" t="n"/>
      <c r="LTT16" s="253" t="n"/>
      <c r="LTU16" s="253" t="n"/>
      <c r="LTV16" s="253" t="n"/>
      <c r="LTW16" s="253" t="n"/>
      <c r="LTX16" s="253" t="n"/>
      <c r="LTY16" s="253" t="n"/>
      <c r="LTZ16" s="253" t="n"/>
      <c r="LUA16" s="253" t="n"/>
      <c r="LUB16" s="253" t="n"/>
      <c r="LUC16" s="253" t="n"/>
      <c r="LUD16" s="253" t="n"/>
      <c r="LUE16" s="253" t="n"/>
      <c r="LUF16" s="253" t="n"/>
      <c r="LUG16" s="253" t="n"/>
      <c r="LUH16" s="253" t="n"/>
      <c r="LUI16" s="253" t="n"/>
      <c r="LUJ16" s="253" t="n"/>
      <c r="LUK16" s="253" t="n"/>
      <c r="LUL16" s="253" t="n"/>
      <c r="LUM16" s="253" t="n"/>
      <c r="LUN16" s="253" t="n"/>
      <c r="LUO16" s="253" t="n"/>
      <c r="LUP16" s="253" t="n"/>
      <c r="LUQ16" s="253" t="n"/>
      <c r="LUR16" s="253" t="n"/>
      <c r="LUS16" s="253" t="n"/>
      <c r="LUT16" s="253" t="n"/>
      <c r="LUU16" s="253" t="n"/>
      <c r="LUV16" s="253" t="n"/>
      <c r="LUW16" s="253" t="n"/>
      <c r="LUX16" s="253" t="n"/>
      <c r="LUY16" s="253" t="n"/>
      <c r="LUZ16" s="253" t="n"/>
      <c r="LVA16" s="253" t="n"/>
      <c r="LVB16" s="253" t="n"/>
      <c r="LVC16" s="253" t="n"/>
      <c r="LVD16" s="253" t="n"/>
      <c r="LVE16" s="253" t="n"/>
      <c r="LVF16" s="253" t="n"/>
      <c r="LVG16" s="253" t="n"/>
      <c r="LVH16" s="253" t="n"/>
      <c r="LVI16" s="253" t="n"/>
      <c r="LVJ16" s="253" t="n"/>
      <c r="LVK16" s="253" t="n"/>
      <c r="LVL16" s="253" t="n"/>
      <c r="LVM16" s="253" t="n"/>
      <c r="LVN16" s="253" t="n"/>
      <c r="LVO16" s="253" t="n"/>
      <c r="LVP16" s="253" t="n"/>
      <c r="LVQ16" s="253" t="n"/>
      <c r="LVR16" s="253" t="n"/>
      <c r="LVS16" s="253" t="n"/>
      <c r="LVT16" s="253" t="n"/>
      <c r="LVU16" s="253" t="n"/>
      <c r="LVV16" s="253" t="n"/>
      <c r="LVW16" s="253" t="n"/>
      <c r="LVX16" s="253" t="n"/>
      <c r="LVY16" s="253" t="n"/>
      <c r="LVZ16" s="253" t="n"/>
      <c r="LWA16" s="253" t="n"/>
      <c r="LWB16" s="253" t="n"/>
      <c r="LWC16" s="253" t="n"/>
      <c r="LWD16" s="253" t="n"/>
      <c r="LWE16" s="253" t="n"/>
      <c r="LWF16" s="253" t="n"/>
      <c r="LWG16" s="253" t="n"/>
      <c r="LWH16" s="253" t="n"/>
      <c r="LWI16" s="253" t="n"/>
      <c r="LWJ16" s="253" t="n"/>
      <c r="LWK16" s="253" t="n"/>
      <c r="LWL16" s="253" t="n"/>
      <c r="LWM16" s="253" t="n"/>
      <c r="LWN16" s="253" t="n"/>
      <c r="LWO16" s="253" t="n"/>
      <c r="LWP16" s="253" t="n"/>
      <c r="LWQ16" s="253" t="n"/>
      <c r="LWR16" s="253" t="n"/>
      <c r="LWS16" s="253" t="n"/>
      <c r="LWT16" s="253" t="n"/>
      <c r="LWU16" s="253" t="n"/>
      <c r="LWV16" s="253" t="n"/>
      <c r="LWW16" s="253" t="n"/>
      <c r="LWX16" s="253" t="n"/>
      <c r="LWY16" s="253" t="n"/>
      <c r="LWZ16" s="253" t="n"/>
      <c r="LXA16" s="253" t="n"/>
      <c r="LXB16" s="253" t="n"/>
      <c r="LXC16" s="253" t="n"/>
      <c r="LXD16" s="253" t="n"/>
      <c r="LXE16" s="253" t="n"/>
      <c r="LXF16" s="253" t="n"/>
      <c r="LXG16" s="253" t="n"/>
      <c r="LXH16" s="253" t="n"/>
      <c r="LXI16" s="253" t="n"/>
      <c r="LXJ16" s="253" t="n"/>
      <c r="LXK16" s="253" t="n"/>
      <c r="LXL16" s="253" t="n"/>
      <c r="LXM16" s="253" t="n"/>
      <c r="LXN16" s="253" t="n"/>
      <c r="LXO16" s="253" t="n"/>
      <c r="LXP16" s="253" t="n"/>
      <c r="LXQ16" s="253" t="n"/>
      <c r="LXR16" s="253" t="n"/>
      <c r="LXS16" s="253" t="n"/>
      <c r="LXT16" s="253" t="n"/>
      <c r="LXU16" s="253" t="n"/>
      <c r="LXV16" s="253" t="n"/>
      <c r="LXW16" s="253" t="n"/>
      <c r="LXX16" s="253" t="n"/>
      <c r="LXY16" s="253" t="n"/>
      <c r="LXZ16" s="253" t="n"/>
      <c r="LYA16" s="253" t="n"/>
      <c r="LYB16" s="253" t="n"/>
      <c r="LYC16" s="253" t="n"/>
      <c r="LYD16" s="253" t="n"/>
      <c r="LYE16" s="253" t="n"/>
      <c r="LYF16" s="253" t="n"/>
      <c r="LYG16" s="253" t="n"/>
      <c r="LYH16" s="253" t="n"/>
      <c r="LYI16" s="253" t="n"/>
      <c r="LYJ16" s="253" t="n"/>
      <c r="LYK16" s="253" t="n"/>
      <c r="LYL16" s="253" t="n"/>
      <c r="LYM16" s="253" t="n"/>
      <c r="LYN16" s="253" t="n"/>
      <c r="LYO16" s="253" t="n"/>
      <c r="LYP16" s="253" t="n"/>
      <c r="LYQ16" s="253" t="n"/>
      <c r="LYR16" s="253" t="n"/>
      <c r="LYS16" s="253" t="n"/>
      <c r="LYT16" s="253" t="n"/>
      <c r="LYU16" s="253" t="n"/>
      <c r="LYV16" s="253" t="n"/>
      <c r="LYW16" s="253" t="n"/>
      <c r="LYX16" s="253" t="n"/>
      <c r="LYY16" s="253" t="n"/>
      <c r="LYZ16" s="253" t="n"/>
      <c r="LZA16" s="253" t="n"/>
      <c r="LZB16" s="253" t="n"/>
      <c r="LZC16" s="253" t="n"/>
      <c r="LZD16" s="253" t="n"/>
      <c r="LZE16" s="253" t="n"/>
      <c r="LZF16" s="253" t="n"/>
      <c r="LZG16" s="253" t="n"/>
      <c r="LZH16" s="253" t="n"/>
      <c r="LZI16" s="253" t="n"/>
      <c r="LZJ16" s="253" t="n"/>
      <c r="LZK16" s="253" t="n"/>
      <c r="LZL16" s="253" t="n"/>
      <c r="LZM16" s="253" t="n"/>
      <c r="LZN16" s="253" t="n"/>
      <c r="LZO16" s="253" t="n"/>
      <c r="LZP16" s="253" t="n"/>
      <c r="LZQ16" s="253" t="n"/>
      <c r="LZR16" s="253" t="n"/>
      <c r="LZS16" s="253" t="n"/>
      <c r="LZT16" s="253" t="n"/>
      <c r="LZU16" s="253" t="n"/>
      <c r="LZV16" s="253" t="n"/>
      <c r="LZW16" s="253" t="n"/>
      <c r="LZX16" s="253" t="n"/>
      <c r="LZY16" s="253" t="n"/>
      <c r="LZZ16" s="253" t="n"/>
      <c r="MAA16" s="253" t="n"/>
      <c r="MAB16" s="253" t="n"/>
      <c r="MAC16" s="253" t="n"/>
      <c r="MAD16" s="253" t="n"/>
      <c r="MAE16" s="253" t="n"/>
      <c r="MAF16" s="253" t="n"/>
      <c r="MAG16" s="253" t="n"/>
      <c r="MAH16" s="253" t="n"/>
      <c r="MAI16" s="253" t="n"/>
      <c r="MAJ16" s="253" t="n"/>
      <c r="MAK16" s="253" t="n"/>
      <c r="MAL16" s="253" t="n"/>
      <c r="MAM16" s="253" t="n"/>
      <c r="MAN16" s="253" t="n"/>
      <c r="MAO16" s="253" t="n"/>
      <c r="MAP16" s="253" t="n"/>
      <c r="MAQ16" s="253" t="n"/>
      <c r="MAR16" s="253" t="n"/>
      <c r="MAS16" s="253" t="n"/>
      <c r="MAT16" s="253" t="n"/>
      <c r="MAU16" s="253" t="n"/>
      <c r="MAV16" s="253" t="n"/>
      <c r="MAW16" s="253" t="n"/>
      <c r="MAX16" s="253" t="n"/>
      <c r="MAY16" s="253" t="n"/>
      <c r="MAZ16" s="253" t="n"/>
      <c r="MBA16" s="253" t="n"/>
      <c r="MBB16" s="253" t="n"/>
      <c r="MBC16" s="253" t="n"/>
      <c r="MBD16" s="253" t="n"/>
      <c r="MBE16" s="253" t="n"/>
      <c r="MBF16" s="253" t="n"/>
      <c r="MBG16" s="253" t="n"/>
      <c r="MBH16" s="253" t="n"/>
      <c r="MBI16" s="253" t="n"/>
      <c r="MBJ16" s="253" t="n"/>
      <c r="MBK16" s="253" t="n"/>
      <c r="MBL16" s="253" t="n"/>
      <c r="MBM16" s="253" t="n"/>
      <c r="MBN16" s="253" t="n"/>
      <c r="MBO16" s="253" t="n"/>
      <c r="MBP16" s="253" t="n"/>
      <c r="MBQ16" s="253" t="n"/>
      <c r="MBR16" s="253" t="n"/>
      <c r="MBS16" s="253" t="n"/>
      <c r="MBT16" s="253" t="n"/>
      <c r="MBU16" s="253" t="n"/>
      <c r="MBV16" s="253" t="n"/>
      <c r="MBW16" s="253" t="n"/>
      <c r="MBX16" s="253" t="n"/>
      <c r="MBY16" s="253" t="n"/>
      <c r="MBZ16" s="253" t="n"/>
      <c r="MCA16" s="253" t="n"/>
      <c r="MCB16" s="253" t="n"/>
      <c r="MCC16" s="253" t="n"/>
      <c r="MCD16" s="253" t="n"/>
      <c r="MCE16" s="253" t="n"/>
      <c r="MCF16" s="253" t="n"/>
      <c r="MCG16" s="253" t="n"/>
      <c r="MCH16" s="253" t="n"/>
      <c r="MCI16" s="253" t="n"/>
      <c r="MCJ16" s="253" t="n"/>
      <c r="MCK16" s="253" t="n"/>
      <c r="MCL16" s="253" t="n"/>
      <c r="MCM16" s="253" t="n"/>
      <c r="MCN16" s="253" t="n"/>
      <c r="MCO16" s="253" t="n"/>
      <c r="MCP16" s="253" t="n"/>
      <c r="MCQ16" s="253" t="n"/>
      <c r="MCR16" s="253" t="n"/>
      <c r="MCS16" s="253" t="n"/>
      <c r="MCT16" s="253" t="n"/>
      <c r="MCU16" s="253" t="n"/>
      <c r="MCV16" s="253" t="n"/>
      <c r="MCW16" s="253" t="n"/>
      <c r="MCX16" s="253" t="n"/>
      <c r="MCY16" s="253" t="n"/>
      <c r="MCZ16" s="253" t="n"/>
      <c r="MDA16" s="253" t="n"/>
      <c r="MDB16" s="253" t="n"/>
      <c r="MDC16" s="253" t="n"/>
      <c r="MDD16" s="253" t="n"/>
      <c r="MDE16" s="253" t="n"/>
      <c r="MDF16" s="253" t="n"/>
      <c r="MDG16" s="253" t="n"/>
      <c r="MDH16" s="253" t="n"/>
      <c r="MDI16" s="253" t="n"/>
      <c r="MDJ16" s="253" t="n"/>
      <c r="MDK16" s="253" t="n"/>
      <c r="MDL16" s="253" t="n"/>
      <c r="MDM16" s="253" t="n"/>
      <c r="MDN16" s="253" t="n"/>
      <c r="MDO16" s="253" t="n"/>
      <c r="MDP16" s="253" t="n"/>
      <c r="MDQ16" s="253" t="n"/>
      <c r="MDR16" s="253" t="n"/>
      <c r="MDS16" s="253" t="n"/>
      <c r="MDT16" s="253" t="n"/>
      <c r="MDU16" s="253" t="n"/>
      <c r="MDV16" s="253" t="n"/>
      <c r="MDW16" s="253" t="n"/>
      <c r="MDX16" s="253" t="n"/>
      <c r="MDY16" s="253" t="n"/>
      <c r="MDZ16" s="253" t="n"/>
      <c r="MEA16" s="253" t="n"/>
      <c r="MEB16" s="253" t="n"/>
      <c r="MEC16" s="253" t="n"/>
      <c r="MED16" s="253" t="n"/>
      <c r="MEE16" s="253" t="n"/>
      <c r="MEF16" s="253" t="n"/>
      <c r="MEG16" s="253" t="n"/>
      <c r="MEH16" s="253" t="n"/>
      <c r="MEI16" s="253" t="n"/>
      <c r="MEJ16" s="253" t="n"/>
      <c r="MEK16" s="253" t="n"/>
      <c r="MEL16" s="253" t="n"/>
      <c r="MEM16" s="253" t="n"/>
      <c r="MEN16" s="253" t="n"/>
      <c r="MEO16" s="253" t="n"/>
      <c r="MEP16" s="253" t="n"/>
      <c r="MEQ16" s="253" t="n"/>
      <c r="MER16" s="253" t="n"/>
      <c r="MES16" s="253" t="n"/>
      <c r="MET16" s="253" t="n"/>
      <c r="MEU16" s="253" t="n"/>
      <c r="MEV16" s="253" t="n"/>
      <c r="MEW16" s="253" t="n"/>
      <c r="MEX16" s="253" t="n"/>
      <c r="MEY16" s="253" t="n"/>
      <c r="MEZ16" s="253" t="n"/>
      <c r="MFA16" s="253" t="n"/>
      <c r="MFB16" s="253" t="n"/>
      <c r="MFC16" s="253" t="n"/>
      <c r="MFD16" s="253" t="n"/>
      <c r="MFE16" s="253" t="n"/>
      <c r="MFF16" s="253" t="n"/>
      <c r="MFG16" s="253" t="n"/>
      <c r="MFH16" s="253" t="n"/>
      <c r="MFI16" s="253" t="n"/>
      <c r="MFJ16" s="253" t="n"/>
      <c r="MFK16" s="253" t="n"/>
      <c r="MFL16" s="253" t="n"/>
      <c r="MFM16" s="253" t="n"/>
      <c r="MFN16" s="252" t="n"/>
      <c r="MFO16" s="253" t="n"/>
      <c r="MFP16" s="253" t="n"/>
      <c r="MFQ16" s="253" t="n"/>
      <c r="MFR16" s="253" t="n"/>
      <c r="MFS16" s="253" t="n"/>
      <c r="MFT16" s="253" t="n"/>
      <c r="MFU16" s="253" t="n"/>
      <c r="MFV16" s="253" t="n"/>
      <c r="MFW16" s="253" t="n"/>
      <c r="MFX16" s="253" t="n"/>
      <c r="MFY16" s="253" t="n"/>
      <c r="MFZ16" s="253" t="n"/>
      <c r="MGA16" s="253" t="n"/>
      <c r="MGB16" s="253" t="n"/>
      <c r="MGC16" s="253" t="n"/>
      <c r="MGD16" s="253" t="n"/>
      <c r="MGE16" s="253" t="n"/>
      <c r="MGF16" s="253" t="n"/>
      <c r="MGG16" s="253" t="n"/>
      <c r="MGH16" s="253" t="n"/>
      <c r="MGI16" s="253" t="n"/>
      <c r="MGJ16" s="253" t="n"/>
      <c r="MGK16" s="253" t="n"/>
      <c r="MGL16" s="253" t="n"/>
      <c r="MGM16" s="253" t="n"/>
      <c r="MGN16" s="253" t="n"/>
      <c r="MGO16" s="253" t="n"/>
      <c r="MGP16" s="253" t="n"/>
      <c r="MGQ16" s="253" t="n"/>
      <c r="MGR16" s="253" t="n"/>
      <c r="MGS16" s="253" t="n"/>
      <c r="MGT16" s="253" t="n"/>
      <c r="MGU16" s="253" t="n"/>
      <c r="MGV16" s="253" t="n"/>
      <c r="MGW16" s="253" t="n"/>
      <c r="MGX16" s="253" t="n"/>
      <c r="MGY16" s="253" t="n"/>
      <c r="MGZ16" s="253" t="n"/>
      <c r="MHA16" s="253" t="n"/>
      <c r="MHB16" s="253" t="n"/>
      <c r="MHC16" s="253" t="n"/>
      <c r="MHD16" s="253" t="n"/>
      <c r="MHE16" s="253" t="n"/>
      <c r="MHF16" s="253" t="n"/>
      <c r="MHG16" s="253" t="n"/>
      <c r="MHH16" s="253" t="n"/>
      <c r="MHI16" s="253" t="n"/>
      <c r="MHJ16" s="253" t="n"/>
      <c r="MHK16" s="253" t="n"/>
      <c r="MHL16" s="253" t="n"/>
      <c r="MHM16" s="253" t="n"/>
      <c r="MHN16" s="253" t="n"/>
      <c r="MHO16" s="253" t="n"/>
      <c r="MHP16" s="253" t="n"/>
      <c r="MHQ16" s="253" t="n"/>
      <c r="MHR16" s="253" t="n"/>
      <c r="MHS16" s="253" t="n"/>
      <c r="MHT16" s="253" t="n"/>
      <c r="MHU16" s="253" t="n"/>
      <c r="MHV16" s="253" t="n"/>
      <c r="MHW16" s="253" t="n"/>
      <c r="MHX16" s="253" t="n"/>
      <c r="MHY16" s="253" t="n"/>
      <c r="MHZ16" s="253" t="n"/>
      <c r="MIA16" s="253" t="n"/>
      <c r="MIB16" s="253" t="n"/>
      <c r="MIC16" s="253" t="n"/>
      <c r="MID16" s="253" t="n"/>
      <c r="MIE16" s="253" t="n"/>
      <c r="MIF16" s="253" t="n"/>
      <c r="MIG16" s="253" t="n"/>
      <c r="MIH16" s="253" t="n"/>
      <c r="MII16" s="253" t="n"/>
      <c r="MIJ16" s="253" t="n"/>
      <c r="MIK16" s="253" t="n"/>
      <c r="MIL16" s="253" t="n"/>
      <c r="MIM16" s="253" t="n"/>
      <c r="MIN16" s="253" t="n"/>
      <c r="MIO16" s="253" t="n"/>
      <c r="MIP16" s="253" t="n"/>
      <c r="MIQ16" s="253" t="n"/>
      <c r="MIR16" s="253" t="n"/>
      <c r="MIS16" s="253" t="n"/>
      <c r="MIT16" s="253" t="n"/>
      <c r="MIU16" s="253" t="n"/>
      <c r="MIV16" s="253" t="n"/>
      <c r="MIW16" s="253" t="n"/>
      <c r="MIX16" s="253" t="n"/>
      <c r="MIY16" s="253" t="n"/>
      <c r="MIZ16" s="253" t="n"/>
      <c r="MJA16" s="253" t="n"/>
      <c r="MJB16" s="253" t="n"/>
      <c r="MJC16" s="253" t="n"/>
      <c r="MJD16" s="253" t="n"/>
      <c r="MJE16" s="253" t="n"/>
      <c r="MJF16" s="253" t="n"/>
      <c r="MJG16" s="253" t="n"/>
      <c r="MJH16" s="253" t="n"/>
      <c r="MJI16" s="253" t="n"/>
      <c r="MJJ16" s="253" t="n"/>
      <c r="MJK16" s="253" t="n"/>
      <c r="MJL16" s="253" t="n"/>
      <c r="MJM16" s="253" t="n"/>
      <c r="MJN16" s="253" t="n"/>
      <c r="MJO16" s="253" t="n"/>
      <c r="MJP16" s="253" t="n"/>
      <c r="MJQ16" s="253" t="n"/>
      <c r="MJR16" s="253" t="n"/>
      <c r="MJS16" s="253" t="n"/>
      <c r="MJT16" s="253" t="n"/>
      <c r="MJU16" s="253" t="n"/>
      <c r="MJV16" s="253" t="n"/>
      <c r="MJW16" s="253" t="n"/>
      <c r="MJX16" s="253" t="n"/>
      <c r="MJY16" s="253" t="n"/>
      <c r="MJZ16" s="253" t="n"/>
      <c r="MKA16" s="253" t="n"/>
      <c r="MKB16" s="253" t="n"/>
      <c r="MKC16" s="253" t="n"/>
      <c r="MKD16" s="253" t="n"/>
      <c r="MKE16" s="253" t="n"/>
      <c r="MKF16" s="253" t="n"/>
      <c r="MKG16" s="253" t="n"/>
      <c r="MKH16" s="253" t="n"/>
      <c r="MKI16" s="253" t="n"/>
      <c r="MKJ16" s="253" t="n"/>
      <c r="MKK16" s="253" t="n"/>
      <c r="MKL16" s="253" t="n"/>
      <c r="MKM16" s="253" t="n"/>
      <c r="MKN16" s="253" t="n"/>
      <c r="MKO16" s="253" t="n"/>
      <c r="MKP16" s="253" t="n"/>
      <c r="MKQ16" s="253" t="n"/>
      <c r="MKR16" s="253" t="n"/>
      <c r="MKS16" s="253" t="n"/>
      <c r="MKT16" s="253" t="n"/>
      <c r="MKU16" s="253" t="n"/>
      <c r="MKV16" s="253" t="n"/>
      <c r="MKW16" s="253" t="n"/>
      <c r="MKX16" s="253" t="n"/>
      <c r="MKY16" s="253" t="n"/>
      <c r="MKZ16" s="253" t="n"/>
      <c r="MLA16" s="253" t="n"/>
      <c r="MLB16" s="253" t="n"/>
      <c r="MLC16" s="253" t="n"/>
      <c r="MLD16" s="253" t="n"/>
      <c r="MLE16" s="253" t="n"/>
      <c r="MLF16" s="253" t="n"/>
      <c r="MLG16" s="253" t="n"/>
      <c r="MLH16" s="253" t="n"/>
      <c r="MLI16" s="253" t="n"/>
      <c r="MLJ16" s="253" t="n"/>
      <c r="MLK16" s="253" t="n"/>
      <c r="MLL16" s="253" t="n"/>
      <c r="MLM16" s="253" t="n"/>
      <c r="MLN16" s="253" t="n"/>
      <c r="MLO16" s="253" t="n"/>
      <c r="MLP16" s="253" t="n"/>
      <c r="MLQ16" s="253" t="n"/>
      <c r="MLR16" s="253" t="n"/>
      <c r="MLS16" s="253" t="n"/>
      <c r="MLT16" s="253" t="n"/>
      <c r="MLU16" s="253" t="n"/>
      <c r="MLV16" s="253" t="n"/>
      <c r="MLW16" s="253" t="n"/>
      <c r="MLX16" s="253" t="n"/>
      <c r="MLY16" s="253" t="n"/>
      <c r="MLZ16" s="253" t="n"/>
      <c r="MMA16" s="253" t="n"/>
      <c r="MMB16" s="253" t="n"/>
      <c r="MMC16" s="253" t="n"/>
      <c r="MMD16" s="253" t="n"/>
      <c r="MME16" s="253" t="n"/>
      <c r="MMF16" s="253" t="n"/>
      <c r="MMG16" s="253" t="n"/>
      <c r="MMH16" s="253" t="n"/>
      <c r="MMI16" s="253" t="n"/>
      <c r="MMJ16" s="253" t="n"/>
      <c r="MMK16" s="253" t="n"/>
      <c r="MML16" s="253" t="n"/>
      <c r="MMM16" s="253" t="n"/>
      <c r="MMN16" s="253" t="n"/>
      <c r="MMO16" s="253" t="n"/>
      <c r="MMP16" s="253" t="n"/>
      <c r="MMQ16" s="253" t="n"/>
      <c r="MMR16" s="253" t="n"/>
      <c r="MMS16" s="253" t="n"/>
      <c r="MMT16" s="253" t="n"/>
      <c r="MMU16" s="253" t="n"/>
      <c r="MMV16" s="253" t="n"/>
      <c r="MMW16" s="253" t="n"/>
      <c r="MMX16" s="253" t="n"/>
      <c r="MMY16" s="253" t="n"/>
      <c r="MMZ16" s="253" t="n"/>
      <c r="MNA16" s="253" t="n"/>
      <c r="MNB16" s="253" t="n"/>
      <c r="MNC16" s="253" t="n"/>
      <c r="MND16" s="253" t="n"/>
      <c r="MNE16" s="253" t="n"/>
      <c r="MNF16" s="253" t="n"/>
      <c r="MNG16" s="253" t="n"/>
      <c r="MNH16" s="253" t="n"/>
      <c r="MNI16" s="253" t="n"/>
      <c r="MNJ16" s="253" t="n"/>
      <c r="MNK16" s="253" t="n"/>
      <c r="MNL16" s="253" t="n"/>
      <c r="MNM16" s="253" t="n"/>
      <c r="MNN16" s="253" t="n"/>
      <c r="MNO16" s="253" t="n"/>
      <c r="MNP16" s="253" t="n"/>
      <c r="MNQ16" s="253" t="n"/>
      <c r="MNR16" s="253" t="n"/>
      <c r="MNS16" s="253" t="n"/>
      <c r="MNT16" s="253" t="n"/>
      <c r="MNU16" s="253" t="n"/>
      <c r="MNV16" s="253" t="n"/>
      <c r="MNW16" s="253" t="n"/>
      <c r="MNX16" s="253" t="n"/>
      <c r="MNY16" s="253" t="n"/>
      <c r="MNZ16" s="253" t="n"/>
      <c r="MOA16" s="253" t="n"/>
      <c r="MOB16" s="253" t="n"/>
      <c r="MOC16" s="253" t="n"/>
      <c r="MOD16" s="253" t="n"/>
      <c r="MOE16" s="253" t="n"/>
      <c r="MOF16" s="253" t="n"/>
      <c r="MOG16" s="253" t="n"/>
      <c r="MOH16" s="253" t="n"/>
      <c r="MOI16" s="253" t="n"/>
      <c r="MOJ16" s="253" t="n"/>
      <c r="MOK16" s="253" t="n"/>
      <c r="MOL16" s="253" t="n"/>
      <c r="MOM16" s="253" t="n"/>
      <c r="MON16" s="253" t="n"/>
      <c r="MOO16" s="253" t="n"/>
      <c r="MOP16" s="253" t="n"/>
      <c r="MOQ16" s="253" t="n"/>
      <c r="MOR16" s="253" t="n"/>
      <c r="MOS16" s="253" t="n"/>
      <c r="MOT16" s="253" t="n"/>
      <c r="MOU16" s="253" t="n"/>
      <c r="MOV16" s="253" t="n"/>
      <c r="MOW16" s="253" t="n"/>
      <c r="MOX16" s="253" t="n"/>
      <c r="MOY16" s="253" t="n"/>
      <c r="MOZ16" s="253" t="n"/>
      <c r="MPA16" s="253" t="n"/>
      <c r="MPB16" s="253" t="n"/>
      <c r="MPC16" s="253" t="n"/>
      <c r="MPD16" s="253" t="n"/>
      <c r="MPE16" s="253" t="n"/>
      <c r="MPF16" s="253" t="n"/>
      <c r="MPG16" s="253" t="n"/>
      <c r="MPH16" s="253" t="n"/>
      <c r="MPI16" s="253" t="n"/>
      <c r="MPJ16" s="253" t="n"/>
      <c r="MPK16" s="253" t="n"/>
      <c r="MPL16" s="253" t="n"/>
      <c r="MPM16" s="253" t="n"/>
      <c r="MPN16" s="253" t="n"/>
      <c r="MPO16" s="253" t="n"/>
      <c r="MPP16" s="253" t="n"/>
      <c r="MPQ16" s="253" t="n"/>
      <c r="MPR16" s="253" t="n"/>
      <c r="MPS16" s="253" t="n"/>
      <c r="MPT16" s="253" t="n"/>
      <c r="MPU16" s="253" t="n"/>
      <c r="MPV16" s="253" t="n"/>
      <c r="MPW16" s="253" t="n"/>
      <c r="MPX16" s="253" t="n"/>
      <c r="MPY16" s="253" t="n"/>
      <c r="MPZ16" s="253" t="n"/>
      <c r="MQA16" s="253" t="n"/>
      <c r="MQB16" s="253" t="n"/>
      <c r="MQC16" s="253" t="n"/>
      <c r="MQD16" s="253" t="n"/>
      <c r="MQE16" s="253" t="n"/>
      <c r="MQF16" s="253" t="n"/>
      <c r="MQG16" s="253" t="n"/>
      <c r="MQH16" s="253" t="n"/>
      <c r="MQI16" s="253" t="n"/>
      <c r="MQJ16" s="253" t="n"/>
      <c r="MQK16" s="253" t="n"/>
      <c r="MQL16" s="253" t="n"/>
      <c r="MQM16" s="253" t="n"/>
      <c r="MQN16" s="253" t="n"/>
      <c r="MQO16" s="253" t="n"/>
      <c r="MQP16" s="253" t="n"/>
      <c r="MQQ16" s="253" t="n"/>
      <c r="MQR16" s="253" t="n"/>
      <c r="MQS16" s="253" t="n"/>
      <c r="MQT16" s="253" t="n"/>
      <c r="MQU16" s="253" t="n"/>
      <c r="MQV16" s="253" t="n"/>
      <c r="MQW16" s="253" t="n"/>
      <c r="MQX16" s="253" t="n"/>
      <c r="MQY16" s="253" t="n"/>
      <c r="MQZ16" s="253" t="n"/>
      <c r="MRA16" s="253" t="n"/>
      <c r="MRB16" s="253" t="n"/>
      <c r="MRC16" s="253" t="n"/>
      <c r="MRD16" s="253" t="n"/>
      <c r="MRE16" s="253" t="n"/>
      <c r="MRF16" s="253" t="n"/>
      <c r="MRG16" s="253" t="n"/>
      <c r="MRH16" s="253" t="n"/>
      <c r="MRI16" s="253" t="n"/>
      <c r="MRJ16" s="253" t="n"/>
      <c r="MRK16" s="253" t="n"/>
      <c r="MRL16" s="253" t="n"/>
      <c r="MRM16" s="253" t="n"/>
      <c r="MRN16" s="253" t="n"/>
      <c r="MRO16" s="253" t="n"/>
      <c r="MRP16" s="253" t="n"/>
      <c r="MRQ16" s="253" t="n"/>
      <c r="MRR16" s="253" t="n"/>
      <c r="MRS16" s="253" t="n"/>
      <c r="MRT16" s="253" t="n"/>
      <c r="MRU16" s="253" t="n"/>
      <c r="MRV16" s="253" t="n"/>
      <c r="MRW16" s="253" t="n"/>
      <c r="MRX16" s="253" t="n"/>
      <c r="MRY16" s="253" t="n"/>
      <c r="MRZ16" s="253" t="n"/>
      <c r="MSA16" s="253" t="n"/>
      <c r="MSB16" s="253" t="n"/>
      <c r="MSC16" s="253" t="n"/>
      <c r="MSD16" s="253" t="n"/>
      <c r="MSE16" s="253" t="n"/>
      <c r="MSF16" s="253" t="n"/>
      <c r="MSG16" s="253" t="n"/>
      <c r="MSH16" s="253" t="n"/>
      <c r="MSI16" s="253" t="n"/>
      <c r="MSJ16" s="253" t="n"/>
      <c r="MSK16" s="253" t="n"/>
      <c r="MSL16" s="253" t="n"/>
      <c r="MSM16" s="253" t="n"/>
      <c r="MSN16" s="253" t="n"/>
      <c r="MSO16" s="253" t="n"/>
      <c r="MSP16" s="253" t="n"/>
      <c r="MSQ16" s="253" t="n"/>
      <c r="MSR16" s="253" t="n"/>
      <c r="MSS16" s="253" t="n"/>
      <c r="MST16" s="253" t="n"/>
      <c r="MSU16" s="253" t="n"/>
      <c r="MSV16" s="253" t="n"/>
      <c r="MSW16" s="253" t="n"/>
      <c r="MSX16" s="253" t="n"/>
      <c r="MSY16" s="253" t="n"/>
      <c r="MSZ16" s="253" t="n"/>
      <c r="MTA16" s="253" t="n"/>
      <c r="MTB16" s="253" t="n"/>
      <c r="MTC16" s="253" t="n"/>
      <c r="MTD16" s="253" t="n"/>
      <c r="MTE16" s="253" t="n"/>
      <c r="MTF16" s="253" t="n"/>
      <c r="MTG16" s="253" t="n"/>
      <c r="MTH16" s="253" t="n"/>
      <c r="MTI16" s="253" t="n"/>
      <c r="MTJ16" s="253" t="n"/>
      <c r="MTK16" s="253" t="n"/>
      <c r="MTL16" s="253" t="n"/>
      <c r="MTM16" s="253" t="n"/>
      <c r="MTN16" s="253" t="n"/>
      <c r="MTO16" s="253" t="n"/>
      <c r="MTP16" s="253" t="n"/>
      <c r="MTQ16" s="253" t="n"/>
      <c r="MTR16" s="253" t="n"/>
      <c r="MTS16" s="253" t="n"/>
      <c r="MTT16" s="253" t="n"/>
      <c r="MTU16" s="253" t="n"/>
      <c r="MTV16" s="253" t="n"/>
      <c r="MTW16" s="253" t="n"/>
      <c r="MTX16" s="253" t="n"/>
      <c r="MTY16" s="253" t="n"/>
      <c r="MTZ16" s="253" t="n"/>
      <c r="MUA16" s="253" t="n"/>
      <c r="MUB16" s="253" t="n"/>
      <c r="MUC16" s="253" t="n"/>
      <c r="MUD16" s="253" t="n"/>
      <c r="MUE16" s="253" t="n"/>
      <c r="MUF16" s="253" t="n"/>
      <c r="MUG16" s="253" t="n"/>
      <c r="MUH16" s="253" t="n"/>
      <c r="MUI16" s="253" t="n"/>
      <c r="MUJ16" s="253" t="n"/>
      <c r="MUK16" s="253" t="n"/>
      <c r="MUL16" s="253" t="n"/>
      <c r="MUM16" s="253" t="n"/>
      <c r="MUN16" s="253" t="n"/>
      <c r="MUO16" s="253" t="n"/>
      <c r="MUP16" s="253" t="n"/>
      <c r="MUQ16" s="253" t="n"/>
      <c r="MUR16" s="253" t="n"/>
      <c r="MUS16" s="253" t="n"/>
      <c r="MUT16" s="253" t="n"/>
      <c r="MUU16" s="253" t="n"/>
      <c r="MUV16" s="253" t="n"/>
      <c r="MUW16" s="253" t="n"/>
      <c r="MUX16" s="253" t="n"/>
      <c r="MUY16" s="253" t="n"/>
      <c r="MUZ16" s="253" t="n"/>
      <c r="MVA16" s="253" t="n"/>
      <c r="MVB16" s="253" t="n"/>
      <c r="MVC16" s="253" t="n"/>
      <c r="MVD16" s="253" t="n"/>
      <c r="MVE16" s="253" t="n"/>
      <c r="MVF16" s="253" t="n"/>
      <c r="MVG16" s="253" t="n"/>
      <c r="MVH16" s="253" t="n"/>
      <c r="MVI16" s="253" t="n"/>
      <c r="MVJ16" s="253" t="n"/>
      <c r="MVK16" s="253" t="n"/>
      <c r="MVL16" s="253" t="n"/>
      <c r="MVM16" s="253" t="n"/>
      <c r="MVN16" s="253" t="n"/>
      <c r="MVO16" s="253" t="n"/>
      <c r="MVP16" s="253" t="n"/>
      <c r="MVQ16" s="253" t="n"/>
      <c r="MVR16" s="253" t="n"/>
      <c r="MVS16" s="253" t="n"/>
      <c r="MVT16" s="253" t="n"/>
      <c r="MVU16" s="253" t="n"/>
      <c r="MVV16" s="253" t="n"/>
      <c r="MVW16" s="253" t="n"/>
      <c r="MVX16" s="253" t="n"/>
      <c r="MVY16" s="253" t="n"/>
      <c r="MVZ16" s="253" t="n"/>
      <c r="MWA16" s="253" t="n"/>
      <c r="MWB16" s="253" t="n"/>
      <c r="MWC16" s="253" t="n"/>
      <c r="MWD16" s="253" t="n"/>
      <c r="MWE16" s="253" t="n"/>
      <c r="MWF16" s="253" t="n"/>
      <c r="MWG16" s="253" t="n"/>
      <c r="MWH16" s="253" t="n"/>
      <c r="MWI16" s="253" t="n"/>
      <c r="MWJ16" s="253" t="n"/>
      <c r="MWK16" s="253" t="n"/>
      <c r="MWL16" s="253" t="n"/>
      <c r="MWM16" s="253" t="n"/>
      <c r="MWN16" s="253" t="n"/>
      <c r="MWO16" s="253" t="n"/>
      <c r="MWP16" s="253" t="n"/>
      <c r="MWQ16" s="253" t="n"/>
      <c r="MWR16" s="253" t="n"/>
      <c r="MWS16" s="253" t="n"/>
      <c r="MWT16" s="253" t="n"/>
      <c r="MWU16" s="253" t="n"/>
      <c r="MWV16" s="253" t="n"/>
      <c r="MWW16" s="253" t="n"/>
      <c r="MWX16" s="253" t="n"/>
      <c r="MWY16" s="253" t="n"/>
      <c r="MWZ16" s="253" t="n"/>
      <c r="MXA16" s="253" t="n"/>
      <c r="MXB16" s="253" t="n"/>
      <c r="MXC16" s="253" t="n"/>
      <c r="MXD16" s="253" t="n"/>
      <c r="MXE16" s="253" t="n"/>
      <c r="MXF16" s="253" t="n"/>
      <c r="MXG16" s="253" t="n"/>
      <c r="MXH16" s="253" t="n"/>
      <c r="MXI16" s="253" t="n"/>
      <c r="MXJ16" s="253" t="n"/>
      <c r="MXK16" s="253" t="n"/>
      <c r="MXL16" s="253" t="n"/>
      <c r="MXM16" s="253" t="n"/>
      <c r="MXN16" s="253" t="n"/>
      <c r="MXO16" s="253" t="n"/>
      <c r="MXP16" s="253" t="n"/>
      <c r="MXQ16" s="253" t="n"/>
      <c r="MXR16" s="253" t="n"/>
      <c r="MXS16" s="253" t="n"/>
      <c r="MXT16" s="253" t="n"/>
      <c r="MXU16" s="253" t="n"/>
      <c r="MXV16" s="253" t="n"/>
      <c r="MXW16" s="253" t="n"/>
      <c r="MXX16" s="253" t="n"/>
      <c r="MXY16" s="253" t="n"/>
      <c r="MXZ16" s="253" t="n"/>
      <c r="MYA16" s="253" t="n"/>
      <c r="MYB16" s="253" t="n"/>
      <c r="MYC16" s="253" t="n"/>
      <c r="MYD16" s="253" t="n"/>
      <c r="MYE16" s="253" t="n"/>
      <c r="MYF16" s="253" t="n"/>
      <c r="MYG16" s="253" t="n"/>
      <c r="MYH16" s="253" t="n"/>
      <c r="MYI16" s="253" t="n"/>
      <c r="MYJ16" s="253" t="n"/>
      <c r="MYK16" s="253" t="n"/>
      <c r="MYL16" s="253" t="n"/>
      <c r="MYM16" s="253" t="n"/>
      <c r="MYN16" s="253" t="n"/>
      <c r="MYO16" s="253" t="n"/>
      <c r="MYP16" s="253" t="n"/>
      <c r="MYQ16" s="253" t="n"/>
      <c r="MYR16" s="253" t="n"/>
      <c r="MYS16" s="253" t="n"/>
      <c r="MYT16" s="253" t="n"/>
      <c r="MYU16" s="253" t="n"/>
      <c r="MYV16" s="253" t="n"/>
      <c r="MYW16" s="253" t="n"/>
      <c r="MYX16" s="253" t="n"/>
      <c r="MYY16" s="253" t="n"/>
      <c r="MYZ16" s="253" t="n"/>
      <c r="MZA16" s="253" t="n"/>
      <c r="MZB16" s="253" t="n"/>
      <c r="MZC16" s="253" t="n"/>
      <c r="MZD16" s="253" t="n"/>
      <c r="MZE16" s="253" t="n"/>
      <c r="MZF16" s="253" t="n"/>
      <c r="MZG16" s="253" t="n"/>
      <c r="MZH16" s="253" t="n"/>
      <c r="MZI16" s="253" t="n"/>
      <c r="MZJ16" s="253" t="n"/>
      <c r="MZK16" s="253" t="n"/>
      <c r="MZL16" s="253" t="n"/>
      <c r="MZM16" s="253" t="n"/>
      <c r="MZN16" s="253" t="n"/>
      <c r="MZO16" s="253" t="n"/>
      <c r="MZP16" s="253" t="n"/>
      <c r="MZQ16" s="253" t="n"/>
      <c r="MZR16" s="253" t="n"/>
      <c r="MZS16" s="253" t="n"/>
      <c r="MZT16" s="253" t="n"/>
      <c r="MZU16" s="253" t="n"/>
      <c r="MZV16" s="253" t="n"/>
      <c r="MZW16" s="253" t="n"/>
      <c r="MZX16" s="253" t="n"/>
      <c r="MZY16" s="253" t="n"/>
      <c r="MZZ16" s="253" t="n"/>
      <c r="NAA16" s="253" t="n"/>
      <c r="NAB16" s="253" t="n"/>
      <c r="NAC16" s="253" t="n"/>
      <c r="NAD16" s="253" t="n"/>
      <c r="NAE16" s="253" t="n"/>
      <c r="NAF16" s="253" t="n"/>
      <c r="NAG16" s="253" t="n"/>
      <c r="NAH16" s="253" t="n"/>
      <c r="NAI16" s="253" t="n"/>
      <c r="NAJ16" s="253" t="n"/>
      <c r="NAK16" s="253" t="n"/>
      <c r="NAL16" s="253" t="n"/>
      <c r="NAM16" s="253" t="n"/>
      <c r="NAN16" s="253" t="n"/>
      <c r="NAO16" s="253" t="n"/>
      <c r="NAP16" s="253" t="n"/>
      <c r="NAQ16" s="253" t="n"/>
      <c r="NAR16" s="253" t="n"/>
      <c r="NAS16" s="253" t="n"/>
      <c r="NAT16" s="253" t="n"/>
      <c r="NAU16" s="253" t="n"/>
      <c r="NAV16" s="253" t="n"/>
      <c r="NAW16" s="253" t="n"/>
      <c r="NAX16" s="253" t="n"/>
      <c r="NAY16" s="253" t="n"/>
      <c r="NAZ16" s="253" t="n"/>
      <c r="NBA16" s="253" t="n"/>
      <c r="NBB16" s="253" t="n"/>
      <c r="NBC16" s="253" t="n"/>
      <c r="NBD16" s="253" t="n"/>
      <c r="NBE16" s="253" t="n"/>
      <c r="NBF16" s="253" t="n"/>
      <c r="NBG16" s="253" t="n"/>
      <c r="NBH16" s="253" t="n"/>
      <c r="NBI16" s="253" t="n"/>
      <c r="NBJ16" s="253" t="n"/>
      <c r="NBK16" s="253" t="n"/>
      <c r="NBL16" s="253" t="n"/>
      <c r="NBM16" s="253" t="n"/>
      <c r="NBN16" s="253" t="n"/>
      <c r="NBO16" s="253" t="n"/>
      <c r="NBP16" s="253" t="n"/>
      <c r="NBQ16" s="253" t="n"/>
      <c r="NBR16" s="253" t="n"/>
      <c r="NBS16" s="253" t="n"/>
      <c r="NBT16" s="253" t="n"/>
      <c r="NBU16" s="253" t="n"/>
      <c r="NBV16" s="253" t="n"/>
      <c r="NBW16" s="253" t="n"/>
      <c r="NBX16" s="253" t="n"/>
      <c r="NBY16" s="253" t="n"/>
      <c r="NBZ16" s="253" t="n"/>
      <c r="NCA16" s="253" t="n"/>
      <c r="NCB16" s="253" t="n"/>
      <c r="NCC16" s="253" t="n"/>
      <c r="NCD16" s="253" t="n"/>
      <c r="NCE16" s="253" t="n"/>
      <c r="NCF16" s="253" t="n"/>
      <c r="NCG16" s="253" t="n"/>
      <c r="NCH16" s="253" t="n"/>
      <c r="NCI16" s="253" t="n"/>
      <c r="NCJ16" s="253" t="n"/>
      <c r="NCK16" s="253" t="n"/>
      <c r="NCL16" s="253" t="n"/>
      <c r="NCM16" s="253" t="n"/>
      <c r="NCN16" s="253" t="n"/>
      <c r="NCO16" s="253" t="n"/>
      <c r="NCP16" s="253" t="n"/>
      <c r="NCQ16" s="253" t="n"/>
      <c r="NCR16" s="253" t="n"/>
      <c r="NCS16" s="253" t="n"/>
      <c r="NCT16" s="253" t="n"/>
      <c r="NCU16" s="253" t="n"/>
      <c r="NCV16" s="253" t="n"/>
      <c r="NCW16" s="253" t="n"/>
      <c r="NCX16" s="253" t="n"/>
      <c r="NCY16" s="253" t="n"/>
      <c r="NCZ16" s="253" t="n"/>
      <c r="NDA16" s="253" t="n"/>
      <c r="NDB16" s="253" t="n"/>
      <c r="NDC16" s="253" t="n"/>
      <c r="NDD16" s="253" t="n"/>
      <c r="NDE16" s="253" t="n"/>
      <c r="NDF16" s="253" t="n"/>
      <c r="NDG16" s="253" t="n"/>
      <c r="NDH16" s="253" t="n"/>
      <c r="NDI16" s="253" t="n"/>
      <c r="NDJ16" s="253" t="n"/>
      <c r="NDK16" s="253" t="n"/>
      <c r="NDL16" s="253" t="n"/>
      <c r="NDM16" s="253" t="n"/>
      <c r="NDN16" s="253" t="n"/>
      <c r="NDO16" s="253" t="n"/>
      <c r="NDP16" s="253" t="n"/>
      <c r="NDQ16" s="253" t="n"/>
      <c r="NDR16" s="253" t="n"/>
      <c r="NDS16" s="253" t="n"/>
      <c r="NDT16" s="253" t="n"/>
      <c r="NDU16" s="253" t="n"/>
      <c r="NDV16" s="253" t="n"/>
      <c r="NDW16" s="253" t="n"/>
      <c r="NDX16" s="253" t="n"/>
      <c r="NDY16" s="253" t="n"/>
      <c r="NDZ16" s="253" t="n"/>
      <c r="NEA16" s="253" t="n"/>
      <c r="NEB16" s="253" t="n"/>
      <c r="NEC16" s="253" t="n"/>
      <c r="NED16" s="253" t="n"/>
      <c r="NEE16" s="253" t="n"/>
      <c r="NEF16" s="253" t="n"/>
      <c r="NEG16" s="253" t="n"/>
      <c r="NEH16" s="253" t="n"/>
      <c r="NEI16" s="253" t="n"/>
      <c r="NEJ16" s="253" t="n"/>
      <c r="NEK16" s="253" t="n"/>
      <c r="NEL16" s="253" t="n"/>
      <c r="NEM16" s="253" t="n"/>
      <c r="NEN16" s="253" t="n"/>
      <c r="NEO16" s="253" t="n"/>
      <c r="NEP16" s="253" t="n"/>
      <c r="NEQ16" s="253" t="n"/>
      <c r="NER16" s="253" t="n"/>
      <c r="NES16" s="253" t="n"/>
      <c r="NET16" s="253" t="n"/>
      <c r="NEU16" s="253" t="n"/>
      <c r="NEV16" s="253" t="n"/>
      <c r="NEW16" s="253" t="n"/>
      <c r="NEX16" s="253" t="n"/>
      <c r="NEY16" s="253" t="n"/>
      <c r="NEZ16" s="253" t="n"/>
      <c r="NFA16" s="253" t="n"/>
      <c r="NFB16" s="253" t="n"/>
      <c r="NFC16" s="253" t="n"/>
      <c r="NFD16" s="253" t="n"/>
      <c r="NFE16" s="253" t="n"/>
      <c r="NFF16" s="253" t="n"/>
      <c r="NFG16" s="253" t="n"/>
      <c r="NFH16" s="253" t="n"/>
      <c r="NFI16" s="253" t="n"/>
      <c r="NFJ16" s="253" t="n"/>
      <c r="NFK16" s="253" t="n"/>
      <c r="NFL16" s="253" t="n"/>
      <c r="NFM16" s="253" t="n"/>
      <c r="NFN16" s="253" t="n"/>
      <c r="NFO16" s="253" t="n"/>
      <c r="NFP16" s="87" t="n"/>
    </row>
    <row r="17">
      <c r="KFK17" s="253" t="n"/>
      <c r="KFL17" s="253" t="n"/>
      <c r="KFM17" s="253" t="n"/>
      <c r="KFN17" s="253" t="n"/>
      <c r="KFO17" s="253" t="n"/>
      <c r="KFP17" s="253" t="n"/>
      <c r="KFQ17" s="253" t="n"/>
      <c r="KFR17" s="253" t="n"/>
      <c r="KFS17" s="253" t="n"/>
      <c r="KFT17" s="253" t="n"/>
      <c r="KFU17" s="253" t="n"/>
      <c r="KFV17" s="253" t="n"/>
      <c r="KFW17" s="253" t="n"/>
      <c r="KFX17" s="253" t="n"/>
      <c r="KFY17" s="253" t="n"/>
      <c r="KFZ17" s="253" t="n"/>
      <c r="KGA17" s="253" t="n"/>
      <c r="KGB17" s="253" t="n"/>
      <c r="KGC17" s="253" t="n"/>
      <c r="KGD17" s="253" t="n"/>
      <c r="KGE17" s="253" t="n"/>
      <c r="KGF17" s="253" t="n"/>
      <c r="KGG17" s="253" t="n"/>
      <c r="KGH17" s="253" t="n"/>
      <c r="KGI17" s="253" t="n"/>
      <c r="KGJ17" s="253" t="n"/>
      <c r="KGK17" s="253" t="n"/>
      <c r="KGL17" s="253" t="n"/>
      <c r="KGM17" s="253" t="n"/>
      <c r="KGN17" s="253" t="n"/>
      <c r="KGO17" s="253" t="n"/>
      <c r="KGP17" s="253" t="n"/>
      <c r="KGQ17" s="253" t="n"/>
      <c r="KGR17" s="253" t="n"/>
      <c r="KGS17" s="253" t="n"/>
      <c r="KGT17" s="253" t="n"/>
      <c r="KGU17" s="253" t="n"/>
      <c r="KGV17" s="253" t="n"/>
      <c r="KGW17" s="253" t="n"/>
      <c r="KGX17" s="253" t="n"/>
      <c r="KGY17" s="253" t="n"/>
      <c r="KGZ17" s="253" t="n"/>
      <c r="KHA17" s="253" t="n"/>
      <c r="KHB17" s="253" t="n"/>
      <c r="KHC17" s="253" t="n"/>
      <c r="KHD17" s="253" t="n"/>
      <c r="KHE17" s="253" t="n"/>
      <c r="KHF17" s="253" t="n"/>
      <c r="KHG17" s="253" t="n"/>
      <c r="KHH17" s="253" t="n"/>
      <c r="KHI17" s="253" t="n"/>
      <c r="KHJ17" s="253" t="n"/>
      <c r="KHK17" s="253" t="n"/>
      <c r="KHL17" s="253" t="n"/>
      <c r="KHM17" s="253" t="n"/>
      <c r="KHN17" s="253" t="n"/>
      <c r="KHO17" s="253" t="n"/>
      <c r="KHP17" s="253" t="n"/>
      <c r="KHQ17" s="253" t="n"/>
      <c r="KHR17" s="253" t="n"/>
      <c r="KHS17" s="253" t="n"/>
      <c r="KHT17" s="253" t="n"/>
      <c r="KHU17" s="253" t="n"/>
      <c r="KHV17" s="253" t="n"/>
      <c r="KHW17" s="253" t="n"/>
      <c r="KHX17" s="253" t="n"/>
      <c r="KHY17" s="253" t="n"/>
      <c r="KHZ17" s="253" t="n"/>
      <c r="KIA17" s="253" t="n"/>
      <c r="KIB17" s="253" t="n"/>
      <c r="KIC17" s="253" t="n"/>
      <c r="KID17" s="253" t="n"/>
      <c r="KIE17" s="253" t="n"/>
      <c r="KIF17" s="253" t="n"/>
      <c r="KIG17" s="253" t="n"/>
      <c r="KIH17" s="253" t="n"/>
      <c r="KII17" s="253" t="n"/>
      <c r="KIJ17" s="253" t="n"/>
      <c r="KIK17" s="253" t="n"/>
      <c r="KIL17" s="253" t="n"/>
      <c r="KIM17" s="253" t="n"/>
      <c r="KIN17" s="253" t="n"/>
      <c r="KIO17" s="253" t="n"/>
      <c r="KIP17" s="253" t="n"/>
      <c r="KIQ17" s="253" t="n"/>
      <c r="KIR17" s="253" t="n"/>
      <c r="KIS17" s="253" t="n"/>
      <c r="KIT17" s="253" t="n"/>
      <c r="KIU17" s="253" t="n"/>
      <c r="KIV17" s="253" t="n"/>
      <c r="KIW17" s="253" t="n"/>
      <c r="KIX17" s="253" t="n"/>
      <c r="KIY17" s="253" t="n"/>
      <c r="KIZ17" s="253" t="n"/>
      <c r="KJA17" s="253" t="n"/>
      <c r="KJB17" s="253" t="n"/>
      <c r="KJC17" s="253" t="n"/>
      <c r="KJD17" s="253" t="n"/>
      <c r="KJE17" s="253" t="n"/>
      <c r="KJF17" s="253" t="n"/>
      <c r="KJG17" s="253" t="n"/>
      <c r="KJH17" s="253" t="n"/>
      <c r="KJI17" s="253" t="n"/>
      <c r="KJJ17" s="253" t="n"/>
      <c r="KJK17" s="253" t="n"/>
      <c r="KJL17" s="253" t="n"/>
      <c r="KJM17" s="253" t="n"/>
      <c r="KJN17" s="253" t="n"/>
      <c r="KJO17" s="253" t="n"/>
      <c r="KJP17" s="253" t="n"/>
      <c r="KJQ17" s="253" t="n"/>
      <c r="KJR17" s="253" t="n"/>
      <c r="KJS17" s="253" t="n"/>
      <c r="KJT17" s="253" t="n"/>
      <c r="KJU17" s="253" t="n"/>
      <c r="KJV17" s="253" t="n"/>
      <c r="KJW17" s="253" t="n"/>
      <c r="KJX17" s="253" t="n"/>
      <c r="KJY17" s="253" t="n"/>
      <c r="KJZ17" s="253" t="n"/>
      <c r="KKA17" s="253" t="n"/>
      <c r="KKB17" s="253" t="n"/>
      <c r="KKC17" s="253" t="n"/>
      <c r="KKD17" s="253" t="n"/>
      <c r="KKE17" s="253" t="n"/>
      <c r="KKF17" s="253" t="n"/>
      <c r="KKG17" s="253" t="n"/>
      <c r="KKH17" s="253" t="n"/>
      <c r="KKI17" s="253" t="n"/>
      <c r="KKJ17" s="253" t="n"/>
      <c r="KKK17" s="253" t="n"/>
      <c r="KKL17" s="253" t="n"/>
      <c r="KKM17" s="253" t="n"/>
      <c r="KKN17" s="253" t="n"/>
      <c r="KKO17" s="253" t="n"/>
      <c r="KKP17" s="253" t="n"/>
      <c r="KKQ17" s="253" t="n"/>
      <c r="KKR17" s="253" t="n"/>
      <c r="KKS17" s="253" t="n"/>
      <c r="KKT17" s="253" t="n"/>
      <c r="KKU17" s="253" t="n"/>
      <c r="KKV17" s="253" t="n"/>
      <c r="KKW17" s="253" t="n"/>
      <c r="KKX17" s="253" t="n"/>
      <c r="KKY17" s="253" t="n"/>
      <c r="KKZ17" s="253" t="n"/>
      <c r="KLA17" s="253" t="n"/>
      <c r="KLB17" s="253" t="n"/>
      <c r="KLC17" s="253" t="n"/>
      <c r="KLD17" s="253" t="n"/>
      <c r="KLE17" s="253" t="n"/>
      <c r="KLF17" s="253" t="n"/>
      <c r="KLG17" s="253" t="n"/>
      <c r="KLH17" s="253" t="n"/>
      <c r="KLI17" s="253" t="n"/>
      <c r="KLJ17" s="253" t="n"/>
      <c r="KLK17" s="253" t="n"/>
      <c r="KLL17" s="253" t="n"/>
      <c r="KLM17" s="253" t="n"/>
      <c r="KLN17" s="253" t="n"/>
      <c r="KLO17" s="253" t="n"/>
      <c r="KLP17" s="253" t="n"/>
      <c r="KLQ17" s="253" t="n"/>
      <c r="KLR17" s="253" t="n"/>
      <c r="KLS17" s="253" t="n"/>
      <c r="KLT17" s="253" t="n"/>
      <c r="KLU17" s="253" t="n"/>
      <c r="KLV17" s="253" t="n"/>
      <c r="KLW17" s="253" t="n"/>
      <c r="KLX17" s="253" t="n"/>
      <c r="KLY17" s="253" t="n"/>
      <c r="KLZ17" s="253" t="n"/>
      <c r="KMA17" s="253" t="n"/>
      <c r="KMB17" s="253" t="n"/>
      <c r="KMC17" s="253" t="n"/>
      <c r="KMD17" s="253" t="n"/>
      <c r="KME17" s="253" t="n"/>
      <c r="KMF17" s="253" t="n"/>
      <c r="KMG17" s="253" t="n"/>
      <c r="KMH17" s="253" t="n"/>
      <c r="KMI17" s="253" t="n"/>
      <c r="KMJ17" s="253" t="n"/>
      <c r="KMK17" s="253" t="n"/>
      <c r="KML17" s="253" t="n"/>
      <c r="KMM17" s="253" t="n"/>
      <c r="KMN17" s="253" t="n"/>
      <c r="KMO17" s="253" t="n"/>
      <c r="KMP17" s="253" t="n"/>
      <c r="KMQ17" s="253" t="n"/>
      <c r="KMR17" s="253" t="n"/>
      <c r="KMS17" s="253" t="n"/>
      <c r="KMT17" s="253" t="n"/>
      <c r="KMU17" s="253" t="n"/>
      <c r="KMV17" s="253" t="n"/>
      <c r="KMW17" s="253" t="n"/>
      <c r="KMX17" s="253" t="n"/>
      <c r="KMY17" s="253" t="n"/>
      <c r="KMZ17" s="253" t="n"/>
      <c r="KNA17" s="253" t="n"/>
      <c r="KNB17" s="253" t="n"/>
      <c r="KNC17" s="253" t="n"/>
      <c r="KND17" s="253" t="n"/>
      <c r="KNE17" s="253" t="n"/>
      <c r="KNF17" s="253" t="n"/>
      <c r="KNG17" s="253" t="n"/>
      <c r="KNH17" s="253" t="n"/>
      <c r="KNI17" s="253" t="n"/>
      <c r="KNJ17" s="253" t="n"/>
      <c r="KNK17" s="253" t="n"/>
      <c r="KNL17" s="253" t="n"/>
      <c r="KNM17" s="253" t="n"/>
      <c r="KNN17" s="253" t="n"/>
      <c r="KNO17" s="253" t="n"/>
      <c r="KNP17" s="253" t="n"/>
      <c r="KNQ17" s="253" t="n"/>
      <c r="KNR17" s="253" t="n"/>
      <c r="KNS17" s="253" t="n"/>
      <c r="KNT17" s="253" t="n"/>
      <c r="KNU17" s="253" t="n"/>
      <c r="KNV17" s="253" t="n"/>
      <c r="KNW17" s="253" t="n"/>
      <c r="KNX17" s="253" t="n"/>
      <c r="KNY17" s="253" t="n"/>
      <c r="KNZ17" s="253" t="n"/>
      <c r="KOA17" s="253" t="n"/>
      <c r="KOB17" s="253" t="n"/>
      <c r="KOC17" s="253" t="n"/>
      <c r="KOD17" s="253" t="n"/>
      <c r="KOE17" s="253" t="n"/>
      <c r="KOF17" s="253" t="n"/>
      <c r="KOG17" s="253" t="n"/>
      <c r="KOH17" s="253" t="n"/>
      <c r="KOI17" s="253" t="n"/>
      <c r="KOJ17" s="253" t="n"/>
      <c r="KOK17" s="253" t="n"/>
      <c r="KOL17" s="253" t="n"/>
      <c r="KOM17" s="253" t="n"/>
      <c r="KON17" s="253" t="n"/>
      <c r="KOO17" s="253" t="n"/>
      <c r="KOP17" s="253" t="n"/>
      <c r="KOQ17" s="253" t="n"/>
      <c r="KOR17" s="253" t="n"/>
      <c r="KOS17" s="253" t="n"/>
      <c r="KOT17" s="253" t="n"/>
      <c r="KOU17" s="253" t="n"/>
      <c r="KOV17" s="253" t="n"/>
      <c r="KOW17" s="253" t="n"/>
      <c r="KOX17" s="253" t="n"/>
      <c r="KOY17" s="253" t="n"/>
      <c r="KOZ17" s="253" t="n"/>
      <c r="KPA17" s="253" t="n"/>
      <c r="KPB17" s="253" t="n"/>
      <c r="KPC17" s="253" t="n"/>
      <c r="KPD17" s="253" t="n"/>
      <c r="KPE17" s="253" t="n"/>
      <c r="KPF17" s="253" t="n"/>
      <c r="KPG17" s="253" t="n"/>
      <c r="KPH17" s="253" t="n"/>
      <c r="KPI17" s="253" t="n"/>
      <c r="KPJ17" s="253" t="n"/>
      <c r="KPK17" s="253" t="n"/>
      <c r="KPL17" s="253" t="n"/>
      <c r="KPM17" s="253" t="n"/>
      <c r="KPN17" s="253" t="n"/>
      <c r="KPO17" s="253" t="n"/>
      <c r="KPP17" s="253" t="n"/>
      <c r="KPQ17" s="253" t="n"/>
      <c r="KPR17" s="253" t="n"/>
      <c r="KPS17" s="253" t="n"/>
      <c r="KPT17" s="253" t="n"/>
      <c r="KPU17" s="253" t="n"/>
      <c r="KPV17" s="253" t="n"/>
      <c r="KPW17" s="253" t="n"/>
      <c r="KPX17" s="253" t="n"/>
      <c r="KPY17" s="253" t="n"/>
      <c r="KPZ17" s="253" t="n"/>
      <c r="KQA17" s="253" t="n"/>
      <c r="KQB17" s="253" t="n"/>
      <c r="KQC17" s="253" t="n"/>
      <c r="KQD17" s="253" t="n"/>
      <c r="KQE17" s="253" t="n"/>
      <c r="KQF17" s="253" t="n"/>
      <c r="KQG17" s="253" t="n"/>
      <c r="KQH17" s="253" t="n"/>
      <c r="KQI17" s="253" t="n"/>
      <c r="KQJ17" s="253" t="n"/>
      <c r="KQK17" s="253" t="n"/>
      <c r="KQL17" s="253" t="n"/>
      <c r="KQM17" s="253" t="n"/>
      <c r="KQN17" s="253" t="n"/>
      <c r="KQO17" s="253" t="n"/>
      <c r="KQP17" s="253" t="n"/>
      <c r="KQQ17" s="253" t="n"/>
      <c r="KQR17" s="253" t="n"/>
      <c r="KQS17" s="253" t="n"/>
      <c r="KQT17" s="253" t="n"/>
      <c r="KQU17" s="253" t="n"/>
      <c r="KQV17" s="253" t="n"/>
      <c r="KQW17" s="253" t="n"/>
      <c r="KQX17" s="253" t="n"/>
      <c r="KQY17" s="253" t="n"/>
      <c r="KQZ17" s="253" t="n"/>
      <c r="KRA17" s="253" t="n"/>
      <c r="KRB17" s="253" t="n"/>
      <c r="KRC17" s="253" t="n"/>
      <c r="KRD17" s="253" t="n"/>
      <c r="KRE17" s="253" t="n"/>
      <c r="KRF17" s="253" t="n"/>
      <c r="KRG17" s="253" t="n"/>
      <c r="KRH17" s="253" t="n"/>
      <c r="KRI17" s="253" t="n"/>
      <c r="KRJ17" s="253" t="n"/>
      <c r="KRK17" s="253" t="n"/>
      <c r="KRL17" s="253" t="n"/>
      <c r="KRM17" s="253" t="n"/>
      <c r="KRN17" s="253" t="n"/>
      <c r="KRO17" s="253" t="n"/>
      <c r="KRP17" s="253" t="n"/>
      <c r="KRQ17" s="253" t="n"/>
      <c r="KRR17" s="253" t="n"/>
      <c r="KRS17" s="253" t="n"/>
      <c r="KRT17" s="253" t="n"/>
      <c r="KRU17" s="253" t="n"/>
      <c r="KRV17" s="253" t="n"/>
      <c r="KRW17" s="253" t="n"/>
      <c r="KRX17" s="253" t="n"/>
      <c r="KRY17" s="253" t="n"/>
      <c r="KRZ17" s="253" t="n"/>
      <c r="KSA17" s="253" t="n"/>
      <c r="KSB17" s="253" t="n"/>
      <c r="KSC17" s="253" t="n"/>
      <c r="KSD17" s="253" t="n"/>
      <c r="KSE17" s="253" t="n"/>
      <c r="KSF17" s="253" t="n"/>
      <c r="KSG17" s="253" t="n"/>
      <c r="KSH17" s="253" t="n"/>
      <c r="KSI17" s="253" t="n"/>
      <c r="KSJ17" s="253" t="n"/>
      <c r="KSK17" s="253" t="n"/>
      <c r="KSL17" s="253" t="n"/>
      <c r="KSM17" s="253" t="n"/>
      <c r="KSN17" s="253" t="n"/>
      <c r="KSO17" s="253" t="n"/>
      <c r="KSP17" s="253" t="n"/>
      <c r="KSQ17" s="253" t="n"/>
      <c r="KSR17" s="253" t="n"/>
      <c r="KSS17" s="253" t="n"/>
      <c r="KST17" s="253" t="n"/>
      <c r="KSU17" s="253" t="n"/>
      <c r="KSV17" s="253" t="n"/>
      <c r="KSW17" s="253" t="n"/>
      <c r="KSX17" s="253" t="n"/>
      <c r="KSY17" s="253" t="n"/>
      <c r="KSZ17" s="253" t="n"/>
      <c r="KTA17" s="253" t="n"/>
      <c r="KTB17" s="253" t="n"/>
      <c r="KTC17" s="253" t="n"/>
      <c r="KTD17" s="253" t="n"/>
      <c r="KTE17" s="253" t="n"/>
      <c r="KTF17" s="253" t="n"/>
      <c r="KTG17" s="253" t="n"/>
      <c r="KTH17" s="253" t="n"/>
      <c r="KTI17" s="253" t="n"/>
      <c r="KTJ17" s="253" t="n"/>
      <c r="KTK17" s="253" t="n"/>
      <c r="KTL17" s="253" t="n"/>
      <c r="KTM17" s="253" t="n"/>
      <c r="KTN17" s="253" t="n"/>
      <c r="KTO17" s="253" t="n"/>
      <c r="KTP17" s="253" t="n"/>
      <c r="KTQ17" s="253" t="n"/>
      <c r="KTR17" s="253" t="n"/>
      <c r="KTS17" s="253" t="n"/>
      <c r="KTT17" s="253" t="n"/>
      <c r="KTU17" s="253" t="n"/>
      <c r="KTV17" s="253" t="n"/>
      <c r="KTW17" s="253" t="n"/>
      <c r="KTX17" s="253" t="n"/>
      <c r="KTY17" s="253" t="n"/>
      <c r="KTZ17" s="253" t="n"/>
      <c r="KUA17" s="253" t="n"/>
      <c r="KUB17" s="253" t="n"/>
      <c r="KUC17" s="253" t="n"/>
      <c r="KUD17" s="253" t="n"/>
      <c r="KUE17" s="253" t="n"/>
      <c r="KUF17" s="253" t="n"/>
      <c r="KUG17" s="253" t="n"/>
      <c r="KUH17" s="253" t="n"/>
      <c r="KUI17" s="253" t="n"/>
      <c r="KUJ17" s="253" t="n"/>
      <c r="KUK17" s="253" t="n"/>
      <c r="KUL17" s="253" t="n"/>
      <c r="KUM17" s="253" t="n"/>
      <c r="KUN17" s="253" t="n"/>
      <c r="KUO17" s="253" t="n"/>
      <c r="KUP17" s="253" t="n"/>
      <c r="KUQ17" s="253" t="n"/>
      <c r="KUR17" s="253" t="n"/>
      <c r="KUS17" s="253" t="n"/>
      <c r="KUT17" s="253" t="n"/>
      <c r="KUU17" s="253" t="n"/>
      <c r="KUV17" s="253" t="n"/>
      <c r="KUW17" s="253" t="n"/>
      <c r="KUX17" s="253" t="n"/>
      <c r="KUY17" s="253" t="n"/>
      <c r="KUZ17" s="253" t="n"/>
      <c r="KVA17" s="253" t="n"/>
      <c r="KVB17" s="253" t="n"/>
      <c r="KVC17" s="253" t="n"/>
      <c r="KVD17" s="253" t="n"/>
      <c r="KVE17" s="253" t="n"/>
      <c r="KVF17" s="253" t="n"/>
      <c r="KVG17" s="253" t="n"/>
      <c r="KVH17" s="253" t="n"/>
      <c r="KVI17" s="253" t="n"/>
      <c r="KVJ17" s="253" t="n"/>
      <c r="KVK17" s="253" t="n"/>
      <c r="KVL17" s="253" t="n"/>
      <c r="KVM17" s="253" t="n"/>
      <c r="KVN17" s="253" t="n"/>
      <c r="KVO17" s="253" t="n"/>
      <c r="KVP17" s="253" t="n"/>
      <c r="KVQ17" s="253" t="n"/>
      <c r="KVR17" s="253" t="n"/>
      <c r="KVS17" s="253" t="n"/>
      <c r="KVT17" s="253" t="n"/>
      <c r="KVU17" s="253" t="n"/>
      <c r="KVV17" s="253" t="n"/>
      <c r="KVW17" s="253" t="n"/>
      <c r="KVX17" s="253" t="n"/>
      <c r="KVY17" s="253" t="n"/>
      <c r="KVZ17" s="253" t="n"/>
      <c r="KWA17" s="253" t="n"/>
      <c r="KWB17" s="253" t="n"/>
      <c r="KWC17" s="253" t="n"/>
      <c r="KWD17" s="253" t="n"/>
      <c r="KWE17" s="253" t="n"/>
      <c r="KWF17" s="253" t="n"/>
      <c r="KWG17" s="253" t="n"/>
      <c r="KWH17" s="253" t="n"/>
      <c r="KWI17" s="253" t="n"/>
      <c r="KWJ17" s="253" t="n"/>
      <c r="KWK17" s="253" t="n"/>
      <c r="KWL17" s="253" t="n"/>
      <c r="KWM17" s="253" t="n"/>
      <c r="KWN17" s="253" t="n"/>
      <c r="KWO17" s="253" t="n"/>
      <c r="KWP17" s="253" t="n"/>
      <c r="KWQ17" s="253" t="n"/>
      <c r="KWR17" s="253" t="n"/>
      <c r="KWS17" s="253" t="n"/>
      <c r="KWT17" s="253" t="n"/>
      <c r="KWU17" s="253" t="n"/>
      <c r="KWV17" s="253" t="n"/>
      <c r="KWW17" s="253" t="n"/>
      <c r="KWX17" s="253" t="n"/>
      <c r="KWY17" s="253" t="n"/>
      <c r="KWZ17" s="253" t="n"/>
      <c r="KXA17" s="253" t="n"/>
      <c r="KXB17" s="253" t="n"/>
      <c r="KXC17" s="253" t="n"/>
      <c r="KXD17" s="253" t="n"/>
      <c r="KXE17" s="253" t="n"/>
      <c r="KXF17" s="253" t="n"/>
      <c r="KXG17" s="253" t="n"/>
      <c r="KXH17" s="253" t="n"/>
      <c r="KXI17" s="253" t="n"/>
      <c r="KXJ17" s="253" t="n"/>
      <c r="KXK17" s="253" t="n"/>
      <c r="KXL17" s="253" t="n"/>
      <c r="KXM17" s="253" t="n"/>
      <c r="KXN17" s="253" t="n"/>
      <c r="KXO17" s="253" t="n"/>
      <c r="KXP17" s="253" t="n"/>
      <c r="KXQ17" s="253" t="n"/>
      <c r="KXR17" s="253" t="n"/>
      <c r="KXS17" s="253" t="n"/>
      <c r="KXT17" s="253" t="n"/>
      <c r="KXU17" s="253" t="n"/>
      <c r="KXV17" s="253" t="n"/>
      <c r="KXW17" s="253" t="n"/>
      <c r="KXX17" s="253" t="n"/>
      <c r="KXY17" s="253" t="n"/>
      <c r="KXZ17" s="253" t="n"/>
      <c r="KYA17" s="253" t="n"/>
      <c r="KYB17" s="253" t="n"/>
      <c r="KYC17" s="253" t="n"/>
      <c r="KYD17" s="253" t="n"/>
      <c r="KYE17" s="253" t="n"/>
      <c r="KYF17" s="253" t="n"/>
      <c r="KYG17" s="253" t="n"/>
      <c r="KYH17" s="253" t="n"/>
      <c r="KYI17" s="253" t="n"/>
      <c r="KYJ17" s="253" t="n"/>
      <c r="KYK17" s="253" t="n"/>
      <c r="KYL17" s="253" t="n"/>
      <c r="KYM17" s="253" t="n"/>
      <c r="KYN17" s="253" t="n"/>
      <c r="KYO17" s="253" t="n"/>
      <c r="KYP17" s="253" t="n"/>
      <c r="KYQ17" s="253" t="n"/>
      <c r="KYR17" s="253" t="n"/>
      <c r="KYS17" s="253" t="n"/>
      <c r="KYT17" s="253" t="n"/>
      <c r="KYU17" s="253" t="n"/>
      <c r="KYV17" s="253" t="n"/>
      <c r="KYW17" s="253" t="n"/>
      <c r="KYX17" s="253" t="n"/>
      <c r="KYY17" s="253" t="n"/>
      <c r="KYZ17" s="253" t="n"/>
      <c r="KZA17" s="253" t="n"/>
      <c r="KZB17" s="253" t="n"/>
      <c r="KZC17" s="253" t="n"/>
      <c r="KZD17" s="253" t="n"/>
      <c r="KZE17" s="253" t="n"/>
      <c r="KZF17" s="253" t="n"/>
      <c r="KZG17" s="253" t="n"/>
      <c r="KZH17" s="253" t="n"/>
      <c r="KZI17" s="253" t="n"/>
      <c r="KZJ17" s="253" t="n"/>
      <c r="KZK17" s="253" t="n"/>
      <c r="KZL17" s="253" t="n"/>
      <c r="KZM17" s="253" t="n"/>
      <c r="KZN17" s="253" t="n"/>
      <c r="KZO17" s="253" t="n"/>
      <c r="KZP17" s="253" t="n"/>
      <c r="KZQ17" s="253" t="n"/>
      <c r="KZR17" s="253" t="n"/>
      <c r="KZS17" s="253" t="n"/>
      <c r="KZT17" s="253" t="n"/>
      <c r="KZU17" s="253" t="n"/>
      <c r="KZV17" s="253" t="n"/>
      <c r="KZW17" s="253" t="n"/>
      <c r="KZX17" s="253" t="n"/>
      <c r="KZY17" s="253" t="n"/>
      <c r="KZZ17" s="253" t="n"/>
      <c r="LAA17" s="253" t="n"/>
      <c r="LAB17" s="253" t="n"/>
      <c r="LAC17" s="253" t="n"/>
      <c r="LAD17" s="253" t="n"/>
      <c r="LAE17" s="253" t="n"/>
      <c r="LAF17" s="253" t="n"/>
      <c r="LAG17" s="253" t="n"/>
      <c r="LAH17" s="253" t="n"/>
      <c r="LAI17" s="253" t="n"/>
      <c r="LAJ17" s="253" t="n"/>
      <c r="LAK17" s="253" t="n"/>
      <c r="LAL17" s="253" t="n"/>
      <c r="LAM17" s="253" t="n"/>
      <c r="LAN17" s="253" t="n"/>
      <c r="LAO17" s="253" t="n"/>
      <c r="LAP17" s="253" t="n"/>
      <c r="LAQ17" s="253" t="n"/>
      <c r="LAR17" s="253" t="n"/>
      <c r="LAS17" s="253" t="n"/>
      <c r="LAT17" s="253" t="n"/>
      <c r="LAU17" s="253" t="n"/>
      <c r="LAV17" s="253" t="n"/>
      <c r="LAW17" s="253" t="n"/>
      <c r="LAX17" s="253" t="n"/>
      <c r="LAY17" s="253" t="n"/>
      <c r="LAZ17" s="253" t="n"/>
      <c r="LBA17" s="253" t="n"/>
      <c r="LBB17" s="253" t="n"/>
      <c r="LBC17" s="253" t="n"/>
      <c r="LBD17" s="253" t="n"/>
      <c r="LBE17" s="253" t="n"/>
      <c r="LBF17" s="253" t="n"/>
      <c r="LBG17" s="253" t="n"/>
      <c r="LBH17" s="253" t="n"/>
      <c r="LBI17" s="253" t="n"/>
      <c r="LBJ17" s="253" t="n"/>
      <c r="LBK17" s="253" t="n"/>
      <c r="LBL17" s="253" t="n"/>
      <c r="LBM17" s="253" t="n"/>
      <c r="LBN17" s="253" t="n"/>
      <c r="LBO17" s="253" t="n"/>
      <c r="LBP17" s="253" t="n"/>
      <c r="LBQ17" s="253" t="n"/>
      <c r="LBR17" s="253" t="n"/>
      <c r="LBS17" s="253" t="n"/>
      <c r="LBT17" s="253" t="n"/>
      <c r="LBU17" s="253" t="n"/>
      <c r="LBV17" s="253" t="n"/>
      <c r="LBW17" s="253" t="n"/>
      <c r="LBX17" s="253" t="n"/>
      <c r="LBY17" s="253" t="n"/>
      <c r="LBZ17" s="253" t="n"/>
      <c r="LCA17" s="253" t="n"/>
      <c r="LCB17" s="253" t="n"/>
      <c r="LCC17" s="253" t="n"/>
      <c r="LCD17" s="253" t="n"/>
      <c r="LCE17" s="253" t="n"/>
      <c r="LCF17" s="253" t="n"/>
      <c r="LCG17" s="253" t="n"/>
      <c r="LCH17" s="253" t="n"/>
      <c r="LCI17" s="253" t="n"/>
      <c r="LCJ17" s="253" t="n"/>
      <c r="LCK17" s="253" t="n"/>
      <c r="LCL17" s="253" t="n"/>
      <c r="LCM17" s="253" t="n"/>
      <c r="LCN17" s="253" t="n"/>
      <c r="LCO17" s="253" t="n"/>
      <c r="LCP17" s="253" t="n"/>
      <c r="LCQ17" s="253" t="n"/>
      <c r="LCR17" s="253" t="n"/>
      <c r="LCS17" s="253" t="n"/>
      <c r="LCT17" s="253" t="n"/>
      <c r="LCU17" s="253" t="n"/>
      <c r="LCV17" s="253" t="n"/>
      <c r="LCW17" s="253" t="n"/>
      <c r="LCX17" s="253" t="n"/>
      <c r="LCY17" s="253" t="n"/>
      <c r="LCZ17" s="253" t="n"/>
      <c r="LDA17" s="253" t="n"/>
      <c r="LDB17" s="253" t="n"/>
      <c r="LDC17" s="253" t="n"/>
      <c r="LDD17" s="253" t="n"/>
      <c r="LDE17" s="253" t="n"/>
      <c r="LDF17" s="253" t="n"/>
      <c r="LDG17" s="253" t="n"/>
      <c r="LDH17" s="253" t="n"/>
      <c r="LDI17" s="253" t="n"/>
      <c r="LDJ17" s="253" t="n"/>
      <c r="LDK17" s="253" t="n"/>
      <c r="LDL17" s="253" t="n"/>
      <c r="LDM17" s="253" t="n"/>
      <c r="LDN17" s="253" t="n"/>
      <c r="LDO17" s="253" t="n"/>
      <c r="LDP17" s="253" t="n"/>
      <c r="LDQ17" s="253" t="n"/>
      <c r="LDR17" s="253" t="n"/>
      <c r="LDS17" s="253" t="n"/>
      <c r="LDT17" s="253" t="n"/>
      <c r="LDU17" s="253" t="n"/>
      <c r="LDV17" s="253" t="n"/>
      <c r="LDW17" s="253" t="n"/>
      <c r="LDX17" s="253" t="n"/>
      <c r="LDY17" s="253" t="n"/>
      <c r="LDZ17" s="253" t="n"/>
      <c r="LEA17" s="253" t="n"/>
      <c r="LEB17" s="253" t="n"/>
      <c r="LEC17" s="253" t="n"/>
      <c r="LED17" s="253" t="n"/>
      <c r="LEE17" s="253" t="n"/>
      <c r="LEF17" s="253" t="n"/>
      <c r="LEG17" s="253" t="n"/>
      <c r="LEH17" s="253" t="n"/>
      <c r="LEI17" s="253" t="n"/>
      <c r="LEJ17" s="253" t="n"/>
      <c r="LEK17" s="253" t="n"/>
      <c r="LEL17" s="253" t="n"/>
      <c r="LEM17" s="253" t="n"/>
      <c r="LEN17" s="253" t="n"/>
      <c r="LEO17" s="253" t="n"/>
      <c r="LEP17" s="253" t="n"/>
      <c r="LEQ17" s="253" t="n"/>
      <c r="LER17" s="253" t="n"/>
      <c r="LES17" s="253" t="n"/>
      <c r="LET17" s="253" t="n"/>
      <c r="LEU17" s="253" t="n"/>
      <c r="LEV17" s="253" t="n"/>
      <c r="LEW17" s="253" t="n"/>
      <c r="LEX17" s="253" t="n"/>
      <c r="LEY17" s="253" t="n"/>
      <c r="LEZ17" s="253" t="n"/>
      <c r="LFA17" s="253" t="n"/>
      <c r="LFB17" s="253" t="n"/>
      <c r="LFC17" s="253" t="n"/>
      <c r="LFD17" s="253" t="n"/>
      <c r="LFE17" s="253" t="n"/>
      <c r="LFF17" s="253" t="n"/>
      <c r="LFG17" s="253" t="n"/>
      <c r="LFH17" s="253" t="n"/>
      <c r="LFI17" s="253" t="n"/>
      <c r="LFJ17" s="253" t="n"/>
      <c r="LFK17" s="253" t="n"/>
      <c r="LFL17" s="252" t="n"/>
      <c r="LFM17" s="253" t="n"/>
      <c r="LFN17" s="253" t="n"/>
      <c r="LFO17" s="253" t="n"/>
      <c r="LFP17" s="253" t="n"/>
      <c r="LFQ17" s="253" t="n"/>
      <c r="LFR17" s="253" t="n"/>
      <c r="LFS17" s="253" t="n"/>
      <c r="LFT17" s="253" t="n"/>
      <c r="LFU17" s="253" t="n"/>
      <c r="LFV17" s="253" t="n"/>
      <c r="LFW17" s="253" t="n"/>
      <c r="LFX17" s="253" t="n"/>
      <c r="LFY17" s="253" t="n"/>
      <c r="LFZ17" s="253" t="n"/>
      <c r="LGA17" s="253" t="n"/>
      <c r="LGB17" s="253" t="n"/>
      <c r="LGC17" s="253" t="n"/>
      <c r="LGD17" s="253" t="n"/>
      <c r="LGE17" s="253" t="n"/>
      <c r="LGF17" s="253" t="n"/>
      <c r="LGG17" s="253" t="n"/>
      <c r="LGH17" s="253" t="n"/>
      <c r="LGI17" s="253" t="n"/>
      <c r="LGJ17" s="253" t="n"/>
      <c r="LGK17" s="253" t="n"/>
      <c r="LGL17" s="253" t="n"/>
      <c r="LGM17" s="253" t="n"/>
      <c r="LGN17" s="253" t="n"/>
      <c r="LGO17" s="253" t="n"/>
      <c r="LGP17" s="253" t="n"/>
      <c r="LGQ17" s="253" t="n"/>
      <c r="LGR17" s="253" t="n"/>
      <c r="LGS17" s="253" t="n"/>
      <c r="LGT17" s="253" t="n"/>
      <c r="LGU17" s="253" t="n"/>
      <c r="LGV17" s="253" t="n"/>
      <c r="LGW17" s="253" t="n"/>
      <c r="LGX17" s="253" t="n"/>
      <c r="LGY17" s="253" t="n"/>
      <c r="LGZ17" s="253" t="n"/>
      <c r="LHA17" s="253" t="n"/>
      <c r="LHB17" s="253" t="n"/>
      <c r="LHC17" s="253" t="n"/>
      <c r="LHD17" s="253" t="n"/>
      <c r="LHE17" s="253" t="n"/>
      <c r="LHF17" s="253" t="n"/>
      <c r="LHG17" s="253" t="n"/>
      <c r="LHH17" s="253" t="n"/>
      <c r="LHI17" s="253" t="n"/>
      <c r="LHJ17" s="253" t="n"/>
      <c r="LHK17" s="253" t="n"/>
      <c r="LHL17" s="253" t="n"/>
      <c r="LHM17" s="253" t="n"/>
      <c r="LHN17" s="253" t="n"/>
      <c r="LHO17" s="253" t="n"/>
      <c r="LHP17" s="253" t="n"/>
      <c r="LHQ17" s="253" t="n"/>
      <c r="LHR17" s="253" t="n"/>
      <c r="LHS17" s="253" t="n"/>
      <c r="LHT17" s="253" t="n"/>
      <c r="LHU17" s="253" t="n"/>
      <c r="LHV17" s="253" t="n"/>
      <c r="LHW17" s="253" t="n"/>
      <c r="LHX17" s="253" t="n"/>
      <c r="LHY17" s="253" t="n"/>
      <c r="LHZ17" s="253" t="n"/>
      <c r="LIA17" s="253" t="n"/>
      <c r="LIB17" s="253" t="n"/>
      <c r="LIC17" s="253" t="n"/>
      <c r="LID17" s="253" t="n"/>
      <c r="LIE17" s="253" t="n"/>
      <c r="LIF17" s="253" t="n"/>
      <c r="LIG17" s="253" t="n"/>
      <c r="LIH17" s="253" t="n"/>
      <c r="LII17" s="253" t="n"/>
      <c r="LIJ17" s="253" t="n"/>
      <c r="LIK17" s="253" t="n"/>
      <c r="LIL17" s="253" t="n"/>
      <c r="LIM17" s="253" t="n"/>
      <c r="LIN17" s="253" t="n"/>
      <c r="LIO17" s="253" t="n"/>
      <c r="LIP17" s="253" t="n"/>
      <c r="LIQ17" s="253" t="n"/>
      <c r="LIR17" s="253" t="n"/>
      <c r="LIS17" s="253" t="n"/>
      <c r="LIT17" s="253" t="n"/>
      <c r="LIU17" s="253" t="n"/>
      <c r="LIV17" s="253" t="n"/>
      <c r="LIW17" s="253" t="n"/>
      <c r="LIX17" s="253" t="n"/>
      <c r="LIY17" s="253" t="n"/>
      <c r="LIZ17" s="253" t="n"/>
      <c r="LJA17" s="253" t="n"/>
      <c r="LJB17" s="253" t="n"/>
      <c r="LJC17" s="253" t="n"/>
      <c r="LJD17" s="253" t="n"/>
      <c r="LJE17" s="253" t="n"/>
      <c r="LJF17" s="253" t="n"/>
      <c r="LJG17" s="253" t="n"/>
      <c r="LJH17" s="253" t="n"/>
      <c r="LJI17" s="253" t="n"/>
      <c r="LJJ17" s="253" t="n"/>
      <c r="LJK17" s="253" t="n"/>
      <c r="LJL17" s="253" t="n"/>
      <c r="LJM17" s="253" t="n"/>
      <c r="LJN17" s="253" t="n"/>
      <c r="LJO17" s="253" t="n"/>
      <c r="LJP17" s="253" t="n"/>
      <c r="LJQ17" s="253" t="n"/>
      <c r="LJR17" s="253" t="n"/>
      <c r="LJS17" s="253" t="n"/>
      <c r="LJT17" s="253" t="n"/>
      <c r="LJU17" s="253" t="n"/>
      <c r="LJV17" s="253" t="n"/>
      <c r="LJW17" s="253" t="n"/>
      <c r="LJX17" s="253" t="n"/>
      <c r="LJY17" s="253" t="n"/>
      <c r="LJZ17" s="253" t="n"/>
      <c r="LKA17" s="253" t="n"/>
      <c r="LKB17" s="253" t="n"/>
      <c r="LKC17" s="253" t="n"/>
      <c r="LKD17" s="253" t="n"/>
      <c r="LKE17" s="253" t="n"/>
      <c r="LKF17" s="253" t="n"/>
      <c r="LKG17" s="253" t="n"/>
      <c r="LKH17" s="253" t="n"/>
      <c r="LKI17" s="253" t="n"/>
      <c r="LKJ17" s="253" t="n"/>
      <c r="LKK17" s="253" t="n"/>
      <c r="LKL17" s="253" t="n"/>
      <c r="LKM17" s="253" t="n"/>
      <c r="LKN17" s="253" t="n"/>
      <c r="LKO17" s="253" t="n"/>
      <c r="LKP17" s="253" t="n"/>
      <c r="LKQ17" s="253" t="n"/>
      <c r="LKR17" s="253" t="n"/>
      <c r="LKS17" s="253" t="n"/>
      <c r="LKT17" s="253" t="n"/>
      <c r="LKU17" s="253" t="n"/>
      <c r="LKV17" s="253" t="n"/>
      <c r="LKW17" s="253" t="n"/>
      <c r="LKX17" s="253" t="n"/>
      <c r="LKY17" s="253" t="n"/>
      <c r="LKZ17" s="253" t="n"/>
      <c r="LLA17" s="253" t="n"/>
      <c r="LLB17" s="253" t="n"/>
      <c r="LLC17" s="253" t="n"/>
      <c r="LLD17" s="253" t="n"/>
      <c r="LLE17" s="253" t="n"/>
      <c r="LLF17" s="253" t="n"/>
      <c r="LLG17" s="253" t="n"/>
      <c r="LLH17" s="253" t="n"/>
      <c r="LLI17" s="253" t="n"/>
      <c r="LLJ17" s="253" t="n"/>
      <c r="LLK17" s="253" t="n"/>
      <c r="LLL17" s="253" t="n"/>
      <c r="LLM17" s="253" t="n"/>
      <c r="LLN17" s="253" t="n"/>
      <c r="LLO17" s="253" t="n"/>
      <c r="LLP17" s="253" t="n"/>
      <c r="LLQ17" s="253" t="n"/>
      <c r="LLR17" s="253" t="n"/>
      <c r="LLS17" s="253" t="n"/>
      <c r="LLT17" s="253" t="n"/>
      <c r="LLU17" s="253" t="n"/>
      <c r="LLV17" s="253" t="n"/>
      <c r="LLW17" s="253" t="n"/>
      <c r="LLX17" s="253" t="n"/>
      <c r="LLY17" s="253" t="n"/>
      <c r="LLZ17" s="253" t="n"/>
      <c r="LMA17" s="253" t="n"/>
      <c r="LMB17" s="253" t="n"/>
      <c r="LMC17" s="253" t="n"/>
      <c r="LMD17" s="253" t="n"/>
      <c r="LME17" s="253" t="n"/>
      <c r="LMF17" s="253" t="n"/>
      <c r="LMG17" s="253" t="n"/>
      <c r="LMH17" s="253" t="n"/>
      <c r="LMI17" s="253" t="n"/>
      <c r="LMJ17" s="253" t="n"/>
      <c r="LMK17" s="253" t="n"/>
      <c r="LML17" s="253" t="n"/>
      <c r="LMM17" s="253" t="n"/>
      <c r="LMN17" s="253" t="n"/>
      <c r="LMO17" s="253" t="n"/>
      <c r="LMP17" s="253" t="n"/>
      <c r="LMQ17" s="253" t="n"/>
      <c r="LMR17" s="253" t="n"/>
      <c r="LMS17" s="253" t="n"/>
      <c r="LMT17" s="253" t="n"/>
      <c r="LMU17" s="253" t="n"/>
      <c r="LMV17" s="253" t="n"/>
      <c r="LMW17" s="253" t="n"/>
      <c r="LMX17" s="253" t="n"/>
      <c r="LMY17" s="253" t="n"/>
      <c r="LMZ17" s="253" t="n"/>
      <c r="LNA17" s="253" t="n"/>
      <c r="LNB17" s="253" t="n"/>
      <c r="LNC17" s="253" t="n"/>
      <c r="LND17" s="253" t="n"/>
      <c r="LNE17" s="253" t="n"/>
      <c r="LNF17" s="253" t="n"/>
      <c r="LNG17" s="253" t="n"/>
      <c r="LNH17" s="253" t="n"/>
      <c r="LNI17" s="253" t="n"/>
      <c r="LNJ17" s="253" t="n"/>
      <c r="LNK17" s="253" t="n"/>
      <c r="LNL17" s="253" t="n"/>
      <c r="LNM17" s="253" t="n"/>
      <c r="LNN17" s="253" t="n"/>
      <c r="LNO17" s="253" t="n"/>
      <c r="LNP17" s="253" t="n"/>
      <c r="LNQ17" s="253" t="n"/>
      <c r="LNR17" s="253" t="n"/>
      <c r="LNS17" s="253" t="n"/>
      <c r="LNT17" s="253" t="n"/>
      <c r="LNU17" s="253" t="n"/>
      <c r="LNV17" s="253" t="n"/>
      <c r="LNW17" s="253" t="n"/>
      <c r="LNX17" s="253" t="n"/>
      <c r="LNY17" s="253" t="n"/>
      <c r="LNZ17" s="253" t="n"/>
      <c r="LOA17" s="253" t="n"/>
      <c r="LOB17" s="253" t="n"/>
      <c r="LOC17" s="253" t="n"/>
      <c r="LOD17" s="253" t="n"/>
      <c r="LOE17" s="253" t="n"/>
      <c r="LOF17" s="253" t="n"/>
      <c r="LOG17" s="253" t="n"/>
      <c r="LOH17" s="253" t="n"/>
      <c r="LOI17" s="253" t="n"/>
      <c r="LOJ17" s="253" t="n"/>
      <c r="LOK17" s="253" t="n"/>
      <c r="LOL17" s="253" t="n"/>
      <c r="LOM17" s="253" t="n"/>
      <c r="LON17" s="253" t="n"/>
      <c r="LOO17" s="253" t="n"/>
      <c r="LOP17" s="253" t="n"/>
      <c r="LOQ17" s="253" t="n"/>
      <c r="LOR17" s="253" t="n"/>
      <c r="LOS17" s="253" t="n"/>
      <c r="LOT17" s="253" t="n"/>
      <c r="LOU17" s="253" t="n"/>
      <c r="LOV17" s="253" t="n"/>
      <c r="LOW17" s="253" t="n"/>
      <c r="LOX17" s="253" t="n"/>
      <c r="LOY17" s="253" t="n"/>
      <c r="LOZ17" s="253" t="n"/>
      <c r="LPA17" s="253" t="n"/>
      <c r="LPB17" s="253" t="n"/>
      <c r="LPC17" s="253" t="n"/>
      <c r="LPD17" s="253" t="n"/>
      <c r="LPE17" s="253" t="n"/>
      <c r="LPF17" s="253" t="n"/>
      <c r="LPG17" s="253" t="n"/>
      <c r="LPH17" s="253" t="n"/>
      <c r="LPI17" s="253" t="n"/>
      <c r="LPJ17" s="253" t="n"/>
      <c r="LPK17" s="253" t="n"/>
      <c r="LPL17" s="253" t="n"/>
      <c r="LPM17" s="253" t="n"/>
      <c r="LPN17" s="253" t="n"/>
      <c r="LPO17" s="253" t="n"/>
      <c r="LPP17" s="253" t="n"/>
      <c r="LPQ17" s="253" t="n"/>
      <c r="LPR17" s="253" t="n"/>
      <c r="LPS17" s="253" t="n"/>
      <c r="LPT17" s="253" t="n"/>
      <c r="LPU17" s="253" t="n"/>
      <c r="LPV17" s="253" t="n"/>
      <c r="LPW17" s="253" t="n"/>
      <c r="LPX17" s="253" t="n"/>
      <c r="LPY17" s="253" t="n"/>
      <c r="LPZ17" s="253" t="n"/>
      <c r="LQA17" s="253" t="n"/>
      <c r="LQB17" s="253" t="n"/>
      <c r="LQC17" s="253" t="n"/>
      <c r="LQD17" s="253" t="n"/>
      <c r="LQE17" s="253" t="n"/>
      <c r="LQF17" s="253" t="n"/>
      <c r="LQG17" s="253" t="n"/>
      <c r="LQH17" s="253" t="n"/>
      <c r="LQI17" s="253" t="n"/>
      <c r="LQJ17" s="253" t="n"/>
      <c r="LQK17" s="253" t="n"/>
      <c r="LQL17" s="253" t="n"/>
      <c r="LQM17" s="253" t="n"/>
      <c r="LQN17" s="253" t="n"/>
      <c r="LQO17" s="253" t="n"/>
      <c r="LQP17" s="253" t="n"/>
      <c r="LQQ17" s="253" t="n"/>
      <c r="LQR17" s="253" t="n"/>
      <c r="LQS17" s="253" t="n"/>
      <c r="LQT17" s="253" t="n"/>
      <c r="LQU17" s="253" t="n"/>
      <c r="LQV17" s="253" t="n"/>
      <c r="LQW17" s="253" t="n"/>
      <c r="LQX17" s="253" t="n"/>
      <c r="LQY17" s="253" t="n"/>
      <c r="LQZ17" s="253" t="n"/>
      <c r="LRA17" s="253" t="n"/>
      <c r="LRB17" s="253" t="n"/>
      <c r="LRC17" s="253" t="n"/>
      <c r="LRD17" s="253" t="n"/>
      <c r="LRE17" s="253" t="n"/>
      <c r="LRF17" s="253" t="n"/>
      <c r="LRG17" s="253" t="n"/>
      <c r="LRH17" s="253" t="n"/>
      <c r="LRI17" s="253" t="n"/>
      <c r="LRJ17" s="253" t="n"/>
      <c r="LRK17" s="253" t="n"/>
      <c r="LRL17" s="253" t="n"/>
      <c r="LRM17" s="253" t="n"/>
      <c r="LRN17" s="253" t="n"/>
      <c r="LRO17" s="253" t="n"/>
      <c r="LRP17" s="253" t="n"/>
      <c r="LRQ17" s="253" t="n"/>
      <c r="LRR17" s="253" t="n"/>
      <c r="LRS17" s="253" t="n"/>
      <c r="LRT17" s="253" t="n"/>
      <c r="LRU17" s="253" t="n"/>
      <c r="LRV17" s="253" t="n"/>
      <c r="LRW17" s="253" t="n"/>
      <c r="LRX17" s="253" t="n"/>
      <c r="LRY17" s="253" t="n"/>
      <c r="LRZ17" s="253" t="n"/>
      <c r="LSA17" s="253" t="n"/>
      <c r="LSB17" s="253" t="n"/>
      <c r="LSC17" s="253" t="n"/>
      <c r="LSD17" s="253" t="n"/>
      <c r="LSE17" s="253" t="n"/>
      <c r="LSF17" s="253" t="n"/>
      <c r="LSG17" s="253" t="n"/>
      <c r="LSH17" s="253" t="n"/>
      <c r="LSI17" s="253" t="n"/>
      <c r="LSJ17" s="253" t="n"/>
      <c r="LSK17" s="253" t="n"/>
      <c r="LSL17" s="253" t="n"/>
      <c r="LSM17" s="253" t="n"/>
      <c r="LSN17" s="253" t="n"/>
      <c r="LSO17" s="253" t="n"/>
      <c r="LSP17" s="253" t="n"/>
      <c r="LSQ17" s="253" t="n"/>
      <c r="LSR17" s="253" t="n"/>
      <c r="LSS17" s="253" t="n"/>
      <c r="LST17" s="253" t="n"/>
      <c r="LSU17" s="253" t="n"/>
      <c r="LSV17" s="253" t="n"/>
      <c r="LSW17" s="253" t="n"/>
      <c r="LSX17" s="253" t="n"/>
      <c r="LSY17" s="253" t="n"/>
      <c r="LSZ17" s="253" t="n"/>
      <c r="LTA17" s="253" t="n"/>
      <c r="LTB17" s="253" t="n"/>
      <c r="LTC17" s="253" t="n"/>
      <c r="LTD17" s="253" t="n"/>
      <c r="LTE17" s="253" t="n"/>
      <c r="LTF17" s="253" t="n"/>
      <c r="LTG17" s="253" t="n"/>
      <c r="LTH17" s="253" t="n"/>
      <c r="LTI17" s="253" t="n"/>
      <c r="LTJ17" s="253" t="n"/>
      <c r="LTK17" s="253" t="n"/>
      <c r="LTL17" s="253" t="n"/>
      <c r="LTM17" s="253" t="n"/>
      <c r="LTN17" s="253" t="n"/>
      <c r="LTO17" s="253" t="n"/>
      <c r="LTP17" s="253" t="n"/>
      <c r="LTQ17" s="253" t="n"/>
      <c r="LTR17" s="253" t="n"/>
      <c r="LTS17" s="253" t="n"/>
      <c r="LTT17" s="253" t="n"/>
      <c r="LTU17" s="253" t="n"/>
      <c r="LTV17" s="253" t="n"/>
      <c r="LTW17" s="253" t="n"/>
      <c r="LTX17" s="253" t="n"/>
      <c r="LTY17" s="253" t="n"/>
      <c r="LTZ17" s="253" t="n"/>
      <c r="LUA17" s="253" t="n"/>
      <c r="LUB17" s="253" t="n"/>
      <c r="LUC17" s="253" t="n"/>
      <c r="LUD17" s="253" t="n"/>
      <c r="LUE17" s="253" t="n"/>
      <c r="LUF17" s="253" t="n"/>
      <c r="LUG17" s="253" t="n"/>
      <c r="LUH17" s="253" t="n"/>
      <c r="LUI17" s="253" t="n"/>
      <c r="LUJ17" s="253" t="n"/>
      <c r="LUK17" s="253" t="n"/>
      <c r="LUL17" s="253" t="n"/>
      <c r="LUM17" s="253" t="n"/>
      <c r="LUN17" s="253" t="n"/>
      <c r="LUO17" s="253" t="n"/>
      <c r="LUP17" s="253" t="n"/>
      <c r="LUQ17" s="253" t="n"/>
      <c r="LUR17" s="253" t="n"/>
      <c r="LUS17" s="253" t="n"/>
      <c r="LUT17" s="253" t="n"/>
      <c r="LUU17" s="253" t="n"/>
      <c r="LUV17" s="253" t="n"/>
      <c r="LUW17" s="253" t="n"/>
      <c r="LUX17" s="253" t="n"/>
      <c r="LUY17" s="253" t="n"/>
      <c r="LUZ17" s="253" t="n"/>
      <c r="LVA17" s="253" t="n"/>
      <c r="LVB17" s="253" t="n"/>
      <c r="LVC17" s="253" t="n"/>
      <c r="LVD17" s="253" t="n"/>
      <c r="LVE17" s="253" t="n"/>
      <c r="LVF17" s="253" t="n"/>
      <c r="LVG17" s="253" t="n"/>
      <c r="LVH17" s="253" t="n"/>
      <c r="LVI17" s="253" t="n"/>
      <c r="LVJ17" s="253" t="n"/>
      <c r="LVK17" s="253" t="n"/>
      <c r="LVL17" s="253" t="n"/>
      <c r="LVM17" s="253" t="n"/>
      <c r="LVN17" s="253" t="n"/>
      <c r="LVO17" s="253" t="n"/>
      <c r="LVP17" s="253" t="n"/>
      <c r="LVQ17" s="253" t="n"/>
      <c r="LVR17" s="253" t="n"/>
      <c r="LVS17" s="253" t="n"/>
      <c r="LVT17" s="253" t="n"/>
      <c r="LVU17" s="253" t="n"/>
      <c r="LVV17" s="253" t="n"/>
      <c r="LVW17" s="253" t="n"/>
      <c r="LVX17" s="253" t="n"/>
      <c r="LVY17" s="253" t="n"/>
      <c r="LVZ17" s="253" t="n"/>
      <c r="LWA17" s="253" t="n"/>
      <c r="LWB17" s="253" t="n"/>
      <c r="LWC17" s="253" t="n"/>
      <c r="LWD17" s="253" t="n"/>
      <c r="LWE17" s="253" t="n"/>
      <c r="LWF17" s="253" t="n"/>
      <c r="LWG17" s="253" t="n"/>
      <c r="LWH17" s="253" t="n"/>
      <c r="LWI17" s="253" t="n"/>
      <c r="LWJ17" s="253" t="n"/>
      <c r="LWK17" s="253" t="n"/>
      <c r="LWL17" s="253" t="n"/>
      <c r="LWM17" s="253" t="n"/>
      <c r="LWN17" s="253" t="n"/>
      <c r="LWO17" s="253" t="n"/>
      <c r="LWP17" s="253" t="n"/>
      <c r="LWQ17" s="253" t="n"/>
      <c r="LWR17" s="253" t="n"/>
      <c r="LWS17" s="253" t="n"/>
      <c r="LWT17" s="253" t="n"/>
      <c r="LWU17" s="253" t="n"/>
      <c r="LWV17" s="253" t="n"/>
      <c r="LWW17" s="253" t="n"/>
      <c r="LWX17" s="253" t="n"/>
      <c r="LWY17" s="253" t="n"/>
      <c r="LWZ17" s="253" t="n"/>
      <c r="LXA17" s="253" t="n"/>
      <c r="LXB17" s="253" t="n"/>
      <c r="LXC17" s="253" t="n"/>
      <c r="LXD17" s="253" t="n"/>
      <c r="LXE17" s="253" t="n"/>
      <c r="LXF17" s="253" t="n"/>
      <c r="LXG17" s="253" t="n"/>
      <c r="LXH17" s="253" t="n"/>
      <c r="LXI17" s="253" t="n"/>
      <c r="LXJ17" s="253" t="n"/>
      <c r="LXK17" s="253" t="n"/>
      <c r="LXL17" s="253" t="n"/>
      <c r="LXM17" s="253" t="n"/>
      <c r="LXN17" s="253" t="n"/>
      <c r="LXO17" s="253" t="n"/>
      <c r="LXP17" s="253" t="n"/>
      <c r="LXQ17" s="253" t="n"/>
      <c r="LXR17" s="253" t="n"/>
      <c r="LXS17" s="253" t="n"/>
      <c r="LXT17" s="253" t="n"/>
      <c r="LXU17" s="253" t="n"/>
      <c r="LXV17" s="253" t="n"/>
      <c r="LXW17" s="253" t="n"/>
      <c r="LXX17" s="253" t="n"/>
      <c r="LXY17" s="253" t="n"/>
      <c r="LXZ17" s="253" t="n"/>
      <c r="LYA17" s="253" t="n"/>
      <c r="LYB17" s="253" t="n"/>
      <c r="LYC17" s="253" t="n"/>
      <c r="LYD17" s="253" t="n"/>
      <c r="LYE17" s="253" t="n"/>
      <c r="LYF17" s="253" t="n"/>
      <c r="LYG17" s="253" t="n"/>
      <c r="LYH17" s="253" t="n"/>
      <c r="LYI17" s="253" t="n"/>
      <c r="LYJ17" s="253" t="n"/>
      <c r="LYK17" s="253" t="n"/>
      <c r="LYL17" s="253" t="n"/>
      <c r="LYM17" s="253" t="n"/>
      <c r="LYN17" s="253" t="n"/>
      <c r="LYO17" s="253" t="n"/>
      <c r="LYP17" s="253" t="n"/>
      <c r="LYQ17" s="253" t="n"/>
      <c r="LYR17" s="253" t="n"/>
      <c r="LYS17" s="253" t="n"/>
      <c r="LYT17" s="253" t="n"/>
      <c r="LYU17" s="253" t="n"/>
      <c r="LYV17" s="253" t="n"/>
      <c r="LYW17" s="253" t="n"/>
      <c r="LYX17" s="253" t="n"/>
      <c r="LYY17" s="253" t="n"/>
      <c r="LYZ17" s="253" t="n"/>
      <c r="LZA17" s="253" t="n"/>
      <c r="LZB17" s="253" t="n"/>
      <c r="LZC17" s="253" t="n"/>
      <c r="LZD17" s="253" t="n"/>
      <c r="LZE17" s="253" t="n"/>
      <c r="LZF17" s="253" t="n"/>
      <c r="LZG17" s="253" t="n"/>
      <c r="LZH17" s="253" t="n"/>
      <c r="LZI17" s="253" t="n"/>
      <c r="LZJ17" s="253" t="n"/>
      <c r="LZK17" s="253" t="n"/>
      <c r="LZL17" s="253" t="n"/>
      <c r="LZM17" s="253" t="n"/>
      <c r="LZN17" s="253" t="n"/>
      <c r="LZO17" s="253" t="n"/>
      <c r="LZP17" s="253" t="n"/>
      <c r="LZQ17" s="253" t="n"/>
      <c r="LZR17" s="253" t="n"/>
      <c r="LZS17" s="253" t="n"/>
      <c r="LZT17" s="253" t="n"/>
      <c r="LZU17" s="253" t="n"/>
      <c r="LZV17" s="253" t="n"/>
      <c r="LZW17" s="253" t="n"/>
      <c r="LZX17" s="253" t="n"/>
      <c r="LZY17" s="253" t="n"/>
      <c r="LZZ17" s="253" t="n"/>
      <c r="MAA17" s="253" t="n"/>
      <c r="MAB17" s="253" t="n"/>
      <c r="MAC17" s="253" t="n"/>
      <c r="MAD17" s="253" t="n"/>
      <c r="MAE17" s="253" t="n"/>
      <c r="MAF17" s="253" t="n"/>
      <c r="MAG17" s="253" t="n"/>
      <c r="MAH17" s="253" t="n"/>
      <c r="MAI17" s="253" t="n"/>
      <c r="MAJ17" s="253" t="n"/>
      <c r="MAK17" s="253" t="n"/>
      <c r="MAL17" s="253" t="n"/>
      <c r="MAM17" s="253" t="n"/>
      <c r="MAN17" s="253" t="n"/>
      <c r="MAO17" s="253" t="n"/>
      <c r="MAP17" s="253" t="n"/>
      <c r="MAQ17" s="253" t="n"/>
      <c r="MAR17" s="253" t="n"/>
      <c r="MAS17" s="253" t="n"/>
      <c r="MAT17" s="253" t="n"/>
      <c r="MAU17" s="253" t="n"/>
      <c r="MAV17" s="253" t="n"/>
      <c r="MAW17" s="253" t="n"/>
      <c r="MAX17" s="253" t="n"/>
      <c r="MAY17" s="253" t="n"/>
      <c r="MAZ17" s="253" t="n"/>
      <c r="MBA17" s="253" t="n"/>
      <c r="MBB17" s="253" t="n"/>
      <c r="MBC17" s="253" t="n"/>
      <c r="MBD17" s="253" t="n"/>
      <c r="MBE17" s="253" t="n"/>
      <c r="MBF17" s="253" t="n"/>
      <c r="MBG17" s="253" t="n"/>
      <c r="MBH17" s="253" t="n"/>
      <c r="MBI17" s="253" t="n"/>
      <c r="MBJ17" s="253" t="n"/>
      <c r="MBK17" s="253" t="n"/>
      <c r="MBL17" s="253" t="n"/>
      <c r="MBM17" s="253" t="n"/>
      <c r="MBN17" s="253" t="n"/>
      <c r="MBO17" s="253" t="n"/>
      <c r="MBP17" s="253" t="n"/>
      <c r="MBQ17" s="253" t="n"/>
      <c r="MBR17" s="253" t="n"/>
      <c r="MBS17" s="253" t="n"/>
      <c r="MBT17" s="253" t="n"/>
      <c r="MBU17" s="253" t="n"/>
      <c r="MBV17" s="253" t="n"/>
      <c r="MBW17" s="253" t="n"/>
      <c r="MBX17" s="253" t="n"/>
      <c r="MBY17" s="253" t="n"/>
      <c r="MBZ17" s="253" t="n"/>
      <c r="MCA17" s="253" t="n"/>
      <c r="MCB17" s="253" t="n"/>
      <c r="MCC17" s="253" t="n"/>
      <c r="MCD17" s="253" t="n"/>
      <c r="MCE17" s="253" t="n"/>
      <c r="MCF17" s="253" t="n"/>
      <c r="MCG17" s="253" t="n"/>
      <c r="MCH17" s="253" t="n"/>
      <c r="MCI17" s="253" t="n"/>
      <c r="MCJ17" s="253" t="n"/>
      <c r="MCK17" s="253" t="n"/>
      <c r="MCL17" s="253" t="n"/>
      <c r="MCM17" s="253" t="n"/>
      <c r="MCN17" s="253" t="n"/>
      <c r="MCO17" s="253" t="n"/>
      <c r="MCP17" s="253" t="n"/>
      <c r="MCQ17" s="253" t="n"/>
      <c r="MCR17" s="253" t="n"/>
      <c r="MCS17" s="253" t="n"/>
      <c r="MCT17" s="253" t="n"/>
      <c r="MCU17" s="253" t="n"/>
      <c r="MCV17" s="253" t="n"/>
      <c r="MCW17" s="253" t="n"/>
      <c r="MCX17" s="253" t="n"/>
      <c r="MCY17" s="253" t="n"/>
      <c r="MCZ17" s="253" t="n"/>
      <c r="MDA17" s="253" t="n"/>
      <c r="MDB17" s="253" t="n"/>
      <c r="MDC17" s="253" t="n"/>
      <c r="MDD17" s="253" t="n"/>
      <c r="MDE17" s="253" t="n"/>
      <c r="MDF17" s="253" t="n"/>
      <c r="MDG17" s="253" t="n"/>
      <c r="MDH17" s="253" t="n"/>
      <c r="MDI17" s="253" t="n"/>
      <c r="MDJ17" s="253" t="n"/>
      <c r="MDK17" s="253" t="n"/>
      <c r="MDL17" s="253" t="n"/>
      <c r="MDM17" s="253" t="n"/>
      <c r="MDN17" s="253" t="n"/>
      <c r="MDO17" s="253" t="n"/>
      <c r="MDP17" s="253" t="n"/>
      <c r="MDQ17" s="253" t="n"/>
      <c r="MDR17" s="253" t="n"/>
      <c r="MDS17" s="253" t="n"/>
      <c r="MDT17" s="253" t="n"/>
      <c r="MDU17" s="253" t="n"/>
      <c r="MDV17" s="253" t="n"/>
      <c r="MDW17" s="253" t="n"/>
      <c r="MDX17" s="253" t="n"/>
      <c r="MDY17" s="253" t="n"/>
      <c r="MDZ17" s="253" t="n"/>
      <c r="MEA17" s="253" t="n"/>
      <c r="MEB17" s="253" t="n"/>
      <c r="MEC17" s="253" t="n"/>
      <c r="MED17" s="253" t="n"/>
      <c r="MEE17" s="253" t="n"/>
      <c r="MEF17" s="253" t="n"/>
      <c r="MEG17" s="253" t="n"/>
      <c r="MEH17" s="253" t="n"/>
      <c r="MEI17" s="253" t="n"/>
      <c r="MEJ17" s="253" t="n"/>
      <c r="MEK17" s="253" t="n"/>
      <c r="MEL17" s="253" t="n"/>
      <c r="MEM17" s="253" t="n"/>
      <c r="MEN17" s="253" t="n"/>
      <c r="MEO17" s="253" t="n"/>
      <c r="MEP17" s="253" t="n"/>
      <c r="MEQ17" s="253" t="n"/>
      <c r="MER17" s="253" t="n"/>
      <c r="MES17" s="253" t="n"/>
      <c r="MET17" s="253" t="n"/>
      <c r="MEU17" s="253" t="n"/>
      <c r="MEV17" s="253" t="n"/>
      <c r="MEW17" s="253" t="n"/>
      <c r="MEX17" s="253" t="n"/>
      <c r="MEY17" s="253" t="n"/>
      <c r="MEZ17" s="253" t="n"/>
      <c r="MFA17" s="253" t="n"/>
      <c r="MFB17" s="253" t="n"/>
      <c r="MFC17" s="253" t="n"/>
      <c r="MFD17" s="253" t="n"/>
      <c r="MFE17" s="253" t="n"/>
      <c r="MFF17" s="253" t="n"/>
      <c r="MFG17" s="253" t="n"/>
      <c r="MFH17" s="253" t="n"/>
      <c r="MFI17" s="253" t="n"/>
      <c r="MFJ17" s="253" t="n"/>
      <c r="MFK17" s="253" t="n"/>
      <c r="MFL17" s="253" t="n"/>
      <c r="MFM17" s="253" t="n"/>
      <c r="MFN17" s="252" t="n"/>
      <c r="MFO17" s="253" t="n"/>
      <c r="MFP17" s="253" t="n"/>
      <c r="MFQ17" s="253" t="n"/>
      <c r="MFR17" s="253" t="n"/>
      <c r="MFS17" s="253" t="n"/>
      <c r="MFT17" s="253" t="n"/>
      <c r="MFU17" s="253" t="n"/>
      <c r="MFV17" s="253" t="n"/>
      <c r="MFW17" s="253" t="n"/>
      <c r="MFX17" s="253" t="n"/>
      <c r="MFY17" s="253" t="n"/>
      <c r="MFZ17" s="253" t="n"/>
      <c r="MGA17" s="253" t="n"/>
      <c r="MGB17" s="253" t="n"/>
      <c r="MGC17" s="253" t="n"/>
      <c r="MGD17" s="253" t="n"/>
      <c r="MGE17" s="253" t="n"/>
      <c r="MGF17" s="253" t="n"/>
      <c r="MGG17" s="253" t="n"/>
      <c r="MGH17" s="253" t="n"/>
      <c r="MGI17" s="253" t="n"/>
      <c r="MGJ17" s="253" t="n"/>
      <c r="MGK17" s="253" t="n"/>
      <c r="MGL17" s="253" t="n"/>
      <c r="MGM17" s="253" t="n"/>
      <c r="MGN17" s="253" t="n"/>
      <c r="MGO17" s="253" t="n"/>
      <c r="MGP17" s="253" t="n"/>
      <c r="MGQ17" s="253" t="n"/>
      <c r="MGR17" s="253" t="n"/>
      <c r="MGS17" s="253" t="n"/>
      <c r="MGT17" s="253" t="n"/>
      <c r="MGU17" s="253" t="n"/>
      <c r="MGV17" s="253" t="n"/>
      <c r="MGW17" s="253" t="n"/>
      <c r="MGX17" s="253" t="n"/>
      <c r="MGY17" s="253" t="n"/>
      <c r="MGZ17" s="253" t="n"/>
      <c r="MHA17" s="253" t="n"/>
      <c r="MHB17" s="253" t="n"/>
      <c r="MHC17" s="253" t="n"/>
      <c r="MHD17" s="253" t="n"/>
      <c r="MHE17" s="253" t="n"/>
      <c r="MHF17" s="253" t="n"/>
      <c r="MHG17" s="253" t="n"/>
      <c r="MHH17" s="253" t="n"/>
      <c r="MHI17" s="253" t="n"/>
      <c r="MHJ17" s="253" t="n"/>
      <c r="MHK17" s="253" t="n"/>
      <c r="MHL17" s="253" t="n"/>
      <c r="MHM17" s="253" t="n"/>
      <c r="MHN17" s="253" t="n"/>
      <c r="MHO17" s="253" t="n"/>
      <c r="MHP17" s="253" t="n"/>
      <c r="MHQ17" s="253" t="n"/>
      <c r="MHR17" s="253" t="n"/>
      <c r="MHS17" s="253" t="n"/>
      <c r="MHT17" s="253" t="n"/>
      <c r="MHU17" s="253" t="n"/>
      <c r="MHV17" s="253" t="n"/>
      <c r="MHW17" s="253" t="n"/>
      <c r="MHX17" s="253" t="n"/>
      <c r="MHY17" s="253" t="n"/>
      <c r="MHZ17" s="253" t="n"/>
      <c r="MIA17" s="253" t="n"/>
      <c r="MIB17" s="253" t="n"/>
      <c r="MIC17" s="253" t="n"/>
      <c r="MID17" s="253" t="n"/>
      <c r="MIE17" s="253" t="n"/>
      <c r="MIF17" s="253" t="n"/>
      <c r="MIG17" s="253" t="n"/>
      <c r="MIH17" s="253" t="n"/>
      <c r="MII17" s="253" t="n"/>
      <c r="MIJ17" s="253" t="n"/>
      <c r="MIK17" s="253" t="n"/>
      <c r="MIL17" s="253" t="n"/>
      <c r="MIM17" s="253" t="n"/>
      <c r="MIN17" s="253" t="n"/>
      <c r="MIO17" s="253" t="n"/>
      <c r="MIP17" s="253" t="n"/>
      <c r="MIQ17" s="253" t="n"/>
      <c r="MIR17" s="253" t="n"/>
      <c r="MIS17" s="253" t="n"/>
      <c r="MIT17" s="253" t="n"/>
      <c r="MIU17" s="253" t="n"/>
      <c r="MIV17" s="253" t="n"/>
      <c r="MIW17" s="253" t="n"/>
      <c r="MIX17" s="253" t="n"/>
      <c r="MIY17" s="253" t="n"/>
      <c r="MIZ17" s="253" t="n"/>
      <c r="MJA17" s="253" t="n"/>
      <c r="MJB17" s="253" t="n"/>
      <c r="MJC17" s="253" t="n"/>
      <c r="MJD17" s="253" t="n"/>
      <c r="MJE17" s="253" t="n"/>
      <c r="MJF17" s="253" t="n"/>
      <c r="MJG17" s="253" t="n"/>
      <c r="MJH17" s="253" t="n"/>
      <c r="MJI17" s="253" t="n"/>
      <c r="MJJ17" s="253" t="n"/>
      <c r="MJK17" s="253" t="n"/>
      <c r="MJL17" s="253" t="n"/>
      <c r="MJM17" s="253" t="n"/>
      <c r="MJN17" s="253" t="n"/>
      <c r="MJO17" s="253" t="n"/>
      <c r="MJP17" s="253" t="n"/>
      <c r="MJQ17" s="253" t="n"/>
      <c r="MJR17" s="253" t="n"/>
      <c r="MJS17" s="253" t="n"/>
      <c r="MJT17" s="253" t="n"/>
      <c r="MJU17" s="253" t="n"/>
      <c r="MJV17" s="253" t="n"/>
      <c r="MJW17" s="253" t="n"/>
      <c r="MJX17" s="253" t="n"/>
      <c r="MJY17" s="253" t="n"/>
      <c r="MJZ17" s="253" t="n"/>
      <c r="MKA17" s="253" t="n"/>
      <c r="MKB17" s="253" t="n"/>
      <c r="MKC17" s="253" t="n"/>
      <c r="MKD17" s="253" t="n"/>
      <c r="MKE17" s="253" t="n"/>
      <c r="MKF17" s="253" t="n"/>
      <c r="MKG17" s="253" t="n"/>
      <c r="MKH17" s="253" t="n"/>
      <c r="MKI17" s="253" t="n"/>
      <c r="MKJ17" s="253" t="n"/>
      <c r="MKK17" s="253" t="n"/>
      <c r="MKL17" s="253" t="n"/>
      <c r="MKM17" s="253" t="n"/>
      <c r="MKN17" s="253" t="n"/>
      <c r="MKO17" s="253" t="n"/>
      <c r="MKP17" s="253" t="n"/>
      <c r="MKQ17" s="253" t="n"/>
      <c r="MKR17" s="253" t="n"/>
      <c r="MKS17" s="253" t="n"/>
      <c r="MKT17" s="253" t="n"/>
      <c r="MKU17" s="253" t="n"/>
      <c r="MKV17" s="253" t="n"/>
      <c r="MKW17" s="253" t="n"/>
      <c r="MKX17" s="253" t="n"/>
      <c r="MKY17" s="253" t="n"/>
      <c r="MKZ17" s="253" t="n"/>
      <c r="MLA17" s="253" t="n"/>
      <c r="MLB17" s="253" t="n"/>
      <c r="MLC17" s="253" t="n"/>
      <c r="MLD17" s="253" t="n"/>
      <c r="MLE17" s="253" t="n"/>
      <c r="MLF17" s="253" t="n"/>
      <c r="MLG17" s="253" t="n"/>
      <c r="MLH17" s="253" t="n"/>
      <c r="MLI17" s="253" t="n"/>
      <c r="MLJ17" s="253" t="n"/>
      <c r="MLK17" s="253" t="n"/>
      <c r="MLL17" s="253" t="n"/>
      <c r="MLM17" s="253" t="n"/>
      <c r="MLN17" s="253" t="n"/>
      <c r="MLO17" s="253" t="n"/>
      <c r="MLP17" s="253" t="n"/>
      <c r="MLQ17" s="253" t="n"/>
      <c r="MLR17" s="253" t="n"/>
      <c r="MLS17" s="253" t="n"/>
      <c r="MLT17" s="253" t="n"/>
      <c r="MLU17" s="253" t="n"/>
      <c r="MLV17" s="253" t="n"/>
      <c r="MLW17" s="253" t="n"/>
      <c r="MLX17" s="253" t="n"/>
      <c r="MLY17" s="253" t="n"/>
      <c r="MLZ17" s="253" t="n"/>
      <c r="MMA17" s="253" t="n"/>
      <c r="MMB17" s="253" t="n"/>
      <c r="MMC17" s="253" t="n"/>
      <c r="MMD17" s="253" t="n"/>
      <c r="MME17" s="253" t="n"/>
      <c r="MMF17" s="253" t="n"/>
      <c r="MMG17" s="253" t="n"/>
      <c r="MMH17" s="253" t="n"/>
      <c r="MMI17" s="253" t="n"/>
      <c r="MMJ17" s="253" t="n"/>
      <c r="MMK17" s="253" t="n"/>
      <c r="MML17" s="253" t="n"/>
      <c r="MMM17" s="253" t="n"/>
      <c r="MMN17" s="253" t="n"/>
      <c r="MMO17" s="253" t="n"/>
      <c r="MMP17" s="253" t="n"/>
      <c r="MMQ17" s="253" t="n"/>
      <c r="MMR17" s="253" t="n"/>
      <c r="MMS17" s="253" t="n"/>
      <c r="MMT17" s="253" t="n"/>
      <c r="MMU17" s="253" t="n"/>
      <c r="MMV17" s="253" t="n"/>
      <c r="MMW17" s="253" t="n"/>
      <c r="MMX17" s="253" t="n"/>
      <c r="MMY17" s="253" t="n"/>
      <c r="MMZ17" s="253" t="n"/>
      <c r="MNA17" s="253" t="n"/>
      <c r="MNB17" s="253" t="n"/>
      <c r="MNC17" s="253" t="n"/>
      <c r="MND17" s="253" t="n"/>
      <c r="MNE17" s="253" t="n"/>
      <c r="MNF17" s="253" t="n"/>
      <c r="MNG17" s="253" t="n"/>
      <c r="MNH17" s="253" t="n"/>
      <c r="MNI17" s="253" t="n"/>
      <c r="MNJ17" s="253" t="n"/>
      <c r="MNK17" s="253" t="n"/>
      <c r="MNL17" s="253" t="n"/>
      <c r="MNM17" s="253" t="n"/>
      <c r="MNN17" s="253" t="n"/>
      <c r="MNO17" s="253" t="n"/>
      <c r="MNP17" s="253" t="n"/>
      <c r="MNQ17" s="253" t="n"/>
      <c r="MNR17" s="253" t="n"/>
      <c r="MNS17" s="253" t="n"/>
      <c r="MNT17" s="253" t="n"/>
      <c r="MNU17" s="253" t="n"/>
      <c r="MNV17" s="253" t="n"/>
      <c r="MNW17" s="253" t="n"/>
      <c r="MNX17" s="253" t="n"/>
      <c r="MNY17" s="253" t="n"/>
      <c r="MNZ17" s="253" t="n"/>
      <c r="MOA17" s="253" t="n"/>
      <c r="MOB17" s="253" t="n"/>
      <c r="MOC17" s="253" t="n"/>
      <c r="MOD17" s="253" t="n"/>
      <c r="MOE17" s="253" t="n"/>
      <c r="MOF17" s="253" t="n"/>
      <c r="MOG17" s="253" t="n"/>
      <c r="MOH17" s="253" t="n"/>
      <c r="MOI17" s="253" t="n"/>
      <c r="MOJ17" s="253" t="n"/>
      <c r="MOK17" s="253" t="n"/>
      <c r="MOL17" s="253" t="n"/>
      <c r="MOM17" s="253" t="n"/>
      <c r="MON17" s="253" t="n"/>
      <c r="MOO17" s="253" t="n"/>
      <c r="MOP17" s="253" t="n"/>
      <c r="MOQ17" s="253" t="n"/>
      <c r="MOR17" s="253" t="n"/>
      <c r="MOS17" s="253" t="n"/>
      <c r="MOT17" s="253" t="n"/>
      <c r="MOU17" s="253" t="n"/>
      <c r="MOV17" s="253" t="n"/>
      <c r="MOW17" s="253" t="n"/>
      <c r="MOX17" s="253" t="n"/>
      <c r="MOY17" s="253" t="n"/>
      <c r="MOZ17" s="253" t="n"/>
      <c r="MPA17" s="253" t="n"/>
      <c r="MPB17" s="253" t="n"/>
      <c r="MPC17" s="253" t="n"/>
      <c r="MPD17" s="253" t="n"/>
      <c r="MPE17" s="253" t="n"/>
      <c r="MPF17" s="253" t="n"/>
      <c r="MPG17" s="253" t="n"/>
      <c r="MPH17" s="253" t="n"/>
      <c r="MPI17" s="253" t="n"/>
      <c r="MPJ17" s="253" t="n"/>
      <c r="MPK17" s="253" t="n"/>
      <c r="MPL17" s="253" t="n"/>
      <c r="MPM17" s="253" t="n"/>
      <c r="MPN17" s="253" t="n"/>
      <c r="MPO17" s="253" t="n"/>
      <c r="MPP17" s="253" t="n"/>
      <c r="MPQ17" s="253" t="n"/>
      <c r="MPR17" s="253" t="n"/>
      <c r="MPS17" s="253" t="n"/>
      <c r="MPT17" s="253" t="n"/>
      <c r="MPU17" s="253" t="n"/>
      <c r="MPV17" s="253" t="n"/>
      <c r="MPW17" s="253" t="n"/>
      <c r="MPX17" s="253" t="n"/>
      <c r="MPY17" s="253" t="n"/>
      <c r="MPZ17" s="253" t="n"/>
      <c r="MQA17" s="253" t="n"/>
      <c r="MQB17" s="253" t="n"/>
      <c r="MQC17" s="253" t="n"/>
      <c r="MQD17" s="253" t="n"/>
      <c r="MQE17" s="253" t="n"/>
      <c r="MQF17" s="253" t="n"/>
      <c r="MQG17" s="253" t="n"/>
      <c r="MQH17" s="253" t="n"/>
      <c r="MQI17" s="253" t="n"/>
      <c r="MQJ17" s="253" t="n"/>
      <c r="MQK17" s="253" t="n"/>
      <c r="MQL17" s="253" t="n"/>
      <c r="MQM17" s="253" t="n"/>
      <c r="MQN17" s="253" t="n"/>
      <c r="MQO17" s="253" t="n"/>
      <c r="MQP17" s="253" t="n"/>
      <c r="MQQ17" s="253" t="n"/>
      <c r="MQR17" s="253" t="n"/>
      <c r="MQS17" s="253" t="n"/>
      <c r="MQT17" s="253" t="n"/>
      <c r="MQU17" s="253" t="n"/>
      <c r="MQV17" s="253" t="n"/>
      <c r="MQW17" s="253" t="n"/>
      <c r="MQX17" s="253" t="n"/>
      <c r="MQY17" s="253" t="n"/>
      <c r="MQZ17" s="253" t="n"/>
      <c r="MRA17" s="253" t="n"/>
      <c r="MRB17" s="253" t="n"/>
      <c r="MRC17" s="253" t="n"/>
      <c r="MRD17" s="253" t="n"/>
      <c r="MRE17" s="253" t="n"/>
      <c r="MRF17" s="253" t="n"/>
      <c r="MRG17" s="253" t="n"/>
      <c r="MRH17" s="253" t="n"/>
      <c r="MRI17" s="253" t="n"/>
      <c r="MRJ17" s="253" t="n"/>
      <c r="MRK17" s="253" t="n"/>
      <c r="MRL17" s="253" t="n"/>
      <c r="MRM17" s="253" t="n"/>
      <c r="MRN17" s="253" t="n"/>
      <c r="MRO17" s="253" t="n"/>
      <c r="MRP17" s="253" t="n"/>
      <c r="MRQ17" s="253" t="n"/>
      <c r="MRR17" s="253" t="n"/>
      <c r="MRS17" s="253" t="n"/>
      <c r="MRT17" s="253" t="n"/>
      <c r="MRU17" s="253" t="n"/>
      <c r="MRV17" s="253" t="n"/>
      <c r="MRW17" s="253" t="n"/>
      <c r="MRX17" s="253" t="n"/>
      <c r="MRY17" s="253" t="n"/>
      <c r="MRZ17" s="253" t="n"/>
      <c r="MSA17" s="253" t="n"/>
      <c r="MSB17" s="253" t="n"/>
      <c r="MSC17" s="253" t="n"/>
      <c r="MSD17" s="253" t="n"/>
      <c r="MSE17" s="253" t="n"/>
      <c r="MSF17" s="253" t="n"/>
      <c r="MSG17" s="253" t="n"/>
      <c r="MSH17" s="253" t="n"/>
      <c r="MSI17" s="253" t="n"/>
      <c r="MSJ17" s="253" t="n"/>
      <c r="MSK17" s="253" t="n"/>
      <c r="MSL17" s="253" t="n"/>
      <c r="MSM17" s="253" t="n"/>
      <c r="MSN17" s="253" t="n"/>
      <c r="MSO17" s="253" t="n"/>
      <c r="MSP17" s="253" t="n"/>
      <c r="MSQ17" s="253" t="n"/>
      <c r="MSR17" s="253" t="n"/>
      <c r="MSS17" s="253" t="n"/>
      <c r="MST17" s="253" t="n"/>
      <c r="MSU17" s="253" t="n"/>
      <c r="MSV17" s="253" t="n"/>
      <c r="MSW17" s="253" t="n"/>
      <c r="MSX17" s="253" t="n"/>
      <c r="MSY17" s="253" t="n"/>
      <c r="MSZ17" s="253" t="n"/>
      <c r="MTA17" s="253" t="n"/>
      <c r="MTB17" s="253" t="n"/>
      <c r="MTC17" s="253" t="n"/>
      <c r="MTD17" s="253" t="n"/>
      <c r="MTE17" s="253" t="n"/>
      <c r="MTF17" s="253" t="n"/>
      <c r="MTG17" s="253" t="n"/>
      <c r="MTH17" s="253" t="n"/>
      <c r="MTI17" s="253" t="n"/>
      <c r="MTJ17" s="253" t="n"/>
      <c r="MTK17" s="253" t="n"/>
      <c r="MTL17" s="253" t="n"/>
      <c r="MTM17" s="253" t="n"/>
      <c r="MTN17" s="253" t="n"/>
      <c r="MTO17" s="253" t="n"/>
      <c r="MTP17" s="253" t="n"/>
      <c r="MTQ17" s="253" t="n"/>
      <c r="MTR17" s="253" t="n"/>
      <c r="MTS17" s="253" t="n"/>
      <c r="MTT17" s="253" t="n"/>
      <c r="MTU17" s="253" t="n"/>
      <c r="MTV17" s="253" t="n"/>
      <c r="MTW17" s="253" t="n"/>
      <c r="MTX17" s="253" t="n"/>
      <c r="MTY17" s="253" t="n"/>
      <c r="MTZ17" s="253" t="n"/>
      <c r="MUA17" s="253" t="n"/>
      <c r="MUB17" s="253" t="n"/>
      <c r="MUC17" s="253" t="n"/>
      <c r="MUD17" s="253" t="n"/>
      <c r="MUE17" s="253" t="n"/>
      <c r="MUF17" s="253" t="n"/>
      <c r="MUG17" s="253" t="n"/>
      <c r="MUH17" s="253" t="n"/>
      <c r="MUI17" s="253" t="n"/>
      <c r="MUJ17" s="253" t="n"/>
      <c r="MUK17" s="253" t="n"/>
      <c r="MUL17" s="253" t="n"/>
      <c r="MUM17" s="253" t="n"/>
      <c r="MUN17" s="253" t="n"/>
      <c r="MUO17" s="253" t="n"/>
      <c r="MUP17" s="253" t="n"/>
      <c r="MUQ17" s="253" t="n"/>
      <c r="MUR17" s="253" t="n"/>
      <c r="MUS17" s="253" t="n"/>
      <c r="MUT17" s="253" t="n"/>
      <c r="MUU17" s="253" t="n"/>
      <c r="MUV17" s="253" t="n"/>
      <c r="MUW17" s="253" t="n"/>
      <c r="MUX17" s="253" t="n"/>
      <c r="MUY17" s="253" t="n"/>
      <c r="MUZ17" s="253" t="n"/>
      <c r="MVA17" s="253" t="n"/>
      <c r="MVB17" s="253" t="n"/>
      <c r="MVC17" s="253" t="n"/>
      <c r="MVD17" s="253" t="n"/>
      <c r="MVE17" s="253" t="n"/>
      <c r="MVF17" s="253" t="n"/>
      <c r="MVG17" s="253" t="n"/>
      <c r="MVH17" s="253" t="n"/>
      <c r="MVI17" s="253" t="n"/>
      <c r="MVJ17" s="253" t="n"/>
      <c r="MVK17" s="253" t="n"/>
      <c r="MVL17" s="253" t="n"/>
      <c r="MVM17" s="253" t="n"/>
      <c r="MVN17" s="253" t="n"/>
      <c r="MVO17" s="253" t="n"/>
      <c r="MVP17" s="253" t="n"/>
      <c r="MVQ17" s="253" t="n"/>
      <c r="MVR17" s="253" t="n"/>
      <c r="MVS17" s="253" t="n"/>
      <c r="MVT17" s="253" t="n"/>
      <c r="MVU17" s="253" t="n"/>
      <c r="MVV17" s="253" t="n"/>
      <c r="MVW17" s="253" t="n"/>
      <c r="MVX17" s="253" t="n"/>
      <c r="MVY17" s="253" t="n"/>
      <c r="MVZ17" s="253" t="n"/>
      <c r="MWA17" s="253" t="n"/>
      <c r="MWB17" s="253" t="n"/>
      <c r="MWC17" s="253" t="n"/>
      <c r="MWD17" s="253" t="n"/>
      <c r="MWE17" s="253" t="n"/>
      <c r="MWF17" s="253" t="n"/>
      <c r="MWG17" s="253" t="n"/>
      <c r="MWH17" s="253" t="n"/>
      <c r="MWI17" s="253" t="n"/>
      <c r="MWJ17" s="253" t="n"/>
      <c r="MWK17" s="253" t="n"/>
      <c r="MWL17" s="253" t="n"/>
      <c r="MWM17" s="253" t="n"/>
      <c r="MWN17" s="253" t="n"/>
      <c r="MWO17" s="253" t="n"/>
      <c r="MWP17" s="253" t="n"/>
      <c r="MWQ17" s="253" t="n"/>
      <c r="MWR17" s="253" t="n"/>
      <c r="MWS17" s="253" t="n"/>
      <c r="MWT17" s="253" t="n"/>
      <c r="MWU17" s="253" t="n"/>
      <c r="MWV17" s="253" t="n"/>
      <c r="MWW17" s="253" t="n"/>
      <c r="MWX17" s="253" t="n"/>
      <c r="MWY17" s="253" t="n"/>
      <c r="MWZ17" s="253" t="n"/>
      <c r="MXA17" s="253" t="n"/>
      <c r="MXB17" s="253" t="n"/>
      <c r="MXC17" s="253" t="n"/>
      <c r="MXD17" s="253" t="n"/>
      <c r="MXE17" s="253" t="n"/>
      <c r="MXF17" s="253" t="n"/>
      <c r="MXG17" s="253" t="n"/>
      <c r="MXH17" s="253" t="n"/>
      <c r="MXI17" s="253" t="n"/>
      <c r="MXJ17" s="253" t="n"/>
      <c r="MXK17" s="253" t="n"/>
      <c r="MXL17" s="253" t="n"/>
      <c r="MXM17" s="253" t="n"/>
      <c r="MXN17" s="253" t="n"/>
      <c r="MXO17" s="253" t="n"/>
      <c r="MXP17" s="253" t="n"/>
      <c r="MXQ17" s="253" t="n"/>
      <c r="MXR17" s="253" t="n"/>
      <c r="MXS17" s="253" t="n"/>
      <c r="MXT17" s="253" t="n"/>
      <c r="MXU17" s="253" t="n"/>
      <c r="MXV17" s="253" t="n"/>
      <c r="MXW17" s="253" t="n"/>
      <c r="MXX17" s="253" t="n"/>
      <c r="MXY17" s="253" t="n"/>
      <c r="MXZ17" s="253" t="n"/>
      <c r="MYA17" s="253" t="n"/>
      <c r="MYB17" s="253" t="n"/>
      <c r="MYC17" s="253" t="n"/>
      <c r="MYD17" s="253" t="n"/>
      <c r="MYE17" s="253" t="n"/>
      <c r="MYF17" s="253" t="n"/>
      <c r="MYG17" s="253" t="n"/>
      <c r="MYH17" s="253" t="n"/>
      <c r="MYI17" s="253" t="n"/>
      <c r="MYJ17" s="253" t="n"/>
      <c r="MYK17" s="253" t="n"/>
      <c r="MYL17" s="253" t="n"/>
      <c r="MYM17" s="253" t="n"/>
      <c r="MYN17" s="253" t="n"/>
      <c r="MYO17" s="253" t="n"/>
      <c r="MYP17" s="253" t="n"/>
      <c r="MYQ17" s="253" t="n"/>
      <c r="MYR17" s="253" t="n"/>
      <c r="MYS17" s="253" t="n"/>
      <c r="MYT17" s="253" t="n"/>
      <c r="MYU17" s="253" t="n"/>
      <c r="MYV17" s="253" t="n"/>
      <c r="MYW17" s="253" t="n"/>
      <c r="MYX17" s="253" t="n"/>
      <c r="MYY17" s="253" t="n"/>
      <c r="MYZ17" s="253" t="n"/>
      <c r="MZA17" s="253" t="n"/>
      <c r="MZB17" s="253" t="n"/>
      <c r="MZC17" s="253" t="n"/>
      <c r="MZD17" s="253" t="n"/>
      <c r="MZE17" s="253" t="n"/>
      <c r="MZF17" s="253" t="n"/>
      <c r="MZG17" s="253" t="n"/>
      <c r="MZH17" s="253" t="n"/>
      <c r="MZI17" s="253" t="n"/>
      <c r="MZJ17" s="253" t="n"/>
      <c r="MZK17" s="253" t="n"/>
      <c r="MZL17" s="253" t="n"/>
      <c r="MZM17" s="253" t="n"/>
      <c r="MZN17" s="253" t="n"/>
      <c r="MZO17" s="253" t="n"/>
      <c r="MZP17" s="253" t="n"/>
      <c r="MZQ17" s="253" t="n"/>
      <c r="MZR17" s="253" t="n"/>
      <c r="MZS17" s="253" t="n"/>
      <c r="MZT17" s="253" t="n"/>
      <c r="MZU17" s="253" t="n"/>
      <c r="MZV17" s="253" t="n"/>
      <c r="MZW17" s="253" t="n"/>
      <c r="MZX17" s="253" t="n"/>
      <c r="MZY17" s="253" t="n"/>
      <c r="MZZ17" s="253" t="n"/>
      <c r="NAA17" s="253" t="n"/>
      <c r="NAB17" s="253" t="n"/>
      <c r="NAC17" s="253" t="n"/>
      <c r="NAD17" s="253" t="n"/>
      <c r="NAE17" s="253" t="n"/>
      <c r="NAF17" s="253" t="n"/>
      <c r="NAG17" s="253" t="n"/>
      <c r="NAH17" s="253" t="n"/>
      <c r="NAI17" s="253" t="n"/>
      <c r="NAJ17" s="253" t="n"/>
      <c r="NAK17" s="253" t="n"/>
      <c r="NAL17" s="253" t="n"/>
      <c r="NAM17" s="253" t="n"/>
      <c r="NAN17" s="253" t="n"/>
      <c r="NAO17" s="253" t="n"/>
      <c r="NAP17" s="253" t="n"/>
      <c r="NAQ17" s="253" t="n"/>
      <c r="NAR17" s="253" t="n"/>
      <c r="NAS17" s="253" t="n"/>
      <c r="NAT17" s="253" t="n"/>
      <c r="NAU17" s="253" t="n"/>
      <c r="NAV17" s="253" t="n"/>
      <c r="NAW17" s="253" t="n"/>
      <c r="NAX17" s="253" t="n"/>
      <c r="NAY17" s="253" t="n"/>
      <c r="NAZ17" s="253" t="n"/>
      <c r="NBA17" s="253" t="n"/>
      <c r="NBB17" s="253" t="n"/>
      <c r="NBC17" s="253" t="n"/>
      <c r="NBD17" s="253" t="n"/>
      <c r="NBE17" s="253" t="n"/>
      <c r="NBF17" s="253" t="n"/>
      <c r="NBG17" s="253" t="n"/>
      <c r="NBH17" s="253" t="n"/>
      <c r="NBI17" s="253" t="n"/>
      <c r="NBJ17" s="253" t="n"/>
      <c r="NBK17" s="253" t="n"/>
      <c r="NBL17" s="253" t="n"/>
      <c r="NBM17" s="253" t="n"/>
      <c r="NBN17" s="253" t="n"/>
      <c r="NBO17" s="253" t="n"/>
      <c r="NBP17" s="253" t="n"/>
      <c r="NBQ17" s="253" t="n"/>
      <c r="NBR17" s="253" t="n"/>
      <c r="NBS17" s="253" t="n"/>
      <c r="NBT17" s="253" t="n"/>
      <c r="NBU17" s="253" t="n"/>
      <c r="NBV17" s="253" t="n"/>
      <c r="NBW17" s="253" t="n"/>
      <c r="NBX17" s="253" t="n"/>
      <c r="NBY17" s="253" t="n"/>
      <c r="NBZ17" s="253" t="n"/>
      <c r="NCA17" s="253" t="n"/>
      <c r="NCB17" s="253" t="n"/>
      <c r="NCC17" s="253" t="n"/>
      <c r="NCD17" s="253" t="n"/>
      <c r="NCE17" s="253" t="n"/>
      <c r="NCF17" s="253" t="n"/>
      <c r="NCG17" s="253" t="n"/>
      <c r="NCH17" s="253" t="n"/>
      <c r="NCI17" s="253" t="n"/>
      <c r="NCJ17" s="253" t="n"/>
      <c r="NCK17" s="253" t="n"/>
      <c r="NCL17" s="253" t="n"/>
      <c r="NCM17" s="253" t="n"/>
      <c r="NCN17" s="253" t="n"/>
      <c r="NCO17" s="253" t="n"/>
      <c r="NCP17" s="253" t="n"/>
      <c r="NCQ17" s="253" t="n"/>
      <c r="NCR17" s="253" t="n"/>
      <c r="NCS17" s="253" t="n"/>
      <c r="NCT17" s="253" t="n"/>
      <c r="NCU17" s="253" t="n"/>
      <c r="NCV17" s="253" t="n"/>
      <c r="NCW17" s="253" t="n"/>
      <c r="NCX17" s="253" t="n"/>
      <c r="NCY17" s="253" t="n"/>
      <c r="NCZ17" s="253" t="n"/>
      <c r="NDA17" s="253" t="n"/>
      <c r="NDB17" s="253" t="n"/>
      <c r="NDC17" s="253" t="n"/>
      <c r="NDD17" s="253" t="n"/>
      <c r="NDE17" s="253" t="n"/>
      <c r="NDF17" s="253" t="n"/>
      <c r="NDG17" s="253" t="n"/>
      <c r="NDH17" s="253" t="n"/>
      <c r="NDI17" s="253" t="n"/>
      <c r="NDJ17" s="253" t="n"/>
      <c r="NDK17" s="253" t="n"/>
      <c r="NDL17" s="253" t="n"/>
      <c r="NDM17" s="253" t="n"/>
      <c r="NDN17" s="253" t="n"/>
      <c r="NDO17" s="253" t="n"/>
      <c r="NDP17" s="253" t="n"/>
      <c r="NDQ17" s="253" t="n"/>
      <c r="NDR17" s="253" t="n"/>
      <c r="NDS17" s="253" t="n"/>
      <c r="NDT17" s="253" t="n"/>
      <c r="NDU17" s="253" t="n"/>
      <c r="NDV17" s="253" t="n"/>
      <c r="NDW17" s="253" t="n"/>
      <c r="NDX17" s="253" t="n"/>
      <c r="NDY17" s="253" t="n"/>
      <c r="NDZ17" s="253" t="n"/>
      <c r="NEA17" s="253" t="n"/>
      <c r="NEB17" s="253" t="n"/>
      <c r="NEC17" s="253" t="n"/>
      <c r="NED17" s="253" t="n"/>
      <c r="NEE17" s="253" t="n"/>
      <c r="NEF17" s="253" t="n"/>
      <c r="NEG17" s="253" t="n"/>
      <c r="NEH17" s="253" t="n"/>
      <c r="NEI17" s="253" t="n"/>
      <c r="NEJ17" s="253" t="n"/>
      <c r="NEK17" s="253" t="n"/>
      <c r="NEL17" s="253" t="n"/>
      <c r="NEM17" s="253" t="n"/>
      <c r="NEN17" s="253" t="n"/>
      <c r="NEO17" s="253" t="n"/>
      <c r="NEP17" s="253" t="n"/>
      <c r="NEQ17" s="253" t="n"/>
      <c r="NER17" s="253" t="n"/>
      <c r="NES17" s="253" t="n"/>
      <c r="NET17" s="253" t="n"/>
      <c r="NEU17" s="253" t="n"/>
      <c r="NEV17" s="253" t="n"/>
      <c r="NEW17" s="253" t="n"/>
      <c r="NEX17" s="253" t="n"/>
      <c r="NEY17" s="253" t="n"/>
      <c r="NEZ17" s="253" t="n"/>
      <c r="NFA17" s="253" t="n"/>
      <c r="NFB17" s="253" t="n"/>
      <c r="NFC17" s="253" t="n"/>
      <c r="NFD17" s="253" t="n"/>
      <c r="NFE17" s="253" t="n"/>
      <c r="NFF17" s="253" t="n"/>
      <c r="NFG17" s="253" t="n"/>
      <c r="NFH17" s="253" t="n"/>
      <c r="NFI17" s="253" t="n"/>
      <c r="NFJ17" s="253" t="n"/>
      <c r="NFK17" s="253" t="n"/>
      <c r="NFL17" s="253" t="n"/>
      <c r="NFM17" s="253" t="n"/>
      <c r="NFN17" s="253" t="n"/>
      <c r="NFO17" s="253" t="n"/>
      <c r="NFP17" s="87" t="n"/>
    </row>
    <row r="18">
      <c r="KFK18" s="253" t="n"/>
      <c r="KFL18" s="253" t="n"/>
      <c r="KFM18" s="253" t="n"/>
      <c r="KFN18" s="253" t="n"/>
      <c r="KFO18" s="253" t="n"/>
      <c r="KFP18" s="253" t="n"/>
      <c r="KFQ18" s="253" t="n"/>
      <c r="KFR18" s="253" t="n"/>
      <c r="KFS18" s="253" t="n"/>
      <c r="KFT18" s="253" t="n"/>
      <c r="KFU18" s="253" t="n"/>
      <c r="KFV18" s="253" t="n"/>
      <c r="KFW18" s="253" t="n"/>
      <c r="KFX18" s="253" t="n"/>
      <c r="KFY18" s="253" t="n"/>
      <c r="KFZ18" s="253" t="n"/>
      <c r="KGA18" s="253" t="n"/>
      <c r="KGB18" s="253" t="n"/>
      <c r="KGC18" s="253" t="n"/>
      <c r="KGD18" s="253" t="n"/>
      <c r="KGE18" s="253" t="n"/>
      <c r="KGF18" s="253" t="n"/>
      <c r="KGG18" s="253" t="n"/>
      <c r="KGH18" s="253" t="n"/>
      <c r="KGI18" s="253" t="n"/>
      <c r="KGJ18" s="253" t="n"/>
      <c r="KGK18" s="253" t="n"/>
      <c r="KGL18" s="253" t="n"/>
      <c r="KGM18" s="253" t="n"/>
      <c r="KGN18" s="253" t="n"/>
      <c r="KGO18" s="253" t="n"/>
      <c r="KGP18" s="253" t="n"/>
      <c r="KGQ18" s="253" t="n"/>
      <c r="KGR18" s="253" t="n"/>
      <c r="KGS18" s="253" t="n"/>
      <c r="KGT18" s="253" t="n"/>
      <c r="KGU18" s="253" t="n"/>
      <c r="KGV18" s="253" t="n"/>
      <c r="KGW18" s="253" t="n"/>
      <c r="KGX18" s="253" t="n"/>
      <c r="KGY18" s="253" t="n"/>
      <c r="KGZ18" s="253" t="n"/>
      <c r="KHA18" s="253" t="n"/>
      <c r="KHB18" s="253" t="n"/>
      <c r="KHC18" s="253" t="n"/>
      <c r="KHD18" s="253" t="n"/>
      <c r="KHE18" s="253" t="n"/>
      <c r="KHF18" s="253" t="n"/>
      <c r="KHG18" s="253" t="n"/>
      <c r="KHH18" s="253" t="n"/>
      <c r="KHI18" s="253" t="n"/>
      <c r="KHJ18" s="253" t="n"/>
      <c r="KHK18" s="253" t="n"/>
      <c r="KHL18" s="253" t="n"/>
      <c r="KHM18" s="253" t="n"/>
      <c r="KHN18" s="253" t="n"/>
      <c r="KHO18" s="253" t="n"/>
      <c r="KHP18" s="253" t="n"/>
      <c r="KHQ18" s="253" t="n"/>
      <c r="KHR18" s="253" t="n"/>
      <c r="KHS18" s="253" t="n"/>
      <c r="KHT18" s="253" t="n"/>
      <c r="KHU18" s="253" t="n"/>
      <c r="KHV18" s="253" t="n"/>
      <c r="KHW18" s="253" t="n"/>
      <c r="KHX18" s="253" t="n"/>
      <c r="KHY18" s="253" t="n"/>
      <c r="KHZ18" s="253" t="n"/>
      <c r="KIA18" s="253" t="n"/>
      <c r="KIB18" s="253" t="n"/>
      <c r="KIC18" s="253" t="n"/>
      <c r="KID18" s="253" t="n"/>
      <c r="KIE18" s="253" t="n"/>
      <c r="KIF18" s="253" t="n"/>
      <c r="KIG18" s="253" t="n"/>
      <c r="KIH18" s="253" t="n"/>
      <c r="KII18" s="253" t="n"/>
      <c r="KIJ18" s="253" t="n"/>
      <c r="KIK18" s="253" t="n"/>
      <c r="KIL18" s="253" t="n"/>
      <c r="KIM18" s="253" t="n"/>
      <c r="KIN18" s="253" t="n"/>
      <c r="KIO18" s="253" t="n"/>
      <c r="KIP18" s="253" t="n"/>
      <c r="KIQ18" s="253" t="n"/>
      <c r="KIR18" s="253" t="n"/>
      <c r="KIS18" s="253" t="n"/>
      <c r="KIT18" s="253" t="n"/>
      <c r="KIU18" s="253" t="n"/>
      <c r="KIV18" s="253" t="n"/>
      <c r="KIW18" s="253" t="n"/>
      <c r="KIX18" s="253" t="n"/>
      <c r="KIY18" s="253" t="n"/>
      <c r="KIZ18" s="253" t="n"/>
      <c r="KJA18" s="253" t="n"/>
      <c r="KJB18" s="253" t="n"/>
      <c r="KJC18" s="253" t="n"/>
      <c r="KJD18" s="253" t="n"/>
      <c r="KJE18" s="253" t="n"/>
      <c r="KJF18" s="253" t="n"/>
      <c r="KJG18" s="253" t="n"/>
      <c r="KJH18" s="253" t="n"/>
      <c r="KJI18" s="253" t="n"/>
      <c r="KJJ18" s="253" t="n"/>
      <c r="KJK18" s="253" t="n"/>
      <c r="KJL18" s="253" t="n"/>
      <c r="KJM18" s="253" t="n"/>
      <c r="KJN18" s="253" t="n"/>
      <c r="KJO18" s="253" t="n"/>
      <c r="KJP18" s="253" t="n"/>
      <c r="KJQ18" s="253" t="n"/>
      <c r="KJR18" s="253" t="n"/>
      <c r="KJS18" s="253" t="n"/>
      <c r="KJT18" s="253" t="n"/>
      <c r="KJU18" s="253" t="n"/>
      <c r="KJV18" s="253" t="n"/>
      <c r="KJW18" s="253" t="n"/>
      <c r="KJX18" s="253" t="n"/>
      <c r="KJY18" s="253" t="n"/>
      <c r="KJZ18" s="253" t="n"/>
      <c r="KKA18" s="253" t="n"/>
      <c r="KKB18" s="253" t="n"/>
      <c r="KKC18" s="253" t="n"/>
      <c r="KKD18" s="253" t="n"/>
      <c r="KKE18" s="253" t="n"/>
      <c r="KKF18" s="253" t="n"/>
      <c r="KKG18" s="253" t="n"/>
      <c r="KKH18" s="253" t="n"/>
      <c r="KKI18" s="253" t="n"/>
      <c r="KKJ18" s="253" t="n"/>
      <c r="KKK18" s="253" t="n"/>
      <c r="KKL18" s="253" t="n"/>
      <c r="KKM18" s="253" t="n"/>
      <c r="KKN18" s="253" t="n"/>
      <c r="KKO18" s="253" t="n"/>
      <c r="KKP18" s="253" t="n"/>
      <c r="KKQ18" s="253" t="n"/>
      <c r="KKR18" s="253" t="n"/>
      <c r="KKS18" s="253" t="n"/>
      <c r="KKT18" s="253" t="n"/>
      <c r="KKU18" s="253" t="n"/>
      <c r="KKV18" s="253" t="n"/>
      <c r="KKW18" s="253" t="n"/>
      <c r="KKX18" s="253" t="n"/>
      <c r="KKY18" s="253" t="n"/>
      <c r="KKZ18" s="253" t="n"/>
      <c r="KLA18" s="253" t="n"/>
      <c r="KLB18" s="253" t="n"/>
      <c r="KLC18" s="253" t="n"/>
      <c r="KLD18" s="253" t="n"/>
      <c r="KLE18" s="253" t="n"/>
      <c r="KLF18" s="253" t="n"/>
      <c r="KLG18" s="253" t="n"/>
      <c r="KLH18" s="253" t="n"/>
      <c r="KLI18" s="253" t="n"/>
      <c r="KLJ18" s="253" t="n"/>
      <c r="KLK18" s="253" t="n"/>
      <c r="KLL18" s="253" t="n"/>
      <c r="KLM18" s="253" t="n"/>
      <c r="KLN18" s="253" t="n"/>
      <c r="KLO18" s="253" t="n"/>
      <c r="KLP18" s="253" t="n"/>
      <c r="KLQ18" s="253" t="n"/>
      <c r="KLR18" s="253" t="n"/>
      <c r="KLS18" s="253" t="n"/>
      <c r="KLT18" s="253" t="n"/>
      <c r="KLU18" s="253" t="n"/>
      <c r="KLV18" s="253" t="n"/>
      <c r="KLW18" s="253" t="n"/>
      <c r="KLX18" s="253" t="n"/>
      <c r="KLY18" s="253" t="n"/>
      <c r="KLZ18" s="253" t="n"/>
      <c r="KMA18" s="253" t="n"/>
      <c r="KMB18" s="253" t="n"/>
      <c r="KMC18" s="253" t="n"/>
      <c r="KMD18" s="253" t="n"/>
      <c r="KME18" s="253" t="n"/>
      <c r="KMF18" s="253" t="n"/>
      <c r="KMG18" s="253" t="n"/>
      <c r="KMH18" s="253" t="n"/>
      <c r="KMI18" s="253" t="n"/>
      <c r="KMJ18" s="253" t="n"/>
      <c r="KMK18" s="253" t="n"/>
      <c r="KML18" s="253" t="n"/>
      <c r="KMM18" s="253" t="n"/>
      <c r="KMN18" s="253" t="n"/>
      <c r="KMO18" s="253" t="n"/>
      <c r="KMP18" s="253" t="n"/>
      <c r="KMQ18" s="253" t="n"/>
      <c r="KMR18" s="253" t="n"/>
      <c r="KMS18" s="253" t="n"/>
      <c r="KMT18" s="253" t="n"/>
      <c r="KMU18" s="253" t="n"/>
      <c r="KMV18" s="253" t="n"/>
      <c r="KMW18" s="253" t="n"/>
      <c r="KMX18" s="253" t="n"/>
      <c r="KMY18" s="253" t="n"/>
      <c r="KMZ18" s="253" t="n"/>
      <c r="KNA18" s="253" t="n"/>
      <c r="KNB18" s="253" t="n"/>
      <c r="KNC18" s="253" t="n"/>
      <c r="KND18" s="253" t="n"/>
      <c r="KNE18" s="253" t="n"/>
      <c r="KNF18" s="253" t="n"/>
      <c r="KNG18" s="253" t="n"/>
      <c r="KNH18" s="253" t="n"/>
      <c r="KNI18" s="253" t="n"/>
      <c r="KNJ18" s="253" t="n"/>
      <c r="KNK18" s="253" t="n"/>
      <c r="KNL18" s="253" t="n"/>
      <c r="KNM18" s="253" t="n"/>
      <c r="KNN18" s="253" t="n"/>
      <c r="KNO18" s="253" t="n"/>
      <c r="KNP18" s="253" t="n"/>
      <c r="KNQ18" s="253" t="n"/>
      <c r="KNR18" s="253" t="n"/>
      <c r="KNS18" s="253" t="n"/>
      <c r="KNT18" s="253" t="n"/>
      <c r="KNU18" s="253" t="n"/>
      <c r="KNV18" s="253" t="n"/>
      <c r="KNW18" s="253" t="n"/>
      <c r="KNX18" s="253" t="n"/>
      <c r="KNY18" s="253" t="n"/>
      <c r="KNZ18" s="253" t="n"/>
      <c r="KOA18" s="253" t="n"/>
      <c r="KOB18" s="253" t="n"/>
      <c r="KOC18" s="253" t="n"/>
      <c r="KOD18" s="253" t="n"/>
      <c r="KOE18" s="253" t="n"/>
      <c r="KOF18" s="253" t="n"/>
      <c r="KOG18" s="253" t="n"/>
      <c r="KOH18" s="253" t="n"/>
      <c r="KOI18" s="253" t="n"/>
      <c r="KOJ18" s="253" t="n"/>
      <c r="KOK18" s="253" t="n"/>
      <c r="KOL18" s="253" t="n"/>
      <c r="KOM18" s="253" t="n"/>
      <c r="KON18" s="253" t="n"/>
      <c r="KOO18" s="253" t="n"/>
      <c r="KOP18" s="253" t="n"/>
      <c r="KOQ18" s="253" t="n"/>
      <c r="KOR18" s="253" t="n"/>
      <c r="KOS18" s="253" t="n"/>
      <c r="KOT18" s="253" t="n"/>
      <c r="KOU18" s="253" t="n"/>
      <c r="KOV18" s="253" t="n"/>
      <c r="KOW18" s="253" t="n"/>
      <c r="KOX18" s="253" t="n"/>
      <c r="KOY18" s="253" t="n"/>
      <c r="KOZ18" s="253" t="n"/>
      <c r="KPA18" s="253" t="n"/>
      <c r="KPB18" s="253" t="n"/>
      <c r="KPC18" s="253" t="n"/>
      <c r="KPD18" s="253" t="n"/>
      <c r="KPE18" s="253" t="n"/>
      <c r="KPF18" s="253" t="n"/>
      <c r="KPG18" s="253" t="n"/>
      <c r="KPH18" s="253" t="n"/>
      <c r="KPI18" s="253" t="n"/>
      <c r="KPJ18" s="253" t="n"/>
      <c r="KPK18" s="253" t="n"/>
      <c r="KPL18" s="253" t="n"/>
      <c r="KPM18" s="253" t="n"/>
      <c r="KPN18" s="253" t="n"/>
      <c r="KPO18" s="253" t="n"/>
      <c r="KPP18" s="253" t="n"/>
      <c r="KPQ18" s="253" t="n"/>
      <c r="KPR18" s="253" t="n"/>
      <c r="KPS18" s="253" t="n"/>
      <c r="KPT18" s="253" t="n"/>
      <c r="KPU18" s="253" t="n"/>
      <c r="KPV18" s="253" t="n"/>
      <c r="KPW18" s="253" t="n"/>
      <c r="KPX18" s="253" t="n"/>
      <c r="KPY18" s="253" t="n"/>
      <c r="KPZ18" s="253" t="n"/>
      <c r="KQA18" s="253" t="n"/>
      <c r="KQB18" s="253" t="n"/>
      <c r="KQC18" s="253" t="n"/>
      <c r="KQD18" s="253" t="n"/>
      <c r="KQE18" s="253" t="n"/>
      <c r="KQF18" s="253" t="n"/>
      <c r="KQG18" s="253" t="n"/>
      <c r="KQH18" s="253" t="n"/>
      <c r="KQI18" s="253" t="n"/>
      <c r="KQJ18" s="253" t="n"/>
      <c r="KQK18" s="253" t="n"/>
      <c r="KQL18" s="253" t="n"/>
      <c r="KQM18" s="253" t="n"/>
      <c r="KQN18" s="253" t="n"/>
      <c r="KQO18" s="253" t="n"/>
      <c r="KQP18" s="253" t="n"/>
      <c r="KQQ18" s="253" t="n"/>
      <c r="KQR18" s="253" t="n"/>
      <c r="KQS18" s="253" t="n"/>
      <c r="KQT18" s="253" t="n"/>
      <c r="KQU18" s="253" t="n"/>
      <c r="KQV18" s="253" t="n"/>
      <c r="KQW18" s="253" t="n"/>
      <c r="KQX18" s="253" t="n"/>
      <c r="KQY18" s="253" t="n"/>
      <c r="KQZ18" s="253" t="n"/>
      <c r="KRA18" s="253" t="n"/>
      <c r="KRB18" s="253" t="n"/>
      <c r="KRC18" s="253" t="n"/>
      <c r="KRD18" s="253" t="n"/>
      <c r="KRE18" s="253" t="n"/>
      <c r="KRF18" s="253" t="n"/>
      <c r="KRG18" s="253" t="n"/>
      <c r="KRH18" s="253" t="n"/>
      <c r="KRI18" s="253" t="n"/>
      <c r="KRJ18" s="253" t="n"/>
      <c r="KRK18" s="253" t="n"/>
      <c r="KRL18" s="253" t="n"/>
      <c r="KRM18" s="253" t="n"/>
      <c r="KRN18" s="253" t="n"/>
      <c r="KRO18" s="253" t="n"/>
      <c r="KRP18" s="253" t="n"/>
      <c r="KRQ18" s="253" t="n"/>
      <c r="KRR18" s="253" t="n"/>
      <c r="KRS18" s="253" t="n"/>
      <c r="KRT18" s="253" t="n"/>
      <c r="KRU18" s="253" t="n"/>
      <c r="KRV18" s="253" t="n"/>
      <c r="KRW18" s="253" t="n"/>
      <c r="KRX18" s="253" t="n"/>
      <c r="KRY18" s="253" t="n"/>
      <c r="KRZ18" s="253" t="n"/>
      <c r="KSA18" s="253" t="n"/>
      <c r="KSB18" s="253" t="n"/>
      <c r="KSC18" s="253" t="n"/>
      <c r="KSD18" s="253" t="n"/>
      <c r="KSE18" s="253" t="n"/>
      <c r="KSF18" s="253" t="n"/>
      <c r="KSG18" s="253" t="n"/>
      <c r="KSH18" s="253" t="n"/>
      <c r="KSI18" s="253" t="n"/>
      <c r="KSJ18" s="253" t="n"/>
      <c r="KSK18" s="253" t="n"/>
      <c r="KSL18" s="253" t="n"/>
      <c r="KSM18" s="253" t="n"/>
      <c r="KSN18" s="253" t="n"/>
      <c r="KSO18" s="253" t="n"/>
      <c r="KSP18" s="253" t="n"/>
      <c r="KSQ18" s="253" t="n"/>
      <c r="KSR18" s="253" t="n"/>
      <c r="KSS18" s="253" t="n"/>
      <c r="KST18" s="253" t="n"/>
      <c r="KSU18" s="253" t="n"/>
      <c r="KSV18" s="253" t="n"/>
      <c r="KSW18" s="253" t="n"/>
      <c r="KSX18" s="253" t="n"/>
      <c r="KSY18" s="253" t="n"/>
      <c r="KSZ18" s="253" t="n"/>
      <c r="KTA18" s="253" t="n"/>
      <c r="KTB18" s="253" t="n"/>
      <c r="KTC18" s="253" t="n"/>
      <c r="KTD18" s="253" t="n"/>
      <c r="KTE18" s="253" t="n"/>
      <c r="KTF18" s="253" t="n"/>
      <c r="KTG18" s="253" t="n"/>
      <c r="KTH18" s="253" t="n"/>
      <c r="KTI18" s="253" t="n"/>
      <c r="KTJ18" s="253" t="n"/>
      <c r="KTK18" s="253" t="n"/>
      <c r="KTL18" s="253" t="n"/>
      <c r="KTM18" s="253" t="n"/>
      <c r="KTN18" s="253" t="n"/>
      <c r="KTO18" s="253" t="n"/>
      <c r="KTP18" s="253" t="n"/>
      <c r="KTQ18" s="253" t="n"/>
      <c r="KTR18" s="253" t="n"/>
      <c r="KTS18" s="253" t="n"/>
      <c r="KTT18" s="253" t="n"/>
      <c r="KTU18" s="253" t="n"/>
      <c r="KTV18" s="253" t="n"/>
      <c r="KTW18" s="253" t="n"/>
      <c r="KTX18" s="253" t="n"/>
      <c r="KTY18" s="253" t="n"/>
      <c r="KTZ18" s="253" t="n"/>
      <c r="KUA18" s="253" t="n"/>
      <c r="KUB18" s="253" t="n"/>
      <c r="KUC18" s="253" t="n"/>
      <c r="KUD18" s="253" t="n"/>
      <c r="KUE18" s="253" t="n"/>
      <c r="KUF18" s="253" t="n"/>
      <c r="KUG18" s="253" t="n"/>
      <c r="KUH18" s="253" t="n"/>
      <c r="KUI18" s="253" t="n"/>
      <c r="KUJ18" s="253" t="n"/>
      <c r="KUK18" s="253" t="n"/>
      <c r="KUL18" s="253" t="n"/>
      <c r="KUM18" s="253" t="n"/>
      <c r="KUN18" s="253" t="n"/>
      <c r="KUO18" s="253" t="n"/>
      <c r="KUP18" s="253" t="n"/>
      <c r="KUQ18" s="253" t="n"/>
      <c r="KUR18" s="253" t="n"/>
      <c r="KUS18" s="253" t="n"/>
      <c r="KUT18" s="253" t="n"/>
      <c r="KUU18" s="253" t="n"/>
      <c r="KUV18" s="253" t="n"/>
      <c r="KUW18" s="253" t="n"/>
      <c r="KUX18" s="253" t="n"/>
      <c r="KUY18" s="253" t="n"/>
      <c r="KUZ18" s="253" t="n"/>
      <c r="KVA18" s="253" t="n"/>
      <c r="KVB18" s="253" t="n"/>
      <c r="KVC18" s="253" t="n"/>
      <c r="KVD18" s="253" t="n"/>
      <c r="KVE18" s="253" t="n"/>
      <c r="KVF18" s="253" t="n"/>
      <c r="KVG18" s="253" t="n"/>
      <c r="KVH18" s="253" t="n"/>
      <c r="KVI18" s="253" t="n"/>
      <c r="KVJ18" s="253" t="n"/>
      <c r="KVK18" s="253" t="n"/>
      <c r="KVL18" s="253" t="n"/>
      <c r="KVM18" s="253" t="n"/>
      <c r="KVN18" s="253" t="n"/>
      <c r="KVO18" s="253" t="n"/>
      <c r="KVP18" s="253" t="n"/>
      <c r="KVQ18" s="253" t="n"/>
      <c r="KVR18" s="253" t="n"/>
      <c r="KVS18" s="253" t="n"/>
      <c r="KVT18" s="253" t="n"/>
      <c r="KVU18" s="253" t="n"/>
      <c r="KVV18" s="253" t="n"/>
      <c r="KVW18" s="253" t="n"/>
      <c r="KVX18" s="253" t="n"/>
      <c r="KVY18" s="253" t="n"/>
      <c r="KVZ18" s="253" t="n"/>
      <c r="KWA18" s="253" t="n"/>
      <c r="KWB18" s="253" t="n"/>
      <c r="KWC18" s="253" t="n"/>
      <c r="KWD18" s="253" t="n"/>
      <c r="KWE18" s="253" t="n"/>
      <c r="KWF18" s="253" t="n"/>
      <c r="KWG18" s="253" t="n"/>
      <c r="KWH18" s="253" t="n"/>
      <c r="KWI18" s="253" t="n"/>
      <c r="KWJ18" s="253" t="n"/>
      <c r="KWK18" s="253" t="n"/>
      <c r="KWL18" s="253" t="n"/>
      <c r="KWM18" s="253" t="n"/>
      <c r="KWN18" s="253" t="n"/>
      <c r="KWO18" s="253" t="n"/>
      <c r="KWP18" s="253" t="n"/>
      <c r="KWQ18" s="253" t="n"/>
      <c r="KWR18" s="253" t="n"/>
      <c r="KWS18" s="253" t="n"/>
      <c r="KWT18" s="253" t="n"/>
      <c r="KWU18" s="253" t="n"/>
      <c r="KWV18" s="253" t="n"/>
      <c r="KWW18" s="253" t="n"/>
      <c r="KWX18" s="253" t="n"/>
      <c r="KWY18" s="253" t="n"/>
      <c r="KWZ18" s="253" t="n"/>
      <c r="KXA18" s="253" t="n"/>
      <c r="KXB18" s="253" t="n"/>
      <c r="KXC18" s="253" t="n"/>
      <c r="KXD18" s="253" t="n"/>
      <c r="KXE18" s="253" t="n"/>
      <c r="KXF18" s="253" t="n"/>
      <c r="KXG18" s="253" t="n"/>
      <c r="KXH18" s="253" t="n"/>
      <c r="KXI18" s="253" t="n"/>
      <c r="KXJ18" s="253" t="n"/>
      <c r="KXK18" s="253" t="n"/>
      <c r="KXL18" s="253" t="n"/>
      <c r="KXM18" s="253" t="n"/>
      <c r="KXN18" s="253" t="n"/>
      <c r="KXO18" s="253" t="n"/>
      <c r="KXP18" s="253" t="n"/>
      <c r="KXQ18" s="253" t="n"/>
      <c r="KXR18" s="253" t="n"/>
      <c r="KXS18" s="253" t="n"/>
      <c r="KXT18" s="253" t="n"/>
      <c r="KXU18" s="253" t="n"/>
      <c r="KXV18" s="253" t="n"/>
      <c r="KXW18" s="253" t="n"/>
      <c r="KXX18" s="253" t="n"/>
      <c r="KXY18" s="253" t="n"/>
      <c r="KXZ18" s="253" t="n"/>
      <c r="KYA18" s="253" t="n"/>
      <c r="KYB18" s="253" t="n"/>
      <c r="KYC18" s="253" t="n"/>
      <c r="KYD18" s="253" t="n"/>
      <c r="KYE18" s="253" t="n"/>
      <c r="KYF18" s="253" t="n"/>
      <c r="KYG18" s="253" t="n"/>
      <c r="KYH18" s="253" t="n"/>
      <c r="KYI18" s="253" t="n"/>
      <c r="KYJ18" s="253" t="n"/>
      <c r="KYK18" s="253" t="n"/>
      <c r="KYL18" s="253" t="n"/>
      <c r="KYM18" s="253" t="n"/>
      <c r="KYN18" s="253" t="n"/>
      <c r="KYO18" s="253" t="n"/>
      <c r="KYP18" s="253" t="n"/>
      <c r="KYQ18" s="253" t="n"/>
      <c r="KYR18" s="253" t="n"/>
      <c r="KYS18" s="253" t="n"/>
      <c r="KYT18" s="253" t="n"/>
      <c r="KYU18" s="253" t="n"/>
      <c r="KYV18" s="253" t="n"/>
      <c r="KYW18" s="253" t="n"/>
      <c r="KYX18" s="253" t="n"/>
      <c r="KYY18" s="253" t="n"/>
      <c r="KYZ18" s="253" t="n"/>
      <c r="KZA18" s="253" t="n"/>
      <c r="KZB18" s="253" t="n"/>
      <c r="KZC18" s="253" t="n"/>
      <c r="KZD18" s="253" t="n"/>
      <c r="KZE18" s="253" t="n"/>
      <c r="KZF18" s="253" t="n"/>
      <c r="KZG18" s="253" t="n"/>
      <c r="KZH18" s="253" t="n"/>
      <c r="KZI18" s="253" t="n"/>
      <c r="KZJ18" s="253" t="n"/>
      <c r="KZK18" s="253" t="n"/>
      <c r="KZL18" s="253" t="n"/>
      <c r="KZM18" s="253" t="n"/>
      <c r="KZN18" s="253" t="n"/>
      <c r="KZO18" s="253" t="n"/>
      <c r="KZP18" s="253" t="n"/>
      <c r="KZQ18" s="253" t="n"/>
      <c r="KZR18" s="253" t="n"/>
      <c r="KZS18" s="253" t="n"/>
      <c r="KZT18" s="253" t="n"/>
      <c r="KZU18" s="253" t="n"/>
      <c r="KZV18" s="253" t="n"/>
      <c r="KZW18" s="253" t="n"/>
      <c r="KZX18" s="253" t="n"/>
      <c r="KZY18" s="253" t="n"/>
      <c r="KZZ18" s="253" t="n"/>
      <c r="LAA18" s="253" t="n"/>
      <c r="LAB18" s="253" t="n"/>
      <c r="LAC18" s="253" t="n"/>
      <c r="LAD18" s="253" t="n"/>
      <c r="LAE18" s="253" t="n"/>
      <c r="LAF18" s="253" t="n"/>
      <c r="LAG18" s="253" t="n"/>
      <c r="LAH18" s="253" t="n"/>
      <c r="LAI18" s="253" t="n"/>
      <c r="LAJ18" s="253" t="n"/>
      <c r="LAK18" s="253" t="n"/>
      <c r="LAL18" s="253" t="n"/>
      <c r="LAM18" s="253" t="n"/>
      <c r="LAN18" s="253" t="n"/>
      <c r="LAO18" s="253" t="n"/>
      <c r="LAP18" s="253" t="n"/>
      <c r="LAQ18" s="253" t="n"/>
      <c r="LAR18" s="253" t="n"/>
      <c r="LAS18" s="253" t="n"/>
      <c r="LAT18" s="253" t="n"/>
      <c r="LAU18" s="253" t="n"/>
      <c r="LAV18" s="253" t="n"/>
      <c r="LAW18" s="253" t="n"/>
      <c r="LAX18" s="253" t="n"/>
      <c r="LAY18" s="253" t="n"/>
      <c r="LAZ18" s="253" t="n"/>
      <c r="LBA18" s="253" t="n"/>
      <c r="LBB18" s="253" t="n"/>
      <c r="LBC18" s="253" t="n"/>
      <c r="LBD18" s="253" t="n"/>
      <c r="LBE18" s="253" t="n"/>
      <c r="LBF18" s="253" t="n"/>
      <c r="LBG18" s="253" t="n"/>
      <c r="LBH18" s="253" t="n"/>
      <c r="LBI18" s="253" t="n"/>
      <c r="LBJ18" s="253" t="n"/>
      <c r="LBK18" s="253" t="n"/>
      <c r="LBL18" s="253" t="n"/>
      <c r="LBM18" s="253" t="n"/>
      <c r="LBN18" s="253" t="n"/>
      <c r="LBO18" s="253" t="n"/>
      <c r="LBP18" s="253" t="n"/>
      <c r="LBQ18" s="253" t="n"/>
      <c r="LBR18" s="253" t="n"/>
      <c r="LBS18" s="253" t="n"/>
      <c r="LBT18" s="253" t="n"/>
      <c r="LBU18" s="253" t="n"/>
      <c r="LBV18" s="253" t="n"/>
      <c r="LBW18" s="253" t="n"/>
      <c r="LBX18" s="253" t="n"/>
      <c r="LBY18" s="253" t="n"/>
      <c r="LBZ18" s="253" t="n"/>
      <c r="LCA18" s="253" t="n"/>
      <c r="LCB18" s="253" t="n"/>
      <c r="LCC18" s="253" t="n"/>
      <c r="LCD18" s="253" t="n"/>
      <c r="LCE18" s="253" t="n"/>
      <c r="LCF18" s="253" t="n"/>
      <c r="LCG18" s="253" t="n"/>
      <c r="LCH18" s="253" t="n"/>
      <c r="LCI18" s="253" t="n"/>
      <c r="LCJ18" s="253" t="n"/>
      <c r="LCK18" s="253" t="n"/>
      <c r="LCL18" s="253" t="n"/>
      <c r="LCM18" s="253" t="n"/>
      <c r="LCN18" s="253" t="n"/>
      <c r="LCO18" s="253" t="n"/>
      <c r="LCP18" s="253" t="n"/>
      <c r="LCQ18" s="253" t="n"/>
      <c r="LCR18" s="253" t="n"/>
      <c r="LCS18" s="253" t="n"/>
      <c r="LCT18" s="253" t="n"/>
      <c r="LCU18" s="253" t="n"/>
      <c r="LCV18" s="253" t="n"/>
      <c r="LCW18" s="253" t="n"/>
      <c r="LCX18" s="253" t="n"/>
      <c r="LCY18" s="253" t="n"/>
      <c r="LCZ18" s="253" t="n"/>
      <c r="LDA18" s="253" t="n"/>
      <c r="LDB18" s="253" t="n"/>
      <c r="LDC18" s="253" t="n"/>
      <c r="LDD18" s="253" t="n"/>
      <c r="LDE18" s="253" t="n"/>
      <c r="LDF18" s="253" t="n"/>
      <c r="LDG18" s="253" t="n"/>
      <c r="LDH18" s="253" t="n"/>
      <c r="LDI18" s="253" t="n"/>
      <c r="LDJ18" s="253" t="n"/>
      <c r="LDK18" s="253" t="n"/>
      <c r="LDL18" s="253" t="n"/>
      <c r="LDM18" s="253" t="n"/>
      <c r="LDN18" s="253" t="n"/>
      <c r="LDO18" s="253" t="n"/>
      <c r="LDP18" s="253" t="n"/>
      <c r="LDQ18" s="253" t="n"/>
      <c r="LDR18" s="253" t="n"/>
      <c r="LDS18" s="253" t="n"/>
      <c r="LDT18" s="253" t="n"/>
      <c r="LDU18" s="253" t="n"/>
      <c r="LDV18" s="253" t="n"/>
      <c r="LDW18" s="253" t="n"/>
      <c r="LDX18" s="253" t="n"/>
      <c r="LDY18" s="253" t="n"/>
      <c r="LDZ18" s="253" t="n"/>
      <c r="LEA18" s="253" t="n"/>
      <c r="LEB18" s="253" t="n"/>
      <c r="LEC18" s="253" t="n"/>
      <c r="LED18" s="253" t="n"/>
      <c r="LEE18" s="253" t="n"/>
      <c r="LEF18" s="253" t="n"/>
      <c r="LEG18" s="253" t="n"/>
      <c r="LEH18" s="253" t="n"/>
      <c r="LEI18" s="253" t="n"/>
      <c r="LEJ18" s="253" t="n"/>
      <c r="LEK18" s="253" t="n"/>
      <c r="LEL18" s="253" t="n"/>
      <c r="LEM18" s="253" t="n"/>
      <c r="LEN18" s="253" t="n"/>
      <c r="LEO18" s="253" t="n"/>
      <c r="LEP18" s="253" t="n"/>
      <c r="LEQ18" s="253" t="n"/>
      <c r="LER18" s="253" t="n"/>
      <c r="LES18" s="253" t="n"/>
      <c r="LET18" s="253" t="n"/>
      <c r="LEU18" s="253" t="n"/>
      <c r="LEV18" s="253" t="n"/>
      <c r="LEW18" s="253" t="n"/>
      <c r="LEX18" s="253" t="n"/>
      <c r="LEY18" s="253" t="n"/>
      <c r="LEZ18" s="253" t="n"/>
      <c r="LFA18" s="253" t="n"/>
      <c r="LFB18" s="253" t="n"/>
      <c r="LFC18" s="253" t="n"/>
      <c r="LFD18" s="253" t="n"/>
      <c r="LFE18" s="253" t="n"/>
      <c r="LFF18" s="253" t="n"/>
      <c r="LFG18" s="253" t="n"/>
      <c r="LFH18" s="253" t="n"/>
      <c r="LFI18" s="253" t="n"/>
      <c r="LFJ18" s="253" t="n"/>
      <c r="LFK18" s="252" t="n"/>
      <c r="LFL18" s="253" t="n"/>
      <c r="LFM18" s="253" t="n"/>
      <c r="LFN18" s="253" t="n"/>
      <c r="LFO18" s="253" t="n"/>
      <c r="LFP18" s="253" t="n"/>
      <c r="LFQ18" s="253" t="n"/>
      <c r="LFR18" s="253" t="n"/>
      <c r="LFS18" s="253" t="n"/>
      <c r="LFT18" s="253" t="n"/>
      <c r="LFU18" s="253" t="n"/>
      <c r="LFV18" s="253" t="n"/>
      <c r="LFW18" s="253" t="n"/>
      <c r="LFX18" s="253" t="n"/>
      <c r="LFY18" s="253" t="n"/>
      <c r="LFZ18" s="253" t="n"/>
      <c r="LGA18" s="253" t="n"/>
      <c r="LGB18" s="253" t="n"/>
      <c r="LGC18" s="253" t="n"/>
      <c r="LGD18" s="253" t="n"/>
      <c r="LGE18" s="253" t="n"/>
      <c r="LGF18" s="253" t="n"/>
      <c r="LGG18" s="253" t="n"/>
      <c r="LGH18" s="253" t="n"/>
      <c r="LGI18" s="253" t="n"/>
      <c r="LGJ18" s="253" t="n"/>
      <c r="LGK18" s="253" t="n"/>
      <c r="LGL18" s="253" t="n"/>
      <c r="LGM18" s="253" t="n"/>
      <c r="LGN18" s="253" t="n"/>
      <c r="LGO18" s="253" t="n"/>
      <c r="LGP18" s="253" t="n"/>
      <c r="LGQ18" s="253" t="n"/>
      <c r="LGR18" s="253" t="n"/>
      <c r="LGS18" s="253" t="n"/>
      <c r="LGT18" s="253" t="n"/>
      <c r="LGU18" s="253" t="n"/>
      <c r="LGV18" s="253" t="n"/>
      <c r="LGW18" s="253" t="n"/>
      <c r="LGX18" s="253" t="n"/>
      <c r="LGY18" s="253" t="n"/>
      <c r="LGZ18" s="253" t="n"/>
      <c r="LHA18" s="253" t="n"/>
      <c r="LHB18" s="253" t="n"/>
      <c r="LHC18" s="253" t="n"/>
      <c r="LHD18" s="253" t="n"/>
      <c r="LHE18" s="253" t="n"/>
      <c r="LHF18" s="253" t="n"/>
      <c r="LHG18" s="253" t="n"/>
      <c r="LHH18" s="253" t="n"/>
      <c r="LHI18" s="253" t="n"/>
      <c r="LHJ18" s="253" t="n"/>
      <c r="LHK18" s="253" t="n"/>
      <c r="LHL18" s="253" t="n"/>
      <c r="LHM18" s="253" t="n"/>
      <c r="LHN18" s="253" t="n"/>
      <c r="LHO18" s="253" t="n"/>
      <c r="LHP18" s="253" t="n"/>
      <c r="LHQ18" s="253" t="n"/>
      <c r="LHR18" s="253" t="n"/>
      <c r="LHS18" s="253" t="n"/>
      <c r="LHT18" s="253" t="n"/>
      <c r="LHU18" s="253" t="n"/>
      <c r="LHV18" s="253" t="n"/>
      <c r="LHW18" s="253" t="n"/>
      <c r="LHX18" s="253" t="n"/>
      <c r="LHY18" s="253" t="n"/>
      <c r="LHZ18" s="253" t="n"/>
      <c r="LIA18" s="253" t="n"/>
      <c r="LIB18" s="253" t="n"/>
      <c r="LIC18" s="253" t="n"/>
      <c r="LID18" s="253" t="n"/>
      <c r="LIE18" s="253" t="n"/>
      <c r="LIF18" s="253" t="n"/>
      <c r="LIG18" s="253" t="n"/>
      <c r="LIH18" s="253" t="n"/>
      <c r="LII18" s="253" t="n"/>
      <c r="LIJ18" s="253" t="n"/>
      <c r="LIK18" s="253" t="n"/>
      <c r="LIL18" s="253" t="n"/>
      <c r="LIM18" s="253" t="n"/>
      <c r="LIN18" s="253" t="n"/>
      <c r="LIO18" s="253" t="n"/>
      <c r="LIP18" s="253" t="n"/>
      <c r="LIQ18" s="253" t="n"/>
      <c r="LIR18" s="253" t="n"/>
      <c r="LIS18" s="253" t="n"/>
      <c r="LIT18" s="253" t="n"/>
      <c r="LIU18" s="253" t="n"/>
      <c r="LIV18" s="253" t="n"/>
      <c r="LIW18" s="253" t="n"/>
      <c r="LIX18" s="253" t="n"/>
      <c r="LIY18" s="253" t="n"/>
      <c r="LIZ18" s="253" t="n"/>
      <c r="LJA18" s="253" t="n"/>
      <c r="LJB18" s="253" t="n"/>
      <c r="LJC18" s="253" t="n"/>
      <c r="LJD18" s="253" t="n"/>
      <c r="LJE18" s="253" t="n"/>
      <c r="LJF18" s="253" t="n"/>
      <c r="LJG18" s="253" t="n"/>
      <c r="LJH18" s="253" t="n"/>
      <c r="LJI18" s="253" t="n"/>
      <c r="LJJ18" s="253" t="n"/>
      <c r="LJK18" s="253" t="n"/>
      <c r="LJL18" s="253" t="n"/>
      <c r="LJM18" s="253" t="n"/>
      <c r="LJN18" s="253" t="n"/>
      <c r="LJO18" s="253" t="n"/>
      <c r="LJP18" s="253" t="n"/>
      <c r="LJQ18" s="253" t="n"/>
      <c r="LJR18" s="253" t="n"/>
      <c r="LJS18" s="253" t="n"/>
      <c r="LJT18" s="253" t="n"/>
      <c r="LJU18" s="253" t="n"/>
      <c r="LJV18" s="253" t="n"/>
      <c r="LJW18" s="253" t="n"/>
      <c r="LJX18" s="253" t="n"/>
      <c r="LJY18" s="253" t="n"/>
      <c r="LJZ18" s="253" t="n"/>
      <c r="LKA18" s="253" t="n"/>
      <c r="LKB18" s="253" t="n"/>
      <c r="LKC18" s="253" t="n"/>
      <c r="LKD18" s="253" t="n"/>
      <c r="LKE18" s="253" t="n"/>
      <c r="LKF18" s="253" t="n"/>
      <c r="LKG18" s="253" t="n"/>
      <c r="LKH18" s="253" t="n"/>
      <c r="LKI18" s="253" t="n"/>
      <c r="LKJ18" s="253" t="n"/>
      <c r="LKK18" s="253" t="n"/>
      <c r="LKL18" s="253" t="n"/>
      <c r="LKM18" s="253" t="n"/>
      <c r="LKN18" s="253" t="n"/>
      <c r="LKO18" s="253" t="n"/>
      <c r="LKP18" s="253" t="n"/>
      <c r="LKQ18" s="253" t="n"/>
      <c r="LKR18" s="253" t="n"/>
      <c r="LKS18" s="253" t="n"/>
      <c r="LKT18" s="253" t="n"/>
      <c r="LKU18" s="253" t="n"/>
      <c r="LKV18" s="253" t="n"/>
      <c r="LKW18" s="253" t="n"/>
      <c r="LKX18" s="253" t="n"/>
      <c r="LKY18" s="253" t="n"/>
      <c r="LKZ18" s="253" t="n"/>
      <c r="LLA18" s="253" t="n"/>
      <c r="LLB18" s="253" t="n"/>
      <c r="LLC18" s="253" t="n"/>
      <c r="LLD18" s="253" t="n"/>
      <c r="LLE18" s="253" t="n"/>
      <c r="LLF18" s="253" t="n"/>
      <c r="LLG18" s="253" t="n"/>
      <c r="LLH18" s="253" t="n"/>
      <c r="LLI18" s="253" t="n"/>
      <c r="LLJ18" s="253" t="n"/>
      <c r="LLK18" s="253" t="n"/>
      <c r="LLL18" s="253" t="n"/>
      <c r="LLM18" s="253" t="n"/>
      <c r="LLN18" s="253" t="n"/>
      <c r="LLO18" s="253" t="n"/>
      <c r="LLP18" s="253" t="n"/>
      <c r="LLQ18" s="253" t="n"/>
      <c r="LLR18" s="253" t="n"/>
      <c r="LLS18" s="253" t="n"/>
      <c r="LLT18" s="253" t="n"/>
      <c r="LLU18" s="253" t="n"/>
      <c r="LLV18" s="253" t="n"/>
      <c r="LLW18" s="253" t="n"/>
      <c r="LLX18" s="253" t="n"/>
      <c r="LLY18" s="253" t="n"/>
      <c r="LLZ18" s="253" t="n"/>
      <c r="LMA18" s="253" t="n"/>
      <c r="LMB18" s="253" t="n"/>
      <c r="LMC18" s="253" t="n"/>
      <c r="LMD18" s="253" t="n"/>
      <c r="LME18" s="253" t="n"/>
      <c r="LMF18" s="253" t="n"/>
      <c r="LMG18" s="253" t="n"/>
      <c r="LMH18" s="253" t="n"/>
      <c r="LMI18" s="253" t="n"/>
      <c r="LMJ18" s="253" t="n"/>
      <c r="LMK18" s="253" t="n"/>
      <c r="LML18" s="253" t="n"/>
      <c r="LMM18" s="253" t="n"/>
      <c r="LMN18" s="253" t="n"/>
      <c r="LMO18" s="253" t="n"/>
      <c r="LMP18" s="253" t="n"/>
      <c r="LMQ18" s="253" t="n"/>
      <c r="LMR18" s="253" t="n"/>
      <c r="LMS18" s="253" t="n"/>
      <c r="LMT18" s="253" t="n"/>
      <c r="LMU18" s="253" t="n"/>
      <c r="LMV18" s="253" t="n"/>
      <c r="LMW18" s="253" t="n"/>
      <c r="LMX18" s="253" t="n"/>
      <c r="LMY18" s="253" t="n"/>
      <c r="LMZ18" s="253" t="n"/>
      <c r="LNA18" s="253" t="n"/>
      <c r="LNB18" s="253" t="n"/>
      <c r="LNC18" s="253" t="n"/>
      <c r="LND18" s="253" t="n"/>
      <c r="LNE18" s="253" t="n"/>
      <c r="LNF18" s="253" t="n"/>
      <c r="LNG18" s="253" t="n"/>
      <c r="LNH18" s="253" t="n"/>
      <c r="LNI18" s="253" t="n"/>
      <c r="LNJ18" s="253" t="n"/>
      <c r="LNK18" s="253" t="n"/>
      <c r="LNL18" s="253" t="n"/>
      <c r="LNM18" s="253" t="n"/>
      <c r="LNN18" s="253" t="n"/>
      <c r="LNO18" s="253" t="n"/>
      <c r="LNP18" s="253" t="n"/>
      <c r="LNQ18" s="253" t="n"/>
      <c r="LNR18" s="253" t="n"/>
      <c r="LNS18" s="253" t="n"/>
      <c r="LNT18" s="253" t="n"/>
      <c r="LNU18" s="253" t="n"/>
      <c r="LNV18" s="253" t="n"/>
      <c r="LNW18" s="253" t="n"/>
      <c r="LNX18" s="253" t="n"/>
      <c r="LNY18" s="253" t="n"/>
      <c r="LNZ18" s="253" t="n"/>
      <c r="LOA18" s="253" t="n"/>
      <c r="LOB18" s="253" t="n"/>
      <c r="LOC18" s="253" t="n"/>
      <c r="LOD18" s="253" t="n"/>
      <c r="LOE18" s="253" t="n"/>
      <c r="LOF18" s="253" t="n"/>
      <c r="LOG18" s="253" t="n"/>
      <c r="LOH18" s="253" t="n"/>
      <c r="LOI18" s="253" t="n"/>
      <c r="LOJ18" s="253" t="n"/>
      <c r="LOK18" s="253" t="n"/>
      <c r="LOL18" s="253" t="n"/>
      <c r="LOM18" s="253" t="n"/>
      <c r="LON18" s="253" t="n"/>
      <c r="LOO18" s="253" t="n"/>
      <c r="LOP18" s="253" t="n"/>
      <c r="LOQ18" s="253" t="n"/>
      <c r="LOR18" s="253" t="n"/>
      <c r="LOS18" s="253" t="n"/>
      <c r="LOT18" s="253" t="n"/>
      <c r="LOU18" s="253" t="n"/>
      <c r="LOV18" s="253" t="n"/>
      <c r="LOW18" s="253" t="n"/>
      <c r="LOX18" s="253" t="n"/>
      <c r="LOY18" s="253" t="n"/>
      <c r="LOZ18" s="253" t="n"/>
      <c r="LPA18" s="253" t="n"/>
      <c r="LPB18" s="253" t="n"/>
      <c r="LPC18" s="253" t="n"/>
      <c r="LPD18" s="253" t="n"/>
      <c r="LPE18" s="253" t="n"/>
      <c r="LPF18" s="253" t="n"/>
      <c r="LPG18" s="253" t="n"/>
      <c r="LPH18" s="253" t="n"/>
      <c r="LPI18" s="253" t="n"/>
      <c r="LPJ18" s="253" t="n"/>
      <c r="LPK18" s="253" t="n"/>
      <c r="LPL18" s="253" t="n"/>
      <c r="LPM18" s="253" t="n"/>
      <c r="LPN18" s="253" t="n"/>
      <c r="LPO18" s="253" t="n"/>
      <c r="LPP18" s="253" t="n"/>
      <c r="LPQ18" s="253" t="n"/>
      <c r="LPR18" s="253" t="n"/>
      <c r="LPS18" s="253" t="n"/>
      <c r="LPT18" s="253" t="n"/>
      <c r="LPU18" s="253" t="n"/>
      <c r="LPV18" s="253" t="n"/>
      <c r="LPW18" s="253" t="n"/>
      <c r="LPX18" s="253" t="n"/>
      <c r="LPY18" s="253" t="n"/>
      <c r="LPZ18" s="253" t="n"/>
      <c r="LQA18" s="253" t="n"/>
      <c r="LQB18" s="253" t="n"/>
      <c r="LQC18" s="253" t="n"/>
      <c r="LQD18" s="253" t="n"/>
      <c r="LQE18" s="253" t="n"/>
      <c r="LQF18" s="253" t="n"/>
      <c r="LQG18" s="253" t="n"/>
      <c r="LQH18" s="253" t="n"/>
      <c r="LQI18" s="253" t="n"/>
      <c r="LQJ18" s="253" t="n"/>
      <c r="LQK18" s="253" t="n"/>
      <c r="LQL18" s="253" t="n"/>
      <c r="LQM18" s="253" t="n"/>
      <c r="LQN18" s="253" t="n"/>
      <c r="LQO18" s="253" t="n"/>
      <c r="LQP18" s="253" t="n"/>
      <c r="LQQ18" s="253" t="n"/>
      <c r="LQR18" s="253" t="n"/>
      <c r="LQS18" s="253" t="n"/>
      <c r="LQT18" s="253" t="n"/>
      <c r="LQU18" s="253" t="n"/>
      <c r="LQV18" s="253" t="n"/>
      <c r="LQW18" s="253" t="n"/>
      <c r="LQX18" s="253" t="n"/>
      <c r="LQY18" s="253" t="n"/>
      <c r="LQZ18" s="253" t="n"/>
      <c r="LRA18" s="253" t="n"/>
      <c r="LRB18" s="253" t="n"/>
      <c r="LRC18" s="253" t="n"/>
      <c r="LRD18" s="253" t="n"/>
      <c r="LRE18" s="253" t="n"/>
      <c r="LRF18" s="253" t="n"/>
      <c r="LRG18" s="253" t="n"/>
      <c r="LRH18" s="253" t="n"/>
      <c r="LRI18" s="253" t="n"/>
      <c r="LRJ18" s="253" t="n"/>
      <c r="LRK18" s="253" t="n"/>
      <c r="LRL18" s="253" t="n"/>
      <c r="LRM18" s="253" t="n"/>
      <c r="LRN18" s="253" t="n"/>
      <c r="LRO18" s="253" t="n"/>
      <c r="LRP18" s="253" t="n"/>
      <c r="LRQ18" s="253" t="n"/>
      <c r="LRR18" s="253" t="n"/>
      <c r="LRS18" s="253" t="n"/>
      <c r="LRT18" s="253" t="n"/>
      <c r="LRU18" s="253" t="n"/>
      <c r="LRV18" s="253" t="n"/>
      <c r="LRW18" s="253" t="n"/>
      <c r="LRX18" s="253" t="n"/>
      <c r="LRY18" s="253" t="n"/>
      <c r="LRZ18" s="253" t="n"/>
      <c r="LSA18" s="253" t="n"/>
      <c r="LSB18" s="253" t="n"/>
      <c r="LSC18" s="253" t="n"/>
      <c r="LSD18" s="253" t="n"/>
      <c r="LSE18" s="253" t="n"/>
      <c r="LSF18" s="253" t="n"/>
      <c r="LSG18" s="253" t="n"/>
      <c r="LSH18" s="253" t="n"/>
      <c r="LSI18" s="253" t="n"/>
      <c r="LSJ18" s="253" t="n"/>
      <c r="LSK18" s="253" t="n"/>
      <c r="LSL18" s="253" t="n"/>
      <c r="LSM18" s="253" t="n"/>
      <c r="LSN18" s="253" t="n"/>
      <c r="LSO18" s="253" t="n"/>
      <c r="LSP18" s="253" t="n"/>
      <c r="LSQ18" s="253" t="n"/>
      <c r="LSR18" s="253" t="n"/>
      <c r="LSS18" s="253" t="n"/>
      <c r="LST18" s="253" t="n"/>
      <c r="LSU18" s="253" t="n"/>
      <c r="LSV18" s="253" t="n"/>
      <c r="LSW18" s="253" t="n"/>
      <c r="LSX18" s="253" t="n"/>
      <c r="LSY18" s="253" t="n"/>
      <c r="LSZ18" s="253" t="n"/>
      <c r="LTA18" s="253" t="n"/>
      <c r="LTB18" s="253" t="n"/>
      <c r="LTC18" s="253" t="n"/>
      <c r="LTD18" s="253" t="n"/>
      <c r="LTE18" s="253" t="n"/>
      <c r="LTF18" s="253" t="n"/>
      <c r="LTG18" s="253" t="n"/>
      <c r="LTH18" s="253" t="n"/>
      <c r="LTI18" s="253" t="n"/>
      <c r="LTJ18" s="253" t="n"/>
      <c r="LTK18" s="253" t="n"/>
      <c r="LTL18" s="253" t="n"/>
      <c r="LTM18" s="253" t="n"/>
      <c r="LTN18" s="253" t="n"/>
      <c r="LTO18" s="253" t="n"/>
      <c r="LTP18" s="253" t="n"/>
      <c r="LTQ18" s="253" t="n"/>
      <c r="LTR18" s="253" t="n"/>
      <c r="LTS18" s="253" t="n"/>
      <c r="LTT18" s="253" t="n"/>
      <c r="LTU18" s="253" t="n"/>
      <c r="LTV18" s="253" t="n"/>
      <c r="LTW18" s="253" t="n"/>
      <c r="LTX18" s="253" t="n"/>
      <c r="LTY18" s="253" t="n"/>
      <c r="LTZ18" s="253" t="n"/>
      <c r="LUA18" s="253" t="n"/>
      <c r="LUB18" s="253" t="n"/>
      <c r="LUC18" s="253" t="n"/>
      <c r="LUD18" s="253" t="n"/>
      <c r="LUE18" s="253" t="n"/>
      <c r="LUF18" s="253" t="n"/>
      <c r="LUG18" s="253" t="n"/>
      <c r="LUH18" s="253" t="n"/>
      <c r="LUI18" s="253" t="n"/>
      <c r="LUJ18" s="253" t="n"/>
      <c r="LUK18" s="253" t="n"/>
      <c r="LUL18" s="253" t="n"/>
      <c r="LUM18" s="253" t="n"/>
      <c r="LUN18" s="253" t="n"/>
      <c r="LUO18" s="253" t="n"/>
      <c r="LUP18" s="253" t="n"/>
      <c r="LUQ18" s="253" t="n"/>
      <c r="LUR18" s="253" t="n"/>
      <c r="LUS18" s="253" t="n"/>
      <c r="LUT18" s="253" t="n"/>
      <c r="LUU18" s="253" t="n"/>
      <c r="LUV18" s="253" t="n"/>
      <c r="LUW18" s="253" t="n"/>
      <c r="LUX18" s="253" t="n"/>
      <c r="LUY18" s="253" t="n"/>
      <c r="LUZ18" s="253" t="n"/>
      <c r="LVA18" s="253" t="n"/>
      <c r="LVB18" s="253" t="n"/>
      <c r="LVC18" s="253" t="n"/>
      <c r="LVD18" s="253" t="n"/>
      <c r="LVE18" s="253" t="n"/>
      <c r="LVF18" s="253" t="n"/>
      <c r="LVG18" s="253" t="n"/>
      <c r="LVH18" s="253" t="n"/>
      <c r="LVI18" s="253" t="n"/>
      <c r="LVJ18" s="253" t="n"/>
      <c r="LVK18" s="253" t="n"/>
      <c r="LVL18" s="253" t="n"/>
      <c r="LVM18" s="253" t="n"/>
      <c r="LVN18" s="253" t="n"/>
      <c r="LVO18" s="253" t="n"/>
      <c r="LVP18" s="253" t="n"/>
      <c r="LVQ18" s="253" t="n"/>
      <c r="LVR18" s="253" t="n"/>
      <c r="LVS18" s="253" t="n"/>
      <c r="LVT18" s="253" t="n"/>
      <c r="LVU18" s="253" t="n"/>
      <c r="LVV18" s="253" t="n"/>
      <c r="LVW18" s="253" t="n"/>
      <c r="LVX18" s="253" t="n"/>
      <c r="LVY18" s="253" t="n"/>
      <c r="LVZ18" s="253" t="n"/>
      <c r="LWA18" s="253" t="n"/>
      <c r="LWB18" s="253" t="n"/>
      <c r="LWC18" s="253" t="n"/>
      <c r="LWD18" s="253" t="n"/>
      <c r="LWE18" s="253" t="n"/>
      <c r="LWF18" s="253" t="n"/>
      <c r="LWG18" s="253" t="n"/>
      <c r="LWH18" s="253" t="n"/>
      <c r="LWI18" s="253" t="n"/>
      <c r="LWJ18" s="253" t="n"/>
      <c r="LWK18" s="253" t="n"/>
      <c r="LWL18" s="253" t="n"/>
      <c r="LWM18" s="253" t="n"/>
      <c r="LWN18" s="253" t="n"/>
      <c r="LWO18" s="253" t="n"/>
      <c r="LWP18" s="253" t="n"/>
      <c r="LWQ18" s="253" t="n"/>
      <c r="LWR18" s="253" t="n"/>
      <c r="LWS18" s="253" t="n"/>
      <c r="LWT18" s="253" t="n"/>
      <c r="LWU18" s="253" t="n"/>
      <c r="LWV18" s="253" t="n"/>
      <c r="LWW18" s="253" t="n"/>
      <c r="LWX18" s="253" t="n"/>
      <c r="LWY18" s="253" t="n"/>
      <c r="LWZ18" s="253" t="n"/>
      <c r="LXA18" s="253" t="n"/>
      <c r="LXB18" s="253" t="n"/>
      <c r="LXC18" s="253" t="n"/>
      <c r="LXD18" s="253" t="n"/>
      <c r="LXE18" s="253" t="n"/>
      <c r="LXF18" s="253" t="n"/>
      <c r="LXG18" s="253" t="n"/>
      <c r="LXH18" s="253" t="n"/>
      <c r="LXI18" s="253" t="n"/>
      <c r="LXJ18" s="253" t="n"/>
      <c r="LXK18" s="253" t="n"/>
      <c r="LXL18" s="253" t="n"/>
      <c r="LXM18" s="253" t="n"/>
      <c r="LXN18" s="253" t="n"/>
      <c r="LXO18" s="253" t="n"/>
      <c r="LXP18" s="253" t="n"/>
      <c r="LXQ18" s="253" t="n"/>
      <c r="LXR18" s="253" t="n"/>
      <c r="LXS18" s="253" t="n"/>
      <c r="LXT18" s="253" t="n"/>
      <c r="LXU18" s="253" t="n"/>
      <c r="LXV18" s="253" t="n"/>
      <c r="LXW18" s="253" t="n"/>
      <c r="LXX18" s="253" t="n"/>
      <c r="LXY18" s="253" t="n"/>
      <c r="LXZ18" s="253" t="n"/>
      <c r="LYA18" s="253" t="n"/>
      <c r="LYB18" s="253" t="n"/>
      <c r="LYC18" s="253" t="n"/>
      <c r="LYD18" s="253" t="n"/>
      <c r="LYE18" s="253" t="n"/>
      <c r="LYF18" s="253" t="n"/>
      <c r="LYG18" s="253" t="n"/>
      <c r="LYH18" s="253" t="n"/>
      <c r="LYI18" s="253" t="n"/>
      <c r="LYJ18" s="253" t="n"/>
      <c r="LYK18" s="253" t="n"/>
      <c r="LYL18" s="253" t="n"/>
      <c r="LYM18" s="253" t="n"/>
      <c r="LYN18" s="253" t="n"/>
      <c r="LYO18" s="253" t="n"/>
      <c r="LYP18" s="253" t="n"/>
      <c r="LYQ18" s="253" t="n"/>
      <c r="LYR18" s="253" t="n"/>
      <c r="LYS18" s="253" t="n"/>
      <c r="LYT18" s="253" t="n"/>
      <c r="LYU18" s="253" t="n"/>
      <c r="LYV18" s="253" t="n"/>
      <c r="LYW18" s="253" t="n"/>
      <c r="LYX18" s="253" t="n"/>
      <c r="LYY18" s="253" t="n"/>
      <c r="LYZ18" s="253" t="n"/>
      <c r="LZA18" s="253" t="n"/>
      <c r="LZB18" s="253" t="n"/>
      <c r="LZC18" s="253" t="n"/>
      <c r="LZD18" s="253" t="n"/>
      <c r="LZE18" s="253" t="n"/>
      <c r="LZF18" s="253" t="n"/>
      <c r="LZG18" s="253" t="n"/>
      <c r="LZH18" s="253" t="n"/>
      <c r="LZI18" s="253" t="n"/>
      <c r="LZJ18" s="253" t="n"/>
      <c r="LZK18" s="253" t="n"/>
      <c r="LZL18" s="253" t="n"/>
      <c r="LZM18" s="253" t="n"/>
      <c r="LZN18" s="253" t="n"/>
      <c r="LZO18" s="253" t="n"/>
      <c r="LZP18" s="253" t="n"/>
      <c r="LZQ18" s="253" t="n"/>
      <c r="LZR18" s="253" t="n"/>
      <c r="LZS18" s="253" t="n"/>
      <c r="LZT18" s="253" t="n"/>
      <c r="LZU18" s="253" t="n"/>
      <c r="LZV18" s="253" t="n"/>
      <c r="LZW18" s="253" t="n"/>
      <c r="LZX18" s="253" t="n"/>
      <c r="LZY18" s="253" t="n"/>
      <c r="LZZ18" s="253" t="n"/>
      <c r="MAA18" s="253" t="n"/>
      <c r="MAB18" s="253" t="n"/>
      <c r="MAC18" s="253" t="n"/>
      <c r="MAD18" s="253" t="n"/>
      <c r="MAE18" s="253" t="n"/>
      <c r="MAF18" s="253" t="n"/>
      <c r="MAG18" s="253" t="n"/>
      <c r="MAH18" s="253" t="n"/>
      <c r="MAI18" s="253" t="n"/>
      <c r="MAJ18" s="253" t="n"/>
      <c r="MAK18" s="253" t="n"/>
      <c r="MAL18" s="253" t="n"/>
      <c r="MAM18" s="253" t="n"/>
      <c r="MAN18" s="253" t="n"/>
      <c r="MAO18" s="253" t="n"/>
      <c r="MAP18" s="253" t="n"/>
      <c r="MAQ18" s="253" t="n"/>
      <c r="MAR18" s="253" t="n"/>
      <c r="MAS18" s="253" t="n"/>
      <c r="MAT18" s="253" t="n"/>
      <c r="MAU18" s="253" t="n"/>
      <c r="MAV18" s="253" t="n"/>
      <c r="MAW18" s="253" t="n"/>
      <c r="MAX18" s="253" t="n"/>
      <c r="MAY18" s="253" t="n"/>
      <c r="MAZ18" s="253" t="n"/>
      <c r="MBA18" s="253" t="n"/>
      <c r="MBB18" s="253" t="n"/>
      <c r="MBC18" s="253" t="n"/>
      <c r="MBD18" s="253" t="n"/>
      <c r="MBE18" s="253" t="n"/>
      <c r="MBF18" s="253" t="n"/>
      <c r="MBG18" s="253" t="n"/>
      <c r="MBH18" s="253" t="n"/>
      <c r="MBI18" s="253" t="n"/>
      <c r="MBJ18" s="253" t="n"/>
      <c r="MBK18" s="253" t="n"/>
      <c r="MBL18" s="253" t="n"/>
      <c r="MBM18" s="253" t="n"/>
      <c r="MBN18" s="253" t="n"/>
      <c r="MBO18" s="253" t="n"/>
      <c r="MBP18" s="253" t="n"/>
      <c r="MBQ18" s="253" t="n"/>
      <c r="MBR18" s="253" t="n"/>
      <c r="MBS18" s="253" t="n"/>
      <c r="MBT18" s="253" t="n"/>
      <c r="MBU18" s="253" t="n"/>
      <c r="MBV18" s="253" t="n"/>
      <c r="MBW18" s="253" t="n"/>
      <c r="MBX18" s="253" t="n"/>
      <c r="MBY18" s="253" t="n"/>
      <c r="MBZ18" s="253" t="n"/>
      <c r="MCA18" s="253" t="n"/>
      <c r="MCB18" s="253" t="n"/>
      <c r="MCC18" s="253" t="n"/>
      <c r="MCD18" s="253" t="n"/>
      <c r="MCE18" s="253" t="n"/>
      <c r="MCF18" s="253" t="n"/>
      <c r="MCG18" s="253" t="n"/>
      <c r="MCH18" s="253" t="n"/>
      <c r="MCI18" s="253" t="n"/>
      <c r="MCJ18" s="253" t="n"/>
      <c r="MCK18" s="253" t="n"/>
      <c r="MCL18" s="253" t="n"/>
      <c r="MCM18" s="253" t="n"/>
      <c r="MCN18" s="253" t="n"/>
      <c r="MCO18" s="253" t="n"/>
      <c r="MCP18" s="253" t="n"/>
      <c r="MCQ18" s="253" t="n"/>
      <c r="MCR18" s="253" t="n"/>
      <c r="MCS18" s="253" t="n"/>
      <c r="MCT18" s="253" t="n"/>
      <c r="MCU18" s="253" t="n"/>
      <c r="MCV18" s="253" t="n"/>
      <c r="MCW18" s="253" t="n"/>
      <c r="MCX18" s="253" t="n"/>
      <c r="MCY18" s="253" t="n"/>
      <c r="MCZ18" s="253" t="n"/>
      <c r="MDA18" s="253" t="n"/>
      <c r="MDB18" s="253" t="n"/>
      <c r="MDC18" s="253" t="n"/>
      <c r="MDD18" s="253" t="n"/>
      <c r="MDE18" s="253" t="n"/>
      <c r="MDF18" s="253" t="n"/>
      <c r="MDG18" s="253" t="n"/>
      <c r="MDH18" s="253" t="n"/>
      <c r="MDI18" s="253" t="n"/>
      <c r="MDJ18" s="253" t="n"/>
      <c r="MDK18" s="253" t="n"/>
      <c r="MDL18" s="253" t="n"/>
      <c r="MDM18" s="253" t="n"/>
      <c r="MDN18" s="253" t="n"/>
      <c r="MDO18" s="253" t="n"/>
      <c r="MDP18" s="253" t="n"/>
      <c r="MDQ18" s="253" t="n"/>
      <c r="MDR18" s="253" t="n"/>
      <c r="MDS18" s="253" t="n"/>
      <c r="MDT18" s="253" t="n"/>
      <c r="MDU18" s="253" t="n"/>
      <c r="MDV18" s="253" t="n"/>
      <c r="MDW18" s="253" t="n"/>
      <c r="MDX18" s="253" t="n"/>
      <c r="MDY18" s="253" t="n"/>
      <c r="MDZ18" s="253" t="n"/>
      <c r="MEA18" s="253" t="n"/>
      <c r="MEB18" s="253" t="n"/>
      <c r="MEC18" s="253" t="n"/>
      <c r="MED18" s="253" t="n"/>
      <c r="MEE18" s="253" t="n"/>
      <c r="MEF18" s="253" t="n"/>
      <c r="MEG18" s="253" t="n"/>
      <c r="MEH18" s="253" t="n"/>
      <c r="MEI18" s="253" t="n"/>
      <c r="MEJ18" s="253" t="n"/>
      <c r="MEK18" s="253" t="n"/>
      <c r="MEL18" s="253" t="n"/>
      <c r="MEM18" s="253" t="n"/>
      <c r="MEN18" s="253" t="n"/>
      <c r="MEO18" s="253" t="n"/>
      <c r="MEP18" s="253" t="n"/>
      <c r="MEQ18" s="253" t="n"/>
      <c r="MER18" s="253" t="n"/>
      <c r="MES18" s="253" t="n"/>
      <c r="MET18" s="253" t="n"/>
      <c r="MEU18" s="253" t="n"/>
      <c r="MEV18" s="253" t="n"/>
      <c r="MEW18" s="253" t="n"/>
      <c r="MEX18" s="253" t="n"/>
      <c r="MEY18" s="253" t="n"/>
      <c r="MEZ18" s="253" t="n"/>
      <c r="MFA18" s="253" t="n"/>
      <c r="MFB18" s="253" t="n"/>
      <c r="MFC18" s="253" t="n"/>
      <c r="MFD18" s="253" t="n"/>
      <c r="MFE18" s="253" t="n"/>
      <c r="MFF18" s="253" t="n"/>
      <c r="MFG18" s="253" t="n"/>
      <c r="MFH18" s="253" t="n"/>
      <c r="MFI18" s="253" t="n"/>
      <c r="MFJ18" s="253" t="n"/>
      <c r="MFK18" s="253" t="n"/>
      <c r="MFL18" s="253" t="n"/>
      <c r="MFM18" s="252" t="n"/>
      <c r="MFN18" s="253" t="n"/>
      <c r="MFO18" s="253" t="n"/>
      <c r="MFP18" s="253" t="n"/>
      <c r="MFQ18" s="253" t="n"/>
      <c r="MFR18" s="253" t="n"/>
      <c r="MFS18" s="253" t="n"/>
      <c r="MFT18" s="253" t="n"/>
      <c r="MFU18" s="253" t="n"/>
      <c r="MFV18" s="253" t="n"/>
      <c r="MFW18" s="253" t="n"/>
      <c r="MFX18" s="253" t="n"/>
      <c r="MFY18" s="253" t="n"/>
      <c r="MFZ18" s="253" t="n"/>
      <c r="MGA18" s="253" t="n"/>
      <c r="MGB18" s="253" t="n"/>
      <c r="MGC18" s="253" t="n"/>
      <c r="MGD18" s="253" t="n"/>
      <c r="MGE18" s="253" t="n"/>
      <c r="MGF18" s="253" t="n"/>
      <c r="MGG18" s="253" t="n"/>
      <c r="MGH18" s="253" t="n"/>
      <c r="MGI18" s="253" t="n"/>
      <c r="MGJ18" s="253" t="n"/>
      <c r="MGK18" s="253" t="n"/>
      <c r="MGL18" s="253" t="n"/>
      <c r="MGM18" s="253" t="n"/>
      <c r="MGN18" s="253" t="n"/>
      <c r="MGO18" s="253" t="n"/>
      <c r="MGP18" s="253" t="n"/>
      <c r="MGQ18" s="253" t="n"/>
      <c r="MGR18" s="253" t="n"/>
      <c r="MGS18" s="253" t="n"/>
      <c r="MGT18" s="253" t="n"/>
      <c r="MGU18" s="253" t="n"/>
      <c r="MGV18" s="253" t="n"/>
      <c r="MGW18" s="253" t="n"/>
      <c r="MGX18" s="253" t="n"/>
      <c r="MGY18" s="253" t="n"/>
      <c r="MGZ18" s="253" t="n"/>
      <c r="MHA18" s="253" t="n"/>
      <c r="MHB18" s="253" t="n"/>
      <c r="MHC18" s="253" t="n"/>
      <c r="MHD18" s="253" t="n"/>
      <c r="MHE18" s="253" t="n"/>
      <c r="MHF18" s="253" t="n"/>
      <c r="MHG18" s="253" t="n"/>
      <c r="MHH18" s="253" t="n"/>
      <c r="MHI18" s="253" t="n"/>
      <c r="MHJ18" s="253" t="n"/>
      <c r="MHK18" s="253" t="n"/>
      <c r="MHL18" s="253" t="n"/>
      <c r="MHM18" s="253" t="n"/>
      <c r="MHN18" s="253" t="n"/>
      <c r="MHO18" s="253" t="n"/>
      <c r="MHP18" s="253" t="n"/>
      <c r="MHQ18" s="253" t="n"/>
      <c r="MHR18" s="253" t="n"/>
      <c r="MHS18" s="253" t="n"/>
      <c r="MHT18" s="253" t="n"/>
      <c r="MHU18" s="253" t="n"/>
      <c r="MHV18" s="253" t="n"/>
      <c r="MHW18" s="253" t="n"/>
      <c r="MHX18" s="253" t="n"/>
      <c r="MHY18" s="253" t="n"/>
      <c r="MHZ18" s="253" t="n"/>
      <c r="MIA18" s="253" t="n"/>
      <c r="MIB18" s="253" t="n"/>
      <c r="MIC18" s="253" t="n"/>
      <c r="MID18" s="253" t="n"/>
      <c r="MIE18" s="253" t="n"/>
      <c r="MIF18" s="253" t="n"/>
      <c r="MIG18" s="253" t="n"/>
      <c r="MIH18" s="253" t="n"/>
      <c r="MII18" s="253" t="n"/>
      <c r="MIJ18" s="253" t="n"/>
      <c r="MIK18" s="253" t="n"/>
      <c r="MIL18" s="253" t="n"/>
      <c r="MIM18" s="253" t="n"/>
      <c r="MIN18" s="253" t="n"/>
      <c r="MIO18" s="253" t="n"/>
      <c r="MIP18" s="253" t="n"/>
      <c r="MIQ18" s="253" t="n"/>
      <c r="MIR18" s="253" t="n"/>
      <c r="MIS18" s="253" t="n"/>
      <c r="MIT18" s="253" t="n"/>
      <c r="MIU18" s="253" t="n"/>
      <c r="MIV18" s="253" t="n"/>
      <c r="MIW18" s="253" t="n"/>
      <c r="MIX18" s="253" t="n"/>
      <c r="MIY18" s="253" t="n"/>
      <c r="MIZ18" s="253" t="n"/>
      <c r="MJA18" s="253" t="n"/>
      <c r="MJB18" s="253" t="n"/>
      <c r="MJC18" s="253" t="n"/>
      <c r="MJD18" s="253" t="n"/>
      <c r="MJE18" s="253" t="n"/>
      <c r="MJF18" s="253" t="n"/>
      <c r="MJG18" s="253" t="n"/>
      <c r="MJH18" s="253" t="n"/>
      <c r="MJI18" s="253" t="n"/>
      <c r="MJJ18" s="253" t="n"/>
      <c r="MJK18" s="253" t="n"/>
      <c r="MJL18" s="253" t="n"/>
      <c r="MJM18" s="253" t="n"/>
      <c r="MJN18" s="253" t="n"/>
      <c r="MJO18" s="253" t="n"/>
      <c r="MJP18" s="253" t="n"/>
      <c r="MJQ18" s="253" t="n"/>
      <c r="MJR18" s="253" t="n"/>
      <c r="MJS18" s="253" t="n"/>
      <c r="MJT18" s="253" t="n"/>
      <c r="MJU18" s="253" t="n"/>
      <c r="MJV18" s="253" t="n"/>
      <c r="MJW18" s="253" t="n"/>
      <c r="MJX18" s="253" t="n"/>
      <c r="MJY18" s="253" t="n"/>
      <c r="MJZ18" s="253" t="n"/>
      <c r="MKA18" s="253" t="n"/>
      <c r="MKB18" s="253" t="n"/>
      <c r="MKC18" s="253" t="n"/>
      <c r="MKD18" s="253" t="n"/>
      <c r="MKE18" s="253" t="n"/>
      <c r="MKF18" s="253" t="n"/>
      <c r="MKG18" s="253" t="n"/>
      <c r="MKH18" s="253" t="n"/>
      <c r="MKI18" s="253" t="n"/>
      <c r="MKJ18" s="253" t="n"/>
      <c r="MKK18" s="253" t="n"/>
      <c r="MKL18" s="253" t="n"/>
      <c r="MKM18" s="253" t="n"/>
      <c r="MKN18" s="253" t="n"/>
      <c r="MKO18" s="253" t="n"/>
      <c r="MKP18" s="253" t="n"/>
      <c r="MKQ18" s="253" t="n"/>
      <c r="MKR18" s="253" t="n"/>
      <c r="MKS18" s="253" t="n"/>
      <c r="MKT18" s="253" t="n"/>
      <c r="MKU18" s="253" t="n"/>
      <c r="MKV18" s="253" t="n"/>
      <c r="MKW18" s="253" t="n"/>
      <c r="MKX18" s="253" t="n"/>
      <c r="MKY18" s="253" t="n"/>
      <c r="MKZ18" s="253" t="n"/>
      <c r="MLA18" s="253" t="n"/>
      <c r="MLB18" s="253" t="n"/>
      <c r="MLC18" s="253" t="n"/>
      <c r="MLD18" s="253" t="n"/>
      <c r="MLE18" s="253" t="n"/>
      <c r="MLF18" s="253" t="n"/>
      <c r="MLG18" s="253" t="n"/>
      <c r="MLH18" s="253" t="n"/>
      <c r="MLI18" s="253" t="n"/>
      <c r="MLJ18" s="253" t="n"/>
      <c r="MLK18" s="253" t="n"/>
      <c r="MLL18" s="253" t="n"/>
      <c r="MLM18" s="253" t="n"/>
      <c r="MLN18" s="253" t="n"/>
      <c r="MLO18" s="253" t="n"/>
      <c r="MLP18" s="253" t="n"/>
      <c r="MLQ18" s="253" t="n"/>
      <c r="MLR18" s="253" t="n"/>
      <c r="MLS18" s="253" t="n"/>
      <c r="MLT18" s="253" t="n"/>
      <c r="MLU18" s="253" t="n"/>
      <c r="MLV18" s="253" t="n"/>
      <c r="MLW18" s="253" t="n"/>
      <c r="MLX18" s="253" t="n"/>
      <c r="MLY18" s="253" t="n"/>
      <c r="MLZ18" s="253" t="n"/>
      <c r="MMA18" s="253" t="n"/>
      <c r="MMB18" s="253" t="n"/>
      <c r="MMC18" s="253" t="n"/>
      <c r="MMD18" s="253" t="n"/>
      <c r="MME18" s="253" t="n"/>
      <c r="MMF18" s="253" t="n"/>
      <c r="MMG18" s="253" t="n"/>
      <c r="MMH18" s="253" t="n"/>
      <c r="MMI18" s="253" t="n"/>
      <c r="MMJ18" s="253" t="n"/>
      <c r="MMK18" s="253" t="n"/>
      <c r="MML18" s="253" t="n"/>
      <c r="MMM18" s="253" t="n"/>
      <c r="MMN18" s="253" t="n"/>
      <c r="MMO18" s="253" t="n"/>
      <c r="MMP18" s="253" t="n"/>
      <c r="MMQ18" s="253" t="n"/>
      <c r="MMR18" s="253" t="n"/>
      <c r="MMS18" s="253" t="n"/>
      <c r="MMT18" s="253" t="n"/>
      <c r="MMU18" s="253" t="n"/>
      <c r="MMV18" s="253" t="n"/>
      <c r="MMW18" s="253" t="n"/>
      <c r="MMX18" s="253" t="n"/>
      <c r="MMY18" s="253" t="n"/>
      <c r="MMZ18" s="253" t="n"/>
      <c r="MNA18" s="253" t="n"/>
      <c r="MNB18" s="253" t="n"/>
      <c r="MNC18" s="253" t="n"/>
      <c r="MND18" s="253" t="n"/>
      <c r="MNE18" s="253" t="n"/>
      <c r="MNF18" s="253" t="n"/>
      <c r="MNG18" s="253" t="n"/>
      <c r="MNH18" s="253" t="n"/>
      <c r="MNI18" s="253" t="n"/>
      <c r="MNJ18" s="253" t="n"/>
      <c r="MNK18" s="253" t="n"/>
      <c r="MNL18" s="253" t="n"/>
      <c r="MNM18" s="253" t="n"/>
      <c r="MNN18" s="253" t="n"/>
      <c r="MNO18" s="253" t="n"/>
      <c r="MNP18" s="253" t="n"/>
      <c r="MNQ18" s="253" t="n"/>
      <c r="MNR18" s="253" t="n"/>
      <c r="MNS18" s="253" t="n"/>
      <c r="MNT18" s="253" t="n"/>
      <c r="MNU18" s="253" t="n"/>
      <c r="MNV18" s="253" t="n"/>
      <c r="MNW18" s="253" t="n"/>
      <c r="MNX18" s="253" t="n"/>
      <c r="MNY18" s="253" t="n"/>
      <c r="MNZ18" s="253" t="n"/>
      <c r="MOA18" s="253" t="n"/>
      <c r="MOB18" s="253" t="n"/>
      <c r="MOC18" s="253" t="n"/>
      <c r="MOD18" s="253" t="n"/>
      <c r="MOE18" s="253" t="n"/>
      <c r="MOF18" s="253" t="n"/>
      <c r="MOG18" s="253" t="n"/>
      <c r="MOH18" s="253" t="n"/>
      <c r="MOI18" s="253" t="n"/>
      <c r="MOJ18" s="253" t="n"/>
      <c r="MOK18" s="253" t="n"/>
      <c r="MOL18" s="253" t="n"/>
      <c r="MOM18" s="253" t="n"/>
      <c r="MON18" s="253" t="n"/>
      <c r="MOO18" s="253" t="n"/>
      <c r="MOP18" s="253" t="n"/>
      <c r="MOQ18" s="253" t="n"/>
      <c r="MOR18" s="253" t="n"/>
      <c r="MOS18" s="253" t="n"/>
      <c r="MOT18" s="253" t="n"/>
      <c r="MOU18" s="253" t="n"/>
      <c r="MOV18" s="253" t="n"/>
      <c r="MOW18" s="253" t="n"/>
      <c r="MOX18" s="253" t="n"/>
      <c r="MOY18" s="253" t="n"/>
      <c r="MOZ18" s="253" t="n"/>
      <c r="MPA18" s="253" t="n"/>
      <c r="MPB18" s="253" t="n"/>
      <c r="MPC18" s="253" t="n"/>
      <c r="MPD18" s="253" t="n"/>
      <c r="MPE18" s="253" t="n"/>
      <c r="MPF18" s="253" t="n"/>
      <c r="MPG18" s="253" t="n"/>
      <c r="MPH18" s="253" t="n"/>
      <c r="MPI18" s="253" t="n"/>
      <c r="MPJ18" s="253" t="n"/>
      <c r="MPK18" s="253" t="n"/>
      <c r="MPL18" s="253" t="n"/>
      <c r="MPM18" s="253" t="n"/>
      <c r="MPN18" s="253" t="n"/>
      <c r="MPO18" s="253" t="n"/>
      <c r="MPP18" s="253" t="n"/>
      <c r="MPQ18" s="253" t="n"/>
      <c r="MPR18" s="253" t="n"/>
      <c r="MPS18" s="253" t="n"/>
      <c r="MPT18" s="253" t="n"/>
      <c r="MPU18" s="253" t="n"/>
      <c r="MPV18" s="253" t="n"/>
      <c r="MPW18" s="253" t="n"/>
      <c r="MPX18" s="253" t="n"/>
      <c r="MPY18" s="253" t="n"/>
      <c r="MPZ18" s="253" t="n"/>
      <c r="MQA18" s="253" t="n"/>
      <c r="MQB18" s="253" t="n"/>
      <c r="MQC18" s="253" t="n"/>
      <c r="MQD18" s="253" t="n"/>
      <c r="MQE18" s="253" t="n"/>
      <c r="MQF18" s="253" t="n"/>
      <c r="MQG18" s="253" t="n"/>
      <c r="MQH18" s="253" t="n"/>
      <c r="MQI18" s="253" t="n"/>
      <c r="MQJ18" s="253" t="n"/>
      <c r="MQK18" s="253" t="n"/>
      <c r="MQL18" s="253" t="n"/>
      <c r="MQM18" s="253" t="n"/>
      <c r="MQN18" s="253" t="n"/>
      <c r="MQO18" s="253" t="n"/>
      <c r="MQP18" s="253" t="n"/>
      <c r="MQQ18" s="253" t="n"/>
      <c r="MQR18" s="253" t="n"/>
      <c r="MQS18" s="253" t="n"/>
      <c r="MQT18" s="253" t="n"/>
      <c r="MQU18" s="253" t="n"/>
      <c r="MQV18" s="253" t="n"/>
      <c r="MQW18" s="253" t="n"/>
      <c r="MQX18" s="253" t="n"/>
      <c r="MQY18" s="253" t="n"/>
      <c r="MQZ18" s="253" t="n"/>
      <c r="MRA18" s="253" t="n"/>
      <c r="MRB18" s="253" t="n"/>
      <c r="MRC18" s="253" t="n"/>
      <c r="MRD18" s="253" t="n"/>
      <c r="MRE18" s="253" t="n"/>
      <c r="MRF18" s="253" t="n"/>
      <c r="MRG18" s="253" t="n"/>
      <c r="MRH18" s="253" t="n"/>
      <c r="MRI18" s="253" t="n"/>
      <c r="MRJ18" s="253" t="n"/>
      <c r="MRK18" s="253" t="n"/>
      <c r="MRL18" s="253" t="n"/>
      <c r="MRM18" s="253" t="n"/>
      <c r="MRN18" s="253" t="n"/>
      <c r="MRO18" s="253" t="n"/>
      <c r="MRP18" s="253" t="n"/>
      <c r="MRQ18" s="253" t="n"/>
      <c r="MRR18" s="253" t="n"/>
      <c r="MRS18" s="253" t="n"/>
      <c r="MRT18" s="253" t="n"/>
      <c r="MRU18" s="253" t="n"/>
      <c r="MRV18" s="253" t="n"/>
      <c r="MRW18" s="253" t="n"/>
      <c r="MRX18" s="253" t="n"/>
      <c r="MRY18" s="253" t="n"/>
      <c r="MRZ18" s="253" t="n"/>
      <c r="MSA18" s="253" t="n"/>
      <c r="MSB18" s="253" t="n"/>
      <c r="MSC18" s="253" t="n"/>
      <c r="MSD18" s="253" t="n"/>
      <c r="MSE18" s="253" t="n"/>
      <c r="MSF18" s="253" t="n"/>
      <c r="MSG18" s="253" t="n"/>
      <c r="MSH18" s="253" t="n"/>
      <c r="MSI18" s="253" t="n"/>
      <c r="MSJ18" s="253" t="n"/>
      <c r="MSK18" s="253" t="n"/>
      <c r="MSL18" s="253" t="n"/>
      <c r="MSM18" s="253" t="n"/>
      <c r="MSN18" s="253" t="n"/>
      <c r="MSO18" s="253" t="n"/>
      <c r="MSP18" s="253" t="n"/>
      <c r="MSQ18" s="253" t="n"/>
      <c r="MSR18" s="253" t="n"/>
      <c r="MSS18" s="253" t="n"/>
      <c r="MST18" s="253" t="n"/>
      <c r="MSU18" s="253" t="n"/>
      <c r="MSV18" s="253" t="n"/>
      <c r="MSW18" s="253" t="n"/>
      <c r="MSX18" s="253" t="n"/>
      <c r="MSY18" s="253" t="n"/>
      <c r="MSZ18" s="253" t="n"/>
      <c r="MTA18" s="253" t="n"/>
      <c r="MTB18" s="253" t="n"/>
      <c r="MTC18" s="253" t="n"/>
      <c r="MTD18" s="253" t="n"/>
      <c r="MTE18" s="253" t="n"/>
      <c r="MTF18" s="253" t="n"/>
      <c r="MTG18" s="253" t="n"/>
      <c r="MTH18" s="253" t="n"/>
      <c r="MTI18" s="253" t="n"/>
      <c r="MTJ18" s="253" t="n"/>
      <c r="MTK18" s="253" t="n"/>
      <c r="MTL18" s="253" t="n"/>
      <c r="MTM18" s="253" t="n"/>
      <c r="MTN18" s="253" t="n"/>
      <c r="MTO18" s="253" t="n"/>
      <c r="MTP18" s="253" t="n"/>
      <c r="MTQ18" s="253" t="n"/>
      <c r="MTR18" s="253" t="n"/>
      <c r="MTS18" s="253" t="n"/>
      <c r="MTT18" s="253" t="n"/>
      <c r="MTU18" s="253" t="n"/>
      <c r="MTV18" s="253" t="n"/>
      <c r="MTW18" s="253" t="n"/>
      <c r="MTX18" s="253" t="n"/>
      <c r="MTY18" s="253" t="n"/>
      <c r="MTZ18" s="253" t="n"/>
      <c r="MUA18" s="253" t="n"/>
      <c r="MUB18" s="253" t="n"/>
      <c r="MUC18" s="253" t="n"/>
      <c r="MUD18" s="253" t="n"/>
      <c r="MUE18" s="253" t="n"/>
      <c r="MUF18" s="253" t="n"/>
      <c r="MUG18" s="253" t="n"/>
      <c r="MUH18" s="253" t="n"/>
      <c r="MUI18" s="253" t="n"/>
      <c r="MUJ18" s="253" t="n"/>
      <c r="MUK18" s="253" t="n"/>
      <c r="MUL18" s="253" t="n"/>
      <c r="MUM18" s="253" t="n"/>
      <c r="MUN18" s="253" t="n"/>
      <c r="MUO18" s="253" t="n"/>
      <c r="MUP18" s="253" t="n"/>
      <c r="MUQ18" s="253" t="n"/>
      <c r="MUR18" s="253" t="n"/>
      <c r="MUS18" s="253" t="n"/>
      <c r="MUT18" s="253" t="n"/>
      <c r="MUU18" s="253" t="n"/>
      <c r="MUV18" s="253" t="n"/>
      <c r="MUW18" s="253" t="n"/>
      <c r="MUX18" s="253" t="n"/>
      <c r="MUY18" s="253" t="n"/>
      <c r="MUZ18" s="253" t="n"/>
      <c r="MVA18" s="253" t="n"/>
      <c r="MVB18" s="253" t="n"/>
      <c r="MVC18" s="253" t="n"/>
      <c r="MVD18" s="253" t="n"/>
      <c r="MVE18" s="253" t="n"/>
      <c r="MVF18" s="253" t="n"/>
      <c r="MVG18" s="253" t="n"/>
      <c r="MVH18" s="253" t="n"/>
      <c r="MVI18" s="253" t="n"/>
      <c r="MVJ18" s="253" t="n"/>
      <c r="MVK18" s="253" t="n"/>
      <c r="MVL18" s="253" t="n"/>
      <c r="MVM18" s="253" t="n"/>
      <c r="MVN18" s="253" t="n"/>
      <c r="MVO18" s="253" t="n"/>
      <c r="MVP18" s="253" t="n"/>
      <c r="MVQ18" s="253" t="n"/>
      <c r="MVR18" s="253" t="n"/>
      <c r="MVS18" s="253" t="n"/>
      <c r="MVT18" s="253" t="n"/>
      <c r="MVU18" s="253" t="n"/>
      <c r="MVV18" s="253" t="n"/>
      <c r="MVW18" s="253" t="n"/>
      <c r="MVX18" s="253" t="n"/>
      <c r="MVY18" s="253" t="n"/>
      <c r="MVZ18" s="253" t="n"/>
      <c r="MWA18" s="253" t="n"/>
      <c r="MWB18" s="253" t="n"/>
      <c r="MWC18" s="253" t="n"/>
      <c r="MWD18" s="253" t="n"/>
      <c r="MWE18" s="253" t="n"/>
      <c r="MWF18" s="253" t="n"/>
      <c r="MWG18" s="253" t="n"/>
      <c r="MWH18" s="253" t="n"/>
      <c r="MWI18" s="253" t="n"/>
      <c r="MWJ18" s="253" t="n"/>
      <c r="MWK18" s="253" t="n"/>
      <c r="MWL18" s="253" t="n"/>
      <c r="MWM18" s="253" t="n"/>
      <c r="MWN18" s="253" t="n"/>
      <c r="MWO18" s="253" t="n"/>
      <c r="MWP18" s="253" t="n"/>
      <c r="MWQ18" s="253" t="n"/>
      <c r="MWR18" s="253" t="n"/>
      <c r="MWS18" s="253" t="n"/>
      <c r="MWT18" s="253" t="n"/>
      <c r="MWU18" s="253" t="n"/>
      <c r="MWV18" s="253" t="n"/>
      <c r="MWW18" s="253" t="n"/>
      <c r="MWX18" s="253" t="n"/>
      <c r="MWY18" s="253" t="n"/>
      <c r="MWZ18" s="253" t="n"/>
      <c r="MXA18" s="253" t="n"/>
      <c r="MXB18" s="253" t="n"/>
      <c r="MXC18" s="253" t="n"/>
      <c r="MXD18" s="253" t="n"/>
      <c r="MXE18" s="253" t="n"/>
      <c r="MXF18" s="253" t="n"/>
      <c r="MXG18" s="253" t="n"/>
      <c r="MXH18" s="253" t="n"/>
      <c r="MXI18" s="253" t="n"/>
      <c r="MXJ18" s="253" t="n"/>
      <c r="MXK18" s="253" t="n"/>
      <c r="MXL18" s="253" t="n"/>
      <c r="MXM18" s="253" t="n"/>
      <c r="MXN18" s="253" t="n"/>
      <c r="MXO18" s="253" t="n"/>
      <c r="MXP18" s="253" t="n"/>
      <c r="MXQ18" s="253" t="n"/>
      <c r="MXR18" s="253" t="n"/>
      <c r="MXS18" s="253" t="n"/>
      <c r="MXT18" s="253" t="n"/>
      <c r="MXU18" s="253" t="n"/>
      <c r="MXV18" s="253" t="n"/>
      <c r="MXW18" s="253" t="n"/>
      <c r="MXX18" s="253" t="n"/>
      <c r="MXY18" s="253" t="n"/>
      <c r="MXZ18" s="253" t="n"/>
      <c r="MYA18" s="253" t="n"/>
      <c r="MYB18" s="253" t="n"/>
      <c r="MYC18" s="253" t="n"/>
      <c r="MYD18" s="253" t="n"/>
      <c r="MYE18" s="253" t="n"/>
      <c r="MYF18" s="253" t="n"/>
      <c r="MYG18" s="253" t="n"/>
      <c r="MYH18" s="253" t="n"/>
      <c r="MYI18" s="253" t="n"/>
      <c r="MYJ18" s="253" t="n"/>
      <c r="MYK18" s="253" t="n"/>
      <c r="MYL18" s="253" t="n"/>
      <c r="MYM18" s="253" t="n"/>
      <c r="MYN18" s="253" t="n"/>
      <c r="MYO18" s="253" t="n"/>
      <c r="MYP18" s="253" t="n"/>
      <c r="MYQ18" s="253" t="n"/>
      <c r="MYR18" s="253" t="n"/>
      <c r="MYS18" s="253" t="n"/>
      <c r="MYT18" s="253" t="n"/>
      <c r="MYU18" s="253" t="n"/>
      <c r="MYV18" s="253" t="n"/>
      <c r="MYW18" s="253" t="n"/>
      <c r="MYX18" s="253" t="n"/>
      <c r="MYY18" s="253" t="n"/>
      <c r="MYZ18" s="253" t="n"/>
      <c r="MZA18" s="253" t="n"/>
      <c r="MZB18" s="253" t="n"/>
      <c r="MZC18" s="253" t="n"/>
      <c r="MZD18" s="253" t="n"/>
      <c r="MZE18" s="253" t="n"/>
      <c r="MZF18" s="253" t="n"/>
      <c r="MZG18" s="253" t="n"/>
      <c r="MZH18" s="253" t="n"/>
      <c r="MZI18" s="253" t="n"/>
      <c r="MZJ18" s="253" t="n"/>
      <c r="MZK18" s="253" t="n"/>
      <c r="MZL18" s="253" t="n"/>
      <c r="MZM18" s="253" t="n"/>
      <c r="MZN18" s="253" t="n"/>
      <c r="MZO18" s="253" t="n"/>
      <c r="MZP18" s="253" t="n"/>
      <c r="MZQ18" s="253" t="n"/>
      <c r="MZR18" s="253" t="n"/>
      <c r="MZS18" s="253" t="n"/>
      <c r="MZT18" s="253" t="n"/>
      <c r="MZU18" s="253" t="n"/>
      <c r="MZV18" s="253" t="n"/>
      <c r="MZW18" s="253" t="n"/>
      <c r="MZX18" s="253" t="n"/>
      <c r="MZY18" s="253" t="n"/>
      <c r="MZZ18" s="253" t="n"/>
      <c r="NAA18" s="253" t="n"/>
      <c r="NAB18" s="253" t="n"/>
      <c r="NAC18" s="253" t="n"/>
      <c r="NAD18" s="253" t="n"/>
      <c r="NAE18" s="253" t="n"/>
      <c r="NAF18" s="253" t="n"/>
      <c r="NAG18" s="253" t="n"/>
      <c r="NAH18" s="253" t="n"/>
      <c r="NAI18" s="253" t="n"/>
      <c r="NAJ18" s="253" t="n"/>
      <c r="NAK18" s="253" t="n"/>
      <c r="NAL18" s="253" t="n"/>
      <c r="NAM18" s="253" t="n"/>
      <c r="NAN18" s="253" t="n"/>
      <c r="NAO18" s="253" t="n"/>
      <c r="NAP18" s="253" t="n"/>
      <c r="NAQ18" s="253" t="n"/>
      <c r="NAR18" s="253" t="n"/>
      <c r="NAS18" s="253" t="n"/>
      <c r="NAT18" s="253" t="n"/>
      <c r="NAU18" s="253" t="n"/>
      <c r="NAV18" s="253" t="n"/>
      <c r="NAW18" s="253" t="n"/>
      <c r="NAX18" s="253" t="n"/>
      <c r="NAY18" s="253" t="n"/>
      <c r="NAZ18" s="253" t="n"/>
      <c r="NBA18" s="253" t="n"/>
      <c r="NBB18" s="253" t="n"/>
      <c r="NBC18" s="253" t="n"/>
      <c r="NBD18" s="253" t="n"/>
      <c r="NBE18" s="253" t="n"/>
      <c r="NBF18" s="253" t="n"/>
      <c r="NBG18" s="253" t="n"/>
      <c r="NBH18" s="253" t="n"/>
      <c r="NBI18" s="253" t="n"/>
      <c r="NBJ18" s="253" t="n"/>
      <c r="NBK18" s="253" t="n"/>
      <c r="NBL18" s="253" t="n"/>
      <c r="NBM18" s="253" t="n"/>
      <c r="NBN18" s="253" t="n"/>
      <c r="NBO18" s="253" t="n"/>
      <c r="NBP18" s="253" t="n"/>
      <c r="NBQ18" s="253" t="n"/>
      <c r="NBR18" s="253" t="n"/>
      <c r="NBS18" s="253" t="n"/>
      <c r="NBT18" s="253" t="n"/>
      <c r="NBU18" s="253" t="n"/>
      <c r="NBV18" s="253" t="n"/>
      <c r="NBW18" s="253" t="n"/>
      <c r="NBX18" s="253" t="n"/>
      <c r="NBY18" s="253" t="n"/>
      <c r="NBZ18" s="253" t="n"/>
      <c r="NCA18" s="253" t="n"/>
      <c r="NCB18" s="253" t="n"/>
      <c r="NCC18" s="253" t="n"/>
      <c r="NCD18" s="253" t="n"/>
      <c r="NCE18" s="253" t="n"/>
      <c r="NCF18" s="253" t="n"/>
      <c r="NCG18" s="253" t="n"/>
      <c r="NCH18" s="253" t="n"/>
      <c r="NCI18" s="253" t="n"/>
      <c r="NCJ18" s="253" t="n"/>
      <c r="NCK18" s="253" t="n"/>
      <c r="NCL18" s="253" t="n"/>
      <c r="NCM18" s="253" t="n"/>
      <c r="NCN18" s="253" t="n"/>
      <c r="NCO18" s="253" t="n"/>
      <c r="NCP18" s="253" t="n"/>
      <c r="NCQ18" s="253" t="n"/>
      <c r="NCR18" s="253" t="n"/>
      <c r="NCS18" s="253" t="n"/>
      <c r="NCT18" s="253" t="n"/>
      <c r="NCU18" s="253" t="n"/>
      <c r="NCV18" s="253" t="n"/>
      <c r="NCW18" s="253" t="n"/>
      <c r="NCX18" s="253" t="n"/>
      <c r="NCY18" s="253" t="n"/>
      <c r="NCZ18" s="253" t="n"/>
      <c r="NDA18" s="253" t="n"/>
      <c r="NDB18" s="253" t="n"/>
      <c r="NDC18" s="253" t="n"/>
      <c r="NDD18" s="253" t="n"/>
      <c r="NDE18" s="253" t="n"/>
      <c r="NDF18" s="253" t="n"/>
      <c r="NDG18" s="253" t="n"/>
      <c r="NDH18" s="253" t="n"/>
      <c r="NDI18" s="253" t="n"/>
      <c r="NDJ18" s="253" t="n"/>
      <c r="NDK18" s="253" t="n"/>
      <c r="NDL18" s="253" t="n"/>
      <c r="NDM18" s="253" t="n"/>
      <c r="NDN18" s="253" t="n"/>
      <c r="NDO18" s="253" t="n"/>
      <c r="NDP18" s="253" t="n"/>
      <c r="NDQ18" s="253" t="n"/>
      <c r="NDR18" s="253" t="n"/>
      <c r="NDS18" s="253" t="n"/>
      <c r="NDT18" s="253" t="n"/>
      <c r="NDU18" s="253" t="n"/>
      <c r="NDV18" s="253" t="n"/>
      <c r="NDW18" s="253" t="n"/>
      <c r="NDX18" s="253" t="n"/>
      <c r="NDY18" s="253" t="n"/>
      <c r="NDZ18" s="253" t="n"/>
      <c r="NEA18" s="253" t="n"/>
      <c r="NEB18" s="253" t="n"/>
      <c r="NEC18" s="253" t="n"/>
      <c r="NED18" s="253" t="n"/>
      <c r="NEE18" s="253" t="n"/>
      <c r="NEF18" s="253" t="n"/>
      <c r="NEG18" s="253" t="n"/>
      <c r="NEH18" s="253" t="n"/>
      <c r="NEI18" s="253" t="n"/>
      <c r="NEJ18" s="253" t="n"/>
      <c r="NEK18" s="253" t="n"/>
      <c r="NEL18" s="253" t="n"/>
      <c r="NEM18" s="253" t="n"/>
      <c r="NEN18" s="253" t="n"/>
      <c r="NEO18" s="253" t="n"/>
      <c r="NEP18" s="253" t="n"/>
      <c r="NEQ18" s="253" t="n"/>
      <c r="NER18" s="253" t="n"/>
      <c r="NES18" s="253" t="n"/>
      <c r="NET18" s="253" t="n"/>
      <c r="NEU18" s="253" t="n"/>
      <c r="NEV18" s="253" t="n"/>
      <c r="NEW18" s="253" t="n"/>
      <c r="NEX18" s="253" t="n"/>
      <c r="NEY18" s="253" t="n"/>
      <c r="NEZ18" s="253" t="n"/>
      <c r="NFA18" s="253" t="n"/>
      <c r="NFB18" s="253" t="n"/>
      <c r="NFC18" s="253" t="n"/>
      <c r="NFD18" s="253" t="n"/>
      <c r="NFE18" s="253" t="n"/>
      <c r="NFF18" s="253" t="n"/>
      <c r="NFG18" s="253" t="n"/>
      <c r="NFH18" s="253" t="n"/>
      <c r="NFI18" s="253" t="n"/>
      <c r="NFJ18" s="253" t="n"/>
      <c r="NFK18" s="253" t="n"/>
      <c r="NFL18" s="253" t="n"/>
      <c r="NFM18" s="253" t="n"/>
      <c r="NFN18" s="253" t="n"/>
      <c r="NFO18" s="87" t="n"/>
    </row>
    <row r="19">
      <c r="KFK19" s="253" t="n"/>
      <c r="KFL19" s="253" t="n"/>
      <c r="KFM19" s="253" t="n"/>
      <c r="KFN19" s="253" t="n"/>
      <c r="KFO19" s="253" t="n"/>
      <c r="KFP19" s="253" t="n"/>
      <c r="KFQ19" s="253" t="n"/>
      <c r="KFR19" s="253" t="n"/>
      <c r="KFS19" s="253" t="n"/>
      <c r="KFT19" s="253" t="n"/>
      <c r="KFU19" s="253" t="n"/>
      <c r="KFV19" s="253" t="n"/>
      <c r="KFW19" s="253" t="n"/>
      <c r="KFX19" s="253" t="n"/>
      <c r="KFY19" s="253" t="n"/>
      <c r="KFZ19" s="253" t="n"/>
      <c r="KGA19" s="253" t="n"/>
      <c r="KGB19" s="253" t="n"/>
      <c r="KGC19" s="253" t="n"/>
      <c r="KGD19" s="253" t="n"/>
      <c r="KGE19" s="253" t="n"/>
      <c r="KGF19" s="253" t="n"/>
      <c r="KGG19" s="253" t="n"/>
      <c r="KGH19" s="253" t="n"/>
      <c r="KGI19" s="253" t="n"/>
      <c r="KGJ19" s="253" t="n"/>
      <c r="KGK19" s="253" t="n"/>
      <c r="KGL19" s="253" t="n"/>
      <c r="KGM19" s="253" t="n"/>
      <c r="KGN19" s="253" t="n"/>
      <c r="KGO19" s="253" t="n"/>
      <c r="KGP19" s="253" t="n"/>
      <c r="KGQ19" s="253" t="n"/>
      <c r="KGR19" s="253" t="n"/>
      <c r="KGS19" s="253" t="n"/>
      <c r="KGT19" s="253" t="n"/>
      <c r="KGU19" s="253" t="n"/>
      <c r="KGV19" s="253" t="n"/>
      <c r="KGW19" s="253" t="n"/>
      <c r="KGX19" s="253" t="n"/>
      <c r="KGY19" s="253" t="n"/>
      <c r="KGZ19" s="253" t="n"/>
      <c r="KHA19" s="253" t="n"/>
      <c r="KHB19" s="253" t="n"/>
      <c r="KHC19" s="253" t="n"/>
      <c r="KHD19" s="253" t="n"/>
      <c r="KHE19" s="253" t="n"/>
      <c r="KHF19" s="253" t="n"/>
      <c r="KHG19" s="253" t="n"/>
      <c r="KHH19" s="253" t="n"/>
      <c r="KHI19" s="253" t="n"/>
      <c r="KHJ19" s="253" t="n"/>
      <c r="KHK19" s="253" t="n"/>
      <c r="KHL19" s="253" t="n"/>
      <c r="KHM19" s="253" t="n"/>
      <c r="KHN19" s="253" t="n"/>
      <c r="KHO19" s="253" t="n"/>
      <c r="KHP19" s="253" t="n"/>
      <c r="KHQ19" s="253" t="n"/>
      <c r="KHR19" s="253" t="n"/>
      <c r="KHS19" s="253" t="n"/>
      <c r="KHT19" s="253" t="n"/>
      <c r="KHU19" s="253" t="n"/>
      <c r="KHV19" s="253" t="n"/>
      <c r="KHW19" s="253" t="n"/>
      <c r="KHX19" s="253" t="n"/>
      <c r="KHY19" s="253" t="n"/>
      <c r="KHZ19" s="253" t="n"/>
      <c r="KIA19" s="253" t="n"/>
      <c r="KIB19" s="253" t="n"/>
      <c r="KIC19" s="253" t="n"/>
      <c r="KID19" s="253" t="n"/>
      <c r="KIE19" s="253" t="n"/>
      <c r="KIF19" s="253" t="n"/>
      <c r="KIG19" s="253" t="n"/>
      <c r="KIH19" s="253" t="n"/>
      <c r="KII19" s="253" t="n"/>
      <c r="KIJ19" s="253" t="n"/>
      <c r="KIK19" s="253" t="n"/>
      <c r="KIL19" s="253" t="n"/>
      <c r="KIM19" s="253" t="n"/>
      <c r="KIN19" s="253" t="n"/>
      <c r="KIO19" s="253" t="n"/>
      <c r="KIP19" s="253" t="n"/>
      <c r="KIQ19" s="253" t="n"/>
      <c r="KIR19" s="253" t="n"/>
      <c r="KIS19" s="253" t="n"/>
      <c r="KIT19" s="253" t="n"/>
      <c r="KIU19" s="253" t="n"/>
      <c r="KIV19" s="253" t="n"/>
      <c r="KIW19" s="253" t="n"/>
      <c r="KIX19" s="253" t="n"/>
      <c r="KIY19" s="253" t="n"/>
      <c r="KIZ19" s="253" t="n"/>
      <c r="KJA19" s="253" t="n"/>
      <c r="KJB19" s="253" t="n"/>
      <c r="KJC19" s="253" t="n"/>
      <c r="KJD19" s="253" t="n"/>
      <c r="KJE19" s="253" t="n"/>
      <c r="KJF19" s="253" t="n"/>
      <c r="KJG19" s="253" t="n"/>
      <c r="KJH19" s="253" t="n"/>
      <c r="KJI19" s="253" t="n"/>
      <c r="KJJ19" s="253" t="n"/>
      <c r="KJK19" s="253" t="n"/>
      <c r="KJL19" s="253" t="n"/>
      <c r="KJM19" s="253" t="n"/>
      <c r="KJN19" s="253" t="n"/>
      <c r="KJO19" s="253" t="n"/>
      <c r="KJP19" s="253" t="n"/>
      <c r="KJQ19" s="253" t="n"/>
      <c r="KJR19" s="253" t="n"/>
      <c r="KJS19" s="253" t="n"/>
      <c r="KJT19" s="253" t="n"/>
      <c r="KJU19" s="253" t="n"/>
      <c r="KJV19" s="253" t="n"/>
      <c r="KJW19" s="253" t="n"/>
      <c r="KJX19" s="253" t="n"/>
      <c r="KJY19" s="253" t="n"/>
      <c r="KJZ19" s="253" t="n"/>
      <c r="KKA19" s="253" t="n"/>
      <c r="KKB19" s="253" t="n"/>
      <c r="KKC19" s="253" t="n"/>
      <c r="KKD19" s="253" t="n"/>
      <c r="KKE19" s="253" t="n"/>
      <c r="KKF19" s="253" t="n"/>
      <c r="KKG19" s="253" t="n"/>
      <c r="KKH19" s="253" t="n"/>
      <c r="KKI19" s="253" t="n"/>
      <c r="KKJ19" s="253" t="n"/>
      <c r="KKK19" s="253" t="n"/>
      <c r="KKL19" s="253" t="n"/>
      <c r="KKM19" s="253" t="n"/>
      <c r="KKN19" s="253" t="n"/>
      <c r="KKO19" s="253" t="n"/>
      <c r="KKP19" s="253" t="n"/>
      <c r="KKQ19" s="253" t="n"/>
      <c r="KKR19" s="253" t="n"/>
      <c r="KKS19" s="253" t="n"/>
      <c r="KKT19" s="253" t="n"/>
      <c r="KKU19" s="253" t="n"/>
      <c r="KKV19" s="253" t="n"/>
      <c r="KKW19" s="253" t="n"/>
      <c r="KKX19" s="253" t="n"/>
      <c r="KKY19" s="253" t="n"/>
      <c r="KKZ19" s="253" t="n"/>
      <c r="KLA19" s="253" t="n"/>
      <c r="KLB19" s="253" t="n"/>
      <c r="KLC19" s="253" t="n"/>
      <c r="KLD19" s="253" t="n"/>
      <c r="KLE19" s="253" t="n"/>
      <c r="KLF19" s="253" t="n"/>
      <c r="KLG19" s="253" t="n"/>
      <c r="KLH19" s="253" t="n"/>
      <c r="KLI19" s="253" t="n"/>
      <c r="KLJ19" s="253" t="n"/>
      <c r="KLK19" s="253" t="n"/>
      <c r="KLL19" s="253" t="n"/>
      <c r="KLM19" s="253" t="n"/>
      <c r="KLN19" s="253" t="n"/>
      <c r="KLO19" s="253" t="n"/>
      <c r="KLP19" s="253" t="n"/>
      <c r="KLQ19" s="253" t="n"/>
      <c r="KLR19" s="253" t="n"/>
      <c r="KLS19" s="253" t="n"/>
      <c r="KLT19" s="253" t="n"/>
      <c r="KLU19" s="253" t="n"/>
      <c r="KLV19" s="253" t="n"/>
      <c r="KLW19" s="253" t="n"/>
      <c r="KLX19" s="253" t="n"/>
      <c r="KLY19" s="253" t="n"/>
      <c r="KLZ19" s="253" t="n"/>
      <c r="KMA19" s="253" t="n"/>
      <c r="KMB19" s="253" t="n"/>
      <c r="KMC19" s="253" t="n"/>
      <c r="KMD19" s="253" t="n"/>
      <c r="KME19" s="253" t="n"/>
      <c r="KMF19" s="253" t="n"/>
      <c r="KMG19" s="253" t="n"/>
      <c r="KMH19" s="253" t="n"/>
      <c r="KMI19" s="253" t="n"/>
      <c r="KMJ19" s="253" t="n"/>
      <c r="KMK19" s="253" t="n"/>
      <c r="KML19" s="253" t="n"/>
      <c r="KMM19" s="253" t="n"/>
      <c r="KMN19" s="253" t="n"/>
      <c r="KMO19" s="253" t="n"/>
      <c r="KMP19" s="253" t="n"/>
      <c r="KMQ19" s="253" t="n"/>
      <c r="KMR19" s="253" t="n"/>
      <c r="KMS19" s="253" t="n"/>
      <c r="KMT19" s="253" t="n"/>
      <c r="KMU19" s="253" t="n"/>
      <c r="KMV19" s="253" t="n"/>
      <c r="KMW19" s="253" t="n"/>
      <c r="KMX19" s="253" t="n"/>
      <c r="KMY19" s="253" t="n"/>
      <c r="KMZ19" s="253" t="n"/>
      <c r="KNA19" s="253" t="n"/>
      <c r="KNB19" s="253" t="n"/>
      <c r="KNC19" s="253" t="n"/>
      <c r="KND19" s="253" t="n"/>
      <c r="KNE19" s="253" t="n"/>
      <c r="KNF19" s="253" t="n"/>
      <c r="KNG19" s="253" t="n"/>
      <c r="KNH19" s="253" t="n"/>
      <c r="KNI19" s="253" t="n"/>
      <c r="KNJ19" s="253" t="n"/>
      <c r="KNK19" s="253" t="n"/>
      <c r="KNL19" s="253" t="n"/>
      <c r="KNM19" s="253" t="n"/>
      <c r="KNN19" s="253" t="n"/>
      <c r="KNO19" s="253" t="n"/>
      <c r="KNP19" s="253" t="n"/>
      <c r="KNQ19" s="253" t="n"/>
      <c r="KNR19" s="253" t="n"/>
      <c r="KNS19" s="253" t="n"/>
      <c r="KNT19" s="253" t="n"/>
      <c r="KNU19" s="253" t="n"/>
      <c r="KNV19" s="253" t="n"/>
      <c r="KNW19" s="253" t="n"/>
      <c r="KNX19" s="253" t="n"/>
      <c r="KNY19" s="253" t="n"/>
      <c r="KNZ19" s="253" t="n"/>
      <c r="KOA19" s="253" t="n"/>
      <c r="KOB19" s="253" t="n"/>
      <c r="KOC19" s="253" t="n"/>
      <c r="KOD19" s="253" t="n"/>
      <c r="KOE19" s="253" t="n"/>
      <c r="KOF19" s="253" t="n"/>
      <c r="KOG19" s="253" t="n"/>
      <c r="KOH19" s="253" t="n"/>
      <c r="KOI19" s="253" t="n"/>
      <c r="KOJ19" s="253" t="n"/>
      <c r="KOK19" s="253" t="n"/>
      <c r="KOL19" s="253" t="n"/>
      <c r="KOM19" s="253" t="n"/>
      <c r="KON19" s="253" t="n"/>
      <c r="KOO19" s="253" t="n"/>
      <c r="KOP19" s="253" t="n"/>
      <c r="KOQ19" s="253" t="n"/>
      <c r="KOR19" s="253" t="n"/>
      <c r="KOS19" s="253" t="n"/>
      <c r="KOT19" s="253" t="n"/>
      <c r="KOU19" s="253" t="n"/>
      <c r="KOV19" s="253" t="n"/>
      <c r="KOW19" s="253" t="n"/>
      <c r="KOX19" s="253" t="n"/>
      <c r="KOY19" s="253" t="n"/>
      <c r="KOZ19" s="253" t="n"/>
      <c r="KPA19" s="253" t="n"/>
      <c r="KPB19" s="253" t="n"/>
      <c r="KPC19" s="253" t="n"/>
      <c r="KPD19" s="253" t="n"/>
      <c r="KPE19" s="253" t="n"/>
      <c r="KPF19" s="253" t="n"/>
      <c r="KPG19" s="253" t="n"/>
      <c r="KPH19" s="253" t="n"/>
      <c r="KPI19" s="253" t="n"/>
      <c r="KPJ19" s="253" t="n"/>
      <c r="KPK19" s="253" t="n"/>
      <c r="KPL19" s="253" t="n"/>
      <c r="KPM19" s="253" t="n"/>
      <c r="KPN19" s="253" t="n"/>
      <c r="KPO19" s="253" t="n"/>
      <c r="KPP19" s="253" t="n"/>
      <c r="KPQ19" s="253" t="n"/>
      <c r="KPR19" s="253" t="n"/>
      <c r="KPS19" s="253" t="n"/>
      <c r="KPT19" s="253" t="n"/>
      <c r="KPU19" s="253" t="n"/>
      <c r="KPV19" s="253" t="n"/>
      <c r="KPW19" s="253" t="n"/>
      <c r="KPX19" s="253" t="n"/>
      <c r="KPY19" s="253" t="n"/>
      <c r="KPZ19" s="253" t="n"/>
      <c r="KQA19" s="253" t="n"/>
      <c r="KQB19" s="253" t="n"/>
      <c r="KQC19" s="253" t="n"/>
      <c r="KQD19" s="253" t="n"/>
      <c r="KQE19" s="253" t="n"/>
      <c r="KQF19" s="253" t="n"/>
      <c r="KQG19" s="253" t="n"/>
      <c r="KQH19" s="253" t="n"/>
      <c r="KQI19" s="253" t="n"/>
      <c r="KQJ19" s="253" t="n"/>
      <c r="KQK19" s="253" t="n"/>
      <c r="KQL19" s="253" t="n"/>
      <c r="KQM19" s="253" t="n"/>
      <c r="KQN19" s="253" t="n"/>
      <c r="KQO19" s="253" t="n"/>
      <c r="KQP19" s="253" t="n"/>
      <c r="KQQ19" s="253" t="n"/>
      <c r="KQR19" s="253" t="n"/>
      <c r="KQS19" s="253" t="n"/>
      <c r="KQT19" s="253" t="n"/>
      <c r="KQU19" s="253" t="n"/>
      <c r="KQV19" s="253" t="n"/>
      <c r="KQW19" s="253" t="n"/>
      <c r="KQX19" s="253" t="n"/>
      <c r="KQY19" s="253" t="n"/>
      <c r="KQZ19" s="253" t="n"/>
      <c r="KRA19" s="253" t="n"/>
      <c r="KRB19" s="253" t="n"/>
      <c r="KRC19" s="253" t="n"/>
      <c r="KRD19" s="253" t="n"/>
      <c r="KRE19" s="253" t="n"/>
      <c r="KRF19" s="253" t="n"/>
      <c r="KRG19" s="253" t="n"/>
      <c r="KRH19" s="253" t="n"/>
      <c r="KRI19" s="253" t="n"/>
      <c r="KRJ19" s="253" t="n"/>
      <c r="KRK19" s="253" t="n"/>
      <c r="KRL19" s="253" t="n"/>
      <c r="KRM19" s="253" t="n"/>
      <c r="KRN19" s="253" t="n"/>
      <c r="KRO19" s="253" t="n"/>
      <c r="KRP19" s="253" t="n"/>
      <c r="KRQ19" s="253" t="n"/>
      <c r="KRR19" s="253" t="n"/>
      <c r="KRS19" s="253" t="n"/>
      <c r="KRT19" s="253" t="n"/>
      <c r="KRU19" s="253" t="n"/>
      <c r="KRV19" s="253" t="n"/>
      <c r="KRW19" s="253" t="n"/>
      <c r="KRX19" s="253" t="n"/>
      <c r="KRY19" s="253" t="n"/>
      <c r="KRZ19" s="253" t="n"/>
      <c r="KSA19" s="253" t="n"/>
      <c r="KSB19" s="253" t="n"/>
      <c r="KSC19" s="253" t="n"/>
      <c r="KSD19" s="253" t="n"/>
      <c r="KSE19" s="253" t="n"/>
      <c r="KSF19" s="253" t="n"/>
      <c r="KSG19" s="253" t="n"/>
      <c r="KSH19" s="253" t="n"/>
      <c r="KSI19" s="253" t="n"/>
      <c r="KSJ19" s="253" t="n"/>
      <c r="KSK19" s="253" t="n"/>
      <c r="KSL19" s="253" t="n"/>
      <c r="KSM19" s="253" t="n"/>
      <c r="KSN19" s="253" t="n"/>
      <c r="KSO19" s="253" t="n"/>
      <c r="KSP19" s="253" t="n"/>
      <c r="KSQ19" s="253" t="n"/>
      <c r="KSR19" s="253" t="n"/>
      <c r="KSS19" s="253" t="n"/>
      <c r="KST19" s="253" t="n"/>
      <c r="KSU19" s="253" t="n"/>
      <c r="KSV19" s="253" t="n"/>
      <c r="KSW19" s="253" t="n"/>
      <c r="KSX19" s="253" t="n"/>
      <c r="KSY19" s="253" t="n"/>
      <c r="KSZ19" s="253" t="n"/>
      <c r="KTA19" s="253" t="n"/>
      <c r="KTB19" s="253" t="n"/>
      <c r="KTC19" s="253" t="n"/>
      <c r="KTD19" s="253" t="n"/>
      <c r="KTE19" s="253" t="n"/>
      <c r="KTF19" s="253" t="n"/>
      <c r="KTG19" s="253" t="n"/>
      <c r="KTH19" s="253" t="n"/>
      <c r="KTI19" s="253" t="n"/>
      <c r="KTJ19" s="253" t="n"/>
      <c r="KTK19" s="253" t="n"/>
      <c r="KTL19" s="253" t="n"/>
      <c r="KTM19" s="253" t="n"/>
      <c r="KTN19" s="253" t="n"/>
      <c r="KTO19" s="253" t="n"/>
      <c r="KTP19" s="253" t="n"/>
      <c r="KTQ19" s="253" t="n"/>
      <c r="KTR19" s="253" t="n"/>
      <c r="KTS19" s="253" t="n"/>
      <c r="KTT19" s="253" t="n"/>
      <c r="KTU19" s="253" t="n"/>
      <c r="KTV19" s="253" t="n"/>
      <c r="KTW19" s="253" t="n"/>
      <c r="KTX19" s="253" t="n"/>
      <c r="KTY19" s="253" t="n"/>
      <c r="KTZ19" s="253" t="n"/>
      <c r="KUA19" s="253" t="n"/>
      <c r="KUB19" s="253" t="n"/>
      <c r="KUC19" s="253" t="n"/>
      <c r="KUD19" s="253" t="n"/>
      <c r="KUE19" s="253" t="n"/>
      <c r="KUF19" s="253" t="n"/>
      <c r="KUG19" s="253" t="n"/>
      <c r="KUH19" s="253" t="n"/>
      <c r="KUI19" s="253" t="n"/>
      <c r="KUJ19" s="253" t="n"/>
      <c r="KUK19" s="253" t="n"/>
      <c r="KUL19" s="253" t="n"/>
      <c r="KUM19" s="253" t="n"/>
      <c r="KUN19" s="253" t="n"/>
      <c r="KUO19" s="253" t="n"/>
      <c r="KUP19" s="253" t="n"/>
      <c r="KUQ19" s="253" t="n"/>
      <c r="KUR19" s="253" t="n"/>
      <c r="KUS19" s="253" t="n"/>
      <c r="KUT19" s="253" t="n"/>
      <c r="KUU19" s="253" t="n"/>
      <c r="KUV19" s="253" t="n"/>
      <c r="KUW19" s="253" t="n"/>
      <c r="KUX19" s="253" t="n"/>
      <c r="KUY19" s="253" t="n"/>
      <c r="KUZ19" s="253" t="n"/>
      <c r="KVA19" s="253" t="n"/>
      <c r="KVB19" s="253" t="n"/>
      <c r="KVC19" s="253" t="n"/>
      <c r="KVD19" s="253" t="n"/>
      <c r="KVE19" s="253" t="n"/>
      <c r="KVF19" s="253" t="n"/>
      <c r="KVG19" s="253" t="n"/>
      <c r="KVH19" s="253" t="n"/>
      <c r="KVI19" s="253" t="n"/>
      <c r="KVJ19" s="253" t="n"/>
      <c r="KVK19" s="253" t="n"/>
      <c r="KVL19" s="253" t="n"/>
      <c r="KVM19" s="253" t="n"/>
      <c r="KVN19" s="253" t="n"/>
      <c r="KVO19" s="253" t="n"/>
      <c r="KVP19" s="253" t="n"/>
      <c r="KVQ19" s="253" t="n"/>
      <c r="KVR19" s="253" t="n"/>
      <c r="KVS19" s="253" t="n"/>
      <c r="KVT19" s="253" t="n"/>
      <c r="KVU19" s="253" t="n"/>
      <c r="KVV19" s="253" t="n"/>
      <c r="KVW19" s="253" t="n"/>
      <c r="KVX19" s="253" t="n"/>
      <c r="KVY19" s="253" t="n"/>
      <c r="KVZ19" s="253" t="n"/>
      <c r="KWA19" s="253" t="n"/>
      <c r="KWB19" s="253" t="n"/>
      <c r="KWC19" s="253" t="n"/>
      <c r="KWD19" s="253" t="n"/>
      <c r="KWE19" s="253" t="n"/>
      <c r="KWF19" s="253" t="n"/>
      <c r="KWG19" s="253" t="n"/>
      <c r="KWH19" s="253" t="n"/>
      <c r="KWI19" s="253" t="n"/>
      <c r="KWJ19" s="253" t="n"/>
      <c r="KWK19" s="253" t="n"/>
      <c r="KWL19" s="253" t="n"/>
      <c r="KWM19" s="253" t="n"/>
      <c r="KWN19" s="253" t="n"/>
      <c r="KWO19" s="253" t="n"/>
      <c r="KWP19" s="253" t="n"/>
      <c r="KWQ19" s="253" t="n"/>
      <c r="KWR19" s="253" t="n"/>
      <c r="KWS19" s="253" t="n"/>
      <c r="KWT19" s="253" t="n"/>
      <c r="KWU19" s="253" t="n"/>
      <c r="KWV19" s="253" t="n"/>
      <c r="KWW19" s="253" t="n"/>
      <c r="KWX19" s="253" t="n"/>
      <c r="KWY19" s="253" t="n"/>
      <c r="KWZ19" s="253" t="n"/>
      <c r="KXA19" s="253" t="n"/>
      <c r="KXB19" s="253" t="n"/>
      <c r="KXC19" s="253" t="n"/>
      <c r="KXD19" s="253" t="n"/>
      <c r="KXE19" s="253" t="n"/>
      <c r="KXF19" s="253" t="n"/>
      <c r="KXG19" s="253" t="n"/>
      <c r="KXH19" s="253" t="n"/>
      <c r="KXI19" s="253" t="n"/>
      <c r="KXJ19" s="253" t="n"/>
      <c r="KXK19" s="253" t="n"/>
      <c r="KXL19" s="253" t="n"/>
      <c r="KXM19" s="253" t="n"/>
      <c r="KXN19" s="253" t="n"/>
      <c r="KXO19" s="253" t="n"/>
      <c r="KXP19" s="253" t="n"/>
      <c r="KXQ19" s="253" t="n"/>
      <c r="KXR19" s="253" t="n"/>
      <c r="KXS19" s="253" t="n"/>
      <c r="KXT19" s="253" t="n"/>
      <c r="KXU19" s="253" t="n"/>
      <c r="KXV19" s="253" t="n"/>
      <c r="KXW19" s="253" t="n"/>
      <c r="KXX19" s="253" t="n"/>
      <c r="KXY19" s="253" t="n"/>
      <c r="KXZ19" s="253" t="n"/>
      <c r="KYA19" s="253" t="n"/>
      <c r="KYB19" s="253" t="n"/>
      <c r="KYC19" s="253" t="n"/>
      <c r="KYD19" s="253" t="n"/>
      <c r="KYE19" s="253" t="n"/>
      <c r="KYF19" s="253" t="n"/>
      <c r="KYG19" s="253" t="n"/>
      <c r="KYH19" s="253" t="n"/>
      <c r="KYI19" s="253" t="n"/>
      <c r="KYJ19" s="253" t="n"/>
      <c r="KYK19" s="253" t="n"/>
      <c r="KYL19" s="253" t="n"/>
      <c r="KYM19" s="253" t="n"/>
      <c r="KYN19" s="253" t="n"/>
      <c r="KYO19" s="253" t="n"/>
      <c r="KYP19" s="253" t="n"/>
      <c r="KYQ19" s="253" t="n"/>
      <c r="KYR19" s="253" t="n"/>
      <c r="KYS19" s="253" t="n"/>
      <c r="KYT19" s="253" t="n"/>
      <c r="KYU19" s="253" t="n"/>
      <c r="KYV19" s="253" t="n"/>
      <c r="KYW19" s="253" t="n"/>
      <c r="KYX19" s="253" t="n"/>
      <c r="KYY19" s="253" t="n"/>
      <c r="KYZ19" s="253" t="n"/>
      <c r="KZA19" s="253" t="n"/>
      <c r="KZB19" s="253" t="n"/>
      <c r="KZC19" s="253" t="n"/>
      <c r="KZD19" s="253" t="n"/>
      <c r="KZE19" s="253" t="n"/>
      <c r="KZF19" s="253" t="n"/>
      <c r="KZG19" s="253" t="n"/>
      <c r="KZH19" s="253" t="n"/>
      <c r="KZI19" s="253" t="n"/>
      <c r="KZJ19" s="253" t="n"/>
      <c r="KZK19" s="253" t="n"/>
      <c r="KZL19" s="253" t="n"/>
      <c r="KZM19" s="253" t="n"/>
      <c r="KZN19" s="253" t="n"/>
      <c r="KZO19" s="253" t="n"/>
      <c r="KZP19" s="253" t="n"/>
      <c r="KZQ19" s="253" t="n"/>
      <c r="KZR19" s="253" t="n"/>
      <c r="KZS19" s="253" t="n"/>
      <c r="KZT19" s="253" t="n"/>
      <c r="KZU19" s="253" t="n"/>
      <c r="KZV19" s="253" t="n"/>
      <c r="KZW19" s="253" t="n"/>
      <c r="KZX19" s="253" t="n"/>
      <c r="KZY19" s="253" t="n"/>
      <c r="KZZ19" s="253" t="n"/>
      <c r="LAA19" s="253" t="n"/>
      <c r="LAB19" s="253" t="n"/>
      <c r="LAC19" s="253" t="n"/>
      <c r="LAD19" s="253" t="n"/>
      <c r="LAE19" s="253" t="n"/>
      <c r="LAF19" s="253" t="n"/>
      <c r="LAG19" s="253" t="n"/>
      <c r="LAH19" s="253" t="n"/>
      <c r="LAI19" s="253" t="n"/>
      <c r="LAJ19" s="253" t="n"/>
      <c r="LAK19" s="253" t="n"/>
      <c r="LAL19" s="253" t="n"/>
      <c r="LAM19" s="253" t="n"/>
      <c r="LAN19" s="253" t="n"/>
      <c r="LAO19" s="253" t="n"/>
      <c r="LAP19" s="253" t="n"/>
      <c r="LAQ19" s="253" t="n"/>
      <c r="LAR19" s="253" t="n"/>
      <c r="LAS19" s="253" t="n"/>
      <c r="LAT19" s="253" t="n"/>
      <c r="LAU19" s="253" t="n"/>
      <c r="LAV19" s="253" t="n"/>
      <c r="LAW19" s="253" t="n"/>
      <c r="LAX19" s="253" t="n"/>
      <c r="LAY19" s="253" t="n"/>
      <c r="LAZ19" s="253" t="n"/>
      <c r="LBA19" s="253" t="n"/>
      <c r="LBB19" s="253" t="n"/>
      <c r="LBC19" s="253" t="n"/>
      <c r="LBD19" s="253" t="n"/>
      <c r="LBE19" s="253" t="n"/>
      <c r="LBF19" s="253" t="n"/>
      <c r="LBG19" s="253" t="n"/>
      <c r="LBH19" s="253" t="n"/>
      <c r="LBI19" s="253" t="n"/>
      <c r="LBJ19" s="253" t="n"/>
      <c r="LBK19" s="253" t="n"/>
      <c r="LBL19" s="253" t="n"/>
      <c r="LBM19" s="253" t="n"/>
      <c r="LBN19" s="253" t="n"/>
      <c r="LBO19" s="253" t="n"/>
      <c r="LBP19" s="253" t="n"/>
      <c r="LBQ19" s="253" t="n"/>
      <c r="LBR19" s="253" t="n"/>
      <c r="LBS19" s="253" t="n"/>
      <c r="LBT19" s="253" t="n"/>
      <c r="LBU19" s="253" t="n"/>
      <c r="LBV19" s="253" t="n"/>
      <c r="LBW19" s="253" t="n"/>
      <c r="LBX19" s="253" t="n"/>
      <c r="LBY19" s="253" t="n"/>
      <c r="LBZ19" s="253" t="n"/>
      <c r="LCA19" s="253" t="n"/>
      <c r="LCB19" s="253" t="n"/>
      <c r="LCC19" s="253" t="n"/>
      <c r="LCD19" s="253" t="n"/>
      <c r="LCE19" s="253" t="n"/>
      <c r="LCF19" s="253" t="n"/>
      <c r="LCG19" s="253" t="n"/>
      <c r="LCH19" s="253" t="n"/>
      <c r="LCI19" s="253" t="n"/>
      <c r="LCJ19" s="253" t="n"/>
      <c r="LCK19" s="253" t="n"/>
      <c r="LCL19" s="253" t="n"/>
      <c r="LCM19" s="253" t="n"/>
      <c r="LCN19" s="253" t="n"/>
      <c r="LCO19" s="253" t="n"/>
      <c r="LCP19" s="253" t="n"/>
      <c r="LCQ19" s="253" t="n"/>
      <c r="LCR19" s="253" t="n"/>
      <c r="LCS19" s="253" t="n"/>
      <c r="LCT19" s="253" t="n"/>
      <c r="LCU19" s="253" t="n"/>
      <c r="LCV19" s="253" t="n"/>
      <c r="LCW19" s="253" t="n"/>
      <c r="LCX19" s="253" t="n"/>
      <c r="LCY19" s="253" t="n"/>
      <c r="LCZ19" s="253" t="n"/>
      <c r="LDA19" s="253" t="n"/>
      <c r="LDB19" s="253" t="n"/>
      <c r="LDC19" s="253" t="n"/>
      <c r="LDD19" s="253" t="n"/>
      <c r="LDE19" s="253" t="n"/>
      <c r="LDF19" s="253" t="n"/>
      <c r="LDG19" s="253" t="n"/>
      <c r="LDH19" s="253" t="n"/>
      <c r="LDI19" s="253" t="n"/>
      <c r="LDJ19" s="253" t="n"/>
      <c r="LDK19" s="253" t="n"/>
      <c r="LDL19" s="253" t="n"/>
      <c r="LDM19" s="253" t="n"/>
      <c r="LDN19" s="253" t="n"/>
      <c r="LDO19" s="253" t="n"/>
      <c r="LDP19" s="253" t="n"/>
      <c r="LDQ19" s="253" t="n"/>
      <c r="LDR19" s="253" t="n"/>
      <c r="LDS19" s="253" t="n"/>
      <c r="LDT19" s="253" t="n"/>
      <c r="LDU19" s="253" t="n"/>
      <c r="LDV19" s="253" t="n"/>
      <c r="LDW19" s="253" t="n"/>
      <c r="LDX19" s="253" t="n"/>
      <c r="LDY19" s="253" t="n"/>
      <c r="LDZ19" s="253" t="n"/>
      <c r="LEA19" s="253" t="n"/>
      <c r="LEB19" s="253" t="n"/>
      <c r="LEC19" s="253" t="n"/>
      <c r="LED19" s="253" t="n"/>
      <c r="LEE19" s="253" t="n"/>
      <c r="LEF19" s="253" t="n"/>
      <c r="LEG19" s="253" t="n"/>
      <c r="LEH19" s="253" t="n"/>
      <c r="LEI19" s="253" t="n"/>
      <c r="LEJ19" s="253" t="n"/>
      <c r="LEK19" s="253" t="n"/>
      <c r="LEL19" s="253" t="n"/>
      <c r="LEM19" s="253" t="n"/>
      <c r="LEN19" s="253" t="n"/>
      <c r="LEO19" s="253" t="n"/>
      <c r="LEP19" s="253" t="n"/>
      <c r="LEQ19" s="253" t="n"/>
      <c r="LER19" s="253" t="n"/>
      <c r="LES19" s="253" t="n"/>
      <c r="LET19" s="253" t="n"/>
      <c r="LEU19" s="253" t="n"/>
      <c r="LEV19" s="253" t="n"/>
      <c r="LEW19" s="253" t="n"/>
      <c r="LEX19" s="253" t="n"/>
      <c r="LEY19" s="253" t="n"/>
      <c r="LEZ19" s="253" t="n"/>
      <c r="LFA19" s="253" t="n"/>
      <c r="LFB19" s="253" t="n"/>
      <c r="LFC19" s="253" t="n"/>
      <c r="LFD19" s="253" t="n"/>
      <c r="LFE19" s="253" t="n"/>
      <c r="LFF19" s="253" t="n"/>
      <c r="LFG19" s="253" t="n"/>
      <c r="LFH19" s="253" t="n"/>
      <c r="LFI19" s="253" t="n"/>
      <c r="LFJ19" s="253" t="n"/>
      <c r="LFK19" s="253" t="n"/>
      <c r="LFL19" s="252" t="n"/>
      <c r="LFM19" s="253" t="n"/>
      <c r="LFN19" s="253" t="n"/>
      <c r="LFO19" s="253" t="n"/>
      <c r="LFP19" s="253" t="n"/>
      <c r="LFQ19" s="253" t="n"/>
      <c r="LFR19" s="253" t="n"/>
      <c r="LFS19" s="253" t="n"/>
      <c r="LFT19" s="253" t="n"/>
      <c r="LFU19" s="253" t="n"/>
      <c r="LFV19" s="253" t="n"/>
      <c r="LFW19" s="253" t="n"/>
      <c r="LFX19" s="253" t="n"/>
      <c r="LFY19" s="253" t="n"/>
      <c r="LFZ19" s="253" t="n"/>
      <c r="LGA19" s="253" t="n"/>
      <c r="LGB19" s="253" t="n"/>
      <c r="LGC19" s="253" t="n"/>
      <c r="LGD19" s="253" t="n"/>
      <c r="LGE19" s="253" t="n"/>
      <c r="LGF19" s="253" t="n"/>
      <c r="LGG19" s="253" t="n"/>
      <c r="LGH19" s="253" t="n"/>
      <c r="LGI19" s="253" t="n"/>
      <c r="LGJ19" s="253" t="n"/>
      <c r="LGK19" s="253" t="n"/>
      <c r="LGL19" s="253" t="n"/>
      <c r="LGM19" s="253" t="n"/>
      <c r="LGN19" s="253" t="n"/>
      <c r="LGO19" s="253" t="n"/>
      <c r="LGP19" s="253" t="n"/>
      <c r="LGQ19" s="253" t="n"/>
      <c r="LGR19" s="253" t="n"/>
      <c r="LGS19" s="253" t="n"/>
      <c r="LGT19" s="253" t="n"/>
      <c r="LGU19" s="253" t="n"/>
      <c r="LGV19" s="253" t="n"/>
      <c r="LGW19" s="253" t="n"/>
      <c r="LGX19" s="253" t="n"/>
      <c r="LGY19" s="253" t="n"/>
      <c r="LGZ19" s="253" t="n"/>
      <c r="LHA19" s="253" t="n"/>
      <c r="LHB19" s="253" t="n"/>
      <c r="LHC19" s="253" t="n"/>
      <c r="LHD19" s="253" t="n"/>
      <c r="LHE19" s="253" t="n"/>
      <c r="LHF19" s="253" t="n"/>
      <c r="LHG19" s="253" t="n"/>
      <c r="LHH19" s="253" t="n"/>
      <c r="LHI19" s="253" t="n"/>
      <c r="LHJ19" s="253" t="n"/>
      <c r="LHK19" s="253" t="n"/>
      <c r="LHL19" s="253" t="n"/>
      <c r="LHM19" s="253" t="n"/>
      <c r="LHN19" s="253" t="n"/>
      <c r="LHO19" s="253" t="n"/>
      <c r="LHP19" s="253" t="n"/>
      <c r="LHQ19" s="253" t="n"/>
      <c r="LHR19" s="253" t="n"/>
      <c r="LHS19" s="253" t="n"/>
      <c r="LHT19" s="253" t="n"/>
      <c r="LHU19" s="253" t="n"/>
      <c r="LHV19" s="253" t="n"/>
      <c r="LHW19" s="253" t="n"/>
      <c r="LHX19" s="253" t="n"/>
      <c r="LHY19" s="253" t="n"/>
      <c r="LHZ19" s="253" t="n"/>
      <c r="LIA19" s="253" t="n"/>
      <c r="LIB19" s="253" t="n"/>
      <c r="LIC19" s="253" t="n"/>
      <c r="LID19" s="253" t="n"/>
      <c r="LIE19" s="253" t="n"/>
      <c r="LIF19" s="253" t="n"/>
      <c r="LIG19" s="253" t="n"/>
      <c r="LIH19" s="253" t="n"/>
      <c r="LII19" s="253" t="n"/>
      <c r="LIJ19" s="253" t="n"/>
      <c r="LIK19" s="253" t="n"/>
      <c r="LIL19" s="253" t="n"/>
      <c r="LIM19" s="253" t="n"/>
      <c r="LIN19" s="253" t="n"/>
      <c r="LIO19" s="253" t="n"/>
      <c r="LIP19" s="253" t="n"/>
      <c r="LIQ19" s="253" t="n"/>
      <c r="LIR19" s="253" t="n"/>
      <c r="LIS19" s="253" t="n"/>
      <c r="LIT19" s="253" t="n"/>
      <c r="LIU19" s="253" t="n"/>
      <c r="LIV19" s="253" t="n"/>
      <c r="LIW19" s="253" t="n"/>
      <c r="LIX19" s="253" t="n"/>
      <c r="LIY19" s="253" t="n"/>
      <c r="LIZ19" s="253" t="n"/>
      <c r="LJA19" s="253" t="n"/>
      <c r="LJB19" s="253" t="n"/>
      <c r="LJC19" s="253" t="n"/>
      <c r="LJD19" s="253" t="n"/>
      <c r="LJE19" s="253" t="n"/>
      <c r="LJF19" s="253" t="n"/>
      <c r="LJG19" s="253" t="n"/>
      <c r="LJH19" s="253" t="n"/>
      <c r="LJI19" s="253" t="n"/>
      <c r="LJJ19" s="253" t="n"/>
      <c r="LJK19" s="253" t="n"/>
      <c r="LJL19" s="253" t="n"/>
      <c r="LJM19" s="253" t="n"/>
      <c r="LJN19" s="253" t="n"/>
      <c r="LJO19" s="253" t="n"/>
      <c r="LJP19" s="253" t="n"/>
      <c r="LJQ19" s="253" t="n"/>
      <c r="LJR19" s="253" t="n"/>
      <c r="LJS19" s="253" t="n"/>
      <c r="LJT19" s="253" t="n"/>
      <c r="LJU19" s="253" t="n"/>
      <c r="LJV19" s="253" t="n"/>
      <c r="LJW19" s="253" t="n"/>
      <c r="LJX19" s="253" t="n"/>
      <c r="LJY19" s="253" t="n"/>
      <c r="LJZ19" s="253" t="n"/>
      <c r="LKA19" s="253" t="n"/>
      <c r="LKB19" s="253" t="n"/>
      <c r="LKC19" s="253" t="n"/>
      <c r="LKD19" s="253" t="n"/>
      <c r="LKE19" s="253" t="n"/>
      <c r="LKF19" s="253" t="n"/>
      <c r="LKG19" s="253" t="n"/>
      <c r="LKH19" s="253" t="n"/>
      <c r="LKI19" s="253" t="n"/>
      <c r="LKJ19" s="253" t="n"/>
      <c r="LKK19" s="253" t="n"/>
      <c r="LKL19" s="253" t="n"/>
      <c r="LKM19" s="253" t="n"/>
      <c r="LKN19" s="253" t="n"/>
      <c r="LKO19" s="253" t="n"/>
      <c r="LKP19" s="253" t="n"/>
      <c r="LKQ19" s="253" t="n"/>
      <c r="LKR19" s="253" t="n"/>
      <c r="LKS19" s="253" t="n"/>
      <c r="LKT19" s="253" t="n"/>
      <c r="LKU19" s="253" t="n"/>
      <c r="LKV19" s="253" t="n"/>
      <c r="LKW19" s="253" t="n"/>
      <c r="LKX19" s="253" t="n"/>
      <c r="LKY19" s="253" t="n"/>
      <c r="LKZ19" s="253" t="n"/>
      <c r="LLA19" s="253" t="n"/>
      <c r="LLB19" s="253" t="n"/>
      <c r="LLC19" s="253" t="n"/>
      <c r="LLD19" s="253" t="n"/>
      <c r="LLE19" s="253" t="n"/>
      <c r="LLF19" s="253" t="n"/>
      <c r="LLG19" s="253" t="n"/>
      <c r="LLH19" s="253" t="n"/>
      <c r="LLI19" s="253" t="n"/>
      <c r="LLJ19" s="253" t="n"/>
      <c r="LLK19" s="253" t="n"/>
      <c r="LLL19" s="253" t="n"/>
      <c r="LLM19" s="253" t="n"/>
      <c r="LLN19" s="253" t="n"/>
      <c r="LLO19" s="253" t="n"/>
      <c r="LLP19" s="253" t="n"/>
      <c r="LLQ19" s="253" t="n"/>
      <c r="LLR19" s="253" t="n"/>
      <c r="LLS19" s="253" t="n"/>
      <c r="LLT19" s="253" t="n"/>
      <c r="LLU19" s="253" t="n"/>
      <c r="LLV19" s="253" t="n"/>
      <c r="LLW19" s="253" t="n"/>
      <c r="LLX19" s="253" t="n"/>
      <c r="LLY19" s="253" t="n"/>
      <c r="LLZ19" s="253" t="n"/>
      <c r="LMA19" s="253" t="n"/>
      <c r="LMB19" s="253" t="n"/>
      <c r="LMC19" s="253" t="n"/>
      <c r="LMD19" s="253" t="n"/>
      <c r="LME19" s="253" t="n"/>
      <c r="LMF19" s="253" t="n"/>
      <c r="LMG19" s="253" t="n"/>
      <c r="LMH19" s="253" t="n"/>
      <c r="LMI19" s="253" t="n"/>
      <c r="LMJ19" s="253" t="n"/>
      <c r="LMK19" s="253" t="n"/>
      <c r="LML19" s="253" t="n"/>
      <c r="LMM19" s="253" t="n"/>
      <c r="LMN19" s="253" t="n"/>
      <c r="LMO19" s="253" t="n"/>
      <c r="LMP19" s="253" t="n"/>
      <c r="LMQ19" s="253" t="n"/>
      <c r="LMR19" s="253" t="n"/>
      <c r="LMS19" s="253" t="n"/>
      <c r="LMT19" s="253" t="n"/>
      <c r="LMU19" s="253" t="n"/>
      <c r="LMV19" s="253" t="n"/>
      <c r="LMW19" s="253" t="n"/>
      <c r="LMX19" s="253" t="n"/>
      <c r="LMY19" s="253" t="n"/>
      <c r="LMZ19" s="253" t="n"/>
      <c r="LNA19" s="253" t="n"/>
      <c r="LNB19" s="253" t="n"/>
      <c r="LNC19" s="253" t="n"/>
      <c r="LND19" s="253" t="n"/>
      <c r="LNE19" s="253" t="n"/>
      <c r="LNF19" s="253" t="n"/>
      <c r="LNG19" s="253" t="n"/>
      <c r="LNH19" s="253" t="n"/>
      <c r="LNI19" s="253" t="n"/>
      <c r="LNJ19" s="253" t="n"/>
      <c r="LNK19" s="253" t="n"/>
      <c r="LNL19" s="253" t="n"/>
      <c r="LNM19" s="253" t="n"/>
      <c r="LNN19" s="253" t="n"/>
      <c r="LNO19" s="253" t="n"/>
      <c r="LNP19" s="253" t="n"/>
      <c r="LNQ19" s="253" t="n"/>
      <c r="LNR19" s="253" t="n"/>
      <c r="LNS19" s="253" t="n"/>
      <c r="LNT19" s="253" t="n"/>
      <c r="LNU19" s="253" t="n"/>
      <c r="LNV19" s="253" t="n"/>
      <c r="LNW19" s="253" t="n"/>
      <c r="LNX19" s="253" t="n"/>
      <c r="LNY19" s="253" t="n"/>
      <c r="LNZ19" s="253" t="n"/>
      <c r="LOA19" s="253" t="n"/>
      <c r="LOB19" s="253" t="n"/>
      <c r="LOC19" s="253" t="n"/>
      <c r="LOD19" s="253" t="n"/>
      <c r="LOE19" s="253" t="n"/>
      <c r="LOF19" s="253" t="n"/>
      <c r="LOG19" s="253" t="n"/>
      <c r="LOH19" s="253" t="n"/>
      <c r="LOI19" s="253" t="n"/>
      <c r="LOJ19" s="253" t="n"/>
      <c r="LOK19" s="253" t="n"/>
      <c r="LOL19" s="253" t="n"/>
      <c r="LOM19" s="253" t="n"/>
      <c r="LON19" s="253" t="n"/>
      <c r="LOO19" s="253" t="n"/>
      <c r="LOP19" s="253" t="n"/>
      <c r="LOQ19" s="253" t="n"/>
      <c r="LOR19" s="253" t="n"/>
      <c r="LOS19" s="253" t="n"/>
      <c r="LOT19" s="253" t="n"/>
      <c r="LOU19" s="253" t="n"/>
      <c r="LOV19" s="253" t="n"/>
      <c r="LOW19" s="253" t="n"/>
      <c r="LOX19" s="253" t="n"/>
      <c r="LOY19" s="253" t="n"/>
      <c r="LOZ19" s="253" t="n"/>
      <c r="LPA19" s="253" t="n"/>
      <c r="LPB19" s="253" t="n"/>
      <c r="LPC19" s="253" t="n"/>
      <c r="LPD19" s="253" t="n"/>
      <c r="LPE19" s="253" t="n"/>
      <c r="LPF19" s="253" t="n"/>
      <c r="LPG19" s="253" t="n"/>
      <c r="LPH19" s="253" t="n"/>
      <c r="LPI19" s="253" t="n"/>
      <c r="LPJ19" s="253" t="n"/>
      <c r="LPK19" s="253" t="n"/>
      <c r="LPL19" s="253" t="n"/>
      <c r="LPM19" s="253" t="n"/>
      <c r="LPN19" s="253" t="n"/>
      <c r="LPO19" s="253" t="n"/>
      <c r="LPP19" s="253" t="n"/>
      <c r="LPQ19" s="253" t="n"/>
      <c r="LPR19" s="253" t="n"/>
      <c r="LPS19" s="253" t="n"/>
      <c r="LPT19" s="253" t="n"/>
      <c r="LPU19" s="253" t="n"/>
      <c r="LPV19" s="253" t="n"/>
      <c r="LPW19" s="253" t="n"/>
      <c r="LPX19" s="253" t="n"/>
      <c r="LPY19" s="253" t="n"/>
      <c r="LPZ19" s="253" t="n"/>
      <c r="LQA19" s="253" t="n"/>
      <c r="LQB19" s="253" t="n"/>
      <c r="LQC19" s="253" t="n"/>
      <c r="LQD19" s="253" t="n"/>
      <c r="LQE19" s="253" t="n"/>
      <c r="LQF19" s="253" t="n"/>
      <c r="LQG19" s="253" t="n"/>
      <c r="LQH19" s="253" t="n"/>
      <c r="LQI19" s="253" t="n"/>
      <c r="LQJ19" s="253" t="n"/>
      <c r="LQK19" s="253" t="n"/>
      <c r="LQL19" s="253" t="n"/>
      <c r="LQM19" s="253" t="n"/>
      <c r="LQN19" s="253" t="n"/>
      <c r="LQO19" s="253" t="n"/>
      <c r="LQP19" s="253" t="n"/>
      <c r="LQQ19" s="253" t="n"/>
      <c r="LQR19" s="253" t="n"/>
      <c r="LQS19" s="253" t="n"/>
      <c r="LQT19" s="253" t="n"/>
      <c r="LQU19" s="253" t="n"/>
      <c r="LQV19" s="253" t="n"/>
      <c r="LQW19" s="253" t="n"/>
      <c r="LQX19" s="253" t="n"/>
      <c r="LQY19" s="253" t="n"/>
      <c r="LQZ19" s="253" t="n"/>
      <c r="LRA19" s="253" t="n"/>
      <c r="LRB19" s="253" t="n"/>
      <c r="LRC19" s="253" t="n"/>
      <c r="LRD19" s="253" t="n"/>
      <c r="LRE19" s="253" t="n"/>
      <c r="LRF19" s="253" t="n"/>
      <c r="LRG19" s="253" t="n"/>
      <c r="LRH19" s="253" t="n"/>
      <c r="LRI19" s="253" t="n"/>
      <c r="LRJ19" s="253" t="n"/>
      <c r="LRK19" s="253" t="n"/>
      <c r="LRL19" s="253" t="n"/>
      <c r="LRM19" s="253" t="n"/>
      <c r="LRN19" s="253" t="n"/>
      <c r="LRO19" s="253" t="n"/>
      <c r="LRP19" s="253" t="n"/>
      <c r="LRQ19" s="253" t="n"/>
      <c r="LRR19" s="253" t="n"/>
      <c r="LRS19" s="253" t="n"/>
      <c r="LRT19" s="253" t="n"/>
      <c r="LRU19" s="253" t="n"/>
      <c r="LRV19" s="253" t="n"/>
      <c r="LRW19" s="253" t="n"/>
      <c r="LRX19" s="253" t="n"/>
      <c r="LRY19" s="253" t="n"/>
      <c r="LRZ19" s="253" t="n"/>
      <c r="LSA19" s="253" t="n"/>
      <c r="LSB19" s="253" t="n"/>
      <c r="LSC19" s="253" t="n"/>
      <c r="LSD19" s="253" t="n"/>
      <c r="LSE19" s="253" t="n"/>
      <c r="LSF19" s="253" t="n"/>
      <c r="LSG19" s="253" t="n"/>
      <c r="LSH19" s="253" t="n"/>
      <c r="LSI19" s="253" t="n"/>
      <c r="LSJ19" s="253" t="n"/>
      <c r="LSK19" s="253" t="n"/>
      <c r="LSL19" s="253" t="n"/>
      <c r="LSM19" s="253" t="n"/>
      <c r="LSN19" s="253" t="n"/>
      <c r="LSO19" s="253" t="n"/>
      <c r="LSP19" s="253" t="n"/>
      <c r="LSQ19" s="253" t="n"/>
      <c r="LSR19" s="253" t="n"/>
      <c r="LSS19" s="253" t="n"/>
      <c r="LST19" s="253" t="n"/>
      <c r="LSU19" s="253" t="n"/>
      <c r="LSV19" s="253" t="n"/>
      <c r="LSW19" s="253" t="n"/>
      <c r="LSX19" s="253" t="n"/>
      <c r="LSY19" s="253" t="n"/>
      <c r="LSZ19" s="253" t="n"/>
      <c r="LTA19" s="253" t="n"/>
      <c r="LTB19" s="253" t="n"/>
      <c r="LTC19" s="253" t="n"/>
      <c r="LTD19" s="253" t="n"/>
      <c r="LTE19" s="253" t="n"/>
      <c r="LTF19" s="253" t="n"/>
      <c r="LTG19" s="253" t="n"/>
      <c r="LTH19" s="253" t="n"/>
      <c r="LTI19" s="253" t="n"/>
      <c r="LTJ19" s="253" t="n"/>
      <c r="LTK19" s="253" t="n"/>
      <c r="LTL19" s="253" t="n"/>
      <c r="LTM19" s="253" t="n"/>
      <c r="LTN19" s="253" t="n"/>
      <c r="LTO19" s="253" t="n"/>
      <c r="LTP19" s="253" t="n"/>
      <c r="LTQ19" s="253" t="n"/>
      <c r="LTR19" s="253" t="n"/>
      <c r="LTS19" s="253" t="n"/>
      <c r="LTT19" s="253" t="n"/>
      <c r="LTU19" s="253" t="n"/>
      <c r="LTV19" s="253" t="n"/>
      <c r="LTW19" s="253" t="n"/>
      <c r="LTX19" s="253" t="n"/>
      <c r="LTY19" s="253" t="n"/>
      <c r="LTZ19" s="253" t="n"/>
      <c r="LUA19" s="253" t="n"/>
      <c r="LUB19" s="253" t="n"/>
      <c r="LUC19" s="253" t="n"/>
      <c r="LUD19" s="253" t="n"/>
      <c r="LUE19" s="253" t="n"/>
      <c r="LUF19" s="253" t="n"/>
      <c r="LUG19" s="253" t="n"/>
      <c r="LUH19" s="253" t="n"/>
      <c r="LUI19" s="253" t="n"/>
      <c r="LUJ19" s="253" t="n"/>
      <c r="LUK19" s="253" t="n"/>
      <c r="LUL19" s="253" t="n"/>
      <c r="LUM19" s="253" t="n"/>
      <c r="LUN19" s="253" t="n"/>
      <c r="LUO19" s="253" t="n"/>
      <c r="LUP19" s="253" t="n"/>
      <c r="LUQ19" s="253" t="n"/>
      <c r="LUR19" s="253" t="n"/>
      <c r="LUS19" s="253" t="n"/>
      <c r="LUT19" s="253" t="n"/>
      <c r="LUU19" s="253" t="n"/>
      <c r="LUV19" s="253" t="n"/>
      <c r="LUW19" s="253" t="n"/>
      <c r="LUX19" s="253" t="n"/>
      <c r="LUY19" s="253" t="n"/>
      <c r="LUZ19" s="253" t="n"/>
      <c r="LVA19" s="253" t="n"/>
      <c r="LVB19" s="253" t="n"/>
      <c r="LVC19" s="253" t="n"/>
      <c r="LVD19" s="253" t="n"/>
      <c r="LVE19" s="253" t="n"/>
      <c r="LVF19" s="253" t="n"/>
      <c r="LVG19" s="253" t="n"/>
      <c r="LVH19" s="253" t="n"/>
      <c r="LVI19" s="253" t="n"/>
      <c r="LVJ19" s="253" t="n"/>
      <c r="LVK19" s="253" t="n"/>
      <c r="LVL19" s="253" t="n"/>
      <c r="LVM19" s="253" t="n"/>
      <c r="LVN19" s="253" t="n"/>
      <c r="LVO19" s="253" t="n"/>
      <c r="LVP19" s="253" t="n"/>
      <c r="LVQ19" s="253" t="n"/>
      <c r="LVR19" s="253" t="n"/>
      <c r="LVS19" s="253" t="n"/>
      <c r="LVT19" s="253" t="n"/>
      <c r="LVU19" s="253" t="n"/>
      <c r="LVV19" s="253" t="n"/>
      <c r="LVW19" s="253" t="n"/>
      <c r="LVX19" s="253" t="n"/>
      <c r="LVY19" s="253" t="n"/>
      <c r="LVZ19" s="253" t="n"/>
      <c r="LWA19" s="253" t="n"/>
      <c r="LWB19" s="253" t="n"/>
      <c r="LWC19" s="253" t="n"/>
      <c r="LWD19" s="253" t="n"/>
      <c r="LWE19" s="253" t="n"/>
      <c r="LWF19" s="253" t="n"/>
      <c r="LWG19" s="253" t="n"/>
      <c r="LWH19" s="253" t="n"/>
      <c r="LWI19" s="253" t="n"/>
      <c r="LWJ19" s="253" t="n"/>
      <c r="LWK19" s="253" t="n"/>
      <c r="LWL19" s="253" t="n"/>
      <c r="LWM19" s="253" t="n"/>
      <c r="LWN19" s="253" t="n"/>
      <c r="LWO19" s="253" t="n"/>
      <c r="LWP19" s="253" t="n"/>
      <c r="LWQ19" s="253" t="n"/>
      <c r="LWR19" s="253" t="n"/>
      <c r="LWS19" s="253" t="n"/>
      <c r="LWT19" s="253" t="n"/>
      <c r="LWU19" s="253" t="n"/>
      <c r="LWV19" s="253" t="n"/>
      <c r="LWW19" s="253" t="n"/>
      <c r="LWX19" s="253" t="n"/>
      <c r="LWY19" s="253" t="n"/>
      <c r="LWZ19" s="253" t="n"/>
      <c r="LXA19" s="253" t="n"/>
      <c r="LXB19" s="253" t="n"/>
      <c r="LXC19" s="253" t="n"/>
      <c r="LXD19" s="253" t="n"/>
      <c r="LXE19" s="253" t="n"/>
      <c r="LXF19" s="253" t="n"/>
      <c r="LXG19" s="253" t="n"/>
      <c r="LXH19" s="253" t="n"/>
      <c r="LXI19" s="253" t="n"/>
      <c r="LXJ19" s="253" t="n"/>
      <c r="LXK19" s="253" t="n"/>
      <c r="LXL19" s="253" t="n"/>
      <c r="LXM19" s="253" t="n"/>
      <c r="LXN19" s="253" t="n"/>
      <c r="LXO19" s="253" t="n"/>
      <c r="LXP19" s="253" t="n"/>
      <c r="LXQ19" s="253" t="n"/>
      <c r="LXR19" s="253" t="n"/>
      <c r="LXS19" s="253" t="n"/>
      <c r="LXT19" s="253" t="n"/>
      <c r="LXU19" s="253" t="n"/>
      <c r="LXV19" s="253" t="n"/>
      <c r="LXW19" s="253" t="n"/>
      <c r="LXX19" s="253" t="n"/>
      <c r="LXY19" s="253" t="n"/>
      <c r="LXZ19" s="253" t="n"/>
      <c r="LYA19" s="253" t="n"/>
      <c r="LYB19" s="253" t="n"/>
      <c r="LYC19" s="253" t="n"/>
      <c r="LYD19" s="253" t="n"/>
      <c r="LYE19" s="253" t="n"/>
      <c r="LYF19" s="253" t="n"/>
      <c r="LYG19" s="253" t="n"/>
      <c r="LYH19" s="253" t="n"/>
      <c r="LYI19" s="253" t="n"/>
      <c r="LYJ19" s="253" t="n"/>
      <c r="LYK19" s="253" t="n"/>
      <c r="LYL19" s="253" t="n"/>
      <c r="LYM19" s="253" t="n"/>
      <c r="LYN19" s="253" t="n"/>
      <c r="LYO19" s="253" t="n"/>
      <c r="LYP19" s="253" t="n"/>
      <c r="LYQ19" s="253" t="n"/>
      <c r="LYR19" s="253" t="n"/>
      <c r="LYS19" s="253" t="n"/>
      <c r="LYT19" s="253" t="n"/>
      <c r="LYU19" s="253" t="n"/>
      <c r="LYV19" s="253" t="n"/>
      <c r="LYW19" s="253" t="n"/>
      <c r="LYX19" s="253" t="n"/>
      <c r="LYY19" s="253" t="n"/>
      <c r="LYZ19" s="253" t="n"/>
      <c r="LZA19" s="253" t="n"/>
      <c r="LZB19" s="253" t="n"/>
      <c r="LZC19" s="253" t="n"/>
      <c r="LZD19" s="253" t="n"/>
      <c r="LZE19" s="253" t="n"/>
      <c r="LZF19" s="253" t="n"/>
      <c r="LZG19" s="253" t="n"/>
      <c r="LZH19" s="253" t="n"/>
      <c r="LZI19" s="253" t="n"/>
      <c r="LZJ19" s="253" t="n"/>
      <c r="LZK19" s="253" t="n"/>
      <c r="LZL19" s="253" t="n"/>
      <c r="LZM19" s="253" t="n"/>
      <c r="LZN19" s="253" t="n"/>
      <c r="LZO19" s="253" t="n"/>
      <c r="LZP19" s="253" t="n"/>
      <c r="LZQ19" s="253" t="n"/>
      <c r="LZR19" s="253" t="n"/>
      <c r="LZS19" s="253" t="n"/>
      <c r="LZT19" s="253" t="n"/>
      <c r="LZU19" s="253" t="n"/>
      <c r="LZV19" s="253" t="n"/>
      <c r="LZW19" s="253" t="n"/>
      <c r="LZX19" s="253" t="n"/>
      <c r="LZY19" s="253" t="n"/>
      <c r="LZZ19" s="253" t="n"/>
      <c r="MAA19" s="253" t="n"/>
      <c r="MAB19" s="253" t="n"/>
      <c r="MAC19" s="253" t="n"/>
      <c r="MAD19" s="253" t="n"/>
      <c r="MAE19" s="253" t="n"/>
      <c r="MAF19" s="253" t="n"/>
      <c r="MAG19" s="253" t="n"/>
      <c r="MAH19" s="253" t="n"/>
      <c r="MAI19" s="253" t="n"/>
      <c r="MAJ19" s="253" t="n"/>
      <c r="MAK19" s="253" t="n"/>
      <c r="MAL19" s="253" t="n"/>
      <c r="MAM19" s="253" t="n"/>
      <c r="MAN19" s="253" t="n"/>
      <c r="MAO19" s="253" t="n"/>
      <c r="MAP19" s="253" t="n"/>
      <c r="MAQ19" s="253" t="n"/>
      <c r="MAR19" s="253" t="n"/>
      <c r="MAS19" s="253" t="n"/>
      <c r="MAT19" s="253" t="n"/>
      <c r="MAU19" s="253" t="n"/>
      <c r="MAV19" s="253" t="n"/>
      <c r="MAW19" s="253" t="n"/>
      <c r="MAX19" s="253" t="n"/>
      <c r="MAY19" s="253" t="n"/>
      <c r="MAZ19" s="253" t="n"/>
      <c r="MBA19" s="253" t="n"/>
      <c r="MBB19" s="253" t="n"/>
      <c r="MBC19" s="253" t="n"/>
      <c r="MBD19" s="253" t="n"/>
      <c r="MBE19" s="253" t="n"/>
      <c r="MBF19" s="253" t="n"/>
      <c r="MBG19" s="253" t="n"/>
      <c r="MBH19" s="253" t="n"/>
      <c r="MBI19" s="253" t="n"/>
      <c r="MBJ19" s="253" t="n"/>
      <c r="MBK19" s="253" t="n"/>
      <c r="MBL19" s="253" t="n"/>
      <c r="MBM19" s="253" t="n"/>
      <c r="MBN19" s="253" t="n"/>
      <c r="MBO19" s="253" t="n"/>
      <c r="MBP19" s="253" t="n"/>
      <c r="MBQ19" s="253" t="n"/>
      <c r="MBR19" s="253" t="n"/>
      <c r="MBS19" s="253" t="n"/>
      <c r="MBT19" s="253" t="n"/>
      <c r="MBU19" s="253" t="n"/>
      <c r="MBV19" s="253" t="n"/>
      <c r="MBW19" s="253" t="n"/>
      <c r="MBX19" s="253" t="n"/>
      <c r="MBY19" s="253" t="n"/>
      <c r="MBZ19" s="253" t="n"/>
      <c r="MCA19" s="253" t="n"/>
      <c r="MCB19" s="253" t="n"/>
      <c r="MCC19" s="253" t="n"/>
      <c r="MCD19" s="253" t="n"/>
      <c r="MCE19" s="253" t="n"/>
      <c r="MCF19" s="253" t="n"/>
      <c r="MCG19" s="253" t="n"/>
      <c r="MCH19" s="253" t="n"/>
      <c r="MCI19" s="253" t="n"/>
      <c r="MCJ19" s="253" t="n"/>
      <c r="MCK19" s="253" t="n"/>
      <c r="MCL19" s="253" t="n"/>
      <c r="MCM19" s="253" t="n"/>
      <c r="MCN19" s="253" t="n"/>
      <c r="MCO19" s="253" t="n"/>
      <c r="MCP19" s="253" t="n"/>
      <c r="MCQ19" s="253" t="n"/>
      <c r="MCR19" s="253" t="n"/>
      <c r="MCS19" s="253" t="n"/>
      <c r="MCT19" s="253" t="n"/>
      <c r="MCU19" s="253" t="n"/>
      <c r="MCV19" s="253" t="n"/>
      <c r="MCW19" s="253" t="n"/>
      <c r="MCX19" s="253" t="n"/>
      <c r="MCY19" s="253" t="n"/>
      <c r="MCZ19" s="253" t="n"/>
      <c r="MDA19" s="253" t="n"/>
      <c r="MDB19" s="253" t="n"/>
      <c r="MDC19" s="253" t="n"/>
      <c r="MDD19" s="253" t="n"/>
      <c r="MDE19" s="253" t="n"/>
      <c r="MDF19" s="253" t="n"/>
      <c r="MDG19" s="253" t="n"/>
      <c r="MDH19" s="253" t="n"/>
      <c r="MDI19" s="253" t="n"/>
      <c r="MDJ19" s="253" t="n"/>
      <c r="MDK19" s="253" t="n"/>
      <c r="MDL19" s="253" t="n"/>
      <c r="MDM19" s="253" t="n"/>
      <c r="MDN19" s="253" t="n"/>
      <c r="MDO19" s="253" t="n"/>
      <c r="MDP19" s="253" t="n"/>
      <c r="MDQ19" s="253" t="n"/>
      <c r="MDR19" s="253" t="n"/>
      <c r="MDS19" s="253" t="n"/>
      <c r="MDT19" s="253" t="n"/>
      <c r="MDU19" s="253" t="n"/>
      <c r="MDV19" s="253" t="n"/>
      <c r="MDW19" s="253" t="n"/>
      <c r="MDX19" s="253" t="n"/>
      <c r="MDY19" s="253" t="n"/>
      <c r="MDZ19" s="253" t="n"/>
      <c r="MEA19" s="253" t="n"/>
      <c r="MEB19" s="253" t="n"/>
      <c r="MEC19" s="253" t="n"/>
      <c r="MED19" s="253" t="n"/>
      <c r="MEE19" s="253" t="n"/>
      <c r="MEF19" s="253" t="n"/>
      <c r="MEG19" s="253" t="n"/>
      <c r="MEH19" s="253" t="n"/>
      <c r="MEI19" s="253" t="n"/>
      <c r="MEJ19" s="253" t="n"/>
      <c r="MEK19" s="253" t="n"/>
      <c r="MEL19" s="253" t="n"/>
      <c r="MEM19" s="253" t="n"/>
      <c r="MEN19" s="253" t="n"/>
      <c r="MEO19" s="253" t="n"/>
      <c r="MEP19" s="253" t="n"/>
      <c r="MEQ19" s="253" t="n"/>
      <c r="MER19" s="253" t="n"/>
      <c r="MES19" s="253" t="n"/>
      <c r="MET19" s="253" t="n"/>
      <c r="MEU19" s="253" t="n"/>
      <c r="MEV19" s="253" t="n"/>
      <c r="MEW19" s="253" t="n"/>
      <c r="MEX19" s="253" t="n"/>
      <c r="MEY19" s="253" t="n"/>
      <c r="MEZ19" s="253" t="n"/>
      <c r="MFA19" s="253" t="n"/>
      <c r="MFB19" s="253" t="n"/>
      <c r="MFC19" s="253" t="n"/>
      <c r="MFD19" s="253" t="n"/>
      <c r="MFE19" s="253" t="n"/>
      <c r="MFF19" s="253" t="n"/>
      <c r="MFG19" s="253" t="n"/>
      <c r="MFH19" s="253" t="n"/>
      <c r="MFI19" s="253" t="n"/>
      <c r="MFJ19" s="253" t="n"/>
      <c r="MFK19" s="253" t="n"/>
      <c r="MFL19" s="253" t="n"/>
      <c r="MFM19" s="253" t="n"/>
      <c r="MFN19" s="252" t="n"/>
      <c r="MFO19" s="253" t="n"/>
      <c r="MFP19" s="253" t="n"/>
      <c r="MFQ19" s="253" t="n"/>
      <c r="MFR19" s="253" t="n"/>
      <c r="MFS19" s="253" t="n"/>
      <c r="MFT19" s="253" t="n"/>
      <c r="MFU19" s="253" t="n"/>
      <c r="MFV19" s="253" t="n"/>
      <c r="MFW19" s="253" t="n"/>
      <c r="MFX19" s="253" t="n"/>
      <c r="MFY19" s="253" t="n"/>
      <c r="MFZ19" s="253" t="n"/>
      <c r="MGA19" s="253" t="n"/>
      <c r="MGB19" s="253" t="n"/>
      <c r="MGC19" s="253" t="n"/>
      <c r="MGD19" s="253" t="n"/>
      <c r="MGE19" s="253" t="n"/>
      <c r="MGF19" s="253" t="n"/>
      <c r="MGG19" s="253" t="n"/>
      <c r="MGH19" s="253" t="n"/>
      <c r="MGI19" s="253" t="n"/>
      <c r="MGJ19" s="253" t="n"/>
      <c r="MGK19" s="253" t="n"/>
      <c r="MGL19" s="253" t="n"/>
      <c r="MGM19" s="253" t="n"/>
      <c r="MGN19" s="253" t="n"/>
      <c r="MGO19" s="253" t="n"/>
      <c r="MGP19" s="253" t="n"/>
      <c r="MGQ19" s="253" t="n"/>
      <c r="MGR19" s="253" t="n"/>
      <c r="MGS19" s="253" t="n"/>
      <c r="MGT19" s="253" t="n"/>
      <c r="MGU19" s="253" t="n"/>
      <c r="MGV19" s="253" t="n"/>
      <c r="MGW19" s="253" t="n"/>
      <c r="MGX19" s="253" t="n"/>
      <c r="MGY19" s="253" t="n"/>
      <c r="MGZ19" s="253" t="n"/>
      <c r="MHA19" s="253" t="n"/>
      <c r="MHB19" s="253" t="n"/>
      <c r="MHC19" s="253" t="n"/>
      <c r="MHD19" s="253" t="n"/>
      <c r="MHE19" s="253" t="n"/>
      <c r="MHF19" s="253" t="n"/>
      <c r="MHG19" s="253" t="n"/>
      <c r="MHH19" s="253" t="n"/>
      <c r="MHI19" s="253" t="n"/>
      <c r="MHJ19" s="253" t="n"/>
      <c r="MHK19" s="253" t="n"/>
      <c r="MHL19" s="253" t="n"/>
      <c r="MHM19" s="253" t="n"/>
      <c r="MHN19" s="253" t="n"/>
      <c r="MHO19" s="253" t="n"/>
      <c r="MHP19" s="253" t="n"/>
      <c r="MHQ19" s="253" t="n"/>
      <c r="MHR19" s="253" t="n"/>
      <c r="MHS19" s="253" t="n"/>
      <c r="MHT19" s="253" t="n"/>
      <c r="MHU19" s="253" t="n"/>
      <c r="MHV19" s="253" t="n"/>
      <c r="MHW19" s="253" t="n"/>
      <c r="MHX19" s="253" t="n"/>
      <c r="MHY19" s="253" t="n"/>
      <c r="MHZ19" s="253" t="n"/>
      <c r="MIA19" s="253" t="n"/>
      <c r="MIB19" s="253" t="n"/>
      <c r="MIC19" s="253" t="n"/>
      <c r="MID19" s="253" t="n"/>
      <c r="MIE19" s="253" t="n"/>
      <c r="MIF19" s="253" t="n"/>
      <c r="MIG19" s="253" t="n"/>
      <c r="MIH19" s="253" t="n"/>
      <c r="MII19" s="253" t="n"/>
      <c r="MIJ19" s="253" t="n"/>
      <c r="MIK19" s="253" t="n"/>
      <c r="MIL19" s="253" t="n"/>
      <c r="MIM19" s="253" t="n"/>
      <c r="MIN19" s="253" t="n"/>
      <c r="MIO19" s="253" t="n"/>
      <c r="MIP19" s="253" t="n"/>
      <c r="MIQ19" s="253" t="n"/>
      <c r="MIR19" s="253" t="n"/>
      <c r="MIS19" s="253" t="n"/>
      <c r="MIT19" s="253" t="n"/>
      <c r="MIU19" s="253" t="n"/>
      <c r="MIV19" s="253" t="n"/>
      <c r="MIW19" s="253" t="n"/>
      <c r="MIX19" s="253" t="n"/>
      <c r="MIY19" s="253" t="n"/>
      <c r="MIZ19" s="253" t="n"/>
      <c r="MJA19" s="253" t="n"/>
      <c r="MJB19" s="253" t="n"/>
      <c r="MJC19" s="253" t="n"/>
      <c r="MJD19" s="253" t="n"/>
      <c r="MJE19" s="253" t="n"/>
      <c r="MJF19" s="253" t="n"/>
      <c r="MJG19" s="253" t="n"/>
      <c r="MJH19" s="253" t="n"/>
      <c r="MJI19" s="253" t="n"/>
      <c r="MJJ19" s="253" t="n"/>
      <c r="MJK19" s="253" t="n"/>
      <c r="MJL19" s="253" t="n"/>
      <c r="MJM19" s="253" t="n"/>
      <c r="MJN19" s="253" t="n"/>
      <c r="MJO19" s="253" t="n"/>
      <c r="MJP19" s="253" t="n"/>
      <c r="MJQ19" s="253" t="n"/>
      <c r="MJR19" s="253" t="n"/>
      <c r="MJS19" s="253" t="n"/>
      <c r="MJT19" s="253" t="n"/>
      <c r="MJU19" s="253" t="n"/>
      <c r="MJV19" s="253" t="n"/>
      <c r="MJW19" s="253" t="n"/>
      <c r="MJX19" s="253" t="n"/>
      <c r="MJY19" s="253" t="n"/>
      <c r="MJZ19" s="253" t="n"/>
      <c r="MKA19" s="253" t="n"/>
      <c r="MKB19" s="253" t="n"/>
      <c r="MKC19" s="253" t="n"/>
      <c r="MKD19" s="253" t="n"/>
      <c r="MKE19" s="253" t="n"/>
      <c r="MKF19" s="253" t="n"/>
      <c r="MKG19" s="253" t="n"/>
      <c r="MKH19" s="253" t="n"/>
      <c r="MKI19" s="253" t="n"/>
      <c r="MKJ19" s="253" t="n"/>
      <c r="MKK19" s="253" t="n"/>
      <c r="MKL19" s="253" t="n"/>
      <c r="MKM19" s="253" t="n"/>
      <c r="MKN19" s="253" t="n"/>
      <c r="MKO19" s="253" t="n"/>
      <c r="MKP19" s="253" t="n"/>
      <c r="MKQ19" s="253" t="n"/>
      <c r="MKR19" s="253" t="n"/>
      <c r="MKS19" s="253" t="n"/>
      <c r="MKT19" s="253" t="n"/>
      <c r="MKU19" s="253" t="n"/>
      <c r="MKV19" s="253" t="n"/>
      <c r="MKW19" s="253" t="n"/>
      <c r="MKX19" s="253" t="n"/>
      <c r="MKY19" s="253" t="n"/>
      <c r="MKZ19" s="253" t="n"/>
      <c r="MLA19" s="253" t="n"/>
      <c r="MLB19" s="253" t="n"/>
      <c r="MLC19" s="253" t="n"/>
      <c r="MLD19" s="253" t="n"/>
      <c r="MLE19" s="253" t="n"/>
      <c r="MLF19" s="253" t="n"/>
      <c r="MLG19" s="253" t="n"/>
      <c r="MLH19" s="253" t="n"/>
      <c r="MLI19" s="253" t="n"/>
      <c r="MLJ19" s="253" t="n"/>
      <c r="MLK19" s="253" t="n"/>
      <c r="MLL19" s="253" t="n"/>
      <c r="MLM19" s="253" t="n"/>
      <c r="MLN19" s="253" t="n"/>
      <c r="MLO19" s="253" t="n"/>
      <c r="MLP19" s="253" t="n"/>
      <c r="MLQ19" s="253" t="n"/>
      <c r="MLR19" s="253" t="n"/>
      <c r="MLS19" s="253" t="n"/>
      <c r="MLT19" s="253" t="n"/>
      <c r="MLU19" s="253" t="n"/>
      <c r="MLV19" s="253" t="n"/>
      <c r="MLW19" s="253" t="n"/>
      <c r="MLX19" s="253" t="n"/>
      <c r="MLY19" s="253" t="n"/>
      <c r="MLZ19" s="253" t="n"/>
      <c r="MMA19" s="253" t="n"/>
      <c r="MMB19" s="253" t="n"/>
      <c r="MMC19" s="253" t="n"/>
      <c r="MMD19" s="253" t="n"/>
      <c r="MME19" s="253" t="n"/>
      <c r="MMF19" s="253" t="n"/>
      <c r="MMG19" s="253" t="n"/>
      <c r="MMH19" s="253" t="n"/>
      <c r="MMI19" s="253" t="n"/>
      <c r="MMJ19" s="253" t="n"/>
      <c r="MMK19" s="253" t="n"/>
      <c r="MML19" s="253" t="n"/>
      <c r="MMM19" s="253" t="n"/>
      <c r="MMN19" s="253" t="n"/>
      <c r="MMO19" s="253" t="n"/>
      <c r="MMP19" s="253" t="n"/>
      <c r="MMQ19" s="253" t="n"/>
      <c r="MMR19" s="253" t="n"/>
      <c r="MMS19" s="253" t="n"/>
      <c r="MMT19" s="253" t="n"/>
      <c r="MMU19" s="253" t="n"/>
      <c r="MMV19" s="253" t="n"/>
      <c r="MMW19" s="253" t="n"/>
      <c r="MMX19" s="253" t="n"/>
      <c r="MMY19" s="253" t="n"/>
      <c r="MMZ19" s="253" t="n"/>
      <c r="MNA19" s="253" t="n"/>
      <c r="MNB19" s="253" t="n"/>
      <c r="MNC19" s="253" t="n"/>
      <c r="MND19" s="253" t="n"/>
      <c r="MNE19" s="253" t="n"/>
      <c r="MNF19" s="253" t="n"/>
      <c r="MNG19" s="253" t="n"/>
      <c r="MNH19" s="253" t="n"/>
      <c r="MNI19" s="253" t="n"/>
      <c r="MNJ19" s="253" t="n"/>
      <c r="MNK19" s="253" t="n"/>
      <c r="MNL19" s="253" t="n"/>
      <c r="MNM19" s="253" t="n"/>
      <c r="MNN19" s="253" t="n"/>
      <c r="MNO19" s="253" t="n"/>
      <c r="MNP19" s="253" t="n"/>
      <c r="MNQ19" s="253" t="n"/>
      <c r="MNR19" s="253" t="n"/>
      <c r="MNS19" s="253" t="n"/>
      <c r="MNT19" s="253" t="n"/>
      <c r="MNU19" s="253" t="n"/>
      <c r="MNV19" s="253" t="n"/>
      <c r="MNW19" s="253" t="n"/>
      <c r="MNX19" s="253" t="n"/>
      <c r="MNY19" s="253" t="n"/>
      <c r="MNZ19" s="253" t="n"/>
      <c r="MOA19" s="253" t="n"/>
      <c r="MOB19" s="253" t="n"/>
      <c r="MOC19" s="253" t="n"/>
      <c r="MOD19" s="253" t="n"/>
      <c r="MOE19" s="253" t="n"/>
      <c r="MOF19" s="253" t="n"/>
      <c r="MOG19" s="253" t="n"/>
      <c r="MOH19" s="253" t="n"/>
      <c r="MOI19" s="253" t="n"/>
      <c r="MOJ19" s="253" t="n"/>
      <c r="MOK19" s="253" t="n"/>
      <c r="MOL19" s="253" t="n"/>
      <c r="MOM19" s="253" t="n"/>
      <c r="MON19" s="253" t="n"/>
      <c r="MOO19" s="253" t="n"/>
      <c r="MOP19" s="253" t="n"/>
      <c r="MOQ19" s="253" t="n"/>
      <c r="MOR19" s="253" t="n"/>
      <c r="MOS19" s="253" t="n"/>
      <c r="MOT19" s="253" t="n"/>
      <c r="MOU19" s="253" t="n"/>
      <c r="MOV19" s="253" t="n"/>
      <c r="MOW19" s="253" t="n"/>
      <c r="MOX19" s="253" t="n"/>
      <c r="MOY19" s="253" t="n"/>
      <c r="MOZ19" s="253" t="n"/>
      <c r="MPA19" s="253" t="n"/>
      <c r="MPB19" s="253" t="n"/>
      <c r="MPC19" s="253" t="n"/>
      <c r="MPD19" s="253" t="n"/>
      <c r="MPE19" s="253" t="n"/>
      <c r="MPF19" s="253" t="n"/>
      <c r="MPG19" s="253" t="n"/>
      <c r="MPH19" s="253" t="n"/>
      <c r="MPI19" s="253" t="n"/>
      <c r="MPJ19" s="253" t="n"/>
      <c r="MPK19" s="253" t="n"/>
      <c r="MPL19" s="253" t="n"/>
      <c r="MPM19" s="253" t="n"/>
      <c r="MPN19" s="253" t="n"/>
      <c r="MPO19" s="253" t="n"/>
      <c r="MPP19" s="253" t="n"/>
      <c r="MPQ19" s="253" t="n"/>
      <c r="MPR19" s="253" t="n"/>
      <c r="MPS19" s="253" t="n"/>
      <c r="MPT19" s="253" t="n"/>
      <c r="MPU19" s="253" t="n"/>
      <c r="MPV19" s="253" t="n"/>
      <c r="MPW19" s="253" t="n"/>
      <c r="MPX19" s="253" t="n"/>
      <c r="MPY19" s="253" t="n"/>
      <c r="MPZ19" s="253" t="n"/>
      <c r="MQA19" s="253" t="n"/>
      <c r="MQB19" s="253" t="n"/>
      <c r="MQC19" s="253" t="n"/>
      <c r="MQD19" s="253" t="n"/>
      <c r="MQE19" s="253" t="n"/>
      <c r="MQF19" s="253" t="n"/>
      <c r="MQG19" s="253" t="n"/>
      <c r="MQH19" s="253" t="n"/>
      <c r="MQI19" s="253" t="n"/>
      <c r="MQJ19" s="253" t="n"/>
      <c r="MQK19" s="253" t="n"/>
      <c r="MQL19" s="253" t="n"/>
      <c r="MQM19" s="253" t="n"/>
      <c r="MQN19" s="253" t="n"/>
      <c r="MQO19" s="253" t="n"/>
      <c r="MQP19" s="253" t="n"/>
      <c r="MQQ19" s="253" t="n"/>
      <c r="MQR19" s="253" t="n"/>
      <c r="MQS19" s="253" t="n"/>
      <c r="MQT19" s="253" t="n"/>
      <c r="MQU19" s="253" t="n"/>
      <c r="MQV19" s="253" t="n"/>
      <c r="MQW19" s="253" t="n"/>
      <c r="MQX19" s="253" t="n"/>
      <c r="MQY19" s="253" t="n"/>
      <c r="MQZ19" s="253" t="n"/>
      <c r="MRA19" s="253" t="n"/>
      <c r="MRB19" s="253" t="n"/>
      <c r="MRC19" s="253" t="n"/>
      <c r="MRD19" s="253" t="n"/>
      <c r="MRE19" s="253" t="n"/>
      <c r="MRF19" s="253" t="n"/>
      <c r="MRG19" s="253" t="n"/>
      <c r="MRH19" s="253" t="n"/>
      <c r="MRI19" s="253" t="n"/>
      <c r="MRJ19" s="253" t="n"/>
      <c r="MRK19" s="253" t="n"/>
      <c r="MRL19" s="253" t="n"/>
      <c r="MRM19" s="253" t="n"/>
      <c r="MRN19" s="253" t="n"/>
      <c r="MRO19" s="253" t="n"/>
      <c r="MRP19" s="253" t="n"/>
      <c r="MRQ19" s="253" t="n"/>
      <c r="MRR19" s="253" t="n"/>
      <c r="MRS19" s="253" t="n"/>
      <c r="MRT19" s="253" t="n"/>
      <c r="MRU19" s="253" t="n"/>
      <c r="MRV19" s="253" t="n"/>
      <c r="MRW19" s="253" t="n"/>
      <c r="MRX19" s="253" t="n"/>
      <c r="MRY19" s="253" t="n"/>
      <c r="MRZ19" s="253" t="n"/>
      <c r="MSA19" s="253" t="n"/>
      <c r="MSB19" s="253" t="n"/>
      <c r="MSC19" s="253" t="n"/>
      <c r="MSD19" s="253" t="n"/>
      <c r="MSE19" s="253" t="n"/>
      <c r="MSF19" s="253" t="n"/>
      <c r="MSG19" s="253" t="n"/>
      <c r="MSH19" s="253" t="n"/>
      <c r="MSI19" s="253" t="n"/>
      <c r="MSJ19" s="253" t="n"/>
      <c r="MSK19" s="253" t="n"/>
      <c r="MSL19" s="253" t="n"/>
      <c r="MSM19" s="253" t="n"/>
      <c r="MSN19" s="253" t="n"/>
      <c r="MSO19" s="253" t="n"/>
      <c r="MSP19" s="253" t="n"/>
      <c r="MSQ19" s="253" t="n"/>
      <c r="MSR19" s="253" t="n"/>
      <c r="MSS19" s="253" t="n"/>
      <c r="MST19" s="253" t="n"/>
      <c r="MSU19" s="253" t="n"/>
      <c r="MSV19" s="253" t="n"/>
      <c r="MSW19" s="253" t="n"/>
      <c r="MSX19" s="253" t="n"/>
      <c r="MSY19" s="253" t="n"/>
      <c r="MSZ19" s="253" t="n"/>
      <c r="MTA19" s="253" t="n"/>
      <c r="MTB19" s="253" t="n"/>
      <c r="MTC19" s="253" t="n"/>
      <c r="MTD19" s="253" t="n"/>
      <c r="MTE19" s="253" t="n"/>
      <c r="MTF19" s="253" t="n"/>
      <c r="MTG19" s="253" t="n"/>
      <c r="MTH19" s="253" t="n"/>
      <c r="MTI19" s="253" t="n"/>
      <c r="MTJ19" s="253" t="n"/>
      <c r="MTK19" s="253" t="n"/>
      <c r="MTL19" s="253" t="n"/>
      <c r="MTM19" s="253" t="n"/>
      <c r="MTN19" s="253" t="n"/>
      <c r="MTO19" s="253" t="n"/>
      <c r="MTP19" s="253" t="n"/>
      <c r="MTQ19" s="253" t="n"/>
      <c r="MTR19" s="253" t="n"/>
      <c r="MTS19" s="253" t="n"/>
      <c r="MTT19" s="253" t="n"/>
      <c r="MTU19" s="253" t="n"/>
      <c r="MTV19" s="253" t="n"/>
      <c r="MTW19" s="253" t="n"/>
      <c r="MTX19" s="253" t="n"/>
      <c r="MTY19" s="253" t="n"/>
      <c r="MTZ19" s="253" t="n"/>
      <c r="MUA19" s="253" t="n"/>
      <c r="MUB19" s="253" t="n"/>
      <c r="MUC19" s="253" t="n"/>
      <c r="MUD19" s="253" t="n"/>
      <c r="MUE19" s="253" t="n"/>
      <c r="MUF19" s="253" t="n"/>
      <c r="MUG19" s="253" t="n"/>
      <c r="MUH19" s="253" t="n"/>
      <c r="MUI19" s="253" t="n"/>
      <c r="MUJ19" s="253" t="n"/>
      <c r="MUK19" s="253" t="n"/>
      <c r="MUL19" s="253" t="n"/>
      <c r="MUM19" s="253" t="n"/>
      <c r="MUN19" s="253" t="n"/>
      <c r="MUO19" s="253" t="n"/>
      <c r="MUP19" s="253" t="n"/>
      <c r="MUQ19" s="253" t="n"/>
      <c r="MUR19" s="253" t="n"/>
      <c r="MUS19" s="253" t="n"/>
      <c r="MUT19" s="253" t="n"/>
      <c r="MUU19" s="253" t="n"/>
      <c r="MUV19" s="253" t="n"/>
      <c r="MUW19" s="253" t="n"/>
      <c r="MUX19" s="253" t="n"/>
      <c r="MUY19" s="253" t="n"/>
      <c r="MUZ19" s="253" t="n"/>
      <c r="MVA19" s="253" t="n"/>
      <c r="MVB19" s="253" t="n"/>
      <c r="MVC19" s="253" t="n"/>
      <c r="MVD19" s="253" t="n"/>
      <c r="MVE19" s="253" t="n"/>
      <c r="MVF19" s="253" t="n"/>
      <c r="MVG19" s="253" t="n"/>
      <c r="MVH19" s="253" t="n"/>
      <c r="MVI19" s="253" t="n"/>
      <c r="MVJ19" s="253" t="n"/>
      <c r="MVK19" s="253" t="n"/>
      <c r="MVL19" s="253" t="n"/>
      <c r="MVM19" s="253" t="n"/>
      <c r="MVN19" s="253" t="n"/>
      <c r="MVO19" s="253" t="n"/>
      <c r="MVP19" s="253" t="n"/>
      <c r="MVQ19" s="253" t="n"/>
      <c r="MVR19" s="253" t="n"/>
      <c r="MVS19" s="253" t="n"/>
      <c r="MVT19" s="253" t="n"/>
      <c r="MVU19" s="253" t="n"/>
      <c r="MVV19" s="253" t="n"/>
      <c r="MVW19" s="253" t="n"/>
      <c r="MVX19" s="253" t="n"/>
      <c r="MVY19" s="253" t="n"/>
      <c r="MVZ19" s="253" t="n"/>
      <c r="MWA19" s="253" t="n"/>
      <c r="MWB19" s="253" t="n"/>
      <c r="MWC19" s="253" t="n"/>
      <c r="MWD19" s="253" t="n"/>
      <c r="MWE19" s="253" t="n"/>
      <c r="MWF19" s="253" t="n"/>
      <c r="MWG19" s="253" t="n"/>
      <c r="MWH19" s="253" t="n"/>
      <c r="MWI19" s="253" t="n"/>
      <c r="MWJ19" s="253" t="n"/>
      <c r="MWK19" s="253" t="n"/>
      <c r="MWL19" s="253" t="n"/>
      <c r="MWM19" s="253" t="n"/>
      <c r="MWN19" s="253" t="n"/>
      <c r="MWO19" s="253" t="n"/>
      <c r="MWP19" s="253" t="n"/>
      <c r="MWQ19" s="253" t="n"/>
      <c r="MWR19" s="253" t="n"/>
      <c r="MWS19" s="253" t="n"/>
      <c r="MWT19" s="253" t="n"/>
      <c r="MWU19" s="253" t="n"/>
      <c r="MWV19" s="253" t="n"/>
      <c r="MWW19" s="253" t="n"/>
      <c r="MWX19" s="253" t="n"/>
      <c r="MWY19" s="253" t="n"/>
      <c r="MWZ19" s="253" t="n"/>
      <c r="MXA19" s="253" t="n"/>
      <c r="MXB19" s="253" t="n"/>
      <c r="MXC19" s="253" t="n"/>
      <c r="MXD19" s="253" t="n"/>
      <c r="MXE19" s="253" t="n"/>
      <c r="MXF19" s="253" t="n"/>
      <c r="MXG19" s="253" t="n"/>
      <c r="MXH19" s="253" t="n"/>
      <c r="MXI19" s="253" t="n"/>
      <c r="MXJ19" s="253" t="n"/>
      <c r="MXK19" s="253" t="n"/>
      <c r="MXL19" s="253" t="n"/>
      <c r="MXM19" s="253" t="n"/>
      <c r="MXN19" s="253" t="n"/>
      <c r="MXO19" s="253" t="n"/>
      <c r="MXP19" s="253" t="n"/>
      <c r="MXQ19" s="253" t="n"/>
      <c r="MXR19" s="253" t="n"/>
      <c r="MXS19" s="253" t="n"/>
      <c r="MXT19" s="253" t="n"/>
      <c r="MXU19" s="253" t="n"/>
      <c r="MXV19" s="253" t="n"/>
      <c r="MXW19" s="253" t="n"/>
      <c r="MXX19" s="253" t="n"/>
      <c r="MXY19" s="253" t="n"/>
      <c r="MXZ19" s="253" t="n"/>
      <c r="MYA19" s="253" t="n"/>
      <c r="MYB19" s="253" t="n"/>
      <c r="MYC19" s="253" t="n"/>
      <c r="MYD19" s="253" t="n"/>
      <c r="MYE19" s="253" t="n"/>
      <c r="MYF19" s="253" t="n"/>
      <c r="MYG19" s="253" t="n"/>
      <c r="MYH19" s="253" t="n"/>
      <c r="MYI19" s="253" t="n"/>
      <c r="MYJ19" s="253" t="n"/>
      <c r="MYK19" s="253" t="n"/>
      <c r="MYL19" s="253" t="n"/>
      <c r="MYM19" s="253" t="n"/>
      <c r="MYN19" s="253" t="n"/>
      <c r="MYO19" s="253" t="n"/>
      <c r="MYP19" s="253" t="n"/>
      <c r="MYQ19" s="253" t="n"/>
      <c r="MYR19" s="253" t="n"/>
      <c r="MYS19" s="253" t="n"/>
      <c r="MYT19" s="253" t="n"/>
      <c r="MYU19" s="253" t="n"/>
      <c r="MYV19" s="253" t="n"/>
      <c r="MYW19" s="253" t="n"/>
      <c r="MYX19" s="253" t="n"/>
      <c r="MYY19" s="253" t="n"/>
      <c r="MYZ19" s="253" t="n"/>
      <c r="MZA19" s="253" t="n"/>
      <c r="MZB19" s="253" t="n"/>
      <c r="MZC19" s="253" t="n"/>
      <c r="MZD19" s="253" t="n"/>
      <c r="MZE19" s="253" t="n"/>
      <c r="MZF19" s="253" t="n"/>
      <c r="MZG19" s="253" t="n"/>
      <c r="MZH19" s="253" t="n"/>
      <c r="MZI19" s="253" t="n"/>
      <c r="MZJ19" s="253" t="n"/>
      <c r="MZK19" s="253" t="n"/>
      <c r="MZL19" s="253" t="n"/>
      <c r="MZM19" s="253" t="n"/>
      <c r="MZN19" s="253" t="n"/>
      <c r="MZO19" s="253" t="n"/>
      <c r="MZP19" s="253" t="n"/>
      <c r="MZQ19" s="253" t="n"/>
      <c r="MZR19" s="253" t="n"/>
      <c r="MZS19" s="253" t="n"/>
      <c r="MZT19" s="253" t="n"/>
      <c r="MZU19" s="253" t="n"/>
      <c r="MZV19" s="253" t="n"/>
      <c r="MZW19" s="253" t="n"/>
      <c r="MZX19" s="253" t="n"/>
      <c r="MZY19" s="253" t="n"/>
      <c r="MZZ19" s="253" t="n"/>
      <c r="NAA19" s="253" t="n"/>
      <c r="NAB19" s="253" t="n"/>
      <c r="NAC19" s="253" t="n"/>
      <c r="NAD19" s="253" t="n"/>
      <c r="NAE19" s="253" t="n"/>
      <c r="NAF19" s="253" t="n"/>
      <c r="NAG19" s="253" t="n"/>
      <c r="NAH19" s="253" t="n"/>
      <c r="NAI19" s="253" t="n"/>
      <c r="NAJ19" s="253" t="n"/>
      <c r="NAK19" s="253" t="n"/>
      <c r="NAL19" s="253" t="n"/>
      <c r="NAM19" s="253" t="n"/>
      <c r="NAN19" s="253" t="n"/>
      <c r="NAO19" s="253" t="n"/>
      <c r="NAP19" s="253" t="n"/>
      <c r="NAQ19" s="253" t="n"/>
      <c r="NAR19" s="253" t="n"/>
      <c r="NAS19" s="253" t="n"/>
      <c r="NAT19" s="253" t="n"/>
      <c r="NAU19" s="253" t="n"/>
      <c r="NAV19" s="253" t="n"/>
      <c r="NAW19" s="253" t="n"/>
      <c r="NAX19" s="253" t="n"/>
      <c r="NAY19" s="253" t="n"/>
      <c r="NAZ19" s="253" t="n"/>
      <c r="NBA19" s="253" t="n"/>
      <c r="NBB19" s="253" t="n"/>
      <c r="NBC19" s="253" t="n"/>
      <c r="NBD19" s="253" t="n"/>
      <c r="NBE19" s="253" t="n"/>
      <c r="NBF19" s="253" t="n"/>
      <c r="NBG19" s="253" t="n"/>
      <c r="NBH19" s="253" t="n"/>
      <c r="NBI19" s="253" t="n"/>
      <c r="NBJ19" s="253" t="n"/>
      <c r="NBK19" s="253" t="n"/>
      <c r="NBL19" s="253" t="n"/>
      <c r="NBM19" s="253" t="n"/>
      <c r="NBN19" s="253" t="n"/>
      <c r="NBO19" s="253" t="n"/>
      <c r="NBP19" s="253" t="n"/>
      <c r="NBQ19" s="253" t="n"/>
      <c r="NBR19" s="253" t="n"/>
      <c r="NBS19" s="253" t="n"/>
      <c r="NBT19" s="253" t="n"/>
      <c r="NBU19" s="253" t="n"/>
      <c r="NBV19" s="253" t="n"/>
      <c r="NBW19" s="253" t="n"/>
      <c r="NBX19" s="253" t="n"/>
      <c r="NBY19" s="253" t="n"/>
      <c r="NBZ19" s="253" t="n"/>
      <c r="NCA19" s="253" t="n"/>
      <c r="NCB19" s="253" t="n"/>
      <c r="NCC19" s="253" t="n"/>
      <c r="NCD19" s="253" t="n"/>
      <c r="NCE19" s="253" t="n"/>
      <c r="NCF19" s="253" t="n"/>
      <c r="NCG19" s="253" t="n"/>
      <c r="NCH19" s="253" t="n"/>
      <c r="NCI19" s="253" t="n"/>
      <c r="NCJ19" s="253" t="n"/>
      <c r="NCK19" s="253" t="n"/>
      <c r="NCL19" s="253" t="n"/>
      <c r="NCM19" s="253" t="n"/>
      <c r="NCN19" s="253" t="n"/>
      <c r="NCO19" s="253" t="n"/>
      <c r="NCP19" s="253" t="n"/>
      <c r="NCQ19" s="253" t="n"/>
      <c r="NCR19" s="253" t="n"/>
      <c r="NCS19" s="253" t="n"/>
      <c r="NCT19" s="253" t="n"/>
      <c r="NCU19" s="253" t="n"/>
      <c r="NCV19" s="253" t="n"/>
      <c r="NCW19" s="253" t="n"/>
      <c r="NCX19" s="253" t="n"/>
      <c r="NCY19" s="253" t="n"/>
      <c r="NCZ19" s="253" t="n"/>
      <c r="NDA19" s="253" t="n"/>
      <c r="NDB19" s="253" t="n"/>
      <c r="NDC19" s="253" t="n"/>
      <c r="NDD19" s="253" t="n"/>
      <c r="NDE19" s="253" t="n"/>
      <c r="NDF19" s="253" t="n"/>
      <c r="NDG19" s="253" t="n"/>
      <c r="NDH19" s="253" t="n"/>
      <c r="NDI19" s="253" t="n"/>
      <c r="NDJ19" s="253" t="n"/>
      <c r="NDK19" s="253" t="n"/>
      <c r="NDL19" s="253" t="n"/>
      <c r="NDM19" s="253" t="n"/>
      <c r="NDN19" s="253" t="n"/>
      <c r="NDO19" s="253" t="n"/>
      <c r="NDP19" s="253" t="n"/>
      <c r="NDQ19" s="253" t="n"/>
      <c r="NDR19" s="253" t="n"/>
      <c r="NDS19" s="253" t="n"/>
      <c r="NDT19" s="253" t="n"/>
      <c r="NDU19" s="253" t="n"/>
      <c r="NDV19" s="253" t="n"/>
      <c r="NDW19" s="253" t="n"/>
      <c r="NDX19" s="253" t="n"/>
      <c r="NDY19" s="253" t="n"/>
      <c r="NDZ19" s="253" t="n"/>
      <c r="NEA19" s="253" t="n"/>
      <c r="NEB19" s="253" t="n"/>
      <c r="NEC19" s="253" t="n"/>
      <c r="NED19" s="253" t="n"/>
      <c r="NEE19" s="253" t="n"/>
      <c r="NEF19" s="253" t="n"/>
      <c r="NEG19" s="253" t="n"/>
      <c r="NEH19" s="253" t="n"/>
      <c r="NEI19" s="253" t="n"/>
      <c r="NEJ19" s="253" t="n"/>
      <c r="NEK19" s="253" t="n"/>
      <c r="NEL19" s="253" t="n"/>
      <c r="NEM19" s="253" t="n"/>
      <c r="NEN19" s="253" t="n"/>
      <c r="NEO19" s="253" t="n"/>
      <c r="NEP19" s="253" t="n"/>
      <c r="NEQ19" s="253" t="n"/>
      <c r="NER19" s="253" t="n"/>
      <c r="NES19" s="253" t="n"/>
      <c r="NET19" s="253" t="n"/>
      <c r="NEU19" s="253" t="n"/>
      <c r="NEV19" s="253" t="n"/>
      <c r="NEW19" s="253" t="n"/>
      <c r="NEX19" s="253" t="n"/>
      <c r="NEY19" s="253" t="n"/>
      <c r="NEZ19" s="253" t="n"/>
      <c r="NFA19" s="253" t="n"/>
      <c r="NFB19" s="253" t="n"/>
      <c r="NFC19" s="253" t="n"/>
      <c r="NFD19" s="253" t="n"/>
      <c r="NFE19" s="253" t="n"/>
      <c r="NFF19" s="253" t="n"/>
      <c r="NFG19" s="253" t="n"/>
      <c r="NFH19" s="253" t="n"/>
      <c r="NFI19" s="253" t="n"/>
      <c r="NFJ19" s="253" t="n"/>
      <c r="NFK19" s="253" t="n"/>
      <c r="NFL19" s="253" t="n"/>
      <c r="NFM19" s="253" t="n"/>
      <c r="NFN19" s="253" t="n"/>
      <c r="NFO19" s="253" t="n"/>
    </row>
    <row r="20">
      <c r="KFK20" s="253" t="n"/>
      <c r="KFL20" s="253" t="n"/>
      <c r="KFM20" s="253" t="n"/>
      <c r="KFN20" s="253" t="n"/>
      <c r="KFO20" s="253" t="n"/>
      <c r="KFP20" s="253" t="n"/>
      <c r="KFQ20" s="253" t="n"/>
      <c r="KFR20" s="253" t="n"/>
      <c r="KFS20" s="253" t="n"/>
      <c r="KFT20" s="253" t="n"/>
      <c r="KFU20" s="253" t="n"/>
      <c r="KFV20" s="253" t="n"/>
      <c r="KFW20" s="253" t="n"/>
      <c r="KFX20" s="253" t="n"/>
      <c r="KFY20" s="253" t="n"/>
      <c r="KFZ20" s="253" t="n"/>
      <c r="KGA20" s="253" t="n"/>
      <c r="KGB20" s="253" t="n"/>
      <c r="KGC20" s="253" t="n"/>
      <c r="KGD20" s="253" t="n"/>
      <c r="KGE20" s="253" t="n"/>
      <c r="KGF20" s="253" t="n"/>
      <c r="KGG20" s="253" t="n"/>
      <c r="KGH20" s="253" t="n"/>
      <c r="KGI20" s="253" t="n"/>
      <c r="KGJ20" s="253" t="n"/>
      <c r="KGK20" s="253" t="n"/>
      <c r="KGL20" s="253" t="n"/>
      <c r="KGM20" s="253" t="n"/>
      <c r="KGN20" s="253" t="n"/>
      <c r="KGO20" s="253" t="n"/>
      <c r="KGP20" s="253" t="n"/>
      <c r="KGQ20" s="253" t="n"/>
      <c r="KGR20" s="253" t="n"/>
      <c r="KGS20" s="253" t="n"/>
      <c r="KGT20" s="253" t="n"/>
      <c r="KGU20" s="253" t="n"/>
      <c r="KGV20" s="253" t="n"/>
      <c r="KGW20" s="253" t="n"/>
      <c r="KGX20" s="253" t="n"/>
      <c r="KGY20" s="253" t="n"/>
      <c r="KGZ20" s="253" t="n"/>
      <c r="KHA20" s="253" t="n"/>
      <c r="KHB20" s="253" t="n"/>
      <c r="KHC20" s="253" t="n"/>
      <c r="KHD20" s="253" t="n"/>
      <c r="KHE20" s="253" t="n"/>
      <c r="KHF20" s="253" t="n"/>
      <c r="KHG20" s="253" t="n"/>
      <c r="KHH20" s="253" t="n"/>
      <c r="KHI20" s="253" t="n"/>
      <c r="KHJ20" s="253" t="n"/>
      <c r="KHK20" s="253" t="n"/>
      <c r="KHL20" s="253" t="n"/>
      <c r="KHM20" s="253" t="n"/>
      <c r="KHN20" s="253" t="n"/>
      <c r="KHO20" s="253" t="n"/>
      <c r="KHP20" s="253" t="n"/>
      <c r="KHQ20" s="253" t="n"/>
      <c r="KHR20" s="253" t="n"/>
      <c r="KHS20" s="253" t="n"/>
      <c r="KHT20" s="253" t="n"/>
      <c r="KHU20" s="253" t="n"/>
      <c r="KHV20" s="253" t="n"/>
      <c r="KHW20" s="253" t="n"/>
      <c r="KHX20" s="253" t="n"/>
      <c r="KHY20" s="253" t="n"/>
      <c r="KHZ20" s="253" t="n"/>
      <c r="KIA20" s="253" t="n"/>
      <c r="KIB20" s="253" t="n"/>
      <c r="KIC20" s="253" t="n"/>
      <c r="KID20" s="253" t="n"/>
      <c r="KIE20" s="253" t="n"/>
      <c r="KIF20" s="253" t="n"/>
      <c r="KIG20" s="253" t="n"/>
      <c r="KIH20" s="253" t="n"/>
      <c r="KII20" s="253" t="n"/>
      <c r="KIJ20" s="253" t="n"/>
      <c r="KIK20" s="253" t="n"/>
      <c r="KIL20" s="253" t="n"/>
      <c r="KIM20" s="253" t="n"/>
      <c r="KIN20" s="253" t="n"/>
      <c r="KIO20" s="253" t="n"/>
      <c r="KIP20" s="253" t="n"/>
      <c r="KIQ20" s="253" t="n"/>
      <c r="KIR20" s="253" t="n"/>
      <c r="KIS20" s="253" t="n"/>
      <c r="KIT20" s="253" t="n"/>
      <c r="KIU20" s="253" t="n"/>
      <c r="KIV20" s="253" t="n"/>
      <c r="KIW20" s="253" t="n"/>
      <c r="KIX20" s="253" t="n"/>
      <c r="KIY20" s="253" t="n"/>
      <c r="KIZ20" s="253" t="n"/>
      <c r="KJA20" s="253" t="n"/>
      <c r="KJB20" s="253" t="n"/>
      <c r="KJC20" s="253" t="n"/>
      <c r="KJD20" s="253" t="n"/>
      <c r="KJE20" s="253" t="n"/>
      <c r="KJF20" s="253" t="n"/>
      <c r="KJG20" s="253" t="n"/>
      <c r="KJH20" s="253" t="n"/>
      <c r="KJI20" s="253" t="n"/>
      <c r="KJJ20" s="253" t="n"/>
      <c r="KJK20" s="253" t="n"/>
      <c r="KJL20" s="253" t="n"/>
      <c r="KJM20" s="253" t="n"/>
      <c r="KJN20" s="253" t="n"/>
      <c r="KJO20" s="253" t="n"/>
      <c r="KJP20" s="253" t="n"/>
      <c r="KJQ20" s="253" t="n"/>
      <c r="KJR20" s="253" t="n"/>
      <c r="KJS20" s="253" t="n"/>
      <c r="KJT20" s="253" t="n"/>
      <c r="KJU20" s="253" t="n"/>
      <c r="KJV20" s="253" t="n"/>
      <c r="KJW20" s="253" t="n"/>
      <c r="KJX20" s="253" t="n"/>
      <c r="KJY20" s="253" t="n"/>
      <c r="KJZ20" s="253" t="n"/>
      <c r="KKA20" s="253" t="n"/>
      <c r="KKB20" s="253" t="n"/>
      <c r="KKC20" s="253" t="n"/>
      <c r="KKD20" s="253" t="n"/>
      <c r="KKE20" s="253" t="n"/>
      <c r="KKF20" s="253" t="n"/>
      <c r="KKG20" s="253" t="n"/>
      <c r="KKH20" s="253" t="n"/>
      <c r="KKI20" s="253" t="n"/>
      <c r="KKJ20" s="253" t="n"/>
      <c r="KKK20" s="253" t="n"/>
      <c r="KKL20" s="253" t="n"/>
      <c r="KKM20" s="253" t="n"/>
      <c r="KKN20" s="253" t="n"/>
      <c r="KKO20" s="253" t="n"/>
      <c r="KKP20" s="253" t="n"/>
      <c r="KKQ20" s="253" t="n"/>
      <c r="KKR20" s="253" t="n"/>
      <c r="KKS20" s="253" t="n"/>
      <c r="KKT20" s="253" t="n"/>
      <c r="KKU20" s="253" t="n"/>
      <c r="KKV20" s="253" t="n"/>
      <c r="KKW20" s="253" t="n"/>
      <c r="KKX20" s="253" t="n"/>
      <c r="KKY20" s="253" t="n"/>
      <c r="KKZ20" s="253" t="n"/>
      <c r="KLA20" s="253" t="n"/>
      <c r="KLB20" s="253" t="n"/>
      <c r="KLC20" s="253" t="n"/>
      <c r="KLD20" s="253" t="n"/>
      <c r="KLE20" s="253" t="n"/>
      <c r="KLF20" s="253" t="n"/>
      <c r="KLG20" s="253" t="n"/>
      <c r="KLH20" s="253" t="n"/>
      <c r="KLI20" s="253" t="n"/>
      <c r="KLJ20" s="253" t="n"/>
      <c r="KLK20" s="253" t="n"/>
      <c r="KLL20" s="253" t="n"/>
      <c r="KLM20" s="253" t="n"/>
      <c r="KLN20" s="253" t="n"/>
      <c r="KLO20" s="253" t="n"/>
      <c r="KLP20" s="253" t="n"/>
      <c r="KLQ20" s="253" t="n"/>
      <c r="KLR20" s="253" t="n"/>
      <c r="KLS20" s="253" t="n"/>
      <c r="KLT20" s="253" t="n"/>
      <c r="KLU20" s="253" t="n"/>
      <c r="KLV20" s="253" t="n"/>
      <c r="KLW20" s="253" t="n"/>
      <c r="KLX20" s="253" t="n"/>
      <c r="KLY20" s="253" t="n"/>
      <c r="KLZ20" s="253" t="n"/>
      <c r="KMA20" s="253" t="n"/>
      <c r="KMB20" s="253" t="n"/>
      <c r="KMC20" s="253" t="n"/>
      <c r="KMD20" s="253" t="n"/>
      <c r="KME20" s="253" t="n"/>
      <c r="KMF20" s="253" t="n"/>
      <c r="KMG20" s="253" t="n"/>
      <c r="KMH20" s="253" t="n"/>
      <c r="KMI20" s="253" t="n"/>
      <c r="KMJ20" s="253" t="n"/>
      <c r="KMK20" s="253" t="n"/>
      <c r="KML20" s="253" t="n"/>
      <c r="KMM20" s="253" t="n"/>
      <c r="KMN20" s="253" t="n"/>
      <c r="KMO20" s="253" t="n"/>
      <c r="KMP20" s="253" t="n"/>
      <c r="KMQ20" s="253" t="n"/>
      <c r="KMR20" s="253" t="n"/>
      <c r="KMS20" s="253" t="n"/>
      <c r="KMT20" s="253" t="n"/>
      <c r="KMU20" s="253" t="n"/>
      <c r="KMV20" s="253" t="n"/>
      <c r="KMW20" s="253" t="n"/>
      <c r="KMX20" s="253" t="n"/>
      <c r="KMY20" s="253" t="n"/>
      <c r="KMZ20" s="253" t="n"/>
      <c r="KNA20" s="253" t="n"/>
      <c r="KNB20" s="253" t="n"/>
      <c r="KNC20" s="253" t="n"/>
      <c r="KND20" s="253" t="n"/>
      <c r="KNE20" s="253" t="n"/>
      <c r="KNF20" s="253" t="n"/>
      <c r="KNG20" s="253" t="n"/>
      <c r="KNH20" s="253" t="n"/>
      <c r="KNI20" s="253" t="n"/>
      <c r="KNJ20" s="253" t="n"/>
      <c r="KNK20" s="253" t="n"/>
      <c r="KNL20" s="253" t="n"/>
      <c r="KNM20" s="253" t="n"/>
      <c r="KNN20" s="253" t="n"/>
      <c r="KNO20" s="253" t="n"/>
      <c r="KNP20" s="253" t="n"/>
      <c r="KNQ20" s="253" t="n"/>
      <c r="KNR20" s="253" t="n"/>
      <c r="KNS20" s="253" t="n"/>
      <c r="KNT20" s="253" t="n"/>
      <c r="KNU20" s="253" t="n"/>
      <c r="KNV20" s="253" t="n"/>
      <c r="KNW20" s="253" t="n"/>
      <c r="KNX20" s="253" t="n"/>
      <c r="KNY20" s="253" t="n"/>
      <c r="KNZ20" s="253" t="n"/>
      <c r="KOA20" s="253" t="n"/>
      <c r="KOB20" s="253" t="n"/>
      <c r="KOC20" s="253" t="n"/>
      <c r="KOD20" s="253" t="n"/>
      <c r="KOE20" s="253" t="n"/>
      <c r="KOF20" s="253" t="n"/>
      <c r="KOG20" s="253" t="n"/>
      <c r="KOH20" s="253" t="n"/>
      <c r="KOI20" s="253" t="n"/>
      <c r="KOJ20" s="253" t="n"/>
      <c r="KOK20" s="253" t="n"/>
      <c r="KOL20" s="253" t="n"/>
      <c r="KOM20" s="253" t="n"/>
      <c r="KON20" s="253" t="n"/>
      <c r="KOO20" s="253" t="n"/>
      <c r="KOP20" s="253" t="n"/>
      <c r="KOQ20" s="253" t="n"/>
      <c r="KOR20" s="253" t="n"/>
      <c r="KOS20" s="253" t="n"/>
      <c r="KOT20" s="253" t="n"/>
      <c r="KOU20" s="253" t="n"/>
      <c r="KOV20" s="253" t="n"/>
      <c r="KOW20" s="253" t="n"/>
      <c r="KOX20" s="253" t="n"/>
      <c r="KOY20" s="253" t="n"/>
      <c r="KOZ20" s="253" t="n"/>
      <c r="KPA20" s="253" t="n"/>
      <c r="KPB20" s="253" t="n"/>
      <c r="KPC20" s="253" t="n"/>
      <c r="KPD20" s="253" t="n"/>
      <c r="KPE20" s="253" t="n"/>
      <c r="KPF20" s="253" t="n"/>
      <c r="KPG20" s="253" t="n"/>
      <c r="KPH20" s="253" t="n"/>
      <c r="KPI20" s="253" t="n"/>
      <c r="KPJ20" s="253" t="n"/>
      <c r="KPK20" s="253" t="n"/>
      <c r="KPL20" s="253" t="n"/>
      <c r="KPM20" s="253" t="n"/>
      <c r="KPN20" s="253" t="n"/>
      <c r="KPO20" s="253" t="n"/>
      <c r="KPP20" s="253" t="n"/>
      <c r="KPQ20" s="253" t="n"/>
      <c r="KPR20" s="253" t="n"/>
      <c r="KPS20" s="253" t="n"/>
      <c r="KPT20" s="253" t="n"/>
      <c r="KPU20" s="253" t="n"/>
      <c r="KPV20" s="253" t="n"/>
      <c r="KPW20" s="253" t="n"/>
      <c r="KPX20" s="253" t="n"/>
      <c r="KPY20" s="253" t="n"/>
      <c r="KPZ20" s="253" t="n"/>
      <c r="KQA20" s="253" t="n"/>
      <c r="KQB20" s="253" t="n"/>
      <c r="KQC20" s="253" t="n"/>
      <c r="KQD20" s="253" t="n"/>
      <c r="KQE20" s="253" t="n"/>
      <c r="KQF20" s="253" t="n"/>
      <c r="KQG20" s="253" t="n"/>
      <c r="KQH20" s="253" t="n"/>
      <c r="KQI20" s="253" t="n"/>
      <c r="KQJ20" s="253" t="n"/>
      <c r="KQK20" s="253" t="n"/>
      <c r="KQL20" s="253" t="n"/>
      <c r="KQM20" s="253" t="n"/>
      <c r="KQN20" s="253" t="n"/>
      <c r="KQO20" s="253" t="n"/>
      <c r="KQP20" s="253" t="n"/>
      <c r="KQQ20" s="253" t="n"/>
      <c r="KQR20" s="253" t="n"/>
      <c r="KQS20" s="253" t="n"/>
      <c r="KQT20" s="253" t="n"/>
      <c r="KQU20" s="253" t="n"/>
      <c r="KQV20" s="253" t="n"/>
      <c r="KQW20" s="253" t="n"/>
      <c r="KQX20" s="253" t="n"/>
      <c r="KQY20" s="253" t="n"/>
      <c r="KQZ20" s="253" t="n"/>
      <c r="KRA20" s="253" t="n"/>
      <c r="KRB20" s="253" t="n"/>
      <c r="KRC20" s="253" t="n"/>
      <c r="KRD20" s="253" t="n"/>
      <c r="KRE20" s="253" t="n"/>
      <c r="KRF20" s="253" t="n"/>
      <c r="KRG20" s="253" t="n"/>
      <c r="KRH20" s="253" t="n"/>
      <c r="KRI20" s="253" t="n"/>
      <c r="KRJ20" s="253" t="n"/>
      <c r="KRK20" s="253" t="n"/>
      <c r="KRL20" s="253" t="n"/>
      <c r="KRM20" s="253" t="n"/>
      <c r="KRN20" s="253" t="n"/>
      <c r="KRO20" s="253" t="n"/>
      <c r="KRP20" s="253" t="n"/>
      <c r="KRQ20" s="253" t="n"/>
      <c r="KRR20" s="253" t="n"/>
      <c r="KRS20" s="253" t="n"/>
      <c r="KRT20" s="253" t="n"/>
      <c r="KRU20" s="253" t="n"/>
      <c r="KRV20" s="253" t="n"/>
      <c r="KRW20" s="253" t="n"/>
      <c r="KRX20" s="253" t="n"/>
      <c r="KRY20" s="253" t="n"/>
      <c r="KRZ20" s="253" t="n"/>
      <c r="KSA20" s="253" t="n"/>
      <c r="KSB20" s="253" t="n"/>
      <c r="KSC20" s="253" t="n"/>
      <c r="KSD20" s="253" t="n"/>
      <c r="KSE20" s="253" t="n"/>
      <c r="KSF20" s="253" t="n"/>
      <c r="KSG20" s="253" t="n"/>
      <c r="KSH20" s="253" t="n"/>
      <c r="KSI20" s="253" t="n"/>
      <c r="KSJ20" s="253" t="n"/>
      <c r="KSK20" s="253" t="n"/>
      <c r="KSL20" s="253" t="n"/>
      <c r="KSM20" s="253" t="n"/>
      <c r="KSN20" s="253" t="n"/>
      <c r="KSO20" s="253" t="n"/>
      <c r="KSP20" s="253" t="n"/>
      <c r="KSQ20" s="253" t="n"/>
      <c r="KSR20" s="253" t="n"/>
      <c r="KSS20" s="253" t="n"/>
      <c r="KST20" s="253" t="n"/>
      <c r="KSU20" s="253" t="n"/>
      <c r="KSV20" s="253" t="n"/>
      <c r="KSW20" s="253" t="n"/>
      <c r="KSX20" s="253" t="n"/>
      <c r="KSY20" s="253" t="n"/>
      <c r="KSZ20" s="253" t="n"/>
      <c r="KTA20" s="253" t="n"/>
      <c r="KTB20" s="253" t="n"/>
      <c r="KTC20" s="253" t="n"/>
      <c r="KTD20" s="253" t="n"/>
      <c r="KTE20" s="253" t="n"/>
      <c r="KTF20" s="253" t="n"/>
      <c r="KTG20" s="253" t="n"/>
      <c r="KTH20" s="253" t="n"/>
      <c r="KTI20" s="253" t="n"/>
      <c r="KTJ20" s="253" t="n"/>
      <c r="KTK20" s="253" t="n"/>
      <c r="KTL20" s="253" t="n"/>
      <c r="KTM20" s="253" t="n"/>
      <c r="KTN20" s="253" t="n"/>
      <c r="KTO20" s="253" t="n"/>
      <c r="KTP20" s="253" t="n"/>
      <c r="KTQ20" s="253" t="n"/>
      <c r="KTR20" s="253" t="n"/>
      <c r="KTS20" s="253" t="n"/>
      <c r="KTT20" s="253" t="n"/>
      <c r="KTU20" s="253" t="n"/>
      <c r="KTV20" s="253" t="n"/>
      <c r="KTW20" s="253" t="n"/>
      <c r="KTX20" s="253" t="n"/>
      <c r="KTY20" s="253" t="n"/>
      <c r="KTZ20" s="253" t="n"/>
      <c r="KUA20" s="253" t="n"/>
      <c r="KUB20" s="253" t="n"/>
      <c r="KUC20" s="253" t="n"/>
      <c r="KUD20" s="253" t="n"/>
      <c r="KUE20" s="253" t="n"/>
      <c r="KUF20" s="253" t="n"/>
      <c r="KUG20" s="253" t="n"/>
      <c r="KUH20" s="253" t="n"/>
      <c r="KUI20" s="253" t="n"/>
      <c r="KUJ20" s="253" t="n"/>
      <c r="KUK20" s="253" t="n"/>
      <c r="KUL20" s="253" t="n"/>
      <c r="KUM20" s="253" t="n"/>
      <c r="KUN20" s="253" t="n"/>
      <c r="KUO20" s="253" t="n"/>
      <c r="KUP20" s="253" t="n"/>
      <c r="KUQ20" s="253" t="n"/>
      <c r="KUR20" s="253" t="n"/>
      <c r="KUS20" s="253" t="n"/>
      <c r="KUT20" s="253" t="n"/>
      <c r="KUU20" s="253" t="n"/>
      <c r="KUV20" s="253" t="n"/>
      <c r="KUW20" s="253" t="n"/>
      <c r="KUX20" s="253" t="n"/>
      <c r="KUY20" s="253" t="n"/>
      <c r="KUZ20" s="253" t="n"/>
      <c r="KVA20" s="253" t="n"/>
      <c r="KVB20" s="253" t="n"/>
      <c r="KVC20" s="253" t="n"/>
      <c r="KVD20" s="253" t="n"/>
      <c r="KVE20" s="253" t="n"/>
      <c r="KVF20" s="253" t="n"/>
      <c r="KVG20" s="253" t="n"/>
      <c r="KVH20" s="253" t="n"/>
      <c r="KVI20" s="253" t="n"/>
      <c r="KVJ20" s="253" t="n"/>
      <c r="KVK20" s="253" t="n"/>
      <c r="KVL20" s="253" t="n"/>
      <c r="KVM20" s="253" t="n"/>
      <c r="KVN20" s="253" t="n"/>
      <c r="KVO20" s="253" t="n"/>
      <c r="KVP20" s="253" t="n"/>
      <c r="KVQ20" s="253" t="n"/>
      <c r="KVR20" s="253" t="n"/>
      <c r="KVS20" s="253" t="n"/>
      <c r="KVT20" s="253" t="n"/>
      <c r="KVU20" s="253" t="n"/>
      <c r="KVV20" s="253" t="n"/>
      <c r="KVW20" s="253" t="n"/>
      <c r="KVX20" s="253" t="n"/>
      <c r="KVY20" s="253" t="n"/>
      <c r="KVZ20" s="253" t="n"/>
      <c r="KWA20" s="253" t="n"/>
      <c r="KWB20" s="253" t="n"/>
      <c r="KWC20" s="253" t="n"/>
      <c r="KWD20" s="253" t="n"/>
      <c r="KWE20" s="253" t="n"/>
      <c r="KWF20" s="253" t="n"/>
      <c r="KWG20" s="253" t="n"/>
      <c r="KWH20" s="253" t="n"/>
      <c r="KWI20" s="253" t="n"/>
      <c r="KWJ20" s="253" t="n"/>
      <c r="KWK20" s="253" t="n"/>
      <c r="KWL20" s="253" t="n"/>
      <c r="KWM20" s="253" t="n"/>
      <c r="KWN20" s="253" t="n"/>
      <c r="KWO20" s="253" t="n"/>
      <c r="KWP20" s="253" t="n"/>
      <c r="KWQ20" s="253" t="n"/>
      <c r="KWR20" s="253" t="n"/>
      <c r="KWS20" s="253" t="n"/>
      <c r="KWT20" s="253" t="n"/>
      <c r="KWU20" s="253" t="n"/>
      <c r="KWV20" s="253" t="n"/>
      <c r="KWW20" s="253" t="n"/>
      <c r="KWX20" s="253" t="n"/>
      <c r="KWY20" s="253" t="n"/>
      <c r="KWZ20" s="253" t="n"/>
      <c r="KXA20" s="253" t="n"/>
      <c r="KXB20" s="253" t="n"/>
      <c r="KXC20" s="253" t="n"/>
      <c r="KXD20" s="253" t="n"/>
      <c r="KXE20" s="253" t="n"/>
      <c r="KXF20" s="253" t="n"/>
      <c r="KXG20" s="253" t="n"/>
      <c r="KXH20" s="253" t="n"/>
      <c r="KXI20" s="253" t="n"/>
      <c r="KXJ20" s="253" t="n"/>
      <c r="KXK20" s="253" t="n"/>
      <c r="KXL20" s="253" t="n"/>
      <c r="KXM20" s="253" t="n"/>
      <c r="KXN20" s="253" t="n"/>
      <c r="KXO20" s="253" t="n"/>
      <c r="KXP20" s="253" t="n"/>
      <c r="KXQ20" s="253" t="n"/>
      <c r="KXR20" s="253" t="n"/>
      <c r="KXS20" s="253" t="n"/>
      <c r="KXT20" s="253" t="n"/>
      <c r="KXU20" s="253" t="n"/>
      <c r="KXV20" s="253" t="n"/>
      <c r="KXW20" s="253" t="n"/>
      <c r="KXX20" s="253" t="n"/>
      <c r="KXY20" s="253" t="n"/>
      <c r="KXZ20" s="253" t="n"/>
      <c r="KYA20" s="253" t="n"/>
      <c r="KYB20" s="253" t="n"/>
      <c r="KYC20" s="253" t="n"/>
      <c r="KYD20" s="253" t="n"/>
      <c r="KYE20" s="253" t="n"/>
      <c r="KYF20" s="253" t="n"/>
      <c r="KYG20" s="253" t="n"/>
      <c r="KYH20" s="253" t="n"/>
      <c r="KYI20" s="253" t="n"/>
      <c r="KYJ20" s="253" t="n"/>
      <c r="KYK20" s="253" t="n"/>
      <c r="KYL20" s="253" t="n"/>
      <c r="KYM20" s="253" t="n"/>
      <c r="KYN20" s="253" t="n"/>
      <c r="KYO20" s="253" t="n"/>
      <c r="KYP20" s="253" t="n"/>
      <c r="KYQ20" s="253" t="n"/>
      <c r="KYR20" s="253" t="n"/>
      <c r="KYS20" s="253" t="n"/>
      <c r="KYT20" s="253" t="n"/>
      <c r="KYU20" s="253" t="n"/>
      <c r="KYV20" s="253" t="n"/>
      <c r="KYW20" s="253" t="n"/>
      <c r="KYX20" s="253" t="n"/>
      <c r="KYY20" s="253" t="n"/>
      <c r="KYZ20" s="253" t="n"/>
      <c r="KZA20" s="253" t="n"/>
      <c r="KZB20" s="253" t="n"/>
      <c r="KZC20" s="253" t="n"/>
      <c r="KZD20" s="253" t="n"/>
      <c r="KZE20" s="253" t="n"/>
      <c r="KZF20" s="253" t="n"/>
      <c r="KZG20" s="253" t="n"/>
      <c r="KZH20" s="253" t="n"/>
      <c r="KZI20" s="253" t="n"/>
      <c r="KZJ20" s="253" t="n"/>
      <c r="KZK20" s="253" t="n"/>
      <c r="KZL20" s="253" t="n"/>
      <c r="KZM20" s="253" t="n"/>
      <c r="KZN20" s="253" t="n"/>
      <c r="KZO20" s="253" t="n"/>
      <c r="KZP20" s="253" t="n"/>
      <c r="KZQ20" s="253" t="n"/>
      <c r="KZR20" s="253" t="n"/>
      <c r="KZS20" s="253" t="n"/>
      <c r="KZT20" s="253" t="n"/>
      <c r="KZU20" s="253" t="n"/>
      <c r="KZV20" s="253" t="n"/>
      <c r="KZW20" s="253" t="n"/>
      <c r="KZX20" s="253" t="n"/>
      <c r="KZY20" s="253" t="n"/>
      <c r="KZZ20" s="253" t="n"/>
      <c r="LAA20" s="253" t="n"/>
      <c r="LAB20" s="253" t="n"/>
      <c r="LAC20" s="253" t="n"/>
      <c r="LAD20" s="253" t="n"/>
      <c r="LAE20" s="253" t="n"/>
      <c r="LAF20" s="253" t="n"/>
      <c r="LAG20" s="253" t="n"/>
      <c r="LAH20" s="253" t="n"/>
      <c r="LAI20" s="253" t="n"/>
      <c r="LAJ20" s="253" t="n"/>
      <c r="LAK20" s="253" t="n"/>
      <c r="LAL20" s="253" t="n"/>
      <c r="LAM20" s="253" t="n"/>
      <c r="LAN20" s="253" t="n"/>
      <c r="LAO20" s="253" t="n"/>
      <c r="LAP20" s="253" t="n"/>
      <c r="LAQ20" s="253" t="n"/>
      <c r="LAR20" s="253" t="n"/>
      <c r="LAS20" s="253" t="n"/>
      <c r="LAT20" s="253" t="n"/>
      <c r="LAU20" s="253" t="n"/>
      <c r="LAV20" s="253" t="n"/>
      <c r="LAW20" s="253" t="n"/>
      <c r="LAX20" s="253" t="n"/>
      <c r="LAY20" s="253" t="n"/>
      <c r="LAZ20" s="253" t="n"/>
      <c r="LBA20" s="253" t="n"/>
      <c r="LBB20" s="253" t="n"/>
      <c r="LBC20" s="253" t="n"/>
      <c r="LBD20" s="253" t="n"/>
      <c r="LBE20" s="253" t="n"/>
      <c r="LBF20" s="253" t="n"/>
      <c r="LBG20" s="253" t="n"/>
      <c r="LBH20" s="253" t="n"/>
      <c r="LBI20" s="253" t="n"/>
      <c r="LBJ20" s="253" t="n"/>
      <c r="LBK20" s="253" t="n"/>
      <c r="LBL20" s="253" t="n"/>
      <c r="LBM20" s="253" t="n"/>
      <c r="LBN20" s="253" t="n"/>
      <c r="LBO20" s="253" t="n"/>
      <c r="LBP20" s="253" t="n"/>
      <c r="LBQ20" s="253" t="n"/>
      <c r="LBR20" s="253" t="n"/>
      <c r="LBS20" s="253" t="n"/>
      <c r="LBT20" s="253" t="n"/>
      <c r="LBU20" s="253" t="n"/>
      <c r="LBV20" s="253" t="n"/>
      <c r="LBW20" s="253" t="n"/>
      <c r="LBX20" s="253" t="n"/>
      <c r="LBY20" s="253" t="n"/>
      <c r="LBZ20" s="253" t="n"/>
      <c r="LCA20" s="253" t="n"/>
      <c r="LCB20" s="253" t="n"/>
      <c r="LCC20" s="253" t="n"/>
      <c r="LCD20" s="253" t="n"/>
      <c r="LCE20" s="253" t="n"/>
      <c r="LCF20" s="253" t="n"/>
      <c r="LCG20" s="253" t="n"/>
      <c r="LCH20" s="253" t="n"/>
      <c r="LCI20" s="253" t="n"/>
      <c r="LCJ20" s="253" t="n"/>
      <c r="LCK20" s="253" t="n"/>
      <c r="LCL20" s="253" t="n"/>
      <c r="LCM20" s="253" t="n"/>
      <c r="LCN20" s="253" t="n"/>
      <c r="LCO20" s="253" t="n"/>
      <c r="LCP20" s="253" t="n"/>
      <c r="LCQ20" s="253" t="n"/>
      <c r="LCR20" s="253" t="n"/>
      <c r="LCS20" s="253" t="n"/>
      <c r="LCT20" s="253" t="n"/>
      <c r="LCU20" s="253" t="n"/>
      <c r="LCV20" s="253" t="n"/>
      <c r="LCW20" s="253" t="n"/>
      <c r="LCX20" s="253" t="n"/>
      <c r="LCY20" s="253" t="n"/>
      <c r="LCZ20" s="253" t="n"/>
      <c r="LDA20" s="253" t="n"/>
      <c r="LDB20" s="253" t="n"/>
      <c r="LDC20" s="253" t="n"/>
      <c r="LDD20" s="253" t="n"/>
      <c r="LDE20" s="253" t="n"/>
      <c r="LDF20" s="253" t="n"/>
      <c r="LDG20" s="253" t="n"/>
      <c r="LDH20" s="253" t="n"/>
      <c r="LDI20" s="253" t="n"/>
      <c r="LDJ20" s="253" t="n"/>
      <c r="LDK20" s="253" t="n"/>
      <c r="LDL20" s="253" t="n"/>
      <c r="LDM20" s="253" t="n"/>
      <c r="LDN20" s="253" t="n"/>
      <c r="LDO20" s="253" t="n"/>
      <c r="LDP20" s="253" t="n"/>
      <c r="LDQ20" s="253" t="n"/>
      <c r="LDR20" s="253" t="n"/>
      <c r="LDS20" s="253" t="n"/>
      <c r="LDT20" s="253" t="n"/>
      <c r="LDU20" s="253" t="n"/>
      <c r="LDV20" s="253" t="n"/>
      <c r="LDW20" s="253" t="n"/>
      <c r="LDX20" s="253" t="n"/>
      <c r="LDY20" s="253" t="n"/>
      <c r="LDZ20" s="253" t="n"/>
      <c r="LEA20" s="253" t="n"/>
      <c r="LEB20" s="253" t="n"/>
      <c r="LEC20" s="253" t="n"/>
      <c r="LED20" s="253" t="n"/>
      <c r="LEE20" s="253" t="n"/>
      <c r="LEF20" s="253" t="n"/>
      <c r="LEG20" s="253" t="n"/>
      <c r="LEH20" s="253" t="n"/>
      <c r="LEI20" s="253" t="n"/>
      <c r="LEJ20" s="253" t="n"/>
      <c r="LEK20" s="253" t="n"/>
      <c r="LEL20" s="253" t="n"/>
      <c r="LEM20" s="253" t="n"/>
      <c r="LEN20" s="253" t="n"/>
      <c r="LEO20" s="253" t="n"/>
      <c r="LEP20" s="253" t="n"/>
      <c r="LEQ20" s="253" t="n"/>
      <c r="LER20" s="253" t="n"/>
      <c r="LES20" s="253" t="n"/>
      <c r="LET20" s="253" t="n"/>
      <c r="LEU20" s="253" t="n"/>
      <c r="LEV20" s="253" t="n"/>
      <c r="LEW20" s="253" t="n"/>
      <c r="LEX20" s="253" t="n"/>
      <c r="LEY20" s="253" t="n"/>
      <c r="LEZ20" s="253" t="n"/>
      <c r="LFA20" s="253" t="n"/>
      <c r="LFB20" s="253" t="n"/>
      <c r="LFC20" s="253" t="n"/>
      <c r="LFD20" s="253" t="n"/>
      <c r="LFE20" s="253" t="n"/>
      <c r="LFF20" s="253" t="n"/>
      <c r="LFG20" s="253" t="n"/>
      <c r="LFH20" s="253" t="n"/>
      <c r="LFI20" s="253" t="n"/>
      <c r="LFJ20" s="253" t="n"/>
      <c r="LFK20" s="253" t="n"/>
      <c r="LFL20" s="252" t="n"/>
      <c r="LFM20" s="253" t="n"/>
      <c r="LFN20" s="253" t="n"/>
      <c r="LFO20" s="253" t="n"/>
      <c r="LFP20" s="253" t="n"/>
      <c r="LFQ20" s="253" t="n"/>
      <c r="LFR20" s="253" t="n"/>
      <c r="LFS20" s="253" t="n"/>
      <c r="LFT20" s="253" t="n"/>
      <c r="LFU20" s="253" t="n"/>
      <c r="LFV20" s="253" t="n"/>
      <c r="LFW20" s="253" t="n"/>
      <c r="LFX20" s="253" t="n"/>
      <c r="LFY20" s="253" t="n"/>
      <c r="LFZ20" s="253" t="n"/>
      <c r="LGA20" s="253" t="n"/>
      <c r="LGB20" s="253" t="n"/>
      <c r="LGC20" s="253" t="n"/>
      <c r="LGD20" s="253" t="n"/>
      <c r="LGE20" s="253" t="n"/>
      <c r="LGF20" s="253" t="n"/>
      <c r="LGG20" s="253" t="n"/>
      <c r="LGH20" s="253" t="n"/>
      <c r="LGI20" s="253" t="n"/>
      <c r="LGJ20" s="253" t="n"/>
      <c r="LGK20" s="253" t="n"/>
      <c r="LGL20" s="253" t="n"/>
      <c r="LGM20" s="253" t="n"/>
      <c r="LGN20" s="253" t="n"/>
      <c r="LGO20" s="253" t="n"/>
      <c r="LGP20" s="253" t="n"/>
      <c r="LGQ20" s="253" t="n"/>
      <c r="LGR20" s="253" t="n"/>
      <c r="LGS20" s="253" t="n"/>
      <c r="LGT20" s="253" t="n"/>
      <c r="LGU20" s="253" t="n"/>
      <c r="LGV20" s="253" t="n"/>
      <c r="LGW20" s="253" t="n"/>
      <c r="LGX20" s="253" t="n"/>
      <c r="LGY20" s="253" t="n"/>
      <c r="LGZ20" s="253" t="n"/>
      <c r="LHA20" s="253" t="n"/>
      <c r="LHB20" s="253" t="n"/>
      <c r="LHC20" s="253" t="n"/>
      <c r="LHD20" s="253" t="n"/>
      <c r="LHE20" s="253" t="n"/>
      <c r="LHF20" s="253" t="n"/>
      <c r="LHG20" s="253" t="n"/>
      <c r="LHH20" s="253" t="n"/>
      <c r="LHI20" s="253" t="n"/>
      <c r="LHJ20" s="253" t="n"/>
      <c r="LHK20" s="253" t="n"/>
      <c r="LHL20" s="253" t="n"/>
      <c r="LHM20" s="253" t="n"/>
      <c r="LHN20" s="253" t="n"/>
      <c r="LHO20" s="253" t="n"/>
      <c r="LHP20" s="253" t="n"/>
      <c r="LHQ20" s="253" t="n"/>
      <c r="LHR20" s="253" t="n"/>
      <c r="LHS20" s="253" t="n"/>
      <c r="LHT20" s="253" t="n"/>
      <c r="LHU20" s="253" t="n"/>
      <c r="LHV20" s="253" t="n"/>
      <c r="LHW20" s="253" t="n"/>
      <c r="LHX20" s="253" t="n"/>
      <c r="LHY20" s="253" t="n"/>
      <c r="LHZ20" s="253" t="n"/>
      <c r="LIA20" s="253" t="n"/>
      <c r="LIB20" s="253" t="n"/>
      <c r="LIC20" s="253" t="n"/>
      <c r="LID20" s="253" t="n"/>
      <c r="LIE20" s="253" t="n"/>
      <c r="LIF20" s="253" t="n"/>
      <c r="LIG20" s="253" t="n"/>
      <c r="LIH20" s="253" t="n"/>
      <c r="LII20" s="253" t="n"/>
      <c r="LIJ20" s="253" t="n"/>
      <c r="LIK20" s="253" t="n"/>
      <c r="LIL20" s="253" t="n"/>
      <c r="LIM20" s="253" t="n"/>
      <c r="LIN20" s="253" t="n"/>
      <c r="LIO20" s="253" t="n"/>
      <c r="LIP20" s="253" t="n"/>
      <c r="LIQ20" s="253" t="n"/>
      <c r="LIR20" s="253" t="n"/>
      <c r="LIS20" s="253" t="n"/>
      <c r="LIT20" s="253" t="n"/>
      <c r="LIU20" s="253" t="n"/>
      <c r="LIV20" s="253" t="n"/>
      <c r="LIW20" s="253" t="n"/>
      <c r="LIX20" s="253" t="n"/>
      <c r="LIY20" s="253" t="n"/>
      <c r="LIZ20" s="253" t="n"/>
      <c r="LJA20" s="253" t="n"/>
      <c r="LJB20" s="253" t="n"/>
      <c r="LJC20" s="253" t="n"/>
      <c r="LJD20" s="253" t="n"/>
      <c r="LJE20" s="253" t="n"/>
      <c r="LJF20" s="253" t="n"/>
      <c r="LJG20" s="253" t="n"/>
      <c r="LJH20" s="253" t="n"/>
      <c r="LJI20" s="253" t="n"/>
      <c r="LJJ20" s="253" t="n"/>
      <c r="LJK20" s="253" t="n"/>
      <c r="LJL20" s="253" t="n"/>
      <c r="LJM20" s="253" t="n"/>
      <c r="LJN20" s="253" t="n"/>
      <c r="LJO20" s="253" t="n"/>
      <c r="LJP20" s="253" t="n"/>
      <c r="LJQ20" s="253" t="n"/>
      <c r="LJR20" s="253" t="n"/>
      <c r="LJS20" s="253" t="n"/>
      <c r="LJT20" s="253" t="n"/>
      <c r="LJU20" s="253" t="n"/>
      <c r="LJV20" s="253" t="n"/>
      <c r="LJW20" s="253" t="n"/>
      <c r="LJX20" s="253" t="n"/>
      <c r="LJY20" s="253" t="n"/>
      <c r="LJZ20" s="253" t="n"/>
      <c r="LKA20" s="253" t="n"/>
      <c r="LKB20" s="253" t="n"/>
      <c r="LKC20" s="253" t="n"/>
      <c r="LKD20" s="253" t="n"/>
      <c r="LKE20" s="253" t="n"/>
      <c r="LKF20" s="253" t="n"/>
      <c r="LKG20" s="253" t="n"/>
      <c r="LKH20" s="253" t="n"/>
      <c r="LKI20" s="253" t="n"/>
      <c r="LKJ20" s="253" t="n"/>
      <c r="LKK20" s="253" t="n"/>
      <c r="LKL20" s="253" t="n"/>
      <c r="LKM20" s="253" t="n"/>
      <c r="LKN20" s="253" t="n"/>
      <c r="LKO20" s="253" t="n"/>
      <c r="LKP20" s="253" t="n"/>
      <c r="LKQ20" s="253" t="n"/>
      <c r="LKR20" s="253" t="n"/>
      <c r="LKS20" s="253" t="n"/>
      <c r="LKT20" s="253" t="n"/>
      <c r="LKU20" s="253" t="n"/>
      <c r="LKV20" s="253" t="n"/>
      <c r="LKW20" s="253" t="n"/>
      <c r="LKX20" s="253" t="n"/>
      <c r="LKY20" s="253" t="n"/>
      <c r="LKZ20" s="253" t="n"/>
      <c r="LLA20" s="253" t="n"/>
      <c r="LLB20" s="253" t="n"/>
      <c r="LLC20" s="253" t="n"/>
      <c r="LLD20" s="253" t="n"/>
      <c r="LLE20" s="253" t="n"/>
      <c r="LLF20" s="253" t="n"/>
      <c r="LLG20" s="253" t="n"/>
      <c r="LLH20" s="253" t="n"/>
      <c r="LLI20" s="253" t="n"/>
      <c r="LLJ20" s="253" t="n"/>
      <c r="LLK20" s="253" t="n"/>
      <c r="LLL20" s="253" t="n"/>
      <c r="LLM20" s="253" t="n"/>
      <c r="LLN20" s="253" t="n"/>
      <c r="LLO20" s="253" t="n"/>
      <c r="LLP20" s="253" t="n"/>
      <c r="LLQ20" s="253" t="n"/>
      <c r="LLR20" s="253" t="n"/>
      <c r="LLS20" s="253" t="n"/>
      <c r="LLT20" s="253" t="n"/>
      <c r="LLU20" s="253" t="n"/>
      <c r="LLV20" s="253" t="n"/>
      <c r="LLW20" s="253" t="n"/>
      <c r="LLX20" s="253" t="n"/>
      <c r="LLY20" s="253" t="n"/>
      <c r="LLZ20" s="253" t="n"/>
      <c r="LMA20" s="253" t="n"/>
      <c r="LMB20" s="253" t="n"/>
      <c r="LMC20" s="253" t="n"/>
      <c r="LMD20" s="253" t="n"/>
      <c r="LME20" s="253" t="n"/>
      <c r="LMF20" s="253" t="n"/>
      <c r="LMG20" s="253" t="n"/>
      <c r="LMH20" s="253" t="n"/>
      <c r="LMI20" s="253" t="n"/>
      <c r="LMJ20" s="253" t="n"/>
      <c r="LMK20" s="253" t="n"/>
      <c r="LML20" s="253" t="n"/>
      <c r="LMM20" s="253" t="n"/>
      <c r="LMN20" s="253" t="n"/>
      <c r="LMO20" s="253" t="n"/>
      <c r="LMP20" s="253" t="n"/>
      <c r="LMQ20" s="253" t="n"/>
      <c r="LMR20" s="253" t="n"/>
      <c r="LMS20" s="253" t="n"/>
      <c r="LMT20" s="253" t="n"/>
      <c r="LMU20" s="253" t="n"/>
      <c r="LMV20" s="253" t="n"/>
      <c r="LMW20" s="253" t="n"/>
      <c r="LMX20" s="253" t="n"/>
      <c r="LMY20" s="253" t="n"/>
      <c r="LMZ20" s="253" t="n"/>
      <c r="LNA20" s="253" t="n"/>
      <c r="LNB20" s="253" t="n"/>
      <c r="LNC20" s="253" t="n"/>
      <c r="LND20" s="253" t="n"/>
      <c r="LNE20" s="253" t="n"/>
      <c r="LNF20" s="253" t="n"/>
      <c r="LNG20" s="253" t="n"/>
      <c r="LNH20" s="253" t="n"/>
      <c r="LNI20" s="253" t="n"/>
      <c r="LNJ20" s="253" t="n"/>
      <c r="LNK20" s="253" t="n"/>
      <c r="LNL20" s="253" t="n"/>
      <c r="LNM20" s="253" t="n"/>
      <c r="LNN20" s="253" t="n"/>
      <c r="LNO20" s="253" t="n"/>
      <c r="LNP20" s="253" t="n"/>
      <c r="LNQ20" s="253" t="n"/>
      <c r="LNR20" s="253" t="n"/>
      <c r="LNS20" s="253" t="n"/>
      <c r="LNT20" s="253" t="n"/>
      <c r="LNU20" s="253" t="n"/>
      <c r="LNV20" s="253" t="n"/>
      <c r="LNW20" s="253" t="n"/>
      <c r="LNX20" s="253" t="n"/>
      <c r="LNY20" s="253" t="n"/>
      <c r="LNZ20" s="253" t="n"/>
      <c r="LOA20" s="253" t="n"/>
      <c r="LOB20" s="253" t="n"/>
      <c r="LOC20" s="253" t="n"/>
      <c r="LOD20" s="253" t="n"/>
      <c r="LOE20" s="253" t="n"/>
      <c r="LOF20" s="253" t="n"/>
      <c r="LOG20" s="253" t="n"/>
      <c r="LOH20" s="253" t="n"/>
      <c r="LOI20" s="253" t="n"/>
      <c r="LOJ20" s="253" t="n"/>
      <c r="LOK20" s="253" t="n"/>
      <c r="LOL20" s="253" t="n"/>
      <c r="LOM20" s="253" t="n"/>
      <c r="LON20" s="253" t="n"/>
      <c r="LOO20" s="253" t="n"/>
      <c r="LOP20" s="253" t="n"/>
      <c r="LOQ20" s="253" t="n"/>
      <c r="LOR20" s="253" t="n"/>
      <c r="LOS20" s="253" t="n"/>
      <c r="LOT20" s="253" t="n"/>
      <c r="LOU20" s="253" t="n"/>
      <c r="LOV20" s="253" t="n"/>
      <c r="LOW20" s="253" t="n"/>
      <c r="LOX20" s="253" t="n"/>
      <c r="LOY20" s="253" t="n"/>
      <c r="LOZ20" s="253" t="n"/>
      <c r="LPA20" s="253" t="n"/>
      <c r="LPB20" s="253" t="n"/>
      <c r="LPC20" s="253" t="n"/>
      <c r="LPD20" s="253" t="n"/>
      <c r="LPE20" s="253" t="n"/>
      <c r="LPF20" s="253" t="n"/>
      <c r="LPG20" s="253" t="n"/>
      <c r="LPH20" s="253" t="n"/>
      <c r="LPI20" s="253" t="n"/>
      <c r="LPJ20" s="253" t="n"/>
      <c r="LPK20" s="253" t="n"/>
      <c r="LPL20" s="253" t="n"/>
      <c r="LPM20" s="253" t="n"/>
      <c r="LPN20" s="253" t="n"/>
      <c r="LPO20" s="253" t="n"/>
      <c r="LPP20" s="253" t="n"/>
      <c r="LPQ20" s="253" t="n"/>
      <c r="LPR20" s="253" t="n"/>
      <c r="LPS20" s="253" t="n"/>
      <c r="LPT20" s="253" t="n"/>
      <c r="LPU20" s="253" t="n"/>
      <c r="LPV20" s="253" t="n"/>
      <c r="LPW20" s="253" t="n"/>
      <c r="LPX20" s="253" t="n"/>
      <c r="LPY20" s="253" t="n"/>
      <c r="LPZ20" s="253" t="n"/>
      <c r="LQA20" s="253" t="n"/>
      <c r="LQB20" s="253" t="n"/>
      <c r="LQC20" s="253" t="n"/>
      <c r="LQD20" s="253" t="n"/>
      <c r="LQE20" s="253" t="n"/>
      <c r="LQF20" s="253" t="n"/>
      <c r="LQG20" s="253" t="n"/>
      <c r="LQH20" s="253" t="n"/>
      <c r="LQI20" s="253" t="n"/>
      <c r="LQJ20" s="253" t="n"/>
      <c r="LQK20" s="253" t="n"/>
      <c r="LQL20" s="253" t="n"/>
      <c r="LQM20" s="253" t="n"/>
      <c r="LQN20" s="253" t="n"/>
      <c r="LQO20" s="253" t="n"/>
      <c r="LQP20" s="253" t="n"/>
      <c r="LQQ20" s="253" t="n"/>
      <c r="LQR20" s="253" t="n"/>
      <c r="LQS20" s="253" t="n"/>
      <c r="LQT20" s="253" t="n"/>
      <c r="LQU20" s="253" t="n"/>
      <c r="LQV20" s="253" t="n"/>
      <c r="LQW20" s="253" t="n"/>
      <c r="LQX20" s="253" t="n"/>
      <c r="LQY20" s="253" t="n"/>
      <c r="LQZ20" s="253" t="n"/>
      <c r="LRA20" s="253" t="n"/>
      <c r="LRB20" s="253" t="n"/>
      <c r="LRC20" s="253" t="n"/>
      <c r="LRD20" s="253" t="n"/>
      <c r="LRE20" s="253" t="n"/>
      <c r="LRF20" s="253" t="n"/>
      <c r="LRG20" s="253" t="n"/>
      <c r="LRH20" s="253" t="n"/>
      <c r="LRI20" s="253" t="n"/>
      <c r="LRJ20" s="253" t="n"/>
      <c r="LRK20" s="253" t="n"/>
      <c r="LRL20" s="253" t="n"/>
      <c r="LRM20" s="253" t="n"/>
      <c r="LRN20" s="253" t="n"/>
      <c r="LRO20" s="253" t="n"/>
      <c r="LRP20" s="253" t="n"/>
      <c r="LRQ20" s="253" t="n"/>
      <c r="LRR20" s="253" t="n"/>
      <c r="LRS20" s="253" t="n"/>
      <c r="LRT20" s="253" t="n"/>
      <c r="LRU20" s="253" t="n"/>
      <c r="LRV20" s="253" t="n"/>
      <c r="LRW20" s="253" t="n"/>
      <c r="LRX20" s="253" t="n"/>
      <c r="LRY20" s="253" t="n"/>
      <c r="LRZ20" s="253" t="n"/>
      <c r="LSA20" s="253" t="n"/>
      <c r="LSB20" s="253" t="n"/>
      <c r="LSC20" s="253" t="n"/>
      <c r="LSD20" s="253" t="n"/>
      <c r="LSE20" s="253" t="n"/>
      <c r="LSF20" s="253" t="n"/>
      <c r="LSG20" s="253" t="n"/>
      <c r="LSH20" s="253" t="n"/>
      <c r="LSI20" s="253" t="n"/>
      <c r="LSJ20" s="253" t="n"/>
      <c r="LSK20" s="253" t="n"/>
      <c r="LSL20" s="253" t="n"/>
      <c r="LSM20" s="253" t="n"/>
      <c r="LSN20" s="253" t="n"/>
      <c r="LSO20" s="253" t="n"/>
      <c r="LSP20" s="253" t="n"/>
      <c r="LSQ20" s="253" t="n"/>
      <c r="LSR20" s="253" t="n"/>
      <c r="LSS20" s="253" t="n"/>
      <c r="LST20" s="253" t="n"/>
      <c r="LSU20" s="253" t="n"/>
      <c r="LSV20" s="253" t="n"/>
      <c r="LSW20" s="253" t="n"/>
      <c r="LSX20" s="253" t="n"/>
      <c r="LSY20" s="253" t="n"/>
      <c r="LSZ20" s="253" t="n"/>
      <c r="LTA20" s="253" t="n"/>
      <c r="LTB20" s="253" t="n"/>
      <c r="LTC20" s="253" t="n"/>
      <c r="LTD20" s="253" t="n"/>
      <c r="LTE20" s="253" t="n"/>
      <c r="LTF20" s="253" t="n"/>
      <c r="LTG20" s="253" t="n"/>
      <c r="LTH20" s="253" t="n"/>
      <c r="LTI20" s="253" t="n"/>
      <c r="LTJ20" s="253" t="n"/>
      <c r="LTK20" s="253" t="n"/>
      <c r="LTL20" s="253" t="n"/>
      <c r="LTM20" s="253" t="n"/>
      <c r="LTN20" s="253" t="n"/>
      <c r="LTO20" s="253" t="n"/>
      <c r="LTP20" s="253" t="n"/>
      <c r="LTQ20" s="253" t="n"/>
      <c r="LTR20" s="253" t="n"/>
      <c r="LTS20" s="253" t="n"/>
      <c r="LTT20" s="253" t="n"/>
      <c r="LTU20" s="253" t="n"/>
      <c r="LTV20" s="253" t="n"/>
      <c r="LTW20" s="253" t="n"/>
      <c r="LTX20" s="253" t="n"/>
      <c r="LTY20" s="253" t="n"/>
      <c r="LTZ20" s="253" t="n"/>
      <c r="LUA20" s="253" t="n"/>
      <c r="LUB20" s="253" t="n"/>
      <c r="LUC20" s="253" t="n"/>
      <c r="LUD20" s="253" t="n"/>
      <c r="LUE20" s="253" t="n"/>
      <c r="LUF20" s="253" t="n"/>
      <c r="LUG20" s="253" t="n"/>
      <c r="LUH20" s="253" t="n"/>
      <c r="LUI20" s="253" t="n"/>
      <c r="LUJ20" s="253" t="n"/>
      <c r="LUK20" s="253" t="n"/>
      <c r="LUL20" s="253" t="n"/>
      <c r="LUM20" s="253" t="n"/>
      <c r="LUN20" s="253" t="n"/>
      <c r="LUO20" s="253" t="n"/>
      <c r="LUP20" s="253" t="n"/>
      <c r="LUQ20" s="253" t="n"/>
      <c r="LUR20" s="253" t="n"/>
      <c r="LUS20" s="253" t="n"/>
      <c r="LUT20" s="253" t="n"/>
      <c r="LUU20" s="253" t="n"/>
      <c r="LUV20" s="253" t="n"/>
      <c r="LUW20" s="253" t="n"/>
      <c r="LUX20" s="253" t="n"/>
      <c r="LUY20" s="253" t="n"/>
      <c r="LUZ20" s="253" t="n"/>
      <c r="LVA20" s="253" t="n"/>
      <c r="LVB20" s="253" t="n"/>
      <c r="LVC20" s="253" t="n"/>
      <c r="LVD20" s="253" t="n"/>
      <c r="LVE20" s="253" t="n"/>
      <c r="LVF20" s="253" t="n"/>
      <c r="LVG20" s="253" t="n"/>
      <c r="LVH20" s="253" t="n"/>
      <c r="LVI20" s="253" t="n"/>
      <c r="LVJ20" s="253" t="n"/>
      <c r="LVK20" s="253" t="n"/>
      <c r="LVL20" s="253" t="n"/>
      <c r="LVM20" s="253" t="n"/>
      <c r="LVN20" s="253" t="n"/>
      <c r="LVO20" s="253" t="n"/>
      <c r="LVP20" s="253" t="n"/>
      <c r="LVQ20" s="253" t="n"/>
      <c r="LVR20" s="253" t="n"/>
      <c r="LVS20" s="253" t="n"/>
      <c r="LVT20" s="253" t="n"/>
      <c r="LVU20" s="253" t="n"/>
      <c r="LVV20" s="253" t="n"/>
      <c r="LVW20" s="253" t="n"/>
      <c r="LVX20" s="253" t="n"/>
      <c r="LVY20" s="253" t="n"/>
      <c r="LVZ20" s="253" t="n"/>
      <c r="LWA20" s="253" t="n"/>
      <c r="LWB20" s="253" t="n"/>
      <c r="LWC20" s="253" t="n"/>
      <c r="LWD20" s="253" t="n"/>
      <c r="LWE20" s="253" t="n"/>
      <c r="LWF20" s="253" t="n"/>
      <c r="LWG20" s="253" t="n"/>
      <c r="LWH20" s="253" t="n"/>
      <c r="LWI20" s="253" t="n"/>
      <c r="LWJ20" s="253" t="n"/>
      <c r="LWK20" s="253" t="n"/>
      <c r="LWL20" s="253" t="n"/>
      <c r="LWM20" s="253" t="n"/>
      <c r="LWN20" s="253" t="n"/>
      <c r="LWO20" s="253" t="n"/>
      <c r="LWP20" s="253" t="n"/>
      <c r="LWQ20" s="253" t="n"/>
      <c r="LWR20" s="253" t="n"/>
      <c r="LWS20" s="253" t="n"/>
      <c r="LWT20" s="253" t="n"/>
      <c r="LWU20" s="253" t="n"/>
      <c r="LWV20" s="253" t="n"/>
      <c r="LWW20" s="253" t="n"/>
      <c r="LWX20" s="253" t="n"/>
      <c r="LWY20" s="253" t="n"/>
      <c r="LWZ20" s="253" t="n"/>
      <c r="LXA20" s="253" t="n"/>
      <c r="LXB20" s="253" t="n"/>
      <c r="LXC20" s="253" t="n"/>
      <c r="LXD20" s="253" t="n"/>
      <c r="LXE20" s="253" t="n"/>
      <c r="LXF20" s="253" t="n"/>
      <c r="LXG20" s="253" t="n"/>
      <c r="LXH20" s="253" t="n"/>
      <c r="LXI20" s="253" t="n"/>
      <c r="LXJ20" s="253" t="n"/>
      <c r="LXK20" s="253" t="n"/>
      <c r="LXL20" s="253" t="n"/>
      <c r="LXM20" s="253" t="n"/>
      <c r="LXN20" s="253" t="n"/>
      <c r="LXO20" s="253" t="n"/>
      <c r="LXP20" s="253" t="n"/>
      <c r="LXQ20" s="253" t="n"/>
      <c r="LXR20" s="253" t="n"/>
      <c r="LXS20" s="253" t="n"/>
      <c r="LXT20" s="253" t="n"/>
      <c r="LXU20" s="253" t="n"/>
      <c r="LXV20" s="253" t="n"/>
      <c r="LXW20" s="253" t="n"/>
      <c r="LXX20" s="253" t="n"/>
      <c r="LXY20" s="253" t="n"/>
      <c r="LXZ20" s="253" t="n"/>
      <c r="LYA20" s="253" t="n"/>
      <c r="LYB20" s="253" t="n"/>
      <c r="LYC20" s="253" t="n"/>
      <c r="LYD20" s="253" t="n"/>
      <c r="LYE20" s="253" t="n"/>
      <c r="LYF20" s="253" t="n"/>
      <c r="LYG20" s="253" t="n"/>
      <c r="LYH20" s="253" t="n"/>
      <c r="LYI20" s="253" t="n"/>
      <c r="LYJ20" s="253" t="n"/>
      <c r="LYK20" s="253" t="n"/>
      <c r="LYL20" s="253" t="n"/>
      <c r="LYM20" s="253" t="n"/>
      <c r="LYN20" s="253" t="n"/>
      <c r="LYO20" s="253" t="n"/>
      <c r="LYP20" s="253" t="n"/>
      <c r="LYQ20" s="253" t="n"/>
      <c r="LYR20" s="253" t="n"/>
      <c r="LYS20" s="253" t="n"/>
      <c r="LYT20" s="253" t="n"/>
      <c r="LYU20" s="253" t="n"/>
      <c r="LYV20" s="253" t="n"/>
      <c r="LYW20" s="253" t="n"/>
      <c r="LYX20" s="253" t="n"/>
      <c r="LYY20" s="253" t="n"/>
      <c r="LYZ20" s="253" t="n"/>
      <c r="LZA20" s="253" t="n"/>
      <c r="LZB20" s="253" t="n"/>
      <c r="LZC20" s="253" t="n"/>
      <c r="LZD20" s="253" t="n"/>
      <c r="LZE20" s="253" t="n"/>
      <c r="LZF20" s="253" t="n"/>
      <c r="LZG20" s="253" t="n"/>
      <c r="LZH20" s="253" t="n"/>
      <c r="LZI20" s="253" t="n"/>
      <c r="LZJ20" s="253" t="n"/>
      <c r="LZK20" s="253" t="n"/>
      <c r="LZL20" s="253" t="n"/>
      <c r="LZM20" s="253" t="n"/>
      <c r="LZN20" s="253" t="n"/>
      <c r="LZO20" s="253" t="n"/>
      <c r="LZP20" s="253" t="n"/>
      <c r="LZQ20" s="253" t="n"/>
      <c r="LZR20" s="253" t="n"/>
      <c r="LZS20" s="253" t="n"/>
      <c r="LZT20" s="253" t="n"/>
      <c r="LZU20" s="253" t="n"/>
      <c r="LZV20" s="253" t="n"/>
      <c r="LZW20" s="253" t="n"/>
      <c r="LZX20" s="253" t="n"/>
      <c r="LZY20" s="253" t="n"/>
      <c r="LZZ20" s="253" t="n"/>
      <c r="MAA20" s="253" t="n"/>
      <c r="MAB20" s="253" t="n"/>
      <c r="MAC20" s="253" t="n"/>
      <c r="MAD20" s="253" t="n"/>
      <c r="MAE20" s="253" t="n"/>
      <c r="MAF20" s="253" t="n"/>
      <c r="MAG20" s="253" t="n"/>
      <c r="MAH20" s="253" t="n"/>
      <c r="MAI20" s="253" t="n"/>
      <c r="MAJ20" s="253" t="n"/>
      <c r="MAK20" s="253" t="n"/>
      <c r="MAL20" s="253" t="n"/>
      <c r="MAM20" s="253" t="n"/>
      <c r="MAN20" s="253" t="n"/>
      <c r="MAO20" s="253" t="n"/>
      <c r="MAP20" s="253" t="n"/>
      <c r="MAQ20" s="253" t="n"/>
      <c r="MAR20" s="253" t="n"/>
      <c r="MAS20" s="253" t="n"/>
      <c r="MAT20" s="253" t="n"/>
      <c r="MAU20" s="253" t="n"/>
      <c r="MAV20" s="253" t="n"/>
      <c r="MAW20" s="253" t="n"/>
      <c r="MAX20" s="253" t="n"/>
      <c r="MAY20" s="253" t="n"/>
      <c r="MAZ20" s="253" t="n"/>
      <c r="MBA20" s="253" t="n"/>
      <c r="MBB20" s="253" t="n"/>
      <c r="MBC20" s="253" t="n"/>
      <c r="MBD20" s="253" t="n"/>
      <c r="MBE20" s="253" t="n"/>
      <c r="MBF20" s="253" t="n"/>
      <c r="MBG20" s="253" t="n"/>
      <c r="MBH20" s="253" t="n"/>
      <c r="MBI20" s="253" t="n"/>
      <c r="MBJ20" s="253" t="n"/>
      <c r="MBK20" s="253" t="n"/>
      <c r="MBL20" s="253" t="n"/>
      <c r="MBM20" s="253" t="n"/>
      <c r="MBN20" s="253" t="n"/>
      <c r="MBO20" s="253" t="n"/>
      <c r="MBP20" s="253" t="n"/>
      <c r="MBQ20" s="253" t="n"/>
      <c r="MBR20" s="253" t="n"/>
      <c r="MBS20" s="253" t="n"/>
      <c r="MBT20" s="253" t="n"/>
      <c r="MBU20" s="253" t="n"/>
      <c r="MBV20" s="253" t="n"/>
      <c r="MBW20" s="253" t="n"/>
      <c r="MBX20" s="253" t="n"/>
      <c r="MBY20" s="253" t="n"/>
      <c r="MBZ20" s="253" t="n"/>
      <c r="MCA20" s="253" t="n"/>
      <c r="MCB20" s="253" t="n"/>
      <c r="MCC20" s="253" t="n"/>
      <c r="MCD20" s="253" t="n"/>
      <c r="MCE20" s="253" t="n"/>
      <c r="MCF20" s="253" t="n"/>
      <c r="MCG20" s="253" t="n"/>
      <c r="MCH20" s="253" t="n"/>
      <c r="MCI20" s="253" t="n"/>
      <c r="MCJ20" s="253" t="n"/>
      <c r="MCK20" s="253" t="n"/>
      <c r="MCL20" s="253" t="n"/>
      <c r="MCM20" s="253" t="n"/>
      <c r="MCN20" s="253" t="n"/>
      <c r="MCO20" s="253" t="n"/>
      <c r="MCP20" s="253" t="n"/>
      <c r="MCQ20" s="253" t="n"/>
      <c r="MCR20" s="253" t="n"/>
      <c r="MCS20" s="253" t="n"/>
      <c r="MCT20" s="253" t="n"/>
      <c r="MCU20" s="253" t="n"/>
      <c r="MCV20" s="253" t="n"/>
      <c r="MCW20" s="253" t="n"/>
      <c r="MCX20" s="253" t="n"/>
      <c r="MCY20" s="253" t="n"/>
      <c r="MCZ20" s="253" t="n"/>
      <c r="MDA20" s="253" t="n"/>
      <c r="MDB20" s="253" t="n"/>
      <c r="MDC20" s="253" t="n"/>
      <c r="MDD20" s="253" t="n"/>
      <c r="MDE20" s="253" t="n"/>
      <c r="MDF20" s="253" t="n"/>
      <c r="MDG20" s="253" t="n"/>
      <c r="MDH20" s="253" t="n"/>
      <c r="MDI20" s="253" t="n"/>
      <c r="MDJ20" s="253" t="n"/>
      <c r="MDK20" s="253" t="n"/>
      <c r="MDL20" s="253" t="n"/>
      <c r="MDM20" s="253" t="n"/>
      <c r="MDN20" s="253" t="n"/>
      <c r="MDO20" s="253" t="n"/>
      <c r="MDP20" s="253" t="n"/>
      <c r="MDQ20" s="253" t="n"/>
      <c r="MDR20" s="253" t="n"/>
      <c r="MDS20" s="253" t="n"/>
      <c r="MDT20" s="253" t="n"/>
      <c r="MDU20" s="253" t="n"/>
      <c r="MDV20" s="253" t="n"/>
      <c r="MDW20" s="253" t="n"/>
      <c r="MDX20" s="253" t="n"/>
      <c r="MDY20" s="253" t="n"/>
      <c r="MDZ20" s="253" t="n"/>
      <c r="MEA20" s="253" t="n"/>
      <c r="MEB20" s="253" t="n"/>
      <c r="MEC20" s="253" t="n"/>
      <c r="MED20" s="253" t="n"/>
      <c r="MEE20" s="253" t="n"/>
      <c r="MEF20" s="253" t="n"/>
      <c r="MEG20" s="253" t="n"/>
      <c r="MEH20" s="253" t="n"/>
      <c r="MEI20" s="253" t="n"/>
      <c r="MEJ20" s="253" t="n"/>
      <c r="MEK20" s="253" t="n"/>
      <c r="MEL20" s="253" t="n"/>
      <c r="MEM20" s="253" t="n"/>
      <c r="MEN20" s="253" t="n"/>
      <c r="MEO20" s="253" t="n"/>
      <c r="MEP20" s="253" t="n"/>
      <c r="MEQ20" s="253" t="n"/>
      <c r="MER20" s="253" t="n"/>
      <c r="MES20" s="253" t="n"/>
      <c r="MET20" s="253" t="n"/>
      <c r="MEU20" s="253" t="n"/>
      <c r="MEV20" s="253" t="n"/>
      <c r="MEW20" s="253" t="n"/>
      <c r="MEX20" s="253" t="n"/>
      <c r="MEY20" s="253" t="n"/>
      <c r="MEZ20" s="253" t="n"/>
      <c r="MFA20" s="253" t="n"/>
      <c r="MFB20" s="253" t="n"/>
      <c r="MFC20" s="253" t="n"/>
      <c r="MFD20" s="253" t="n"/>
      <c r="MFE20" s="253" t="n"/>
      <c r="MFF20" s="253" t="n"/>
      <c r="MFG20" s="253" t="n"/>
      <c r="MFH20" s="253" t="n"/>
      <c r="MFI20" s="253" t="n"/>
      <c r="MFJ20" s="253" t="n"/>
      <c r="MFK20" s="253" t="n"/>
      <c r="MFL20" s="253" t="n"/>
      <c r="MFM20" s="253" t="n"/>
      <c r="MFN20" s="252" t="n"/>
      <c r="MFO20" s="253" t="n"/>
      <c r="MFP20" s="253" t="n"/>
      <c r="MFQ20" s="253" t="n"/>
      <c r="MFR20" s="253" t="n"/>
      <c r="MFS20" s="253" t="n"/>
      <c r="MFT20" s="253" t="n"/>
      <c r="MFU20" s="253" t="n"/>
      <c r="MFV20" s="253" t="n"/>
      <c r="MFW20" s="253" t="n"/>
      <c r="MFX20" s="253" t="n"/>
      <c r="MFY20" s="253" t="n"/>
      <c r="MFZ20" s="253" t="n"/>
      <c r="MGA20" s="253" t="n"/>
      <c r="MGB20" s="253" t="n"/>
      <c r="MGC20" s="253" t="n"/>
      <c r="MGD20" s="253" t="n"/>
      <c r="MGE20" s="253" t="n"/>
      <c r="MGF20" s="253" t="n"/>
      <c r="MGG20" s="253" t="n"/>
      <c r="MGH20" s="253" t="n"/>
      <c r="MGI20" s="253" t="n"/>
      <c r="MGJ20" s="253" t="n"/>
      <c r="MGK20" s="253" t="n"/>
      <c r="MGL20" s="253" t="n"/>
      <c r="MGM20" s="253" t="n"/>
      <c r="MGN20" s="253" t="n"/>
      <c r="MGO20" s="253" t="n"/>
      <c r="MGP20" s="253" t="n"/>
      <c r="MGQ20" s="253" t="n"/>
      <c r="MGR20" s="253" t="n"/>
      <c r="MGS20" s="253" t="n"/>
      <c r="MGT20" s="253" t="n"/>
      <c r="MGU20" s="253" t="n"/>
      <c r="MGV20" s="253" t="n"/>
      <c r="MGW20" s="253" t="n"/>
      <c r="MGX20" s="253" t="n"/>
      <c r="MGY20" s="253" t="n"/>
      <c r="MGZ20" s="253" t="n"/>
      <c r="MHA20" s="253" t="n"/>
      <c r="MHB20" s="253" t="n"/>
      <c r="MHC20" s="253" t="n"/>
      <c r="MHD20" s="253" t="n"/>
      <c r="MHE20" s="253" t="n"/>
      <c r="MHF20" s="253" t="n"/>
      <c r="MHG20" s="253" t="n"/>
      <c r="MHH20" s="253" t="n"/>
      <c r="MHI20" s="253" t="n"/>
      <c r="MHJ20" s="253" t="n"/>
      <c r="MHK20" s="253" t="n"/>
      <c r="MHL20" s="253" t="n"/>
      <c r="MHM20" s="253" t="n"/>
      <c r="MHN20" s="253" t="n"/>
      <c r="MHO20" s="253" t="n"/>
      <c r="MHP20" s="253" t="n"/>
      <c r="MHQ20" s="253" t="n"/>
      <c r="MHR20" s="253" t="n"/>
      <c r="MHS20" s="253" t="n"/>
      <c r="MHT20" s="253" t="n"/>
      <c r="MHU20" s="253" t="n"/>
      <c r="MHV20" s="253" t="n"/>
      <c r="MHW20" s="253" t="n"/>
      <c r="MHX20" s="253" t="n"/>
      <c r="MHY20" s="253" t="n"/>
      <c r="MHZ20" s="253" t="n"/>
      <c r="MIA20" s="253" t="n"/>
      <c r="MIB20" s="253" t="n"/>
      <c r="MIC20" s="253" t="n"/>
      <c r="MID20" s="253" t="n"/>
      <c r="MIE20" s="253" t="n"/>
      <c r="MIF20" s="253" t="n"/>
      <c r="MIG20" s="253" t="n"/>
      <c r="MIH20" s="253" t="n"/>
      <c r="MII20" s="253" t="n"/>
      <c r="MIJ20" s="253" t="n"/>
      <c r="MIK20" s="253" t="n"/>
      <c r="MIL20" s="253" t="n"/>
      <c r="MIM20" s="253" t="n"/>
      <c r="MIN20" s="253" t="n"/>
      <c r="MIO20" s="253" t="n"/>
      <c r="MIP20" s="253" t="n"/>
      <c r="MIQ20" s="253" t="n"/>
      <c r="MIR20" s="253" t="n"/>
      <c r="MIS20" s="253" t="n"/>
      <c r="MIT20" s="253" t="n"/>
      <c r="MIU20" s="253" t="n"/>
      <c r="MIV20" s="253" t="n"/>
      <c r="MIW20" s="253" t="n"/>
      <c r="MIX20" s="253" t="n"/>
      <c r="MIY20" s="253" t="n"/>
      <c r="MIZ20" s="253" t="n"/>
      <c r="MJA20" s="253" t="n"/>
      <c r="MJB20" s="253" t="n"/>
      <c r="MJC20" s="253" t="n"/>
      <c r="MJD20" s="253" t="n"/>
      <c r="MJE20" s="253" t="n"/>
      <c r="MJF20" s="253" t="n"/>
      <c r="MJG20" s="253" t="n"/>
      <c r="MJH20" s="253" t="n"/>
      <c r="MJI20" s="253" t="n"/>
      <c r="MJJ20" s="253" t="n"/>
      <c r="MJK20" s="253" t="n"/>
      <c r="MJL20" s="253" t="n"/>
      <c r="MJM20" s="253" t="n"/>
      <c r="MJN20" s="253" t="n"/>
      <c r="MJO20" s="253" t="n"/>
      <c r="MJP20" s="253" t="n"/>
      <c r="MJQ20" s="253" t="n"/>
      <c r="MJR20" s="253" t="n"/>
      <c r="MJS20" s="253" t="n"/>
      <c r="MJT20" s="253" t="n"/>
      <c r="MJU20" s="253" t="n"/>
      <c r="MJV20" s="253" t="n"/>
      <c r="MJW20" s="253" t="n"/>
      <c r="MJX20" s="253" t="n"/>
      <c r="MJY20" s="253" t="n"/>
      <c r="MJZ20" s="253" t="n"/>
      <c r="MKA20" s="253" t="n"/>
      <c r="MKB20" s="253" t="n"/>
      <c r="MKC20" s="253" t="n"/>
      <c r="MKD20" s="253" t="n"/>
      <c r="MKE20" s="253" t="n"/>
      <c r="MKF20" s="253" t="n"/>
      <c r="MKG20" s="253" t="n"/>
      <c r="MKH20" s="253" t="n"/>
      <c r="MKI20" s="253" t="n"/>
      <c r="MKJ20" s="253" t="n"/>
      <c r="MKK20" s="253" t="n"/>
      <c r="MKL20" s="253" t="n"/>
      <c r="MKM20" s="253" t="n"/>
      <c r="MKN20" s="253" t="n"/>
      <c r="MKO20" s="253" t="n"/>
      <c r="MKP20" s="253" t="n"/>
      <c r="MKQ20" s="253" t="n"/>
      <c r="MKR20" s="253" t="n"/>
      <c r="MKS20" s="253" t="n"/>
      <c r="MKT20" s="253" t="n"/>
      <c r="MKU20" s="253" t="n"/>
      <c r="MKV20" s="253" t="n"/>
      <c r="MKW20" s="253" t="n"/>
      <c r="MKX20" s="253" t="n"/>
      <c r="MKY20" s="253" t="n"/>
      <c r="MKZ20" s="253" t="n"/>
      <c r="MLA20" s="253" t="n"/>
      <c r="MLB20" s="253" t="n"/>
      <c r="MLC20" s="253" t="n"/>
      <c r="MLD20" s="253" t="n"/>
      <c r="MLE20" s="253" t="n"/>
      <c r="MLF20" s="253" t="n"/>
      <c r="MLG20" s="253" t="n"/>
      <c r="MLH20" s="253" t="n"/>
      <c r="MLI20" s="253" t="n"/>
      <c r="MLJ20" s="253" t="n"/>
      <c r="MLK20" s="253" t="n"/>
      <c r="MLL20" s="253" t="n"/>
      <c r="MLM20" s="253" t="n"/>
      <c r="MLN20" s="253" t="n"/>
      <c r="MLO20" s="253" t="n"/>
      <c r="MLP20" s="253" t="n"/>
      <c r="MLQ20" s="253" t="n"/>
      <c r="MLR20" s="253" t="n"/>
      <c r="MLS20" s="253" t="n"/>
      <c r="MLT20" s="253" t="n"/>
      <c r="MLU20" s="253" t="n"/>
      <c r="MLV20" s="253" t="n"/>
      <c r="MLW20" s="253" t="n"/>
      <c r="MLX20" s="253" t="n"/>
      <c r="MLY20" s="253" t="n"/>
      <c r="MLZ20" s="253" t="n"/>
      <c r="MMA20" s="253" t="n"/>
      <c r="MMB20" s="253" t="n"/>
      <c r="MMC20" s="253" t="n"/>
      <c r="MMD20" s="253" t="n"/>
      <c r="MME20" s="253" t="n"/>
      <c r="MMF20" s="253" t="n"/>
      <c r="MMG20" s="253" t="n"/>
      <c r="MMH20" s="253" t="n"/>
      <c r="MMI20" s="253" t="n"/>
      <c r="MMJ20" s="253" t="n"/>
      <c r="MMK20" s="253" t="n"/>
      <c r="MML20" s="253" t="n"/>
      <c r="MMM20" s="253" t="n"/>
      <c r="MMN20" s="253" t="n"/>
      <c r="MMO20" s="253" t="n"/>
      <c r="MMP20" s="253" t="n"/>
      <c r="MMQ20" s="253" t="n"/>
      <c r="MMR20" s="253" t="n"/>
      <c r="MMS20" s="253" t="n"/>
      <c r="MMT20" s="253" t="n"/>
      <c r="MMU20" s="253" t="n"/>
      <c r="MMV20" s="253" t="n"/>
      <c r="MMW20" s="253" t="n"/>
      <c r="MMX20" s="253" t="n"/>
      <c r="MMY20" s="253" t="n"/>
      <c r="MMZ20" s="253" t="n"/>
      <c r="MNA20" s="253" t="n"/>
      <c r="MNB20" s="253" t="n"/>
      <c r="MNC20" s="253" t="n"/>
      <c r="MND20" s="253" t="n"/>
      <c r="MNE20" s="253" t="n"/>
      <c r="MNF20" s="253" t="n"/>
      <c r="MNG20" s="253" t="n"/>
      <c r="MNH20" s="253" t="n"/>
      <c r="MNI20" s="253" t="n"/>
      <c r="MNJ20" s="253" t="n"/>
      <c r="MNK20" s="253" t="n"/>
      <c r="MNL20" s="253" t="n"/>
      <c r="MNM20" s="253" t="n"/>
      <c r="MNN20" s="253" t="n"/>
      <c r="MNO20" s="253" t="n"/>
      <c r="MNP20" s="253" t="n"/>
      <c r="MNQ20" s="253" t="n"/>
      <c r="MNR20" s="253" t="n"/>
      <c r="MNS20" s="253" t="n"/>
      <c r="MNT20" s="253" t="n"/>
      <c r="MNU20" s="253" t="n"/>
      <c r="MNV20" s="253" t="n"/>
      <c r="MNW20" s="253" t="n"/>
      <c r="MNX20" s="253" t="n"/>
      <c r="MNY20" s="253" t="n"/>
      <c r="MNZ20" s="253" t="n"/>
      <c r="MOA20" s="253" t="n"/>
      <c r="MOB20" s="253" t="n"/>
      <c r="MOC20" s="253" t="n"/>
      <c r="MOD20" s="253" t="n"/>
      <c r="MOE20" s="253" t="n"/>
      <c r="MOF20" s="253" t="n"/>
      <c r="MOG20" s="253" t="n"/>
      <c r="MOH20" s="253" t="n"/>
      <c r="MOI20" s="253" t="n"/>
      <c r="MOJ20" s="253" t="n"/>
      <c r="MOK20" s="253" t="n"/>
      <c r="MOL20" s="253" t="n"/>
      <c r="MOM20" s="253" t="n"/>
      <c r="MON20" s="253" t="n"/>
      <c r="MOO20" s="253" t="n"/>
      <c r="MOP20" s="253" t="n"/>
      <c r="MOQ20" s="253" t="n"/>
      <c r="MOR20" s="253" t="n"/>
      <c r="MOS20" s="253" t="n"/>
      <c r="MOT20" s="253" t="n"/>
      <c r="MOU20" s="253" t="n"/>
      <c r="MOV20" s="253" t="n"/>
      <c r="MOW20" s="253" t="n"/>
      <c r="MOX20" s="253" t="n"/>
      <c r="MOY20" s="253" t="n"/>
      <c r="MOZ20" s="253" t="n"/>
      <c r="MPA20" s="253" t="n"/>
      <c r="MPB20" s="253" t="n"/>
      <c r="MPC20" s="253" t="n"/>
      <c r="MPD20" s="253" t="n"/>
      <c r="MPE20" s="253" t="n"/>
      <c r="MPF20" s="253" t="n"/>
      <c r="MPG20" s="253" t="n"/>
      <c r="MPH20" s="253" t="n"/>
      <c r="MPI20" s="253" t="n"/>
      <c r="MPJ20" s="253" t="n"/>
      <c r="MPK20" s="253" t="n"/>
      <c r="MPL20" s="253" t="n"/>
      <c r="MPM20" s="253" t="n"/>
      <c r="MPN20" s="253" t="n"/>
      <c r="MPO20" s="253" t="n"/>
      <c r="MPP20" s="253" t="n"/>
      <c r="MPQ20" s="253" t="n"/>
      <c r="MPR20" s="253" t="n"/>
      <c r="MPS20" s="253" t="n"/>
      <c r="MPT20" s="253" t="n"/>
      <c r="MPU20" s="253" t="n"/>
      <c r="MPV20" s="253" t="n"/>
      <c r="MPW20" s="253" t="n"/>
      <c r="MPX20" s="253" t="n"/>
      <c r="MPY20" s="253" t="n"/>
      <c r="MPZ20" s="253" t="n"/>
      <c r="MQA20" s="253" t="n"/>
      <c r="MQB20" s="253" t="n"/>
      <c r="MQC20" s="253" t="n"/>
      <c r="MQD20" s="253" t="n"/>
      <c r="MQE20" s="253" t="n"/>
      <c r="MQF20" s="253" t="n"/>
      <c r="MQG20" s="253" t="n"/>
      <c r="MQH20" s="253" t="n"/>
      <c r="MQI20" s="253" t="n"/>
      <c r="MQJ20" s="253" t="n"/>
      <c r="MQK20" s="253" t="n"/>
      <c r="MQL20" s="253" t="n"/>
      <c r="MQM20" s="253" t="n"/>
      <c r="MQN20" s="253" t="n"/>
      <c r="MQO20" s="253" t="n"/>
      <c r="MQP20" s="253" t="n"/>
      <c r="MQQ20" s="253" t="n"/>
      <c r="MQR20" s="253" t="n"/>
      <c r="MQS20" s="253" t="n"/>
      <c r="MQT20" s="253" t="n"/>
      <c r="MQU20" s="253" t="n"/>
      <c r="MQV20" s="253" t="n"/>
      <c r="MQW20" s="253" t="n"/>
      <c r="MQX20" s="253" t="n"/>
      <c r="MQY20" s="253" t="n"/>
      <c r="MQZ20" s="253" t="n"/>
      <c r="MRA20" s="253" t="n"/>
      <c r="MRB20" s="253" t="n"/>
      <c r="MRC20" s="253" t="n"/>
      <c r="MRD20" s="253" t="n"/>
      <c r="MRE20" s="253" t="n"/>
      <c r="MRF20" s="253" t="n"/>
      <c r="MRG20" s="253" t="n"/>
      <c r="MRH20" s="253" t="n"/>
      <c r="MRI20" s="253" t="n"/>
      <c r="MRJ20" s="253" t="n"/>
      <c r="MRK20" s="253" t="n"/>
      <c r="MRL20" s="253" t="n"/>
      <c r="MRM20" s="253" t="n"/>
      <c r="MRN20" s="253" t="n"/>
      <c r="MRO20" s="253" t="n"/>
      <c r="MRP20" s="253" t="n"/>
      <c r="MRQ20" s="253" t="n"/>
      <c r="MRR20" s="253" t="n"/>
      <c r="MRS20" s="253" t="n"/>
      <c r="MRT20" s="253" t="n"/>
      <c r="MRU20" s="253" t="n"/>
      <c r="MRV20" s="253" t="n"/>
      <c r="MRW20" s="253" t="n"/>
      <c r="MRX20" s="253" t="n"/>
      <c r="MRY20" s="253" t="n"/>
      <c r="MRZ20" s="253" t="n"/>
      <c r="MSA20" s="253" t="n"/>
      <c r="MSB20" s="253" t="n"/>
      <c r="MSC20" s="253" t="n"/>
      <c r="MSD20" s="253" t="n"/>
      <c r="MSE20" s="253" t="n"/>
      <c r="MSF20" s="253" t="n"/>
      <c r="MSG20" s="253" t="n"/>
      <c r="MSH20" s="253" t="n"/>
      <c r="MSI20" s="253" t="n"/>
      <c r="MSJ20" s="253" t="n"/>
      <c r="MSK20" s="253" t="n"/>
      <c r="MSL20" s="253" t="n"/>
      <c r="MSM20" s="253" t="n"/>
      <c r="MSN20" s="253" t="n"/>
      <c r="MSO20" s="253" t="n"/>
      <c r="MSP20" s="253" t="n"/>
      <c r="MSQ20" s="253" t="n"/>
      <c r="MSR20" s="253" t="n"/>
      <c r="MSS20" s="253" t="n"/>
      <c r="MST20" s="253" t="n"/>
      <c r="MSU20" s="253" t="n"/>
      <c r="MSV20" s="253" t="n"/>
      <c r="MSW20" s="253" t="n"/>
      <c r="MSX20" s="253" t="n"/>
      <c r="MSY20" s="253" t="n"/>
      <c r="MSZ20" s="253" t="n"/>
      <c r="MTA20" s="253" t="n"/>
      <c r="MTB20" s="253" t="n"/>
      <c r="MTC20" s="253" t="n"/>
      <c r="MTD20" s="253" t="n"/>
      <c r="MTE20" s="253" t="n"/>
      <c r="MTF20" s="253" t="n"/>
      <c r="MTG20" s="253" t="n"/>
      <c r="MTH20" s="253" t="n"/>
      <c r="MTI20" s="253" t="n"/>
      <c r="MTJ20" s="253" t="n"/>
      <c r="MTK20" s="253" t="n"/>
      <c r="MTL20" s="253" t="n"/>
      <c r="MTM20" s="253" t="n"/>
      <c r="MTN20" s="253" t="n"/>
      <c r="MTO20" s="253" t="n"/>
      <c r="MTP20" s="253" t="n"/>
      <c r="MTQ20" s="253" t="n"/>
      <c r="MTR20" s="253" t="n"/>
      <c r="MTS20" s="253" t="n"/>
      <c r="MTT20" s="253" t="n"/>
      <c r="MTU20" s="253" t="n"/>
      <c r="MTV20" s="253" t="n"/>
      <c r="MTW20" s="253" t="n"/>
      <c r="MTX20" s="253" t="n"/>
      <c r="MTY20" s="253" t="n"/>
      <c r="MTZ20" s="253" t="n"/>
      <c r="MUA20" s="253" t="n"/>
      <c r="MUB20" s="253" t="n"/>
      <c r="MUC20" s="253" t="n"/>
      <c r="MUD20" s="253" t="n"/>
      <c r="MUE20" s="253" t="n"/>
      <c r="MUF20" s="253" t="n"/>
      <c r="MUG20" s="253" t="n"/>
      <c r="MUH20" s="253" t="n"/>
      <c r="MUI20" s="253" t="n"/>
      <c r="MUJ20" s="253" t="n"/>
      <c r="MUK20" s="253" t="n"/>
      <c r="MUL20" s="253" t="n"/>
      <c r="MUM20" s="253" t="n"/>
      <c r="MUN20" s="253" t="n"/>
      <c r="MUO20" s="253" t="n"/>
      <c r="MUP20" s="253" t="n"/>
      <c r="MUQ20" s="253" t="n"/>
      <c r="MUR20" s="253" t="n"/>
      <c r="MUS20" s="253" t="n"/>
      <c r="MUT20" s="253" t="n"/>
      <c r="MUU20" s="253" t="n"/>
      <c r="MUV20" s="253" t="n"/>
      <c r="MUW20" s="253" t="n"/>
      <c r="MUX20" s="253" t="n"/>
      <c r="MUY20" s="253" t="n"/>
      <c r="MUZ20" s="253" t="n"/>
      <c r="MVA20" s="253" t="n"/>
      <c r="MVB20" s="253" t="n"/>
      <c r="MVC20" s="253" t="n"/>
      <c r="MVD20" s="253" t="n"/>
      <c r="MVE20" s="253" t="n"/>
      <c r="MVF20" s="253" t="n"/>
      <c r="MVG20" s="253" t="n"/>
      <c r="MVH20" s="253" t="n"/>
      <c r="MVI20" s="253" t="n"/>
      <c r="MVJ20" s="253" t="n"/>
      <c r="MVK20" s="253" t="n"/>
      <c r="MVL20" s="253" t="n"/>
      <c r="MVM20" s="253" t="n"/>
      <c r="MVN20" s="253" t="n"/>
      <c r="MVO20" s="253" t="n"/>
      <c r="MVP20" s="253" t="n"/>
      <c r="MVQ20" s="253" t="n"/>
      <c r="MVR20" s="253" t="n"/>
      <c r="MVS20" s="253" t="n"/>
      <c r="MVT20" s="253" t="n"/>
      <c r="MVU20" s="253" t="n"/>
      <c r="MVV20" s="253" t="n"/>
      <c r="MVW20" s="253" t="n"/>
      <c r="MVX20" s="253" t="n"/>
      <c r="MVY20" s="253" t="n"/>
      <c r="MVZ20" s="253" t="n"/>
      <c r="MWA20" s="253" t="n"/>
      <c r="MWB20" s="253" t="n"/>
      <c r="MWC20" s="253" t="n"/>
      <c r="MWD20" s="253" t="n"/>
      <c r="MWE20" s="253" t="n"/>
      <c r="MWF20" s="253" t="n"/>
      <c r="MWG20" s="253" t="n"/>
      <c r="MWH20" s="253" t="n"/>
      <c r="MWI20" s="253" t="n"/>
      <c r="MWJ20" s="253" t="n"/>
      <c r="MWK20" s="253" t="n"/>
      <c r="MWL20" s="253" t="n"/>
      <c r="MWM20" s="253" t="n"/>
      <c r="MWN20" s="253" t="n"/>
      <c r="MWO20" s="253" t="n"/>
      <c r="MWP20" s="253" t="n"/>
      <c r="MWQ20" s="253" t="n"/>
      <c r="MWR20" s="253" t="n"/>
      <c r="MWS20" s="253" t="n"/>
      <c r="MWT20" s="253" t="n"/>
      <c r="MWU20" s="253" t="n"/>
      <c r="MWV20" s="253" t="n"/>
      <c r="MWW20" s="253" t="n"/>
      <c r="MWX20" s="253" t="n"/>
      <c r="MWY20" s="253" t="n"/>
      <c r="MWZ20" s="253" t="n"/>
      <c r="MXA20" s="253" t="n"/>
      <c r="MXB20" s="253" t="n"/>
      <c r="MXC20" s="253" t="n"/>
      <c r="MXD20" s="253" t="n"/>
      <c r="MXE20" s="253" t="n"/>
      <c r="MXF20" s="253" t="n"/>
      <c r="MXG20" s="253" t="n"/>
      <c r="MXH20" s="253" t="n"/>
      <c r="MXI20" s="253" t="n"/>
      <c r="MXJ20" s="253" t="n"/>
      <c r="MXK20" s="253" t="n"/>
      <c r="MXL20" s="253" t="n"/>
      <c r="MXM20" s="253" t="n"/>
      <c r="MXN20" s="253" t="n"/>
      <c r="MXO20" s="253" t="n"/>
      <c r="MXP20" s="253" t="n"/>
      <c r="MXQ20" s="253" t="n"/>
      <c r="MXR20" s="253" t="n"/>
      <c r="MXS20" s="253" t="n"/>
      <c r="MXT20" s="253" t="n"/>
      <c r="MXU20" s="253" t="n"/>
      <c r="MXV20" s="253" t="n"/>
      <c r="MXW20" s="253" t="n"/>
      <c r="MXX20" s="253" t="n"/>
      <c r="MXY20" s="253" t="n"/>
      <c r="MXZ20" s="253" t="n"/>
      <c r="MYA20" s="253" t="n"/>
      <c r="MYB20" s="253" t="n"/>
      <c r="MYC20" s="253" t="n"/>
      <c r="MYD20" s="253" t="n"/>
      <c r="MYE20" s="253" t="n"/>
      <c r="MYF20" s="253" t="n"/>
      <c r="MYG20" s="253" t="n"/>
      <c r="MYH20" s="253" t="n"/>
      <c r="MYI20" s="253" t="n"/>
      <c r="MYJ20" s="253" t="n"/>
      <c r="MYK20" s="253" t="n"/>
      <c r="MYL20" s="253" t="n"/>
      <c r="MYM20" s="253" t="n"/>
      <c r="MYN20" s="253" t="n"/>
      <c r="MYO20" s="253" t="n"/>
      <c r="MYP20" s="253" t="n"/>
      <c r="MYQ20" s="253" t="n"/>
      <c r="MYR20" s="253" t="n"/>
      <c r="MYS20" s="253" t="n"/>
      <c r="MYT20" s="253" t="n"/>
      <c r="MYU20" s="253" t="n"/>
      <c r="MYV20" s="253" t="n"/>
      <c r="MYW20" s="253" t="n"/>
      <c r="MYX20" s="253" t="n"/>
      <c r="MYY20" s="253" t="n"/>
      <c r="MYZ20" s="253" t="n"/>
      <c r="MZA20" s="253" t="n"/>
      <c r="MZB20" s="253" t="n"/>
      <c r="MZC20" s="253" t="n"/>
      <c r="MZD20" s="253" t="n"/>
      <c r="MZE20" s="253" t="n"/>
      <c r="MZF20" s="253" t="n"/>
      <c r="MZG20" s="253" t="n"/>
      <c r="MZH20" s="253" t="n"/>
      <c r="MZI20" s="253" t="n"/>
      <c r="MZJ20" s="253" t="n"/>
      <c r="MZK20" s="253" t="n"/>
      <c r="MZL20" s="253" t="n"/>
      <c r="MZM20" s="253" t="n"/>
      <c r="MZN20" s="253" t="n"/>
      <c r="MZO20" s="253" t="n"/>
      <c r="MZP20" s="253" t="n"/>
      <c r="MZQ20" s="253" t="n"/>
      <c r="MZR20" s="253" t="n"/>
      <c r="MZS20" s="253" t="n"/>
      <c r="MZT20" s="253" t="n"/>
      <c r="MZU20" s="253" t="n"/>
      <c r="MZV20" s="253" t="n"/>
      <c r="MZW20" s="253" t="n"/>
      <c r="MZX20" s="253" t="n"/>
      <c r="MZY20" s="253" t="n"/>
      <c r="MZZ20" s="253" t="n"/>
      <c r="NAA20" s="253" t="n"/>
      <c r="NAB20" s="253" t="n"/>
      <c r="NAC20" s="253" t="n"/>
      <c r="NAD20" s="253" t="n"/>
      <c r="NAE20" s="253" t="n"/>
      <c r="NAF20" s="253" t="n"/>
      <c r="NAG20" s="253" t="n"/>
      <c r="NAH20" s="253" t="n"/>
      <c r="NAI20" s="253" t="n"/>
      <c r="NAJ20" s="253" t="n"/>
      <c r="NAK20" s="253" t="n"/>
      <c r="NAL20" s="253" t="n"/>
      <c r="NAM20" s="253" t="n"/>
      <c r="NAN20" s="253" t="n"/>
      <c r="NAO20" s="253" t="n"/>
      <c r="NAP20" s="253" t="n"/>
      <c r="NAQ20" s="253" t="n"/>
      <c r="NAR20" s="253" t="n"/>
      <c r="NAS20" s="253" t="n"/>
      <c r="NAT20" s="253" t="n"/>
      <c r="NAU20" s="253" t="n"/>
      <c r="NAV20" s="253" t="n"/>
      <c r="NAW20" s="253" t="n"/>
      <c r="NAX20" s="253" t="n"/>
      <c r="NAY20" s="253" t="n"/>
      <c r="NAZ20" s="253" t="n"/>
      <c r="NBA20" s="253" t="n"/>
      <c r="NBB20" s="253" t="n"/>
      <c r="NBC20" s="253" t="n"/>
      <c r="NBD20" s="253" t="n"/>
      <c r="NBE20" s="253" t="n"/>
      <c r="NBF20" s="253" t="n"/>
      <c r="NBG20" s="253" t="n"/>
      <c r="NBH20" s="253" t="n"/>
      <c r="NBI20" s="253" t="n"/>
      <c r="NBJ20" s="253" t="n"/>
      <c r="NBK20" s="253" t="n"/>
      <c r="NBL20" s="253" t="n"/>
      <c r="NBM20" s="253" t="n"/>
      <c r="NBN20" s="253" t="n"/>
      <c r="NBO20" s="253" t="n"/>
      <c r="NBP20" s="253" t="n"/>
      <c r="NBQ20" s="253" t="n"/>
      <c r="NBR20" s="253" t="n"/>
      <c r="NBS20" s="253" t="n"/>
      <c r="NBT20" s="253" t="n"/>
      <c r="NBU20" s="253" t="n"/>
      <c r="NBV20" s="253" t="n"/>
      <c r="NBW20" s="253" t="n"/>
      <c r="NBX20" s="253" t="n"/>
      <c r="NBY20" s="253" t="n"/>
      <c r="NBZ20" s="253" t="n"/>
      <c r="NCA20" s="253" t="n"/>
      <c r="NCB20" s="253" t="n"/>
      <c r="NCC20" s="253" t="n"/>
      <c r="NCD20" s="253" t="n"/>
      <c r="NCE20" s="253" t="n"/>
      <c r="NCF20" s="253" t="n"/>
      <c r="NCG20" s="253" t="n"/>
      <c r="NCH20" s="253" t="n"/>
      <c r="NCI20" s="253" t="n"/>
      <c r="NCJ20" s="253" t="n"/>
      <c r="NCK20" s="253" t="n"/>
      <c r="NCL20" s="253" t="n"/>
      <c r="NCM20" s="253" t="n"/>
      <c r="NCN20" s="253" t="n"/>
      <c r="NCO20" s="253" t="n"/>
      <c r="NCP20" s="253" t="n"/>
      <c r="NCQ20" s="253" t="n"/>
      <c r="NCR20" s="253" t="n"/>
      <c r="NCS20" s="253" t="n"/>
      <c r="NCT20" s="253" t="n"/>
      <c r="NCU20" s="253" t="n"/>
      <c r="NCV20" s="253" t="n"/>
      <c r="NCW20" s="253" t="n"/>
      <c r="NCX20" s="253" t="n"/>
      <c r="NCY20" s="253" t="n"/>
      <c r="NCZ20" s="253" t="n"/>
      <c r="NDA20" s="253" t="n"/>
      <c r="NDB20" s="253" t="n"/>
      <c r="NDC20" s="253" t="n"/>
      <c r="NDD20" s="253" t="n"/>
      <c r="NDE20" s="253" t="n"/>
      <c r="NDF20" s="253" t="n"/>
      <c r="NDG20" s="253" t="n"/>
      <c r="NDH20" s="253" t="n"/>
      <c r="NDI20" s="253" t="n"/>
      <c r="NDJ20" s="253" t="n"/>
      <c r="NDK20" s="253" t="n"/>
      <c r="NDL20" s="253" t="n"/>
      <c r="NDM20" s="253" t="n"/>
      <c r="NDN20" s="253" t="n"/>
      <c r="NDO20" s="253" t="n"/>
      <c r="NDP20" s="253" t="n"/>
      <c r="NDQ20" s="253" t="n"/>
      <c r="NDR20" s="253" t="n"/>
      <c r="NDS20" s="253" t="n"/>
      <c r="NDT20" s="253" t="n"/>
      <c r="NDU20" s="253" t="n"/>
      <c r="NDV20" s="253" t="n"/>
      <c r="NDW20" s="253" t="n"/>
      <c r="NDX20" s="253" t="n"/>
      <c r="NDY20" s="253" t="n"/>
      <c r="NDZ20" s="253" t="n"/>
      <c r="NEA20" s="253" t="n"/>
      <c r="NEB20" s="253" t="n"/>
      <c r="NEC20" s="253" t="n"/>
      <c r="NED20" s="253" t="n"/>
      <c r="NEE20" s="253" t="n"/>
      <c r="NEF20" s="253" t="n"/>
      <c r="NEG20" s="253" t="n"/>
      <c r="NEH20" s="253" t="n"/>
      <c r="NEI20" s="253" t="n"/>
      <c r="NEJ20" s="253" t="n"/>
      <c r="NEK20" s="253" t="n"/>
      <c r="NEL20" s="253" t="n"/>
      <c r="NEM20" s="253" t="n"/>
      <c r="NEN20" s="253" t="n"/>
      <c r="NEO20" s="253" t="n"/>
      <c r="NEP20" s="253" t="n"/>
      <c r="NEQ20" s="253" t="n"/>
      <c r="NER20" s="253" t="n"/>
      <c r="NES20" s="253" t="n"/>
      <c r="NET20" s="253" t="n"/>
      <c r="NEU20" s="253" t="n"/>
      <c r="NEV20" s="253" t="n"/>
      <c r="NEW20" s="253" t="n"/>
      <c r="NEX20" s="253" t="n"/>
      <c r="NEY20" s="253" t="n"/>
      <c r="NEZ20" s="253" t="n"/>
      <c r="NFA20" s="253" t="n"/>
      <c r="NFB20" s="253" t="n"/>
      <c r="NFC20" s="253" t="n"/>
      <c r="NFD20" s="253" t="n"/>
      <c r="NFE20" s="253" t="n"/>
      <c r="NFF20" s="253" t="n"/>
      <c r="NFG20" s="253" t="n"/>
      <c r="NFH20" s="253" t="n"/>
      <c r="NFI20" s="253" t="n"/>
      <c r="NFJ20" s="253" t="n"/>
      <c r="NFK20" s="253" t="n"/>
      <c r="NFL20" s="253" t="n"/>
      <c r="NFM20" s="253" t="n"/>
      <c r="NFN20" s="253" t="n"/>
      <c r="NFO20" s="253" t="n"/>
    </row>
    <row r="21">
      <c r="KFK21" s="253" t="n"/>
      <c r="KFL21" s="253" t="n"/>
      <c r="KFM21" s="253" t="n"/>
      <c r="KFN21" s="253" t="n"/>
      <c r="KFO21" s="253" t="n"/>
      <c r="KFP21" s="253" t="n"/>
      <c r="KFQ21" s="253" t="n"/>
      <c r="KFR21" s="253" t="n"/>
      <c r="KFS21" s="253" t="n"/>
      <c r="KFT21" s="253" t="n"/>
      <c r="KFU21" s="253" t="n"/>
      <c r="KFV21" s="253" t="n"/>
      <c r="KFW21" s="253" t="n"/>
      <c r="KFX21" s="253" t="n"/>
      <c r="KFY21" s="253" t="n"/>
      <c r="KFZ21" s="253" t="n"/>
      <c r="KGA21" s="253" t="n"/>
      <c r="KGB21" s="253" t="n"/>
      <c r="KGC21" s="253" t="n"/>
      <c r="KGD21" s="253" t="n"/>
      <c r="KGE21" s="253" t="n"/>
      <c r="KGF21" s="253" t="n"/>
      <c r="KGG21" s="253" t="n"/>
      <c r="KGH21" s="253" t="n"/>
      <c r="KGI21" s="253" t="n"/>
      <c r="KGJ21" s="253" t="n"/>
      <c r="KGK21" s="253" t="n"/>
      <c r="KGL21" s="253" t="n"/>
      <c r="KGM21" s="253" t="n"/>
      <c r="KGN21" s="253" t="n"/>
      <c r="KGO21" s="253" t="n"/>
      <c r="KGP21" s="253" t="n"/>
      <c r="KGQ21" s="253" t="n"/>
      <c r="KGR21" s="253" t="n"/>
      <c r="KGS21" s="253" t="n"/>
      <c r="KGT21" s="253" t="n"/>
      <c r="KGU21" s="253" t="n"/>
      <c r="KGV21" s="253" t="n"/>
      <c r="KGW21" s="253" t="n"/>
      <c r="KGX21" s="253" t="n"/>
      <c r="KGY21" s="253" t="n"/>
      <c r="KGZ21" s="253" t="n"/>
      <c r="KHA21" s="253" t="n"/>
      <c r="KHB21" s="253" t="n"/>
      <c r="KHC21" s="253" t="n"/>
      <c r="KHD21" s="253" t="n"/>
      <c r="KHE21" s="253" t="n"/>
      <c r="KHF21" s="253" t="n"/>
      <c r="KHG21" s="253" t="n"/>
      <c r="KHH21" s="253" t="n"/>
      <c r="KHI21" s="253" t="n"/>
      <c r="KHJ21" s="253" t="n"/>
      <c r="KHK21" s="253" t="n"/>
      <c r="KHL21" s="253" t="n"/>
      <c r="KHM21" s="253" t="n"/>
      <c r="KHN21" s="253" t="n"/>
      <c r="KHO21" s="253" t="n"/>
      <c r="KHP21" s="253" t="n"/>
      <c r="KHQ21" s="253" t="n"/>
      <c r="KHR21" s="253" t="n"/>
      <c r="KHS21" s="253" t="n"/>
      <c r="KHT21" s="253" t="n"/>
      <c r="KHU21" s="253" t="n"/>
      <c r="KHV21" s="253" t="n"/>
      <c r="KHW21" s="253" t="n"/>
      <c r="KHX21" s="253" t="n"/>
      <c r="KHY21" s="253" t="n"/>
      <c r="KHZ21" s="253" t="n"/>
      <c r="KIA21" s="253" t="n"/>
      <c r="KIB21" s="253" t="n"/>
      <c r="KIC21" s="253" t="n"/>
      <c r="KID21" s="253" t="n"/>
      <c r="KIE21" s="253" t="n"/>
      <c r="KIF21" s="253" t="n"/>
      <c r="KIG21" s="253" t="n"/>
      <c r="KIH21" s="253" t="n"/>
      <c r="KII21" s="253" t="n"/>
      <c r="KIJ21" s="253" t="n"/>
      <c r="KIK21" s="253" t="n"/>
      <c r="KIL21" s="253" t="n"/>
      <c r="KIM21" s="253" t="n"/>
      <c r="KIN21" s="253" t="n"/>
      <c r="KIO21" s="253" t="n"/>
      <c r="KIP21" s="253" t="n"/>
      <c r="KIQ21" s="253" t="n"/>
      <c r="KIR21" s="253" t="n"/>
      <c r="KIS21" s="253" t="n"/>
      <c r="KIT21" s="253" t="n"/>
      <c r="KIU21" s="253" t="n"/>
      <c r="KIV21" s="253" t="n"/>
      <c r="KIW21" s="253" t="n"/>
      <c r="KIX21" s="253" t="n"/>
      <c r="KIY21" s="253" t="n"/>
      <c r="KIZ21" s="253" t="n"/>
      <c r="KJA21" s="253" t="n"/>
      <c r="KJB21" s="253" t="n"/>
      <c r="KJC21" s="253" t="n"/>
      <c r="KJD21" s="253" t="n"/>
      <c r="KJE21" s="253" t="n"/>
      <c r="KJF21" s="253" t="n"/>
      <c r="KJG21" s="253" t="n"/>
      <c r="KJH21" s="253" t="n"/>
      <c r="KJI21" s="253" t="n"/>
      <c r="KJJ21" s="253" t="n"/>
      <c r="KJK21" s="253" t="n"/>
      <c r="KJL21" s="253" t="n"/>
      <c r="KJM21" s="253" t="n"/>
      <c r="KJN21" s="253" t="n"/>
      <c r="KJO21" s="253" t="n"/>
      <c r="KJP21" s="253" t="n"/>
      <c r="KJQ21" s="253" t="n"/>
      <c r="KJR21" s="253" t="n"/>
      <c r="KJS21" s="253" t="n"/>
      <c r="KJT21" s="253" t="n"/>
      <c r="KJU21" s="253" t="n"/>
      <c r="KJV21" s="253" t="n"/>
      <c r="KJW21" s="253" t="n"/>
      <c r="KJX21" s="253" t="n"/>
      <c r="KJY21" s="253" t="n"/>
      <c r="KJZ21" s="253" t="n"/>
      <c r="KKA21" s="253" t="n"/>
      <c r="KKB21" s="253" t="n"/>
      <c r="KKC21" s="253" t="n"/>
      <c r="KKD21" s="253" t="n"/>
      <c r="KKE21" s="253" t="n"/>
      <c r="KKF21" s="253" t="n"/>
      <c r="KKG21" s="253" t="n"/>
      <c r="KKH21" s="253" t="n"/>
      <c r="KKI21" s="253" t="n"/>
      <c r="KKJ21" s="253" t="n"/>
      <c r="KKK21" s="253" t="n"/>
      <c r="KKL21" s="253" t="n"/>
      <c r="KKM21" s="253" t="n"/>
      <c r="KKN21" s="253" t="n"/>
      <c r="KKO21" s="253" t="n"/>
      <c r="KKP21" s="253" t="n"/>
      <c r="KKQ21" s="253" t="n"/>
      <c r="KKR21" s="253" t="n"/>
      <c r="KKS21" s="253" t="n"/>
      <c r="KKT21" s="253" t="n"/>
      <c r="KKU21" s="253" t="n"/>
      <c r="KKV21" s="253" t="n"/>
      <c r="KKW21" s="253" t="n"/>
      <c r="KKX21" s="253" t="n"/>
      <c r="KKY21" s="253" t="n"/>
      <c r="KKZ21" s="253" t="n"/>
      <c r="KLA21" s="253" t="n"/>
      <c r="KLB21" s="253" t="n"/>
      <c r="KLC21" s="253" t="n"/>
      <c r="KLD21" s="253" t="n"/>
      <c r="KLE21" s="253" t="n"/>
      <c r="KLF21" s="253" t="n"/>
      <c r="KLG21" s="253" t="n"/>
      <c r="KLH21" s="253" t="n"/>
      <c r="KLI21" s="253" t="n"/>
      <c r="KLJ21" s="253" t="n"/>
      <c r="KLK21" s="253" t="n"/>
      <c r="KLL21" s="253" t="n"/>
      <c r="KLM21" s="253" t="n"/>
      <c r="KLN21" s="253" t="n"/>
      <c r="KLO21" s="253" t="n"/>
      <c r="KLP21" s="253" t="n"/>
      <c r="KLQ21" s="253" t="n"/>
      <c r="KLR21" s="253" t="n"/>
      <c r="KLS21" s="253" t="n"/>
      <c r="KLT21" s="253" t="n"/>
      <c r="KLU21" s="253" t="n"/>
      <c r="KLV21" s="253" t="n"/>
      <c r="KLW21" s="253" t="n"/>
      <c r="KLX21" s="253" t="n"/>
      <c r="KLY21" s="253" t="n"/>
      <c r="KLZ21" s="253" t="n"/>
      <c r="KMA21" s="253" t="n"/>
      <c r="KMB21" s="253" t="n"/>
      <c r="KMC21" s="253" t="n"/>
      <c r="KMD21" s="253" t="n"/>
      <c r="KME21" s="253" t="n"/>
      <c r="KMF21" s="253" t="n"/>
      <c r="KMG21" s="253" t="n"/>
      <c r="KMH21" s="253" t="n"/>
      <c r="KMI21" s="253" t="n"/>
      <c r="KMJ21" s="253" t="n"/>
      <c r="KMK21" s="253" t="n"/>
      <c r="KML21" s="253" t="n"/>
      <c r="KMM21" s="253" t="n"/>
      <c r="KMN21" s="253" t="n"/>
      <c r="KMO21" s="253" t="n"/>
      <c r="KMP21" s="253" t="n"/>
      <c r="KMQ21" s="253" t="n"/>
      <c r="KMR21" s="253" t="n"/>
      <c r="KMS21" s="253" t="n"/>
      <c r="KMT21" s="253" t="n"/>
      <c r="KMU21" s="253" t="n"/>
      <c r="KMV21" s="253" t="n"/>
      <c r="KMW21" s="253" t="n"/>
      <c r="KMX21" s="253" t="n"/>
      <c r="KMY21" s="253" t="n"/>
      <c r="KMZ21" s="253" t="n"/>
      <c r="KNA21" s="253" t="n"/>
      <c r="KNB21" s="253" t="n"/>
      <c r="KNC21" s="253" t="n"/>
      <c r="KND21" s="253" t="n"/>
      <c r="KNE21" s="253" t="n"/>
      <c r="KNF21" s="253" t="n"/>
      <c r="KNG21" s="253" t="n"/>
      <c r="KNH21" s="253" t="n"/>
      <c r="KNI21" s="253" t="n"/>
      <c r="KNJ21" s="253" t="n"/>
      <c r="KNK21" s="253" t="n"/>
      <c r="KNL21" s="253" t="n"/>
      <c r="KNM21" s="253" t="n"/>
      <c r="KNN21" s="253" t="n"/>
      <c r="KNO21" s="253" t="n"/>
      <c r="KNP21" s="253" t="n"/>
      <c r="KNQ21" s="253" t="n"/>
      <c r="KNR21" s="253" t="n"/>
      <c r="KNS21" s="253" t="n"/>
      <c r="KNT21" s="253" t="n"/>
      <c r="KNU21" s="253" t="n"/>
      <c r="KNV21" s="253" t="n"/>
      <c r="KNW21" s="253" t="n"/>
      <c r="KNX21" s="253" t="n"/>
      <c r="KNY21" s="253" t="n"/>
      <c r="KNZ21" s="253" t="n"/>
      <c r="KOA21" s="253" t="n"/>
      <c r="KOB21" s="253" t="n"/>
      <c r="KOC21" s="253" t="n"/>
      <c r="KOD21" s="253" t="n"/>
      <c r="KOE21" s="253" t="n"/>
      <c r="KOF21" s="253" t="n"/>
      <c r="KOG21" s="253" t="n"/>
      <c r="KOH21" s="253" t="n"/>
      <c r="KOI21" s="253" t="n"/>
      <c r="KOJ21" s="253" t="n"/>
      <c r="KOK21" s="253" t="n"/>
      <c r="KOL21" s="253" t="n"/>
      <c r="KOM21" s="253" t="n"/>
      <c r="KON21" s="253" t="n"/>
      <c r="KOO21" s="253" t="n"/>
      <c r="KOP21" s="253" t="n"/>
      <c r="KOQ21" s="253" t="n"/>
      <c r="KOR21" s="253" t="n"/>
      <c r="KOS21" s="253" t="n"/>
      <c r="KOT21" s="253" t="n"/>
      <c r="KOU21" s="253" t="n"/>
      <c r="KOV21" s="253" t="n"/>
      <c r="KOW21" s="253" t="n"/>
      <c r="KOX21" s="253" t="n"/>
      <c r="KOY21" s="253" t="n"/>
      <c r="KOZ21" s="253" t="n"/>
      <c r="KPA21" s="253" t="n"/>
      <c r="KPB21" s="253" t="n"/>
      <c r="KPC21" s="253" t="n"/>
      <c r="KPD21" s="253" t="n"/>
      <c r="KPE21" s="253" t="n"/>
      <c r="KPF21" s="253" t="n"/>
      <c r="KPG21" s="253" t="n"/>
      <c r="KPH21" s="253" t="n"/>
      <c r="KPI21" s="253" t="n"/>
      <c r="KPJ21" s="253" t="n"/>
      <c r="KPK21" s="253" t="n"/>
      <c r="KPL21" s="253" t="n"/>
      <c r="KPM21" s="253" t="n"/>
      <c r="KPN21" s="253" t="n"/>
      <c r="KPO21" s="253" t="n"/>
      <c r="KPP21" s="253" t="n"/>
      <c r="KPQ21" s="253" t="n"/>
      <c r="KPR21" s="253" t="n"/>
      <c r="KPS21" s="253" t="n"/>
      <c r="KPT21" s="253" t="n"/>
      <c r="KPU21" s="253" t="n"/>
      <c r="KPV21" s="253" t="n"/>
      <c r="KPW21" s="253" t="n"/>
      <c r="KPX21" s="253" t="n"/>
      <c r="KPY21" s="253" t="n"/>
      <c r="KPZ21" s="253" t="n"/>
      <c r="KQA21" s="253" t="n"/>
      <c r="KQB21" s="253" t="n"/>
      <c r="KQC21" s="253" t="n"/>
      <c r="KQD21" s="253" t="n"/>
      <c r="KQE21" s="253" t="n"/>
      <c r="KQF21" s="253" t="n"/>
      <c r="KQG21" s="253" t="n"/>
      <c r="KQH21" s="253" t="n"/>
      <c r="KQI21" s="253" t="n"/>
      <c r="KQJ21" s="253" t="n"/>
      <c r="KQK21" s="253" t="n"/>
      <c r="KQL21" s="253" t="n"/>
      <c r="KQM21" s="253" t="n"/>
      <c r="KQN21" s="253" t="n"/>
      <c r="KQO21" s="253" t="n"/>
      <c r="KQP21" s="253" t="n"/>
      <c r="KQQ21" s="253" t="n"/>
      <c r="KQR21" s="253" t="n"/>
      <c r="KQS21" s="253" t="n"/>
      <c r="KQT21" s="253" t="n"/>
      <c r="KQU21" s="253" t="n"/>
      <c r="KQV21" s="253" t="n"/>
      <c r="KQW21" s="253" t="n"/>
      <c r="KQX21" s="253" t="n"/>
      <c r="KQY21" s="253" t="n"/>
      <c r="KQZ21" s="253" t="n"/>
      <c r="KRA21" s="253" t="n"/>
      <c r="KRB21" s="253" t="n"/>
      <c r="KRC21" s="253" t="n"/>
      <c r="KRD21" s="253" t="n"/>
      <c r="KRE21" s="253" t="n"/>
      <c r="KRF21" s="253" t="n"/>
      <c r="KRG21" s="253" t="n"/>
      <c r="KRH21" s="253" t="n"/>
      <c r="KRI21" s="253" t="n"/>
      <c r="KRJ21" s="253" t="n"/>
      <c r="KRK21" s="253" t="n"/>
      <c r="KRL21" s="253" t="n"/>
      <c r="KRM21" s="253" t="n"/>
      <c r="KRN21" s="253" t="n"/>
      <c r="KRO21" s="253" t="n"/>
      <c r="KRP21" s="253" t="n"/>
      <c r="KRQ21" s="253" t="n"/>
      <c r="KRR21" s="253" t="n"/>
      <c r="KRS21" s="253" t="n"/>
      <c r="KRT21" s="253" t="n"/>
      <c r="KRU21" s="253" t="n"/>
      <c r="KRV21" s="253" t="n"/>
      <c r="KRW21" s="253" t="n"/>
      <c r="KRX21" s="253" t="n"/>
      <c r="KRY21" s="253" t="n"/>
      <c r="KRZ21" s="253" t="n"/>
      <c r="KSA21" s="253" t="n"/>
      <c r="KSB21" s="253" t="n"/>
      <c r="KSC21" s="253" t="n"/>
      <c r="KSD21" s="253" t="n"/>
      <c r="KSE21" s="253" t="n"/>
      <c r="KSF21" s="253" t="n"/>
      <c r="KSG21" s="253" t="n"/>
      <c r="KSH21" s="253" t="n"/>
      <c r="KSI21" s="253" t="n"/>
      <c r="KSJ21" s="253" t="n"/>
      <c r="KSK21" s="253" t="n"/>
      <c r="KSL21" s="253" t="n"/>
      <c r="KSM21" s="253" t="n"/>
      <c r="KSN21" s="253" t="n"/>
      <c r="KSO21" s="253" t="n"/>
      <c r="KSP21" s="253" t="n"/>
      <c r="KSQ21" s="253" t="n"/>
      <c r="KSR21" s="253" t="n"/>
      <c r="KSS21" s="253" t="n"/>
      <c r="KST21" s="253" t="n"/>
      <c r="KSU21" s="253" t="n"/>
      <c r="KSV21" s="253" t="n"/>
      <c r="KSW21" s="253" t="n"/>
      <c r="KSX21" s="253" t="n"/>
      <c r="KSY21" s="253" t="n"/>
      <c r="KSZ21" s="253" t="n"/>
      <c r="KTA21" s="253" t="n"/>
      <c r="KTB21" s="253" t="n"/>
      <c r="KTC21" s="253" t="n"/>
      <c r="KTD21" s="253" t="n"/>
      <c r="KTE21" s="253" t="n"/>
      <c r="KTF21" s="253" t="n"/>
      <c r="KTG21" s="253" t="n"/>
      <c r="KTH21" s="253" t="n"/>
      <c r="KTI21" s="253" t="n"/>
      <c r="KTJ21" s="253" t="n"/>
      <c r="KTK21" s="253" t="n"/>
      <c r="KTL21" s="253" t="n"/>
      <c r="KTM21" s="253" t="n"/>
      <c r="KTN21" s="253" t="n"/>
      <c r="KTO21" s="253" t="n"/>
      <c r="KTP21" s="253" t="n"/>
      <c r="KTQ21" s="253" t="n"/>
      <c r="KTR21" s="253" t="n"/>
      <c r="KTS21" s="253" t="n"/>
      <c r="KTT21" s="253" t="n"/>
      <c r="KTU21" s="253" t="n"/>
      <c r="KTV21" s="253" t="n"/>
      <c r="KTW21" s="253" t="n"/>
      <c r="KTX21" s="253" t="n"/>
      <c r="KTY21" s="253" t="n"/>
      <c r="KTZ21" s="253" t="n"/>
      <c r="KUA21" s="253" t="n"/>
      <c r="KUB21" s="253" t="n"/>
      <c r="KUC21" s="253" t="n"/>
      <c r="KUD21" s="253" t="n"/>
      <c r="KUE21" s="253" t="n"/>
      <c r="KUF21" s="253" t="n"/>
      <c r="KUG21" s="253" t="n"/>
      <c r="KUH21" s="253" t="n"/>
      <c r="KUI21" s="253" t="n"/>
      <c r="KUJ21" s="253" t="n"/>
      <c r="KUK21" s="253" t="n"/>
      <c r="KUL21" s="253" t="n"/>
      <c r="KUM21" s="253" t="n"/>
      <c r="KUN21" s="253" t="n"/>
      <c r="KUO21" s="253" t="n"/>
      <c r="KUP21" s="253" t="n"/>
      <c r="KUQ21" s="253" t="n"/>
      <c r="KUR21" s="253" t="n"/>
      <c r="KUS21" s="253" t="n"/>
      <c r="KUT21" s="253" t="n"/>
      <c r="KUU21" s="253" t="n"/>
      <c r="KUV21" s="253" t="n"/>
      <c r="KUW21" s="253" t="n"/>
      <c r="KUX21" s="253" t="n"/>
      <c r="KUY21" s="253" t="n"/>
      <c r="KUZ21" s="253" t="n"/>
      <c r="KVA21" s="253" t="n"/>
      <c r="KVB21" s="253" t="n"/>
      <c r="KVC21" s="253" t="n"/>
      <c r="KVD21" s="253" t="n"/>
      <c r="KVE21" s="253" t="n"/>
      <c r="KVF21" s="253" t="n"/>
      <c r="KVG21" s="253" t="n"/>
      <c r="KVH21" s="253" t="n"/>
      <c r="KVI21" s="253" t="n"/>
      <c r="KVJ21" s="253" t="n"/>
      <c r="KVK21" s="253" t="n"/>
      <c r="KVL21" s="253" t="n"/>
      <c r="KVM21" s="253" t="n"/>
      <c r="KVN21" s="253" t="n"/>
      <c r="KVO21" s="253" t="n"/>
      <c r="KVP21" s="253" t="n"/>
      <c r="KVQ21" s="253" t="n"/>
      <c r="KVR21" s="253" t="n"/>
      <c r="KVS21" s="253" t="n"/>
      <c r="KVT21" s="253" t="n"/>
      <c r="KVU21" s="253" t="n"/>
      <c r="KVV21" s="253" t="n"/>
      <c r="KVW21" s="253" t="n"/>
      <c r="KVX21" s="253" t="n"/>
      <c r="KVY21" s="253" t="n"/>
      <c r="KVZ21" s="253" t="n"/>
      <c r="KWA21" s="253" t="n"/>
      <c r="KWB21" s="253" t="n"/>
      <c r="KWC21" s="253" t="n"/>
      <c r="KWD21" s="253" t="n"/>
      <c r="KWE21" s="253" t="n"/>
      <c r="KWF21" s="253" t="n"/>
      <c r="KWG21" s="253" t="n"/>
      <c r="KWH21" s="253" t="n"/>
      <c r="KWI21" s="253" t="n"/>
      <c r="KWJ21" s="253" t="n"/>
      <c r="KWK21" s="253" t="n"/>
      <c r="KWL21" s="253" t="n"/>
      <c r="KWM21" s="253" t="n"/>
      <c r="KWN21" s="253" t="n"/>
      <c r="KWO21" s="253" t="n"/>
      <c r="KWP21" s="253" t="n"/>
      <c r="KWQ21" s="253" t="n"/>
      <c r="KWR21" s="253" t="n"/>
      <c r="KWS21" s="253" t="n"/>
      <c r="KWT21" s="253" t="n"/>
      <c r="KWU21" s="253" t="n"/>
      <c r="KWV21" s="253" t="n"/>
      <c r="KWW21" s="253" t="n"/>
      <c r="KWX21" s="253" t="n"/>
      <c r="KWY21" s="253" t="n"/>
      <c r="KWZ21" s="253" t="n"/>
      <c r="KXA21" s="253" t="n"/>
      <c r="KXB21" s="253" t="n"/>
      <c r="KXC21" s="253" t="n"/>
      <c r="KXD21" s="253" t="n"/>
      <c r="KXE21" s="253" t="n"/>
      <c r="KXF21" s="253" t="n"/>
      <c r="KXG21" s="253" t="n"/>
      <c r="KXH21" s="253" t="n"/>
      <c r="KXI21" s="253" t="n"/>
      <c r="KXJ21" s="253" t="n"/>
      <c r="KXK21" s="253" t="n"/>
      <c r="KXL21" s="253" t="n"/>
      <c r="KXM21" s="253" t="n"/>
      <c r="KXN21" s="253" t="n"/>
      <c r="KXO21" s="253" t="n"/>
      <c r="KXP21" s="253" t="n"/>
      <c r="KXQ21" s="253" t="n"/>
      <c r="KXR21" s="253" t="n"/>
      <c r="KXS21" s="253" t="n"/>
      <c r="KXT21" s="253" t="n"/>
      <c r="KXU21" s="253" t="n"/>
      <c r="KXV21" s="253" t="n"/>
      <c r="KXW21" s="253" t="n"/>
      <c r="KXX21" s="253" t="n"/>
      <c r="KXY21" s="253" t="n"/>
      <c r="KXZ21" s="253" t="n"/>
      <c r="KYA21" s="253" t="n"/>
      <c r="KYB21" s="253" t="n"/>
      <c r="KYC21" s="253" t="n"/>
      <c r="KYD21" s="253" t="n"/>
      <c r="KYE21" s="253" t="n"/>
      <c r="KYF21" s="253" t="n"/>
      <c r="KYG21" s="253" t="n"/>
      <c r="KYH21" s="253" t="n"/>
      <c r="KYI21" s="253" t="n"/>
      <c r="KYJ21" s="253" t="n"/>
      <c r="KYK21" s="253" t="n"/>
      <c r="KYL21" s="253" t="n"/>
      <c r="KYM21" s="253" t="n"/>
      <c r="KYN21" s="253" t="n"/>
      <c r="KYO21" s="253" t="n"/>
      <c r="KYP21" s="253" t="n"/>
      <c r="KYQ21" s="253" t="n"/>
      <c r="KYR21" s="253" t="n"/>
      <c r="KYS21" s="253" t="n"/>
      <c r="KYT21" s="253" t="n"/>
      <c r="KYU21" s="253" t="n"/>
      <c r="KYV21" s="253" t="n"/>
      <c r="KYW21" s="253" t="n"/>
      <c r="KYX21" s="253" t="n"/>
      <c r="KYY21" s="253" t="n"/>
      <c r="KYZ21" s="253" t="n"/>
      <c r="KZA21" s="253" t="n"/>
      <c r="KZB21" s="253" t="n"/>
      <c r="KZC21" s="253" t="n"/>
      <c r="KZD21" s="253" t="n"/>
      <c r="KZE21" s="253" t="n"/>
      <c r="KZF21" s="253" t="n"/>
      <c r="KZG21" s="253" t="n"/>
      <c r="KZH21" s="253" t="n"/>
      <c r="KZI21" s="253" t="n"/>
      <c r="KZJ21" s="253" t="n"/>
      <c r="KZK21" s="253" t="n"/>
      <c r="KZL21" s="253" t="n"/>
      <c r="KZM21" s="253" t="n"/>
      <c r="KZN21" s="253" t="n"/>
      <c r="KZO21" s="253" t="n"/>
      <c r="KZP21" s="253" t="n"/>
      <c r="KZQ21" s="253" t="n"/>
      <c r="KZR21" s="253" t="n"/>
      <c r="KZS21" s="253" t="n"/>
      <c r="KZT21" s="253" t="n"/>
      <c r="KZU21" s="253" t="n"/>
      <c r="KZV21" s="253" t="n"/>
      <c r="KZW21" s="253" t="n"/>
      <c r="KZX21" s="253" t="n"/>
      <c r="KZY21" s="253" t="n"/>
      <c r="KZZ21" s="253" t="n"/>
      <c r="LAA21" s="253" t="n"/>
      <c r="LAB21" s="253" t="n"/>
      <c r="LAC21" s="253" t="n"/>
      <c r="LAD21" s="253" t="n"/>
      <c r="LAE21" s="253" t="n"/>
      <c r="LAF21" s="253" t="n"/>
      <c r="LAG21" s="253" t="n"/>
      <c r="LAH21" s="253" t="n"/>
      <c r="LAI21" s="253" t="n"/>
      <c r="LAJ21" s="253" t="n"/>
      <c r="LAK21" s="253" t="n"/>
      <c r="LAL21" s="253" t="n"/>
      <c r="LAM21" s="253" t="n"/>
      <c r="LAN21" s="253" t="n"/>
      <c r="LAO21" s="253" t="n"/>
      <c r="LAP21" s="253" t="n"/>
      <c r="LAQ21" s="253" t="n"/>
      <c r="LAR21" s="253" t="n"/>
      <c r="LAS21" s="253" t="n"/>
      <c r="LAT21" s="253" t="n"/>
      <c r="LAU21" s="253" t="n"/>
      <c r="LAV21" s="253" t="n"/>
      <c r="LAW21" s="253" t="n"/>
      <c r="LAX21" s="253" t="n"/>
      <c r="LAY21" s="253" t="n"/>
      <c r="LAZ21" s="253" t="n"/>
      <c r="LBA21" s="253" t="n"/>
      <c r="LBB21" s="253" t="n"/>
      <c r="LBC21" s="253" t="n"/>
      <c r="LBD21" s="253" t="n"/>
      <c r="LBE21" s="253" t="n"/>
      <c r="LBF21" s="253" t="n"/>
      <c r="LBG21" s="253" t="n"/>
      <c r="LBH21" s="253" t="n"/>
      <c r="LBI21" s="253" t="n"/>
      <c r="LBJ21" s="253" t="n"/>
      <c r="LBK21" s="253" t="n"/>
      <c r="LBL21" s="253" t="n"/>
      <c r="LBM21" s="253" t="n"/>
      <c r="LBN21" s="253" t="n"/>
      <c r="LBO21" s="253" t="n"/>
      <c r="LBP21" s="253" t="n"/>
      <c r="LBQ21" s="253" t="n"/>
      <c r="LBR21" s="253" t="n"/>
      <c r="LBS21" s="253" t="n"/>
      <c r="LBT21" s="253" t="n"/>
      <c r="LBU21" s="253" t="n"/>
      <c r="LBV21" s="253" t="n"/>
      <c r="LBW21" s="253" t="n"/>
      <c r="LBX21" s="253" t="n"/>
      <c r="LBY21" s="253" t="n"/>
      <c r="LBZ21" s="253" t="n"/>
      <c r="LCA21" s="253" t="n"/>
      <c r="LCB21" s="253" t="n"/>
      <c r="LCC21" s="253" t="n"/>
      <c r="LCD21" s="253" t="n"/>
      <c r="LCE21" s="253" t="n"/>
      <c r="LCF21" s="253" t="n"/>
      <c r="LCG21" s="253" t="n"/>
      <c r="LCH21" s="253" t="n"/>
      <c r="LCI21" s="253" t="n"/>
      <c r="LCJ21" s="253" t="n"/>
      <c r="LCK21" s="253" t="n"/>
      <c r="LCL21" s="253" t="n"/>
      <c r="LCM21" s="253" t="n"/>
      <c r="LCN21" s="253" t="n"/>
      <c r="LCO21" s="253" t="n"/>
      <c r="LCP21" s="253" t="n"/>
      <c r="LCQ21" s="253" t="n"/>
      <c r="LCR21" s="253" t="n"/>
      <c r="LCS21" s="253" t="n"/>
      <c r="LCT21" s="253" t="n"/>
      <c r="LCU21" s="253" t="n"/>
      <c r="LCV21" s="253" t="n"/>
      <c r="LCW21" s="253" t="n"/>
      <c r="LCX21" s="253" t="n"/>
      <c r="LCY21" s="253" t="n"/>
      <c r="LCZ21" s="253" t="n"/>
      <c r="LDA21" s="253" t="n"/>
      <c r="LDB21" s="253" t="n"/>
      <c r="LDC21" s="253" t="n"/>
      <c r="LDD21" s="253" t="n"/>
      <c r="LDE21" s="253" t="n"/>
      <c r="LDF21" s="253" t="n"/>
      <c r="LDG21" s="253" t="n"/>
      <c r="LDH21" s="253" t="n"/>
      <c r="LDI21" s="253" t="n"/>
      <c r="LDJ21" s="253" t="n"/>
      <c r="LDK21" s="253" t="n"/>
      <c r="LDL21" s="253" t="n"/>
      <c r="LDM21" s="253" t="n"/>
      <c r="LDN21" s="253" t="n"/>
      <c r="LDO21" s="253" t="n"/>
      <c r="LDP21" s="253" t="n"/>
      <c r="LDQ21" s="253" t="n"/>
      <c r="LDR21" s="253" t="n"/>
      <c r="LDS21" s="253" t="n"/>
      <c r="LDT21" s="253" t="n"/>
      <c r="LDU21" s="253" t="n"/>
      <c r="LDV21" s="253" t="n"/>
      <c r="LDW21" s="253" t="n"/>
      <c r="LDX21" s="253" t="n"/>
      <c r="LDY21" s="253" t="n"/>
      <c r="LDZ21" s="253" t="n"/>
      <c r="LEA21" s="253" t="n"/>
      <c r="LEB21" s="253" t="n"/>
      <c r="LEC21" s="253" t="n"/>
      <c r="LED21" s="253" t="n"/>
      <c r="LEE21" s="253" t="n"/>
      <c r="LEF21" s="253" t="n"/>
      <c r="LEG21" s="253" t="n"/>
      <c r="LEH21" s="253" t="n"/>
      <c r="LEI21" s="253" t="n"/>
      <c r="LEJ21" s="253" t="n"/>
      <c r="LEK21" s="253" t="n"/>
      <c r="LEL21" s="253" t="n"/>
      <c r="LEM21" s="253" t="n"/>
      <c r="LEN21" s="253" t="n"/>
      <c r="LEO21" s="253" t="n"/>
      <c r="LEP21" s="253" t="n"/>
      <c r="LEQ21" s="253" t="n"/>
      <c r="LER21" s="253" t="n"/>
      <c r="LES21" s="253" t="n"/>
      <c r="LET21" s="253" t="n"/>
      <c r="LEU21" s="253" t="n"/>
      <c r="LEV21" s="253" t="n"/>
      <c r="LEW21" s="253" t="n"/>
      <c r="LEX21" s="253" t="n"/>
      <c r="LEY21" s="253" t="n"/>
      <c r="LEZ21" s="253" t="n"/>
      <c r="LFA21" s="253" t="n"/>
      <c r="LFB21" s="253" t="n"/>
      <c r="LFC21" s="253" t="n"/>
      <c r="LFD21" s="253" t="n"/>
      <c r="LFE21" s="253" t="n"/>
      <c r="LFF21" s="253" t="n"/>
      <c r="LFG21" s="253" t="n"/>
      <c r="LFH21" s="253" t="n"/>
      <c r="LFI21" s="253" t="n"/>
      <c r="LFJ21" s="253" t="n"/>
      <c r="LFK21" s="252" t="n"/>
      <c r="LFL21" s="253" t="n"/>
      <c r="LFM21" s="253" t="n"/>
      <c r="LFN21" s="253" t="n"/>
      <c r="LFO21" s="253" t="n"/>
      <c r="LFP21" s="253" t="n"/>
      <c r="LFQ21" s="253" t="n"/>
      <c r="LFR21" s="253" t="n"/>
      <c r="LFS21" s="253" t="n"/>
      <c r="LFT21" s="253" t="n"/>
      <c r="LFU21" s="253" t="n"/>
      <c r="LFV21" s="253" t="n"/>
      <c r="LFW21" s="253" t="n"/>
      <c r="LFX21" s="253" t="n"/>
      <c r="LFY21" s="253" t="n"/>
      <c r="LFZ21" s="253" t="n"/>
      <c r="LGA21" s="253" t="n"/>
      <c r="LGB21" s="253" t="n"/>
      <c r="LGC21" s="253" t="n"/>
      <c r="LGD21" s="253" t="n"/>
      <c r="LGE21" s="253" t="n"/>
      <c r="LGF21" s="253" t="n"/>
      <c r="LGG21" s="253" t="n"/>
      <c r="LGH21" s="253" t="n"/>
      <c r="LGI21" s="253" t="n"/>
      <c r="LGJ21" s="253" t="n"/>
      <c r="LGK21" s="253" t="n"/>
      <c r="LGL21" s="253" t="n"/>
      <c r="LGM21" s="253" t="n"/>
      <c r="LGN21" s="253" t="n"/>
      <c r="LGO21" s="253" t="n"/>
      <c r="LGP21" s="253" t="n"/>
      <c r="LGQ21" s="253" t="n"/>
      <c r="LGR21" s="253" t="n"/>
      <c r="LGS21" s="253" t="n"/>
      <c r="LGT21" s="253" t="n"/>
      <c r="LGU21" s="253" t="n"/>
      <c r="LGV21" s="253" t="n"/>
      <c r="LGW21" s="253" t="n"/>
      <c r="LGX21" s="253" t="n"/>
      <c r="LGY21" s="253" t="n"/>
      <c r="LGZ21" s="253" t="n"/>
      <c r="LHA21" s="253" t="n"/>
      <c r="LHB21" s="253" t="n"/>
      <c r="LHC21" s="253" t="n"/>
      <c r="LHD21" s="253" t="n"/>
      <c r="LHE21" s="253" t="n"/>
      <c r="LHF21" s="253" t="n"/>
      <c r="LHG21" s="253" t="n"/>
      <c r="LHH21" s="253" t="n"/>
      <c r="LHI21" s="253" t="n"/>
      <c r="LHJ21" s="253" t="n"/>
      <c r="LHK21" s="253" t="n"/>
      <c r="LHL21" s="253" t="n"/>
      <c r="LHM21" s="253" t="n"/>
      <c r="LHN21" s="253" t="n"/>
      <c r="LHO21" s="253" t="n"/>
      <c r="LHP21" s="253" t="n"/>
      <c r="LHQ21" s="253" t="n"/>
      <c r="LHR21" s="253" t="n"/>
      <c r="LHS21" s="253" t="n"/>
      <c r="LHT21" s="253" t="n"/>
      <c r="LHU21" s="253" t="n"/>
      <c r="LHV21" s="253" t="n"/>
      <c r="LHW21" s="253" t="n"/>
      <c r="LHX21" s="253" t="n"/>
      <c r="LHY21" s="253" t="n"/>
      <c r="LHZ21" s="253" t="n"/>
      <c r="LIA21" s="253" t="n"/>
      <c r="LIB21" s="253" t="n"/>
      <c r="LIC21" s="253" t="n"/>
      <c r="LID21" s="253" t="n"/>
      <c r="LIE21" s="253" t="n"/>
      <c r="LIF21" s="253" t="n"/>
      <c r="LIG21" s="253" t="n"/>
      <c r="LIH21" s="253" t="n"/>
      <c r="LII21" s="253" t="n"/>
      <c r="LIJ21" s="253" t="n"/>
      <c r="LIK21" s="253" t="n"/>
      <c r="LIL21" s="253" t="n"/>
      <c r="LIM21" s="253" t="n"/>
      <c r="LIN21" s="253" t="n"/>
      <c r="LIO21" s="253" t="n"/>
      <c r="LIP21" s="253" t="n"/>
      <c r="LIQ21" s="253" t="n"/>
      <c r="LIR21" s="253" t="n"/>
      <c r="LIS21" s="253" t="n"/>
      <c r="LIT21" s="253" t="n"/>
      <c r="LIU21" s="253" t="n"/>
      <c r="LIV21" s="253" t="n"/>
      <c r="LIW21" s="253" t="n"/>
      <c r="LIX21" s="253" t="n"/>
      <c r="LIY21" s="253" t="n"/>
      <c r="LIZ21" s="253" t="n"/>
      <c r="LJA21" s="253" t="n"/>
      <c r="LJB21" s="253" t="n"/>
      <c r="LJC21" s="253" t="n"/>
      <c r="LJD21" s="253" t="n"/>
      <c r="LJE21" s="253" t="n"/>
      <c r="LJF21" s="253" t="n"/>
      <c r="LJG21" s="253" t="n"/>
      <c r="LJH21" s="253" t="n"/>
      <c r="LJI21" s="253" t="n"/>
      <c r="LJJ21" s="253" t="n"/>
      <c r="LJK21" s="253" t="n"/>
      <c r="LJL21" s="253" t="n"/>
      <c r="LJM21" s="253" t="n"/>
      <c r="LJN21" s="253" t="n"/>
      <c r="LJO21" s="253" t="n"/>
      <c r="LJP21" s="253" t="n"/>
      <c r="LJQ21" s="253" t="n"/>
      <c r="LJR21" s="253" t="n"/>
      <c r="LJS21" s="253" t="n"/>
      <c r="LJT21" s="253" t="n"/>
      <c r="LJU21" s="253" t="n"/>
      <c r="LJV21" s="253" t="n"/>
      <c r="LJW21" s="253" t="n"/>
      <c r="LJX21" s="253" t="n"/>
      <c r="LJY21" s="253" t="n"/>
      <c r="LJZ21" s="253" t="n"/>
      <c r="LKA21" s="253" t="n"/>
      <c r="LKB21" s="253" t="n"/>
      <c r="LKC21" s="253" t="n"/>
      <c r="LKD21" s="253" t="n"/>
      <c r="LKE21" s="253" t="n"/>
      <c r="LKF21" s="253" t="n"/>
      <c r="LKG21" s="253" t="n"/>
      <c r="LKH21" s="253" t="n"/>
      <c r="LKI21" s="253" t="n"/>
      <c r="LKJ21" s="253" t="n"/>
      <c r="LKK21" s="253" t="n"/>
      <c r="LKL21" s="253" t="n"/>
      <c r="LKM21" s="253" t="n"/>
      <c r="LKN21" s="253" t="n"/>
      <c r="LKO21" s="253" t="n"/>
      <c r="LKP21" s="253" t="n"/>
      <c r="LKQ21" s="253" t="n"/>
      <c r="LKR21" s="253" t="n"/>
      <c r="LKS21" s="253" t="n"/>
      <c r="LKT21" s="253" t="n"/>
      <c r="LKU21" s="253" t="n"/>
      <c r="LKV21" s="253" t="n"/>
      <c r="LKW21" s="253" t="n"/>
      <c r="LKX21" s="253" t="n"/>
      <c r="LKY21" s="253" t="n"/>
      <c r="LKZ21" s="253" t="n"/>
      <c r="LLA21" s="253" t="n"/>
      <c r="LLB21" s="253" t="n"/>
      <c r="LLC21" s="253" t="n"/>
      <c r="LLD21" s="253" t="n"/>
      <c r="LLE21" s="253" t="n"/>
      <c r="LLF21" s="253" t="n"/>
      <c r="LLG21" s="253" t="n"/>
      <c r="LLH21" s="253" t="n"/>
      <c r="LLI21" s="253" t="n"/>
      <c r="LLJ21" s="253" t="n"/>
      <c r="LLK21" s="253" t="n"/>
      <c r="LLL21" s="253" t="n"/>
      <c r="LLM21" s="253" t="n"/>
      <c r="LLN21" s="253" t="n"/>
      <c r="LLO21" s="253" t="n"/>
      <c r="LLP21" s="253" t="n"/>
      <c r="LLQ21" s="253" t="n"/>
      <c r="LLR21" s="253" t="n"/>
      <c r="LLS21" s="253" t="n"/>
      <c r="LLT21" s="253" t="n"/>
      <c r="LLU21" s="253" t="n"/>
      <c r="LLV21" s="253" t="n"/>
      <c r="LLW21" s="253" t="n"/>
      <c r="LLX21" s="253" t="n"/>
      <c r="LLY21" s="253" t="n"/>
      <c r="LLZ21" s="253" t="n"/>
      <c r="LMA21" s="253" t="n"/>
      <c r="LMB21" s="253" t="n"/>
      <c r="LMC21" s="253" t="n"/>
      <c r="LMD21" s="253" t="n"/>
      <c r="LME21" s="253" t="n"/>
      <c r="LMF21" s="253" t="n"/>
      <c r="LMG21" s="253" t="n"/>
      <c r="LMH21" s="253" t="n"/>
      <c r="LMI21" s="253" t="n"/>
      <c r="LMJ21" s="253" t="n"/>
      <c r="LMK21" s="253" t="n"/>
      <c r="LML21" s="253" t="n"/>
      <c r="LMM21" s="253" t="n"/>
      <c r="LMN21" s="253" t="n"/>
      <c r="LMO21" s="253" t="n"/>
      <c r="LMP21" s="253" t="n"/>
      <c r="LMQ21" s="253" t="n"/>
      <c r="LMR21" s="253" t="n"/>
      <c r="LMS21" s="253" t="n"/>
      <c r="LMT21" s="253" t="n"/>
      <c r="LMU21" s="253" t="n"/>
      <c r="LMV21" s="253" t="n"/>
      <c r="LMW21" s="253" t="n"/>
      <c r="LMX21" s="253" t="n"/>
      <c r="LMY21" s="253" t="n"/>
      <c r="LMZ21" s="253" t="n"/>
      <c r="LNA21" s="253" t="n"/>
      <c r="LNB21" s="253" t="n"/>
      <c r="LNC21" s="253" t="n"/>
      <c r="LND21" s="253" t="n"/>
      <c r="LNE21" s="253" t="n"/>
      <c r="LNF21" s="253" t="n"/>
      <c r="LNG21" s="253" t="n"/>
      <c r="LNH21" s="253" t="n"/>
      <c r="LNI21" s="253" t="n"/>
      <c r="LNJ21" s="253" t="n"/>
      <c r="LNK21" s="253" t="n"/>
      <c r="LNL21" s="253" t="n"/>
      <c r="LNM21" s="253" t="n"/>
      <c r="LNN21" s="253" t="n"/>
      <c r="LNO21" s="253" t="n"/>
      <c r="LNP21" s="253" t="n"/>
      <c r="LNQ21" s="253" t="n"/>
      <c r="LNR21" s="253" t="n"/>
      <c r="LNS21" s="253" t="n"/>
      <c r="LNT21" s="253" t="n"/>
      <c r="LNU21" s="253" t="n"/>
      <c r="LNV21" s="253" t="n"/>
      <c r="LNW21" s="253" t="n"/>
      <c r="LNX21" s="253" t="n"/>
      <c r="LNY21" s="253" t="n"/>
      <c r="LNZ21" s="253" t="n"/>
      <c r="LOA21" s="253" t="n"/>
      <c r="LOB21" s="253" t="n"/>
      <c r="LOC21" s="253" t="n"/>
      <c r="LOD21" s="253" t="n"/>
      <c r="LOE21" s="253" t="n"/>
      <c r="LOF21" s="253" t="n"/>
      <c r="LOG21" s="253" t="n"/>
      <c r="LOH21" s="253" t="n"/>
      <c r="LOI21" s="253" t="n"/>
      <c r="LOJ21" s="253" t="n"/>
      <c r="LOK21" s="253" t="n"/>
      <c r="LOL21" s="253" t="n"/>
      <c r="LOM21" s="253" t="n"/>
      <c r="LON21" s="253" t="n"/>
      <c r="LOO21" s="253" t="n"/>
      <c r="LOP21" s="253" t="n"/>
      <c r="LOQ21" s="253" t="n"/>
      <c r="LOR21" s="253" t="n"/>
      <c r="LOS21" s="253" t="n"/>
      <c r="LOT21" s="253" t="n"/>
      <c r="LOU21" s="253" t="n"/>
      <c r="LOV21" s="253" t="n"/>
      <c r="LOW21" s="253" t="n"/>
      <c r="LOX21" s="253" t="n"/>
      <c r="LOY21" s="253" t="n"/>
      <c r="LOZ21" s="253" t="n"/>
      <c r="LPA21" s="253" t="n"/>
      <c r="LPB21" s="253" t="n"/>
      <c r="LPC21" s="253" t="n"/>
      <c r="LPD21" s="253" t="n"/>
      <c r="LPE21" s="253" t="n"/>
      <c r="LPF21" s="253" t="n"/>
      <c r="LPG21" s="253" t="n"/>
      <c r="LPH21" s="253" t="n"/>
      <c r="LPI21" s="253" t="n"/>
      <c r="LPJ21" s="253" t="n"/>
      <c r="LPK21" s="253" t="n"/>
      <c r="LPL21" s="253" t="n"/>
      <c r="LPM21" s="253" t="n"/>
      <c r="LPN21" s="253" t="n"/>
      <c r="LPO21" s="253" t="n"/>
      <c r="LPP21" s="253" t="n"/>
      <c r="LPQ21" s="253" t="n"/>
      <c r="LPR21" s="253" t="n"/>
      <c r="LPS21" s="253" t="n"/>
      <c r="LPT21" s="253" t="n"/>
      <c r="LPU21" s="253" t="n"/>
      <c r="LPV21" s="253" t="n"/>
      <c r="LPW21" s="253" t="n"/>
      <c r="LPX21" s="253" t="n"/>
      <c r="LPY21" s="253" t="n"/>
      <c r="LPZ21" s="253" t="n"/>
      <c r="LQA21" s="253" t="n"/>
      <c r="LQB21" s="253" t="n"/>
      <c r="LQC21" s="253" t="n"/>
      <c r="LQD21" s="253" t="n"/>
      <c r="LQE21" s="253" t="n"/>
      <c r="LQF21" s="253" t="n"/>
      <c r="LQG21" s="253" t="n"/>
      <c r="LQH21" s="253" t="n"/>
      <c r="LQI21" s="253" t="n"/>
      <c r="LQJ21" s="253" t="n"/>
      <c r="LQK21" s="253" t="n"/>
      <c r="LQL21" s="253" t="n"/>
      <c r="LQM21" s="253" t="n"/>
      <c r="LQN21" s="253" t="n"/>
      <c r="LQO21" s="253" t="n"/>
      <c r="LQP21" s="253" t="n"/>
      <c r="LQQ21" s="253" t="n"/>
      <c r="LQR21" s="253" t="n"/>
      <c r="LQS21" s="253" t="n"/>
      <c r="LQT21" s="253" t="n"/>
      <c r="LQU21" s="253" t="n"/>
      <c r="LQV21" s="253" t="n"/>
      <c r="LQW21" s="253" t="n"/>
      <c r="LQX21" s="253" t="n"/>
      <c r="LQY21" s="253" t="n"/>
      <c r="LQZ21" s="253" t="n"/>
      <c r="LRA21" s="253" t="n"/>
      <c r="LRB21" s="253" t="n"/>
      <c r="LRC21" s="253" t="n"/>
      <c r="LRD21" s="253" t="n"/>
      <c r="LRE21" s="253" t="n"/>
      <c r="LRF21" s="253" t="n"/>
      <c r="LRG21" s="253" t="n"/>
      <c r="LRH21" s="253" t="n"/>
      <c r="LRI21" s="253" t="n"/>
      <c r="LRJ21" s="253" t="n"/>
      <c r="LRK21" s="253" t="n"/>
      <c r="LRL21" s="253" t="n"/>
      <c r="LRM21" s="253" t="n"/>
      <c r="LRN21" s="253" t="n"/>
      <c r="LRO21" s="253" t="n"/>
      <c r="LRP21" s="253" t="n"/>
      <c r="LRQ21" s="253" t="n"/>
      <c r="LRR21" s="253" t="n"/>
      <c r="LRS21" s="253" t="n"/>
      <c r="LRT21" s="253" t="n"/>
      <c r="LRU21" s="253" t="n"/>
      <c r="LRV21" s="253" t="n"/>
      <c r="LRW21" s="253" t="n"/>
      <c r="LRX21" s="253" t="n"/>
      <c r="LRY21" s="253" t="n"/>
      <c r="LRZ21" s="253" t="n"/>
      <c r="LSA21" s="253" t="n"/>
      <c r="LSB21" s="253" t="n"/>
      <c r="LSC21" s="253" t="n"/>
      <c r="LSD21" s="253" t="n"/>
      <c r="LSE21" s="253" t="n"/>
      <c r="LSF21" s="253" t="n"/>
      <c r="LSG21" s="253" t="n"/>
      <c r="LSH21" s="253" t="n"/>
      <c r="LSI21" s="253" t="n"/>
      <c r="LSJ21" s="253" t="n"/>
      <c r="LSK21" s="253" t="n"/>
      <c r="LSL21" s="253" t="n"/>
      <c r="LSM21" s="253" t="n"/>
      <c r="LSN21" s="253" t="n"/>
      <c r="LSO21" s="253" t="n"/>
      <c r="LSP21" s="253" t="n"/>
      <c r="LSQ21" s="253" t="n"/>
      <c r="LSR21" s="253" t="n"/>
      <c r="LSS21" s="253" t="n"/>
      <c r="LST21" s="253" t="n"/>
      <c r="LSU21" s="253" t="n"/>
      <c r="LSV21" s="253" t="n"/>
      <c r="LSW21" s="253" t="n"/>
      <c r="LSX21" s="253" t="n"/>
      <c r="LSY21" s="253" t="n"/>
      <c r="LSZ21" s="253" t="n"/>
      <c r="LTA21" s="253" t="n"/>
      <c r="LTB21" s="253" t="n"/>
      <c r="LTC21" s="253" t="n"/>
      <c r="LTD21" s="253" t="n"/>
      <c r="LTE21" s="253" t="n"/>
      <c r="LTF21" s="253" t="n"/>
      <c r="LTG21" s="253" t="n"/>
      <c r="LTH21" s="253" t="n"/>
      <c r="LTI21" s="253" t="n"/>
      <c r="LTJ21" s="253" t="n"/>
      <c r="LTK21" s="253" t="n"/>
      <c r="LTL21" s="253" t="n"/>
      <c r="LTM21" s="253" t="n"/>
      <c r="LTN21" s="253" t="n"/>
      <c r="LTO21" s="253" t="n"/>
      <c r="LTP21" s="253" t="n"/>
      <c r="LTQ21" s="253" t="n"/>
      <c r="LTR21" s="253" t="n"/>
      <c r="LTS21" s="253" t="n"/>
      <c r="LTT21" s="253" t="n"/>
      <c r="LTU21" s="253" t="n"/>
      <c r="LTV21" s="253" t="n"/>
      <c r="LTW21" s="253" t="n"/>
      <c r="LTX21" s="253" t="n"/>
      <c r="LTY21" s="253" t="n"/>
      <c r="LTZ21" s="253" t="n"/>
      <c r="LUA21" s="253" t="n"/>
      <c r="LUB21" s="253" t="n"/>
      <c r="LUC21" s="253" t="n"/>
      <c r="LUD21" s="253" t="n"/>
      <c r="LUE21" s="253" t="n"/>
      <c r="LUF21" s="253" t="n"/>
      <c r="LUG21" s="253" t="n"/>
      <c r="LUH21" s="253" t="n"/>
      <c r="LUI21" s="253" t="n"/>
      <c r="LUJ21" s="253" t="n"/>
      <c r="LUK21" s="253" t="n"/>
      <c r="LUL21" s="253" t="n"/>
      <c r="LUM21" s="253" t="n"/>
      <c r="LUN21" s="253" t="n"/>
      <c r="LUO21" s="253" t="n"/>
      <c r="LUP21" s="253" t="n"/>
      <c r="LUQ21" s="253" t="n"/>
      <c r="LUR21" s="253" t="n"/>
      <c r="LUS21" s="253" t="n"/>
      <c r="LUT21" s="253" t="n"/>
      <c r="LUU21" s="253" t="n"/>
      <c r="LUV21" s="253" t="n"/>
      <c r="LUW21" s="253" t="n"/>
      <c r="LUX21" s="253" t="n"/>
      <c r="LUY21" s="253" t="n"/>
      <c r="LUZ21" s="253" t="n"/>
      <c r="LVA21" s="253" t="n"/>
      <c r="LVB21" s="253" t="n"/>
      <c r="LVC21" s="253" t="n"/>
      <c r="LVD21" s="253" t="n"/>
      <c r="LVE21" s="253" t="n"/>
      <c r="LVF21" s="253" t="n"/>
      <c r="LVG21" s="253" t="n"/>
      <c r="LVH21" s="253" t="n"/>
      <c r="LVI21" s="253" t="n"/>
      <c r="LVJ21" s="253" t="n"/>
      <c r="LVK21" s="253" t="n"/>
      <c r="LVL21" s="253" t="n"/>
      <c r="LVM21" s="253" t="n"/>
      <c r="LVN21" s="253" t="n"/>
      <c r="LVO21" s="253" t="n"/>
      <c r="LVP21" s="253" t="n"/>
      <c r="LVQ21" s="253" t="n"/>
      <c r="LVR21" s="253" t="n"/>
      <c r="LVS21" s="253" t="n"/>
      <c r="LVT21" s="253" t="n"/>
      <c r="LVU21" s="253" t="n"/>
      <c r="LVV21" s="253" t="n"/>
      <c r="LVW21" s="253" t="n"/>
      <c r="LVX21" s="253" t="n"/>
      <c r="LVY21" s="253" t="n"/>
      <c r="LVZ21" s="253" t="n"/>
      <c r="LWA21" s="253" t="n"/>
      <c r="LWB21" s="253" t="n"/>
      <c r="LWC21" s="253" t="n"/>
      <c r="LWD21" s="253" t="n"/>
      <c r="LWE21" s="253" t="n"/>
      <c r="LWF21" s="253" t="n"/>
      <c r="LWG21" s="253" t="n"/>
      <c r="LWH21" s="253" t="n"/>
      <c r="LWI21" s="253" t="n"/>
      <c r="LWJ21" s="253" t="n"/>
      <c r="LWK21" s="253" t="n"/>
      <c r="LWL21" s="253" t="n"/>
      <c r="LWM21" s="253" t="n"/>
      <c r="LWN21" s="253" t="n"/>
      <c r="LWO21" s="253" t="n"/>
      <c r="LWP21" s="253" t="n"/>
      <c r="LWQ21" s="253" t="n"/>
      <c r="LWR21" s="253" t="n"/>
      <c r="LWS21" s="253" t="n"/>
      <c r="LWT21" s="253" t="n"/>
      <c r="LWU21" s="253" t="n"/>
      <c r="LWV21" s="253" t="n"/>
      <c r="LWW21" s="253" t="n"/>
      <c r="LWX21" s="253" t="n"/>
      <c r="LWY21" s="253" t="n"/>
      <c r="LWZ21" s="253" t="n"/>
      <c r="LXA21" s="253" t="n"/>
      <c r="LXB21" s="253" t="n"/>
      <c r="LXC21" s="253" t="n"/>
      <c r="LXD21" s="253" t="n"/>
      <c r="LXE21" s="253" t="n"/>
      <c r="LXF21" s="253" t="n"/>
      <c r="LXG21" s="253" t="n"/>
      <c r="LXH21" s="253" t="n"/>
      <c r="LXI21" s="253" t="n"/>
      <c r="LXJ21" s="253" t="n"/>
      <c r="LXK21" s="253" t="n"/>
      <c r="LXL21" s="253" t="n"/>
      <c r="LXM21" s="253" t="n"/>
      <c r="LXN21" s="253" t="n"/>
      <c r="LXO21" s="253" t="n"/>
      <c r="LXP21" s="253" t="n"/>
      <c r="LXQ21" s="253" t="n"/>
      <c r="LXR21" s="253" t="n"/>
      <c r="LXS21" s="253" t="n"/>
      <c r="LXT21" s="253" t="n"/>
      <c r="LXU21" s="253" t="n"/>
      <c r="LXV21" s="253" t="n"/>
      <c r="LXW21" s="253" t="n"/>
      <c r="LXX21" s="253" t="n"/>
      <c r="LXY21" s="253" t="n"/>
      <c r="LXZ21" s="253" t="n"/>
      <c r="LYA21" s="253" t="n"/>
      <c r="LYB21" s="253" t="n"/>
      <c r="LYC21" s="253" t="n"/>
      <c r="LYD21" s="253" t="n"/>
      <c r="LYE21" s="253" t="n"/>
      <c r="LYF21" s="253" t="n"/>
      <c r="LYG21" s="253" t="n"/>
      <c r="LYH21" s="253" t="n"/>
      <c r="LYI21" s="253" t="n"/>
      <c r="LYJ21" s="253" t="n"/>
      <c r="LYK21" s="253" t="n"/>
      <c r="LYL21" s="253" t="n"/>
      <c r="LYM21" s="253" t="n"/>
      <c r="LYN21" s="253" t="n"/>
      <c r="LYO21" s="253" t="n"/>
      <c r="LYP21" s="253" t="n"/>
      <c r="LYQ21" s="253" t="n"/>
      <c r="LYR21" s="253" t="n"/>
      <c r="LYS21" s="253" t="n"/>
      <c r="LYT21" s="253" t="n"/>
      <c r="LYU21" s="253" t="n"/>
      <c r="LYV21" s="253" t="n"/>
      <c r="LYW21" s="253" t="n"/>
      <c r="LYX21" s="253" t="n"/>
      <c r="LYY21" s="253" t="n"/>
      <c r="LYZ21" s="253" t="n"/>
      <c r="LZA21" s="253" t="n"/>
      <c r="LZB21" s="253" t="n"/>
      <c r="LZC21" s="253" t="n"/>
      <c r="LZD21" s="253" t="n"/>
      <c r="LZE21" s="253" t="n"/>
      <c r="LZF21" s="253" t="n"/>
      <c r="LZG21" s="253" t="n"/>
      <c r="LZH21" s="253" t="n"/>
      <c r="LZI21" s="253" t="n"/>
      <c r="LZJ21" s="253" t="n"/>
      <c r="LZK21" s="253" t="n"/>
      <c r="LZL21" s="253" t="n"/>
      <c r="LZM21" s="253" t="n"/>
      <c r="LZN21" s="253" t="n"/>
      <c r="LZO21" s="253" t="n"/>
      <c r="LZP21" s="253" t="n"/>
      <c r="LZQ21" s="253" t="n"/>
      <c r="LZR21" s="253" t="n"/>
      <c r="LZS21" s="253" t="n"/>
      <c r="LZT21" s="253" t="n"/>
      <c r="LZU21" s="253" t="n"/>
      <c r="LZV21" s="253" t="n"/>
      <c r="LZW21" s="253" t="n"/>
      <c r="LZX21" s="253" t="n"/>
      <c r="LZY21" s="253" t="n"/>
      <c r="LZZ21" s="253" t="n"/>
      <c r="MAA21" s="253" t="n"/>
      <c r="MAB21" s="253" t="n"/>
      <c r="MAC21" s="253" t="n"/>
      <c r="MAD21" s="253" t="n"/>
      <c r="MAE21" s="253" t="n"/>
      <c r="MAF21" s="253" t="n"/>
      <c r="MAG21" s="253" t="n"/>
      <c r="MAH21" s="253" t="n"/>
      <c r="MAI21" s="253" t="n"/>
      <c r="MAJ21" s="253" t="n"/>
      <c r="MAK21" s="253" t="n"/>
      <c r="MAL21" s="253" t="n"/>
      <c r="MAM21" s="253" t="n"/>
      <c r="MAN21" s="253" t="n"/>
      <c r="MAO21" s="253" t="n"/>
      <c r="MAP21" s="253" t="n"/>
      <c r="MAQ21" s="253" t="n"/>
      <c r="MAR21" s="253" t="n"/>
      <c r="MAS21" s="253" t="n"/>
      <c r="MAT21" s="253" t="n"/>
      <c r="MAU21" s="253" t="n"/>
      <c r="MAV21" s="253" t="n"/>
      <c r="MAW21" s="253" t="n"/>
      <c r="MAX21" s="253" t="n"/>
      <c r="MAY21" s="253" t="n"/>
      <c r="MAZ21" s="253" t="n"/>
      <c r="MBA21" s="253" t="n"/>
      <c r="MBB21" s="253" t="n"/>
      <c r="MBC21" s="253" t="n"/>
      <c r="MBD21" s="253" t="n"/>
      <c r="MBE21" s="253" t="n"/>
      <c r="MBF21" s="253" t="n"/>
      <c r="MBG21" s="253" t="n"/>
      <c r="MBH21" s="253" t="n"/>
      <c r="MBI21" s="253" t="n"/>
      <c r="MBJ21" s="253" t="n"/>
      <c r="MBK21" s="253" t="n"/>
      <c r="MBL21" s="253" t="n"/>
      <c r="MBM21" s="253" t="n"/>
      <c r="MBN21" s="253" t="n"/>
      <c r="MBO21" s="253" t="n"/>
      <c r="MBP21" s="253" t="n"/>
      <c r="MBQ21" s="253" t="n"/>
      <c r="MBR21" s="253" t="n"/>
      <c r="MBS21" s="253" t="n"/>
      <c r="MBT21" s="253" t="n"/>
      <c r="MBU21" s="253" t="n"/>
      <c r="MBV21" s="253" t="n"/>
      <c r="MBW21" s="253" t="n"/>
      <c r="MBX21" s="253" t="n"/>
      <c r="MBY21" s="253" t="n"/>
      <c r="MBZ21" s="253" t="n"/>
      <c r="MCA21" s="253" t="n"/>
      <c r="MCB21" s="253" t="n"/>
      <c r="MCC21" s="253" t="n"/>
      <c r="MCD21" s="253" t="n"/>
      <c r="MCE21" s="253" t="n"/>
      <c r="MCF21" s="253" t="n"/>
      <c r="MCG21" s="253" t="n"/>
      <c r="MCH21" s="253" t="n"/>
      <c r="MCI21" s="253" t="n"/>
      <c r="MCJ21" s="253" t="n"/>
      <c r="MCK21" s="253" t="n"/>
      <c r="MCL21" s="253" t="n"/>
      <c r="MCM21" s="253" t="n"/>
      <c r="MCN21" s="253" t="n"/>
      <c r="MCO21" s="253" t="n"/>
      <c r="MCP21" s="253" t="n"/>
      <c r="MCQ21" s="253" t="n"/>
      <c r="MCR21" s="253" t="n"/>
      <c r="MCS21" s="253" t="n"/>
      <c r="MCT21" s="253" t="n"/>
      <c r="MCU21" s="253" t="n"/>
      <c r="MCV21" s="253" t="n"/>
      <c r="MCW21" s="253" t="n"/>
      <c r="MCX21" s="253" t="n"/>
      <c r="MCY21" s="253" t="n"/>
      <c r="MCZ21" s="253" t="n"/>
      <c r="MDA21" s="253" t="n"/>
      <c r="MDB21" s="253" t="n"/>
      <c r="MDC21" s="253" t="n"/>
      <c r="MDD21" s="253" t="n"/>
      <c r="MDE21" s="253" t="n"/>
      <c r="MDF21" s="253" t="n"/>
      <c r="MDG21" s="253" t="n"/>
      <c r="MDH21" s="253" t="n"/>
      <c r="MDI21" s="253" t="n"/>
      <c r="MDJ21" s="253" t="n"/>
      <c r="MDK21" s="253" t="n"/>
      <c r="MDL21" s="253" t="n"/>
      <c r="MDM21" s="253" t="n"/>
      <c r="MDN21" s="253" t="n"/>
      <c r="MDO21" s="253" t="n"/>
      <c r="MDP21" s="253" t="n"/>
      <c r="MDQ21" s="253" t="n"/>
      <c r="MDR21" s="253" t="n"/>
      <c r="MDS21" s="253" t="n"/>
      <c r="MDT21" s="253" t="n"/>
      <c r="MDU21" s="253" t="n"/>
      <c r="MDV21" s="253" t="n"/>
      <c r="MDW21" s="253" t="n"/>
      <c r="MDX21" s="253" t="n"/>
      <c r="MDY21" s="253" t="n"/>
      <c r="MDZ21" s="253" t="n"/>
      <c r="MEA21" s="253" t="n"/>
      <c r="MEB21" s="253" t="n"/>
      <c r="MEC21" s="253" t="n"/>
      <c r="MED21" s="253" t="n"/>
      <c r="MEE21" s="253" t="n"/>
      <c r="MEF21" s="253" t="n"/>
      <c r="MEG21" s="253" t="n"/>
      <c r="MEH21" s="253" t="n"/>
      <c r="MEI21" s="253" t="n"/>
      <c r="MEJ21" s="253" t="n"/>
      <c r="MEK21" s="253" t="n"/>
      <c r="MEL21" s="253" t="n"/>
      <c r="MEM21" s="253" t="n"/>
      <c r="MEN21" s="253" t="n"/>
      <c r="MEO21" s="253" t="n"/>
      <c r="MEP21" s="253" t="n"/>
      <c r="MEQ21" s="253" t="n"/>
      <c r="MER21" s="253" t="n"/>
      <c r="MES21" s="253" t="n"/>
      <c r="MET21" s="253" t="n"/>
      <c r="MEU21" s="253" t="n"/>
      <c r="MEV21" s="253" t="n"/>
      <c r="MEW21" s="253" t="n"/>
      <c r="MEX21" s="253" t="n"/>
      <c r="MEY21" s="253" t="n"/>
      <c r="MEZ21" s="253" t="n"/>
      <c r="MFA21" s="253" t="n"/>
      <c r="MFB21" s="253" t="n"/>
      <c r="MFC21" s="253" t="n"/>
      <c r="MFD21" s="253" t="n"/>
      <c r="MFE21" s="253" t="n"/>
      <c r="MFF21" s="253" t="n"/>
      <c r="MFG21" s="253" t="n"/>
      <c r="MFH21" s="253" t="n"/>
      <c r="MFI21" s="253" t="n"/>
      <c r="MFJ21" s="253" t="n"/>
      <c r="MFK21" s="253" t="n"/>
      <c r="MFL21" s="253" t="n"/>
      <c r="MFM21" s="252" t="n"/>
      <c r="MFN21" s="253" t="n"/>
      <c r="MFO21" s="253" t="n"/>
      <c r="MFP21" s="253" t="n"/>
      <c r="MFQ21" s="253" t="n"/>
      <c r="MFR21" s="253" t="n"/>
      <c r="MFS21" s="253" t="n"/>
      <c r="MFT21" s="253" t="n"/>
      <c r="MFU21" s="253" t="n"/>
      <c r="MFV21" s="253" t="n"/>
      <c r="MFW21" s="253" t="n"/>
      <c r="MFX21" s="253" t="n"/>
      <c r="MFY21" s="253" t="n"/>
      <c r="MFZ21" s="253" t="n"/>
      <c r="MGA21" s="253" t="n"/>
      <c r="MGB21" s="253" t="n"/>
      <c r="MGC21" s="253" t="n"/>
      <c r="MGD21" s="253" t="n"/>
      <c r="MGE21" s="253" t="n"/>
      <c r="MGF21" s="253" t="n"/>
      <c r="MGG21" s="253" t="n"/>
      <c r="MGH21" s="253" t="n"/>
      <c r="MGI21" s="253" t="n"/>
      <c r="MGJ21" s="253" t="n"/>
      <c r="MGK21" s="253" t="n"/>
      <c r="MGL21" s="253" t="n"/>
      <c r="MGM21" s="253" t="n"/>
      <c r="MGN21" s="253" t="n"/>
      <c r="MGO21" s="253" t="n"/>
      <c r="MGP21" s="253" t="n"/>
      <c r="MGQ21" s="253" t="n"/>
      <c r="MGR21" s="253" t="n"/>
      <c r="MGS21" s="253" t="n"/>
      <c r="MGT21" s="253" t="n"/>
      <c r="MGU21" s="253" t="n"/>
      <c r="MGV21" s="253" t="n"/>
      <c r="MGW21" s="253" t="n"/>
      <c r="MGX21" s="253" t="n"/>
      <c r="MGY21" s="253" t="n"/>
      <c r="MGZ21" s="253" t="n"/>
      <c r="MHA21" s="253" t="n"/>
      <c r="MHB21" s="253" t="n"/>
      <c r="MHC21" s="253" t="n"/>
      <c r="MHD21" s="253" t="n"/>
      <c r="MHE21" s="253" t="n"/>
      <c r="MHF21" s="253" t="n"/>
      <c r="MHG21" s="253" t="n"/>
      <c r="MHH21" s="253" t="n"/>
      <c r="MHI21" s="253" t="n"/>
      <c r="MHJ21" s="253" t="n"/>
      <c r="MHK21" s="253" t="n"/>
      <c r="MHL21" s="253" t="n"/>
      <c r="MHM21" s="253" t="n"/>
      <c r="MHN21" s="253" t="n"/>
      <c r="MHO21" s="253" t="n"/>
      <c r="MHP21" s="253" t="n"/>
      <c r="MHQ21" s="253" t="n"/>
      <c r="MHR21" s="253" t="n"/>
      <c r="MHS21" s="253" t="n"/>
      <c r="MHT21" s="253" t="n"/>
      <c r="MHU21" s="253" t="n"/>
      <c r="MHV21" s="253" t="n"/>
      <c r="MHW21" s="253" t="n"/>
      <c r="MHX21" s="253" t="n"/>
      <c r="MHY21" s="253" t="n"/>
      <c r="MHZ21" s="253" t="n"/>
      <c r="MIA21" s="253" t="n"/>
      <c r="MIB21" s="253" t="n"/>
      <c r="MIC21" s="253" t="n"/>
      <c r="MID21" s="253" t="n"/>
      <c r="MIE21" s="253" t="n"/>
      <c r="MIF21" s="253" t="n"/>
      <c r="MIG21" s="253" t="n"/>
      <c r="MIH21" s="253" t="n"/>
      <c r="MII21" s="253" t="n"/>
      <c r="MIJ21" s="253" t="n"/>
      <c r="MIK21" s="253" t="n"/>
      <c r="MIL21" s="253" t="n"/>
      <c r="MIM21" s="253" t="n"/>
      <c r="MIN21" s="253" t="n"/>
      <c r="MIO21" s="253" t="n"/>
      <c r="MIP21" s="253" t="n"/>
      <c r="MIQ21" s="253" t="n"/>
      <c r="MIR21" s="253" t="n"/>
      <c r="MIS21" s="253" t="n"/>
      <c r="MIT21" s="253" t="n"/>
      <c r="MIU21" s="253" t="n"/>
      <c r="MIV21" s="253" t="n"/>
      <c r="MIW21" s="253" t="n"/>
      <c r="MIX21" s="253" t="n"/>
      <c r="MIY21" s="253" t="n"/>
      <c r="MIZ21" s="253" t="n"/>
      <c r="MJA21" s="253" t="n"/>
      <c r="MJB21" s="253" t="n"/>
      <c r="MJC21" s="253" t="n"/>
      <c r="MJD21" s="253" t="n"/>
      <c r="MJE21" s="253" t="n"/>
      <c r="MJF21" s="253" t="n"/>
      <c r="MJG21" s="253" t="n"/>
      <c r="MJH21" s="253" t="n"/>
      <c r="MJI21" s="253" t="n"/>
      <c r="MJJ21" s="253" t="n"/>
      <c r="MJK21" s="253" t="n"/>
      <c r="MJL21" s="253" t="n"/>
      <c r="MJM21" s="253" t="n"/>
      <c r="MJN21" s="253" t="n"/>
      <c r="MJO21" s="253" t="n"/>
      <c r="MJP21" s="253" t="n"/>
      <c r="MJQ21" s="253" t="n"/>
      <c r="MJR21" s="253" t="n"/>
      <c r="MJS21" s="253" t="n"/>
      <c r="MJT21" s="253" t="n"/>
      <c r="MJU21" s="253" t="n"/>
      <c r="MJV21" s="253" t="n"/>
      <c r="MJW21" s="253" t="n"/>
      <c r="MJX21" s="253" t="n"/>
      <c r="MJY21" s="253" t="n"/>
      <c r="MJZ21" s="253" t="n"/>
      <c r="MKA21" s="253" t="n"/>
      <c r="MKB21" s="253" t="n"/>
      <c r="MKC21" s="253" t="n"/>
      <c r="MKD21" s="253" t="n"/>
      <c r="MKE21" s="253" t="n"/>
      <c r="MKF21" s="253" t="n"/>
      <c r="MKG21" s="253" t="n"/>
      <c r="MKH21" s="253" t="n"/>
      <c r="MKI21" s="253" t="n"/>
      <c r="MKJ21" s="253" t="n"/>
      <c r="MKK21" s="253" t="n"/>
      <c r="MKL21" s="253" t="n"/>
      <c r="MKM21" s="253" t="n"/>
      <c r="MKN21" s="253" t="n"/>
      <c r="MKO21" s="253" t="n"/>
      <c r="MKP21" s="253" t="n"/>
      <c r="MKQ21" s="253" t="n"/>
      <c r="MKR21" s="253" t="n"/>
      <c r="MKS21" s="253" t="n"/>
      <c r="MKT21" s="253" t="n"/>
      <c r="MKU21" s="253" t="n"/>
      <c r="MKV21" s="253" t="n"/>
      <c r="MKW21" s="253" t="n"/>
      <c r="MKX21" s="253" t="n"/>
      <c r="MKY21" s="253" t="n"/>
      <c r="MKZ21" s="253" t="n"/>
      <c r="MLA21" s="253" t="n"/>
      <c r="MLB21" s="253" t="n"/>
      <c r="MLC21" s="253" t="n"/>
      <c r="MLD21" s="253" t="n"/>
      <c r="MLE21" s="253" t="n"/>
      <c r="MLF21" s="253" t="n"/>
      <c r="MLG21" s="253" t="n"/>
      <c r="MLH21" s="253" t="n"/>
      <c r="MLI21" s="253" t="n"/>
      <c r="MLJ21" s="253" t="n"/>
      <c r="MLK21" s="253" t="n"/>
      <c r="MLL21" s="253" t="n"/>
      <c r="MLM21" s="253" t="n"/>
      <c r="MLN21" s="253" t="n"/>
      <c r="MLO21" s="253" t="n"/>
      <c r="MLP21" s="253" t="n"/>
      <c r="MLQ21" s="253" t="n"/>
      <c r="MLR21" s="253" t="n"/>
      <c r="MLS21" s="253" t="n"/>
      <c r="MLT21" s="253" t="n"/>
      <c r="MLU21" s="253" t="n"/>
      <c r="MLV21" s="253" t="n"/>
      <c r="MLW21" s="253" t="n"/>
      <c r="MLX21" s="253" t="n"/>
      <c r="MLY21" s="253" t="n"/>
      <c r="MLZ21" s="253" t="n"/>
      <c r="MMA21" s="253" t="n"/>
      <c r="MMB21" s="253" t="n"/>
      <c r="MMC21" s="253" t="n"/>
      <c r="MMD21" s="253" t="n"/>
      <c r="MME21" s="253" t="n"/>
      <c r="MMF21" s="253" t="n"/>
      <c r="MMG21" s="253" t="n"/>
      <c r="MMH21" s="253" t="n"/>
      <c r="MMI21" s="253" t="n"/>
      <c r="MMJ21" s="253" t="n"/>
      <c r="MMK21" s="253" t="n"/>
      <c r="MML21" s="253" t="n"/>
      <c r="MMM21" s="253" t="n"/>
      <c r="MMN21" s="253" t="n"/>
      <c r="MMO21" s="253" t="n"/>
      <c r="MMP21" s="253" t="n"/>
      <c r="MMQ21" s="253" t="n"/>
      <c r="MMR21" s="253" t="n"/>
      <c r="MMS21" s="253" t="n"/>
      <c r="MMT21" s="253" t="n"/>
      <c r="MMU21" s="253" t="n"/>
      <c r="MMV21" s="253" t="n"/>
      <c r="MMW21" s="253" t="n"/>
      <c r="MMX21" s="253" t="n"/>
      <c r="MMY21" s="253" t="n"/>
      <c r="MMZ21" s="253" t="n"/>
      <c r="MNA21" s="253" t="n"/>
      <c r="MNB21" s="253" t="n"/>
      <c r="MNC21" s="253" t="n"/>
      <c r="MND21" s="253" t="n"/>
      <c r="MNE21" s="253" t="n"/>
      <c r="MNF21" s="253" t="n"/>
      <c r="MNG21" s="253" t="n"/>
      <c r="MNH21" s="253" t="n"/>
      <c r="MNI21" s="253" t="n"/>
      <c r="MNJ21" s="253" t="n"/>
      <c r="MNK21" s="253" t="n"/>
      <c r="MNL21" s="253" t="n"/>
      <c r="MNM21" s="253" t="n"/>
      <c r="MNN21" s="253" t="n"/>
      <c r="MNO21" s="253" t="n"/>
      <c r="MNP21" s="253" t="n"/>
      <c r="MNQ21" s="253" t="n"/>
      <c r="MNR21" s="253" t="n"/>
      <c r="MNS21" s="253" t="n"/>
      <c r="MNT21" s="253" t="n"/>
      <c r="MNU21" s="253" t="n"/>
      <c r="MNV21" s="253" t="n"/>
      <c r="MNW21" s="253" t="n"/>
      <c r="MNX21" s="253" t="n"/>
      <c r="MNY21" s="253" t="n"/>
      <c r="MNZ21" s="253" t="n"/>
      <c r="MOA21" s="253" t="n"/>
      <c r="MOB21" s="253" t="n"/>
      <c r="MOC21" s="253" t="n"/>
      <c r="MOD21" s="253" t="n"/>
      <c r="MOE21" s="253" t="n"/>
      <c r="MOF21" s="253" t="n"/>
      <c r="MOG21" s="253" t="n"/>
      <c r="MOH21" s="253" t="n"/>
      <c r="MOI21" s="253" t="n"/>
      <c r="MOJ21" s="253" t="n"/>
      <c r="MOK21" s="253" t="n"/>
      <c r="MOL21" s="253" t="n"/>
      <c r="MOM21" s="253" t="n"/>
      <c r="MON21" s="253" t="n"/>
      <c r="MOO21" s="253" t="n"/>
      <c r="MOP21" s="253" t="n"/>
      <c r="MOQ21" s="253" t="n"/>
      <c r="MOR21" s="253" t="n"/>
      <c r="MOS21" s="253" t="n"/>
      <c r="MOT21" s="253" t="n"/>
      <c r="MOU21" s="253" t="n"/>
      <c r="MOV21" s="253" t="n"/>
      <c r="MOW21" s="253" t="n"/>
      <c r="MOX21" s="253" t="n"/>
      <c r="MOY21" s="253" t="n"/>
      <c r="MOZ21" s="253" t="n"/>
      <c r="MPA21" s="253" t="n"/>
      <c r="MPB21" s="253" t="n"/>
      <c r="MPC21" s="253" t="n"/>
      <c r="MPD21" s="253" t="n"/>
      <c r="MPE21" s="253" t="n"/>
      <c r="MPF21" s="253" t="n"/>
      <c r="MPG21" s="253" t="n"/>
      <c r="MPH21" s="253" t="n"/>
      <c r="MPI21" s="253" t="n"/>
      <c r="MPJ21" s="253" t="n"/>
      <c r="MPK21" s="253" t="n"/>
      <c r="MPL21" s="253" t="n"/>
      <c r="MPM21" s="253" t="n"/>
      <c r="MPN21" s="253" t="n"/>
      <c r="MPO21" s="253" t="n"/>
      <c r="MPP21" s="253" t="n"/>
      <c r="MPQ21" s="253" t="n"/>
      <c r="MPR21" s="253" t="n"/>
      <c r="MPS21" s="253" t="n"/>
      <c r="MPT21" s="253" t="n"/>
      <c r="MPU21" s="253" t="n"/>
      <c r="MPV21" s="253" t="n"/>
      <c r="MPW21" s="253" t="n"/>
      <c r="MPX21" s="253" t="n"/>
      <c r="MPY21" s="253" t="n"/>
      <c r="MPZ21" s="253" t="n"/>
      <c r="MQA21" s="253" t="n"/>
      <c r="MQB21" s="253" t="n"/>
      <c r="MQC21" s="253" t="n"/>
      <c r="MQD21" s="253" t="n"/>
      <c r="MQE21" s="253" t="n"/>
      <c r="MQF21" s="253" t="n"/>
      <c r="MQG21" s="253" t="n"/>
      <c r="MQH21" s="253" t="n"/>
      <c r="MQI21" s="253" t="n"/>
      <c r="MQJ21" s="253" t="n"/>
      <c r="MQK21" s="253" t="n"/>
      <c r="MQL21" s="253" t="n"/>
      <c r="MQM21" s="253" t="n"/>
      <c r="MQN21" s="253" t="n"/>
      <c r="MQO21" s="253" t="n"/>
      <c r="MQP21" s="253" t="n"/>
      <c r="MQQ21" s="253" t="n"/>
      <c r="MQR21" s="253" t="n"/>
      <c r="MQS21" s="253" t="n"/>
      <c r="MQT21" s="253" t="n"/>
      <c r="MQU21" s="253" t="n"/>
      <c r="MQV21" s="253" t="n"/>
      <c r="MQW21" s="253" t="n"/>
      <c r="MQX21" s="253" t="n"/>
      <c r="MQY21" s="253" t="n"/>
      <c r="MQZ21" s="253" t="n"/>
      <c r="MRA21" s="253" t="n"/>
      <c r="MRB21" s="253" t="n"/>
      <c r="MRC21" s="253" t="n"/>
      <c r="MRD21" s="253" t="n"/>
      <c r="MRE21" s="253" t="n"/>
      <c r="MRF21" s="253" t="n"/>
      <c r="MRG21" s="253" t="n"/>
      <c r="MRH21" s="253" t="n"/>
      <c r="MRI21" s="253" t="n"/>
      <c r="MRJ21" s="253" t="n"/>
      <c r="MRK21" s="253" t="n"/>
      <c r="MRL21" s="253" t="n"/>
      <c r="MRM21" s="253" t="n"/>
      <c r="MRN21" s="253" t="n"/>
      <c r="MRO21" s="253" t="n"/>
      <c r="MRP21" s="253" t="n"/>
      <c r="MRQ21" s="253" t="n"/>
      <c r="MRR21" s="253" t="n"/>
      <c r="MRS21" s="253" t="n"/>
      <c r="MRT21" s="253" t="n"/>
      <c r="MRU21" s="253" t="n"/>
      <c r="MRV21" s="253" t="n"/>
      <c r="MRW21" s="253" t="n"/>
      <c r="MRX21" s="253" t="n"/>
      <c r="MRY21" s="253" t="n"/>
      <c r="MRZ21" s="253" t="n"/>
      <c r="MSA21" s="253" t="n"/>
      <c r="MSB21" s="253" t="n"/>
      <c r="MSC21" s="253" t="n"/>
      <c r="MSD21" s="253" t="n"/>
      <c r="MSE21" s="253" t="n"/>
      <c r="MSF21" s="253" t="n"/>
      <c r="MSG21" s="253" t="n"/>
      <c r="MSH21" s="253" t="n"/>
      <c r="MSI21" s="253" t="n"/>
      <c r="MSJ21" s="253" t="n"/>
      <c r="MSK21" s="253" t="n"/>
      <c r="MSL21" s="253" t="n"/>
      <c r="MSM21" s="253" t="n"/>
      <c r="MSN21" s="253" t="n"/>
      <c r="MSO21" s="253" t="n"/>
      <c r="MSP21" s="253" t="n"/>
      <c r="MSQ21" s="253" t="n"/>
      <c r="MSR21" s="253" t="n"/>
      <c r="MSS21" s="253" t="n"/>
      <c r="MST21" s="253" t="n"/>
      <c r="MSU21" s="253" t="n"/>
      <c r="MSV21" s="253" t="n"/>
      <c r="MSW21" s="253" t="n"/>
      <c r="MSX21" s="253" t="n"/>
      <c r="MSY21" s="253" t="n"/>
      <c r="MSZ21" s="253" t="n"/>
      <c r="MTA21" s="253" t="n"/>
      <c r="MTB21" s="253" t="n"/>
      <c r="MTC21" s="253" t="n"/>
      <c r="MTD21" s="253" t="n"/>
      <c r="MTE21" s="253" t="n"/>
      <c r="MTF21" s="253" t="n"/>
      <c r="MTG21" s="253" t="n"/>
      <c r="MTH21" s="253" t="n"/>
      <c r="MTI21" s="253" t="n"/>
      <c r="MTJ21" s="253" t="n"/>
      <c r="MTK21" s="253" t="n"/>
      <c r="MTL21" s="253" t="n"/>
      <c r="MTM21" s="253" t="n"/>
      <c r="MTN21" s="253" t="n"/>
      <c r="MTO21" s="253" t="n"/>
      <c r="MTP21" s="253" t="n"/>
      <c r="MTQ21" s="253" t="n"/>
      <c r="MTR21" s="253" t="n"/>
      <c r="MTS21" s="253" t="n"/>
      <c r="MTT21" s="253" t="n"/>
      <c r="MTU21" s="253" t="n"/>
      <c r="MTV21" s="253" t="n"/>
      <c r="MTW21" s="253" t="n"/>
      <c r="MTX21" s="253" t="n"/>
      <c r="MTY21" s="253" t="n"/>
      <c r="MTZ21" s="253" t="n"/>
      <c r="MUA21" s="253" t="n"/>
      <c r="MUB21" s="253" t="n"/>
      <c r="MUC21" s="253" t="n"/>
      <c r="MUD21" s="253" t="n"/>
      <c r="MUE21" s="253" t="n"/>
      <c r="MUF21" s="253" t="n"/>
      <c r="MUG21" s="253" t="n"/>
      <c r="MUH21" s="253" t="n"/>
      <c r="MUI21" s="253" t="n"/>
      <c r="MUJ21" s="253" t="n"/>
      <c r="MUK21" s="253" t="n"/>
      <c r="MUL21" s="253" t="n"/>
      <c r="MUM21" s="253" t="n"/>
      <c r="MUN21" s="253" t="n"/>
      <c r="MUO21" s="253" t="n"/>
      <c r="MUP21" s="253" t="n"/>
      <c r="MUQ21" s="253" t="n"/>
      <c r="MUR21" s="253" t="n"/>
      <c r="MUS21" s="253" t="n"/>
      <c r="MUT21" s="253" t="n"/>
      <c r="MUU21" s="253" t="n"/>
      <c r="MUV21" s="253" t="n"/>
      <c r="MUW21" s="253" t="n"/>
      <c r="MUX21" s="253" t="n"/>
      <c r="MUY21" s="253" t="n"/>
      <c r="MUZ21" s="253" t="n"/>
      <c r="MVA21" s="253" t="n"/>
      <c r="MVB21" s="253" t="n"/>
      <c r="MVC21" s="253" t="n"/>
      <c r="MVD21" s="253" t="n"/>
      <c r="MVE21" s="253" t="n"/>
      <c r="MVF21" s="253" t="n"/>
      <c r="MVG21" s="253" t="n"/>
      <c r="MVH21" s="253" t="n"/>
      <c r="MVI21" s="253" t="n"/>
      <c r="MVJ21" s="253" t="n"/>
      <c r="MVK21" s="253" t="n"/>
      <c r="MVL21" s="253" t="n"/>
      <c r="MVM21" s="253" t="n"/>
      <c r="MVN21" s="253" t="n"/>
      <c r="MVO21" s="253" t="n"/>
      <c r="MVP21" s="253" t="n"/>
      <c r="MVQ21" s="253" t="n"/>
      <c r="MVR21" s="253" t="n"/>
      <c r="MVS21" s="253" t="n"/>
      <c r="MVT21" s="253" t="n"/>
      <c r="MVU21" s="253" t="n"/>
      <c r="MVV21" s="253" t="n"/>
      <c r="MVW21" s="253" t="n"/>
      <c r="MVX21" s="253" t="n"/>
      <c r="MVY21" s="253" t="n"/>
      <c r="MVZ21" s="253" t="n"/>
      <c r="MWA21" s="253" t="n"/>
      <c r="MWB21" s="253" t="n"/>
      <c r="MWC21" s="253" t="n"/>
      <c r="MWD21" s="253" t="n"/>
      <c r="MWE21" s="253" t="n"/>
      <c r="MWF21" s="253" t="n"/>
      <c r="MWG21" s="253" t="n"/>
      <c r="MWH21" s="253" t="n"/>
      <c r="MWI21" s="253" t="n"/>
      <c r="MWJ21" s="253" t="n"/>
      <c r="MWK21" s="253" t="n"/>
      <c r="MWL21" s="253" t="n"/>
      <c r="MWM21" s="253" t="n"/>
      <c r="MWN21" s="253" t="n"/>
      <c r="MWO21" s="253" t="n"/>
      <c r="MWP21" s="253" t="n"/>
      <c r="MWQ21" s="253" t="n"/>
      <c r="MWR21" s="253" t="n"/>
      <c r="MWS21" s="253" t="n"/>
      <c r="MWT21" s="253" t="n"/>
      <c r="MWU21" s="253" t="n"/>
      <c r="MWV21" s="253" t="n"/>
      <c r="MWW21" s="253" t="n"/>
      <c r="MWX21" s="253" t="n"/>
      <c r="MWY21" s="253" t="n"/>
      <c r="MWZ21" s="253" t="n"/>
      <c r="MXA21" s="253" t="n"/>
      <c r="MXB21" s="253" t="n"/>
      <c r="MXC21" s="253" t="n"/>
      <c r="MXD21" s="253" t="n"/>
      <c r="MXE21" s="253" t="n"/>
      <c r="MXF21" s="253" t="n"/>
      <c r="MXG21" s="253" t="n"/>
      <c r="MXH21" s="253" t="n"/>
      <c r="MXI21" s="253" t="n"/>
      <c r="MXJ21" s="253" t="n"/>
      <c r="MXK21" s="253" t="n"/>
      <c r="MXL21" s="253" t="n"/>
      <c r="MXM21" s="253" t="n"/>
      <c r="MXN21" s="253" t="n"/>
      <c r="MXO21" s="253" t="n"/>
      <c r="MXP21" s="253" t="n"/>
      <c r="MXQ21" s="253" t="n"/>
      <c r="MXR21" s="253" t="n"/>
      <c r="MXS21" s="253" t="n"/>
      <c r="MXT21" s="253" t="n"/>
      <c r="MXU21" s="253" t="n"/>
      <c r="MXV21" s="253" t="n"/>
      <c r="MXW21" s="253" t="n"/>
      <c r="MXX21" s="253" t="n"/>
      <c r="MXY21" s="253" t="n"/>
      <c r="MXZ21" s="253" t="n"/>
      <c r="MYA21" s="253" t="n"/>
      <c r="MYB21" s="253" t="n"/>
      <c r="MYC21" s="253" t="n"/>
      <c r="MYD21" s="253" t="n"/>
      <c r="MYE21" s="253" t="n"/>
      <c r="MYF21" s="253" t="n"/>
      <c r="MYG21" s="253" t="n"/>
      <c r="MYH21" s="253" t="n"/>
      <c r="MYI21" s="253" t="n"/>
      <c r="MYJ21" s="253" t="n"/>
      <c r="MYK21" s="253" t="n"/>
      <c r="MYL21" s="253" t="n"/>
      <c r="MYM21" s="253" t="n"/>
      <c r="MYN21" s="253" t="n"/>
      <c r="MYO21" s="253" t="n"/>
      <c r="MYP21" s="253" t="n"/>
      <c r="MYQ21" s="253" t="n"/>
      <c r="MYR21" s="253" t="n"/>
      <c r="MYS21" s="253" t="n"/>
      <c r="MYT21" s="253" t="n"/>
      <c r="MYU21" s="253" t="n"/>
      <c r="MYV21" s="253" t="n"/>
      <c r="MYW21" s="253" t="n"/>
      <c r="MYX21" s="253" t="n"/>
      <c r="MYY21" s="253" t="n"/>
      <c r="MYZ21" s="253" t="n"/>
      <c r="MZA21" s="253" t="n"/>
      <c r="MZB21" s="253" t="n"/>
      <c r="MZC21" s="253" t="n"/>
      <c r="MZD21" s="253" t="n"/>
      <c r="MZE21" s="253" t="n"/>
      <c r="MZF21" s="253" t="n"/>
      <c r="MZG21" s="253" t="n"/>
      <c r="MZH21" s="253" t="n"/>
      <c r="MZI21" s="253" t="n"/>
      <c r="MZJ21" s="253" t="n"/>
      <c r="MZK21" s="253" t="n"/>
      <c r="MZL21" s="253" t="n"/>
      <c r="MZM21" s="253" t="n"/>
      <c r="MZN21" s="253" t="n"/>
      <c r="MZO21" s="253" t="n"/>
      <c r="MZP21" s="253" t="n"/>
      <c r="MZQ21" s="253" t="n"/>
      <c r="MZR21" s="253" t="n"/>
      <c r="MZS21" s="253" t="n"/>
      <c r="MZT21" s="253" t="n"/>
      <c r="MZU21" s="253" t="n"/>
      <c r="MZV21" s="253" t="n"/>
      <c r="MZW21" s="253" t="n"/>
      <c r="MZX21" s="253" t="n"/>
      <c r="MZY21" s="253" t="n"/>
      <c r="MZZ21" s="253" t="n"/>
      <c r="NAA21" s="253" t="n"/>
      <c r="NAB21" s="253" t="n"/>
      <c r="NAC21" s="253" t="n"/>
      <c r="NAD21" s="253" t="n"/>
      <c r="NAE21" s="253" t="n"/>
      <c r="NAF21" s="253" t="n"/>
      <c r="NAG21" s="253" t="n"/>
      <c r="NAH21" s="253" t="n"/>
      <c r="NAI21" s="253" t="n"/>
      <c r="NAJ21" s="253" t="n"/>
      <c r="NAK21" s="253" t="n"/>
      <c r="NAL21" s="253" t="n"/>
      <c r="NAM21" s="253" t="n"/>
      <c r="NAN21" s="253" t="n"/>
      <c r="NAO21" s="253" t="n"/>
      <c r="NAP21" s="253" t="n"/>
      <c r="NAQ21" s="253" t="n"/>
      <c r="NAR21" s="253" t="n"/>
      <c r="NAS21" s="253" t="n"/>
      <c r="NAT21" s="253" t="n"/>
      <c r="NAU21" s="253" t="n"/>
      <c r="NAV21" s="253" t="n"/>
      <c r="NAW21" s="253" t="n"/>
      <c r="NAX21" s="253" t="n"/>
      <c r="NAY21" s="253" t="n"/>
      <c r="NAZ21" s="253" t="n"/>
      <c r="NBA21" s="253" t="n"/>
      <c r="NBB21" s="253" t="n"/>
      <c r="NBC21" s="253" t="n"/>
      <c r="NBD21" s="253" t="n"/>
      <c r="NBE21" s="253" t="n"/>
      <c r="NBF21" s="253" t="n"/>
      <c r="NBG21" s="253" t="n"/>
      <c r="NBH21" s="253" t="n"/>
      <c r="NBI21" s="253" t="n"/>
      <c r="NBJ21" s="253" t="n"/>
      <c r="NBK21" s="253" t="n"/>
      <c r="NBL21" s="253" t="n"/>
      <c r="NBM21" s="253" t="n"/>
      <c r="NBN21" s="253" t="n"/>
      <c r="NBO21" s="253" t="n"/>
      <c r="NBP21" s="253" t="n"/>
      <c r="NBQ21" s="253" t="n"/>
      <c r="NBR21" s="253" t="n"/>
      <c r="NBS21" s="253" t="n"/>
      <c r="NBT21" s="253" t="n"/>
      <c r="NBU21" s="253" t="n"/>
      <c r="NBV21" s="253" t="n"/>
      <c r="NBW21" s="253" t="n"/>
      <c r="NBX21" s="253" t="n"/>
      <c r="NBY21" s="253" t="n"/>
      <c r="NBZ21" s="253" t="n"/>
      <c r="NCA21" s="253" t="n"/>
      <c r="NCB21" s="253" t="n"/>
      <c r="NCC21" s="253" t="n"/>
      <c r="NCD21" s="253" t="n"/>
      <c r="NCE21" s="253" t="n"/>
      <c r="NCF21" s="253" t="n"/>
      <c r="NCG21" s="253" t="n"/>
      <c r="NCH21" s="253" t="n"/>
      <c r="NCI21" s="253" t="n"/>
      <c r="NCJ21" s="253" t="n"/>
      <c r="NCK21" s="253" t="n"/>
      <c r="NCL21" s="253" t="n"/>
      <c r="NCM21" s="253" t="n"/>
      <c r="NCN21" s="253" t="n"/>
      <c r="NCO21" s="253" t="n"/>
      <c r="NCP21" s="253" t="n"/>
      <c r="NCQ21" s="253" t="n"/>
      <c r="NCR21" s="253" t="n"/>
      <c r="NCS21" s="253" t="n"/>
      <c r="NCT21" s="253" t="n"/>
      <c r="NCU21" s="253" t="n"/>
      <c r="NCV21" s="253" t="n"/>
      <c r="NCW21" s="253" t="n"/>
      <c r="NCX21" s="253" t="n"/>
      <c r="NCY21" s="253" t="n"/>
      <c r="NCZ21" s="253" t="n"/>
      <c r="NDA21" s="253" t="n"/>
      <c r="NDB21" s="253" t="n"/>
      <c r="NDC21" s="253" t="n"/>
      <c r="NDD21" s="253" t="n"/>
      <c r="NDE21" s="253" t="n"/>
      <c r="NDF21" s="253" t="n"/>
      <c r="NDG21" s="253" t="n"/>
      <c r="NDH21" s="253" t="n"/>
      <c r="NDI21" s="253" t="n"/>
      <c r="NDJ21" s="253" t="n"/>
      <c r="NDK21" s="253" t="n"/>
      <c r="NDL21" s="253" t="n"/>
      <c r="NDM21" s="253" t="n"/>
      <c r="NDN21" s="253" t="n"/>
      <c r="NDO21" s="253" t="n"/>
      <c r="NDP21" s="253" t="n"/>
      <c r="NDQ21" s="253" t="n"/>
      <c r="NDR21" s="253" t="n"/>
      <c r="NDS21" s="253" t="n"/>
      <c r="NDT21" s="253" t="n"/>
      <c r="NDU21" s="253" t="n"/>
      <c r="NDV21" s="253" t="n"/>
      <c r="NDW21" s="253" t="n"/>
      <c r="NDX21" s="253" t="n"/>
      <c r="NDY21" s="253" t="n"/>
      <c r="NDZ21" s="253" t="n"/>
      <c r="NEA21" s="253" t="n"/>
      <c r="NEB21" s="253" t="n"/>
      <c r="NEC21" s="253" t="n"/>
      <c r="NED21" s="253" t="n"/>
      <c r="NEE21" s="253" t="n"/>
      <c r="NEF21" s="253" t="n"/>
      <c r="NEG21" s="253" t="n"/>
      <c r="NEH21" s="253" t="n"/>
      <c r="NEI21" s="253" t="n"/>
      <c r="NEJ21" s="253" t="n"/>
      <c r="NEK21" s="253" t="n"/>
      <c r="NEL21" s="253" t="n"/>
      <c r="NEM21" s="253" t="n"/>
      <c r="NEN21" s="253" t="n"/>
      <c r="NEO21" s="253" t="n"/>
      <c r="NEP21" s="253" t="n"/>
      <c r="NEQ21" s="253" t="n"/>
      <c r="NER21" s="253" t="n"/>
      <c r="NES21" s="253" t="n"/>
      <c r="NET21" s="253" t="n"/>
      <c r="NEU21" s="253" t="n"/>
      <c r="NEV21" s="253" t="n"/>
      <c r="NEW21" s="253" t="n"/>
      <c r="NEX21" s="253" t="n"/>
      <c r="NEY21" s="253" t="n"/>
      <c r="NEZ21" s="253" t="n"/>
      <c r="NFA21" s="253" t="n"/>
      <c r="NFB21" s="253" t="n"/>
      <c r="NFC21" s="253" t="n"/>
      <c r="NFD21" s="253" t="n"/>
      <c r="NFE21" s="253" t="n"/>
      <c r="NFF21" s="253" t="n"/>
      <c r="NFG21" s="253" t="n"/>
      <c r="NFH21" s="253" t="n"/>
      <c r="NFI21" s="253" t="n"/>
      <c r="NFJ21" s="253" t="n"/>
      <c r="NFK21" s="253" t="n"/>
      <c r="NFL21" s="253" t="n"/>
      <c r="NFM21" s="253" t="n"/>
      <c r="NFN21" s="253" t="n"/>
      <c r="NFO21" s="87" t="n"/>
    </row>
    <row r="22">
      <c r="KFK22" s="253" t="n"/>
      <c r="KFL22" s="253" t="n"/>
      <c r="KFM22" s="253" t="n"/>
      <c r="KFN22" s="253" t="n"/>
      <c r="KFO22" s="253" t="n"/>
      <c r="KFP22" s="253" t="n"/>
      <c r="KFQ22" s="253" t="n"/>
      <c r="KFR22" s="253" t="n"/>
      <c r="KFS22" s="253" t="n"/>
      <c r="KFT22" s="253" t="n"/>
      <c r="KFU22" s="253" t="n"/>
      <c r="KFV22" s="253" t="n"/>
      <c r="KFW22" s="253" t="n"/>
      <c r="KFX22" s="253" t="n"/>
      <c r="KFY22" s="253" t="n"/>
      <c r="KFZ22" s="253" t="n"/>
      <c r="KGA22" s="253" t="n"/>
      <c r="KGB22" s="253" t="n"/>
      <c r="KGC22" s="253" t="n"/>
      <c r="KGD22" s="253" t="n"/>
      <c r="KGE22" s="253" t="n"/>
      <c r="KGF22" s="253" t="n"/>
      <c r="KGG22" s="253" t="n"/>
      <c r="KGH22" s="253" t="n"/>
      <c r="KGI22" s="253" t="n"/>
      <c r="KGJ22" s="253" t="n"/>
      <c r="KGK22" s="253" t="n"/>
      <c r="KGL22" s="253" t="n"/>
      <c r="KGM22" s="253" t="n"/>
      <c r="KGN22" s="253" t="n"/>
      <c r="KGO22" s="253" t="n"/>
      <c r="KGP22" s="253" t="n"/>
      <c r="KGQ22" s="253" t="n"/>
      <c r="KGR22" s="253" t="n"/>
      <c r="KGS22" s="253" t="n"/>
      <c r="KGT22" s="253" t="n"/>
      <c r="KGU22" s="253" t="n"/>
      <c r="KGV22" s="253" t="n"/>
      <c r="KGW22" s="253" t="n"/>
      <c r="KGX22" s="253" t="n"/>
      <c r="KGY22" s="253" t="n"/>
      <c r="KGZ22" s="253" t="n"/>
      <c r="KHA22" s="253" t="n"/>
      <c r="KHB22" s="253" t="n"/>
      <c r="KHC22" s="253" t="n"/>
      <c r="KHD22" s="253" t="n"/>
      <c r="KHE22" s="253" t="n"/>
      <c r="KHF22" s="253" t="n"/>
      <c r="KHG22" s="253" t="n"/>
      <c r="KHH22" s="253" t="n"/>
      <c r="KHI22" s="253" t="n"/>
      <c r="KHJ22" s="253" t="n"/>
      <c r="KHK22" s="253" t="n"/>
      <c r="KHL22" s="253" t="n"/>
      <c r="KHM22" s="253" t="n"/>
      <c r="KHN22" s="253" t="n"/>
      <c r="KHO22" s="253" t="n"/>
      <c r="KHP22" s="253" t="n"/>
      <c r="KHQ22" s="253" t="n"/>
      <c r="KHR22" s="253" t="n"/>
      <c r="KHS22" s="253" t="n"/>
      <c r="KHT22" s="253" t="n"/>
      <c r="KHU22" s="253" t="n"/>
      <c r="KHV22" s="253" t="n"/>
      <c r="KHW22" s="253" t="n"/>
      <c r="KHX22" s="253" t="n"/>
      <c r="KHY22" s="253" t="n"/>
      <c r="KHZ22" s="253" t="n"/>
      <c r="KIA22" s="253" t="n"/>
      <c r="KIB22" s="253" t="n"/>
      <c r="KIC22" s="253" t="n"/>
      <c r="KID22" s="253" t="n"/>
      <c r="KIE22" s="253" t="n"/>
      <c r="KIF22" s="253" t="n"/>
      <c r="KIG22" s="253" t="n"/>
      <c r="KIH22" s="253" t="n"/>
      <c r="KII22" s="253" t="n"/>
      <c r="KIJ22" s="253" t="n"/>
      <c r="KIK22" s="253" t="n"/>
      <c r="KIL22" s="253" t="n"/>
      <c r="KIM22" s="253" t="n"/>
      <c r="KIN22" s="253" t="n"/>
      <c r="KIO22" s="253" t="n"/>
      <c r="KIP22" s="253" t="n"/>
      <c r="KIQ22" s="253" t="n"/>
      <c r="KIR22" s="253" t="n"/>
      <c r="KIS22" s="253" t="n"/>
      <c r="KIT22" s="253" t="n"/>
      <c r="KIU22" s="253" t="n"/>
      <c r="KIV22" s="253" t="n"/>
      <c r="KIW22" s="253" t="n"/>
      <c r="KIX22" s="253" t="n"/>
      <c r="KIY22" s="253" t="n"/>
      <c r="KIZ22" s="253" t="n"/>
      <c r="KJA22" s="253" t="n"/>
      <c r="KJB22" s="253" t="n"/>
      <c r="KJC22" s="253" t="n"/>
      <c r="KJD22" s="253" t="n"/>
      <c r="KJE22" s="253" t="n"/>
      <c r="KJF22" s="253" t="n"/>
      <c r="KJG22" s="253" t="n"/>
      <c r="KJH22" s="253" t="n"/>
      <c r="KJI22" s="253" t="n"/>
      <c r="KJJ22" s="253" t="n"/>
      <c r="KJK22" s="253" t="n"/>
      <c r="KJL22" s="253" t="n"/>
      <c r="KJM22" s="253" t="n"/>
      <c r="KJN22" s="253" t="n"/>
      <c r="KJO22" s="253" t="n"/>
      <c r="KJP22" s="253" t="n"/>
      <c r="KJQ22" s="253" t="n"/>
      <c r="KJR22" s="253" t="n"/>
      <c r="KJS22" s="253" t="n"/>
      <c r="KJT22" s="253" t="n"/>
      <c r="KJU22" s="253" t="n"/>
      <c r="KJV22" s="253" t="n"/>
      <c r="KJW22" s="253" t="n"/>
      <c r="KJX22" s="253" t="n"/>
      <c r="KJY22" s="253" t="n"/>
      <c r="KJZ22" s="253" t="n"/>
      <c r="KKA22" s="253" t="n"/>
      <c r="KKB22" s="253" t="n"/>
      <c r="KKC22" s="253" t="n"/>
      <c r="KKD22" s="253" t="n"/>
      <c r="KKE22" s="253" t="n"/>
      <c r="KKF22" s="253" t="n"/>
      <c r="KKG22" s="253" t="n"/>
      <c r="KKH22" s="253" t="n"/>
      <c r="KKI22" s="253" t="n"/>
      <c r="KKJ22" s="253" t="n"/>
      <c r="KKK22" s="253" t="n"/>
      <c r="KKL22" s="253" t="n"/>
      <c r="KKM22" s="253" t="n"/>
      <c r="KKN22" s="253" t="n"/>
      <c r="KKO22" s="253" t="n"/>
      <c r="KKP22" s="253" t="n"/>
      <c r="KKQ22" s="253" t="n"/>
      <c r="KKR22" s="253" t="n"/>
      <c r="KKS22" s="253" t="n"/>
      <c r="KKT22" s="253" t="n"/>
      <c r="KKU22" s="253" t="n"/>
      <c r="KKV22" s="253" t="n"/>
      <c r="KKW22" s="253" t="n"/>
      <c r="KKX22" s="253" t="n"/>
      <c r="KKY22" s="253" t="n"/>
      <c r="KKZ22" s="253" t="n"/>
      <c r="KLA22" s="253" t="n"/>
      <c r="KLB22" s="253" t="n"/>
      <c r="KLC22" s="253" t="n"/>
      <c r="KLD22" s="253" t="n"/>
      <c r="KLE22" s="253" t="n"/>
      <c r="KLF22" s="253" t="n"/>
      <c r="KLG22" s="253" t="n"/>
      <c r="KLH22" s="253" t="n"/>
      <c r="KLI22" s="253" t="n"/>
      <c r="KLJ22" s="253" t="n"/>
      <c r="KLK22" s="253" t="n"/>
      <c r="KLL22" s="253" t="n"/>
      <c r="KLM22" s="253" t="n"/>
      <c r="KLN22" s="253" t="n"/>
      <c r="KLO22" s="253" t="n"/>
      <c r="KLP22" s="253" t="n"/>
      <c r="KLQ22" s="253" t="n"/>
      <c r="KLR22" s="253" t="n"/>
      <c r="KLS22" s="253" t="n"/>
      <c r="KLT22" s="253" t="n"/>
      <c r="KLU22" s="253" t="n"/>
      <c r="KLV22" s="253" t="n"/>
      <c r="KLW22" s="253" t="n"/>
      <c r="KLX22" s="253" t="n"/>
      <c r="KLY22" s="253" t="n"/>
      <c r="KLZ22" s="253" t="n"/>
      <c r="KMA22" s="253" t="n"/>
      <c r="KMB22" s="253" t="n"/>
      <c r="KMC22" s="253" t="n"/>
      <c r="KMD22" s="253" t="n"/>
      <c r="KME22" s="253" t="n"/>
      <c r="KMF22" s="253" t="n"/>
      <c r="KMG22" s="253" t="n"/>
      <c r="KMH22" s="253" t="n"/>
      <c r="KMI22" s="253" t="n"/>
      <c r="KMJ22" s="253" t="n"/>
      <c r="KMK22" s="253" t="n"/>
      <c r="KML22" s="253" t="n"/>
      <c r="KMM22" s="253" t="n"/>
      <c r="KMN22" s="253" t="n"/>
      <c r="KMO22" s="253" t="n"/>
      <c r="KMP22" s="253" t="n"/>
      <c r="KMQ22" s="253" t="n"/>
      <c r="KMR22" s="253" t="n"/>
      <c r="KMS22" s="253" t="n"/>
      <c r="KMT22" s="253" t="n"/>
      <c r="KMU22" s="253" t="n"/>
      <c r="KMV22" s="253" t="n"/>
      <c r="KMW22" s="253" t="n"/>
      <c r="KMX22" s="253" t="n"/>
      <c r="KMY22" s="253" t="n"/>
      <c r="KMZ22" s="253" t="n"/>
      <c r="KNA22" s="253" t="n"/>
      <c r="KNB22" s="253" t="n"/>
      <c r="KNC22" s="253" t="n"/>
      <c r="KND22" s="253" t="n"/>
      <c r="KNE22" s="253" t="n"/>
      <c r="KNF22" s="253" t="n"/>
      <c r="KNG22" s="253" t="n"/>
      <c r="KNH22" s="253" t="n"/>
      <c r="KNI22" s="253" t="n"/>
      <c r="KNJ22" s="253" t="n"/>
      <c r="KNK22" s="253" t="n"/>
      <c r="KNL22" s="253" t="n"/>
      <c r="KNM22" s="253" t="n"/>
      <c r="KNN22" s="253" t="n"/>
      <c r="KNO22" s="253" t="n"/>
      <c r="KNP22" s="253" t="n"/>
      <c r="KNQ22" s="253" t="n"/>
      <c r="KNR22" s="253" t="n"/>
      <c r="KNS22" s="253" t="n"/>
      <c r="KNT22" s="253" t="n"/>
      <c r="KNU22" s="253" t="n"/>
      <c r="KNV22" s="253" t="n"/>
      <c r="KNW22" s="253" t="n"/>
      <c r="KNX22" s="253" t="n"/>
      <c r="KNY22" s="253" t="n"/>
      <c r="KNZ22" s="253" t="n"/>
      <c r="KOA22" s="253" t="n"/>
      <c r="KOB22" s="253" t="n"/>
      <c r="KOC22" s="253" t="n"/>
      <c r="KOD22" s="253" t="n"/>
      <c r="KOE22" s="253" t="n"/>
      <c r="KOF22" s="253" t="n"/>
      <c r="KOG22" s="253" t="n"/>
      <c r="KOH22" s="253" t="n"/>
      <c r="KOI22" s="253" t="n"/>
      <c r="KOJ22" s="253" t="n"/>
      <c r="KOK22" s="253" t="n"/>
      <c r="KOL22" s="253" t="n"/>
      <c r="KOM22" s="253" t="n"/>
      <c r="KON22" s="253" t="n"/>
      <c r="KOO22" s="253" t="n"/>
      <c r="KOP22" s="253" t="n"/>
      <c r="KOQ22" s="253" t="n"/>
      <c r="KOR22" s="253" t="n"/>
      <c r="KOS22" s="253" t="n"/>
      <c r="KOT22" s="253" t="n"/>
      <c r="KOU22" s="253" t="n"/>
      <c r="KOV22" s="253" t="n"/>
      <c r="KOW22" s="253" t="n"/>
      <c r="KOX22" s="253" t="n"/>
      <c r="KOY22" s="253" t="n"/>
      <c r="KOZ22" s="253" t="n"/>
      <c r="KPA22" s="253" t="n"/>
      <c r="KPB22" s="253" t="n"/>
      <c r="KPC22" s="253" t="n"/>
      <c r="KPD22" s="253" t="n"/>
      <c r="KPE22" s="253" t="n"/>
      <c r="KPF22" s="253" t="n"/>
      <c r="KPG22" s="253" t="n"/>
      <c r="KPH22" s="253" t="n"/>
      <c r="KPI22" s="253" t="n"/>
      <c r="KPJ22" s="253" t="n"/>
      <c r="KPK22" s="253" t="n"/>
      <c r="KPL22" s="253" t="n"/>
      <c r="KPM22" s="253" t="n"/>
      <c r="KPN22" s="253" t="n"/>
      <c r="KPO22" s="253" t="n"/>
      <c r="KPP22" s="253" t="n"/>
      <c r="KPQ22" s="253" t="n"/>
      <c r="KPR22" s="253" t="n"/>
      <c r="KPS22" s="253" t="n"/>
      <c r="KPT22" s="253" t="n"/>
      <c r="KPU22" s="253" t="n"/>
      <c r="KPV22" s="253" t="n"/>
      <c r="KPW22" s="253" t="n"/>
      <c r="KPX22" s="253" t="n"/>
      <c r="KPY22" s="253" t="n"/>
      <c r="KPZ22" s="253" t="n"/>
      <c r="KQA22" s="253" t="n"/>
      <c r="KQB22" s="253" t="n"/>
      <c r="KQC22" s="253" t="n"/>
      <c r="KQD22" s="253" t="n"/>
      <c r="KQE22" s="253" t="n"/>
      <c r="KQF22" s="253" t="n"/>
      <c r="KQG22" s="253" t="n"/>
      <c r="KQH22" s="253" t="n"/>
      <c r="KQI22" s="253" t="n"/>
      <c r="KQJ22" s="253" t="n"/>
      <c r="KQK22" s="253" t="n"/>
      <c r="KQL22" s="253" t="n"/>
      <c r="KQM22" s="253" t="n"/>
      <c r="KQN22" s="253" t="n"/>
      <c r="KQO22" s="253" t="n"/>
      <c r="KQP22" s="253" t="n"/>
      <c r="KQQ22" s="253" t="n"/>
      <c r="KQR22" s="253" t="n"/>
      <c r="KQS22" s="253" t="n"/>
      <c r="KQT22" s="253" t="n"/>
      <c r="KQU22" s="253" t="n"/>
      <c r="KQV22" s="253" t="n"/>
      <c r="KQW22" s="253" t="n"/>
      <c r="KQX22" s="253" t="n"/>
      <c r="KQY22" s="253" t="n"/>
      <c r="KQZ22" s="253" t="n"/>
      <c r="KRA22" s="253" t="n"/>
      <c r="KRB22" s="253" t="n"/>
      <c r="KRC22" s="253" t="n"/>
      <c r="KRD22" s="253" t="n"/>
      <c r="KRE22" s="253" t="n"/>
      <c r="KRF22" s="253" t="n"/>
      <c r="KRG22" s="253" t="n"/>
      <c r="KRH22" s="253" t="n"/>
      <c r="KRI22" s="253" t="n"/>
      <c r="KRJ22" s="253" t="n"/>
      <c r="KRK22" s="253" t="n"/>
      <c r="KRL22" s="253" t="n"/>
      <c r="KRM22" s="253" t="n"/>
      <c r="KRN22" s="253" t="n"/>
      <c r="KRO22" s="253" t="n"/>
      <c r="KRP22" s="253" t="n"/>
      <c r="KRQ22" s="253" t="n"/>
      <c r="KRR22" s="253" t="n"/>
      <c r="KRS22" s="253" t="n"/>
      <c r="KRT22" s="253" t="n"/>
      <c r="KRU22" s="253" t="n"/>
      <c r="KRV22" s="253" t="n"/>
      <c r="KRW22" s="253" t="n"/>
      <c r="KRX22" s="253" t="n"/>
      <c r="KRY22" s="253" t="n"/>
      <c r="KRZ22" s="253" t="n"/>
      <c r="KSA22" s="253" t="n"/>
      <c r="KSB22" s="253" t="n"/>
      <c r="KSC22" s="253" t="n"/>
      <c r="KSD22" s="253" t="n"/>
      <c r="KSE22" s="253" t="n"/>
      <c r="KSF22" s="253" t="n"/>
      <c r="KSG22" s="253" t="n"/>
      <c r="KSH22" s="253" t="n"/>
      <c r="KSI22" s="253" t="n"/>
      <c r="KSJ22" s="253" t="n"/>
      <c r="KSK22" s="253" t="n"/>
      <c r="KSL22" s="253" t="n"/>
      <c r="KSM22" s="253" t="n"/>
      <c r="KSN22" s="253" t="n"/>
      <c r="KSO22" s="253" t="n"/>
      <c r="KSP22" s="253" t="n"/>
      <c r="KSQ22" s="253" t="n"/>
      <c r="KSR22" s="253" t="n"/>
      <c r="KSS22" s="253" t="n"/>
      <c r="KST22" s="253" t="n"/>
      <c r="KSU22" s="253" t="n"/>
      <c r="KSV22" s="253" t="n"/>
      <c r="KSW22" s="253" t="n"/>
      <c r="KSX22" s="253" t="n"/>
      <c r="KSY22" s="253" t="n"/>
      <c r="KSZ22" s="253" t="n"/>
      <c r="KTA22" s="253" t="n"/>
      <c r="KTB22" s="253" t="n"/>
      <c r="KTC22" s="253" t="n"/>
      <c r="KTD22" s="253" t="n"/>
      <c r="KTE22" s="253" t="n"/>
      <c r="KTF22" s="253" t="n"/>
      <c r="KTG22" s="253" t="n"/>
      <c r="KTH22" s="253" t="n"/>
      <c r="KTI22" s="253" t="n"/>
      <c r="KTJ22" s="253" t="n"/>
      <c r="KTK22" s="253" t="n"/>
      <c r="KTL22" s="253" t="n"/>
      <c r="KTM22" s="253" t="n"/>
      <c r="KTN22" s="253" t="n"/>
      <c r="KTO22" s="253" t="n"/>
      <c r="KTP22" s="253" t="n"/>
      <c r="KTQ22" s="253" t="n"/>
      <c r="KTR22" s="253" t="n"/>
      <c r="KTS22" s="253" t="n"/>
      <c r="KTT22" s="253" t="n"/>
      <c r="KTU22" s="253" t="n"/>
      <c r="KTV22" s="253" t="n"/>
      <c r="KTW22" s="253" t="n"/>
      <c r="KTX22" s="253" t="n"/>
      <c r="KTY22" s="253" t="n"/>
      <c r="KTZ22" s="253" t="n"/>
      <c r="KUA22" s="253" t="n"/>
      <c r="KUB22" s="253" t="n"/>
      <c r="KUC22" s="253" t="n"/>
      <c r="KUD22" s="253" t="n"/>
      <c r="KUE22" s="253" t="n"/>
      <c r="KUF22" s="253" t="n"/>
      <c r="KUG22" s="253" t="n"/>
      <c r="KUH22" s="253" t="n"/>
      <c r="KUI22" s="253" t="n"/>
      <c r="KUJ22" s="253" t="n"/>
      <c r="KUK22" s="253" t="n"/>
      <c r="KUL22" s="253" t="n"/>
      <c r="KUM22" s="253" t="n"/>
      <c r="KUN22" s="253" t="n"/>
      <c r="KUO22" s="253" t="n"/>
      <c r="KUP22" s="253" t="n"/>
      <c r="KUQ22" s="253" t="n"/>
      <c r="KUR22" s="253" t="n"/>
      <c r="KUS22" s="253" t="n"/>
      <c r="KUT22" s="253" t="n"/>
      <c r="KUU22" s="253" t="n"/>
      <c r="KUV22" s="253" t="n"/>
      <c r="KUW22" s="253" t="n"/>
      <c r="KUX22" s="253" t="n"/>
      <c r="KUY22" s="253" t="n"/>
      <c r="KUZ22" s="253" t="n"/>
      <c r="KVA22" s="253" t="n"/>
      <c r="KVB22" s="253" t="n"/>
      <c r="KVC22" s="253" t="n"/>
      <c r="KVD22" s="253" t="n"/>
      <c r="KVE22" s="253" t="n"/>
      <c r="KVF22" s="253" t="n"/>
      <c r="KVG22" s="253" t="n"/>
      <c r="KVH22" s="253" t="n"/>
      <c r="KVI22" s="253" t="n"/>
      <c r="KVJ22" s="253" t="n"/>
      <c r="KVK22" s="253" t="n"/>
      <c r="KVL22" s="253" t="n"/>
      <c r="KVM22" s="253" t="n"/>
      <c r="KVN22" s="253" t="n"/>
      <c r="KVO22" s="253" t="n"/>
      <c r="KVP22" s="253" t="n"/>
      <c r="KVQ22" s="253" t="n"/>
      <c r="KVR22" s="253" t="n"/>
      <c r="KVS22" s="253" t="n"/>
      <c r="KVT22" s="253" t="n"/>
      <c r="KVU22" s="253" t="n"/>
      <c r="KVV22" s="253" t="n"/>
      <c r="KVW22" s="253" t="n"/>
      <c r="KVX22" s="253" t="n"/>
      <c r="KVY22" s="253" t="n"/>
      <c r="KVZ22" s="253" t="n"/>
      <c r="KWA22" s="253" t="n"/>
      <c r="KWB22" s="253" t="n"/>
      <c r="KWC22" s="253" t="n"/>
      <c r="KWD22" s="253" t="n"/>
      <c r="KWE22" s="253" t="n"/>
      <c r="KWF22" s="253" t="n"/>
      <c r="KWG22" s="253" t="n"/>
      <c r="KWH22" s="253" t="n"/>
      <c r="KWI22" s="253" t="n"/>
      <c r="KWJ22" s="253" t="n"/>
      <c r="KWK22" s="253" t="n"/>
      <c r="KWL22" s="253" t="n"/>
      <c r="KWM22" s="253" t="n"/>
      <c r="KWN22" s="253" t="n"/>
      <c r="KWO22" s="253" t="n"/>
      <c r="KWP22" s="253" t="n"/>
      <c r="KWQ22" s="253" t="n"/>
      <c r="KWR22" s="253" t="n"/>
      <c r="KWS22" s="253" t="n"/>
      <c r="KWT22" s="253" t="n"/>
      <c r="KWU22" s="253" t="n"/>
      <c r="KWV22" s="253" t="n"/>
      <c r="KWW22" s="253" t="n"/>
      <c r="KWX22" s="253" t="n"/>
      <c r="KWY22" s="253" t="n"/>
      <c r="KWZ22" s="253" t="n"/>
      <c r="KXA22" s="253" t="n"/>
      <c r="KXB22" s="253" t="n"/>
      <c r="KXC22" s="253" t="n"/>
      <c r="KXD22" s="253" t="n"/>
      <c r="KXE22" s="253" t="n"/>
      <c r="KXF22" s="253" t="n"/>
      <c r="KXG22" s="253" t="n"/>
      <c r="KXH22" s="253" t="n"/>
      <c r="KXI22" s="253" t="n"/>
      <c r="KXJ22" s="253" t="n"/>
      <c r="KXK22" s="253" t="n"/>
      <c r="KXL22" s="253" t="n"/>
      <c r="KXM22" s="253" t="n"/>
      <c r="KXN22" s="253" t="n"/>
      <c r="KXO22" s="253" t="n"/>
      <c r="KXP22" s="253" t="n"/>
      <c r="KXQ22" s="253" t="n"/>
      <c r="KXR22" s="253" t="n"/>
      <c r="KXS22" s="253" t="n"/>
      <c r="KXT22" s="253" t="n"/>
      <c r="KXU22" s="253" t="n"/>
      <c r="KXV22" s="253" t="n"/>
      <c r="KXW22" s="253" t="n"/>
      <c r="KXX22" s="253" t="n"/>
      <c r="KXY22" s="253" t="n"/>
      <c r="KXZ22" s="253" t="n"/>
      <c r="KYA22" s="253" t="n"/>
      <c r="KYB22" s="253" t="n"/>
      <c r="KYC22" s="253" t="n"/>
      <c r="KYD22" s="253" t="n"/>
      <c r="KYE22" s="253" t="n"/>
      <c r="KYF22" s="253" t="n"/>
      <c r="KYG22" s="253" t="n"/>
      <c r="KYH22" s="253" t="n"/>
      <c r="KYI22" s="253" t="n"/>
      <c r="KYJ22" s="253" t="n"/>
      <c r="KYK22" s="253" t="n"/>
      <c r="KYL22" s="253" t="n"/>
      <c r="KYM22" s="253" t="n"/>
      <c r="KYN22" s="253" t="n"/>
      <c r="KYO22" s="253" t="n"/>
      <c r="KYP22" s="253" t="n"/>
      <c r="KYQ22" s="253" t="n"/>
      <c r="KYR22" s="253" t="n"/>
      <c r="KYS22" s="253" t="n"/>
      <c r="KYT22" s="253" t="n"/>
      <c r="KYU22" s="253" t="n"/>
      <c r="KYV22" s="253" t="n"/>
      <c r="KYW22" s="253" t="n"/>
      <c r="KYX22" s="253" t="n"/>
      <c r="KYY22" s="253" t="n"/>
      <c r="KYZ22" s="253" t="n"/>
      <c r="KZA22" s="253" t="n"/>
      <c r="KZB22" s="253" t="n"/>
      <c r="KZC22" s="253" t="n"/>
      <c r="KZD22" s="253" t="n"/>
      <c r="KZE22" s="253" t="n"/>
      <c r="KZF22" s="253" t="n"/>
      <c r="KZG22" s="253" t="n"/>
      <c r="KZH22" s="253" t="n"/>
      <c r="KZI22" s="253" t="n"/>
      <c r="KZJ22" s="253" t="n"/>
      <c r="KZK22" s="253" t="n"/>
      <c r="KZL22" s="253" t="n"/>
      <c r="KZM22" s="253" t="n"/>
      <c r="KZN22" s="253" t="n"/>
      <c r="KZO22" s="253" t="n"/>
      <c r="KZP22" s="253" t="n"/>
      <c r="KZQ22" s="253" t="n"/>
      <c r="KZR22" s="253" t="n"/>
      <c r="KZS22" s="253" t="n"/>
      <c r="KZT22" s="253" t="n"/>
      <c r="KZU22" s="253" t="n"/>
      <c r="KZV22" s="253" t="n"/>
      <c r="KZW22" s="253" t="n"/>
      <c r="KZX22" s="253" t="n"/>
      <c r="KZY22" s="253" t="n"/>
      <c r="KZZ22" s="253" t="n"/>
      <c r="LAA22" s="253" t="n"/>
      <c r="LAB22" s="253" t="n"/>
      <c r="LAC22" s="253" t="n"/>
      <c r="LAD22" s="253" t="n"/>
      <c r="LAE22" s="253" t="n"/>
      <c r="LAF22" s="253" t="n"/>
      <c r="LAG22" s="253" t="n"/>
      <c r="LAH22" s="253" t="n"/>
      <c r="LAI22" s="253" t="n"/>
      <c r="LAJ22" s="253" t="n"/>
      <c r="LAK22" s="253" t="n"/>
      <c r="LAL22" s="253" t="n"/>
      <c r="LAM22" s="253" t="n"/>
      <c r="LAN22" s="253" t="n"/>
      <c r="LAO22" s="253" t="n"/>
      <c r="LAP22" s="253" t="n"/>
      <c r="LAQ22" s="253" t="n"/>
      <c r="LAR22" s="253" t="n"/>
      <c r="LAS22" s="253" t="n"/>
      <c r="LAT22" s="253" t="n"/>
      <c r="LAU22" s="253" t="n"/>
      <c r="LAV22" s="253" t="n"/>
      <c r="LAW22" s="253" t="n"/>
      <c r="LAX22" s="253" t="n"/>
      <c r="LAY22" s="253" t="n"/>
      <c r="LAZ22" s="253" t="n"/>
      <c r="LBA22" s="253" t="n"/>
      <c r="LBB22" s="253" t="n"/>
      <c r="LBC22" s="253" t="n"/>
      <c r="LBD22" s="253" t="n"/>
      <c r="LBE22" s="253" t="n"/>
      <c r="LBF22" s="253" t="n"/>
      <c r="LBG22" s="253" t="n"/>
      <c r="LBH22" s="253" t="n"/>
      <c r="LBI22" s="253" t="n"/>
      <c r="LBJ22" s="253" t="n"/>
      <c r="LBK22" s="253" t="n"/>
      <c r="LBL22" s="253" t="n"/>
      <c r="LBM22" s="253" t="n"/>
      <c r="LBN22" s="253" t="n"/>
      <c r="LBO22" s="253" t="n"/>
      <c r="LBP22" s="253" t="n"/>
      <c r="LBQ22" s="253" t="n"/>
      <c r="LBR22" s="253" t="n"/>
      <c r="LBS22" s="253" t="n"/>
      <c r="LBT22" s="253" t="n"/>
      <c r="LBU22" s="253" t="n"/>
      <c r="LBV22" s="253" t="n"/>
      <c r="LBW22" s="253" t="n"/>
      <c r="LBX22" s="253" t="n"/>
      <c r="LBY22" s="253" t="n"/>
      <c r="LBZ22" s="253" t="n"/>
      <c r="LCA22" s="253" t="n"/>
      <c r="LCB22" s="253" t="n"/>
      <c r="LCC22" s="253" t="n"/>
      <c r="LCD22" s="253" t="n"/>
      <c r="LCE22" s="253" t="n"/>
      <c r="LCF22" s="253" t="n"/>
      <c r="LCG22" s="253" t="n"/>
      <c r="LCH22" s="253" t="n"/>
      <c r="LCI22" s="253" t="n"/>
      <c r="LCJ22" s="253" t="n"/>
      <c r="LCK22" s="253" t="n"/>
      <c r="LCL22" s="253" t="n"/>
      <c r="LCM22" s="253" t="n"/>
      <c r="LCN22" s="253" t="n"/>
      <c r="LCO22" s="253" t="n"/>
      <c r="LCP22" s="253" t="n"/>
      <c r="LCQ22" s="253" t="n"/>
      <c r="LCR22" s="253" t="n"/>
      <c r="LCS22" s="253" t="n"/>
      <c r="LCT22" s="253" t="n"/>
      <c r="LCU22" s="253" t="n"/>
      <c r="LCV22" s="253" t="n"/>
      <c r="LCW22" s="253" t="n"/>
      <c r="LCX22" s="253" t="n"/>
      <c r="LCY22" s="253" t="n"/>
      <c r="LCZ22" s="253" t="n"/>
      <c r="LDA22" s="253" t="n"/>
      <c r="LDB22" s="253" t="n"/>
      <c r="LDC22" s="253" t="n"/>
      <c r="LDD22" s="253" t="n"/>
      <c r="LDE22" s="253" t="n"/>
      <c r="LDF22" s="253" t="n"/>
      <c r="LDG22" s="253" t="n"/>
      <c r="LDH22" s="253" t="n"/>
      <c r="LDI22" s="253" t="n"/>
      <c r="LDJ22" s="253" t="n"/>
      <c r="LDK22" s="253" t="n"/>
      <c r="LDL22" s="253" t="n"/>
      <c r="LDM22" s="253" t="n"/>
      <c r="LDN22" s="253" t="n"/>
      <c r="LDO22" s="253" t="n"/>
      <c r="LDP22" s="253" t="n"/>
      <c r="LDQ22" s="253" t="n"/>
      <c r="LDR22" s="253" t="n"/>
      <c r="LDS22" s="253" t="n"/>
      <c r="LDT22" s="253" t="n"/>
      <c r="LDU22" s="253" t="n"/>
      <c r="LDV22" s="253" t="n"/>
      <c r="LDW22" s="253" t="n"/>
      <c r="LDX22" s="253" t="n"/>
      <c r="LDY22" s="253" t="n"/>
      <c r="LDZ22" s="253" t="n"/>
      <c r="LEA22" s="253" t="n"/>
      <c r="LEB22" s="253" t="n"/>
      <c r="LEC22" s="253" t="n"/>
      <c r="LED22" s="253" t="n"/>
      <c r="LEE22" s="253" t="n"/>
      <c r="LEF22" s="253" t="n"/>
      <c r="LEG22" s="253" t="n"/>
      <c r="LEH22" s="253" t="n"/>
      <c r="LEI22" s="253" t="n"/>
      <c r="LEJ22" s="253" t="n"/>
      <c r="LEK22" s="253" t="n"/>
      <c r="LEL22" s="253" t="n"/>
      <c r="LEM22" s="253" t="n"/>
      <c r="LEN22" s="253" t="n"/>
      <c r="LEO22" s="253" t="n"/>
      <c r="LEP22" s="253" t="n"/>
      <c r="LEQ22" s="253" t="n"/>
      <c r="LER22" s="253" t="n"/>
      <c r="LES22" s="253" t="n"/>
      <c r="LET22" s="253" t="n"/>
      <c r="LEU22" s="253" t="n"/>
      <c r="LEV22" s="253" t="n"/>
      <c r="LEW22" s="253" t="n"/>
      <c r="LEX22" s="253" t="n"/>
      <c r="LEY22" s="253" t="n"/>
      <c r="LEZ22" s="253" t="n"/>
      <c r="LFA22" s="253" t="n"/>
      <c r="LFB22" s="253" t="n"/>
      <c r="LFC22" s="253" t="n"/>
      <c r="LFD22" s="253" t="n"/>
      <c r="LFE22" s="253" t="n"/>
      <c r="LFF22" s="253" t="n"/>
      <c r="LFG22" s="253" t="n"/>
      <c r="LFH22" s="253" t="n"/>
      <c r="LFI22" s="253" t="n"/>
      <c r="LFJ22" s="253" t="n"/>
      <c r="LFK22" s="252" t="n"/>
      <c r="LFL22" s="253" t="n"/>
      <c r="LFM22" s="253" t="n"/>
      <c r="LFN22" s="253" t="n"/>
      <c r="LFO22" s="253" t="n"/>
      <c r="LFP22" s="253" t="n"/>
      <c r="LFQ22" s="253" t="n"/>
      <c r="LFR22" s="253" t="n"/>
      <c r="LFS22" s="253" t="n"/>
      <c r="LFT22" s="253" t="n"/>
      <c r="LFU22" s="253" t="n"/>
      <c r="LFV22" s="253" t="n"/>
      <c r="LFW22" s="253" t="n"/>
      <c r="LFX22" s="253" t="n"/>
      <c r="LFY22" s="253" t="n"/>
      <c r="LFZ22" s="253" t="n"/>
      <c r="LGA22" s="253" t="n"/>
      <c r="LGB22" s="253" t="n"/>
      <c r="LGC22" s="253" t="n"/>
      <c r="LGD22" s="253" t="n"/>
      <c r="LGE22" s="253" t="n"/>
      <c r="LGF22" s="253" t="n"/>
      <c r="LGG22" s="253" t="n"/>
      <c r="LGH22" s="253" t="n"/>
      <c r="LGI22" s="253" t="n"/>
      <c r="LGJ22" s="253" t="n"/>
      <c r="LGK22" s="253" t="n"/>
      <c r="LGL22" s="253" t="n"/>
      <c r="LGM22" s="253" t="n"/>
      <c r="LGN22" s="253" t="n"/>
      <c r="LGO22" s="253" t="n"/>
      <c r="LGP22" s="253" t="n"/>
      <c r="LGQ22" s="253" t="n"/>
      <c r="LGR22" s="253" t="n"/>
      <c r="LGS22" s="253" t="n"/>
      <c r="LGT22" s="253" t="n"/>
      <c r="LGU22" s="253" t="n"/>
      <c r="LGV22" s="253" t="n"/>
      <c r="LGW22" s="253" t="n"/>
      <c r="LGX22" s="253" t="n"/>
      <c r="LGY22" s="253" t="n"/>
      <c r="LGZ22" s="253" t="n"/>
      <c r="LHA22" s="253" t="n"/>
      <c r="LHB22" s="253" t="n"/>
      <c r="LHC22" s="253" t="n"/>
      <c r="LHD22" s="253" t="n"/>
      <c r="LHE22" s="253" t="n"/>
      <c r="LHF22" s="253" t="n"/>
      <c r="LHG22" s="253" t="n"/>
      <c r="LHH22" s="253" t="n"/>
      <c r="LHI22" s="253" t="n"/>
      <c r="LHJ22" s="253" t="n"/>
      <c r="LHK22" s="253" t="n"/>
      <c r="LHL22" s="253" t="n"/>
      <c r="LHM22" s="253" t="n"/>
      <c r="LHN22" s="253" t="n"/>
      <c r="LHO22" s="253" t="n"/>
      <c r="LHP22" s="253" t="n"/>
      <c r="LHQ22" s="253" t="n"/>
      <c r="LHR22" s="253" t="n"/>
      <c r="LHS22" s="253" t="n"/>
      <c r="LHT22" s="253" t="n"/>
      <c r="LHU22" s="253" t="n"/>
      <c r="LHV22" s="253" t="n"/>
      <c r="LHW22" s="253" t="n"/>
      <c r="LHX22" s="253" t="n"/>
      <c r="LHY22" s="253" t="n"/>
      <c r="LHZ22" s="253" t="n"/>
      <c r="LIA22" s="253" t="n"/>
      <c r="LIB22" s="253" t="n"/>
      <c r="LIC22" s="253" t="n"/>
      <c r="LID22" s="253" t="n"/>
      <c r="LIE22" s="253" t="n"/>
      <c r="LIF22" s="253" t="n"/>
      <c r="LIG22" s="253" t="n"/>
      <c r="LIH22" s="253" t="n"/>
      <c r="LII22" s="253" t="n"/>
      <c r="LIJ22" s="253" t="n"/>
      <c r="LIK22" s="253" t="n"/>
      <c r="LIL22" s="253" t="n"/>
      <c r="LIM22" s="253" t="n"/>
      <c r="LIN22" s="253" t="n"/>
      <c r="LIO22" s="253" t="n"/>
      <c r="LIP22" s="253" t="n"/>
      <c r="LIQ22" s="253" t="n"/>
      <c r="LIR22" s="253" t="n"/>
      <c r="LIS22" s="253" t="n"/>
      <c r="LIT22" s="253" t="n"/>
      <c r="LIU22" s="253" t="n"/>
      <c r="LIV22" s="253" t="n"/>
      <c r="LIW22" s="253" t="n"/>
      <c r="LIX22" s="253" t="n"/>
      <c r="LIY22" s="253" t="n"/>
      <c r="LIZ22" s="253" t="n"/>
      <c r="LJA22" s="253" t="n"/>
      <c r="LJB22" s="253" t="n"/>
      <c r="LJC22" s="253" t="n"/>
      <c r="LJD22" s="253" t="n"/>
      <c r="LJE22" s="253" t="n"/>
      <c r="LJF22" s="253" t="n"/>
      <c r="LJG22" s="253" t="n"/>
      <c r="LJH22" s="253" t="n"/>
      <c r="LJI22" s="253" t="n"/>
      <c r="LJJ22" s="253" t="n"/>
      <c r="LJK22" s="253" t="n"/>
      <c r="LJL22" s="253" t="n"/>
      <c r="LJM22" s="253" t="n"/>
      <c r="LJN22" s="253" t="n"/>
      <c r="LJO22" s="253" t="n"/>
      <c r="LJP22" s="253" t="n"/>
      <c r="LJQ22" s="253" t="n"/>
      <c r="LJR22" s="253" t="n"/>
      <c r="LJS22" s="253" t="n"/>
      <c r="LJT22" s="253" t="n"/>
      <c r="LJU22" s="253" t="n"/>
      <c r="LJV22" s="253" t="n"/>
      <c r="LJW22" s="253" t="n"/>
      <c r="LJX22" s="253" t="n"/>
      <c r="LJY22" s="253" t="n"/>
      <c r="LJZ22" s="253" t="n"/>
      <c r="LKA22" s="253" t="n"/>
      <c r="LKB22" s="253" t="n"/>
      <c r="LKC22" s="253" t="n"/>
      <c r="LKD22" s="253" t="n"/>
      <c r="LKE22" s="253" t="n"/>
      <c r="LKF22" s="253" t="n"/>
      <c r="LKG22" s="253" t="n"/>
      <c r="LKH22" s="253" t="n"/>
      <c r="LKI22" s="253" t="n"/>
      <c r="LKJ22" s="253" t="n"/>
      <c r="LKK22" s="253" t="n"/>
      <c r="LKL22" s="253" t="n"/>
      <c r="LKM22" s="253" t="n"/>
      <c r="LKN22" s="253" t="n"/>
      <c r="LKO22" s="253" t="n"/>
      <c r="LKP22" s="253" t="n"/>
      <c r="LKQ22" s="253" t="n"/>
      <c r="LKR22" s="253" t="n"/>
      <c r="LKS22" s="253" t="n"/>
      <c r="LKT22" s="253" t="n"/>
      <c r="LKU22" s="253" t="n"/>
      <c r="LKV22" s="253" t="n"/>
      <c r="LKW22" s="253" t="n"/>
      <c r="LKX22" s="253" t="n"/>
      <c r="LKY22" s="253" t="n"/>
      <c r="LKZ22" s="253" t="n"/>
      <c r="LLA22" s="253" t="n"/>
      <c r="LLB22" s="253" t="n"/>
      <c r="LLC22" s="253" t="n"/>
      <c r="LLD22" s="253" t="n"/>
      <c r="LLE22" s="253" t="n"/>
      <c r="LLF22" s="253" t="n"/>
      <c r="LLG22" s="253" t="n"/>
      <c r="LLH22" s="253" t="n"/>
      <c r="LLI22" s="253" t="n"/>
      <c r="LLJ22" s="253" t="n"/>
      <c r="LLK22" s="253" t="n"/>
      <c r="LLL22" s="253" t="n"/>
      <c r="LLM22" s="253" t="n"/>
      <c r="LLN22" s="253" t="n"/>
      <c r="LLO22" s="253" t="n"/>
      <c r="LLP22" s="253" t="n"/>
      <c r="LLQ22" s="253" t="n"/>
      <c r="LLR22" s="253" t="n"/>
      <c r="LLS22" s="253" t="n"/>
      <c r="LLT22" s="253" t="n"/>
      <c r="LLU22" s="253" t="n"/>
      <c r="LLV22" s="253" t="n"/>
      <c r="LLW22" s="253" t="n"/>
      <c r="LLX22" s="253" t="n"/>
      <c r="LLY22" s="253" t="n"/>
      <c r="LLZ22" s="253" t="n"/>
      <c r="LMA22" s="253" t="n"/>
      <c r="LMB22" s="253" t="n"/>
      <c r="LMC22" s="253" t="n"/>
      <c r="LMD22" s="253" t="n"/>
      <c r="LME22" s="253" t="n"/>
      <c r="LMF22" s="253" t="n"/>
      <c r="LMG22" s="253" t="n"/>
      <c r="LMH22" s="253" t="n"/>
      <c r="LMI22" s="253" t="n"/>
      <c r="LMJ22" s="253" t="n"/>
      <c r="LMK22" s="253" t="n"/>
      <c r="LML22" s="253" t="n"/>
      <c r="LMM22" s="253" t="n"/>
      <c r="LMN22" s="253" t="n"/>
      <c r="LMO22" s="253" t="n"/>
      <c r="LMP22" s="253" t="n"/>
      <c r="LMQ22" s="253" t="n"/>
      <c r="LMR22" s="253" t="n"/>
      <c r="LMS22" s="253" t="n"/>
      <c r="LMT22" s="253" t="n"/>
      <c r="LMU22" s="253" t="n"/>
      <c r="LMV22" s="253" t="n"/>
      <c r="LMW22" s="253" t="n"/>
      <c r="LMX22" s="253" t="n"/>
      <c r="LMY22" s="253" t="n"/>
      <c r="LMZ22" s="253" t="n"/>
      <c r="LNA22" s="253" t="n"/>
      <c r="LNB22" s="253" t="n"/>
      <c r="LNC22" s="253" t="n"/>
      <c r="LND22" s="253" t="n"/>
      <c r="LNE22" s="253" t="n"/>
      <c r="LNF22" s="253" t="n"/>
      <c r="LNG22" s="253" t="n"/>
      <c r="LNH22" s="253" t="n"/>
      <c r="LNI22" s="253" t="n"/>
      <c r="LNJ22" s="253" t="n"/>
      <c r="LNK22" s="253" t="n"/>
      <c r="LNL22" s="253" t="n"/>
      <c r="LNM22" s="253" t="n"/>
      <c r="LNN22" s="253" t="n"/>
      <c r="LNO22" s="253" t="n"/>
      <c r="LNP22" s="253" t="n"/>
      <c r="LNQ22" s="253" t="n"/>
      <c r="LNR22" s="253" t="n"/>
      <c r="LNS22" s="253" t="n"/>
      <c r="LNT22" s="253" t="n"/>
      <c r="LNU22" s="253" t="n"/>
      <c r="LNV22" s="253" t="n"/>
      <c r="LNW22" s="253" t="n"/>
      <c r="LNX22" s="253" t="n"/>
      <c r="LNY22" s="253" t="n"/>
      <c r="LNZ22" s="253" t="n"/>
      <c r="LOA22" s="253" t="n"/>
      <c r="LOB22" s="253" t="n"/>
      <c r="LOC22" s="253" t="n"/>
      <c r="LOD22" s="253" t="n"/>
      <c r="LOE22" s="253" t="n"/>
      <c r="LOF22" s="253" t="n"/>
      <c r="LOG22" s="253" t="n"/>
      <c r="LOH22" s="253" t="n"/>
      <c r="LOI22" s="253" t="n"/>
      <c r="LOJ22" s="253" t="n"/>
      <c r="LOK22" s="253" t="n"/>
      <c r="LOL22" s="253" t="n"/>
      <c r="LOM22" s="253" t="n"/>
      <c r="LON22" s="253" t="n"/>
      <c r="LOO22" s="253" t="n"/>
      <c r="LOP22" s="253" t="n"/>
      <c r="LOQ22" s="253" t="n"/>
      <c r="LOR22" s="253" t="n"/>
      <c r="LOS22" s="253" t="n"/>
      <c r="LOT22" s="253" t="n"/>
      <c r="LOU22" s="253" t="n"/>
      <c r="LOV22" s="253" t="n"/>
      <c r="LOW22" s="253" t="n"/>
      <c r="LOX22" s="253" t="n"/>
      <c r="LOY22" s="253" t="n"/>
      <c r="LOZ22" s="253" t="n"/>
      <c r="LPA22" s="253" t="n"/>
      <c r="LPB22" s="253" t="n"/>
      <c r="LPC22" s="253" t="n"/>
      <c r="LPD22" s="253" t="n"/>
      <c r="LPE22" s="253" t="n"/>
      <c r="LPF22" s="253" t="n"/>
      <c r="LPG22" s="253" t="n"/>
      <c r="LPH22" s="253" t="n"/>
      <c r="LPI22" s="253" t="n"/>
      <c r="LPJ22" s="253" t="n"/>
      <c r="LPK22" s="253" t="n"/>
      <c r="LPL22" s="253" t="n"/>
      <c r="LPM22" s="253" t="n"/>
      <c r="LPN22" s="253" t="n"/>
      <c r="LPO22" s="253" t="n"/>
      <c r="LPP22" s="253" t="n"/>
      <c r="LPQ22" s="253" t="n"/>
      <c r="LPR22" s="253" t="n"/>
      <c r="LPS22" s="253" t="n"/>
      <c r="LPT22" s="253" t="n"/>
      <c r="LPU22" s="253" t="n"/>
      <c r="LPV22" s="253" t="n"/>
      <c r="LPW22" s="253" t="n"/>
      <c r="LPX22" s="253" t="n"/>
      <c r="LPY22" s="253" t="n"/>
      <c r="LPZ22" s="253" t="n"/>
      <c r="LQA22" s="253" t="n"/>
      <c r="LQB22" s="253" t="n"/>
      <c r="LQC22" s="253" t="n"/>
      <c r="LQD22" s="253" t="n"/>
      <c r="LQE22" s="253" t="n"/>
      <c r="LQF22" s="253" t="n"/>
      <c r="LQG22" s="253" t="n"/>
      <c r="LQH22" s="253" t="n"/>
      <c r="LQI22" s="253" t="n"/>
      <c r="LQJ22" s="253" t="n"/>
      <c r="LQK22" s="253" t="n"/>
      <c r="LQL22" s="253" t="n"/>
      <c r="LQM22" s="253" t="n"/>
      <c r="LQN22" s="253" t="n"/>
      <c r="LQO22" s="253" t="n"/>
      <c r="LQP22" s="253" t="n"/>
      <c r="LQQ22" s="253" t="n"/>
      <c r="LQR22" s="253" t="n"/>
      <c r="LQS22" s="253" t="n"/>
      <c r="LQT22" s="253" t="n"/>
      <c r="LQU22" s="253" t="n"/>
      <c r="LQV22" s="253" t="n"/>
      <c r="LQW22" s="253" t="n"/>
      <c r="LQX22" s="253" t="n"/>
      <c r="LQY22" s="253" t="n"/>
      <c r="LQZ22" s="253" t="n"/>
      <c r="LRA22" s="253" t="n"/>
      <c r="LRB22" s="253" t="n"/>
      <c r="LRC22" s="253" t="n"/>
      <c r="LRD22" s="253" t="n"/>
      <c r="LRE22" s="253" t="n"/>
      <c r="LRF22" s="253" t="n"/>
      <c r="LRG22" s="253" t="n"/>
      <c r="LRH22" s="253" t="n"/>
      <c r="LRI22" s="253" t="n"/>
      <c r="LRJ22" s="253" t="n"/>
      <c r="LRK22" s="253" t="n"/>
      <c r="LRL22" s="253" t="n"/>
      <c r="LRM22" s="253" t="n"/>
      <c r="LRN22" s="253" t="n"/>
      <c r="LRO22" s="253" t="n"/>
      <c r="LRP22" s="253" t="n"/>
      <c r="LRQ22" s="253" t="n"/>
      <c r="LRR22" s="253" t="n"/>
      <c r="LRS22" s="253" t="n"/>
      <c r="LRT22" s="253" t="n"/>
      <c r="LRU22" s="253" t="n"/>
      <c r="LRV22" s="253" t="n"/>
      <c r="LRW22" s="253" t="n"/>
      <c r="LRX22" s="253" t="n"/>
      <c r="LRY22" s="253" t="n"/>
      <c r="LRZ22" s="253" t="n"/>
      <c r="LSA22" s="253" t="n"/>
      <c r="LSB22" s="253" t="n"/>
      <c r="LSC22" s="253" t="n"/>
      <c r="LSD22" s="253" t="n"/>
      <c r="LSE22" s="253" t="n"/>
      <c r="LSF22" s="253" t="n"/>
      <c r="LSG22" s="253" t="n"/>
      <c r="LSH22" s="253" t="n"/>
      <c r="LSI22" s="253" t="n"/>
      <c r="LSJ22" s="253" t="n"/>
      <c r="LSK22" s="253" t="n"/>
      <c r="LSL22" s="253" t="n"/>
      <c r="LSM22" s="253" t="n"/>
      <c r="LSN22" s="253" t="n"/>
      <c r="LSO22" s="253" t="n"/>
      <c r="LSP22" s="253" t="n"/>
      <c r="LSQ22" s="253" t="n"/>
      <c r="LSR22" s="253" t="n"/>
      <c r="LSS22" s="253" t="n"/>
      <c r="LST22" s="253" t="n"/>
      <c r="LSU22" s="253" t="n"/>
      <c r="LSV22" s="253" t="n"/>
      <c r="LSW22" s="253" t="n"/>
      <c r="LSX22" s="253" t="n"/>
      <c r="LSY22" s="253" t="n"/>
      <c r="LSZ22" s="253" t="n"/>
      <c r="LTA22" s="253" t="n"/>
      <c r="LTB22" s="253" t="n"/>
      <c r="LTC22" s="253" t="n"/>
      <c r="LTD22" s="253" t="n"/>
      <c r="LTE22" s="253" t="n"/>
      <c r="LTF22" s="253" t="n"/>
      <c r="LTG22" s="253" t="n"/>
      <c r="LTH22" s="253" t="n"/>
      <c r="LTI22" s="253" t="n"/>
      <c r="LTJ22" s="253" t="n"/>
      <c r="LTK22" s="253" t="n"/>
      <c r="LTL22" s="253" t="n"/>
      <c r="LTM22" s="253" t="n"/>
      <c r="LTN22" s="253" t="n"/>
      <c r="LTO22" s="253" t="n"/>
      <c r="LTP22" s="253" t="n"/>
      <c r="LTQ22" s="253" t="n"/>
      <c r="LTR22" s="253" t="n"/>
      <c r="LTS22" s="253" t="n"/>
      <c r="LTT22" s="253" t="n"/>
      <c r="LTU22" s="253" t="n"/>
      <c r="LTV22" s="253" t="n"/>
      <c r="LTW22" s="253" t="n"/>
      <c r="LTX22" s="253" t="n"/>
      <c r="LTY22" s="253" t="n"/>
      <c r="LTZ22" s="253" t="n"/>
      <c r="LUA22" s="253" t="n"/>
      <c r="LUB22" s="253" t="n"/>
      <c r="LUC22" s="253" t="n"/>
      <c r="LUD22" s="253" t="n"/>
      <c r="LUE22" s="253" t="n"/>
      <c r="LUF22" s="253" t="n"/>
      <c r="LUG22" s="253" t="n"/>
      <c r="LUH22" s="253" t="n"/>
      <c r="LUI22" s="253" t="n"/>
      <c r="LUJ22" s="253" t="n"/>
      <c r="LUK22" s="253" t="n"/>
      <c r="LUL22" s="253" t="n"/>
      <c r="LUM22" s="253" t="n"/>
      <c r="LUN22" s="253" t="n"/>
      <c r="LUO22" s="253" t="n"/>
      <c r="LUP22" s="253" t="n"/>
      <c r="LUQ22" s="253" t="n"/>
      <c r="LUR22" s="253" t="n"/>
      <c r="LUS22" s="253" t="n"/>
      <c r="LUT22" s="253" t="n"/>
      <c r="LUU22" s="253" t="n"/>
      <c r="LUV22" s="253" t="n"/>
      <c r="LUW22" s="253" t="n"/>
      <c r="LUX22" s="253" t="n"/>
      <c r="LUY22" s="253" t="n"/>
      <c r="LUZ22" s="253" t="n"/>
      <c r="LVA22" s="253" t="n"/>
      <c r="LVB22" s="253" t="n"/>
      <c r="LVC22" s="253" t="n"/>
      <c r="LVD22" s="253" t="n"/>
      <c r="LVE22" s="253" t="n"/>
      <c r="LVF22" s="253" t="n"/>
      <c r="LVG22" s="253" t="n"/>
      <c r="LVH22" s="253" t="n"/>
      <c r="LVI22" s="253" t="n"/>
      <c r="LVJ22" s="253" t="n"/>
      <c r="LVK22" s="253" t="n"/>
      <c r="LVL22" s="253" t="n"/>
      <c r="LVM22" s="253" t="n"/>
      <c r="LVN22" s="253" t="n"/>
      <c r="LVO22" s="253" t="n"/>
      <c r="LVP22" s="253" t="n"/>
      <c r="LVQ22" s="253" t="n"/>
      <c r="LVR22" s="253" t="n"/>
      <c r="LVS22" s="253" t="n"/>
      <c r="LVT22" s="253" t="n"/>
      <c r="LVU22" s="253" t="n"/>
      <c r="LVV22" s="253" t="n"/>
      <c r="LVW22" s="253" t="n"/>
      <c r="LVX22" s="253" t="n"/>
      <c r="LVY22" s="253" t="n"/>
      <c r="LVZ22" s="253" t="n"/>
      <c r="LWA22" s="253" t="n"/>
      <c r="LWB22" s="253" t="n"/>
      <c r="LWC22" s="253" t="n"/>
      <c r="LWD22" s="253" t="n"/>
      <c r="LWE22" s="253" t="n"/>
      <c r="LWF22" s="253" t="n"/>
      <c r="LWG22" s="253" t="n"/>
      <c r="LWH22" s="253" t="n"/>
      <c r="LWI22" s="253" t="n"/>
      <c r="LWJ22" s="253" t="n"/>
      <c r="LWK22" s="253" t="n"/>
      <c r="LWL22" s="253" t="n"/>
      <c r="LWM22" s="253" t="n"/>
      <c r="LWN22" s="253" t="n"/>
      <c r="LWO22" s="253" t="n"/>
      <c r="LWP22" s="253" t="n"/>
      <c r="LWQ22" s="253" t="n"/>
      <c r="LWR22" s="253" t="n"/>
      <c r="LWS22" s="253" t="n"/>
      <c r="LWT22" s="253" t="n"/>
      <c r="LWU22" s="253" t="n"/>
      <c r="LWV22" s="253" t="n"/>
      <c r="LWW22" s="253" t="n"/>
      <c r="LWX22" s="253" t="n"/>
      <c r="LWY22" s="253" t="n"/>
      <c r="LWZ22" s="253" t="n"/>
      <c r="LXA22" s="253" t="n"/>
      <c r="LXB22" s="253" t="n"/>
      <c r="LXC22" s="253" t="n"/>
      <c r="LXD22" s="253" t="n"/>
      <c r="LXE22" s="253" t="n"/>
      <c r="LXF22" s="253" t="n"/>
      <c r="LXG22" s="253" t="n"/>
      <c r="LXH22" s="253" t="n"/>
      <c r="LXI22" s="253" t="n"/>
      <c r="LXJ22" s="253" t="n"/>
      <c r="LXK22" s="253" t="n"/>
      <c r="LXL22" s="253" t="n"/>
      <c r="LXM22" s="253" t="n"/>
      <c r="LXN22" s="253" t="n"/>
      <c r="LXO22" s="253" t="n"/>
      <c r="LXP22" s="253" t="n"/>
      <c r="LXQ22" s="253" t="n"/>
      <c r="LXR22" s="253" t="n"/>
      <c r="LXS22" s="253" t="n"/>
      <c r="LXT22" s="253" t="n"/>
      <c r="LXU22" s="253" t="n"/>
      <c r="LXV22" s="253" t="n"/>
      <c r="LXW22" s="253" t="n"/>
      <c r="LXX22" s="253" t="n"/>
      <c r="LXY22" s="253" t="n"/>
      <c r="LXZ22" s="253" t="n"/>
      <c r="LYA22" s="253" t="n"/>
      <c r="LYB22" s="253" t="n"/>
      <c r="LYC22" s="253" t="n"/>
      <c r="LYD22" s="253" t="n"/>
      <c r="LYE22" s="253" t="n"/>
      <c r="LYF22" s="253" t="n"/>
      <c r="LYG22" s="253" t="n"/>
      <c r="LYH22" s="253" t="n"/>
      <c r="LYI22" s="253" t="n"/>
      <c r="LYJ22" s="253" t="n"/>
      <c r="LYK22" s="253" t="n"/>
      <c r="LYL22" s="253" t="n"/>
      <c r="LYM22" s="253" t="n"/>
      <c r="LYN22" s="253" t="n"/>
      <c r="LYO22" s="253" t="n"/>
      <c r="LYP22" s="253" t="n"/>
      <c r="LYQ22" s="253" t="n"/>
      <c r="LYR22" s="253" t="n"/>
      <c r="LYS22" s="253" t="n"/>
      <c r="LYT22" s="253" t="n"/>
      <c r="LYU22" s="253" t="n"/>
      <c r="LYV22" s="253" t="n"/>
      <c r="LYW22" s="253" t="n"/>
      <c r="LYX22" s="253" t="n"/>
      <c r="LYY22" s="253" t="n"/>
      <c r="LYZ22" s="253" t="n"/>
      <c r="LZA22" s="253" t="n"/>
      <c r="LZB22" s="253" t="n"/>
      <c r="LZC22" s="253" t="n"/>
      <c r="LZD22" s="253" t="n"/>
      <c r="LZE22" s="253" t="n"/>
      <c r="LZF22" s="253" t="n"/>
      <c r="LZG22" s="253" t="n"/>
      <c r="LZH22" s="253" t="n"/>
      <c r="LZI22" s="253" t="n"/>
      <c r="LZJ22" s="253" t="n"/>
      <c r="LZK22" s="253" t="n"/>
      <c r="LZL22" s="253" t="n"/>
      <c r="LZM22" s="253" t="n"/>
      <c r="LZN22" s="253" t="n"/>
      <c r="LZO22" s="253" t="n"/>
      <c r="LZP22" s="253" t="n"/>
      <c r="LZQ22" s="253" t="n"/>
      <c r="LZR22" s="253" t="n"/>
      <c r="LZS22" s="253" t="n"/>
      <c r="LZT22" s="253" t="n"/>
      <c r="LZU22" s="253" t="n"/>
      <c r="LZV22" s="253" t="n"/>
      <c r="LZW22" s="253" t="n"/>
      <c r="LZX22" s="253" t="n"/>
      <c r="LZY22" s="253" t="n"/>
      <c r="LZZ22" s="253" t="n"/>
      <c r="MAA22" s="253" t="n"/>
      <c r="MAB22" s="253" t="n"/>
      <c r="MAC22" s="253" t="n"/>
      <c r="MAD22" s="253" t="n"/>
      <c r="MAE22" s="253" t="n"/>
      <c r="MAF22" s="253" t="n"/>
      <c r="MAG22" s="253" t="n"/>
      <c r="MAH22" s="253" t="n"/>
      <c r="MAI22" s="253" t="n"/>
      <c r="MAJ22" s="253" t="n"/>
      <c r="MAK22" s="253" t="n"/>
      <c r="MAL22" s="253" t="n"/>
      <c r="MAM22" s="253" t="n"/>
      <c r="MAN22" s="253" t="n"/>
      <c r="MAO22" s="253" t="n"/>
      <c r="MAP22" s="253" t="n"/>
      <c r="MAQ22" s="253" t="n"/>
      <c r="MAR22" s="253" t="n"/>
      <c r="MAS22" s="253" t="n"/>
      <c r="MAT22" s="253" t="n"/>
      <c r="MAU22" s="253" t="n"/>
      <c r="MAV22" s="253" t="n"/>
      <c r="MAW22" s="253" t="n"/>
      <c r="MAX22" s="253" t="n"/>
      <c r="MAY22" s="253" t="n"/>
      <c r="MAZ22" s="253" t="n"/>
      <c r="MBA22" s="253" t="n"/>
      <c r="MBB22" s="253" t="n"/>
      <c r="MBC22" s="253" t="n"/>
      <c r="MBD22" s="253" t="n"/>
      <c r="MBE22" s="253" t="n"/>
      <c r="MBF22" s="253" t="n"/>
      <c r="MBG22" s="253" t="n"/>
      <c r="MBH22" s="253" t="n"/>
      <c r="MBI22" s="253" t="n"/>
      <c r="MBJ22" s="253" t="n"/>
      <c r="MBK22" s="253" t="n"/>
      <c r="MBL22" s="253" t="n"/>
      <c r="MBM22" s="253" t="n"/>
      <c r="MBN22" s="253" t="n"/>
      <c r="MBO22" s="253" t="n"/>
      <c r="MBP22" s="253" t="n"/>
      <c r="MBQ22" s="253" t="n"/>
      <c r="MBR22" s="253" t="n"/>
      <c r="MBS22" s="253" t="n"/>
      <c r="MBT22" s="253" t="n"/>
      <c r="MBU22" s="253" t="n"/>
      <c r="MBV22" s="253" t="n"/>
      <c r="MBW22" s="253" t="n"/>
      <c r="MBX22" s="253" t="n"/>
      <c r="MBY22" s="253" t="n"/>
      <c r="MBZ22" s="253" t="n"/>
      <c r="MCA22" s="253" t="n"/>
      <c r="MCB22" s="253" t="n"/>
      <c r="MCC22" s="253" t="n"/>
      <c r="MCD22" s="253" t="n"/>
      <c r="MCE22" s="253" t="n"/>
      <c r="MCF22" s="253" t="n"/>
      <c r="MCG22" s="253" t="n"/>
      <c r="MCH22" s="253" t="n"/>
      <c r="MCI22" s="253" t="n"/>
      <c r="MCJ22" s="253" t="n"/>
      <c r="MCK22" s="253" t="n"/>
      <c r="MCL22" s="253" t="n"/>
      <c r="MCM22" s="253" t="n"/>
      <c r="MCN22" s="253" t="n"/>
      <c r="MCO22" s="253" t="n"/>
      <c r="MCP22" s="253" t="n"/>
      <c r="MCQ22" s="253" t="n"/>
      <c r="MCR22" s="253" t="n"/>
      <c r="MCS22" s="253" t="n"/>
      <c r="MCT22" s="253" t="n"/>
      <c r="MCU22" s="253" t="n"/>
      <c r="MCV22" s="253" t="n"/>
      <c r="MCW22" s="253" t="n"/>
      <c r="MCX22" s="253" t="n"/>
      <c r="MCY22" s="253" t="n"/>
      <c r="MCZ22" s="253" t="n"/>
      <c r="MDA22" s="253" t="n"/>
      <c r="MDB22" s="253" t="n"/>
      <c r="MDC22" s="253" t="n"/>
      <c r="MDD22" s="253" t="n"/>
      <c r="MDE22" s="253" t="n"/>
      <c r="MDF22" s="253" t="n"/>
      <c r="MDG22" s="253" t="n"/>
      <c r="MDH22" s="253" t="n"/>
      <c r="MDI22" s="253" t="n"/>
      <c r="MDJ22" s="253" t="n"/>
      <c r="MDK22" s="253" t="n"/>
      <c r="MDL22" s="253" t="n"/>
      <c r="MDM22" s="253" t="n"/>
      <c r="MDN22" s="253" t="n"/>
      <c r="MDO22" s="253" t="n"/>
      <c r="MDP22" s="253" t="n"/>
      <c r="MDQ22" s="253" t="n"/>
      <c r="MDR22" s="253" t="n"/>
      <c r="MDS22" s="253" t="n"/>
      <c r="MDT22" s="253" t="n"/>
      <c r="MDU22" s="253" t="n"/>
      <c r="MDV22" s="253" t="n"/>
      <c r="MDW22" s="253" t="n"/>
      <c r="MDX22" s="253" t="n"/>
      <c r="MDY22" s="253" t="n"/>
      <c r="MDZ22" s="253" t="n"/>
      <c r="MEA22" s="253" t="n"/>
      <c r="MEB22" s="253" t="n"/>
      <c r="MEC22" s="253" t="n"/>
      <c r="MED22" s="253" t="n"/>
      <c r="MEE22" s="253" t="n"/>
      <c r="MEF22" s="253" t="n"/>
      <c r="MEG22" s="253" t="n"/>
      <c r="MEH22" s="253" t="n"/>
      <c r="MEI22" s="253" t="n"/>
      <c r="MEJ22" s="253" t="n"/>
      <c r="MEK22" s="253" t="n"/>
      <c r="MEL22" s="253" t="n"/>
      <c r="MEM22" s="253" t="n"/>
      <c r="MEN22" s="253" t="n"/>
      <c r="MEO22" s="253" t="n"/>
      <c r="MEP22" s="253" t="n"/>
      <c r="MEQ22" s="253" t="n"/>
      <c r="MER22" s="253" t="n"/>
      <c r="MES22" s="253" t="n"/>
      <c r="MET22" s="253" t="n"/>
      <c r="MEU22" s="253" t="n"/>
      <c r="MEV22" s="253" t="n"/>
      <c r="MEW22" s="253" t="n"/>
      <c r="MEX22" s="253" t="n"/>
      <c r="MEY22" s="253" t="n"/>
      <c r="MEZ22" s="253" t="n"/>
      <c r="MFA22" s="253" t="n"/>
      <c r="MFB22" s="253" t="n"/>
      <c r="MFC22" s="253" t="n"/>
      <c r="MFD22" s="253" t="n"/>
      <c r="MFE22" s="253" t="n"/>
      <c r="MFF22" s="253" t="n"/>
      <c r="MFG22" s="253" t="n"/>
      <c r="MFH22" s="253" t="n"/>
      <c r="MFI22" s="253" t="n"/>
      <c r="MFJ22" s="253" t="n"/>
      <c r="MFK22" s="253" t="n"/>
      <c r="MFL22" s="253" t="n"/>
      <c r="MFM22" s="252" t="n"/>
      <c r="MFN22" s="253" t="n"/>
      <c r="MFO22" s="253" t="n"/>
      <c r="MFP22" s="253" t="n"/>
      <c r="MFQ22" s="253" t="n"/>
      <c r="MFR22" s="253" t="n"/>
      <c r="MFS22" s="253" t="n"/>
      <c r="MFT22" s="253" t="n"/>
      <c r="MFU22" s="253" t="n"/>
      <c r="MFV22" s="253" t="n"/>
      <c r="MFW22" s="253" t="n"/>
      <c r="MFX22" s="253" t="n"/>
      <c r="MFY22" s="253" t="n"/>
      <c r="MFZ22" s="253" t="n"/>
      <c r="MGA22" s="253" t="n"/>
      <c r="MGB22" s="253" t="n"/>
      <c r="MGC22" s="253" t="n"/>
      <c r="MGD22" s="253" t="n"/>
      <c r="MGE22" s="253" t="n"/>
      <c r="MGF22" s="253" t="n"/>
      <c r="MGG22" s="253" t="n"/>
      <c r="MGH22" s="253" t="n"/>
      <c r="MGI22" s="253" t="n"/>
      <c r="MGJ22" s="253" t="n"/>
      <c r="MGK22" s="253" t="n"/>
      <c r="MGL22" s="253" t="n"/>
      <c r="MGM22" s="253" t="n"/>
      <c r="MGN22" s="253" t="n"/>
      <c r="MGO22" s="253" t="n"/>
      <c r="MGP22" s="253" t="n"/>
      <c r="MGQ22" s="253" t="n"/>
      <c r="MGR22" s="253" t="n"/>
      <c r="MGS22" s="253" t="n"/>
      <c r="MGT22" s="253" t="n"/>
      <c r="MGU22" s="253" t="n"/>
      <c r="MGV22" s="253" t="n"/>
      <c r="MGW22" s="253" t="n"/>
      <c r="MGX22" s="253" t="n"/>
      <c r="MGY22" s="253" t="n"/>
      <c r="MGZ22" s="253" t="n"/>
      <c r="MHA22" s="253" t="n"/>
      <c r="MHB22" s="253" t="n"/>
      <c r="MHC22" s="253" t="n"/>
      <c r="MHD22" s="253" t="n"/>
      <c r="MHE22" s="253" t="n"/>
      <c r="MHF22" s="253" t="n"/>
      <c r="MHG22" s="253" t="n"/>
      <c r="MHH22" s="253" t="n"/>
      <c r="MHI22" s="253" t="n"/>
      <c r="MHJ22" s="253" t="n"/>
      <c r="MHK22" s="253" t="n"/>
      <c r="MHL22" s="253" t="n"/>
      <c r="MHM22" s="253" t="n"/>
      <c r="MHN22" s="253" t="n"/>
      <c r="MHO22" s="253" t="n"/>
      <c r="MHP22" s="253" t="n"/>
      <c r="MHQ22" s="253" t="n"/>
      <c r="MHR22" s="253" t="n"/>
      <c r="MHS22" s="253" t="n"/>
      <c r="MHT22" s="253" t="n"/>
      <c r="MHU22" s="253" t="n"/>
      <c r="MHV22" s="253" t="n"/>
      <c r="MHW22" s="253" t="n"/>
      <c r="MHX22" s="253" t="n"/>
      <c r="MHY22" s="253" t="n"/>
      <c r="MHZ22" s="253" t="n"/>
      <c r="MIA22" s="253" t="n"/>
      <c r="MIB22" s="253" t="n"/>
      <c r="MIC22" s="253" t="n"/>
      <c r="MID22" s="253" t="n"/>
      <c r="MIE22" s="253" t="n"/>
      <c r="MIF22" s="253" t="n"/>
      <c r="MIG22" s="253" t="n"/>
      <c r="MIH22" s="253" t="n"/>
      <c r="MII22" s="253" t="n"/>
      <c r="MIJ22" s="253" t="n"/>
      <c r="MIK22" s="253" t="n"/>
      <c r="MIL22" s="253" t="n"/>
      <c r="MIM22" s="253" t="n"/>
      <c r="MIN22" s="253" t="n"/>
      <c r="MIO22" s="253" t="n"/>
      <c r="MIP22" s="253" t="n"/>
      <c r="MIQ22" s="253" t="n"/>
      <c r="MIR22" s="253" t="n"/>
      <c r="MIS22" s="253" t="n"/>
      <c r="MIT22" s="253" t="n"/>
      <c r="MIU22" s="253" t="n"/>
      <c r="MIV22" s="253" t="n"/>
      <c r="MIW22" s="253" t="n"/>
      <c r="MIX22" s="253" t="n"/>
      <c r="MIY22" s="253" t="n"/>
      <c r="MIZ22" s="253" t="n"/>
      <c r="MJA22" s="253" t="n"/>
      <c r="MJB22" s="253" t="n"/>
      <c r="MJC22" s="253" t="n"/>
      <c r="MJD22" s="253" t="n"/>
      <c r="MJE22" s="253" t="n"/>
      <c r="MJF22" s="253" t="n"/>
      <c r="MJG22" s="253" t="n"/>
      <c r="MJH22" s="253" t="n"/>
      <c r="MJI22" s="253" t="n"/>
      <c r="MJJ22" s="253" t="n"/>
      <c r="MJK22" s="253" t="n"/>
      <c r="MJL22" s="253" t="n"/>
      <c r="MJM22" s="253" t="n"/>
      <c r="MJN22" s="253" t="n"/>
      <c r="MJO22" s="253" t="n"/>
      <c r="MJP22" s="253" t="n"/>
      <c r="MJQ22" s="253" t="n"/>
      <c r="MJR22" s="253" t="n"/>
      <c r="MJS22" s="253" t="n"/>
      <c r="MJT22" s="253" t="n"/>
      <c r="MJU22" s="253" t="n"/>
      <c r="MJV22" s="253" t="n"/>
      <c r="MJW22" s="253" t="n"/>
      <c r="MJX22" s="253" t="n"/>
      <c r="MJY22" s="253" t="n"/>
      <c r="MJZ22" s="253" t="n"/>
      <c r="MKA22" s="253" t="n"/>
      <c r="MKB22" s="253" t="n"/>
      <c r="MKC22" s="253" t="n"/>
      <c r="MKD22" s="253" t="n"/>
      <c r="MKE22" s="253" t="n"/>
      <c r="MKF22" s="253" t="n"/>
      <c r="MKG22" s="253" t="n"/>
      <c r="MKH22" s="253" t="n"/>
      <c r="MKI22" s="253" t="n"/>
      <c r="MKJ22" s="253" t="n"/>
      <c r="MKK22" s="253" t="n"/>
      <c r="MKL22" s="253" t="n"/>
      <c r="MKM22" s="253" t="n"/>
      <c r="MKN22" s="253" t="n"/>
      <c r="MKO22" s="253" t="n"/>
      <c r="MKP22" s="253" t="n"/>
      <c r="MKQ22" s="253" t="n"/>
      <c r="MKR22" s="253" t="n"/>
      <c r="MKS22" s="253" t="n"/>
      <c r="MKT22" s="253" t="n"/>
      <c r="MKU22" s="253" t="n"/>
      <c r="MKV22" s="253" t="n"/>
      <c r="MKW22" s="253" t="n"/>
      <c r="MKX22" s="253" t="n"/>
      <c r="MKY22" s="253" t="n"/>
      <c r="MKZ22" s="253" t="n"/>
      <c r="MLA22" s="253" t="n"/>
      <c r="MLB22" s="253" t="n"/>
      <c r="MLC22" s="253" t="n"/>
      <c r="MLD22" s="253" t="n"/>
      <c r="MLE22" s="253" t="n"/>
      <c r="MLF22" s="253" t="n"/>
      <c r="MLG22" s="253" t="n"/>
      <c r="MLH22" s="253" t="n"/>
      <c r="MLI22" s="253" t="n"/>
      <c r="MLJ22" s="253" t="n"/>
      <c r="MLK22" s="253" t="n"/>
      <c r="MLL22" s="253" t="n"/>
      <c r="MLM22" s="253" t="n"/>
      <c r="MLN22" s="253" t="n"/>
      <c r="MLO22" s="253" t="n"/>
      <c r="MLP22" s="253" t="n"/>
      <c r="MLQ22" s="253" t="n"/>
      <c r="MLR22" s="253" t="n"/>
      <c r="MLS22" s="253" t="n"/>
      <c r="MLT22" s="253" t="n"/>
      <c r="MLU22" s="253" t="n"/>
      <c r="MLV22" s="253" t="n"/>
      <c r="MLW22" s="253" t="n"/>
      <c r="MLX22" s="253" t="n"/>
      <c r="MLY22" s="253" t="n"/>
      <c r="MLZ22" s="253" t="n"/>
      <c r="MMA22" s="253" t="n"/>
      <c r="MMB22" s="253" t="n"/>
      <c r="MMC22" s="253" t="n"/>
      <c r="MMD22" s="253" t="n"/>
      <c r="MME22" s="253" t="n"/>
      <c r="MMF22" s="253" t="n"/>
      <c r="MMG22" s="253" t="n"/>
      <c r="MMH22" s="253" t="n"/>
      <c r="MMI22" s="253" t="n"/>
      <c r="MMJ22" s="253" t="n"/>
      <c r="MMK22" s="253" t="n"/>
      <c r="MML22" s="253" t="n"/>
      <c r="MMM22" s="253" t="n"/>
      <c r="MMN22" s="253" t="n"/>
      <c r="MMO22" s="253" t="n"/>
      <c r="MMP22" s="253" t="n"/>
      <c r="MMQ22" s="253" t="n"/>
      <c r="MMR22" s="253" t="n"/>
      <c r="MMS22" s="253" t="n"/>
      <c r="MMT22" s="253" t="n"/>
      <c r="MMU22" s="253" t="n"/>
      <c r="MMV22" s="253" t="n"/>
      <c r="MMW22" s="253" t="n"/>
      <c r="MMX22" s="253" t="n"/>
      <c r="MMY22" s="253" t="n"/>
      <c r="MMZ22" s="253" t="n"/>
      <c r="MNA22" s="253" t="n"/>
      <c r="MNB22" s="253" t="n"/>
      <c r="MNC22" s="253" t="n"/>
      <c r="MND22" s="253" t="n"/>
      <c r="MNE22" s="253" t="n"/>
      <c r="MNF22" s="253" t="n"/>
      <c r="MNG22" s="253" t="n"/>
      <c r="MNH22" s="253" t="n"/>
      <c r="MNI22" s="253" t="n"/>
      <c r="MNJ22" s="253" t="n"/>
      <c r="MNK22" s="253" t="n"/>
      <c r="MNL22" s="253" t="n"/>
      <c r="MNM22" s="253" t="n"/>
      <c r="MNN22" s="253" t="n"/>
      <c r="MNO22" s="253" t="n"/>
      <c r="MNP22" s="253" t="n"/>
      <c r="MNQ22" s="253" t="n"/>
      <c r="MNR22" s="253" t="n"/>
      <c r="MNS22" s="253" t="n"/>
      <c r="MNT22" s="253" t="n"/>
      <c r="MNU22" s="253" t="n"/>
      <c r="MNV22" s="253" t="n"/>
      <c r="MNW22" s="253" t="n"/>
      <c r="MNX22" s="253" t="n"/>
      <c r="MNY22" s="253" t="n"/>
      <c r="MNZ22" s="253" t="n"/>
      <c r="MOA22" s="253" t="n"/>
      <c r="MOB22" s="253" t="n"/>
      <c r="MOC22" s="253" t="n"/>
      <c r="MOD22" s="253" t="n"/>
      <c r="MOE22" s="253" t="n"/>
      <c r="MOF22" s="253" t="n"/>
      <c r="MOG22" s="253" t="n"/>
      <c r="MOH22" s="253" t="n"/>
      <c r="MOI22" s="253" t="n"/>
      <c r="MOJ22" s="253" t="n"/>
      <c r="MOK22" s="253" t="n"/>
      <c r="MOL22" s="253" t="n"/>
      <c r="MOM22" s="253" t="n"/>
      <c r="MON22" s="253" t="n"/>
      <c r="MOO22" s="253" t="n"/>
      <c r="MOP22" s="253" t="n"/>
      <c r="MOQ22" s="253" t="n"/>
      <c r="MOR22" s="253" t="n"/>
      <c r="MOS22" s="253" t="n"/>
      <c r="MOT22" s="253" t="n"/>
      <c r="MOU22" s="253" t="n"/>
      <c r="MOV22" s="253" t="n"/>
      <c r="MOW22" s="253" t="n"/>
      <c r="MOX22" s="253" t="n"/>
      <c r="MOY22" s="253" t="n"/>
      <c r="MOZ22" s="253" t="n"/>
      <c r="MPA22" s="253" t="n"/>
      <c r="MPB22" s="253" t="n"/>
      <c r="MPC22" s="253" t="n"/>
      <c r="MPD22" s="253" t="n"/>
      <c r="MPE22" s="253" t="n"/>
      <c r="MPF22" s="253" t="n"/>
      <c r="MPG22" s="253" t="n"/>
      <c r="MPH22" s="253" t="n"/>
      <c r="MPI22" s="253" t="n"/>
      <c r="MPJ22" s="253" t="n"/>
      <c r="MPK22" s="253" t="n"/>
      <c r="MPL22" s="253" t="n"/>
      <c r="MPM22" s="253" t="n"/>
      <c r="MPN22" s="253" t="n"/>
      <c r="MPO22" s="253" t="n"/>
      <c r="MPP22" s="253" t="n"/>
      <c r="MPQ22" s="253" t="n"/>
      <c r="MPR22" s="253" t="n"/>
      <c r="MPS22" s="253" t="n"/>
      <c r="MPT22" s="253" t="n"/>
      <c r="MPU22" s="253" t="n"/>
      <c r="MPV22" s="253" t="n"/>
      <c r="MPW22" s="253" t="n"/>
      <c r="MPX22" s="253" t="n"/>
      <c r="MPY22" s="253" t="n"/>
      <c r="MPZ22" s="253" t="n"/>
      <c r="MQA22" s="253" t="n"/>
      <c r="MQB22" s="253" t="n"/>
      <c r="MQC22" s="253" t="n"/>
      <c r="MQD22" s="253" t="n"/>
      <c r="MQE22" s="253" t="n"/>
      <c r="MQF22" s="253" t="n"/>
      <c r="MQG22" s="253" t="n"/>
      <c r="MQH22" s="253" t="n"/>
      <c r="MQI22" s="253" t="n"/>
      <c r="MQJ22" s="253" t="n"/>
      <c r="MQK22" s="253" t="n"/>
      <c r="MQL22" s="253" t="n"/>
      <c r="MQM22" s="253" t="n"/>
      <c r="MQN22" s="253" t="n"/>
      <c r="MQO22" s="253" t="n"/>
      <c r="MQP22" s="253" t="n"/>
      <c r="MQQ22" s="253" t="n"/>
      <c r="MQR22" s="253" t="n"/>
      <c r="MQS22" s="253" t="n"/>
      <c r="MQT22" s="253" t="n"/>
      <c r="MQU22" s="253" t="n"/>
      <c r="MQV22" s="253" t="n"/>
      <c r="MQW22" s="253" t="n"/>
      <c r="MQX22" s="253" t="n"/>
      <c r="MQY22" s="253" t="n"/>
      <c r="MQZ22" s="253" t="n"/>
      <c r="MRA22" s="253" t="n"/>
      <c r="MRB22" s="253" t="n"/>
      <c r="MRC22" s="253" t="n"/>
      <c r="MRD22" s="253" t="n"/>
      <c r="MRE22" s="253" t="n"/>
      <c r="MRF22" s="253" t="n"/>
      <c r="MRG22" s="253" t="n"/>
      <c r="MRH22" s="253" t="n"/>
      <c r="MRI22" s="253" t="n"/>
      <c r="MRJ22" s="253" t="n"/>
      <c r="MRK22" s="253" t="n"/>
      <c r="MRL22" s="253" t="n"/>
      <c r="MRM22" s="253" t="n"/>
      <c r="MRN22" s="253" t="n"/>
      <c r="MRO22" s="253" t="n"/>
      <c r="MRP22" s="253" t="n"/>
      <c r="MRQ22" s="253" t="n"/>
      <c r="MRR22" s="253" t="n"/>
      <c r="MRS22" s="253" t="n"/>
      <c r="MRT22" s="253" t="n"/>
      <c r="MRU22" s="253" t="n"/>
      <c r="MRV22" s="253" t="n"/>
      <c r="MRW22" s="253" t="n"/>
      <c r="MRX22" s="253" t="n"/>
      <c r="MRY22" s="253" t="n"/>
      <c r="MRZ22" s="253" t="n"/>
      <c r="MSA22" s="253" t="n"/>
      <c r="MSB22" s="253" t="n"/>
      <c r="MSC22" s="253" t="n"/>
      <c r="MSD22" s="253" t="n"/>
      <c r="MSE22" s="253" t="n"/>
      <c r="MSF22" s="253" t="n"/>
      <c r="MSG22" s="253" t="n"/>
      <c r="MSH22" s="253" t="n"/>
      <c r="MSI22" s="253" t="n"/>
      <c r="MSJ22" s="253" t="n"/>
      <c r="MSK22" s="253" t="n"/>
      <c r="MSL22" s="253" t="n"/>
      <c r="MSM22" s="253" t="n"/>
      <c r="MSN22" s="253" t="n"/>
      <c r="MSO22" s="253" t="n"/>
      <c r="MSP22" s="253" t="n"/>
      <c r="MSQ22" s="253" t="n"/>
      <c r="MSR22" s="253" t="n"/>
      <c r="MSS22" s="253" t="n"/>
      <c r="MST22" s="253" t="n"/>
      <c r="MSU22" s="253" t="n"/>
      <c r="MSV22" s="253" t="n"/>
      <c r="MSW22" s="253" t="n"/>
      <c r="MSX22" s="253" t="n"/>
      <c r="MSY22" s="253" t="n"/>
      <c r="MSZ22" s="253" t="n"/>
      <c r="MTA22" s="253" t="n"/>
      <c r="MTB22" s="253" t="n"/>
      <c r="MTC22" s="253" t="n"/>
      <c r="MTD22" s="253" t="n"/>
      <c r="MTE22" s="253" t="n"/>
      <c r="MTF22" s="253" t="n"/>
      <c r="MTG22" s="253" t="n"/>
      <c r="MTH22" s="253" t="n"/>
      <c r="MTI22" s="253" t="n"/>
      <c r="MTJ22" s="253" t="n"/>
      <c r="MTK22" s="253" t="n"/>
      <c r="MTL22" s="253" t="n"/>
      <c r="MTM22" s="253" t="n"/>
      <c r="MTN22" s="253" t="n"/>
      <c r="MTO22" s="253" t="n"/>
      <c r="MTP22" s="253" t="n"/>
      <c r="MTQ22" s="253" t="n"/>
      <c r="MTR22" s="253" t="n"/>
      <c r="MTS22" s="253" t="n"/>
      <c r="MTT22" s="253" t="n"/>
      <c r="MTU22" s="253" t="n"/>
      <c r="MTV22" s="253" t="n"/>
      <c r="MTW22" s="253" t="n"/>
      <c r="MTX22" s="253" t="n"/>
      <c r="MTY22" s="253" t="n"/>
      <c r="MTZ22" s="253" t="n"/>
      <c r="MUA22" s="253" t="n"/>
      <c r="MUB22" s="253" t="n"/>
      <c r="MUC22" s="253" t="n"/>
      <c r="MUD22" s="253" t="n"/>
      <c r="MUE22" s="253" t="n"/>
      <c r="MUF22" s="253" t="n"/>
      <c r="MUG22" s="253" t="n"/>
      <c r="MUH22" s="253" t="n"/>
      <c r="MUI22" s="253" t="n"/>
      <c r="MUJ22" s="253" t="n"/>
      <c r="MUK22" s="253" t="n"/>
      <c r="MUL22" s="253" t="n"/>
      <c r="MUM22" s="253" t="n"/>
      <c r="MUN22" s="253" t="n"/>
      <c r="MUO22" s="253" t="n"/>
      <c r="MUP22" s="253" t="n"/>
      <c r="MUQ22" s="253" t="n"/>
      <c r="MUR22" s="253" t="n"/>
      <c r="MUS22" s="253" t="n"/>
      <c r="MUT22" s="253" t="n"/>
      <c r="MUU22" s="253" t="n"/>
      <c r="MUV22" s="253" t="n"/>
      <c r="MUW22" s="253" t="n"/>
      <c r="MUX22" s="253" t="n"/>
      <c r="MUY22" s="253" t="n"/>
      <c r="MUZ22" s="253" t="n"/>
      <c r="MVA22" s="253" t="n"/>
      <c r="MVB22" s="253" t="n"/>
      <c r="MVC22" s="253" t="n"/>
      <c r="MVD22" s="253" t="n"/>
      <c r="MVE22" s="253" t="n"/>
      <c r="MVF22" s="253" t="n"/>
      <c r="MVG22" s="253" t="n"/>
      <c r="MVH22" s="253" t="n"/>
      <c r="MVI22" s="253" t="n"/>
      <c r="MVJ22" s="253" t="n"/>
      <c r="MVK22" s="253" t="n"/>
      <c r="MVL22" s="253" t="n"/>
      <c r="MVM22" s="253" t="n"/>
      <c r="MVN22" s="253" t="n"/>
      <c r="MVO22" s="253" t="n"/>
      <c r="MVP22" s="253" t="n"/>
      <c r="MVQ22" s="253" t="n"/>
      <c r="MVR22" s="253" t="n"/>
      <c r="MVS22" s="253" t="n"/>
      <c r="MVT22" s="253" t="n"/>
      <c r="MVU22" s="253" t="n"/>
      <c r="MVV22" s="253" t="n"/>
      <c r="MVW22" s="253" t="n"/>
      <c r="MVX22" s="253" t="n"/>
      <c r="MVY22" s="253" t="n"/>
      <c r="MVZ22" s="253" t="n"/>
      <c r="MWA22" s="253" t="n"/>
      <c r="MWB22" s="253" t="n"/>
      <c r="MWC22" s="253" t="n"/>
      <c r="MWD22" s="253" t="n"/>
      <c r="MWE22" s="253" t="n"/>
      <c r="MWF22" s="253" t="n"/>
      <c r="MWG22" s="253" t="n"/>
      <c r="MWH22" s="253" t="n"/>
      <c r="MWI22" s="253" t="n"/>
      <c r="MWJ22" s="253" t="n"/>
      <c r="MWK22" s="253" t="n"/>
      <c r="MWL22" s="253" t="n"/>
      <c r="MWM22" s="253" t="n"/>
      <c r="MWN22" s="253" t="n"/>
      <c r="MWO22" s="253" t="n"/>
      <c r="MWP22" s="253" t="n"/>
      <c r="MWQ22" s="253" t="n"/>
      <c r="MWR22" s="253" t="n"/>
      <c r="MWS22" s="253" t="n"/>
      <c r="MWT22" s="253" t="n"/>
      <c r="MWU22" s="253" t="n"/>
      <c r="MWV22" s="253" t="n"/>
      <c r="MWW22" s="253" t="n"/>
      <c r="MWX22" s="253" t="n"/>
      <c r="MWY22" s="253" t="n"/>
      <c r="MWZ22" s="253" t="n"/>
      <c r="MXA22" s="253" t="n"/>
      <c r="MXB22" s="253" t="n"/>
      <c r="MXC22" s="253" t="n"/>
      <c r="MXD22" s="253" t="n"/>
      <c r="MXE22" s="253" t="n"/>
      <c r="MXF22" s="253" t="n"/>
      <c r="MXG22" s="253" t="n"/>
      <c r="MXH22" s="253" t="n"/>
      <c r="MXI22" s="253" t="n"/>
      <c r="MXJ22" s="253" t="n"/>
      <c r="MXK22" s="253" t="n"/>
      <c r="MXL22" s="253" t="n"/>
      <c r="MXM22" s="253" t="n"/>
      <c r="MXN22" s="253" t="n"/>
      <c r="MXO22" s="253" t="n"/>
      <c r="MXP22" s="253" t="n"/>
      <c r="MXQ22" s="253" t="n"/>
      <c r="MXR22" s="253" t="n"/>
      <c r="MXS22" s="253" t="n"/>
      <c r="MXT22" s="253" t="n"/>
      <c r="MXU22" s="253" t="n"/>
      <c r="MXV22" s="253" t="n"/>
      <c r="MXW22" s="253" t="n"/>
      <c r="MXX22" s="253" t="n"/>
      <c r="MXY22" s="253" t="n"/>
      <c r="MXZ22" s="253" t="n"/>
      <c r="MYA22" s="253" t="n"/>
      <c r="MYB22" s="253" t="n"/>
      <c r="MYC22" s="253" t="n"/>
      <c r="MYD22" s="253" t="n"/>
      <c r="MYE22" s="253" t="n"/>
      <c r="MYF22" s="253" t="n"/>
      <c r="MYG22" s="253" t="n"/>
      <c r="MYH22" s="253" t="n"/>
      <c r="MYI22" s="253" t="n"/>
      <c r="MYJ22" s="253" t="n"/>
      <c r="MYK22" s="253" t="n"/>
      <c r="MYL22" s="253" t="n"/>
      <c r="MYM22" s="253" t="n"/>
      <c r="MYN22" s="253" t="n"/>
      <c r="MYO22" s="253" t="n"/>
      <c r="MYP22" s="253" t="n"/>
      <c r="MYQ22" s="253" t="n"/>
      <c r="MYR22" s="253" t="n"/>
      <c r="MYS22" s="253" t="n"/>
      <c r="MYT22" s="253" t="n"/>
      <c r="MYU22" s="253" t="n"/>
      <c r="MYV22" s="253" t="n"/>
      <c r="MYW22" s="253" t="n"/>
      <c r="MYX22" s="253" t="n"/>
      <c r="MYY22" s="253" t="n"/>
      <c r="MYZ22" s="253" t="n"/>
      <c r="MZA22" s="253" t="n"/>
      <c r="MZB22" s="253" t="n"/>
      <c r="MZC22" s="253" t="n"/>
      <c r="MZD22" s="253" t="n"/>
      <c r="MZE22" s="253" t="n"/>
      <c r="MZF22" s="253" t="n"/>
      <c r="MZG22" s="253" t="n"/>
      <c r="MZH22" s="253" t="n"/>
      <c r="MZI22" s="253" t="n"/>
      <c r="MZJ22" s="253" t="n"/>
      <c r="MZK22" s="253" t="n"/>
      <c r="MZL22" s="253" t="n"/>
      <c r="MZM22" s="253" t="n"/>
      <c r="MZN22" s="253" t="n"/>
      <c r="MZO22" s="253" t="n"/>
      <c r="MZP22" s="253" t="n"/>
      <c r="MZQ22" s="253" t="n"/>
      <c r="MZR22" s="253" t="n"/>
      <c r="MZS22" s="253" t="n"/>
      <c r="MZT22" s="253" t="n"/>
      <c r="MZU22" s="253" t="n"/>
      <c r="MZV22" s="253" t="n"/>
      <c r="MZW22" s="253" t="n"/>
      <c r="MZX22" s="253" t="n"/>
      <c r="MZY22" s="253" t="n"/>
      <c r="MZZ22" s="253" t="n"/>
      <c r="NAA22" s="253" t="n"/>
      <c r="NAB22" s="253" t="n"/>
      <c r="NAC22" s="253" t="n"/>
      <c r="NAD22" s="253" t="n"/>
      <c r="NAE22" s="253" t="n"/>
      <c r="NAF22" s="253" t="n"/>
      <c r="NAG22" s="253" t="n"/>
      <c r="NAH22" s="253" t="n"/>
      <c r="NAI22" s="253" t="n"/>
      <c r="NAJ22" s="253" t="n"/>
      <c r="NAK22" s="253" t="n"/>
      <c r="NAL22" s="253" t="n"/>
      <c r="NAM22" s="253" t="n"/>
      <c r="NAN22" s="253" t="n"/>
      <c r="NAO22" s="253" t="n"/>
      <c r="NAP22" s="253" t="n"/>
      <c r="NAQ22" s="253" t="n"/>
      <c r="NAR22" s="253" t="n"/>
      <c r="NAS22" s="253" t="n"/>
      <c r="NAT22" s="253" t="n"/>
      <c r="NAU22" s="253" t="n"/>
      <c r="NAV22" s="253" t="n"/>
      <c r="NAW22" s="253" t="n"/>
      <c r="NAX22" s="253" t="n"/>
      <c r="NAY22" s="253" t="n"/>
      <c r="NAZ22" s="253" t="n"/>
      <c r="NBA22" s="253" t="n"/>
      <c r="NBB22" s="253" t="n"/>
      <c r="NBC22" s="253" t="n"/>
      <c r="NBD22" s="253" t="n"/>
      <c r="NBE22" s="253" t="n"/>
      <c r="NBF22" s="253" t="n"/>
      <c r="NBG22" s="253" t="n"/>
      <c r="NBH22" s="253" t="n"/>
      <c r="NBI22" s="253" t="n"/>
      <c r="NBJ22" s="253" t="n"/>
      <c r="NBK22" s="253" t="n"/>
      <c r="NBL22" s="253" t="n"/>
      <c r="NBM22" s="253" t="n"/>
      <c r="NBN22" s="253" t="n"/>
      <c r="NBO22" s="253" t="n"/>
      <c r="NBP22" s="253" t="n"/>
      <c r="NBQ22" s="253" t="n"/>
      <c r="NBR22" s="253" t="n"/>
      <c r="NBS22" s="253" t="n"/>
      <c r="NBT22" s="253" t="n"/>
      <c r="NBU22" s="253" t="n"/>
      <c r="NBV22" s="253" t="n"/>
      <c r="NBW22" s="253" t="n"/>
      <c r="NBX22" s="253" t="n"/>
      <c r="NBY22" s="253" t="n"/>
      <c r="NBZ22" s="253" t="n"/>
      <c r="NCA22" s="253" t="n"/>
      <c r="NCB22" s="253" t="n"/>
      <c r="NCC22" s="253" t="n"/>
      <c r="NCD22" s="253" t="n"/>
      <c r="NCE22" s="253" t="n"/>
      <c r="NCF22" s="253" t="n"/>
      <c r="NCG22" s="253" t="n"/>
      <c r="NCH22" s="253" t="n"/>
      <c r="NCI22" s="253" t="n"/>
      <c r="NCJ22" s="253" t="n"/>
      <c r="NCK22" s="253" t="n"/>
      <c r="NCL22" s="253" t="n"/>
      <c r="NCM22" s="253" t="n"/>
      <c r="NCN22" s="253" t="n"/>
      <c r="NCO22" s="253" t="n"/>
      <c r="NCP22" s="253" t="n"/>
      <c r="NCQ22" s="253" t="n"/>
      <c r="NCR22" s="253" t="n"/>
      <c r="NCS22" s="253" t="n"/>
      <c r="NCT22" s="253" t="n"/>
      <c r="NCU22" s="253" t="n"/>
      <c r="NCV22" s="253" t="n"/>
      <c r="NCW22" s="253" t="n"/>
      <c r="NCX22" s="253" t="n"/>
      <c r="NCY22" s="253" t="n"/>
      <c r="NCZ22" s="253" t="n"/>
      <c r="NDA22" s="253" t="n"/>
      <c r="NDB22" s="253" t="n"/>
      <c r="NDC22" s="253" t="n"/>
      <c r="NDD22" s="253" t="n"/>
      <c r="NDE22" s="253" t="n"/>
      <c r="NDF22" s="253" t="n"/>
      <c r="NDG22" s="253" t="n"/>
      <c r="NDH22" s="253" t="n"/>
      <c r="NDI22" s="253" t="n"/>
      <c r="NDJ22" s="253" t="n"/>
      <c r="NDK22" s="253" t="n"/>
      <c r="NDL22" s="253" t="n"/>
      <c r="NDM22" s="253" t="n"/>
      <c r="NDN22" s="253" t="n"/>
      <c r="NDO22" s="253" t="n"/>
      <c r="NDP22" s="253" t="n"/>
      <c r="NDQ22" s="253" t="n"/>
      <c r="NDR22" s="253" t="n"/>
      <c r="NDS22" s="253" t="n"/>
      <c r="NDT22" s="253" t="n"/>
      <c r="NDU22" s="253" t="n"/>
      <c r="NDV22" s="253" t="n"/>
      <c r="NDW22" s="253" t="n"/>
      <c r="NDX22" s="253" t="n"/>
      <c r="NDY22" s="253" t="n"/>
      <c r="NDZ22" s="253" t="n"/>
      <c r="NEA22" s="253" t="n"/>
      <c r="NEB22" s="253" t="n"/>
      <c r="NEC22" s="253" t="n"/>
      <c r="NED22" s="253" t="n"/>
      <c r="NEE22" s="253" t="n"/>
      <c r="NEF22" s="253" t="n"/>
      <c r="NEG22" s="253" t="n"/>
      <c r="NEH22" s="253" t="n"/>
      <c r="NEI22" s="253" t="n"/>
      <c r="NEJ22" s="253" t="n"/>
      <c r="NEK22" s="253" t="n"/>
      <c r="NEL22" s="253" t="n"/>
      <c r="NEM22" s="253" t="n"/>
      <c r="NEN22" s="253" t="n"/>
      <c r="NEO22" s="253" t="n"/>
      <c r="NEP22" s="253" t="n"/>
      <c r="NEQ22" s="253" t="n"/>
      <c r="NER22" s="253" t="n"/>
      <c r="NES22" s="253" t="n"/>
      <c r="NET22" s="253" t="n"/>
      <c r="NEU22" s="253" t="n"/>
      <c r="NEV22" s="253" t="n"/>
      <c r="NEW22" s="253" t="n"/>
      <c r="NEX22" s="253" t="n"/>
      <c r="NEY22" s="253" t="n"/>
      <c r="NEZ22" s="253" t="n"/>
      <c r="NFA22" s="253" t="n"/>
      <c r="NFB22" s="253" t="n"/>
      <c r="NFC22" s="253" t="n"/>
      <c r="NFD22" s="253" t="n"/>
      <c r="NFE22" s="253" t="n"/>
      <c r="NFF22" s="253" t="n"/>
      <c r="NFG22" s="253" t="n"/>
      <c r="NFH22" s="253" t="n"/>
      <c r="NFI22" s="253" t="n"/>
      <c r="NFJ22" s="253" t="n"/>
      <c r="NFK22" s="253" t="n"/>
      <c r="NFL22" s="253" t="n"/>
      <c r="NFM22" s="253" t="n"/>
      <c r="NFN22" s="253" t="n"/>
      <c r="NFO22" s="87" t="n"/>
    </row>
    <row r="23">
      <c r="KFK23" s="253" t="n"/>
      <c r="KFL23" s="253" t="n"/>
      <c r="KFM23" s="253" t="n"/>
      <c r="KFN23" s="253" t="n"/>
      <c r="KFO23" s="253" t="n"/>
      <c r="KFP23" s="253" t="n"/>
      <c r="KFQ23" s="253" t="n"/>
      <c r="KFR23" s="253" t="n"/>
      <c r="KFS23" s="253" t="n"/>
      <c r="KFT23" s="253" t="n"/>
      <c r="KFU23" s="253" t="n"/>
      <c r="KFV23" s="253" t="n"/>
      <c r="KFW23" s="253" t="n"/>
      <c r="KFX23" s="253" t="n"/>
      <c r="KFY23" s="253" t="n"/>
      <c r="KFZ23" s="253" t="n"/>
      <c r="KGA23" s="253" t="n"/>
      <c r="KGB23" s="253" t="n"/>
      <c r="KGC23" s="253" t="n"/>
      <c r="KGD23" s="253" t="n"/>
      <c r="KGE23" s="253" t="n"/>
      <c r="KGF23" s="253" t="n"/>
      <c r="KGG23" s="253" t="n"/>
      <c r="KGH23" s="253" t="n"/>
      <c r="KGI23" s="253" t="n"/>
      <c r="KGJ23" s="253" t="n"/>
      <c r="KGK23" s="253" t="n"/>
      <c r="KGL23" s="253" t="n"/>
      <c r="KGM23" s="253" t="n"/>
      <c r="KGN23" s="253" t="n"/>
      <c r="KGO23" s="253" t="n"/>
      <c r="KGP23" s="253" t="n"/>
      <c r="KGQ23" s="253" t="n"/>
      <c r="KGR23" s="253" t="n"/>
      <c r="KGS23" s="253" t="n"/>
      <c r="KGT23" s="253" t="n"/>
      <c r="KGU23" s="253" t="n"/>
      <c r="KGV23" s="253" t="n"/>
      <c r="KGW23" s="253" t="n"/>
      <c r="KGX23" s="253" t="n"/>
      <c r="KGY23" s="253" t="n"/>
      <c r="KGZ23" s="253" t="n"/>
      <c r="KHA23" s="253" t="n"/>
      <c r="KHB23" s="253" t="n"/>
      <c r="KHC23" s="253" t="n"/>
      <c r="KHD23" s="253" t="n"/>
      <c r="KHE23" s="253" t="n"/>
      <c r="KHF23" s="253" t="n"/>
      <c r="KHG23" s="253" t="n"/>
      <c r="KHH23" s="253" t="n"/>
      <c r="KHI23" s="253" t="n"/>
      <c r="KHJ23" s="253" t="n"/>
      <c r="KHK23" s="253" t="n"/>
      <c r="KHL23" s="253" t="n"/>
      <c r="KHM23" s="253" t="n"/>
      <c r="KHN23" s="253" t="n"/>
      <c r="KHO23" s="253" t="n"/>
      <c r="KHP23" s="253" t="n"/>
      <c r="KHQ23" s="253" t="n"/>
      <c r="KHR23" s="253" t="n"/>
      <c r="KHS23" s="253" t="n"/>
      <c r="KHT23" s="253" t="n"/>
      <c r="KHU23" s="253" t="n"/>
      <c r="KHV23" s="253" t="n"/>
      <c r="KHW23" s="253" t="n"/>
      <c r="KHX23" s="253" t="n"/>
      <c r="KHY23" s="253" t="n"/>
      <c r="KHZ23" s="253" t="n"/>
      <c r="KIA23" s="253" t="n"/>
      <c r="KIB23" s="253" t="n"/>
      <c r="KIC23" s="253" t="n"/>
      <c r="KID23" s="253" t="n"/>
      <c r="KIE23" s="253" t="n"/>
      <c r="KIF23" s="253" t="n"/>
      <c r="KIG23" s="253" t="n"/>
      <c r="KIH23" s="253" t="n"/>
      <c r="KII23" s="253" t="n"/>
      <c r="KIJ23" s="253" t="n"/>
      <c r="KIK23" s="253" t="n"/>
      <c r="KIL23" s="253" t="n"/>
      <c r="KIM23" s="253" t="n"/>
      <c r="KIN23" s="253" t="n"/>
      <c r="KIO23" s="253" t="n"/>
      <c r="KIP23" s="253" t="n"/>
      <c r="KIQ23" s="253" t="n"/>
      <c r="KIR23" s="253" t="n"/>
      <c r="KIS23" s="253" t="n"/>
      <c r="KIT23" s="253" t="n"/>
      <c r="KIU23" s="253" t="n"/>
      <c r="KIV23" s="253" t="n"/>
      <c r="KIW23" s="253" t="n"/>
      <c r="KIX23" s="253" t="n"/>
      <c r="KIY23" s="253" t="n"/>
      <c r="KIZ23" s="253" t="n"/>
      <c r="KJA23" s="253" t="n"/>
      <c r="KJB23" s="253" t="n"/>
      <c r="KJC23" s="253" t="n"/>
      <c r="KJD23" s="253" t="n"/>
      <c r="KJE23" s="253" t="n"/>
      <c r="KJF23" s="253" t="n"/>
      <c r="KJG23" s="253" t="n"/>
      <c r="KJH23" s="253" t="n"/>
      <c r="KJI23" s="253" t="n"/>
      <c r="KJJ23" s="253" t="n"/>
      <c r="KJK23" s="253" t="n"/>
      <c r="KJL23" s="253" t="n"/>
      <c r="KJM23" s="253" t="n"/>
      <c r="KJN23" s="253" t="n"/>
      <c r="KJO23" s="253" t="n"/>
      <c r="KJP23" s="253" t="n"/>
      <c r="KJQ23" s="253" t="n"/>
      <c r="KJR23" s="253" t="n"/>
      <c r="KJS23" s="253" t="n"/>
      <c r="KJT23" s="253" t="n"/>
      <c r="KJU23" s="253" t="n"/>
      <c r="KJV23" s="253" t="n"/>
      <c r="KJW23" s="253" t="n"/>
      <c r="KJX23" s="253" t="n"/>
      <c r="KJY23" s="253" t="n"/>
      <c r="KJZ23" s="253" t="n"/>
      <c r="KKA23" s="253" t="n"/>
      <c r="KKB23" s="253" t="n"/>
      <c r="KKC23" s="253" t="n"/>
      <c r="KKD23" s="253" t="n"/>
      <c r="KKE23" s="253" t="n"/>
      <c r="KKF23" s="253" t="n"/>
      <c r="KKG23" s="253" t="n"/>
      <c r="KKH23" s="253" t="n"/>
      <c r="KKI23" s="253" t="n"/>
      <c r="KKJ23" s="253" t="n"/>
      <c r="KKK23" s="253" t="n"/>
      <c r="KKL23" s="253" t="n"/>
      <c r="KKM23" s="253" t="n"/>
      <c r="KKN23" s="253" t="n"/>
      <c r="KKO23" s="253" t="n"/>
      <c r="KKP23" s="253" t="n"/>
      <c r="KKQ23" s="253" t="n"/>
      <c r="KKR23" s="253" t="n"/>
      <c r="KKS23" s="253" t="n"/>
      <c r="KKT23" s="253" t="n"/>
      <c r="KKU23" s="253" t="n"/>
      <c r="KKV23" s="253" t="n"/>
      <c r="KKW23" s="253" t="n"/>
      <c r="KKX23" s="253" t="n"/>
      <c r="KKY23" s="253" t="n"/>
      <c r="KKZ23" s="253" t="n"/>
      <c r="KLA23" s="253" t="n"/>
      <c r="KLB23" s="253" t="n"/>
      <c r="KLC23" s="253" t="n"/>
      <c r="KLD23" s="253" t="n"/>
      <c r="KLE23" s="253" t="n"/>
      <c r="KLF23" s="253" t="n"/>
      <c r="KLG23" s="253" t="n"/>
      <c r="KLH23" s="253" t="n"/>
      <c r="KLI23" s="253" t="n"/>
      <c r="KLJ23" s="253" t="n"/>
      <c r="KLK23" s="253" t="n"/>
      <c r="KLL23" s="253" t="n"/>
      <c r="KLM23" s="253" t="n"/>
      <c r="KLN23" s="253" t="n"/>
      <c r="KLO23" s="253" t="n"/>
      <c r="KLP23" s="253" t="n"/>
      <c r="KLQ23" s="253" t="n"/>
      <c r="KLR23" s="253" t="n"/>
      <c r="KLS23" s="253" t="n"/>
      <c r="KLT23" s="253" t="n"/>
      <c r="KLU23" s="253" t="n"/>
      <c r="KLV23" s="253" t="n"/>
      <c r="KLW23" s="253" t="n"/>
      <c r="KLX23" s="253" t="n"/>
      <c r="KLY23" s="253" t="n"/>
      <c r="KLZ23" s="253" t="n"/>
      <c r="KMA23" s="253" t="n"/>
      <c r="KMB23" s="253" t="n"/>
      <c r="KMC23" s="253" t="n"/>
      <c r="KMD23" s="253" t="n"/>
      <c r="KME23" s="253" t="n"/>
      <c r="KMF23" s="253" t="n"/>
      <c r="KMG23" s="253" t="n"/>
      <c r="KMH23" s="253" t="n"/>
      <c r="KMI23" s="253" t="n"/>
      <c r="KMJ23" s="253" t="n"/>
      <c r="KMK23" s="253" t="n"/>
      <c r="KML23" s="253" t="n"/>
      <c r="KMM23" s="253" t="n"/>
      <c r="KMN23" s="253" t="n"/>
      <c r="KMO23" s="253" t="n"/>
      <c r="KMP23" s="253" t="n"/>
      <c r="KMQ23" s="253" t="n"/>
      <c r="KMR23" s="253" t="n"/>
      <c r="KMS23" s="253" t="n"/>
      <c r="KMT23" s="253" t="n"/>
      <c r="KMU23" s="253" t="n"/>
      <c r="KMV23" s="253" t="n"/>
      <c r="KMW23" s="253" t="n"/>
      <c r="KMX23" s="253" t="n"/>
      <c r="KMY23" s="253" t="n"/>
      <c r="KMZ23" s="253" t="n"/>
      <c r="KNA23" s="253" t="n"/>
      <c r="KNB23" s="253" t="n"/>
      <c r="KNC23" s="253" t="n"/>
      <c r="KND23" s="253" t="n"/>
      <c r="KNE23" s="253" t="n"/>
      <c r="KNF23" s="253" t="n"/>
      <c r="KNG23" s="253" t="n"/>
      <c r="KNH23" s="253" t="n"/>
      <c r="KNI23" s="253" t="n"/>
      <c r="KNJ23" s="253" t="n"/>
      <c r="KNK23" s="253" t="n"/>
      <c r="KNL23" s="253" t="n"/>
      <c r="KNM23" s="253" t="n"/>
      <c r="KNN23" s="253" t="n"/>
      <c r="KNO23" s="253" t="n"/>
      <c r="KNP23" s="253" t="n"/>
      <c r="KNQ23" s="253" t="n"/>
      <c r="KNR23" s="253" t="n"/>
      <c r="KNS23" s="253" t="n"/>
      <c r="KNT23" s="253" t="n"/>
      <c r="KNU23" s="253" t="n"/>
      <c r="KNV23" s="253" t="n"/>
      <c r="KNW23" s="253" t="n"/>
      <c r="KNX23" s="253" t="n"/>
      <c r="KNY23" s="253" t="n"/>
      <c r="KNZ23" s="253" t="n"/>
      <c r="KOA23" s="253" t="n"/>
      <c r="KOB23" s="253" t="n"/>
      <c r="KOC23" s="253" t="n"/>
      <c r="KOD23" s="253" t="n"/>
      <c r="KOE23" s="253" t="n"/>
      <c r="KOF23" s="253" t="n"/>
      <c r="KOG23" s="253" t="n"/>
      <c r="KOH23" s="253" t="n"/>
      <c r="KOI23" s="253" t="n"/>
      <c r="KOJ23" s="253" t="n"/>
      <c r="KOK23" s="253" t="n"/>
      <c r="KOL23" s="253" t="n"/>
      <c r="KOM23" s="253" t="n"/>
      <c r="KON23" s="253" t="n"/>
      <c r="KOO23" s="253" t="n"/>
      <c r="KOP23" s="253" t="n"/>
      <c r="KOQ23" s="253" t="n"/>
      <c r="KOR23" s="253" t="n"/>
      <c r="KOS23" s="253" t="n"/>
      <c r="KOT23" s="253" t="n"/>
      <c r="KOU23" s="253" t="n"/>
      <c r="KOV23" s="253" t="n"/>
      <c r="KOW23" s="253" t="n"/>
      <c r="KOX23" s="253" t="n"/>
      <c r="KOY23" s="253" t="n"/>
      <c r="KOZ23" s="253" t="n"/>
      <c r="KPA23" s="253" t="n"/>
      <c r="KPB23" s="253" t="n"/>
      <c r="KPC23" s="253" t="n"/>
      <c r="KPD23" s="253" t="n"/>
      <c r="KPE23" s="253" t="n"/>
      <c r="KPF23" s="253" t="n"/>
      <c r="KPG23" s="253" t="n"/>
      <c r="KPH23" s="253" t="n"/>
      <c r="KPI23" s="253" t="n"/>
      <c r="KPJ23" s="253" t="n"/>
      <c r="KPK23" s="253" t="n"/>
      <c r="KPL23" s="253" t="n"/>
      <c r="KPM23" s="253" t="n"/>
      <c r="KPN23" s="253" t="n"/>
      <c r="KPO23" s="253" t="n"/>
      <c r="KPP23" s="253" t="n"/>
      <c r="KPQ23" s="253" t="n"/>
      <c r="KPR23" s="253" t="n"/>
      <c r="KPS23" s="253" t="n"/>
      <c r="KPT23" s="253" t="n"/>
      <c r="KPU23" s="253" t="n"/>
      <c r="KPV23" s="253" t="n"/>
      <c r="KPW23" s="253" t="n"/>
      <c r="KPX23" s="253" t="n"/>
      <c r="KPY23" s="253" t="n"/>
      <c r="KPZ23" s="253" t="n"/>
      <c r="KQA23" s="253" t="n"/>
      <c r="KQB23" s="253" t="n"/>
      <c r="KQC23" s="253" t="n"/>
      <c r="KQD23" s="253" t="n"/>
      <c r="KQE23" s="253" t="n"/>
      <c r="KQF23" s="253" t="n"/>
      <c r="KQG23" s="253" t="n"/>
      <c r="KQH23" s="253" t="n"/>
      <c r="KQI23" s="253" t="n"/>
      <c r="KQJ23" s="253" t="n"/>
      <c r="KQK23" s="253" t="n"/>
      <c r="KQL23" s="253" t="n"/>
      <c r="KQM23" s="253" t="n"/>
      <c r="KQN23" s="253" t="n"/>
      <c r="KQO23" s="253" t="n"/>
      <c r="KQP23" s="253" t="n"/>
      <c r="KQQ23" s="253" t="n"/>
      <c r="KQR23" s="253" t="n"/>
      <c r="KQS23" s="253" t="n"/>
      <c r="KQT23" s="253" t="n"/>
      <c r="KQU23" s="253" t="n"/>
      <c r="KQV23" s="253" t="n"/>
      <c r="KQW23" s="253" t="n"/>
      <c r="KQX23" s="253" t="n"/>
      <c r="KQY23" s="253" t="n"/>
      <c r="KQZ23" s="253" t="n"/>
      <c r="KRA23" s="253" t="n"/>
      <c r="KRB23" s="253" t="n"/>
      <c r="KRC23" s="253" t="n"/>
      <c r="KRD23" s="253" t="n"/>
      <c r="KRE23" s="253" t="n"/>
      <c r="KRF23" s="253" t="n"/>
      <c r="KRG23" s="253" t="n"/>
      <c r="KRH23" s="253" t="n"/>
      <c r="KRI23" s="253" t="n"/>
      <c r="KRJ23" s="253" t="n"/>
      <c r="KRK23" s="253" t="n"/>
      <c r="KRL23" s="253" t="n"/>
      <c r="KRM23" s="253" t="n"/>
      <c r="KRN23" s="253" t="n"/>
      <c r="KRO23" s="253" t="n"/>
      <c r="KRP23" s="253" t="n"/>
      <c r="KRQ23" s="253" t="n"/>
      <c r="KRR23" s="253" t="n"/>
      <c r="KRS23" s="253" t="n"/>
      <c r="KRT23" s="253" t="n"/>
      <c r="KRU23" s="253" t="n"/>
      <c r="KRV23" s="253" t="n"/>
      <c r="KRW23" s="253" t="n"/>
      <c r="KRX23" s="253" t="n"/>
      <c r="KRY23" s="253" t="n"/>
      <c r="KRZ23" s="253" t="n"/>
      <c r="KSA23" s="253" t="n"/>
      <c r="KSB23" s="253" t="n"/>
      <c r="KSC23" s="253" t="n"/>
      <c r="KSD23" s="253" t="n"/>
      <c r="KSE23" s="253" t="n"/>
      <c r="KSF23" s="253" t="n"/>
      <c r="KSG23" s="253" t="n"/>
      <c r="KSH23" s="253" t="n"/>
      <c r="KSI23" s="253" t="n"/>
      <c r="KSJ23" s="253" t="n"/>
      <c r="KSK23" s="253" t="n"/>
      <c r="KSL23" s="253" t="n"/>
      <c r="KSM23" s="253" t="n"/>
      <c r="KSN23" s="253" t="n"/>
      <c r="KSO23" s="253" t="n"/>
      <c r="KSP23" s="253" t="n"/>
      <c r="KSQ23" s="253" t="n"/>
      <c r="KSR23" s="253" t="n"/>
      <c r="KSS23" s="253" t="n"/>
      <c r="KST23" s="253" t="n"/>
      <c r="KSU23" s="253" t="n"/>
      <c r="KSV23" s="253" t="n"/>
      <c r="KSW23" s="253" t="n"/>
      <c r="KSX23" s="253" t="n"/>
      <c r="KSY23" s="253" t="n"/>
      <c r="KSZ23" s="253" t="n"/>
      <c r="KTA23" s="253" t="n"/>
      <c r="KTB23" s="253" t="n"/>
      <c r="KTC23" s="253" t="n"/>
      <c r="KTD23" s="253" t="n"/>
      <c r="KTE23" s="253" t="n"/>
      <c r="KTF23" s="253" t="n"/>
      <c r="KTG23" s="253" t="n"/>
      <c r="KTH23" s="253" t="n"/>
      <c r="KTI23" s="253" t="n"/>
      <c r="KTJ23" s="253" t="n"/>
      <c r="KTK23" s="253" t="n"/>
      <c r="KTL23" s="253" t="n"/>
      <c r="KTM23" s="253" t="n"/>
      <c r="KTN23" s="253" t="n"/>
      <c r="KTO23" s="253" t="n"/>
      <c r="KTP23" s="253" t="n"/>
      <c r="KTQ23" s="253" t="n"/>
      <c r="KTR23" s="253" t="n"/>
      <c r="KTS23" s="253" t="n"/>
      <c r="KTT23" s="253" t="n"/>
      <c r="KTU23" s="253" t="n"/>
      <c r="KTV23" s="253" t="n"/>
      <c r="KTW23" s="253" t="n"/>
      <c r="KTX23" s="253" t="n"/>
      <c r="KTY23" s="253" t="n"/>
      <c r="KTZ23" s="253" t="n"/>
      <c r="KUA23" s="253" t="n"/>
      <c r="KUB23" s="253" t="n"/>
      <c r="KUC23" s="253" t="n"/>
      <c r="KUD23" s="253" t="n"/>
      <c r="KUE23" s="253" t="n"/>
      <c r="KUF23" s="253" t="n"/>
      <c r="KUG23" s="253" t="n"/>
      <c r="KUH23" s="253" t="n"/>
      <c r="KUI23" s="253" t="n"/>
      <c r="KUJ23" s="253" t="n"/>
      <c r="KUK23" s="253" t="n"/>
      <c r="KUL23" s="253" t="n"/>
      <c r="KUM23" s="253" t="n"/>
      <c r="KUN23" s="253" t="n"/>
      <c r="KUO23" s="253" t="n"/>
      <c r="KUP23" s="253" t="n"/>
      <c r="KUQ23" s="253" t="n"/>
      <c r="KUR23" s="253" t="n"/>
      <c r="KUS23" s="253" t="n"/>
      <c r="KUT23" s="253" t="n"/>
      <c r="KUU23" s="253" t="n"/>
      <c r="KUV23" s="253" t="n"/>
      <c r="KUW23" s="253" t="n"/>
      <c r="KUX23" s="253" t="n"/>
      <c r="KUY23" s="253" t="n"/>
      <c r="KUZ23" s="253" t="n"/>
      <c r="KVA23" s="253" t="n"/>
      <c r="KVB23" s="253" t="n"/>
      <c r="KVC23" s="253" t="n"/>
      <c r="KVD23" s="253" t="n"/>
      <c r="KVE23" s="253" t="n"/>
      <c r="KVF23" s="253" t="n"/>
      <c r="KVG23" s="253" t="n"/>
      <c r="KVH23" s="253" t="n"/>
      <c r="KVI23" s="253" t="n"/>
      <c r="KVJ23" s="253" t="n"/>
      <c r="KVK23" s="253" t="n"/>
      <c r="KVL23" s="253" t="n"/>
      <c r="KVM23" s="253" t="n"/>
      <c r="KVN23" s="253" t="n"/>
      <c r="KVO23" s="253" t="n"/>
      <c r="KVP23" s="253" t="n"/>
      <c r="KVQ23" s="253" t="n"/>
      <c r="KVR23" s="253" t="n"/>
      <c r="KVS23" s="253" t="n"/>
      <c r="KVT23" s="253" t="n"/>
      <c r="KVU23" s="253" t="n"/>
      <c r="KVV23" s="253" t="n"/>
      <c r="KVW23" s="253" t="n"/>
      <c r="KVX23" s="253" t="n"/>
      <c r="KVY23" s="253" t="n"/>
      <c r="KVZ23" s="253" t="n"/>
      <c r="KWA23" s="253" t="n"/>
      <c r="KWB23" s="253" t="n"/>
      <c r="KWC23" s="253" t="n"/>
      <c r="KWD23" s="253" t="n"/>
      <c r="KWE23" s="253" t="n"/>
      <c r="KWF23" s="253" t="n"/>
      <c r="KWG23" s="253" t="n"/>
      <c r="KWH23" s="253" t="n"/>
      <c r="KWI23" s="253" t="n"/>
      <c r="KWJ23" s="253" t="n"/>
      <c r="KWK23" s="253" t="n"/>
      <c r="KWL23" s="253" t="n"/>
      <c r="KWM23" s="253" t="n"/>
      <c r="KWN23" s="253" t="n"/>
      <c r="KWO23" s="253" t="n"/>
      <c r="KWP23" s="253" t="n"/>
      <c r="KWQ23" s="253" t="n"/>
      <c r="KWR23" s="253" t="n"/>
      <c r="KWS23" s="253" t="n"/>
      <c r="KWT23" s="253" t="n"/>
      <c r="KWU23" s="253" t="n"/>
      <c r="KWV23" s="253" t="n"/>
      <c r="KWW23" s="253" t="n"/>
      <c r="KWX23" s="253" t="n"/>
      <c r="KWY23" s="253" t="n"/>
      <c r="KWZ23" s="253" t="n"/>
      <c r="KXA23" s="253" t="n"/>
      <c r="KXB23" s="253" t="n"/>
      <c r="KXC23" s="253" t="n"/>
      <c r="KXD23" s="253" t="n"/>
      <c r="KXE23" s="253" t="n"/>
      <c r="KXF23" s="253" t="n"/>
      <c r="KXG23" s="253" t="n"/>
      <c r="KXH23" s="253" t="n"/>
      <c r="KXI23" s="253" t="n"/>
      <c r="KXJ23" s="253" t="n"/>
      <c r="KXK23" s="253" t="n"/>
      <c r="KXL23" s="253" t="n"/>
      <c r="KXM23" s="253" t="n"/>
      <c r="KXN23" s="253" t="n"/>
      <c r="KXO23" s="253" t="n"/>
      <c r="KXP23" s="253" t="n"/>
      <c r="KXQ23" s="253" t="n"/>
      <c r="KXR23" s="253" t="n"/>
      <c r="KXS23" s="253" t="n"/>
      <c r="KXT23" s="253" t="n"/>
      <c r="KXU23" s="253" t="n"/>
      <c r="KXV23" s="253" t="n"/>
      <c r="KXW23" s="253" t="n"/>
      <c r="KXX23" s="253" t="n"/>
      <c r="KXY23" s="253" t="n"/>
      <c r="KXZ23" s="253" t="n"/>
      <c r="KYA23" s="253" t="n"/>
      <c r="KYB23" s="253" t="n"/>
      <c r="KYC23" s="253" t="n"/>
      <c r="KYD23" s="253" t="n"/>
      <c r="KYE23" s="253" t="n"/>
      <c r="KYF23" s="253" t="n"/>
      <c r="KYG23" s="253" t="n"/>
      <c r="KYH23" s="253" t="n"/>
      <c r="KYI23" s="253" t="n"/>
      <c r="KYJ23" s="253" t="n"/>
      <c r="KYK23" s="253" t="n"/>
      <c r="KYL23" s="253" t="n"/>
      <c r="KYM23" s="253" t="n"/>
      <c r="KYN23" s="253" t="n"/>
      <c r="KYO23" s="253" t="n"/>
      <c r="KYP23" s="253" t="n"/>
      <c r="KYQ23" s="253" t="n"/>
      <c r="KYR23" s="253" t="n"/>
      <c r="KYS23" s="253" t="n"/>
      <c r="KYT23" s="253" t="n"/>
      <c r="KYU23" s="253" t="n"/>
      <c r="KYV23" s="253" t="n"/>
      <c r="KYW23" s="253" t="n"/>
      <c r="KYX23" s="253" t="n"/>
      <c r="KYY23" s="253" t="n"/>
      <c r="KYZ23" s="253" t="n"/>
      <c r="KZA23" s="253" t="n"/>
      <c r="KZB23" s="253" t="n"/>
      <c r="KZC23" s="253" t="n"/>
      <c r="KZD23" s="253" t="n"/>
      <c r="KZE23" s="253" t="n"/>
      <c r="KZF23" s="253" t="n"/>
      <c r="KZG23" s="253" t="n"/>
      <c r="KZH23" s="253" t="n"/>
      <c r="KZI23" s="253" t="n"/>
      <c r="KZJ23" s="253" t="n"/>
      <c r="KZK23" s="253" t="n"/>
      <c r="KZL23" s="253" t="n"/>
      <c r="KZM23" s="253" t="n"/>
      <c r="KZN23" s="253" t="n"/>
      <c r="KZO23" s="253" t="n"/>
      <c r="KZP23" s="253" t="n"/>
      <c r="KZQ23" s="253" t="n"/>
      <c r="KZR23" s="253" t="n"/>
      <c r="KZS23" s="253" t="n"/>
      <c r="KZT23" s="253" t="n"/>
      <c r="KZU23" s="253" t="n"/>
      <c r="KZV23" s="253" t="n"/>
      <c r="KZW23" s="253" t="n"/>
      <c r="KZX23" s="253" t="n"/>
      <c r="KZY23" s="253" t="n"/>
      <c r="KZZ23" s="253" t="n"/>
      <c r="LAA23" s="253" t="n"/>
      <c r="LAB23" s="253" t="n"/>
      <c r="LAC23" s="253" t="n"/>
      <c r="LAD23" s="253" t="n"/>
      <c r="LAE23" s="253" t="n"/>
      <c r="LAF23" s="253" t="n"/>
      <c r="LAG23" s="253" t="n"/>
      <c r="LAH23" s="253" t="n"/>
      <c r="LAI23" s="253" t="n"/>
      <c r="LAJ23" s="253" t="n"/>
      <c r="LAK23" s="253" t="n"/>
      <c r="LAL23" s="253" t="n"/>
      <c r="LAM23" s="253" t="n"/>
      <c r="LAN23" s="253" t="n"/>
      <c r="LAO23" s="253" t="n"/>
      <c r="LAP23" s="253" t="n"/>
      <c r="LAQ23" s="253" t="n"/>
      <c r="LAR23" s="253" t="n"/>
      <c r="LAS23" s="253" t="n"/>
      <c r="LAT23" s="253" t="n"/>
      <c r="LAU23" s="253" t="n"/>
      <c r="LAV23" s="253" t="n"/>
      <c r="LAW23" s="253" t="n"/>
      <c r="LAX23" s="253" t="n"/>
      <c r="LAY23" s="253" t="n"/>
      <c r="LAZ23" s="253" t="n"/>
      <c r="LBA23" s="253" t="n"/>
      <c r="LBB23" s="253" t="n"/>
      <c r="LBC23" s="253" t="n"/>
      <c r="LBD23" s="253" t="n"/>
      <c r="LBE23" s="253" t="n"/>
      <c r="LBF23" s="253" t="n"/>
      <c r="LBG23" s="253" t="n"/>
      <c r="LBH23" s="253" t="n"/>
      <c r="LBI23" s="253" t="n"/>
      <c r="LBJ23" s="253" t="n"/>
      <c r="LBK23" s="253" t="n"/>
      <c r="LBL23" s="253" t="n"/>
      <c r="LBM23" s="253" t="n"/>
      <c r="LBN23" s="253" t="n"/>
      <c r="LBO23" s="253" t="n"/>
      <c r="LBP23" s="253" t="n"/>
      <c r="LBQ23" s="253" t="n"/>
      <c r="LBR23" s="253" t="n"/>
      <c r="LBS23" s="253" t="n"/>
      <c r="LBT23" s="253" t="n"/>
      <c r="LBU23" s="253" t="n"/>
      <c r="LBV23" s="253" t="n"/>
      <c r="LBW23" s="253" t="n"/>
      <c r="LBX23" s="253" t="n"/>
      <c r="LBY23" s="253" t="n"/>
      <c r="LBZ23" s="253" t="n"/>
      <c r="LCA23" s="253" t="n"/>
      <c r="LCB23" s="253" t="n"/>
      <c r="LCC23" s="253" t="n"/>
      <c r="LCD23" s="253" t="n"/>
      <c r="LCE23" s="253" t="n"/>
      <c r="LCF23" s="253" t="n"/>
      <c r="LCG23" s="253" t="n"/>
      <c r="LCH23" s="253" t="n"/>
      <c r="LCI23" s="253" t="n"/>
      <c r="LCJ23" s="253" t="n"/>
      <c r="LCK23" s="253" t="n"/>
      <c r="LCL23" s="253" t="n"/>
      <c r="LCM23" s="253" t="n"/>
      <c r="LCN23" s="253" t="n"/>
      <c r="LCO23" s="253" t="n"/>
      <c r="LCP23" s="253" t="n"/>
      <c r="LCQ23" s="253" t="n"/>
      <c r="LCR23" s="253" t="n"/>
      <c r="LCS23" s="253" t="n"/>
      <c r="LCT23" s="253" t="n"/>
      <c r="LCU23" s="253" t="n"/>
      <c r="LCV23" s="253" t="n"/>
      <c r="LCW23" s="253" t="n"/>
      <c r="LCX23" s="253" t="n"/>
      <c r="LCY23" s="253" t="n"/>
      <c r="LCZ23" s="253" t="n"/>
      <c r="LDA23" s="253" t="n"/>
      <c r="LDB23" s="253" t="n"/>
      <c r="LDC23" s="253" t="n"/>
      <c r="LDD23" s="253" t="n"/>
      <c r="LDE23" s="253" t="n"/>
      <c r="LDF23" s="253" t="n"/>
      <c r="LDG23" s="253" t="n"/>
      <c r="LDH23" s="253" t="n"/>
      <c r="LDI23" s="253" t="n"/>
      <c r="LDJ23" s="253" t="n"/>
      <c r="LDK23" s="253" t="n"/>
      <c r="LDL23" s="253" t="n"/>
      <c r="LDM23" s="253" t="n"/>
      <c r="LDN23" s="253" t="n"/>
      <c r="LDO23" s="253" t="n"/>
      <c r="LDP23" s="253" t="n"/>
      <c r="LDQ23" s="253" t="n"/>
      <c r="LDR23" s="253" t="n"/>
      <c r="LDS23" s="253" t="n"/>
      <c r="LDT23" s="253" t="n"/>
      <c r="LDU23" s="253" t="n"/>
      <c r="LDV23" s="253" t="n"/>
      <c r="LDW23" s="253" t="n"/>
      <c r="LDX23" s="253" t="n"/>
      <c r="LDY23" s="253" t="n"/>
      <c r="LDZ23" s="253" t="n"/>
      <c r="LEA23" s="253" t="n"/>
      <c r="LEB23" s="253" t="n"/>
      <c r="LEC23" s="253" t="n"/>
      <c r="LED23" s="253" t="n"/>
      <c r="LEE23" s="253" t="n"/>
      <c r="LEF23" s="253" t="n"/>
      <c r="LEG23" s="253" t="n"/>
      <c r="LEH23" s="253" t="n"/>
      <c r="LEI23" s="253" t="n"/>
      <c r="LEJ23" s="253" t="n"/>
      <c r="LEK23" s="253" t="n"/>
      <c r="LEL23" s="253" t="n"/>
      <c r="LEM23" s="253" t="n"/>
      <c r="LEN23" s="253" t="n"/>
      <c r="LEO23" s="253" t="n"/>
      <c r="LEP23" s="253" t="n"/>
      <c r="LEQ23" s="253" t="n"/>
      <c r="LER23" s="253" t="n"/>
      <c r="LES23" s="253" t="n"/>
      <c r="LET23" s="253" t="n"/>
      <c r="LEU23" s="253" t="n"/>
      <c r="LEV23" s="253" t="n"/>
      <c r="LEW23" s="253" t="n"/>
      <c r="LEX23" s="253" t="n"/>
      <c r="LEY23" s="253" t="n"/>
      <c r="LEZ23" s="253" t="n"/>
      <c r="LFA23" s="253" t="n"/>
      <c r="LFB23" s="253" t="n"/>
      <c r="LFC23" s="253" t="n"/>
      <c r="LFD23" s="253" t="n"/>
      <c r="LFE23" s="253" t="n"/>
      <c r="LFF23" s="253" t="n"/>
      <c r="LFG23" s="253" t="n"/>
      <c r="LFH23" s="253" t="n"/>
      <c r="LFI23" s="253" t="n"/>
      <c r="LFJ23" s="253" t="n"/>
      <c r="LFK23" s="252" t="n"/>
      <c r="LFL23" s="253" t="n"/>
      <c r="LFM23" s="253" t="n"/>
      <c r="LFN23" s="253" t="n"/>
      <c r="LFO23" s="253" t="n"/>
      <c r="LFP23" s="253" t="n"/>
      <c r="LFQ23" s="253" t="n"/>
      <c r="LFR23" s="253" t="n"/>
      <c r="LFS23" s="253" t="n"/>
      <c r="LFT23" s="253" t="n"/>
      <c r="LFU23" s="253" t="n"/>
      <c r="LFV23" s="253" t="n"/>
      <c r="LFW23" s="253" t="n"/>
      <c r="LFX23" s="253" t="n"/>
      <c r="LFY23" s="253" t="n"/>
      <c r="LFZ23" s="253" t="n"/>
      <c r="LGA23" s="253" t="n"/>
      <c r="LGB23" s="253" t="n"/>
      <c r="LGC23" s="253" t="n"/>
      <c r="LGD23" s="253" t="n"/>
      <c r="LGE23" s="253" t="n"/>
      <c r="LGF23" s="253" t="n"/>
      <c r="LGG23" s="253" t="n"/>
      <c r="LGH23" s="253" t="n"/>
      <c r="LGI23" s="253" t="n"/>
      <c r="LGJ23" s="253" t="n"/>
      <c r="LGK23" s="253" t="n"/>
      <c r="LGL23" s="253" t="n"/>
      <c r="LGM23" s="253" t="n"/>
      <c r="LGN23" s="253" t="n"/>
      <c r="LGO23" s="253" t="n"/>
      <c r="LGP23" s="253" t="n"/>
      <c r="LGQ23" s="253" t="n"/>
      <c r="LGR23" s="253" t="n"/>
      <c r="LGS23" s="253" t="n"/>
      <c r="LGT23" s="253" t="n"/>
      <c r="LGU23" s="253" t="n"/>
      <c r="LGV23" s="253" t="n"/>
      <c r="LGW23" s="253" t="n"/>
      <c r="LGX23" s="253" t="n"/>
      <c r="LGY23" s="253" t="n"/>
      <c r="LGZ23" s="253" t="n"/>
      <c r="LHA23" s="253" t="n"/>
      <c r="LHB23" s="253" t="n"/>
      <c r="LHC23" s="253" t="n"/>
      <c r="LHD23" s="253" t="n"/>
      <c r="LHE23" s="253" t="n"/>
      <c r="LHF23" s="253" t="n"/>
      <c r="LHG23" s="253" t="n"/>
      <c r="LHH23" s="253" t="n"/>
      <c r="LHI23" s="253" t="n"/>
      <c r="LHJ23" s="253" t="n"/>
      <c r="LHK23" s="253" t="n"/>
      <c r="LHL23" s="253" t="n"/>
      <c r="LHM23" s="253" t="n"/>
      <c r="LHN23" s="253" t="n"/>
      <c r="LHO23" s="253" t="n"/>
      <c r="LHP23" s="253" t="n"/>
      <c r="LHQ23" s="253" t="n"/>
      <c r="LHR23" s="253" t="n"/>
      <c r="LHS23" s="253" t="n"/>
      <c r="LHT23" s="253" t="n"/>
      <c r="LHU23" s="253" t="n"/>
      <c r="LHV23" s="253" t="n"/>
      <c r="LHW23" s="253" t="n"/>
      <c r="LHX23" s="253" t="n"/>
      <c r="LHY23" s="253" t="n"/>
      <c r="LHZ23" s="253" t="n"/>
      <c r="LIA23" s="253" t="n"/>
      <c r="LIB23" s="253" t="n"/>
      <c r="LIC23" s="253" t="n"/>
      <c r="LID23" s="253" t="n"/>
      <c r="LIE23" s="253" t="n"/>
      <c r="LIF23" s="253" t="n"/>
      <c r="LIG23" s="253" t="n"/>
      <c r="LIH23" s="253" t="n"/>
      <c r="LII23" s="253" t="n"/>
      <c r="LIJ23" s="253" t="n"/>
      <c r="LIK23" s="253" t="n"/>
      <c r="LIL23" s="253" t="n"/>
      <c r="LIM23" s="253" t="n"/>
      <c r="LIN23" s="253" t="n"/>
      <c r="LIO23" s="253" t="n"/>
      <c r="LIP23" s="253" t="n"/>
      <c r="LIQ23" s="253" t="n"/>
      <c r="LIR23" s="253" t="n"/>
      <c r="LIS23" s="253" t="n"/>
      <c r="LIT23" s="253" t="n"/>
      <c r="LIU23" s="253" t="n"/>
      <c r="LIV23" s="253" t="n"/>
      <c r="LIW23" s="253" t="n"/>
      <c r="LIX23" s="253" t="n"/>
      <c r="LIY23" s="253" t="n"/>
      <c r="LIZ23" s="253" t="n"/>
      <c r="LJA23" s="253" t="n"/>
      <c r="LJB23" s="253" t="n"/>
      <c r="LJC23" s="253" t="n"/>
      <c r="LJD23" s="253" t="n"/>
      <c r="LJE23" s="253" t="n"/>
      <c r="LJF23" s="253" t="n"/>
      <c r="LJG23" s="253" t="n"/>
      <c r="LJH23" s="253" t="n"/>
      <c r="LJI23" s="253" t="n"/>
      <c r="LJJ23" s="253" t="n"/>
      <c r="LJK23" s="253" t="n"/>
      <c r="LJL23" s="253" t="n"/>
      <c r="LJM23" s="253" t="n"/>
      <c r="LJN23" s="253" t="n"/>
      <c r="LJO23" s="253" t="n"/>
      <c r="LJP23" s="253" t="n"/>
      <c r="LJQ23" s="253" t="n"/>
      <c r="LJR23" s="253" t="n"/>
      <c r="LJS23" s="253" t="n"/>
      <c r="LJT23" s="253" t="n"/>
      <c r="LJU23" s="253" t="n"/>
      <c r="LJV23" s="253" t="n"/>
      <c r="LJW23" s="253" t="n"/>
      <c r="LJX23" s="253" t="n"/>
      <c r="LJY23" s="253" t="n"/>
      <c r="LJZ23" s="253" t="n"/>
      <c r="LKA23" s="253" t="n"/>
      <c r="LKB23" s="253" t="n"/>
      <c r="LKC23" s="253" t="n"/>
      <c r="LKD23" s="253" t="n"/>
      <c r="LKE23" s="253" t="n"/>
      <c r="LKF23" s="253" t="n"/>
      <c r="LKG23" s="253" t="n"/>
      <c r="LKH23" s="253" t="n"/>
      <c r="LKI23" s="253" t="n"/>
      <c r="LKJ23" s="253" t="n"/>
      <c r="LKK23" s="253" t="n"/>
      <c r="LKL23" s="253" t="n"/>
      <c r="LKM23" s="253" t="n"/>
      <c r="LKN23" s="253" t="n"/>
      <c r="LKO23" s="253" t="n"/>
      <c r="LKP23" s="253" t="n"/>
      <c r="LKQ23" s="253" t="n"/>
      <c r="LKR23" s="253" t="n"/>
      <c r="LKS23" s="253" t="n"/>
      <c r="LKT23" s="253" t="n"/>
      <c r="LKU23" s="253" t="n"/>
      <c r="LKV23" s="253" t="n"/>
      <c r="LKW23" s="253" t="n"/>
      <c r="LKX23" s="253" t="n"/>
      <c r="LKY23" s="253" t="n"/>
      <c r="LKZ23" s="253" t="n"/>
      <c r="LLA23" s="253" t="n"/>
      <c r="LLB23" s="253" t="n"/>
      <c r="LLC23" s="253" t="n"/>
      <c r="LLD23" s="253" t="n"/>
      <c r="LLE23" s="253" t="n"/>
      <c r="LLF23" s="253" t="n"/>
      <c r="LLG23" s="253" t="n"/>
      <c r="LLH23" s="253" t="n"/>
      <c r="LLI23" s="253" t="n"/>
      <c r="LLJ23" s="253" t="n"/>
      <c r="LLK23" s="253" t="n"/>
      <c r="LLL23" s="253" t="n"/>
      <c r="LLM23" s="253" t="n"/>
      <c r="LLN23" s="253" t="n"/>
      <c r="LLO23" s="253" t="n"/>
      <c r="LLP23" s="253" t="n"/>
      <c r="LLQ23" s="253" t="n"/>
      <c r="LLR23" s="253" t="n"/>
      <c r="LLS23" s="253" t="n"/>
      <c r="LLT23" s="253" t="n"/>
      <c r="LLU23" s="253" t="n"/>
      <c r="LLV23" s="253" t="n"/>
      <c r="LLW23" s="253" t="n"/>
      <c r="LLX23" s="253" t="n"/>
      <c r="LLY23" s="253" t="n"/>
      <c r="LLZ23" s="253" t="n"/>
      <c r="LMA23" s="253" t="n"/>
      <c r="LMB23" s="253" t="n"/>
      <c r="LMC23" s="253" t="n"/>
      <c r="LMD23" s="253" t="n"/>
      <c r="LME23" s="253" t="n"/>
      <c r="LMF23" s="253" t="n"/>
      <c r="LMG23" s="253" t="n"/>
      <c r="LMH23" s="253" t="n"/>
      <c r="LMI23" s="253" t="n"/>
      <c r="LMJ23" s="253" t="n"/>
      <c r="LMK23" s="253" t="n"/>
      <c r="LML23" s="253" t="n"/>
      <c r="LMM23" s="253" t="n"/>
      <c r="LMN23" s="253" t="n"/>
      <c r="LMO23" s="253" t="n"/>
      <c r="LMP23" s="253" t="n"/>
      <c r="LMQ23" s="253" t="n"/>
      <c r="LMR23" s="253" t="n"/>
      <c r="LMS23" s="253" t="n"/>
      <c r="LMT23" s="253" t="n"/>
      <c r="LMU23" s="253" t="n"/>
      <c r="LMV23" s="253" t="n"/>
      <c r="LMW23" s="253" t="n"/>
      <c r="LMX23" s="253" t="n"/>
      <c r="LMY23" s="253" t="n"/>
      <c r="LMZ23" s="253" t="n"/>
      <c r="LNA23" s="253" t="n"/>
      <c r="LNB23" s="253" t="n"/>
      <c r="LNC23" s="253" t="n"/>
      <c r="LND23" s="253" t="n"/>
      <c r="LNE23" s="253" t="n"/>
      <c r="LNF23" s="253" t="n"/>
      <c r="LNG23" s="253" t="n"/>
      <c r="LNH23" s="253" t="n"/>
      <c r="LNI23" s="253" t="n"/>
      <c r="LNJ23" s="253" t="n"/>
      <c r="LNK23" s="253" t="n"/>
      <c r="LNL23" s="253" t="n"/>
      <c r="LNM23" s="253" t="n"/>
      <c r="LNN23" s="253" t="n"/>
      <c r="LNO23" s="253" t="n"/>
      <c r="LNP23" s="253" t="n"/>
      <c r="LNQ23" s="253" t="n"/>
      <c r="LNR23" s="253" t="n"/>
      <c r="LNS23" s="253" t="n"/>
      <c r="LNT23" s="253" t="n"/>
      <c r="LNU23" s="253" t="n"/>
      <c r="LNV23" s="253" t="n"/>
      <c r="LNW23" s="253" t="n"/>
      <c r="LNX23" s="253" t="n"/>
      <c r="LNY23" s="253" t="n"/>
      <c r="LNZ23" s="253" t="n"/>
      <c r="LOA23" s="253" t="n"/>
      <c r="LOB23" s="253" t="n"/>
      <c r="LOC23" s="253" t="n"/>
      <c r="LOD23" s="253" t="n"/>
      <c r="LOE23" s="253" t="n"/>
      <c r="LOF23" s="253" t="n"/>
      <c r="LOG23" s="253" t="n"/>
      <c r="LOH23" s="253" t="n"/>
      <c r="LOI23" s="253" t="n"/>
      <c r="LOJ23" s="253" t="n"/>
      <c r="LOK23" s="253" t="n"/>
      <c r="LOL23" s="253" t="n"/>
      <c r="LOM23" s="253" t="n"/>
      <c r="LON23" s="253" t="n"/>
      <c r="LOO23" s="253" t="n"/>
      <c r="LOP23" s="253" t="n"/>
      <c r="LOQ23" s="253" t="n"/>
      <c r="LOR23" s="253" t="n"/>
      <c r="LOS23" s="253" t="n"/>
      <c r="LOT23" s="253" t="n"/>
      <c r="LOU23" s="253" t="n"/>
      <c r="LOV23" s="253" t="n"/>
      <c r="LOW23" s="253" t="n"/>
      <c r="LOX23" s="253" t="n"/>
      <c r="LOY23" s="253" t="n"/>
      <c r="LOZ23" s="253" t="n"/>
      <c r="LPA23" s="253" t="n"/>
      <c r="LPB23" s="253" t="n"/>
      <c r="LPC23" s="253" t="n"/>
      <c r="LPD23" s="253" t="n"/>
      <c r="LPE23" s="253" t="n"/>
      <c r="LPF23" s="253" t="n"/>
      <c r="LPG23" s="253" t="n"/>
      <c r="LPH23" s="253" t="n"/>
      <c r="LPI23" s="253" t="n"/>
      <c r="LPJ23" s="253" t="n"/>
      <c r="LPK23" s="253" t="n"/>
      <c r="LPL23" s="253" t="n"/>
      <c r="LPM23" s="253" t="n"/>
      <c r="LPN23" s="253" t="n"/>
      <c r="LPO23" s="253" t="n"/>
      <c r="LPP23" s="253" t="n"/>
      <c r="LPQ23" s="253" t="n"/>
      <c r="LPR23" s="253" t="n"/>
      <c r="LPS23" s="253" t="n"/>
      <c r="LPT23" s="253" t="n"/>
      <c r="LPU23" s="253" t="n"/>
      <c r="LPV23" s="253" t="n"/>
      <c r="LPW23" s="253" t="n"/>
      <c r="LPX23" s="253" t="n"/>
      <c r="LPY23" s="253" t="n"/>
      <c r="LPZ23" s="253" t="n"/>
      <c r="LQA23" s="253" t="n"/>
      <c r="LQB23" s="253" t="n"/>
      <c r="LQC23" s="253" t="n"/>
      <c r="LQD23" s="253" t="n"/>
      <c r="LQE23" s="253" t="n"/>
      <c r="LQF23" s="253" t="n"/>
      <c r="LQG23" s="253" t="n"/>
      <c r="LQH23" s="253" t="n"/>
      <c r="LQI23" s="253" t="n"/>
      <c r="LQJ23" s="253" t="n"/>
      <c r="LQK23" s="253" t="n"/>
      <c r="LQL23" s="253" t="n"/>
      <c r="LQM23" s="253" t="n"/>
      <c r="LQN23" s="253" t="n"/>
      <c r="LQO23" s="253" t="n"/>
      <c r="LQP23" s="253" t="n"/>
      <c r="LQQ23" s="253" t="n"/>
      <c r="LQR23" s="253" t="n"/>
      <c r="LQS23" s="253" t="n"/>
      <c r="LQT23" s="253" t="n"/>
      <c r="LQU23" s="253" t="n"/>
      <c r="LQV23" s="253" t="n"/>
      <c r="LQW23" s="253" t="n"/>
      <c r="LQX23" s="253" t="n"/>
      <c r="LQY23" s="253" t="n"/>
      <c r="LQZ23" s="253" t="n"/>
      <c r="LRA23" s="253" t="n"/>
      <c r="LRB23" s="253" t="n"/>
      <c r="LRC23" s="253" t="n"/>
      <c r="LRD23" s="253" t="n"/>
      <c r="LRE23" s="253" t="n"/>
      <c r="LRF23" s="253" t="n"/>
      <c r="LRG23" s="253" t="n"/>
      <c r="LRH23" s="253" t="n"/>
      <c r="LRI23" s="253" t="n"/>
      <c r="LRJ23" s="253" t="n"/>
      <c r="LRK23" s="253" t="n"/>
      <c r="LRL23" s="253" t="n"/>
      <c r="LRM23" s="253" t="n"/>
      <c r="LRN23" s="253" t="n"/>
      <c r="LRO23" s="253" t="n"/>
      <c r="LRP23" s="253" t="n"/>
      <c r="LRQ23" s="253" t="n"/>
      <c r="LRR23" s="253" t="n"/>
      <c r="LRS23" s="253" t="n"/>
      <c r="LRT23" s="253" t="n"/>
      <c r="LRU23" s="253" t="n"/>
      <c r="LRV23" s="253" t="n"/>
      <c r="LRW23" s="253" t="n"/>
      <c r="LRX23" s="253" t="n"/>
      <c r="LRY23" s="253" t="n"/>
      <c r="LRZ23" s="253" t="n"/>
      <c r="LSA23" s="253" t="n"/>
      <c r="LSB23" s="253" t="n"/>
      <c r="LSC23" s="253" t="n"/>
      <c r="LSD23" s="253" t="n"/>
      <c r="LSE23" s="253" t="n"/>
      <c r="LSF23" s="253" t="n"/>
      <c r="LSG23" s="253" t="n"/>
      <c r="LSH23" s="253" t="n"/>
      <c r="LSI23" s="253" t="n"/>
      <c r="LSJ23" s="253" t="n"/>
      <c r="LSK23" s="253" t="n"/>
      <c r="LSL23" s="253" t="n"/>
      <c r="LSM23" s="253" t="n"/>
      <c r="LSN23" s="253" t="n"/>
      <c r="LSO23" s="253" t="n"/>
      <c r="LSP23" s="253" t="n"/>
      <c r="LSQ23" s="253" t="n"/>
      <c r="LSR23" s="253" t="n"/>
      <c r="LSS23" s="253" t="n"/>
      <c r="LST23" s="253" t="n"/>
      <c r="LSU23" s="253" t="n"/>
      <c r="LSV23" s="253" t="n"/>
      <c r="LSW23" s="253" t="n"/>
      <c r="LSX23" s="253" t="n"/>
      <c r="LSY23" s="253" t="n"/>
      <c r="LSZ23" s="253" t="n"/>
      <c r="LTA23" s="253" t="n"/>
      <c r="LTB23" s="253" t="n"/>
      <c r="LTC23" s="253" t="n"/>
      <c r="LTD23" s="253" t="n"/>
      <c r="LTE23" s="253" t="n"/>
      <c r="LTF23" s="253" t="n"/>
      <c r="LTG23" s="253" t="n"/>
      <c r="LTH23" s="253" t="n"/>
      <c r="LTI23" s="253" t="n"/>
      <c r="LTJ23" s="253" t="n"/>
      <c r="LTK23" s="253" t="n"/>
      <c r="LTL23" s="253" t="n"/>
      <c r="LTM23" s="253" t="n"/>
      <c r="LTN23" s="253" t="n"/>
      <c r="LTO23" s="253" t="n"/>
      <c r="LTP23" s="253" t="n"/>
      <c r="LTQ23" s="253" t="n"/>
      <c r="LTR23" s="253" t="n"/>
      <c r="LTS23" s="253" t="n"/>
      <c r="LTT23" s="253" t="n"/>
      <c r="LTU23" s="253" t="n"/>
      <c r="LTV23" s="253" t="n"/>
      <c r="LTW23" s="253" t="n"/>
      <c r="LTX23" s="253" t="n"/>
      <c r="LTY23" s="253" t="n"/>
      <c r="LTZ23" s="253" t="n"/>
      <c r="LUA23" s="253" t="n"/>
      <c r="LUB23" s="253" t="n"/>
      <c r="LUC23" s="253" t="n"/>
      <c r="LUD23" s="253" t="n"/>
      <c r="LUE23" s="253" t="n"/>
      <c r="LUF23" s="253" t="n"/>
      <c r="LUG23" s="253" t="n"/>
      <c r="LUH23" s="253" t="n"/>
      <c r="LUI23" s="253" t="n"/>
      <c r="LUJ23" s="253" t="n"/>
      <c r="LUK23" s="253" t="n"/>
      <c r="LUL23" s="253" t="n"/>
      <c r="LUM23" s="253" t="n"/>
      <c r="LUN23" s="253" t="n"/>
      <c r="LUO23" s="253" t="n"/>
      <c r="LUP23" s="253" t="n"/>
      <c r="LUQ23" s="253" t="n"/>
      <c r="LUR23" s="253" t="n"/>
      <c r="LUS23" s="253" t="n"/>
      <c r="LUT23" s="253" t="n"/>
      <c r="LUU23" s="253" t="n"/>
      <c r="LUV23" s="253" t="n"/>
      <c r="LUW23" s="253" t="n"/>
      <c r="LUX23" s="253" t="n"/>
      <c r="LUY23" s="253" t="n"/>
      <c r="LUZ23" s="253" t="n"/>
      <c r="LVA23" s="253" t="n"/>
      <c r="LVB23" s="253" t="n"/>
      <c r="LVC23" s="253" t="n"/>
      <c r="LVD23" s="253" t="n"/>
      <c r="LVE23" s="253" t="n"/>
      <c r="LVF23" s="253" t="n"/>
      <c r="LVG23" s="253" t="n"/>
      <c r="LVH23" s="253" t="n"/>
      <c r="LVI23" s="253" t="n"/>
      <c r="LVJ23" s="253" t="n"/>
      <c r="LVK23" s="253" t="n"/>
      <c r="LVL23" s="253" t="n"/>
      <c r="LVM23" s="253" t="n"/>
      <c r="LVN23" s="253" t="n"/>
      <c r="LVO23" s="253" t="n"/>
      <c r="LVP23" s="253" t="n"/>
      <c r="LVQ23" s="253" t="n"/>
      <c r="LVR23" s="253" t="n"/>
      <c r="LVS23" s="253" t="n"/>
      <c r="LVT23" s="253" t="n"/>
      <c r="LVU23" s="253" t="n"/>
      <c r="LVV23" s="253" t="n"/>
      <c r="LVW23" s="253" t="n"/>
      <c r="LVX23" s="253" t="n"/>
      <c r="LVY23" s="253" t="n"/>
      <c r="LVZ23" s="253" t="n"/>
      <c r="LWA23" s="253" t="n"/>
      <c r="LWB23" s="253" t="n"/>
      <c r="LWC23" s="253" t="n"/>
      <c r="LWD23" s="253" t="n"/>
      <c r="LWE23" s="253" t="n"/>
      <c r="LWF23" s="253" t="n"/>
      <c r="LWG23" s="253" t="n"/>
      <c r="LWH23" s="253" t="n"/>
      <c r="LWI23" s="253" t="n"/>
      <c r="LWJ23" s="253" t="n"/>
      <c r="LWK23" s="253" t="n"/>
      <c r="LWL23" s="253" t="n"/>
      <c r="LWM23" s="253" t="n"/>
      <c r="LWN23" s="253" t="n"/>
      <c r="LWO23" s="253" t="n"/>
      <c r="LWP23" s="253" t="n"/>
      <c r="LWQ23" s="253" t="n"/>
      <c r="LWR23" s="253" t="n"/>
      <c r="LWS23" s="253" t="n"/>
      <c r="LWT23" s="253" t="n"/>
      <c r="LWU23" s="253" t="n"/>
      <c r="LWV23" s="253" t="n"/>
      <c r="LWW23" s="253" t="n"/>
      <c r="LWX23" s="253" t="n"/>
      <c r="LWY23" s="253" t="n"/>
      <c r="LWZ23" s="253" t="n"/>
      <c r="LXA23" s="253" t="n"/>
      <c r="LXB23" s="253" t="n"/>
      <c r="LXC23" s="253" t="n"/>
      <c r="LXD23" s="253" t="n"/>
      <c r="LXE23" s="253" t="n"/>
      <c r="LXF23" s="253" t="n"/>
      <c r="LXG23" s="253" t="n"/>
      <c r="LXH23" s="253" t="n"/>
      <c r="LXI23" s="253" t="n"/>
      <c r="LXJ23" s="253" t="n"/>
      <c r="LXK23" s="253" t="n"/>
      <c r="LXL23" s="253" t="n"/>
      <c r="LXM23" s="253" t="n"/>
      <c r="LXN23" s="253" t="n"/>
      <c r="LXO23" s="253" t="n"/>
      <c r="LXP23" s="253" t="n"/>
      <c r="LXQ23" s="253" t="n"/>
      <c r="LXR23" s="253" t="n"/>
      <c r="LXS23" s="253" t="n"/>
      <c r="LXT23" s="253" t="n"/>
      <c r="LXU23" s="253" t="n"/>
      <c r="LXV23" s="253" t="n"/>
      <c r="LXW23" s="253" t="n"/>
      <c r="LXX23" s="253" t="n"/>
      <c r="LXY23" s="253" t="n"/>
      <c r="LXZ23" s="253" t="n"/>
      <c r="LYA23" s="253" t="n"/>
      <c r="LYB23" s="253" t="n"/>
      <c r="LYC23" s="253" t="n"/>
      <c r="LYD23" s="253" t="n"/>
      <c r="LYE23" s="253" t="n"/>
      <c r="LYF23" s="253" t="n"/>
      <c r="LYG23" s="253" t="n"/>
      <c r="LYH23" s="253" t="n"/>
      <c r="LYI23" s="253" t="n"/>
      <c r="LYJ23" s="253" t="n"/>
      <c r="LYK23" s="253" t="n"/>
      <c r="LYL23" s="253" t="n"/>
      <c r="LYM23" s="253" t="n"/>
      <c r="LYN23" s="253" t="n"/>
      <c r="LYO23" s="253" t="n"/>
      <c r="LYP23" s="253" t="n"/>
      <c r="LYQ23" s="253" t="n"/>
      <c r="LYR23" s="253" t="n"/>
      <c r="LYS23" s="253" t="n"/>
      <c r="LYT23" s="253" t="n"/>
      <c r="LYU23" s="253" t="n"/>
      <c r="LYV23" s="253" t="n"/>
      <c r="LYW23" s="253" t="n"/>
      <c r="LYX23" s="253" t="n"/>
      <c r="LYY23" s="253" t="n"/>
      <c r="LYZ23" s="253" t="n"/>
      <c r="LZA23" s="253" t="n"/>
      <c r="LZB23" s="253" t="n"/>
      <c r="LZC23" s="253" t="n"/>
      <c r="LZD23" s="253" t="n"/>
      <c r="LZE23" s="253" t="n"/>
      <c r="LZF23" s="253" t="n"/>
      <c r="LZG23" s="253" t="n"/>
      <c r="LZH23" s="253" t="n"/>
      <c r="LZI23" s="253" t="n"/>
      <c r="LZJ23" s="253" t="n"/>
      <c r="LZK23" s="253" t="n"/>
      <c r="LZL23" s="253" t="n"/>
      <c r="LZM23" s="253" t="n"/>
      <c r="LZN23" s="253" t="n"/>
      <c r="LZO23" s="253" t="n"/>
      <c r="LZP23" s="253" t="n"/>
      <c r="LZQ23" s="253" t="n"/>
      <c r="LZR23" s="253" t="n"/>
      <c r="LZS23" s="253" t="n"/>
      <c r="LZT23" s="253" t="n"/>
      <c r="LZU23" s="253" t="n"/>
      <c r="LZV23" s="253" t="n"/>
      <c r="LZW23" s="253" t="n"/>
      <c r="LZX23" s="253" t="n"/>
      <c r="LZY23" s="253" t="n"/>
      <c r="LZZ23" s="253" t="n"/>
      <c r="MAA23" s="253" t="n"/>
      <c r="MAB23" s="253" t="n"/>
      <c r="MAC23" s="253" t="n"/>
      <c r="MAD23" s="253" t="n"/>
      <c r="MAE23" s="253" t="n"/>
      <c r="MAF23" s="253" t="n"/>
      <c r="MAG23" s="253" t="n"/>
      <c r="MAH23" s="253" t="n"/>
      <c r="MAI23" s="253" t="n"/>
      <c r="MAJ23" s="253" t="n"/>
      <c r="MAK23" s="253" t="n"/>
      <c r="MAL23" s="253" t="n"/>
      <c r="MAM23" s="253" t="n"/>
      <c r="MAN23" s="253" t="n"/>
      <c r="MAO23" s="253" t="n"/>
      <c r="MAP23" s="253" t="n"/>
      <c r="MAQ23" s="253" t="n"/>
      <c r="MAR23" s="253" t="n"/>
      <c r="MAS23" s="253" t="n"/>
      <c r="MAT23" s="253" t="n"/>
      <c r="MAU23" s="253" t="n"/>
      <c r="MAV23" s="253" t="n"/>
      <c r="MAW23" s="253" t="n"/>
      <c r="MAX23" s="253" t="n"/>
      <c r="MAY23" s="253" t="n"/>
      <c r="MAZ23" s="253" t="n"/>
      <c r="MBA23" s="253" t="n"/>
      <c r="MBB23" s="253" t="n"/>
      <c r="MBC23" s="253" t="n"/>
      <c r="MBD23" s="253" t="n"/>
      <c r="MBE23" s="253" t="n"/>
      <c r="MBF23" s="253" t="n"/>
      <c r="MBG23" s="253" t="n"/>
      <c r="MBH23" s="253" t="n"/>
      <c r="MBI23" s="253" t="n"/>
      <c r="MBJ23" s="253" t="n"/>
      <c r="MBK23" s="253" t="n"/>
      <c r="MBL23" s="253" t="n"/>
      <c r="MBM23" s="253" t="n"/>
      <c r="MBN23" s="253" t="n"/>
      <c r="MBO23" s="253" t="n"/>
      <c r="MBP23" s="253" t="n"/>
      <c r="MBQ23" s="253" t="n"/>
      <c r="MBR23" s="253" t="n"/>
      <c r="MBS23" s="253" t="n"/>
      <c r="MBT23" s="253" t="n"/>
      <c r="MBU23" s="253" t="n"/>
      <c r="MBV23" s="253" t="n"/>
      <c r="MBW23" s="253" t="n"/>
      <c r="MBX23" s="253" t="n"/>
      <c r="MBY23" s="253" t="n"/>
      <c r="MBZ23" s="253" t="n"/>
      <c r="MCA23" s="253" t="n"/>
      <c r="MCB23" s="253" t="n"/>
      <c r="MCC23" s="253" t="n"/>
      <c r="MCD23" s="253" t="n"/>
      <c r="MCE23" s="253" t="n"/>
      <c r="MCF23" s="253" t="n"/>
      <c r="MCG23" s="253" t="n"/>
      <c r="MCH23" s="253" t="n"/>
      <c r="MCI23" s="253" t="n"/>
      <c r="MCJ23" s="253" t="n"/>
      <c r="MCK23" s="253" t="n"/>
      <c r="MCL23" s="253" t="n"/>
      <c r="MCM23" s="253" t="n"/>
      <c r="MCN23" s="253" t="n"/>
      <c r="MCO23" s="253" t="n"/>
      <c r="MCP23" s="253" t="n"/>
      <c r="MCQ23" s="253" t="n"/>
      <c r="MCR23" s="253" t="n"/>
      <c r="MCS23" s="253" t="n"/>
      <c r="MCT23" s="253" t="n"/>
      <c r="MCU23" s="253" t="n"/>
      <c r="MCV23" s="253" t="n"/>
      <c r="MCW23" s="253" t="n"/>
      <c r="MCX23" s="253" t="n"/>
      <c r="MCY23" s="253" t="n"/>
      <c r="MCZ23" s="253" t="n"/>
      <c r="MDA23" s="253" t="n"/>
      <c r="MDB23" s="253" t="n"/>
      <c r="MDC23" s="253" t="n"/>
      <c r="MDD23" s="253" t="n"/>
      <c r="MDE23" s="253" t="n"/>
      <c r="MDF23" s="253" t="n"/>
      <c r="MDG23" s="253" t="n"/>
      <c r="MDH23" s="253" t="n"/>
      <c r="MDI23" s="253" t="n"/>
      <c r="MDJ23" s="253" t="n"/>
      <c r="MDK23" s="253" t="n"/>
      <c r="MDL23" s="253" t="n"/>
      <c r="MDM23" s="253" t="n"/>
      <c r="MDN23" s="253" t="n"/>
      <c r="MDO23" s="253" t="n"/>
      <c r="MDP23" s="253" t="n"/>
      <c r="MDQ23" s="253" t="n"/>
      <c r="MDR23" s="253" t="n"/>
      <c r="MDS23" s="253" t="n"/>
      <c r="MDT23" s="253" t="n"/>
      <c r="MDU23" s="253" t="n"/>
      <c r="MDV23" s="253" t="n"/>
      <c r="MDW23" s="253" t="n"/>
      <c r="MDX23" s="253" t="n"/>
      <c r="MDY23" s="253" t="n"/>
      <c r="MDZ23" s="253" t="n"/>
      <c r="MEA23" s="253" t="n"/>
      <c r="MEB23" s="253" t="n"/>
      <c r="MEC23" s="253" t="n"/>
      <c r="MED23" s="253" t="n"/>
      <c r="MEE23" s="253" t="n"/>
      <c r="MEF23" s="253" t="n"/>
      <c r="MEG23" s="253" t="n"/>
      <c r="MEH23" s="253" t="n"/>
      <c r="MEI23" s="253" t="n"/>
      <c r="MEJ23" s="253" t="n"/>
      <c r="MEK23" s="253" t="n"/>
      <c r="MEL23" s="253" t="n"/>
      <c r="MEM23" s="253" t="n"/>
      <c r="MEN23" s="253" t="n"/>
      <c r="MEO23" s="253" t="n"/>
      <c r="MEP23" s="253" t="n"/>
      <c r="MEQ23" s="253" t="n"/>
      <c r="MER23" s="253" t="n"/>
      <c r="MES23" s="253" t="n"/>
      <c r="MET23" s="253" t="n"/>
      <c r="MEU23" s="253" t="n"/>
      <c r="MEV23" s="253" t="n"/>
      <c r="MEW23" s="253" t="n"/>
      <c r="MEX23" s="253" t="n"/>
      <c r="MEY23" s="253" t="n"/>
      <c r="MEZ23" s="253" t="n"/>
      <c r="MFA23" s="253" t="n"/>
      <c r="MFB23" s="253" t="n"/>
      <c r="MFC23" s="253" t="n"/>
      <c r="MFD23" s="253" t="n"/>
      <c r="MFE23" s="253" t="n"/>
      <c r="MFF23" s="253" t="n"/>
      <c r="MFG23" s="253" t="n"/>
      <c r="MFH23" s="253" t="n"/>
      <c r="MFI23" s="253" t="n"/>
      <c r="MFJ23" s="253" t="n"/>
      <c r="MFK23" s="253" t="n"/>
      <c r="MFL23" s="253" t="n"/>
      <c r="MFM23" s="252" t="n"/>
      <c r="MFN23" s="253" t="n"/>
      <c r="MFO23" s="253" t="n"/>
      <c r="MFP23" s="253" t="n"/>
      <c r="MFQ23" s="253" t="n"/>
      <c r="MFR23" s="253" t="n"/>
      <c r="MFS23" s="253" t="n"/>
      <c r="MFT23" s="253" t="n"/>
      <c r="MFU23" s="253" t="n"/>
      <c r="MFV23" s="253" t="n"/>
      <c r="MFW23" s="253" t="n"/>
      <c r="MFX23" s="253" t="n"/>
      <c r="MFY23" s="253" t="n"/>
      <c r="MFZ23" s="253" t="n"/>
      <c r="MGA23" s="253" t="n"/>
      <c r="MGB23" s="253" t="n"/>
      <c r="MGC23" s="253" t="n"/>
      <c r="MGD23" s="253" t="n"/>
      <c r="MGE23" s="253" t="n"/>
      <c r="MGF23" s="253" t="n"/>
      <c r="MGG23" s="253" t="n"/>
      <c r="MGH23" s="253" t="n"/>
      <c r="MGI23" s="253" t="n"/>
      <c r="MGJ23" s="253" t="n"/>
      <c r="MGK23" s="253" t="n"/>
      <c r="MGL23" s="253" t="n"/>
      <c r="MGM23" s="253" t="n"/>
      <c r="MGN23" s="253" t="n"/>
      <c r="MGO23" s="253" t="n"/>
      <c r="MGP23" s="253" t="n"/>
      <c r="MGQ23" s="253" t="n"/>
      <c r="MGR23" s="253" t="n"/>
      <c r="MGS23" s="253" t="n"/>
      <c r="MGT23" s="253" t="n"/>
      <c r="MGU23" s="253" t="n"/>
      <c r="MGV23" s="253" t="n"/>
      <c r="MGW23" s="253" t="n"/>
      <c r="MGX23" s="253" t="n"/>
      <c r="MGY23" s="253" t="n"/>
      <c r="MGZ23" s="253" t="n"/>
      <c r="MHA23" s="253" t="n"/>
      <c r="MHB23" s="253" t="n"/>
      <c r="MHC23" s="253" t="n"/>
      <c r="MHD23" s="253" t="n"/>
      <c r="MHE23" s="253" t="n"/>
      <c r="MHF23" s="253" t="n"/>
      <c r="MHG23" s="253" t="n"/>
      <c r="MHH23" s="253" t="n"/>
      <c r="MHI23" s="253" t="n"/>
      <c r="MHJ23" s="253" t="n"/>
      <c r="MHK23" s="253" t="n"/>
      <c r="MHL23" s="253" t="n"/>
      <c r="MHM23" s="253" t="n"/>
      <c r="MHN23" s="253" t="n"/>
      <c r="MHO23" s="253" t="n"/>
      <c r="MHP23" s="253" t="n"/>
      <c r="MHQ23" s="253" t="n"/>
      <c r="MHR23" s="253" t="n"/>
      <c r="MHS23" s="253" t="n"/>
      <c r="MHT23" s="253" t="n"/>
      <c r="MHU23" s="253" t="n"/>
      <c r="MHV23" s="253" t="n"/>
      <c r="MHW23" s="253" t="n"/>
      <c r="MHX23" s="253" t="n"/>
      <c r="MHY23" s="253" t="n"/>
      <c r="MHZ23" s="253" t="n"/>
      <c r="MIA23" s="253" t="n"/>
      <c r="MIB23" s="253" t="n"/>
      <c r="MIC23" s="253" t="n"/>
      <c r="MID23" s="253" t="n"/>
      <c r="MIE23" s="253" t="n"/>
      <c r="MIF23" s="253" t="n"/>
      <c r="MIG23" s="253" t="n"/>
      <c r="MIH23" s="253" t="n"/>
      <c r="MII23" s="253" t="n"/>
      <c r="MIJ23" s="253" t="n"/>
      <c r="MIK23" s="253" t="n"/>
      <c r="MIL23" s="253" t="n"/>
      <c r="MIM23" s="253" t="n"/>
      <c r="MIN23" s="253" t="n"/>
      <c r="MIO23" s="253" t="n"/>
      <c r="MIP23" s="253" t="n"/>
      <c r="MIQ23" s="253" t="n"/>
      <c r="MIR23" s="253" t="n"/>
      <c r="MIS23" s="253" t="n"/>
      <c r="MIT23" s="253" t="n"/>
      <c r="MIU23" s="253" t="n"/>
      <c r="MIV23" s="253" t="n"/>
      <c r="MIW23" s="253" t="n"/>
      <c r="MIX23" s="253" t="n"/>
      <c r="MIY23" s="253" t="n"/>
      <c r="MIZ23" s="253" t="n"/>
      <c r="MJA23" s="253" t="n"/>
      <c r="MJB23" s="253" t="n"/>
      <c r="MJC23" s="253" t="n"/>
      <c r="MJD23" s="253" t="n"/>
      <c r="MJE23" s="253" t="n"/>
      <c r="MJF23" s="253" t="n"/>
      <c r="MJG23" s="253" t="n"/>
      <c r="MJH23" s="253" t="n"/>
      <c r="MJI23" s="253" t="n"/>
      <c r="MJJ23" s="253" t="n"/>
      <c r="MJK23" s="253" t="n"/>
      <c r="MJL23" s="253" t="n"/>
      <c r="MJM23" s="253" t="n"/>
      <c r="MJN23" s="253" t="n"/>
      <c r="MJO23" s="253" t="n"/>
      <c r="MJP23" s="253" t="n"/>
      <c r="MJQ23" s="253" t="n"/>
      <c r="MJR23" s="253" t="n"/>
      <c r="MJS23" s="253" t="n"/>
      <c r="MJT23" s="253" t="n"/>
      <c r="MJU23" s="253" t="n"/>
      <c r="MJV23" s="253" t="n"/>
      <c r="MJW23" s="253" t="n"/>
      <c r="MJX23" s="253" t="n"/>
      <c r="MJY23" s="253" t="n"/>
      <c r="MJZ23" s="253" t="n"/>
      <c r="MKA23" s="253" t="n"/>
      <c r="MKB23" s="253" t="n"/>
      <c r="MKC23" s="253" t="n"/>
      <c r="MKD23" s="253" t="n"/>
      <c r="MKE23" s="253" t="n"/>
      <c r="MKF23" s="253" t="n"/>
      <c r="MKG23" s="253" t="n"/>
      <c r="MKH23" s="253" t="n"/>
      <c r="MKI23" s="253" t="n"/>
      <c r="MKJ23" s="253" t="n"/>
      <c r="MKK23" s="253" t="n"/>
      <c r="MKL23" s="253" t="n"/>
      <c r="MKM23" s="253" t="n"/>
      <c r="MKN23" s="253" t="n"/>
      <c r="MKO23" s="253" t="n"/>
      <c r="MKP23" s="253" t="n"/>
      <c r="MKQ23" s="253" t="n"/>
      <c r="MKR23" s="253" t="n"/>
      <c r="MKS23" s="253" t="n"/>
      <c r="MKT23" s="253" t="n"/>
      <c r="MKU23" s="253" t="n"/>
      <c r="MKV23" s="253" t="n"/>
      <c r="MKW23" s="253" t="n"/>
      <c r="MKX23" s="253" t="n"/>
      <c r="MKY23" s="253" t="n"/>
      <c r="MKZ23" s="253" t="n"/>
      <c r="MLA23" s="253" t="n"/>
      <c r="MLB23" s="253" t="n"/>
      <c r="MLC23" s="253" t="n"/>
      <c r="MLD23" s="253" t="n"/>
      <c r="MLE23" s="253" t="n"/>
      <c r="MLF23" s="253" t="n"/>
      <c r="MLG23" s="253" t="n"/>
      <c r="MLH23" s="253" t="n"/>
      <c r="MLI23" s="253" t="n"/>
      <c r="MLJ23" s="253" t="n"/>
      <c r="MLK23" s="253" t="n"/>
      <c r="MLL23" s="253" t="n"/>
      <c r="MLM23" s="253" t="n"/>
      <c r="MLN23" s="253" t="n"/>
      <c r="MLO23" s="253" t="n"/>
      <c r="MLP23" s="253" t="n"/>
      <c r="MLQ23" s="253" t="n"/>
      <c r="MLR23" s="253" t="n"/>
      <c r="MLS23" s="253" t="n"/>
      <c r="MLT23" s="253" t="n"/>
      <c r="MLU23" s="253" t="n"/>
      <c r="MLV23" s="253" t="n"/>
      <c r="MLW23" s="253" t="n"/>
      <c r="MLX23" s="253" t="n"/>
      <c r="MLY23" s="253" t="n"/>
      <c r="MLZ23" s="253" t="n"/>
      <c r="MMA23" s="253" t="n"/>
      <c r="MMB23" s="253" t="n"/>
      <c r="MMC23" s="253" t="n"/>
      <c r="MMD23" s="253" t="n"/>
      <c r="MME23" s="253" t="n"/>
      <c r="MMF23" s="253" t="n"/>
      <c r="MMG23" s="253" t="n"/>
      <c r="MMH23" s="253" t="n"/>
      <c r="MMI23" s="253" t="n"/>
      <c r="MMJ23" s="253" t="n"/>
      <c r="MMK23" s="253" t="n"/>
      <c r="MML23" s="253" t="n"/>
      <c r="MMM23" s="253" t="n"/>
      <c r="MMN23" s="253" t="n"/>
      <c r="MMO23" s="253" t="n"/>
      <c r="MMP23" s="253" t="n"/>
      <c r="MMQ23" s="253" t="n"/>
      <c r="MMR23" s="253" t="n"/>
      <c r="MMS23" s="253" t="n"/>
      <c r="MMT23" s="253" t="n"/>
      <c r="MMU23" s="253" t="n"/>
      <c r="MMV23" s="253" t="n"/>
      <c r="MMW23" s="253" t="n"/>
      <c r="MMX23" s="253" t="n"/>
      <c r="MMY23" s="253" t="n"/>
      <c r="MMZ23" s="253" t="n"/>
      <c r="MNA23" s="253" t="n"/>
      <c r="MNB23" s="253" t="n"/>
      <c r="MNC23" s="253" t="n"/>
      <c r="MND23" s="253" t="n"/>
      <c r="MNE23" s="253" t="n"/>
      <c r="MNF23" s="253" t="n"/>
      <c r="MNG23" s="253" t="n"/>
      <c r="MNH23" s="253" t="n"/>
      <c r="MNI23" s="253" t="n"/>
      <c r="MNJ23" s="253" t="n"/>
      <c r="MNK23" s="253" t="n"/>
      <c r="MNL23" s="253" t="n"/>
      <c r="MNM23" s="253" t="n"/>
      <c r="MNN23" s="253" t="n"/>
      <c r="MNO23" s="253" t="n"/>
      <c r="MNP23" s="253" t="n"/>
      <c r="MNQ23" s="253" t="n"/>
      <c r="MNR23" s="253" t="n"/>
      <c r="MNS23" s="253" t="n"/>
      <c r="MNT23" s="253" t="n"/>
      <c r="MNU23" s="253" t="n"/>
      <c r="MNV23" s="253" t="n"/>
      <c r="MNW23" s="253" t="n"/>
      <c r="MNX23" s="253" t="n"/>
      <c r="MNY23" s="253" t="n"/>
      <c r="MNZ23" s="253" t="n"/>
      <c r="MOA23" s="253" t="n"/>
      <c r="MOB23" s="253" t="n"/>
      <c r="MOC23" s="253" t="n"/>
      <c r="MOD23" s="253" t="n"/>
      <c r="MOE23" s="253" t="n"/>
      <c r="MOF23" s="253" t="n"/>
      <c r="MOG23" s="253" t="n"/>
      <c r="MOH23" s="253" t="n"/>
      <c r="MOI23" s="253" t="n"/>
      <c r="MOJ23" s="253" t="n"/>
      <c r="MOK23" s="253" t="n"/>
      <c r="MOL23" s="253" t="n"/>
      <c r="MOM23" s="253" t="n"/>
      <c r="MON23" s="253" t="n"/>
      <c r="MOO23" s="253" t="n"/>
      <c r="MOP23" s="253" t="n"/>
      <c r="MOQ23" s="253" t="n"/>
      <c r="MOR23" s="253" t="n"/>
      <c r="MOS23" s="253" t="n"/>
      <c r="MOT23" s="253" t="n"/>
      <c r="MOU23" s="253" t="n"/>
      <c r="MOV23" s="253" t="n"/>
      <c r="MOW23" s="253" t="n"/>
      <c r="MOX23" s="253" t="n"/>
      <c r="MOY23" s="253" t="n"/>
      <c r="MOZ23" s="253" t="n"/>
      <c r="MPA23" s="253" t="n"/>
      <c r="MPB23" s="253" t="n"/>
      <c r="MPC23" s="253" t="n"/>
      <c r="MPD23" s="253" t="n"/>
      <c r="MPE23" s="253" t="n"/>
      <c r="MPF23" s="253" t="n"/>
      <c r="MPG23" s="253" t="n"/>
      <c r="MPH23" s="253" t="n"/>
      <c r="MPI23" s="253" t="n"/>
      <c r="MPJ23" s="253" t="n"/>
      <c r="MPK23" s="253" t="n"/>
      <c r="MPL23" s="253" t="n"/>
      <c r="MPM23" s="253" t="n"/>
      <c r="MPN23" s="253" t="n"/>
      <c r="MPO23" s="253" t="n"/>
      <c r="MPP23" s="253" t="n"/>
      <c r="MPQ23" s="253" t="n"/>
      <c r="MPR23" s="253" t="n"/>
      <c r="MPS23" s="253" t="n"/>
      <c r="MPT23" s="253" t="n"/>
      <c r="MPU23" s="253" t="n"/>
      <c r="MPV23" s="253" t="n"/>
      <c r="MPW23" s="253" t="n"/>
      <c r="MPX23" s="253" t="n"/>
      <c r="MPY23" s="253" t="n"/>
      <c r="MPZ23" s="253" t="n"/>
      <c r="MQA23" s="253" t="n"/>
      <c r="MQB23" s="253" t="n"/>
      <c r="MQC23" s="253" t="n"/>
      <c r="MQD23" s="253" t="n"/>
      <c r="MQE23" s="253" t="n"/>
      <c r="MQF23" s="253" t="n"/>
      <c r="MQG23" s="253" t="n"/>
      <c r="MQH23" s="253" t="n"/>
      <c r="MQI23" s="253" t="n"/>
      <c r="MQJ23" s="253" t="n"/>
      <c r="MQK23" s="253" t="n"/>
      <c r="MQL23" s="253" t="n"/>
      <c r="MQM23" s="253" t="n"/>
      <c r="MQN23" s="253" t="n"/>
      <c r="MQO23" s="253" t="n"/>
      <c r="MQP23" s="253" t="n"/>
      <c r="MQQ23" s="253" t="n"/>
      <c r="MQR23" s="253" t="n"/>
      <c r="MQS23" s="253" t="n"/>
      <c r="MQT23" s="253" t="n"/>
      <c r="MQU23" s="253" t="n"/>
      <c r="MQV23" s="253" t="n"/>
      <c r="MQW23" s="253" t="n"/>
      <c r="MQX23" s="253" t="n"/>
      <c r="MQY23" s="253" t="n"/>
      <c r="MQZ23" s="253" t="n"/>
      <c r="MRA23" s="253" t="n"/>
      <c r="MRB23" s="253" t="n"/>
      <c r="MRC23" s="253" t="n"/>
      <c r="MRD23" s="253" t="n"/>
      <c r="MRE23" s="253" t="n"/>
      <c r="MRF23" s="253" t="n"/>
      <c r="MRG23" s="253" t="n"/>
      <c r="MRH23" s="253" t="n"/>
      <c r="MRI23" s="253" t="n"/>
      <c r="MRJ23" s="253" t="n"/>
      <c r="MRK23" s="253" t="n"/>
      <c r="MRL23" s="253" t="n"/>
      <c r="MRM23" s="253" t="n"/>
      <c r="MRN23" s="253" t="n"/>
      <c r="MRO23" s="253" t="n"/>
      <c r="MRP23" s="253" t="n"/>
      <c r="MRQ23" s="253" t="n"/>
      <c r="MRR23" s="253" t="n"/>
      <c r="MRS23" s="253" t="n"/>
      <c r="MRT23" s="253" t="n"/>
      <c r="MRU23" s="253" t="n"/>
      <c r="MRV23" s="253" t="n"/>
      <c r="MRW23" s="253" t="n"/>
      <c r="MRX23" s="253" t="n"/>
      <c r="MRY23" s="253" t="n"/>
      <c r="MRZ23" s="253" t="n"/>
      <c r="MSA23" s="253" t="n"/>
      <c r="MSB23" s="253" t="n"/>
      <c r="MSC23" s="253" t="n"/>
      <c r="MSD23" s="253" t="n"/>
      <c r="MSE23" s="253" t="n"/>
      <c r="MSF23" s="253" t="n"/>
      <c r="MSG23" s="253" t="n"/>
      <c r="MSH23" s="253" t="n"/>
      <c r="MSI23" s="253" t="n"/>
      <c r="MSJ23" s="253" t="n"/>
      <c r="MSK23" s="253" t="n"/>
      <c r="MSL23" s="253" t="n"/>
      <c r="MSM23" s="253" t="n"/>
      <c r="MSN23" s="253" t="n"/>
      <c r="MSO23" s="253" t="n"/>
      <c r="MSP23" s="253" t="n"/>
      <c r="MSQ23" s="253" t="n"/>
      <c r="MSR23" s="253" t="n"/>
      <c r="MSS23" s="253" t="n"/>
      <c r="MST23" s="253" t="n"/>
      <c r="MSU23" s="253" t="n"/>
      <c r="MSV23" s="253" t="n"/>
      <c r="MSW23" s="253" t="n"/>
      <c r="MSX23" s="253" t="n"/>
      <c r="MSY23" s="253" t="n"/>
      <c r="MSZ23" s="253" t="n"/>
      <c r="MTA23" s="253" t="n"/>
      <c r="MTB23" s="253" t="n"/>
      <c r="MTC23" s="253" t="n"/>
      <c r="MTD23" s="253" t="n"/>
      <c r="MTE23" s="253" t="n"/>
      <c r="MTF23" s="253" t="n"/>
      <c r="MTG23" s="253" t="n"/>
      <c r="MTH23" s="253" t="n"/>
      <c r="MTI23" s="253" t="n"/>
      <c r="MTJ23" s="253" t="n"/>
      <c r="MTK23" s="253" t="n"/>
      <c r="MTL23" s="253" t="n"/>
      <c r="MTM23" s="253" t="n"/>
      <c r="MTN23" s="253" t="n"/>
      <c r="MTO23" s="253" t="n"/>
      <c r="MTP23" s="253" t="n"/>
      <c r="MTQ23" s="253" t="n"/>
      <c r="MTR23" s="253" t="n"/>
      <c r="MTS23" s="253" t="n"/>
      <c r="MTT23" s="253" t="n"/>
      <c r="MTU23" s="253" t="n"/>
      <c r="MTV23" s="253" t="n"/>
      <c r="MTW23" s="253" t="n"/>
      <c r="MTX23" s="253" t="n"/>
      <c r="MTY23" s="253" t="n"/>
      <c r="MTZ23" s="253" t="n"/>
      <c r="MUA23" s="253" t="n"/>
      <c r="MUB23" s="253" t="n"/>
      <c r="MUC23" s="253" t="n"/>
      <c r="MUD23" s="253" t="n"/>
      <c r="MUE23" s="253" t="n"/>
      <c r="MUF23" s="253" t="n"/>
      <c r="MUG23" s="253" t="n"/>
      <c r="MUH23" s="253" t="n"/>
      <c r="MUI23" s="253" t="n"/>
      <c r="MUJ23" s="253" t="n"/>
      <c r="MUK23" s="253" t="n"/>
      <c r="MUL23" s="253" t="n"/>
      <c r="MUM23" s="253" t="n"/>
      <c r="MUN23" s="253" t="n"/>
      <c r="MUO23" s="253" t="n"/>
      <c r="MUP23" s="253" t="n"/>
      <c r="MUQ23" s="253" t="n"/>
      <c r="MUR23" s="253" t="n"/>
      <c r="MUS23" s="253" t="n"/>
      <c r="MUT23" s="253" t="n"/>
      <c r="MUU23" s="253" t="n"/>
      <c r="MUV23" s="253" t="n"/>
      <c r="MUW23" s="253" t="n"/>
      <c r="MUX23" s="253" t="n"/>
      <c r="MUY23" s="253" t="n"/>
      <c r="MUZ23" s="253" t="n"/>
      <c r="MVA23" s="253" t="n"/>
      <c r="MVB23" s="253" t="n"/>
      <c r="MVC23" s="253" t="n"/>
      <c r="MVD23" s="253" t="n"/>
      <c r="MVE23" s="253" t="n"/>
      <c r="MVF23" s="253" t="n"/>
      <c r="MVG23" s="253" t="n"/>
      <c r="MVH23" s="253" t="n"/>
      <c r="MVI23" s="253" t="n"/>
      <c r="MVJ23" s="253" t="n"/>
      <c r="MVK23" s="253" t="n"/>
      <c r="MVL23" s="253" t="n"/>
      <c r="MVM23" s="253" t="n"/>
      <c r="MVN23" s="253" t="n"/>
      <c r="MVO23" s="253" t="n"/>
      <c r="MVP23" s="253" t="n"/>
      <c r="MVQ23" s="253" t="n"/>
      <c r="MVR23" s="253" t="n"/>
      <c r="MVS23" s="253" t="n"/>
      <c r="MVT23" s="253" t="n"/>
      <c r="MVU23" s="253" t="n"/>
      <c r="MVV23" s="253" t="n"/>
      <c r="MVW23" s="253" t="n"/>
      <c r="MVX23" s="253" t="n"/>
      <c r="MVY23" s="253" t="n"/>
      <c r="MVZ23" s="253" t="n"/>
      <c r="MWA23" s="253" t="n"/>
      <c r="MWB23" s="253" t="n"/>
      <c r="MWC23" s="253" t="n"/>
      <c r="MWD23" s="253" t="n"/>
      <c r="MWE23" s="253" t="n"/>
      <c r="MWF23" s="253" t="n"/>
      <c r="MWG23" s="253" t="n"/>
      <c r="MWH23" s="253" t="n"/>
      <c r="MWI23" s="253" t="n"/>
      <c r="MWJ23" s="253" t="n"/>
      <c r="MWK23" s="253" t="n"/>
      <c r="MWL23" s="253" t="n"/>
      <c r="MWM23" s="253" t="n"/>
      <c r="MWN23" s="253" t="n"/>
      <c r="MWO23" s="253" t="n"/>
      <c r="MWP23" s="253" t="n"/>
      <c r="MWQ23" s="253" t="n"/>
      <c r="MWR23" s="253" t="n"/>
      <c r="MWS23" s="253" t="n"/>
      <c r="MWT23" s="253" t="n"/>
      <c r="MWU23" s="253" t="n"/>
      <c r="MWV23" s="253" t="n"/>
      <c r="MWW23" s="253" t="n"/>
      <c r="MWX23" s="253" t="n"/>
      <c r="MWY23" s="253" t="n"/>
      <c r="MWZ23" s="253" t="n"/>
      <c r="MXA23" s="253" t="n"/>
      <c r="MXB23" s="253" t="n"/>
      <c r="MXC23" s="253" t="n"/>
      <c r="MXD23" s="253" t="n"/>
      <c r="MXE23" s="253" t="n"/>
      <c r="MXF23" s="253" t="n"/>
      <c r="MXG23" s="253" t="n"/>
      <c r="MXH23" s="253" t="n"/>
      <c r="MXI23" s="253" t="n"/>
      <c r="MXJ23" s="253" t="n"/>
      <c r="MXK23" s="253" t="n"/>
      <c r="MXL23" s="253" t="n"/>
      <c r="MXM23" s="253" t="n"/>
      <c r="MXN23" s="253" t="n"/>
      <c r="MXO23" s="253" t="n"/>
      <c r="MXP23" s="253" t="n"/>
      <c r="MXQ23" s="253" t="n"/>
      <c r="MXR23" s="253" t="n"/>
      <c r="MXS23" s="253" t="n"/>
      <c r="MXT23" s="253" t="n"/>
      <c r="MXU23" s="253" t="n"/>
      <c r="MXV23" s="253" t="n"/>
      <c r="MXW23" s="253" t="n"/>
      <c r="MXX23" s="253" t="n"/>
      <c r="MXY23" s="253" t="n"/>
      <c r="MXZ23" s="253" t="n"/>
      <c r="MYA23" s="253" t="n"/>
      <c r="MYB23" s="253" t="n"/>
      <c r="MYC23" s="253" t="n"/>
      <c r="MYD23" s="253" t="n"/>
      <c r="MYE23" s="253" t="n"/>
      <c r="MYF23" s="253" t="n"/>
      <c r="MYG23" s="253" t="n"/>
      <c r="MYH23" s="253" t="n"/>
      <c r="MYI23" s="253" t="n"/>
      <c r="MYJ23" s="253" t="n"/>
      <c r="MYK23" s="253" t="n"/>
      <c r="MYL23" s="253" t="n"/>
      <c r="MYM23" s="253" t="n"/>
      <c r="MYN23" s="253" t="n"/>
      <c r="MYO23" s="253" t="n"/>
      <c r="MYP23" s="253" t="n"/>
      <c r="MYQ23" s="253" t="n"/>
      <c r="MYR23" s="253" t="n"/>
      <c r="MYS23" s="253" t="n"/>
      <c r="MYT23" s="253" t="n"/>
      <c r="MYU23" s="253" t="n"/>
      <c r="MYV23" s="253" t="n"/>
      <c r="MYW23" s="253" t="n"/>
      <c r="MYX23" s="253" t="n"/>
      <c r="MYY23" s="253" t="n"/>
      <c r="MYZ23" s="253" t="n"/>
      <c r="MZA23" s="253" t="n"/>
      <c r="MZB23" s="253" t="n"/>
      <c r="MZC23" s="253" t="n"/>
      <c r="MZD23" s="253" t="n"/>
      <c r="MZE23" s="253" t="n"/>
      <c r="MZF23" s="253" t="n"/>
      <c r="MZG23" s="253" t="n"/>
      <c r="MZH23" s="253" t="n"/>
      <c r="MZI23" s="253" t="n"/>
      <c r="MZJ23" s="253" t="n"/>
      <c r="MZK23" s="253" t="n"/>
      <c r="MZL23" s="253" t="n"/>
      <c r="MZM23" s="253" t="n"/>
      <c r="MZN23" s="253" t="n"/>
      <c r="MZO23" s="253" t="n"/>
      <c r="MZP23" s="253" t="n"/>
      <c r="MZQ23" s="253" t="n"/>
      <c r="MZR23" s="253" t="n"/>
      <c r="MZS23" s="253" t="n"/>
      <c r="MZT23" s="253" t="n"/>
      <c r="MZU23" s="253" t="n"/>
      <c r="MZV23" s="253" t="n"/>
      <c r="MZW23" s="253" t="n"/>
      <c r="MZX23" s="253" t="n"/>
      <c r="MZY23" s="253" t="n"/>
      <c r="MZZ23" s="253" t="n"/>
      <c r="NAA23" s="253" t="n"/>
      <c r="NAB23" s="253" t="n"/>
      <c r="NAC23" s="253" t="n"/>
      <c r="NAD23" s="253" t="n"/>
      <c r="NAE23" s="253" t="n"/>
      <c r="NAF23" s="253" t="n"/>
      <c r="NAG23" s="253" t="n"/>
      <c r="NAH23" s="253" t="n"/>
      <c r="NAI23" s="253" t="n"/>
      <c r="NAJ23" s="253" t="n"/>
      <c r="NAK23" s="253" t="n"/>
      <c r="NAL23" s="253" t="n"/>
      <c r="NAM23" s="253" t="n"/>
      <c r="NAN23" s="253" t="n"/>
      <c r="NAO23" s="253" t="n"/>
      <c r="NAP23" s="253" t="n"/>
      <c r="NAQ23" s="253" t="n"/>
      <c r="NAR23" s="253" t="n"/>
      <c r="NAS23" s="253" t="n"/>
      <c r="NAT23" s="253" t="n"/>
      <c r="NAU23" s="253" t="n"/>
      <c r="NAV23" s="253" t="n"/>
      <c r="NAW23" s="253" t="n"/>
      <c r="NAX23" s="253" t="n"/>
      <c r="NAY23" s="253" t="n"/>
      <c r="NAZ23" s="253" t="n"/>
      <c r="NBA23" s="253" t="n"/>
      <c r="NBB23" s="253" t="n"/>
      <c r="NBC23" s="253" t="n"/>
      <c r="NBD23" s="253" t="n"/>
      <c r="NBE23" s="253" t="n"/>
      <c r="NBF23" s="253" t="n"/>
      <c r="NBG23" s="253" t="n"/>
      <c r="NBH23" s="253" t="n"/>
      <c r="NBI23" s="253" t="n"/>
      <c r="NBJ23" s="253" t="n"/>
      <c r="NBK23" s="253" t="n"/>
      <c r="NBL23" s="253" t="n"/>
      <c r="NBM23" s="253" t="n"/>
      <c r="NBN23" s="253" t="n"/>
      <c r="NBO23" s="253" t="n"/>
      <c r="NBP23" s="253" t="n"/>
      <c r="NBQ23" s="253" t="n"/>
      <c r="NBR23" s="253" t="n"/>
      <c r="NBS23" s="253" t="n"/>
      <c r="NBT23" s="253" t="n"/>
      <c r="NBU23" s="253" t="n"/>
      <c r="NBV23" s="253" t="n"/>
      <c r="NBW23" s="253" t="n"/>
      <c r="NBX23" s="253" t="n"/>
      <c r="NBY23" s="253" t="n"/>
      <c r="NBZ23" s="253" t="n"/>
      <c r="NCA23" s="253" t="n"/>
      <c r="NCB23" s="253" t="n"/>
      <c r="NCC23" s="253" t="n"/>
      <c r="NCD23" s="253" t="n"/>
      <c r="NCE23" s="253" t="n"/>
      <c r="NCF23" s="253" t="n"/>
      <c r="NCG23" s="253" t="n"/>
      <c r="NCH23" s="253" t="n"/>
      <c r="NCI23" s="253" t="n"/>
      <c r="NCJ23" s="253" t="n"/>
      <c r="NCK23" s="253" t="n"/>
      <c r="NCL23" s="253" t="n"/>
      <c r="NCM23" s="253" t="n"/>
      <c r="NCN23" s="253" t="n"/>
      <c r="NCO23" s="253" t="n"/>
      <c r="NCP23" s="253" t="n"/>
      <c r="NCQ23" s="253" t="n"/>
      <c r="NCR23" s="253" t="n"/>
      <c r="NCS23" s="253" t="n"/>
      <c r="NCT23" s="253" t="n"/>
      <c r="NCU23" s="253" t="n"/>
      <c r="NCV23" s="253" t="n"/>
      <c r="NCW23" s="253" t="n"/>
      <c r="NCX23" s="253" t="n"/>
      <c r="NCY23" s="253" t="n"/>
      <c r="NCZ23" s="253" t="n"/>
      <c r="NDA23" s="253" t="n"/>
      <c r="NDB23" s="253" t="n"/>
      <c r="NDC23" s="253" t="n"/>
      <c r="NDD23" s="253" t="n"/>
      <c r="NDE23" s="253" t="n"/>
      <c r="NDF23" s="253" t="n"/>
      <c r="NDG23" s="253" t="n"/>
      <c r="NDH23" s="253" t="n"/>
      <c r="NDI23" s="253" t="n"/>
      <c r="NDJ23" s="253" t="n"/>
      <c r="NDK23" s="253" t="n"/>
      <c r="NDL23" s="253" t="n"/>
      <c r="NDM23" s="253" t="n"/>
      <c r="NDN23" s="253" t="n"/>
      <c r="NDO23" s="253" t="n"/>
      <c r="NDP23" s="253" t="n"/>
      <c r="NDQ23" s="253" t="n"/>
      <c r="NDR23" s="253" t="n"/>
      <c r="NDS23" s="253" t="n"/>
      <c r="NDT23" s="253" t="n"/>
      <c r="NDU23" s="253" t="n"/>
      <c r="NDV23" s="253" t="n"/>
      <c r="NDW23" s="253" t="n"/>
      <c r="NDX23" s="253" t="n"/>
      <c r="NDY23" s="253" t="n"/>
      <c r="NDZ23" s="253" t="n"/>
      <c r="NEA23" s="253" t="n"/>
      <c r="NEB23" s="253" t="n"/>
      <c r="NEC23" s="253" t="n"/>
      <c r="NED23" s="253" t="n"/>
      <c r="NEE23" s="253" t="n"/>
      <c r="NEF23" s="253" t="n"/>
      <c r="NEG23" s="253" t="n"/>
      <c r="NEH23" s="253" t="n"/>
      <c r="NEI23" s="253" t="n"/>
      <c r="NEJ23" s="253" t="n"/>
      <c r="NEK23" s="253" t="n"/>
      <c r="NEL23" s="253" t="n"/>
      <c r="NEM23" s="253" t="n"/>
      <c r="NEN23" s="253" t="n"/>
      <c r="NEO23" s="253" t="n"/>
      <c r="NEP23" s="253" t="n"/>
      <c r="NEQ23" s="253" t="n"/>
      <c r="NER23" s="253" t="n"/>
      <c r="NES23" s="253" t="n"/>
      <c r="NET23" s="253" t="n"/>
      <c r="NEU23" s="253" t="n"/>
      <c r="NEV23" s="253" t="n"/>
      <c r="NEW23" s="253" t="n"/>
      <c r="NEX23" s="253" t="n"/>
      <c r="NEY23" s="253" t="n"/>
      <c r="NEZ23" s="253" t="n"/>
      <c r="NFA23" s="253" t="n"/>
      <c r="NFB23" s="253" t="n"/>
      <c r="NFC23" s="253" t="n"/>
      <c r="NFD23" s="253" t="n"/>
      <c r="NFE23" s="253" t="n"/>
      <c r="NFF23" s="253" t="n"/>
      <c r="NFG23" s="253" t="n"/>
      <c r="NFH23" s="253" t="n"/>
      <c r="NFI23" s="253" t="n"/>
      <c r="NFJ23" s="253" t="n"/>
      <c r="NFK23" s="253" t="n"/>
      <c r="NFL23" s="253" t="n"/>
      <c r="NFM23" s="253" t="n"/>
      <c r="NFN23" s="253" t="n"/>
      <c r="NFO23" s="87" t="n"/>
    </row>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sheetData>
  <pageMargins left="0.7" right="0.7" top="0.75" bottom="0.75" header="0.3" footer="0.3"/>
  <pageSetup orientation="portrait"/>
</worksheet>
</file>

<file path=xl/worksheets/sheet4.xml><?xml version="1.0" encoding="utf-8"?>
<worksheet xmlns="http://schemas.openxmlformats.org/spreadsheetml/2006/main">
  <sheetPr codeName="Sheet31">
    <outlinePr summaryBelow="1" summaryRight="1"/>
    <pageSetUpPr/>
  </sheetPr>
  <dimension ref="A2:AZ1062"/>
  <sheetViews>
    <sheetView zoomScale="70" zoomScaleNormal="70" workbookViewId="0">
      <selection activeCell="H14" sqref="H14"/>
    </sheetView>
  </sheetViews>
  <sheetFormatPr baseColWidth="8" defaultRowHeight="15"/>
  <cols>
    <col width="12.85546875" customWidth="1" min="1" max="3"/>
    <col width="16.140625" customWidth="1" min="4" max="4"/>
    <col width="19.7109375" bestFit="1" customWidth="1" min="5" max="5"/>
    <col width="12.85546875" customWidth="1" min="6" max="7"/>
    <col width="49.7109375" bestFit="1" customWidth="1" min="8" max="8"/>
    <col width="26.7109375" bestFit="1" customWidth="1" min="9" max="9"/>
    <col width="92.42578125" bestFit="1" customWidth="1" min="10" max="10"/>
    <col width="12.85546875" customWidth="1" min="11" max="12"/>
    <col width="9.85546875" bestFit="1" customWidth="1" min="13" max="14"/>
    <col width="63.42578125" customWidth="1" min="15" max="15"/>
    <col width="9.7109375" bestFit="1" customWidth="1" min="16" max="16"/>
    <col width="19.42578125" bestFit="1" customWidth="1" min="17" max="17"/>
    <col width="41.140625" bestFit="1" customWidth="1" min="18" max="18"/>
    <col width="14.7109375" customWidth="1" style="101" min="19" max="19"/>
    <col width="22.28515625" customWidth="1" min="20" max="20"/>
    <col width="52.140625" bestFit="1" customWidth="1" min="21" max="21"/>
    <col width="18.28515625" bestFit="1" customWidth="1" min="22" max="23"/>
    <col width="18.7109375" bestFit="1" customWidth="1" min="24" max="24"/>
    <col width="18.42578125" bestFit="1" customWidth="1" min="25" max="25"/>
    <col width="18.28515625" bestFit="1" customWidth="1" min="26" max="28"/>
    <col width="18.7109375" bestFit="1" customWidth="1" min="29" max="30"/>
    <col width="18" bestFit="1" customWidth="1" min="31" max="31"/>
    <col width="17.85546875" bestFit="1" customWidth="1" min="32" max="32"/>
    <col width="18" bestFit="1" customWidth="1" min="33" max="33"/>
  </cols>
  <sheetData>
    <row r="1" ht="7.5" customHeight="1" thickBot="1"/>
    <row r="2">
      <c r="O2" s="280" t="inlineStr">
        <is>
          <t xml:space="preserve">Zoho Item </t>
        </is>
      </c>
      <c r="P2" s="485" t="inlineStr">
        <is>
          <t>Value</t>
        </is>
      </c>
      <c r="Q2" s="767" t="n"/>
      <c r="R2" s="768" t="n"/>
      <c r="S2" s="74" t="n"/>
      <c r="T2" s="258" t="n"/>
    </row>
    <row r="3">
      <c r="B3" t="inlineStr">
        <is>
          <t>Client Number</t>
        </is>
      </c>
      <c r="C3" t="inlineStr">
        <is>
          <t>Client Name</t>
        </is>
      </c>
      <c r="O3" s="281" t="inlineStr">
        <is>
          <t>Zoho CRM Client:</t>
        </is>
      </c>
      <c r="P3" s="484" t="inlineStr">
        <is>
          <t>Test Test</t>
        </is>
      </c>
      <c r="Q3" s="750" t="n"/>
      <c r="R3" s="762" t="n"/>
      <c r="T3" s="35" t="n"/>
    </row>
    <row r="4">
      <c r="B4">
        <f>ClientNumber</f>
        <v/>
      </c>
      <c r="C4">
        <f>Calculator!D5</f>
        <v/>
      </c>
      <c r="O4" s="281" t="inlineStr">
        <is>
          <t>Client ID:</t>
        </is>
      </c>
      <c r="P4" s="484" t="inlineStr">
        <is>
          <t>1376087000006207114</t>
        </is>
      </c>
      <c r="Q4" s="750" t="n"/>
      <c r="R4" s="762" t="n"/>
      <c r="T4" s="35" t="n"/>
    </row>
    <row r="5">
      <c r="D5" s="21" t="inlineStr">
        <is>
          <t>Claimable</t>
        </is>
      </c>
      <c r="E5" s="21" t="inlineStr">
        <is>
          <t>Transferable</t>
        </is>
      </c>
      <c r="I5" s="275" t="n"/>
      <c r="O5" s="281" t="inlineStr">
        <is>
          <t>Application ID:</t>
        </is>
      </c>
      <c r="P5" s="484" t="inlineStr">
        <is>
          <t>1376087000690587027</t>
        </is>
      </c>
      <c r="Q5" s="750" t="n"/>
      <c r="R5" s="762" t="n"/>
      <c r="T5" s="35" t="n"/>
    </row>
    <row r="6">
      <c r="A6" t="n">
        <v>2023</v>
      </c>
      <c r="B6">
        <f>Calculator!M8</f>
        <v/>
      </c>
      <c r="C6">
        <f>Calculator!N8</f>
        <v/>
      </c>
      <c r="D6">
        <f>IF(Calculator!C8="NR", 0,
   IF(_xlfn.XLOOKUP($C$5, Clients!D:D, Clients!HJV:HJV, "nf", 0, 1) &gt; 0, "316 Claimed",
      ROUND((IF(Calculator!C8 &gt; Calculator!E8, Calculator!E8, Calculator!C8) +
             IF(Calculator!D8 &gt; Calculator!F8, Calculator!F8, Calculator!D8)), 0)
   )
)</f>
        <v/>
      </c>
      <c r="E6" s="101">
        <f>IF(OR(Calculator!C8="NR", Calculator!D8="NR"),
    0,
    IF(OR(ISNUMBER(IF(OR(Calculator!M8="Married", Calculator!M8="Common-Law"), 'Federal Transfer S2'!P29, IF(Calculator!C8 &lt; Calculator!E8, Calculator!E8 - Calculator!C8, 0))),
           ISNUMBER(IF(OR(Calculator!M8="Married", Calculator!M8="Common-Law"), _xlfn.XLOOKUP(CONCATENATE(Calculator!L8, "_", Calculator!N8), 'Prov Trans Master'!A1:A134, 'Prov Trans Master'!B1:B134, "NR", 0, 1), IF(Calculator!D8 &lt; Calculator!F8, Calculator!F8 - Calculator!D8, 0)))
        ),
        IF(OR(ISNUMBER(IF(OR(Calculator!M8="Married", Calculator!M8="Common-Law"), 'Federal Transfer S2'!P29, IF(Calculator!C8 &lt; Calculator!E8, Calculator!E8 - Calculator!C8, 0)))),
            IF(OR(Calculator!M8="Married", Calculator!M8="Common-Law"), 'Federal Transfer S2'!P29, IF(Calculator!C8 &lt; Calculator!E8, Calculator!E8 - Calculator!C8, 0)),
            0
        ) +
        IF(OR(ISNUMBER(IF(OR(Calculator!M8="Married", Calculator!M8="Common-Law"), _xlfn.XLOOKUP(CONCATENATE(Calculator!L8, "_", Calculator!N8), 'Prov Trans Master'!A1:A134, 'Prov Trans Master'!B1:B134, "NR", 0, 1), IF(Calculator!D8 &lt; Calculator!F8, Calculator!F8 - Calculator!D8, 0)))),
            IF(OR(Calculator!M8="Married", Calculator!M8="Common-Law"), _xlfn.XLOOKUP(CONCATENATE(Calculator!L8, "_", Calculator!N8), 'Prov Trans Master'!A1:A134, 'Prov Trans Master'!B1:B134, "NR", 0, 1), IF(Calculator!D8 &lt; Calculator!F8, Calculator!F8 - Calculator!D8, 0)),
            0
        ),
        "No Transfer Required"
    )
)</f>
        <v/>
      </c>
      <c r="I6" s="275" t="n"/>
      <c r="O6" s="282" t="inlineStr">
        <is>
          <t>Applications Name: Add “20XX-20XX”</t>
        </is>
      </c>
      <c r="P6" s="484" t="n"/>
      <c r="Q6" s="750" t="n"/>
      <c r="R6" s="762" t="n"/>
      <c r="T6" s="35" t="n"/>
    </row>
    <row r="7" ht="15" customHeight="1">
      <c r="A7" t="n">
        <v>2022</v>
      </c>
      <c r="B7">
        <f>Calculator!M9</f>
        <v/>
      </c>
      <c r="C7">
        <f>Calculator!N9</f>
        <v/>
      </c>
      <c r="D7">
        <f>IF(Calculator!C9="NR", 0,
   IF(_xlfn.XLOOKUP($C$5, Clients!D:D, Clients!HJV:HJV, "nf", 0, 1) &gt; 0, "316 Claimed",
      ROUND((IF(Calculator!C9 &gt; Calculator!E9, Calculator!E9, Calculator!C9) +
             IF(Calculator!D9 &gt; Calculator!F9, Calculator!F9, Calculator!D9)), 0)
   )
)</f>
        <v/>
      </c>
      <c r="E7" s="101">
        <f>IF(OR(Calculator!C9="NR", Calculator!D9="NR"),
    0,
    IF(OR(ISNUMBER(IF(OR(Calculator!M9="Married", Calculator!M9="Common-Law"), 'Federal Transfer S2'!P30, IF(Calculator!C9 &lt; Calculator!E9, Calculator!E9 - Calculator!C9, 0))),
           ISNUMBER(IF(OR(Calculator!M9="Married", Calculator!M9="Common-Law"), _xlfn.XLOOKUP(CONCATENATE(Calculator!L9, "_", Calculator!N9), 'Prov Trans Master'!A2:A135, 'Prov Trans Master'!B2:B135, "NR", 0, 1), IF(Calculator!D9 &lt; Calculator!F9, Calculator!F9 - Calculator!D9, 0)))
        ),
        IF(OR(ISNUMBER(IF(OR(Calculator!M9="Married", Calculator!M9="Common-Law"), 'Federal Transfer S2'!P30, IF(Calculator!C9 &lt; Calculator!E9, Calculator!E9 - Calculator!C9, 0)))),
            IF(OR(Calculator!M9="Married", Calculator!M9="Common-Law"), 'Federal Transfer S2'!P30, IF(Calculator!C9 &lt; Calculator!E9, Calculator!E9 - Calculator!C9, 0)),
            0
        ) +
        IF(OR(ISNUMBER(IF(OR(Calculator!M9="Married", Calculator!M9="Common-Law"), _xlfn.XLOOKUP(CONCATENATE(Calculator!L9, "_", Calculator!N9), 'Prov Trans Master'!A2:A135, 'Prov Trans Master'!B2:B135, "NR", 0, 1), IF(Calculator!D9 &lt; Calculator!F9, Calculator!F9 - Calculator!D9, 0)))),
            IF(OR(Calculator!M9="Married", Calculator!M9="Common-Law"), _xlfn.XLOOKUP(CONCATENATE(Calculator!L9, "_", Calculator!N9), 'Prov Trans Master'!A2:A135, 'Prov Trans Master'!B2:B135, "NR", 0, 1), IF(Calculator!D9 &lt; Calculator!F9, Calculator!F9 - Calculator!D9, 0)),
            0
        ),
        "No Transfer Required"
    )
)</f>
        <v/>
      </c>
      <c r="O7" s="282" t="inlineStr">
        <is>
          <t>Application Year Count (enter # of years being adjusted)</t>
        </is>
      </c>
      <c r="P7" s="484" t="n"/>
      <c r="Q7" s="750" t="n"/>
      <c r="R7" s="762" t="n"/>
      <c r="T7" s="35" t="n"/>
    </row>
    <row r="8" ht="15" customHeight="1">
      <c r="A8" t="n">
        <v>2021</v>
      </c>
      <c r="B8">
        <f>Calculator!M10</f>
        <v/>
      </c>
      <c r="C8">
        <f>Calculator!N10</f>
        <v/>
      </c>
      <c r="D8">
        <f>IF(Calculator!C10="NR", 0,
   IF(_xlfn.XLOOKUP($C$5, Clients!D:D, Clients!HJV:HJV, "nf", 0, 1) &gt; 0, "316 Claimed",
      ROUND((IF(Calculator!C10 &gt; Calculator!E10, Calculator!E10, Calculator!C10) +
             IF(Calculator!D10 &gt; Calculator!F10, Calculator!F10, Calculator!D10)), 0)
   )
)</f>
        <v/>
      </c>
      <c r="E8" s="101">
        <f>IF(OR(Calculator!C10="NR", Calculator!D10="NR"),
    0,
    IF(OR(ISNUMBER(IF(OR(Calculator!M10="Married", Calculator!M10="Common-Law"), 'Federal Transfer S2'!P31, IF(Calculator!C10 &lt; Calculator!E10, Calculator!E10 - Calculator!C10, 0))),
           ISNUMBER(IF(OR(Calculator!M10="Married", Calculator!M10="Common-Law"), _xlfn.XLOOKUP(CONCATENATE(Calculator!L10, "_", Calculator!N10), 'Prov Trans Master'!A3:A136, 'Prov Trans Master'!B3:B136, "NR", 0, 1), IF(Calculator!D10 &lt; Calculator!F10, Calculator!F10 - Calculator!D10, 0)))
        ),
        IF(OR(ISNUMBER(IF(OR(Calculator!M10="Married", Calculator!M10="Common-Law"), 'Federal Transfer S2'!P31, IF(Calculator!C10 &lt; Calculator!E10, Calculator!E10 - Calculator!C10, 0)))),
            IF(OR(Calculator!M10="Married", Calculator!M10="Common-Law"), 'Federal Transfer S2'!P31, IF(Calculator!C10 &lt; Calculator!E10, Calculator!E10 - Calculator!C10, 0)),
            0
        ) +
        IF(OR(ISNUMBER(IF(OR(Calculator!M10="Married", Calculator!M10="Common-Law"), _xlfn.XLOOKUP(CONCATENATE(Calculator!L10, "_", Calculator!N10), 'Prov Trans Master'!A3:A136, 'Prov Trans Master'!B3:B136, "NR", 0, 1), IF(Calculator!D10 &lt; Calculator!F10, Calculator!F10 - Calculator!D10, 0)))),
            IF(OR(Calculator!M10="Married", Calculator!M10="Common-Law"), _xlfn.XLOOKUP(CONCATENATE(Calculator!L10, "_", Calculator!N10), 'Prov Trans Master'!A3:A136, 'Prov Trans Master'!B3:B136, "NR", 0, 1), IF(Calculator!D10 &lt; Calculator!F10, Calculator!F10 - Calculator!D10, 0)),
            0
        ),
        "No Transfer Required"
    )
)</f>
        <v/>
      </c>
      <c r="I8" s="101" t="n"/>
      <c r="O8" s="282" t="inlineStr">
        <is>
          <t>Client Claim Value  ($) (calc field: Total Claim Value)</t>
        </is>
      </c>
      <c r="P8" s="484" t="n"/>
      <c r="Q8" s="750" t="n"/>
      <c r="R8" s="762" t="n"/>
      <c r="T8" s="35" t="n"/>
    </row>
    <row r="9">
      <c r="A9" t="n">
        <v>2020</v>
      </c>
      <c r="B9">
        <f>Calculator!M11</f>
        <v/>
      </c>
      <c r="C9">
        <f>Calculator!N11</f>
        <v/>
      </c>
      <c r="D9">
        <f>IF(Calculator!C11="NR", 0,
   IF(_xlfn.XLOOKUP($C$5, Clients!D:D, Clients!HJV:HJV, "nf", 0, 1) &gt; 0, "316 Claimed",
      ROUND((IF(Calculator!C11 &gt; Calculator!E11, Calculator!E11, Calculator!C11) +
             IF(Calculator!D11 &gt; Calculator!F11, Calculator!F11, Calculator!D11)), 0)
   )
)</f>
        <v/>
      </c>
      <c r="E9" s="101">
        <f>IF(OR(Calculator!C11="NR", Calculator!D11="NR"),
    0,
    IF(OR(ISNUMBER(IF(OR(Calculator!M11="Married", Calculator!M11="Common-Law"), 'Federal Transfer S2'!P32, IF(Calculator!C11 &lt; Calculator!E11, Calculator!E11 - Calculator!C11, 0))),
           ISNUMBER(IF(OR(Calculator!M11="Married", Calculator!M11="Common-Law"), _xlfn.XLOOKUP(CONCATENATE(Calculator!L11, "_", Calculator!N11), 'Prov Trans Master'!A4:A137, 'Prov Trans Master'!B4:B137, "NR", 0, 1), IF(Calculator!D11 &lt; Calculator!F11, Calculator!F11 - Calculator!D11, 0)))
        ),
        IF(OR(ISNUMBER(IF(OR(Calculator!M11="Married", Calculator!M11="Common-Law"), 'Federal Transfer S2'!P32, IF(Calculator!C11 &lt; Calculator!E11, Calculator!E11 - Calculator!C11, 0)))),
            IF(OR(Calculator!M11="Married", Calculator!M11="Common-Law"), 'Federal Transfer S2'!P32, IF(Calculator!C11 &lt; Calculator!E11, Calculator!E11 - Calculator!C11, 0)),
            0
        ) +
        IF(OR(ISNUMBER(IF(OR(Calculator!M11="Married", Calculator!M11="Common-Law"), _xlfn.XLOOKUP(CONCATENATE(Calculator!L11, "_", Calculator!N11), 'Prov Trans Master'!A4:A137, 'Prov Trans Master'!B4:B137, "NR", 0, 1), IF(Calculator!D11 &lt; Calculator!F11, Calculator!F11 - Calculator!D11, 0)))),
            IF(OR(Calculator!M11="Married", Calculator!M11="Common-Law"), _xlfn.XLOOKUP(CONCATENATE(Calculator!L11, "_", Calculator!N11), 'Prov Trans Master'!A4:A137, 'Prov Trans Master'!B4:B137, "NR", 0, 1), IF(Calculator!D11 &lt; Calculator!F11, Calculator!F11 - Calculator!D11, 0)),
            0
        ),
        "No Transfer Required"
    )
)</f>
        <v/>
      </c>
      <c r="O9" s="282" t="inlineStr">
        <is>
          <t>Credits Transferable  ($) (calc field: Transfer Amount)</t>
        </is>
      </c>
      <c r="P9" s="484" t="n"/>
      <c r="Q9" s="750" t="n"/>
      <c r="R9" s="762" t="n"/>
      <c r="T9" s="35" t="n"/>
    </row>
    <row r="10" ht="15" customHeight="1">
      <c r="A10" t="n">
        <v>2019</v>
      </c>
      <c r="B10">
        <f>Calculator!M12</f>
        <v/>
      </c>
      <c r="C10">
        <f>Calculator!N12</f>
        <v/>
      </c>
      <c r="D10">
        <f>IF(Calculator!C12="NR", 0,
   IF(_xlfn.XLOOKUP($C$5, Clients!D:D, Clients!HJV:HJV, "nf", 0, 1) &gt; 0, "316 Claimed",
      ROUND((IF(Calculator!C12 &gt; Calculator!E12, Calculator!E12, Calculator!C12) +
             IF(Calculator!D12 &gt; Calculator!F12, Calculator!F12, Calculator!D12)), 0)
   )
)</f>
        <v/>
      </c>
      <c r="E10" s="101">
        <f>IF(OR(Calculator!C12="NR", Calculator!D12="NR"),
    0,
    IF(OR(ISNUMBER(IF(OR(Calculator!M12="Married", Calculator!M12="Common-Law"), 'Federal Transfer S2'!P33, IF(Calculator!C12 &lt; Calculator!E12, Calculator!E12 - Calculator!C12, 0))),
           ISNUMBER(IF(OR(Calculator!M12="Married", Calculator!M12="Common-Law"), _xlfn.XLOOKUP(CONCATENATE(Calculator!L12, "_", Calculator!N12), 'Prov Trans Master'!A5:A138, 'Prov Trans Master'!B5:B138, "NR", 0, 1), IF(Calculator!D12 &lt; Calculator!F12, Calculator!F12 - Calculator!D12, 0)))
        ),
        IF(OR(ISNUMBER(IF(OR(Calculator!M12="Married", Calculator!M12="Common-Law"), 'Federal Transfer S2'!P33, IF(Calculator!C12 &lt; Calculator!E12, Calculator!E12 - Calculator!C12, 0)))),
            IF(OR(Calculator!M12="Married", Calculator!M12="Common-Law"), 'Federal Transfer S2'!P33, IF(Calculator!C12 &lt; Calculator!E12, Calculator!E12 - Calculator!C12, 0)),
            0
        ) +
        IF(OR(ISNUMBER(IF(OR(Calculator!M12="Married", Calculator!M12="Common-Law"), _xlfn.XLOOKUP(CONCATENATE(Calculator!L12, "_", Calculator!N12), 'Prov Trans Master'!A5:A138, 'Prov Trans Master'!B5:B138, "NR", 0, 1), IF(Calculator!D12 &lt; Calculator!F12, Calculator!F12 - Calculator!D12, 0)))),
            IF(OR(Calculator!M12="Married", Calculator!M12="Common-Law"), _xlfn.XLOOKUP(CONCATENATE(Calculator!L12, "_", Calculator!N12), 'Prov Trans Master'!A5:A138, 'Prov Trans Master'!B5:B138, "NR", 0, 1), IF(Calculator!D12 &lt; Calculator!F12, Calculator!F12 - Calculator!D12, 0)),
            0
        ),
        "No Transfer Required"
    )
)</f>
        <v/>
      </c>
      <c r="H10" s="276" t="n"/>
      <c r="O10" s="283" t="inlineStr">
        <is>
          <t>Marital Status (Select from Dropdown: Single, Married, Common-law, Divorced/Separated, Widowed)</t>
        </is>
      </c>
      <c r="P10" s="484" t="n"/>
      <c r="Q10" s="750" t="n"/>
      <c r="R10" s="762" t="n"/>
      <c r="T10" s="35" t="n"/>
    </row>
    <row r="11">
      <c r="A11" t="n">
        <v>2018</v>
      </c>
      <c r="B11">
        <f>Calculator!M13</f>
        <v/>
      </c>
      <c r="C11">
        <f>Calculator!N13</f>
        <v/>
      </c>
      <c r="D11">
        <f>IF(Calculator!C13="NR", 0,
   IF(_xlfn.XLOOKUP($C$5, Clients!D:D, Clients!HJV:HJV, "nf", 0, 1) &gt; 0, "316 Claimed",
      ROUND((IF(Calculator!C13 &gt; Calculator!E13, Calculator!E13, Calculator!C13) +
             IF(Calculator!D13 &gt; Calculator!F13, Calculator!F13, Calculator!D13)), 0)
   )
)</f>
        <v/>
      </c>
      <c r="E11" s="101">
        <f>IF(OR(Calculator!C13="NR", Calculator!D13="NR"),
    0,
    IF(OR(ISNUMBER(IF(OR(Calculator!M13="Married", Calculator!M13="Common-Law"), 'Federal Transfer S2'!P34, IF(Calculator!C13 &lt; Calculator!E13, Calculator!E13 - Calculator!C13, 0))),
           ISNUMBER(IF(OR(Calculator!M13="Married", Calculator!M13="Common-Law"), _xlfn.XLOOKUP(CONCATENATE(Calculator!L13, "_", Calculator!N13), 'Prov Trans Master'!A6:A139, 'Prov Trans Master'!B6:B139, "NR", 0, 1), IF(Calculator!D13 &lt; Calculator!F13, Calculator!F13 - Calculator!D13, 0)))
        ),
        IF(OR(ISNUMBER(IF(OR(Calculator!M13="Married", Calculator!M13="Common-Law"), 'Federal Transfer S2'!P34, IF(Calculator!C13 &lt; Calculator!E13, Calculator!E13 - Calculator!C13, 0)))),
            IF(OR(Calculator!M13="Married", Calculator!M13="Common-Law"), 'Federal Transfer S2'!P34, IF(Calculator!C13 &lt; Calculator!E13, Calculator!E13 - Calculator!C13, 0)),
            0
        ) +
        IF(OR(ISNUMBER(IF(OR(Calculator!M13="Married", Calculator!M13="Common-Law"), _xlfn.XLOOKUP(CONCATENATE(Calculator!L13, "_", Calculator!N13), 'Prov Trans Master'!A6:A139, 'Prov Trans Master'!B6:B139, "NR", 0, 1), IF(Calculator!D13 &lt; Calculator!F13, Calculator!F13 - Calculator!D13, 0)))),
            IF(OR(Calculator!M13="Married", Calculator!M13="Common-Law"), _xlfn.XLOOKUP(CONCATENATE(Calculator!L13, "_", Calculator!N13), 'Prov Trans Master'!A6:A139, 'Prov Trans Master'!B6:B139, "NR", 0, 1), IF(Calculator!D13 &lt; Calculator!F13, Calculator!F13 - Calculator!D13, 0)),
            0
        ),
        "No Transfer Required"
    )
)</f>
        <v/>
      </c>
      <c r="O11" s="509" t="inlineStr">
        <is>
          <t>Transfer Status (Select from Dropdown: Not Required, Required - Contact Client, Required - Ready for Submission, Not Available)</t>
        </is>
      </c>
      <c r="P11" s="484" t="n"/>
      <c r="Q11" s="752" t="n"/>
      <c r="R11" s="762" t="n"/>
      <c r="T11" s="35" t="n"/>
    </row>
    <row r="12">
      <c r="A12" t="n">
        <v>2017</v>
      </c>
      <c r="B12">
        <f>Calculator!M14</f>
        <v/>
      </c>
      <c r="C12">
        <f>Calculator!N14</f>
        <v/>
      </c>
      <c r="D12">
        <f>IF(Calculator!C14="NR", 0,
   IF(_xlfn.XLOOKUP($C$5, Clients!D:D, Clients!HJV:HJV, "nf", 0, 1) &gt; 0, "316 Claimed",
      ROUND((IF(Calculator!C14 &gt; Calculator!E14, Calculator!E14, Calculator!C14) +
             IF(Calculator!D14 &gt; Calculator!F14, Calculator!F14, Calculator!D14)), 0)
   )
)</f>
        <v/>
      </c>
      <c r="E12" s="101">
        <f>IF(OR(Calculator!C14="NR", Calculator!D14="NR"),
    0,
    IF(OR(ISNUMBER(IF(OR(Calculator!M14="Married", Calculator!M14="Common-Law"), 'Federal Transfer S2'!P35, IF(Calculator!C14 &lt; Calculator!E14, Calculator!E14 - Calculator!C14, 0))),
           ISNUMBER(IF(OR(Calculator!M14="Married", Calculator!M14="Common-Law"), _xlfn.XLOOKUP(CONCATENATE(Calculator!L14, "_", Calculator!N14), 'Prov Trans Master'!A7:A140, 'Prov Trans Master'!B7:B140, "NR", 0, 1), IF(Calculator!D14 &lt; Calculator!F14, Calculator!F14 - Calculator!D14, 0)))
        ),
        IF(OR(ISNUMBER(IF(OR(Calculator!M14="Married", Calculator!M14="Common-Law"), 'Federal Transfer S2'!P35, IF(Calculator!C14 &lt; Calculator!E14, Calculator!E14 - Calculator!C14, 0)))),
            IF(OR(Calculator!M14="Married", Calculator!M14="Common-Law"), 'Federal Transfer S2'!P35, IF(Calculator!C14 &lt; Calculator!E14, Calculator!E14 - Calculator!C14, 0)),
            0
        ) +
        IF(OR(ISNUMBER(IF(OR(Calculator!M14="Married", Calculator!M14="Common-Law"), _xlfn.XLOOKUP(CONCATENATE(Calculator!L14, "_", Calculator!N14), 'Prov Trans Master'!A7:A140, 'Prov Trans Master'!B7:B140, "NR", 0, 1), IF(Calculator!D14 &lt; Calculator!F14, Calculator!F14 - Calculator!D14, 0)))),
            IF(OR(Calculator!M14="Married", Calculator!M14="Common-Law"), _xlfn.XLOOKUP(CONCATENATE(Calculator!L14, "_", Calculator!N14), 'Prov Trans Master'!A7:A140, 'Prov Trans Master'!B7:B140, "NR", 0, 1), IF(Calculator!D14 &lt; Calculator!F14, Calculator!F14 - Calculator!D14, 0)),
            0
        ),
        "No Transfer Required"
    )
)</f>
        <v/>
      </c>
      <c r="H12" s="276" t="n"/>
      <c r="O12" s="769" t="n"/>
      <c r="P12" s="762" t="n"/>
      <c r="Q12" s="758" t="n"/>
      <c r="R12" s="762" t="n"/>
      <c r="T12" s="35" t="n"/>
    </row>
    <row r="13">
      <c r="A13" t="n">
        <v>2016</v>
      </c>
      <c r="B13">
        <f>Calculator!M15</f>
        <v/>
      </c>
      <c r="C13">
        <f>Calculator!N15</f>
        <v/>
      </c>
      <c r="D13">
        <f>IF(Calculator!C15="NR", 0,
   IF(_xlfn.XLOOKUP($C$5, Clients!D:D, Clients!HJV:HJV, "nf", 0, 1) &gt; 0, "316 Claimed",
      ROUND((IF(Calculator!C15 &gt; Calculator!E15, Calculator!E15, Calculator!C15) +
             IF(Calculator!D15 &gt; Calculator!F15, Calculator!F15, Calculator!D15)), 0)
   )
)</f>
        <v/>
      </c>
      <c r="E13" s="101">
        <f>IF(OR(Calculator!C15="NR", Calculator!D15="NR"),
    0,
    IF(OR(ISNUMBER(IF(OR(Calculator!M15="Married", Calculator!M15="Common-Law"), 'Federal Transfer S2'!P36, IF(Calculator!C15 &lt; Calculator!E15, Calculator!E15 - Calculator!C15, 0))),
           ISNUMBER(IF(OR(Calculator!M15="Married", Calculator!M15="Common-Law"), _xlfn.XLOOKUP(CONCATENATE(Calculator!L15, "_", Calculator!N15), 'Prov Trans Master'!A8:A141, 'Prov Trans Master'!B8:B141, "NR", 0, 1), IF(Calculator!D15 &lt; Calculator!F15, Calculator!F15 - Calculator!D15, 0)))
        ),
        IF(OR(ISNUMBER(IF(OR(Calculator!M15="Married", Calculator!M15="Common-Law"), 'Federal Transfer S2'!P36, IF(Calculator!C15 &lt; Calculator!E15, Calculator!E15 - Calculator!C15, 0)))),
            IF(OR(Calculator!M15="Married", Calculator!M15="Common-Law"), 'Federal Transfer S2'!P36, IF(Calculator!C15 &lt; Calculator!E15, Calculator!E15 - Calculator!C15, 0)),
            0
        ) +
        IF(OR(ISNUMBER(IF(OR(Calculator!M15="Married", Calculator!M15="Common-Law"), _xlfn.XLOOKUP(CONCATENATE(Calculator!L15, "_", Calculator!N15), 'Prov Trans Master'!A8:A141, 'Prov Trans Master'!B8:B141, "NR", 0, 1), IF(Calculator!D15 &lt; Calculator!F15, Calculator!F15 - Calculator!D15, 0)))),
            IF(OR(Calculator!M15="Married", Calculator!M15="Common-Law"), _xlfn.XLOOKUP(CONCATENATE(Calculator!L15, "_", Calculator!N15), 'Prov Trans Master'!A8:A141, 'Prov Trans Master'!B8:B141, "NR", 0, 1), IF(Calculator!D15 &lt; Calculator!F15, Calculator!F15 - Calculator!D15, 0)),
            0
        ),
        "No Transfer Required"
    )
)</f>
        <v/>
      </c>
      <c r="O13" s="769" t="n"/>
      <c r="P13" s="762" t="n"/>
      <c r="Q13" s="758" t="n"/>
      <c r="R13" s="762" t="n"/>
      <c r="T13" s="35" t="n"/>
    </row>
    <row r="14" ht="18" customHeight="1">
      <c r="A14" t="n">
        <v>2015</v>
      </c>
      <c r="B14">
        <f>Calculator!M16</f>
        <v/>
      </c>
      <c r="C14">
        <f>Calculator!N16</f>
        <v/>
      </c>
      <c r="D14">
        <f>IF(Calculator!C16="NR", 0,
   IF(_xlfn.XLOOKUP($C$5, Clients!D:D, Clients!HJV:HJV, "nf", 0, 1) &gt; 0, "316 Claimed",
      ROUND((IF(Calculator!C16 &gt; Calculator!E16, Calculator!E16, Calculator!C16) +
             IF(Calculator!D16 &gt; Calculator!F16, Calculator!F16, Calculator!D16)), 0)
   )
)</f>
        <v/>
      </c>
      <c r="E14" s="101">
        <f>IF(OR(Calculator!C16="NR", Calculator!D16="NR"),
    0,
    IF(OR(ISNUMBER(IF(OR(Calculator!M16="Married", Calculator!M16="Common-Law"), 'Federal Transfer S2'!P37, IF(Calculator!C16 &lt; Calculator!E16, Calculator!E16 - Calculator!C16, 0))),
           ISNUMBER(IF(OR(Calculator!M16="Married", Calculator!M16="Common-Law"), _xlfn.XLOOKUP(CONCATENATE(Calculator!L16, "_", Calculator!N16), 'Prov Trans Master'!A9:A142, 'Prov Trans Master'!B9:B142, "NR", 0, 1), IF(Calculator!D16 &lt; Calculator!F16, Calculator!F16 - Calculator!D16, 0)))
        ),
        IF(OR(ISNUMBER(IF(OR(Calculator!M16="Married", Calculator!M16="Common-Law"), 'Federal Transfer S2'!P37, IF(Calculator!C16 &lt; Calculator!E16, Calculator!E16 - Calculator!C16, 0)))),
            IF(OR(Calculator!M16="Married", Calculator!M16="Common-Law"), 'Federal Transfer S2'!P37, IF(Calculator!C16 &lt; Calculator!E16, Calculator!E16 - Calculator!C16, 0)),
            0
        ) +
        IF(OR(ISNUMBER(IF(OR(Calculator!M16="Married", Calculator!M16="Common-Law"), _xlfn.XLOOKUP(CONCATENATE(Calculator!L16, "_", Calculator!N16), 'Prov Trans Master'!A9:A142, 'Prov Trans Master'!B9:B142, "NR", 0, 1), IF(Calculator!D16 &lt; Calculator!F16, Calculator!F16 - Calculator!D16, 0)))),
            IF(OR(Calculator!M16="Married", Calculator!M16="Common-Law"), _xlfn.XLOOKUP(CONCATENATE(Calculator!L16, "_", Calculator!N16), 'Prov Trans Master'!A9:A142, 'Prov Trans Master'!B9:B142, "NR", 0, 1), IF(Calculator!D16 &lt; Calculator!F16, Calculator!F16 - Calculator!D16, 0)),
            0
        ),
        "No Transfer Required"
    )
)</f>
        <v/>
      </c>
      <c r="O14" s="769" t="n"/>
      <c r="P14" s="762" t="n"/>
      <c r="Q14" s="758" t="n"/>
      <c r="R14" s="762" t="n"/>
      <c r="T14" s="35" t="n"/>
    </row>
    <row r="15">
      <c r="A15" t="n">
        <v>2014</v>
      </c>
      <c r="B15">
        <f>Calculator!M17</f>
        <v/>
      </c>
      <c r="C15">
        <f>Calculator!N17</f>
        <v/>
      </c>
      <c r="D15">
        <f>IF(Calculator!C17="NR", 0,
   IF(_xlfn.XLOOKUP($C$5, Clients!D:D, Clients!HJV:HJV, "nf", 0, 1) &gt; 0, "316 Claimed",
      ROUND((IF(Calculator!C17 &gt; Calculator!E17, Calculator!E17, Calculator!C17) +
             IF(Calculator!D17 &gt; Calculator!F17, Calculator!F17, Calculator!D17)), 0)
   )
)</f>
        <v/>
      </c>
      <c r="E15" s="101">
        <f>IF(OR(Calculator!C17="NR", Calculator!D17="NR"),
    0,
    IF(OR(ISNUMBER(IF(OR(Calculator!M17="Married", Calculator!M17="Common-Law"), 'Federal Transfer S2'!P38, IF(Calculator!C17 &lt; Calculator!E17, Calculator!E17 - Calculator!C17, 0))),
           ISNUMBER(IF(OR(Calculator!M17="Married", Calculator!M17="Common-Law"), _xlfn.XLOOKUP(CONCATENATE(Calculator!L17, "_", Calculator!N17), 'Prov Trans Master'!A10:A143, 'Prov Trans Master'!B10:B143, "NR", 0, 1), IF(Calculator!D17 &lt; Calculator!F17, Calculator!F17 - Calculator!D17, 0)))
        ),
        IF(OR(ISNUMBER(IF(OR(Calculator!M17="Married", Calculator!M17="Common-Law"), 'Federal Transfer S2'!P38, IF(Calculator!C17 &lt; Calculator!E17, Calculator!E17 - Calculator!C17, 0)))),
            IF(OR(Calculator!M17="Married", Calculator!M17="Common-Law"), 'Federal Transfer S2'!P38, IF(Calculator!C17 &lt; Calculator!E17, Calculator!E17 - Calculator!C17, 0)),
            0
        ) +
        IF(OR(ISNUMBER(IF(OR(Calculator!M17="Married", Calculator!M17="Common-Law"), _xlfn.XLOOKUP(CONCATENATE(Calculator!L17, "_", Calculator!N17), 'Prov Trans Master'!A10:A143, 'Prov Trans Master'!B10:B143, "NR", 0, 1), IF(Calculator!D17 &lt; Calculator!F17, Calculator!F17 - Calculator!D17, 0)))),
            IF(OR(Calculator!M17="Married", Calculator!M17="Common-Law"), _xlfn.XLOOKUP(CONCATENATE(Calculator!L17, "_", Calculator!N17), 'Prov Trans Master'!A10:A143, 'Prov Trans Master'!B10:B143, "NR", 0, 1), IF(Calculator!D17 &lt; Calculator!F17, Calculator!F17 - Calculator!D17, 0)),
            0
        ),
        "No Transfer Required"
    )
)</f>
        <v/>
      </c>
      <c r="O15" s="770" t="n"/>
      <c r="P15" s="755" t="n"/>
      <c r="Q15" s="756" t="n"/>
      <c r="R15" s="762" t="n"/>
      <c r="T15" s="35" t="n"/>
    </row>
    <row r="16">
      <c r="D16" s="101" t="n"/>
      <c r="E16" s="101" t="n"/>
      <c r="O16" s="282" t="inlineStr">
        <is>
          <t>Bankruptcy Year (format: XXXX)</t>
        </is>
      </c>
      <c r="P16" s="484" t="n"/>
      <c r="Q16" s="750" t="n"/>
      <c r="R16" s="762" t="n"/>
      <c r="T16" s="35" t="n"/>
    </row>
    <row r="17">
      <c r="O17" s="509" t="inlineStr">
        <is>
          <t>Adjustment Type (Select from Dropdown: TIER 1 - DTC ONLY, TIER 2 - DTC AND S2 CREDITS, TIER 3 - DTC &amp; CAREGIVER, TIER 4 - DTC, S2 &amp; CAREGIVER)</t>
        </is>
      </c>
      <c r="P17" s="484">
        <f>E19</f>
        <v/>
      </c>
      <c r="Q17" s="752" t="n"/>
      <c r="R17" s="762" t="n"/>
      <c r="T17" s="35" t="n"/>
    </row>
    <row r="18">
      <c r="B18" t="inlineStr">
        <is>
          <t>Transfer Name</t>
        </is>
      </c>
      <c r="C18" t="inlineStr">
        <is>
          <t>Transfer Number</t>
        </is>
      </c>
      <c r="E18" s="492" t="inlineStr">
        <is>
          <t>Adjustment Type</t>
        </is>
      </c>
      <c r="O18" s="769" t="n"/>
      <c r="P18" s="762" t="n"/>
      <c r="Q18" s="758" t="n"/>
      <c r="R18" s="762" t="n"/>
      <c r="T18" s="35" t="n"/>
    </row>
    <row r="19">
      <c r="B19">
        <f>TransferNumber</f>
        <v/>
      </c>
      <c r="C19">
        <f>TransferName</f>
        <v/>
      </c>
      <c r="E19" s="491">
        <f>IF(AND(COUNTIF(B36:L38,"&gt;0")+COUNTIF(B40:L40,"&gt;0")+COUNTIF(B44:L45,"&gt;0")+COUNTIF(B47:L51,"&gt;0")=0, COUNTIF(B41:L41,"&gt;0")=0), "TIER 1 - DTC ONLY ", IF(AND(COUNTIF(B36:L38,"&gt;0")+COUNTIF(B40:L40,"&gt;0")+COUNTIF(B44:L45,"&gt;0")+COUNTIF(B47:L51,"&gt;0")&gt;0, COUNTIF(B41:L41,"&gt;0")=0), "TIER 2 - DTC and S2 CREDITS", IF(AND(COUNTIF(B36:L38,"&gt;0")+COUNTIF(B40:L40,"&gt;0")+COUNTIF(B44:L45,"&gt;0")+COUNTIF(B47:L51,"&gt;0")=0, COUNTIF(B41:L41,"&gt;0")&gt;0), "TIER 3 - DTC &amp; CAREGIVER  ", IF(AND(COUNTIF(B36:L38,"&gt;0")+COUNTIF(B40:L40,"&gt;0")+COUNTIF(B44:L45,"&gt;0")+COUNTIF(B47:L51,"&gt;0")&gt;0, COUNTIF(B41:L41,"&gt;0")&gt;0), "TIER 4 - DTC, S2 &amp; CAREGIVER", "None of the above"))))</f>
        <v/>
      </c>
      <c r="G19" s="21" t="n"/>
      <c r="H19" s="21" t="n"/>
      <c r="I19" s="21" t="n"/>
      <c r="L19" s="21" t="n"/>
      <c r="O19" s="770" t="n"/>
      <c r="P19" s="755" t="n"/>
      <c r="Q19" s="756" t="n"/>
      <c r="R19" s="762" t="n"/>
      <c r="T19" s="35" t="n"/>
    </row>
    <row r="20">
      <c r="H20" s="185" t="n"/>
      <c r="I20" s="185" t="n"/>
      <c r="J20" s="185" t="n"/>
      <c r="K20" s="668" t="n"/>
      <c r="L20" s="668" t="n"/>
      <c r="M20" s="21" t="n"/>
      <c r="N20" s="21" t="n"/>
      <c r="O20" s="282" t="inlineStr">
        <is>
          <t>CRA Account Balance ($) -- if none, enter 0</t>
        </is>
      </c>
      <c r="P20" s="484" t="n"/>
      <c r="Q20" s="750" t="n"/>
      <c r="R20" s="762" t="n"/>
      <c r="T20" s="35" t="n"/>
    </row>
    <row r="21" ht="15" customHeight="1">
      <c r="D21" s="21" t="inlineStr">
        <is>
          <t>Claimable</t>
        </is>
      </c>
      <c r="E21" s="21" t="inlineStr">
        <is>
          <t>Federal</t>
        </is>
      </c>
      <c r="F21" s="21" t="inlineStr">
        <is>
          <t>Provincial</t>
        </is>
      </c>
      <c r="G21" s="13" t="inlineStr">
        <is>
          <t>Caregiver</t>
        </is>
      </c>
      <c r="H21" s="13" t="inlineStr">
        <is>
          <t>Line 51090</t>
        </is>
      </c>
      <c r="I21" s="13" t="n"/>
      <c r="J21" s="13" t="n"/>
      <c r="K21" s="13" t="n"/>
      <c r="L21" s="13" t="n"/>
      <c r="M21" s="13" t="n"/>
      <c r="N21" s="13" t="n"/>
      <c r="O21" s="282" t="inlineStr">
        <is>
          <t>CRA Debt -- if none, type "None"</t>
        </is>
      </c>
      <c r="P21" s="484" t="n"/>
      <c r="Q21" s="750" t="n"/>
      <c r="R21" s="762" t="n"/>
      <c r="T21" s="35" t="n"/>
    </row>
    <row r="22">
      <c r="D22" s="21" t="n"/>
      <c r="G22" s="13" t="n"/>
      <c r="H22" s="13" t="n"/>
      <c r="I22" s="13" t="n"/>
      <c r="J22" s="13" t="n"/>
      <c r="K22" s="13" t="n"/>
      <c r="L22" s="13" t="n"/>
      <c r="M22" s="13" t="n"/>
      <c r="N22" s="13" t="n"/>
      <c r="O22" s="282" t="inlineStr">
        <is>
          <t>WITB Years (list years seperated by commas)</t>
        </is>
      </c>
      <c r="P22" s="484" t="n"/>
      <c r="Q22" s="750" t="n"/>
      <c r="R22" s="762" t="n"/>
      <c r="T22" s="35" t="n"/>
    </row>
    <row r="23">
      <c r="A23" t="n">
        <v>2023</v>
      </c>
      <c r="B23">
        <f>Calculator!M31</f>
        <v/>
      </c>
      <c r="C23">
        <f>Calculator!N31</f>
        <v/>
      </c>
      <c r="D23" s="101">
        <f>Calculator!J31</f>
        <v/>
      </c>
      <c r="E23" s="101">
        <f>Calculator!H31</f>
        <v/>
      </c>
      <c r="F23" s="101">
        <f>Calculator!I31</f>
        <v/>
      </c>
      <c r="G23" s="771">
        <f>Calculator!K31</f>
        <v/>
      </c>
      <c r="H23" s="668">
        <f>IF($G23&gt;0,2499,"-")</f>
        <v/>
      </c>
      <c r="I23" s="668" t="n"/>
      <c r="J23" s="724" t="n"/>
      <c r="K23" s="724" t="n"/>
      <c r="L23" s="724" t="n"/>
      <c r="O23" s="282" t="inlineStr">
        <is>
          <t>Caregiver Value ($)</t>
        </is>
      </c>
      <c r="P23" s="501">
        <f>Calculator!K41</f>
        <v/>
      </c>
      <c r="Q23" s="750" t="n"/>
      <c r="R23" s="762" t="n"/>
      <c r="T23" s="35" t="n"/>
    </row>
    <row r="24">
      <c r="A24" t="n">
        <v>2022</v>
      </c>
      <c r="B24">
        <f>Calculator!M32</f>
        <v/>
      </c>
      <c r="C24">
        <f>Calculator!N32</f>
        <v/>
      </c>
      <c r="D24" s="101">
        <f>Calculator!J32</f>
        <v/>
      </c>
      <c r="E24" s="101">
        <f>Calculator!H32</f>
        <v/>
      </c>
      <c r="F24" s="101">
        <f>Calculator!I32</f>
        <v/>
      </c>
      <c r="G24" s="771">
        <f>Calculator!K32</f>
        <v/>
      </c>
      <c r="H24" s="668">
        <f>IF($G24&gt;0,2350,"-")</f>
        <v/>
      </c>
      <c r="I24" s="186" t="n"/>
      <c r="J24" s="724" t="n"/>
      <c r="K24" s="724" t="n"/>
      <c r="L24" s="724" t="n"/>
      <c r="O24" s="509" t="inlineStr">
        <is>
          <t>Claim Payment Method (Select from Dropdown: Cheque or Direct Deposit)</t>
        </is>
      </c>
      <c r="P24" s="484" t="n"/>
      <c r="Q24" s="752" t="n"/>
      <c r="R24" s="762" t="n"/>
      <c r="T24" s="35" t="n"/>
    </row>
    <row r="25">
      <c r="A25" t="n">
        <v>2021</v>
      </c>
      <c r="B25">
        <f>Calculator!M33</f>
        <v/>
      </c>
      <c r="C25">
        <f>Calculator!N33</f>
        <v/>
      </c>
      <c r="D25" s="101">
        <f>Calculator!J33</f>
        <v/>
      </c>
      <c r="E25" s="101">
        <f>Calculator!H33</f>
        <v/>
      </c>
      <c r="F25" s="101">
        <f>Calculator!I33</f>
        <v/>
      </c>
      <c r="G25" s="771">
        <f>Calculator!K33</f>
        <v/>
      </c>
      <c r="H25" s="668">
        <f>IF($G25&gt;0,2295,"-")</f>
        <v/>
      </c>
      <c r="I25" s="668" t="n"/>
      <c r="J25" s="724" t="n"/>
      <c r="K25" s="724" t="n"/>
      <c r="L25" s="724" t="n"/>
      <c r="O25" s="770" t="n"/>
      <c r="P25" s="755" t="n"/>
      <c r="Q25" s="756" t="n"/>
      <c r="R25" s="755" t="n"/>
      <c r="S25" s="39" t="n"/>
      <c r="T25" s="772" t="n"/>
    </row>
    <row r="26">
      <c r="A26" t="n">
        <v>2020</v>
      </c>
      <c r="B26">
        <f>Calculator!M34</f>
        <v/>
      </c>
      <c r="C26">
        <f>Calculator!N34</f>
        <v/>
      </c>
      <c r="D26" s="101">
        <f>Calculator!J34</f>
        <v/>
      </c>
      <c r="E26" s="101">
        <f>Calculator!H34</f>
        <v/>
      </c>
      <c r="F26" s="101">
        <f>Calculator!I34</f>
        <v/>
      </c>
      <c r="G26" s="771">
        <f>Calculator!K34</f>
        <v/>
      </c>
      <c r="H26" s="668">
        <f>IF($G26&gt;0,2273,"-")</f>
        <v/>
      </c>
      <c r="I26" s="668" t="n"/>
      <c r="J26" s="724" t="n"/>
      <c r="K26" s="724" t="n"/>
      <c r="L26" s="724" t="n"/>
      <c r="O26" s="284" t="inlineStr">
        <is>
          <t>Action: Paste Summary in Application Notes</t>
        </is>
      </c>
      <c r="P26" s="279">
        <f t="array" ref="P26:T38">A3:E15</f>
        <v/>
      </c>
      <c r="Q26" s="279" t="inlineStr">
        <is>
          <t>Client Number</t>
        </is>
      </c>
      <c r="R26" s="279" t="inlineStr">
        <is>
          <t>Client Name</t>
        </is>
      </c>
      <c r="S26" s="279" t="n">
        <v>0</v>
      </c>
      <c r="T26" s="285" t="n">
        <v>0</v>
      </c>
    </row>
    <row r="27">
      <c r="A27" t="n">
        <v>2019</v>
      </c>
      <c r="B27">
        <f>Calculator!M35</f>
        <v/>
      </c>
      <c r="C27">
        <f>Calculator!N35</f>
        <v/>
      </c>
      <c r="D27" s="101">
        <f>Calculator!J35</f>
        <v/>
      </c>
      <c r="E27" s="101">
        <f>Calculator!H35</f>
        <v/>
      </c>
      <c r="F27" s="101">
        <f>Calculator!I35</f>
        <v/>
      </c>
      <c r="G27" s="771">
        <f>Calculator!K35</f>
        <v/>
      </c>
      <c r="H27" s="668">
        <f>IF($G27&gt;0,2230,"-")</f>
        <v/>
      </c>
      <c r="I27" s="668" t="n"/>
      <c r="J27" s="724" t="n"/>
      <c r="K27" s="724" t="n"/>
      <c r="L27" s="724" t="n"/>
      <c r="O27" s="34" t="n"/>
      <c r="P27" t="n">
        <v>0</v>
      </c>
      <c r="Q27" t="inlineStr">
        <is>
          <t>TNDS65891</t>
        </is>
      </c>
      <c r="R27" t="n">
        <v>2</v>
      </c>
      <c r="S27" t="n">
        <v>0</v>
      </c>
      <c r="T27" s="35" t="n">
        <v>0</v>
      </c>
    </row>
    <row r="28">
      <c r="A28" t="n">
        <v>2018</v>
      </c>
      <c r="B28">
        <f>Calculator!M36</f>
        <v/>
      </c>
      <c r="C28">
        <f>Calculator!N36</f>
        <v/>
      </c>
      <c r="D28" s="101">
        <f>Calculator!J36</f>
        <v/>
      </c>
      <c r="E28" s="101">
        <f>Calculator!H36</f>
        <v/>
      </c>
      <c r="F28" s="101">
        <f>Calculator!I36</f>
        <v/>
      </c>
      <c r="G28" s="771">
        <f>Calculator!K36</f>
        <v/>
      </c>
      <c r="H28" s="668">
        <f>IF($G28&gt;0,2182,"-")</f>
        <v/>
      </c>
      <c r="I28" s="668" t="n"/>
      <c r="J28" s="724" t="n"/>
      <c r="K28" s="724" t="n"/>
      <c r="L28" s="724" t="n"/>
      <c r="O28" s="34" t="n"/>
      <c r="P28" t="n">
        <v>0</v>
      </c>
      <c r="Q28" t="n">
        <v>0</v>
      </c>
      <c r="R28" t="n">
        <v>0</v>
      </c>
      <c r="S28" t="inlineStr">
        <is>
          <t>Claimable</t>
        </is>
      </c>
      <c r="T28" s="35" t="inlineStr">
        <is>
          <t>Transferable</t>
        </is>
      </c>
    </row>
    <row r="29">
      <c r="A29" t="n">
        <v>2017</v>
      </c>
      <c r="B29">
        <f>Calculator!M37</f>
        <v/>
      </c>
      <c r="C29">
        <f>Calculator!N37</f>
        <v/>
      </c>
      <c r="D29" s="101">
        <f>Calculator!J37</f>
        <v/>
      </c>
      <c r="E29" s="101">
        <f>Calculator!H37</f>
        <v/>
      </c>
      <c r="F29" s="101">
        <f>Calculator!I37</f>
        <v/>
      </c>
      <c r="G29" s="771">
        <f>Calculator!K37</f>
        <v/>
      </c>
      <c r="H29" s="668">
        <f>IF($G29&gt;0,2150,"-")</f>
        <v/>
      </c>
      <c r="I29" s="668" t="n"/>
      <c r="J29" s="724" t="n"/>
      <c r="K29" s="724" t="n"/>
      <c r="L29" s="724" t="n"/>
      <c r="O29" s="34" t="n"/>
      <c r="P29" t="n">
        <v>2023</v>
      </c>
      <c r="Q29" t="inlineStr">
        <is>
          <t>2</t>
        </is>
      </c>
      <c r="R29" t="inlineStr">
        <is>
          <t>2</t>
        </is>
      </c>
      <c r="S29" t="inlineStr">
        <is>
          <t>316 Claimed</t>
        </is>
      </c>
      <c r="T29" s="35" t="n">
        <v>1412</v>
      </c>
    </row>
    <row r="30">
      <c r="A30" t="n">
        <v>2016</v>
      </c>
      <c r="B30">
        <f>Calculator!M38</f>
        <v/>
      </c>
      <c r="C30">
        <f>Calculator!N38</f>
        <v/>
      </c>
      <c r="D30" s="101">
        <f>Calculator!J38</f>
        <v/>
      </c>
      <c r="E30" s="101">
        <f>Calculator!H38</f>
        <v/>
      </c>
      <c r="F30" s="101">
        <f>Calculator!I38</f>
        <v/>
      </c>
      <c r="G30" s="771">
        <f>Calculator!K38</f>
        <v/>
      </c>
      <c r="H30" s="668">
        <f>IF($G30&gt;0,2121,"-")</f>
        <v/>
      </c>
      <c r="I30" s="668" t="n"/>
      <c r="J30" s="724" t="n"/>
      <c r="K30" s="724" t="n"/>
      <c r="L30" s="724" t="n"/>
      <c r="O30" s="34" t="n"/>
      <c r="P30" t="n">
        <v>2022</v>
      </c>
      <c r="Q30" t="inlineStr">
        <is>
          <t>2</t>
        </is>
      </c>
      <c r="R30" t="inlineStr">
        <is>
          <t>2</t>
        </is>
      </c>
      <c r="S30" t="inlineStr">
        <is>
          <t>316 Claimed</t>
        </is>
      </c>
      <c r="T30" s="35" t="n">
        <v>1329</v>
      </c>
    </row>
    <row r="31">
      <c r="A31" t="n">
        <v>2015</v>
      </c>
      <c r="B31">
        <f>Calculator!M39</f>
        <v/>
      </c>
      <c r="C31">
        <f>Calculator!N39</f>
        <v/>
      </c>
      <c r="D31" s="101">
        <f>Calculator!J39</f>
        <v/>
      </c>
      <c r="E31" s="101">
        <f>Calculator!H39</f>
        <v/>
      </c>
      <c r="F31" s="101">
        <f>Calculator!I39</f>
        <v/>
      </c>
      <c r="G31" s="771">
        <f>Calculator!K39</f>
        <v/>
      </c>
      <c r="H31" s="668">
        <f>IF($G31&gt;0,2093,"-")</f>
        <v/>
      </c>
      <c r="I31" s="668" t="n"/>
      <c r="J31" s="724" t="n"/>
      <c r="K31" s="724" t="n"/>
      <c r="L31" s="724" t="n"/>
      <c r="O31" s="34" t="n"/>
      <c r="P31" t="n">
        <v>2021</v>
      </c>
      <c r="Q31" t="inlineStr">
        <is>
          <t>2</t>
        </is>
      </c>
      <c r="R31" t="inlineStr">
        <is>
          <t>2</t>
        </is>
      </c>
      <c r="S31" t="inlineStr">
        <is>
          <t>316 Claimed</t>
        </is>
      </c>
      <c r="T31" s="35" t="n">
        <v>1297</v>
      </c>
    </row>
    <row r="32">
      <c r="A32" t="n">
        <v>2014</v>
      </c>
      <c r="B32">
        <f>Calculator!M40</f>
        <v/>
      </c>
      <c r="C32">
        <f>Calculator!N40</f>
        <v/>
      </c>
      <c r="D32" s="101">
        <f>Calculator!J40</f>
        <v/>
      </c>
      <c r="E32" s="101">
        <f>Calculator!H40</f>
        <v/>
      </c>
      <c r="F32" s="101">
        <f>Calculator!I40</f>
        <v/>
      </c>
      <c r="G32" s="771">
        <f>Calculator!K40</f>
        <v/>
      </c>
      <c r="H32" s="668">
        <f>IF($G32&gt;0,2058,"-")</f>
        <v/>
      </c>
      <c r="I32" s="668" t="n"/>
      <c r="J32" s="724" t="n"/>
      <c r="K32" s="724" t="n"/>
      <c r="L32" s="724" t="n"/>
      <c r="O32" s="34" t="n"/>
      <c r="P32" t="n">
        <v>2020</v>
      </c>
      <c r="Q32" t="inlineStr">
        <is>
          <t>2</t>
        </is>
      </c>
      <c r="R32" t="inlineStr">
        <is>
          <t>2</t>
        </is>
      </c>
      <c r="S32" t="inlineStr">
        <is>
          <t>316 Claimed</t>
        </is>
      </c>
      <c r="T32" s="35" t="n">
        <v>1284</v>
      </c>
    </row>
    <row r="33">
      <c r="D33" s="101" t="n"/>
      <c r="E33" s="183" t="n"/>
      <c r="F33" s="773" t="n"/>
      <c r="G33" s="773" t="n"/>
      <c r="H33" s="668" t="n"/>
      <c r="I33" s="668" t="n"/>
      <c r="J33" s="668" t="n"/>
      <c r="O33" s="34" t="n"/>
      <c r="P33" t="n">
        <v>2019</v>
      </c>
      <c r="Q33" t="inlineStr">
        <is>
          <t>2</t>
        </is>
      </c>
      <c r="R33" t="inlineStr">
        <is>
          <t>2</t>
        </is>
      </c>
      <c r="S33" t="inlineStr">
        <is>
          <t>316 Claimed</t>
        </is>
      </c>
      <c r="T33" s="35" t="n">
        <v>1260</v>
      </c>
    </row>
    <row r="34" ht="15.75" customHeight="1" thickBot="1">
      <c r="A34" s="489" t="inlineStr">
        <is>
          <t>TRANSFER ADJUSTMENT SUBMISSION SUMMARY</t>
        </is>
      </c>
      <c r="O34" s="34" t="n"/>
      <c r="P34" t="n">
        <v>2018</v>
      </c>
      <c r="Q34" t="inlineStr">
        <is>
          <t>2</t>
        </is>
      </c>
      <c r="R34" t="inlineStr">
        <is>
          <t>2</t>
        </is>
      </c>
      <c r="S34" t="inlineStr">
        <is>
          <t>316 Claimed</t>
        </is>
      </c>
      <c r="T34" s="35" t="n">
        <v>1233</v>
      </c>
    </row>
    <row r="35" ht="16.5" customHeight="1" thickBot="1">
      <c r="A35" s="193" t="inlineStr">
        <is>
          <t>Federal</t>
        </is>
      </c>
      <c r="B35" s="203" t="n">
        <v>2023</v>
      </c>
      <c r="C35" s="204" t="n">
        <v>2022</v>
      </c>
      <c r="D35" s="205" t="n">
        <v>2021</v>
      </c>
      <c r="E35" s="206" t="n">
        <v>2020</v>
      </c>
      <c r="F35" s="207" t="n">
        <v>2019</v>
      </c>
      <c r="G35" s="208" t="inlineStr">
        <is>
          <t>Federal</t>
        </is>
      </c>
      <c r="H35" s="209" t="n">
        <v>2018</v>
      </c>
      <c r="I35" s="204" t="n">
        <v>2017</v>
      </c>
      <c r="J35" s="205" t="n">
        <v>2016</v>
      </c>
      <c r="K35" s="206" t="n">
        <v>2015</v>
      </c>
      <c r="L35" s="210" t="n">
        <v>2014</v>
      </c>
      <c r="O35" s="34" t="n"/>
      <c r="P35" t="n">
        <v>2017</v>
      </c>
      <c r="Q35" t="inlineStr">
        <is>
          <t>2</t>
        </is>
      </c>
      <c r="R35" t="inlineStr">
        <is>
          <t>2</t>
        </is>
      </c>
      <c r="S35" t="inlineStr">
        <is>
          <t>316 Claimed</t>
        </is>
      </c>
      <c r="T35" s="35" t="n">
        <v>1215</v>
      </c>
    </row>
    <row r="36" ht="15.75" customHeight="1">
      <c r="A36" s="194" t="inlineStr">
        <is>
          <t>Line 35200/35300</t>
        </is>
      </c>
      <c r="B36" s="219">
        <f>IF((AND($D$23&gt;0,E23&gt;0)),IF('Federal Transfer S2'!P5="Age Amount Can Be Transferred",'Federal Transfer S2'!M5,"-"),"-")</f>
        <v/>
      </c>
      <c r="C36" s="220">
        <f>IF((AND($D$24&gt;0,E24&gt;0)),IF('Federal Transfer S2'!H39="Age Amount Can Be Transferred",'Federal Transfer S2'!E39,"-"),"-")</f>
        <v/>
      </c>
      <c r="D36" s="213">
        <f>IF((AND($D$25&gt;0,E25&gt;0)),IF('Federal Transfer S2'!P39="Age Amount Can Be Transferred",'Federal Transfer S2'!M39,"-"),"-")</f>
        <v/>
      </c>
      <c r="E36" s="221">
        <f>IF((AND($D$26&gt;0,E26&gt;0)),IF('Federal Transfer S2'!H73="Age Amount Can Be Transferred",'Federal Transfer S2'!E73,"-"),"-")</f>
        <v/>
      </c>
      <c r="F36" s="222">
        <f>IF((AND($D$27&gt;0,E27&gt;0)),IF('Federal Transfer S2'!P73="Age Amount Can Be Transferred",'Federal Transfer S2'!M73,"-"),"-")</f>
        <v/>
      </c>
      <c r="G36" s="199" t="inlineStr">
        <is>
          <t>Line 35200/35300</t>
        </is>
      </c>
      <c r="H36" s="242">
        <f>IF((AND($D$28&gt;0,E28&gt;0)),IF('Federal Transfer S2'!H107="Age Amount Can Be Transferred",'Federal Transfer S2'!E107,"-"),"-")</f>
        <v/>
      </c>
      <c r="I36" s="220">
        <f>IF((AND($D$29&gt;0,E29&gt;0)),IF('Federal Transfer S2'!P107="Age Amount Can Be Transferred",'Federal Transfer S2'!M107,"-"),"-")</f>
        <v/>
      </c>
      <c r="J36" s="213">
        <f>IF((AND($D$30&gt;0,E30&gt;0)),IF('Federal Transfer S2'!H141="Age Amount Can Be Transferred",'Federal Transfer S2'!E141,"-"),"-")</f>
        <v/>
      </c>
      <c r="K36" s="221">
        <f>IF((AND($D$31&gt;0,E31&gt;0)),IF('Federal Transfer S2'!P141="Age Amount Can Be Transferred",'Federal Transfer S2'!M141,"-"),"-")</f>
        <v/>
      </c>
      <c r="L36" s="222">
        <f>IF((AND($D$32&gt;0,E32&gt;0)),IF('Federal Transfer S2'!H176="Age Amount Can Be Transferred",'Federal Transfer S2'!E176,"-"),"-")</f>
        <v/>
      </c>
      <c r="O36" s="34" t="n"/>
      <c r="P36" t="n">
        <v>2016</v>
      </c>
      <c r="Q36" t="inlineStr">
        <is>
          <t>2</t>
        </is>
      </c>
      <c r="R36" t="inlineStr">
        <is>
          <t>2</t>
        </is>
      </c>
      <c r="S36" t="inlineStr">
        <is>
          <t>316 Claimed</t>
        </is>
      </c>
      <c r="T36" s="35" t="n">
        <v>1198</v>
      </c>
    </row>
    <row r="37" ht="15.75" customHeight="1">
      <c r="A37" s="194" t="inlineStr">
        <is>
          <t>Line 35300/367</t>
        </is>
      </c>
      <c r="B37" s="223">
        <f>IF((AND($D$23&gt;0,E23&gt;0)),IF('Federal Transfer S2'!P6="Amount for Child Under 18 Can be Transferred",'Federal Transfer S2'!M6,"-"),"-")</f>
        <v/>
      </c>
      <c r="C37" s="224">
        <f>IF((AND($D$24&gt;0,E24&gt;0)),IF('Federal Transfer S2'!H40="Amount for Child Under 18 Can be Transferred",'Federal Transfer S2'!E40,"-"),"-")</f>
        <v/>
      </c>
      <c r="D37" s="214">
        <f>IF((AND($D$25&gt;0,E25&gt;0)),IF('Federal Transfer S2'!P40="Amount for Child Under 18 Can be Transferred",'Federal Transfer S2'!M40,"-"),"-")</f>
        <v/>
      </c>
      <c r="E37" s="225">
        <f>IF((AND($D$26&gt;0,E26&gt;0)),IF('Federal Transfer S2'!H74="Amount for Child Under 18 Can be Transferred",'Federal Transfer S2'!E74,"-"),"-")</f>
        <v/>
      </c>
      <c r="F37" s="226">
        <f>IF((AND($D$27&gt;0,E27&gt;0)),IF('Federal Transfer S2'!P74="Amount for Child Under 18 Can be Transferred",'Federal Transfer S2'!M74,"-"),"-")</f>
        <v/>
      </c>
      <c r="G37" s="200" t="inlineStr">
        <is>
          <t>Line 35300/367</t>
        </is>
      </c>
      <c r="H37" s="243">
        <f>IF((AND($D$28&gt;0,E28&gt;0)),IF('Federal Transfer S2'!H108="Amount for Child Under 18 Can be Transferred",'Federal Transfer S2'!E108,"-"),"-")</f>
        <v/>
      </c>
      <c r="I37" s="224">
        <f>IF((AND($D$29&gt;0,E29&gt;0)),IF('Federal Transfer S2'!P108="Amount for Child Under 18 Can be Transferred",'Federal Transfer S2'!M108,"-"),"-")</f>
        <v/>
      </c>
      <c r="J37" s="214">
        <f>IF((AND($D$30&gt;0,E30&gt;0)),IF($D$30&gt;0,IF('Federal Transfer S2'!H142="Amount for Child Under 18 Can be Transferred",'Federal Transfer S2'!E142,"-"),"-"),"-")</f>
        <v/>
      </c>
      <c r="K37" s="225">
        <f>IF((AND($D$31&gt;0,E31&gt;0)),IF('Federal Transfer S2'!P142="Amount for Child Under 18 Can be Transferred",'Federal Transfer S2'!M142,"-"),"-")</f>
        <v/>
      </c>
      <c r="L37" s="226">
        <f>IF((AND($D$32&gt;0,E32&gt;0)),IF('Federal Transfer S2'!H177="Amount for Child Under 18 Can be Transferred",'Federal Transfer S2'!E177,"-"),"-")</f>
        <v/>
      </c>
      <c r="O37" s="34" t="n"/>
      <c r="P37" t="n">
        <v>2015</v>
      </c>
      <c r="Q37" t="inlineStr">
        <is>
          <t>2</t>
        </is>
      </c>
      <c r="R37" t="inlineStr">
        <is>
          <t>2</t>
        </is>
      </c>
      <c r="S37" t="inlineStr">
        <is>
          <t>316 Claimed</t>
        </is>
      </c>
      <c r="T37" s="35" t="n">
        <v>1183</v>
      </c>
    </row>
    <row r="38" ht="16.5" customHeight="1" thickBot="1">
      <c r="A38" s="194" t="inlineStr">
        <is>
          <t>Line 35500</t>
        </is>
      </c>
      <c r="B38" s="223">
        <f>IF((AND($D$23&gt;0,E23&gt;0)),IF('Federal Transfer S2'!P7="Pension Income Amount Can Be Transferred",'Federal Transfer S2'!M7,"-"),"-")</f>
        <v/>
      </c>
      <c r="C38" s="224">
        <f>IF((AND($D$24&gt;0,E24&gt;0)),IF('Federal Transfer S2'!H41="Pension Income Amount Can Be Transferred",'Federal Transfer S2'!E41,"-"),"-")</f>
        <v/>
      </c>
      <c r="D38" s="214">
        <f>IF((AND($D$25&gt;0,E25&gt;0)),IF('Federal Transfer S2'!P41="Pension Income Amount Can Be Transferred",'Federal Transfer S2'!M41,"-"),"-")</f>
        <v/>
      </c>
      <c r="E38" s="225">
        <f>IF($D$26&gt;0,IF('Federal Transfer S2'!H75="Pension Income Amount Can Be Transferred",'Federal Transfer S2'!E75,"-"),"-")</f>
        <v/>
      </c>
      <c r="F38" s="226">
        <f>IF((AND($D$27&gt;0,E27&gt;0)),IF('Federal Transfer S2'!P75="Pension Income Amount Can Be Transferred",'Federal Transfer S2'!M75,"-"),"-")</f>
        <v/>
      </c>
      <c r="G38" s="200" t="inlineStr">
        <is>
          <t>Line 35500</t>
        </is>
      </c>
      <c r="H38" s="243">
        <f>IF((AND($D$28&gt;0,E28&gt;0)),IF('Federal Transfer S2'!H109="Pension Income Amount Can Be Transferred",'Federal Transfer S2'!E109,"-"),"-")</f>
        <v/>
      </c>
      <c r="I38" s="224">
        <f>IF((AND($D$29&gt;0,E29&gt;0)),IF('Federal Transfer S2'!P109="Pension Income Amount Can Be Transferred",'Federal Transfer S2'!M109,"-"),"-")</f>
        <v/>
      </c>
      <c r="J38" s="214">
        <f>IF((AND($D$30&gt;0,E30&gt;0)),IF('Federal Transfer S2'!H143="Pension Income Amount Can Be Transferred",'Federal Transfer S2'!E143,"-"),"-")</f>
        <v/>
      </c>
      <c r="K38" s="225">
        <f>IF((AND($D$31&gt;0,E31&gt;0)),IF('Federal Transfer S2'!P143="Pension Income Amount Can Be Transferred",'Federal Transfer S2'!M143,"-"),"-")</f>
        <v/>
      </c>
      <c r="L38" s="226">
        <f>IF((AND($D$32&gt;0,E32&gt;0)),IF('Federal Transfer S2'!H178="Pension Income Amount Can Be Transferred",'Federal Transfer S2'!E178,"-"),"-")</f>
        <v/>
      </c>
      <c r="O38" s="42" t="n"/>
      <c r="P38" s="41" t="n">
        <v>2014</v>
      </c>
      <c r="Q38" s="41" t="inlineStr">
        <is>
          <t>2</t>
        </is>
      </c>
      <c r="R38" s="41" t="inlineStr">
        <is>
          <t>2</t>
        </is>
      </c>
      <c r="S38" s="41" t="inlineStr">
        <is>
          <t>316 Claimed</t>
        </is>
      </c>
      <c r="T38" s="191" t="n">
        <v>1163</v>
      </c>
    </row>
    <row r="39" ht="15.75" customHeight="1">
      <c r="A39" s="194" t="inlineStr">
        <is>
          <t>Line 35700</t>
        </is>
      </c>
      <c r="B39" s="223">
        <f>IF((AND($D$23&gt;0,E23&gt;0)),IF('Federal Transfer S2'!P8="DTC Transferable Not Claimed Can Be Transferred",'Federal Transfer S2'!M8,"-"),"-")</f>
        <v/>
      </c>
      <c r="C39" s="224">
        <f>IF((AND($D$24&gt;0,E24&gt;0)),IF('Federal Transfer S2'!H42="DTC Transferable Not Claimed Can Be Transferred",'Federal Transfer S2'!E42,"-"),"-")</f>
        <v/>
      </c>
      <c r="D39" s="214">
        <f>IF((AND((AND($D$25&gt;0,E25&gt;0)),E25&gt;0)),IF('Federal Transfer S2'!P42="DTC Transferable Not Claimed Can Be Transferred",'Federal Transfer S2'!M42,"-"),"-")</f>
        <v/>
      </c>
      <c r="E39" s="225">
        <f>IF((AND($D$26&gt;0,E26&gt;0)),IF('Federal Transfer S2'!H76="DTC Transferable Not Claimed Can Be Transferred",'Federal Transfer S2'!E76,"-"),"-")</f>
        <v/>
      </c>
      <c r="F39" s="226">
        <f>IF((AND($D$27&gt;0,E27&gt;0)),IF('Federal Transfer S2'!P76="DTC Transferable Not Claimed Can Be Transferred",'Federal Transfer S2'!M76,"-"),"-")</f>
        <v/>
      </c>
      <c r="G39" s="200" t="inlineStr">
        <is>
          <t>Line 35700</t>
        </is>
      </c>
      <c r="H39" s="243">
        <f>IF((AND($D$28&gt;0,E28&gt;0)),IF('Federal Transfer S2'!H110="DTC Transferable Not Claimed Can Be Transferred",'Federal Transfer S2'!E110,"-"),"-")</f>
        <v/>
      </c>
      <c r="I39" s="224">
        <f>IF((AND($D$29&gt;0,E29&gt;0)),IF('Federal Transfer S2'!P110="DTC Transferable Not Claimed Can Be Transferred",'Federal Transfer S2'!M110,"-"),"-")</f>
        <v/>
      </c>
      <c r="J39" s="214">
        <f>IF((AND($D$30&gt;0,E30&gt;0)),IF('Federal Transfer S2'!H144="DTC Transferable Not Claimed Can Be Transferred",'Federal Transfer S2'!E144,"-"),"-")</f>
        <v/>
      </c>
      <c r="K39" s="225">
        <f>IF((AND($D$31&gt;0,E31&gt;0)),IF('Federal Transfer S2'!P144="DTC Transferable Not Claimed Can Be Transferred",'Federal Transfer S2'!M144,"-"),"-")</f>
        <v/>
      </c>
      <c r="L39" s="226">
        <f>IF((AND($D$32&gt;0,E32&gt;0)),IF('Federal Transfer S2'!H179="DTC Transferable Not Claimed Can Be Transferred",'Federal Transfer S2'!E179,"-"),"-")</f>
        <v/>
      </c>
    </row>
    <row r="40" ht="15.75" customHeight="1">
      <c r="A40" s="194" t="inlineStr">
        <is>
          <t>Line 36000</t>
        </is>
      </c>
      <c r="B40" s="223">
        <f>IF((AND($D$23&gt;0,E23&gt;0)),IF('Federal Transfer S2'!P9="Tuition Can Be Transferred",'Federal Transfer S2'!M9,"-"),"-")</f>
        <v/>
      </c>
      <c r="C40" s="224">
        <f>IF((AND($D$24&gt;0,E24&gt;0)),IF('Federal Transfer S2'!H43="Tuition Can Be Transferred",'Federal Transfer S2'!E43,"-"),"-")</f>
        <v/>
      </c>
      <c r="D40" s="214">
        <f>IF((AND($D$25&gt;0,E25&gt;0)),IF('Federal Transfer S2'!P43="Tuition Can Be Transferred",'Federal Transfer S2'!M43,"-"),"-")</f>
        <v/>
      </c>
      <c r="E40" s="225">
        <f>IF((AND($D$26&gt;0,E26&gt;0)),IF('Federal Transfer S2'!H77="Tuition Can Be Transferred",'Federal Transfer S2'!E77,"-"),"-")</f>
        <v/>
      </c>
      <c r="F40" s="226">
        <f>IF((AND($D$27&gt;0,E27&gt;0)),IF('Federal Transfer S2'!P77="Tuition Can Be Transferred",'Federal Transfer S2'!M77,"-"),"-")</f>
        <v/>
      </c>
      <c r="G40" s="200" t="inlineStr">
        <is>
          <t>Line 36000</t>
        </is>
      </c>
      <c r="H40" s="243">
        <f>IF((AND($D$28&gt;0,E28&gt;0)),IF('Federal Transfer S2'!H111="Tuition Can Be Transferred",'Federal Transfer S2'!E111,"-"),"-")</f>
        <v/>
      </c>
      <c r="I40" s="224">
        <f>IF((AND($D$29&gt;0,E29&gt;0)),IF('Federal Transfer S2'!P111="Tuition Can Be Transferred",'Federal Transfer S2'!M111,"-"),"-")</f>
        <v/>
      </c>
      <c r="J40" s="214">
        <f>IF((AND($D$30&gt;0,E30&gt;0)),IF('Federal Transfer S2'!H145="Tuition Can Be Transferred",'Federal Transfer S2'!E145,"-"),"-")</f>
        <v/>
      </c>
      <c r="K40" s="225">
        <f>IF((AND($D$31&gt;0,E31&gt;0)),IF('Federal Transfer S2'!P145="Tuition Can Be Transferred",'Federal Transfer S2'!M145,"-"),"-")</f>
        <v/>
      </c>
      <c r="L40" s="230">
        <f>IF((AND($D$32&gt;0,E32&gt;0)),IF('Federal Transfer S2'!H180="Tuition Can Be Transferred",'Federal Transfer S2'!E180,"-"),"-")</f>
        <v/>
      </c>
    </row>
    <row r="41" ht="15.75" customHeight="1">
      <c r="A41" s="194" t="inlineStr">
        <is>
          <t>Line 51090</t>
        </is>
      </c>
      <c r="B41" s="227">
        <f>IF($G23&gt;0,2499,"-")</f>
        <v/>
      </c>
      <c r="C41" s="228">
        <f>IF($G24&gt;0,2350,"-")</f>
        <v/>
      </c>
      <c r="D41" s="215">
        <f>IF($G25&gt;0,2295,"-")</f>
        <v/>
      </c>
      <c r="E41" s="229">
        <f>IF($G26&gt;0,2273,"-")</f>
        <v/>
      </c>
      <c r="F41" s="230">
        <f>IF($G27&gt;0,2230,"-")</f>
        <v/>
      </c>
      <c r="G41" s="200" t="inlineStr">
        <is>
          <t>Line 51090</t>
        </is>
      </c>
      <c r="H41" s="244">
        <f>IF($G28&gt;0,2182,"-")</f>
        <v/>
      </c>
      <c r="I41" s="228">
        <f>IF($G29&gt;0,2150,"-")</f>
        <v/>
      </c>
      <c r="J41" s="215">
        <f>IF($G30&gt;0,2121,"-")</f>
        <v/>
      </c>
      <c r="K41" s="229">
        <f>IF($G31&gt;0,2093,"-")</f>
        <v/>
      </c>
      <c r="L41" s="230">
        <f>IF($G32&gt;0,2058,"-")</f>
        <v/>
      </c>
    </row>
    <row r="42" ht="16.5" customHeight="1" thickBot="1">
      <c r="A42" s="195" t="inlineStr">
        <is>
          <t>Line 30300</t>
        </is>
      </c>
      <c r="B42" s="251" t="n"/>
      <c r="C42" s="231" t="n"/>
      <c r="D42" s="216" t="n"/>
      <c r="E42" s="232" t="n"/>
      <c r="F42" s="233" t="n"/>
      <c r="G42" s="201" t="inlineStr">
        <is>
          <t>Line 30300</t>
        </is>
      </c>
      <c r="H42" s="245" t="n"/>
      <c r="I42" s="231" t="n"/>
      <c r="J42" s="216" t="n"/>
      <c r="K42" s="232" t="n"/>
      <c r="L42" s="246" t="n"/>
    </row>
    <row r="43" ht="16.5" customHeight="1" thickBot="1">
      <c r="A43" s="196" t="inlineStr">
        <is>
          <t>Provincial</t>
        </is>
      </c>
      <c r="B43" s="203" t="n">
        <v>2023</v>
      </c>
      <c r="C43" s="204" t="n">
        <v>2022</v>
      </c>
      <c r="D43" s="205" t="n">
        <v>2021</v>
      </c>
      <c r="E43" s="206" t="n">
        <v>2020</v>
      </c>
      <c r="F43" s="207" t="n">
        <v>2019</v>
      </c>
      <c r="G43" s="211" t="inlineStr">
        <is>
          <t>Provincial</t>
        </is>
      </c>
      <c r="H43" s="212" t="n">
        <v>2018</v>
      </c>
      <c r="I43" s="204" t="n">
        <v>2017</v>
      </c>
      <c r="J43" s="205" t="n">
        <v>2016</v>
      </c>
      <c r="K43" s="206" t="n">
        <v>2015</v>
      </c>
      <c r="L43" s="207" t="n">
        <v>2014</v>
      </c>
    </row>
    <row r="44" ht="15.75" customHeight="1">
      <c r="A44" s="197" t="inlineStr">
        <is>
          <t>Line 59020</t>
        </is>
      </c>
      <c r="B44" s="234">
        <f>IF((AND($D$23&gt;0,F23&gt;0)),IF(_xlfn.XLOOKUP(A44,S$60:S$72,U$60:U$72,"-")="Age Amount Can Be Transferred",_xlfn.XLOOKUP(A44,$S$60:$S$72,$R$60:$R$72,0,1),"-"),"-")</f>
        <v/>
      </c>
      <c r="C44" s="235">
        <f>IF((AND($D$24&gt;0,F24&gt;0)),IF(_xlfn.XLOOKUP(A44,S$74:S$86,U$74:U$86,"-")="Age Amount Can Be Transferred",_xlfn.XLOOKUP(A44,$S$74:$S$86,$R$74:$R$86,0,1),"-"),"-")</f>
        <v/>
      </c>
      <c r="D44" s="217">
        <f>IF((AND($D$25&gt;0,F25&gt;0)),IF(_xlfn.XLOOKUP(A44,S$88:S$100,U$88:U$100,"-")="Age Amount Can Be Transferred",_xlfn.XLOOKUP(A44,$S$88:$S$100,$R$88:$R$100,0,1),"-"),"-")</f>
        <v/>
      </c>
      <c r="E44" s="236">
        <f>IF((AND($D$26&gt;0,F26&gt;0)),IF(_xlfn.XLOOKUP(A44,S$102:S$114,U$102:U$114,"-")="Age Amount Can Be Transferred",_xlfn.XLOOKUP(A44,$S$102:$S$114,$R$102:$R$114,0,1),"-"),"-")</f>
        <v/>
      </c>
      <c r="F44" s="237">
        <f>IF((AND($D$27&gt;0,F27&gt;0)),IF(_xlfn.XLOOKUP(A44,S$116:S$128,U$116:U$128,"-")="Age Amount Can Be Transferred",_xlfn.XLOOKUP(A44,$S$116:$S$128,$R$116:$R$128,0,1),"-"),"-")</f>
        <v/>
      </c>
      <c r="G44" s="199" t="inlineStr">
        <is>
          <t>Line 59020</t>
        </is>
      </c>
      <c r="H44" s="247">
        <f>IF((AND($D$28&gt;0,F28&gt;0)),IF(_xlfn.XLOOKUP(A44,$S$130:$S$142,$U$130:$U$142,"-")="Age Amount Can Be Transferred",_xlfn.XLOOKUP(A44,$S$130:$S$142,$R$130:$R$142,0,1),"-"),"-")</f>
        <v/>
      </c>
      <c r="I44" s="235">
        <f>IF((AND($D$29&gt;0,F29&gt;0)),IF(_xlfn.XLOOKUP(A44,$S$144:$S$156,$U$144:$U$156,"-")="Age Amount Can Be Transferred",_xlfn.XLOOKUP(A44,$S$144:$S$156,$R$144:$R$156,0,1),"-"),"-")</f>
        <v/>
      </c>
      <c r="J44" s="217">
        <f>IF((AND($D$30&gt;0,F30&gt;0)),IF(_xlfn.XLOOKUP(A44,$S$158:$S$170,$U$158:$U$170,"-")="Age Amount Can Be Transferred",_xlfn.XLOOKUP(A44,$S$158:$S$170,$R$158:$R$170,0,1),"-"),"-")</f>
        <v/>
      </c>
      <c r="K44" s="236">
        <f>IF((AND($D$31&gt;0,F31&gt;0)),IF(_xlfn.XLOOKUP(A44,$S$172:$S$184,$U$172:$U$184,"-")="Age Amount Can Be Transferred",_xlfn.XLOOKUP(A44,$S$172:$S$184,$R$172:$R$184,0,1),"-"),"-")</f>
        <v/>
      </c>
      <c r="L44" s="237">
        <f>IF((AND($D$32&gt;0,F32&gt;0)),IF(_xlfn.XLOOKUP(A44,$S$186:$S$199,$U$186:$U$199,"-")="Age Amount Can Be Transferred",_xlfn.XLOOKUP(A44,$S$186:$S$199,$R$186:$R$199,0,1),"-"),"-")</f>
        <v/>
      </c>
    </row>
    <row r="45" ht="15.75" customHeight="1">
      <c r="A45" s="194" t="inlineStr">
        <is>
          <t>Line 59050</t>
        </is>
      </c>
      <c r="B45" s="227">
        <f>IF((AND($D$23&gt;0,F23&gt;0)),IF(_xlfn.XLOOKUP(A45,S$60:S$72,U$60:U$72,"-")="Pension Income Amount Can Be Transferred",_xlfn.XLOOKUP(A45,$S$60:$S$72,$R$60:$R$72,0,1),"-"),"-")</f>
        <v/>
      </c>
      <c r="C45" s="228">
        <f>IF((AND($D$24&gt;0,F24&gt;0)),IF(_xlfn.XLOOKUP(A45,S$74:S$86,U$74:U$86,"-")="Pension Income Amount Can Be Transferred",_xlfn.XLOOKUP(A45,$S$74:$S$86,$R$74:$R$86,0,1),"-"),"-")</f>
        <v/>
      </c>
      <c r="D45" s="215">
        <f>IF((AND($D$25&gt;0,F25&gt;0)),IF(_xlfn.XLOOKUP(A45,S$88:S$100,U$88:U$100,"-")="Pension Income Amount Can Be Transferred",_xlfn.XLOOKUP(A45,$S$88:$S$100,$R$88:$R$100,0,1),"-"),"-")</f>
        <v/>
      </c>
      <c r="E45" s="229">
        <f>IF((AND($D$26&gt;0,F26&gt;0)),IF(_xlfn.XLOOKUP(A45,S$102:S$114,U$102:U$114,"-")="Pension Income Amount Can Be Transferred",_xlfn.XLOOKUP(A45,$S$102:$S$114,$R$102:$R$114,0,1),"-"),"-")</f>
        <v/>
      </c>
      <c r="F45" s="230">
        <f>IF((AND($D$27&gt;0,F27&gt;0)),IF(_xlfn.XLOOKUP(A45,S$116:S$128,U$116:U$128,"-")="Pension Income Amount Can Be Transferred",_xlfn.XLOOKUP(A45,$S$116:$S$128,$R$116:$R$128,0,1),"-"),"-")</f>
        <v/>
      </c>
      <c r="G45" s="200" t="inlineStr">
        <is>
          <t>Line 59050</t>
        </is>
      </c>
      <c r="H45" s="244">
        <f>IF((AND($D$28&gt;0,F28&gt;0)),IF(_xlfn.XLOOKUP(A45,$S$130:$S$142,$U$130:$U$142,"-")="Pension Income Amount Can Be Transferred",_xlfn.XLOOKUP(A45,$S$130:$S$142,$R$130:$R$142,0,1),"-"),"-")</f>
        <v/>
      </c>
      <c r="I45" s="235">
        <f>IF((AND($D$29&gt;0,F29&gt;0)),IF(_xlfn.XLOOKUP(A45,$S$144:$S$156,$U$144:$U$156,"-")="Pension Income Amount Can Be Transferred",_xlfn.XLOOKUP(A45,$S$144:$S$156,$R$144:$R$156,0,1),"-"),"-")</f>
        <v/>
      </c>
      <c r="J45" s="215">
        <f>IF((AND($D$30&gt;0,F30&gt;0)),IF(_xlfn.XLOOKUP(A45,$S$158:$S$170,$U$158:$U$170,"-")="Pension Income Amount Can Be Transferred",_xlfn.XLOOKUP(A45,$S$158:$S$170,$R$158:$R$170,0,1),"-"),"-")</f>
        <v/>
      </c>
      <c r="K45" s="229">
        <f>IF((AND($D$31&gt;0,F31&gt;0)),IF(_xlfn.XLOOKUP(A45,$S$172:$S$184,$U$172:$U$184,"-")="Pension Income Amount Can Be Transferred",_xlfn.XLOOKUP(A45,$S$172:$S$184,$R$172:$R$184,0,1),"-"),"-")</f>
        <v/>
      </c>
      <c r="L45" s="230">
        <f>IF((AND($D$32&gt;0,F32&gt;0)),IF(_xlfn.XLOOKUP(A45,$S$186:$S$199,$U$186:$U$199,"-")="Pension Income Amount Can Be Transferred",_xlfn.XLOOKUP(A45,$S$186:$S$199,$R$186:$R$199,0,1),"-"),"-")</f>
        <v/>
      </c>
    </row>
    <row r="46" ht="15.75" customHeight="1">
      <c r="A46" s="194" t="inlineStr">
        <is>
          <t>Line 59070</t>
        </is>
      </c>
      <c r="B46" s="227">
        <f>IF((AND($D$23&gt;0,F23&gt;0)),IF(_xlfn.XLOOKUP(A46,S$60:S$72,U$60:U$72,"-")="DTC Transferable Not Claimed Can Be Transferred",_xlfn.XLOOKUP(A46,$S$60:$S$72,$R$60:$R$72,0,1),"-"),"-")</f>
        <v/>
      </c>
      <c r="C46" s="228">
        <f>IF((AND($D$24&gt;0,F24&gt;0)),IF(_xlfn.XLOOKUP(A46,S$74:S$86,U$74:U$86,"-")="DTC Transferable Not Claimed Can Be Transferred",_xlfn.XLOOKUP(A46,$S$74:$S$86,$R$74:$R$86,0,1),"-"),"-")</f>
        <v/>
      </c>
      <c r="D46" s="215">
        <f>IF((AND($D$25&gt;0,F25&gt;0)),(IF(_xlfn.XLOOKUP(A46,S$88:S$100,U$88:U$100,"-")="DTC Transferable Not Claimed Can Be Transferred",_xlfn.XLOOKUP(A46,$S$88:$S$100,$R$88:$R$100,0,1),"-")),"-")</f>
        <v/>
      </c>
      <c r="E46" s="229">
        <f>IF((AND($D$26&gt;0,F26&gt;0)),IF(_xlfn.XLOOKUP(A46,S$102:S$114,U$102:U$114,"-")="DTC Transferable Not Claimed Can Be Transferred",_xlfn.XLOOKUP(A46,$S$102:$S$114,$R$102:$R$114,0,1),"-"),"-")</f>
        <v/>
      </c>
      <c r="F46" s="230">
        <f>IF((AND($D$27&gt;0,F27&gt;0)),IF(_xlfn.XLOOKUP(A46,S$116:S$128,U$116:U$128,"-")="DTC Transferable Not Claimed Can Be Transferred",_xlfn.XLOOKUP(A46,$S$116:$S$128,$R$116:$R$128,0,1),"-"),"-")</f>
        <v/>
      </c>
      <c r="G46" s="200" t="inlineStr">
        <is>
          <t>Line 59070</t>
        </is>
      </c>
      <c r="H46" s="244">
        <f>IF((AND($D$28&gt;0,F28&gt;0)),IF(_xlfn.XLOOKUP(A46,$S$130:$S$142,$U$130:$U$142,"-")="DTC Transferable Not Claimed Can Be Transferred",_xlfn.XLOOKUP(A46,$S$130:$S$142,$R$130:$R$142,0,1),"-"),"-")</f>
        <v/>
      </c>
      <c r="I46" s="235">
        <f>IF((AND($D$29&gt;0,F29&gt;0)),IF(_xlfn.XLOOKUP(A46,$S$144:$S$156,$U$144:$U$156,"-")="DTC Transferable Not Claimed Can Be Transferred",_xlfn.XLOOKUP(A46,$S$144:$S$156,$R$144:$R$156,0,1),"-"),"-")</f>
        <v/>
      </c>
      <c r="J46" s="215">
        <f>IF((AND($D$30&gt;0,F30&gt;0)),IF(_xlfn.XLOOKUP(A46,$S$158:$S$170,$U$158:$U$170,"-")="DTC Transferable Not Claimed Can Be Transferred",_xlfn.XLOOKUP(A46,$S$158:$S$170,$R$158:$R$170,0,1),"-"),"-")</f>
        <v/>
      </c>
      <c r="K46" s="229">
        <f>IF((AND($D$31&gt;0,F31&gt;0)),IF(_xlfn.XLOOKUP(A46,$S$172:$S$184,$U$172:$U$184,"-")="DTC Transferable Not Claimed Can Be Transferred",_xlfn.XLOOKUP(A46,$S$172:$S$184,$R$172:$R$184,0,1),"-"),"-")</f>
        <v/>
      </c>
      <c r="L46" s="230">
        <f>IF((AND($D$32&gt;0,F32&gt;0)),IF(_xlfn.XLOOKUP(A46,$S$186:$S$199,$U$186:$U$199,"-")="DTC Transferable Not Claimed Can Be Transferred",_xlfn.XLOOKUP(A46,$S$186:$S$199,$R$186:$R$199,0,1),"-"),"-")</f>
        <v/>
      </c>
    </row>
    <row r="47" ht="15.75" customHeight="1">
      <c r="A47" s="194" t="inlineStr">
        <is>
          <t>Line 59090</t>
        </is>
      </c>
      <c r="B47" s="227">
        <f>IF((AND($D$23&gt;0,F23&gt;0)),IF(_xlfn.XLOOKUP(A47,S$60:S$72,U$60:U$72,"-")="Tuition Can Be Transferred",_xlfn.XLOOKUP(A47,$S$60:$S$72,$R$60:$R$72,0,1),"-"),"-")</f>
        <v/>
      </c>
      <c r="C47" s="228">
        <f>IF((AND($D$24&gt;0,F24&gt;0)),IF(_xlfn.XLOOKUP(A47,S$74:S$86,U$74:U$86,"-")="Tuition Can Be Transferred",_xlfn.XLOOKUP(A47,$S$74:$S$86,$R$74:$R$86,0,1),"-"),"-")</f>
        <v/>
      </c>
      <c r="D47" s="215">
        <f>IF((AND($D$25&gt;0,F25&gt;0)),IF(_xlfn.XLOOKUP(A47,S$88:S$100,U$88:U$100,"-")="Tuition Can Be Transferred",_xlfn.XLOOKUP(A47,$S$88:$S$100,$R$88:$R$100,0,1),"-"),"-")</f>
        <v/>
      </c>
      <c r="E47" s="229">
        <f>IF((AND($D$26&gt;0,F26&gt;0)),IF(_xlfn.XLOOKUP(A47,S$102:S$114,U$102:U$114,"-")="Tuition Can Be Transferred",_xlfn.XLOOKUP(A47,$S$102:$S$114,$R$102:$R$114,0,1),"-"),"-")</f>
        <v/>
      </c>
      <c r="F47" s="230">
        <f>IF((AND($D$27&gt;0,F27&gt;0)),IF(_xlfn.XLOOKUP(A47,S$116:S$128,U$116:U$128,"-")="Tuition Can Be Transferred",_xlfn.XLOOKUP(A47,$S$116:$S$128,$R$116:$R$128,0,1),"-"),"-")</f>
        <v/>
      </c>
      <c r="G47" s="200" t="inlineStr">
        <is>
          <t>Line 59090</t>
        </is>
      </c>
      <c r="H47" s="244">
        <f>IF((AND($D$28&gt;0,F28&gt;0)),IF(_xlfn.XLOOKUP(A47,$S$130:$S$142,$U$130:$U$142,"-")="Tuition Can Be Transferred",_xlfn.XLOOKUP(A47,$S$130:$S$142,$R$130:$R$142,0,1),"-"),"-")</f>
        <v/>
      </c>
      <c r="I47" s="235">
        <f>IF((AND($D$29&gt;0,F29&gt;0)),IF(_xlfn.XLOOKUP(A47,$S$144:$S$156,$U$144:$U$156,"-")="Tuition Can Be Transferred",_xlfn.XLOOKUP(A47,$S$144:$S$156,$R$144:$R$156,0,1),"-"),"-")</f>
        <v/>
      </c>
      <c r="J47" s="215">
        <f>IF((AND($D$30&gt;0,F30&gt;0)),IF(_xlfn.XLOOKUP(A47,$S$158:$S$170,$U$158:$U$170,"-")="Tuition Can Be Transferred",_xlfn.XLOOKUP(A47,$S$158:$S$170,$R$158:$R$170,0,1),"-"),"-")</f>
        <v/>
      </c>
      <c r="K47" s="229">
        <f>IF((AND($D$31&gt;0,F31&gt;0)),IF(_xlfn.XLOOKUP(A47,$S$172:$S$184,$U$172:$U$184,"-")="Tuition Can Be Transferred",_xlfn.XLOOKUP(A47,$S$172:$S$184,$R$172:$R$184,0,1),"-"),"-")</f>
        <v/>
      </c>
      <c r="L47" s="230">
        <f>IF((AND($D$32&gt;0,F32&gt;0)),IF(_xlfn.XLOOKUP(A47,$S$186:$S$199,$U$186:$U$199,"-")="Tuition Can Be Transferred",_xlfn.XLOOKUP(A47,$S$186:$S$199,$R$186:$R$199,0,1),"-"),"-")</f>
        <v/>
      </c>
    </row>
    <row r="48" ht="15.75" customHeight="1">
      <c r="A48" s="194" t="inlineStr">
        <is>
          <t>Line 59000</t>
        </is>
      </c>
      <c r="B48" s="227">
        <f>IF((AND($D$23&gt;0,F23&gt;0)),IF(_xlfn.XLOOKUP(A48,S$60:S$72,U$60:U$72,"-")="Amount for young children less than 6 years of age",_xlfn.XLOOKUP(A48,$S$60:$S$72,$R$60:$R$72,0,1),"-"),"-")</f>
        <v/>
      </c>
      <c r="C48" s="228">
        <f>IF((AND($D$24&gt;0,F24&gt;0)),IF(_xlfn.XLOOKUP(A48,S$74:S$86,U$74:U$86,"-")="Amount for young children less than 6 years of age",_xlfn.XLOOKUP(A48,$S$74:$S$86,$R$74:$R$86,0,1),"-"),"-")</f>
        <v/>
      </c>
      <c r="D48" s="215">
        <f>IF((AND($D$25&gt;0,F25&gt;0)),IF(_xlfn.XLOOKUP(A48,S$88:S$100,U$88:U$100,"-")="Amount for young children less than 6 years of age",_xlfn.XLOOKUP(A48,$S$88:$S$100,$R$88:$R$100,0,1),"-"),"-")</f>
        <v/>
      </c>
      <c r="E48" s="229">
        <f>IF((AND($D$26&gt;0,F26&gt;0)),IF(_xlfn.XLOOKUP(A48,S$102:S$114,U$102:U$114,"-")="Amount for young children less than 6 years of age",_xlfn.XLOOKUP(A48,$S$102:$S$114,$R$102:$R$114,0,1),"-"),"-")</f>
        <v/>
      </c>
      <c r="F48" s="230">
        <f>IF((AND($D$27&gt;0,F27&gt;0)),IF(_xlfn.XLOOKUP(A48,S$116:S$128,U$116:U$128,"-")="Amount for young children less than 6 years of age",_xlfn.XLOOKUP(A48,$S$116:$S$128,$R$116:$R$128,0,1),"-"),"-")</f>
        <v/>
      </c>
      <c r="G48" s="200" t="inlineStr">
        <is>
          <t>Line 59000</t>
        </is>
      </c>
      <c r="H48" s="244">
        <f>IF((AND($D$28&gt;0,F28&gt;0)),IF(_xlfn.XLOOKUP(A48,$S$130:$S$142,$U$130:$U$142,"-")="Amount for young children less than 6 years of age",_xlfn.XLOOKUP(A48,$S$130:$S$142,$R$130:$R$142,0,1),"-"),"-")</f>
        <v/>
      </c>
      <c r="I48" s="235">
        <f>IF((AND($D$29&gt;0,F29&gt;0)),IF(_xlfn.XLOOKUP(A48,$S$144:$S$156,$U$144:$U$156,"-")="Amount for young children less than 6 years of age",_xlfn.XLOOKUP(A48,$S$144:$S$156,$R$144:$R$156,0,1),"-"),"-")</f>
        <v/>
      </c>
      <c r="J48" s="215">
        <f>IF((AND($D$30&gt;0,F30&gt;0)),IF(_xlfn.XLOOKUP(A48,$S$158:$S$170,$U$158:$U$170,"-")="Amount for young children less than 6 years of age",_xlfn.XLOOKUP(A48,$S$158:$S$170,$R$158:$R$170,0,1),"-"),"-")</f>
        <v/>
      </c>
      <c r="K48" s="229">
        <f>IF((AND($D$31&gt;0,F31&gt;0)),IF(_xlfn.XLOOKUP(A48,$S$172:$S$184,$U$172:$U$184,"-")="Amount for young children less than 6 years of age",_xlfn.XLOOKUP(A48,$S$172:$S$184,$R$172:$R$184,0,1),"-"),"-")</f>
        <v/>
      </c>
      <c r="L48" s="230">
        <f>IF((AND($D$32&gt;0,F32&gt;0)),IF(_xlfn.XLOOKUP(A48,$S$186:$S$199,$U$186:$U$199,"-")="Amount for young children less than 6 years of age",_xlfn.XLOOKUP(A48,$S$186:$S$199,$R$186:$R$199,0,1),"-"),"-")</f>
        <v/>
      </c>
    </row>
    <row r="49" ht="15.75" customHeight="1">
      <c r="A49" s="194" t="inlineStr">
        <is>
          <t>Line 59010</t>
        </is>
      </c>
      <c r="B49" s="227">
        <f>IF((AND($D$23&gt;0,F23&gt;0)),IF(_xlfn.XLOOKUP(A49,S$60:S$72,U$60:U$72,"-")="Amount For Dependent Children Born in X or Later Can Be Transferred",_xlfn.XLOOKUP(A49,$S$60:$S$72,$R$60:$R$72,0,1),"-"),"-")</f>
        <v/>
      </c>
      <c r="C49" s="228">
        <f>IF((AND($D$24&gt;0,F24&gt;0)),IF(_xlfn.XLOOKUP(A49,S$74:S$86,U$74:U$86,"-")="Amount For Dependent Children Born in X or Later Can Be Transferred",_xlfn.XLOOKUP(A49,$S$74:$S$86,$R$74:$R$86,0,1),"-"),"-")</f>
        <v/>
      </c>
      <c r="D49" s="215">
        <f>IF((AND($D$25&gt;0,F25&gt;0)),IF(_xlfn.XLOOKUP(A49,S$88:S$100,U$88:U$100,"-")="Amount For Dependent Children Born in X or Later Can Be Transferred",_xlfn.XLOOKUP(A49,$S$88:$S$100,$R$88:$R$100,0,1),"-"),"-")</f>
        <v/>
      </c>
      <c r="E49" s="229">
        <f>IF((AND($D$26&gt;0,F26&gt;0)),IF(_xlfn.XLOOKUP(A49,S$102:S$114,U$102:U$114,"-")="Amount For Dependent Children Born in X or Later Can Be Transferred",_xlfn.XLOOKUP(A49,$S$102:$S$114,$R$102:$R$114,0,1),"-"),"-")</f>
        <v/>
      </c>
      <c r="F49" s="230">
        <f>IF((AND($D$27&gt;0,F27&gt;0)),IF(_xlfn.XLOOKUP(A49,S$116:S$128,U$116:U$128,"-")="Amount For Dependent Children Born in X or Later Can Be Transferred",_xlfn.XLOOKUP(A49,$S$116:$S$128,$R$116:$R$128,0,1),"-"),"-")</f>
        <v/>
      </c>
      <c r="G49" s="200" t="inlineStr">
        <is>
          <t>Line 59010</t>
        </is>
      </c>
      <c r="H49" s="244">
        <f>IF((AND($D$28&gt;0,F28&gt;0)),IF(_xlfn.XLOOKUP(A49,$S$130:$S$142,$U$130:$U$142,"-")="Amount For Dependent Children Born in X or Later Can Be Transferred",_xlfn.XLOOKUP(A49,$S$130:$S$142,$R$130:$R$142,0,1),"-"),"-")</f>
        <v/>
      </c>
      <c r="I49" s="235">
        <f>IF((AND($D$29&gt;0,F29&gt;0)),IF(_xlfn.XLOOKUP(A49,$S$144:$S$156,$U$144:$U$156,"-")="Amount For Dependent Children Born in X or Later Can Be Transferred",_xlfn.XLOOKUP(A49,$S$144:$S$156,$R$144:$R$156,0,1),"-"),"-")</f>
        <v/>
      </c>
      <c r="J49" s="215">
        <f>IF((AND($D$30&gt;0,F30&gt;0)),IF(_xlfn.XLOOKUP(A49,$S$158:$S$170,$U$158:$U$170,"-")="Amount For Dependent Children Born in X or Later Can Be Transferred",_xlfn.XLOOKUP(A49,$S$158:$S$170,$R$158:$R$170,0,1),"-"),"-")</f>
        <v/>
      </c>
      <c r="K49" s="229">
        <f>IF((AND($D$31&gt;0,F31&gt;0)),IF(_xlfn.XLOOKUP(A49,$S$172:$S$184,$U$172:$U$184,"-")="Amount For Dependent Children Born in X or Later Can Be Transferred",_xlfn.XLOOKUP(A49,$S$172:$S$184,$R$172:$R$184,0,1),"-"),"-")</f>
        <v/>
      </c>
      <c r="L49" s="230">
        <f>IF((AND($D$32&gt;0,F32&gt;0)),IF(_xlfn.XLOOKUP(A49,$S$186:$S$199,$U$186:$U$199,"-")="Amount For Dependent Children Born in X or Later Can Be Transferred",_xlfn.XLOOKUP(A49,$S$186:$S$199,$R$186:$R$199,0,1),"-"),"-")</f>
        <v/>
      </c>
    </row>
    <row r="50" ht="15.75" customHeight="1">
      <c r="A50" s="194" t="inlineStr">
        <is>
          <t>Line 59030</t>
        </is>
      </c>
      <c r="B50" s="227">
        <f>IF((AND($D$23&gt;0,F23&gt;0)),IF(_xlfn.XLOOKUP(A50,S$60:S$72,U$60:U$72,"-")="Senior Supplementary Amount Can Be Transferred",_xlfn.XLOOKUP(A50,$S$60:$S$72,$R$60:$R$72,0,1),"-"),"-")</f>
        <v/>
      </c>
      <c r="C50" s="228">
        <f>IF((AND($D$24&gt;0,F24&gt;0)),IF(_xlfn.XLOOKUP(A50,S$74:S$86,U$74:U$86,"-")="Senior Supplementary Amount Can Be Transferred",_xlfn.XLOOKUP(A50,$S$74:$S$86,$R$74:$R$86,0,1),"-"),"-")</f>
        <v/>
      </c>
      <c r="D50" s="215">
        <f>IF((AND($D$25&gt;0,F25&gt;0)),IF(_xlfn.XLOOKUP(A50,S$88:S$100,U$88:U$100,"-")="Senior Supplementary Amount Can Be Transferred",_xlfn.XLOOKUP(A50,$S$88:$S$100,$R$88:$R$100,0,1),"-"),"-")</f>
        <v/>
      </c>
      <c r="E50" s="229">
        <f>IF((AND($D$26&gt;0,F26&gt;0)),IF(_xlfn.XLOOKUP(A50,S$102:S$114,U$102:U$114,"-")="Senior Supplementary Amount Can Be Transferred",_xlfn.XLOOKUP(A50,$S$102:$S$114,$R$102:$R$114,0,1),"-"),"-")</f>
        <v/>
      </c>
      <c r="F50" s="230">
        <f>IF((AND($D$27&gt;0,F27&gt;0)),IF(_xlfn.XLOOKUP(A50,S$116:S$128,U$116:U$128,"-")="Senior Supplementary Amount Can Be Transferred",_xlfn.XLOOKUP(A50,$S$116:$S$128,$R$116:$R$128,0,1),"-"),"-")</f>
        <v/>
      </c>
      <c r="G50" s="200" t="inlineStr">
        <is>
          <t>Line 59030</t>
        </is>
      </c>
      <c r="H50" s="244">
        <f>IF((AND($D$28&gt;0,F28&gt;0)),IF(_xlfn.XLOOKUP(A50,$S$130:$S$142,$U$130:$U$142,"-")="Senior Supplementary Amount Can Be Transferred",_xlfn.XLOOKUP(A50,$S$130:$S$142,$R$130:$R$142,0,1),"-"),"-")</f>
        <v/>
      </c>
      <c r="I50" s="235">
        <f>IF((AND($D$29&gt;0,F29&gt;0)),IF(_xlfn.XLOOKUP(A50,$S$144:$S$156,$U$144:$U$156,"-")="Senior Supplementary Amount Can Be Transferred",_xlfn.XLOOKUP(A50,$S$144:$S$156,$R$144:$R$156,0,1),"-"),"-")</f>
        <v/>
      </c>
      <c r="J50" s="215">
        <f>IF((AND($D$30&gt;0,F30&gt;0)),IF(_xlfn.XLOOKUP(A50,$S$158:$S$170,$U$158:$U$170,"-")="Senior Supplementary Amount Can Be Transferred",_xlfn.XLOOKUP(A50,$S$158:$S$170,$R$158:$R$170,0,1),"-"),"-")</f>
        <v/>
      </c>
      <c r="K50" s="229">
        <f>IF((AND($D$31&gt;0,F31&gt;0)),IF(_xlfn.XLOOKUP(A50,$S$172:$S$184,$U$172:$U$184,"-")="Senior Supplementary Amount Can Be Transferred",_xlfn.XLOOKUP(A50,$S$172:$S$184,$R$172:$R$184,0,1),"-"),"-")</f>
        <v/>
      </c>
      <c r="L50" s="230">
        <f>IF((AND($D$32&gt;0,F32&gt;0)),IF(_xlfn.XLOOKUP(A50,$S$186:$S$199,$U$186:$U$199,"-")="Senior Supplementary Amount Can Be Transferred",_xlfn.XLOOKUP(A50,$S$186:$S$199,$R$186:$R$199,0,1),"-"),"-")</f>
        <v/>
      </c>
    </row>
    <row r="51" ht="16.5" customHeight="1" thickBot="1">
      <c r="A51" s="198" t="inlineStr">
        <is>
          <t>Line 59040</t>
        </is>
      </c>
      <c r="B51" s="238">
        <f>IF((AND($D$23&gt;0,F23&gt;0)),IF(_xlfn.XLOOKUP(A51,S$60:S$72,U$60:U$72,"-")="Amount For Infirm Children Under 18 Can Be Transferred",_xlfn.XLOOKUP(A51,$S$60:$S$72,$R$60:$R$72,0,1),"-"),"-")</f>
        <v/>
      </c>
      <c r="C51" s="239">
        <f>IF((AND($D$24&gt;0,F24&gt;0)),IF(_xlfn.XLOOKUP(A51,S$74:S$86,U$74:U$86,"-")="Amount For Infirm Children Under 18 Can Be Transferred",_xlfn.XLOOKUP(A51,$S$74:$S$86,$R$74:$R$86,0,1),"-"),"-")</f>
        <v/>
      </c>
      <c r="D51" s="218">
        <f>IF((AND($D$25&gt;0,F25&gt;0)),IF(_xlfn.XLOOKUP(A51,S$88:S$100,U$88:U$100,"-")="Amount For Infirm Children Under 18 Can Be Transferred",_xlfn.XLOOKUP(A51,$S$88:$S$100,$R$88:$R$100,0,1),"-"),"-")</f>
        <v/>
      </c>
      <c r="E51" s="240">
        <f>IF((AND($D$26&gt;0,F26&gt;0)),IF(_xlfn.XLOOKUP(A51,S$102:S$114,U$102:U$114,"-")="Amount For Infirm Children Under 18 Can Be Transferred",_xlfn.XLOOKUP(A51,$S$102:$S$114,$R$102:$R$114,0,1),"-"),"-")</f>
        <v/>
      </c>
      <c r="F51" s="241">
        <f>IF((AND($D$27&gt;0,F27&gt;0)),IF(_xlfn.XLOOKUP(A51,S$116:S$128,U$116:U$128,"-")="Amount For Infirm Children Under 18 Can Be Transferred",_xlfn.XLOOKUP(A51,$S$116:$S$128,$R$116:$R$128,0,1),"-"),"-")</f>
        <v/>
      </c>
      <c r="G51" s="202" t="inlineStr">
        <is>
          <t>Line 59040</t>
        </is>
      </c>
      <c r="H51" s="248">
        <f>IF((AND($D$28&gt;0,F28&gt;0)),IF(_xlfn.XLOOKUP(A51,$S$130:$S$142,$U$130:$U$142,"-")="Amount For Infirm Children Under 18 Can Be Transferred",_xlfn.XLOOKUP(A51,$S$130:$S$142,$R$130:$R$142,0,1),"-"),"-")</f>
        <v/>
      </c>
      <c r="I51" s="249">
        <f>IF((AND($D$29&gt;0,F29&gt;0)),IF(_xlfn.XLOOKUP(A51,$S$144:$S$156,$U$144:$U$156,"-")="Amount For Infirm Children Under 18 Can Be Transferred",_xlfn.XLOOKUP(A51,$S$144:$S$156,$R$144:$R$156,0,1),"-"),"-")</f>
        <v/>
      </c>
      <c r="J51" s="218">
        <f>IF((AND($D$30&gt;0,F30&gt;0)),IF(_xlfn.XLOOKUP(A51,$S$158:$S$170,$U$158:$U$170,"-")="Amount For Infirm Children Under 18 Can Be Transferred",_xlfn.XLOOKUP(A51,$S$158:$S$170,$R$158:$R$170,0,1),"-"),"-")</f>
        <v/>
      </c>
      <c r="K51" s="240">
        <f>IF((AND($D$31&gt;0,F31&gt;0)),IF(_xlfn.XLOOKUP(A51,$S$172:$S$184,$U$172:$U$184,"-")="Amount For Infirm Children Under 18 Can Be Transferred",_xlfn.XLOOKUP(A51,$S$172:$S$184,$R$172:$R$184,0,1),"-"),"-")</f>
        <v/>
      </c>
      <c r="L51" s="250">
        <f>IF((AND($D$32&gt;0,F32&gt;0)),IF(_xlfn.XLOOKUP(A51,$S$186:$S$199,$U$186:$U$199,"-")="Amount For Infirm Children Under 18 Can Be Transferred",_xlfn.XLOOKUP(A51,$S$186:$S$199,$R$186:$R$199,0,1),"-"),"-")</f>
        <v/>
      </c>
    </row>
    <row r="52">
      <c r="D52" s="492" t="n"/>
    </row>
    <row r="57" ht="15.75" customHeight="1" thickBot="1">
      <c r="A57" s="21" t="n"/>
    </row>
    <row r="58">
      <c r="A58" s="21" t="n"/>
      <c r="M58" s="774" t="inlineStr">
        <is>
          <t>DO NOT TOUCH</t>
        </is>
      </c>
      <c r="N58" s="74" t="n"/>
      <c r="O58" s="74" t="n"/>
      <c r="P58" s="74" t="n"/>
      <c r="Q58" s="74" t="n"/>
      <c r="R58" s="74" t="n"/>
      <c r="S58" s="74" t="n"/>
      <c r="T58" s="74" t="n"/>
      <c r="U58" s="258" t="n"/>
    </row>
    <row r="59">
      <c r="A59" s="21" t="n"/>
      <c r="M59" s="34" t="n"/>
      <c r="U59" s="35" t="n"/>
    </row>
    <row r="60">
      <c r="A60" s="21" t="n"/>
      <c r="M60" s="189" t="n">
        <v>53</v>
      </c>
      <c r="N60" s="21" t="n">
        <v>2023</v>
      </c>
      <c r="O60" s="190">
        <f t="array" ref="O60">IF(C23="AB",'AB Transfer S2'!J2:$P10,(IF(C23="BC",'BC Transfer S2'!J1:P9,(IF(C23="MB",'MB Transfer S2'!J2:P10,(IF(C23="NB",'NB Transfer S2'!J2:P10,IF(C23="NL",'NL Transfer S2'!J2:P10,IF(C23="NT",'NT Transfer S2'!J2:P10,IF(C23="NS",'NS Transfer S2'!J2:P10,IF(C23="NU",'NU Transfer S2'!J2:P10,(IF(C23="ON",'ON Transfer S2'!J2:P10,(IF(C23="PE",'PE Transfer S2'!J2:P10,(IF(C23="SK",'SK Transfer S2'!J2:P10,(IF(C23="YT",'YT Transfer S2'!J2:P10)))))))))))))))))))</f>
        <v/>
      </c>
      <c r="U60" s="35" t="n"/>
    </row>
    <row r="61" ht="15.75" customHeight="1" thickBot="1">
      <c r="A61" s="21" t="n"/>
      <c r="M61" s="189" t="n">
        <v>54</v>
      </c>
      <c r="N61" s="21" t="n"/>
      <c r="O61" s="41" t="n"/>
      <c r="P61" s="41" t="n"/>
      <c r="Q61" s="41" t="n"/>
      <c r="R61" s="41" t="n"/>
      <c r="S61" s="188" t="n"/>
      <c r="T61" s="41" t="n"/>
      <c r="U61" s="191" t="n"/>
    </row>
    <row r="62">
      <c r="A62" s="21" t="n"/>
      <c r="M62" s="189" t="n">
        <v>55</v>
      </c>
      <c r="N62" s="21" t="n"/>
      <c r="U62" s="35" t="n"/>
    </row>
    <row r="63">
      <c r="A63" s="21" t="n"/>
      <c r="M63" s="189" t="n">
        <v>56</v>
      </c>
      <c r="N63" s="21" t="n"/>
      <c r="U63" s="35" t="n"/>
    </row>
    <row r="64">
      <c r="A64" s="21" t="n"/>
      <c r="M64" s="189" t="n">
        <v>57</v>
      </c>
      <c r="N64" s="21" t="n"/>
      <c r="U64" s="35" t="n"/>
    </row>
    <row r="65">
      <c r="A65" s="21" t="n"/>
      <c r="M65" s="189" t="n">
        <v>58</v>
      </c>
      <c r="N65" s="21" t="n"/>
      <c r="U65" s="35" t="n"/>
    </row>
    <row r="66">
      <c r="A66" s="21" t="n"/>
      <c r="M66" s="189" t="n">
        <v>59</v>
      </c>
      <c r="N66" s="21" t="n"/>
      <c r="U66" s="35" t="n"/>
    </row>
    <row r="67">
      <c r="A67" s="21" t="n"/>
      <c r="M67" s="189" t="n">
        <v>60</v>
      </c>
      <c r="N67" s="21" t="n"/>
      <c r="U67" s="35" t="n"/>
    </row>
    <row r="68">
      <c r="M68" s="189" t="n">
        <v>61</v>
      </c>
      <c r="N68" s="21" t="n"/>
      <c r="U68" s="35" t="n"/>
    </row>
    <row r="69">
      <c r="M69" s="189" t="n">
        <v>62</v>
      </c>
      <c r="N69" s="21" t="n"/>
      <c r="U69" s="35" t="n"/>
    </row>
    <row r="70">
      <c r="M70" s="189" t="n">
        <v>63</v>
      </c>
      <c r="N70" s="21" t="n"/>
      <c r="U70" s="35" t="n"/>
    </row>
    <row r="71">
      <c r="M71" s="189" t="n">
        <v>64</v>
      </c>
      <c r="N71" s="21" t="n"/>
      <c r="U71" s="35" t="n"/>
    </row>
    <row r="72">
      <c r="M72" s="189" t="n">
        <v>65</v>
      </c>
      <c r="N72" s="21" t="n"/>
      <c r="U72" s="35" t="n"/>
    </row>
    <row r="73">
      <c r="M73" s="34" t="n">
        <v>66</v>
      </c>
      <c r="N73" s="21" t="n"/>
      <c r="U73" s="35" t="n"/>
    </row>
    <row r="74">
      <c r="M74" s="189" t="n">
        <v>67</v>
      </c>
      <c r="N74" s="21" t="n">
        <v>2022</v>
      </c>
      <c r="O74" s="190">
        <f t="array" ref="O74">IF(C24="AB",'AB Transfer S2'!B37:H45,(IF(C24="BC",'BC Transfer S2'!B37:H45,(IF(C24="MB",'MB Transfer S2'!B37:H45,(IF(C24="NB",'NB Transfer S2'!B37:H45,IF(C24="NL",'NL Transfer S2'!B37:H45,IF(C24="NT",'NT Transfer S2'!B37:H45,IF(C24="NS",'NS Transfer S2'!B37:H45,IF(C24="NU",'NU Transfer S2'!B37:H44,(IF(C24="ON",'ON Transfer S2'!B37:H45,(IF(C24="PE",'PE Transfer S2'!B37:H45,(IF(C24="SK",'SK Transfer S2'!B37:H44,(IF(C24="YT",'YT Transfer S2'!B37:H44)))))))))))))))))))</f>
        <v/>
      </c>
      <c r="U74" s="35" t="n"/>
    </row>
    <row r="75" ht="15.75" customHeight="1" thickBot="1">
      <c r="M75" s="189" t="n">
        <v>68</v>
      </c>
      <c r="N75" s="21" t="n"/>
      <c r="O75" s="41" t="n"/>
      <c r="P75" s="41" t="n"/>
      <c r="Q75" s="41" t="n"/>
      <c r="R75" s="41" t="n"/>
      <c r="S75" s="188" t="n"/>
      <c r="T75" s="41" t="n"/>
      <c r="U75" s="191" t="n"/>
    </row>
    <row r="76">
      <c r="M76" s="189" t="n">
        <v>69</v>
      </c>
      <c r="N76" s="21" t="n"/>
      <c r="U76" s="35" t="n"/>
    </row>
    <row r="77">
      <c r="M77" s="189" t="n">
        <v>70</v>
      </c>
      <c r="N77" s="21" t="n"/>
      <c r="U77" s="35" t="n"/>
    </row>
    <row r="78">
      <c r="M78" s="189" t="n">
        <v>71</v>
      </c>
      <c r="N78" s="21" t="n"/>
      <c r="U78" s="35" t="n"/>
    </row>
    <row r="79">
      <c r="M79" s="189" t="n">
        <v>72</v>
      </c>
      <c r="N79" s="21" t="n"/>
      <c r="U79" s="35" t="n"/>
    </row>
    <row r="80">
      <c r="M80" s="189" t="n">
        <v>73</v>
      </c>
      <c r="N80" s="21" t="n"/>
      <c r="U80" s="35" t="n"/>
    </row>
    <row r="81">
      <c r="M81" s="189" t="n">
        <v>74</v>
      </c>
      <c r="N81" s="21" t="n"/>
      <c r="U81" s="35" t="n"/>
    </row>
    <row r="82">
      <c r="M82" s="189" t="n">
        <v>75</v>
      </c>
      <c r="N82" s="21" t="n"/>
      <c r="U82" s="35" t="n"/>
    </row>
    <row r="83">
      <c r="M83" s="189" t="n">
        <v>76</v>
      </c>
      <c r="N83" s="21" t="n"/>
      <c r="U83" s="35" t="n"/>
    </row>
    <row r="84">
      <c r="M84" s="189" t="n">
        <v>77</v>
      </c>
      <c r="N84" s="21" t="n"/>
      <c r="U84" s="35" t="n"/>
    </row>
    <row r="85">
      <c r="M85" s="189" t="n">
        <v>78</v>
      </c>
      <c r="N85" s="21" t="n"/>
      <c r="U85" s="35" t="n"/>
    </row>
    <row r="86">
      <c r="M86" s="189" t="n">
        <v>79</v>
      </c>
      <c r="N86" s="21" t="n"/>
      <c r="U86" s="35" t="n"/>
    </row>
    <row r="87">
      <c r="M87" s="34" t="n">
        <v>80</v>
      </c>
      <c r="N87" s="21" t="n"/>
      <c r="U87" s="35" t="n"/>
    </row>
    <row r="88">
      <c r="M88" s="189" t="n">
        <v>81</v>
      </c>
      <c r="N88" s="21" t="n">
        <v>2021</v>
      </c>
      <c r="O88" s="190">
        <f t="array" ref="O88">IF(C25="AB",'AB Transfer S2'!J37:P45,(IF(C25="BC",'BC Transfer S2'!J37:P45,(IF(C25="MB",'MB Transfer S2'!J37:P45,(IF(C25="NB",'NB Transfer S2'!J37:P45,IF(C25="NL",'NL Transfer S2'!J37:P45,IF(C25="NT",'NT Transfer S2'!J37:P45,IF(C25="NS",'NS Transfer S2'!J37:P45,IF(C25="NU",'NU Transfer S2'!J37:P45,(IF(C25="ON",'ON Transfer S2'!J37:P45,(IF(C25="PE",'PE Transfer S2'!J37:P45,(IF(C25="SK",'SK Transfer S2'!J37:P45,(IF(C25="YT",'YT Transfer S2'!J37:P45)))))))))))))))))))</f>
        <v/>
      </c>
      <c r="U88" s="35" t="n"/>
    </row>
    <row r="89" ht="15.75" customHeight="1" thickBot="1">
      <c r="M89" s="189" t="n">
        <v>82</v>
      </c>
      <c r="N89" s="21" t="n"/>
      <c r="O89" s="41" t="n"/>
      <c r="P89" s="41" t="n"/>
      <c r="Q89" s="41" t="n"/>
      <c r="R89" s="41" t="n"/>
      <c r="S89" s="188" t="n"/>
      <c r="T89" s="41" t="n"/>
      <c r="U89" s="191" t="n"/>
    </row>
    <row r="90">
      <c r="M90" s="189" t="n">
        <v>83</v>
      </c>
      <c r="N90" s="21" t="n"/>
      <c r="U90" s="35" t="n"/>
    </row>
    <row r="91">
      <c r="M91" s="189" t="n">
        <v>84</v>
      </c>
      <c r="N91" s="21" t="n"/>
      <c r="U91" s="35" t="n"/>
    </row>
    <row r="92">
      <c r="M92" s="189" t="n">
        <v>85</v>
      </c>
      <c r="N92" s="21" t="n"/>
      <c r="U92" s="35" t="n"/>
    </row>
    <row r="93">
      <c r="M93" s="189" t="n">
        <v>86</v>
      </c>
      <c r="N93" s="21" t="n"/>
      <c r="U93" s="35" t="n"/>
    </row>
    <row r="94">
      <c r="M94" s="189" t="n">
        <v>87</v>
      </c>
      <c r="N94" s="21" t="n"/>
      <c r="U94" s="35" t="n"/>
    </row>
    <row r="95">
      <c r="M95" s="189" t="n">
        <v>88</v>
      </c>
      <c r="N95" s="21" t="n"/>
      <c r="U95" s="35" t="n"/>
    </row>
    <row r="96">
      <c r="M96" s="189" t="n">
        <v>89</v>
      </c>
      <c r="N96" s="21" t="n"/>
      <c r="U96" s="35" t="n"/>
    </row>
    <row r="97">
      <c r="M97" s="189" t="n">
        <v>90</v>
      </c>
      <c r="N97" s="21" t="n"/>
      <c r="U97" s="35" t="n"/>
    </row>
    <row r="98">
      <c r="M98" s="189" t="n">
        <v>91</v>
      </c>
      <c r="N98" s="21" t="n"/>
      <c r="U98" s="35" t="n"/>
    </row>
    <row r="99">
      <c r="M99" s="189" t="n">
        <v>92</v>
      </c>
      <c r="N99" s="21" t="n"/>
      <c r="U99" s="35" t="n"/>
    </row>
    <row r="100">
      <c r="M100" s="189" t="n">
        <v>93</v>
      </c>
      <c r="N100" s="21" t="n"/>
      <c r="U100" s="35" t="n"/>
    </row>
    <row r="101">
      <c r="M101" s="34" t="n">
        <v>94</v>
      </c>
      <c r="N101" s="21" t="n"/>
      <c r="U101" s="35" t="n"/>
    </row>
    <row r="102">
      <c r="M102" s="189" t="n">
        <v>95</v>
      </c>
      <c r="N102" s="21" t="n">
        <v>2020</v>
      </c>
      <c r="O102" s="190">
        <f t="array" ref="O102">IF(C26="AB",'AB Transfer S2'!B72:H80,(IF(C26="BC",'BC Transfer S2'!B72:H80,(IF(C26="MB",'MB Transfer S2'!B72:H80,(IF(C26="NB",'NB Transfer S2'!B72:H80,IF(C26="NL",'NL Transfer S2'!B72:H80,IF(C26="NT",'NT Transfer S2'!B72:H80,IF(C26="NS",'NS Transfer S2'!B72:H80,IF(C26="NU",'NU Transfer S2'!B72:H80,(IF(C26="ON",'ON Transfer S2'!B72:H80,(IF(C26="PE",'PE Transfer S2'!B72:H80,(IF(C26="SK",'SK Transfer S2'!B72:H80,(IF(C26="YT",'YT Transfer S2'!B72:H80)))))))))))))))))))</f>
        <v/>
      </c>
      <c r="U102" s="35" t="n"/>
      <c r="AW102" s="21" t="inlineStr">
        <is>
          <t>Year_Prov_Line</t>
        </is>
      </c>
      <c r="AX102" s="187" t="inlineStr">
        <is>
          <t xml:space="preserve">Value </t>
        </is>
      </c>
      <c r="AY102" s="21" t="inlineStr">
        <is>
          <t xml:space="preserve">Action </t>
        </is>
      </c>
      <c r="AZ102" s="21" t="n"/>
    </row>
    <row r="103" ht="15.75" customHeight="1" thickBot="1">
      <c r="M103" s="189" t="n">
        <v>96</v>
      </c>
      <c r="N103" s="21" t="n"/>
      <c r="O103" s="41" t="n"/>
      <c r="P103" s="41" t="n"/>
      <c r="Q103" s="41" t="n"/>
      <c r="R103" s="41" t="n"/>
      <c r="S103" s="188" t="n"/>
      <c r="T103" s="41" t="n"/>
      <c r="U103" s="191" t="n"/>
      <c r="AW103" t="inlineStr">
        <is>
          <t>2023_AB_Line 59020</t>
        </is>
      </c>
      <c r="AX103" s="101">
        <f>'AB Transfer S2'!M4</f>
        <v/>
      </c>
      <c r="AY103">
        <f>'AB Transfer S2'!P4</f>
        <v/>
      </c>
      <c r="AZ103" s="21" t="n"/>
    </row>
    <row r="104">
      <c r="M104" s="189" t="n">
        <v>97</v>
      </c>
      <c r="N104" s="21" t="n"/>
      <c r="U104" s="35" t="n"/>
      <c r="AW104" t="inlineStr">
        <is>
          <t>2023_AB_Line 59050</t>
        </is>
      </c>
      <c r="AX104" s="101">
        <f>'AB Transfer S2'!M5</f>
        <v/>
      </c>
      <c r="AY104">
        <f>'AB Transfer S2'!P5</f>
        <v/>
      </c>
      <c r="AZ104" s="21" t="n"/>
    </row>
    <row r="105">
      <c r="M105" s="189" t="n">
        <v>98</v>
      </c>
      <c r="N105" s="21" t="n"/>
      <c r="U105" s="35" t="n"/>
      <c r="AW105" t="inlineStr">
        <is>
          <t>2023_AB_Line 59070</t>
        </is>
      </c>
      <c r="AX105" s="101">
        <f>'AB Transfer S2'!M6</f>
        <v/>
      </c>
      <c r="AY105">
        <f>'AB Transfer S2'!P6</f>
        <v/>
      </c>
      <c r="AZ105" s="21" t="n"/>
    </row>
    <row r="106">
      <c r="M106" s="189" t="n">
        <v>99</v>
      </c>
      <c r="N106" s="21" t="n"/>
      <c r="U106" s="35" t="n"/>
      <c r="AX106" s="101" t="n"/>
      <c r="AZ106" s="21" t="n"/>
    </row>
    <row r="107">
      <c r="M107" s="189" t="n">
        <v>100</v>
      </c>
      <c r="N107" s="21" t="n"/>
      <c r="U107" s="35" t="n"/>
      <c r="AX107" s="101" t="n"/>
      <c r="AZ107" s="21" t="n"/>
    </row>
    <row r="108">
      <c r="M108" s="189" t="n">
        <v>101</v>
      </c>
      <c r="N108" s="21" t="n"/>
      <c r="U108" s="35" t="n"/>
      <c r="AX108" s="101" t="n"/>
      <c r="AZ108" s="21" t="n"/>
    </row>
    <row r="109">
      <c r="M109" s="189" t="n">
        <v>102</v>
      </c>
      <c r="N109" s="21" t="n"/>
      <c r="U109" s="35" t="n"/>
      <c r="AX109" s="101" t="n"/>
      <c r="AZ109" s="21" t="n"/>
    </row>
    <row r="110">
      <c r="M110" s="189" t="n">
        <v>103</v>
      </c>
      <c r="N110" s="21" t="n"/>
      <c r="U110" s="35" t="n"/>
      <c r="AX110" s="101" t="n"/>
      <c r="AZ110" s="21" t="n"/>
    </row>
    <row r="111">
      <c r="M111" s="189" t="n">
        <v>104</v>
      </c>
      <c r="N111" s="21" t="n"/>
      <c r="U111" s="35" t="n"/>
      <c r="AW111" t="inlineStr">
        <is>
          <t>2022_AB_Line 59020</t>
        </is>
      </c>
      <c r="AX111" s="101">
        <f>'AB Transfer S2'!E39</f>
        <v/>
      </c>
      <c r="AY111">
        <f>'AB Transfer S2'!H39</f>
        <v/>
      </c>
      <c r="AZ111" s="21" t="n"/>
    </row>
    <row r="112">
      <c r="M112" s="189" t="n">
        <v>105</v>
      </c>
      <c r="N112" s="21" t="n"/>
      <c r="U112" s="35" t="n"/>
      <c r="AW112" t="inlineStr">
        <is>
          <t>2022_AB_Line 59050</t>
        </is>
      </c>
      <c r="AX112" s="101">
        <f>'AB Transfer S2'!E40</f>
        <v/>
      </c>
      <c r="AY112">
        <f>'AB Transfer S2'!H40</f>
        <v/>
      </c>
      <c r="AZ112" s="21" t="n"/>
    </row>
    <row r="113">
      <c r="M113" s="189" t="n">
        <v>106</v>
      </c>
      <c r="N113" s="21" t="n"/>
      <c r="U113" s="35" t="n"/>
      <c r="AW113" t="inlineStr">
        <is>
          <t>2022_AB_Line 59070</t>
        </is>
      </c>
      <c r="AX113" s="101">
        <f>'AB Transfer S2'!E41</f>
        <v/>
      </c>
      <c r="AY113">
        <f>'AB Transfer S2'!H41</f>
        <v/>
      </c>
      <c r="AZ113" s="21" t="n"/>
    </row>
    <row r="114">
      <c r="M114" s="189" t="n">
        <v>107</v>
      </c>
      <c r="N114" s="21" t="n"/>
      <c r="U114" s="35" t="n"/>
      <c r="AX114" s="101" t="n"/>
      <c r="AZ114" s="21" t="n"/>
    </row>
    <row r="115">
      <c r="M115" s="34" t="n">
        <v>108</v>
      </c>
      <c r="N115" s="21" t="n"/>
      <c r="U115" s="35" t="n"/>
      <c r="AX115" s="101" t="n"/>
      <c r="AZ115" s="21" t="n"/>
    </row>
    <row r="116">
      <c r="M116" s="189" t="n">
        <v>109</v>
      </c>
      <c r="N116" s="21" t="n">
        <v>2019</v>
      </c>
      <c r="O116" s="192">
        <f t="array" ref="O116">IF(C27="AB",'AB Transfer S2'!J72:P80,(IF(C27="BC",'BC Transfer S2'!J72:P80,(IF(C27="MB",'MB Transfer S2'!J72:P80,(IF(C27="NB",'NB Transfer S2'!J72:P80,IF(C27="NL",'NL Transfer S2'!J72:P80,IF(C27="NT",'NT Transfer S2'!J72:P80,IF(C27="NS",'NS Transfer S2'!J72:P80,IF(C27="NU",'NU Transfer S2'!J72:P80,(IF(C27="ON",'ON Transfer S2'!J72:P80,(IF(C27="PE",'PE Transfer S2'!J72:P80,(IF(C27="SK",'SK Transfer S2'!J72:P80,(IF(C27="YT",'YT Transfer S2'!J72:P80)))))))))))))))))))</f>
        <v/>
      </c>
      <c r="U116" s="35" t="n"/>
      <c r="AX116" s="101" t="n"/>
      <c r="AZ116" s="21" t="n"/>
    </row>
    <row r="117" ht="15.75" customHeight="1" thickBot="1">
      <c r="M117" s="189" t="n">
        <v>110</v>
      </c>
      <c r="N117" s="21" t="n"/>
      <c r="O117" s="41" t="n"/>
      <c r="P117" s="41" t="n"/>
      <c r="Q117" s="41" t="n"/>
      <c r="R117" s="41" t="n"/>
      <c r="S117" s="188" t="n"/>
      <c r="T117" s="41" t="n"/>
      <c r="U117" s="191" t="n"/>
      <c r="AX117" s="101" t="n"/>
      <c r="AZ117" s="21" t="n"/>
    </row>
    <row r="118">
      <c r="M118" s="189" t="n">
        <v>111</v>
      </c>
      <c r="N118" s="21" t="n"/>
      <c r="U118" s="35" t="n"/>
      <c r="AX118" s="101" t="n"/>
      <c r="AZ118" s="21" t="n"/>
    </row>
    <row r="119">
      <c r="M119" s="189" t="n">
        <v>112</v>
      </c>
      <c r="N119" s="21" t="n"/>
      <c r="U119" s="35" t="n"/>
      <c r="AW119" t="inlineStr">
        <is>
          <t>2021_AB_Line 59020</t>
        </is>
      </c>
      <c r="AX119" s="101">
        <f>'AB Transfer S2'!M39</f>
        <v/>
      </c>
      <c r="AY119" s="101">
        <f>'AB Transfer S2'!P39</f>
        <v/>
      </c>
      <c r="AZ119" s="21" t="n"/>
    </row>
    <row r="120">
      <c r="M120" s="189" t="n">
        <v>113</v>
      </c>
      <c r="N120" s="21" t="n"/>
      <c r="U120" s="35" t="n"/>
      <c r="AW120" t="inlineStr">
        <is>
          <t>2021_AB_Line 59050</t>
        </is>
      </c>
      <c r="AX120" s="101">
        <f>'AB Transfer S2'!M40</f>
        <v/>
      </c>
      <c r="AY120" s="101">
        <f>'AB Transfer S2'!P40</f>
        <v/>
      </c>
      <c r="AZ120" s="21" t="n"/>
    </row>
    <row r="121">
      <c r="M121" s="189" t="n">
        <v>114</v>
      </c>
      <c r="N121" s="21" t="n"/>
      <c r="U121" s="35" t="n"/>
      <c r="AW121" t="inlineStr">
        <is>
          <t>2021_AB_Line 59070</t>
        </is>
      </c>
      <c r="AX121" s="101">
        <f>'AB Transfer S2'!M41</f>
        <v/>
      </c>
      <c r="AY121" s="101">
        <f>'AB Transfer S2'!P41</f>
        <v/>
      </c>
      <c r="AZ121" s="21" t="n"/>
    </row>
    <row r="122">
      <c r="M122" s="189" t="n">
        <v>115</v>
      </c>
      <c r="N122" s="21" t="n"/>
      <c r="U122" s="35" t="n"/>
      <c r="AX122" s="101" t="n"/>
      <c r="AZ122" s="21" t="n"/>
    </row>
    <row r="123">
      <c r="M123" s="189" t="n">
        <v>116</v>
      </c>
      <c r="N123" s="21" t="n"/>
      <c r="U123" s="35" t="n"/>
      <c r="AX123" s="101" t="n"/>
      <c r="AZ123" s="21" t="n"/>
    </row>
    <row r="124">
      <c r="M124" s="189" t="n">
        <v>117</v>
      </c>
      <c r="N124" s="21" t="n"/>
      <c r="U124" s="35" t="n"/>
      <c r="AX124" s="101" t="n"/>
      <c r="AZ124" s="21" t="n"/>
    </row>
    <row r="125">
      <c r="M125" s="189" t="n">
        <v>118</v>
      </c>
      <c r="N125" s="21" t="n"/>
      <c r="U125" s="35" t="n"/>
      <c r="AX125" s="101" t="n"/>
      <c r="AZ125" s="21" t="n"/>
    </row>
    <row r="126">
      <c r="M126" s="189" t="n">
        <v>119</v>
      </c>
      <c r="N126" s="21" t="n"/>
      <c r="U126" s="35" t="n"/>
      <c r="AX126" s="101" t="n"/>
      <c r="AZ126" s="21" t="n"/>
    </row>
    <row r="127">
      <c r="M127" s="189" t="n">
        <v>120</v>
      </c>
      <c r="N127" s="21" t="n"/>
      <c r="U127" s="35" t="n"/>
      <c r="AW127" t="inlineStr">
        <is>
          <t>2020_AB_Line 59020</t>
        </is>
      </c>
      <c r="AX127" s="101">
        <f>'AB Transfer S2'!E74</f>
        <v/>
      </c>
      <c r="AY127">
        <f>'AB Transfer S2'!H74</f>
        <v/>
      </c>
      <c r="AZ127" s="21" t="n"/>
    </row>
    <row r="128">
      <c r="M128" s="189" t="n">
        <v>121</v>
      </c>
      <c r="N128" s="21" t="n"/>
      <c r="U128" s="35" t="n"/>
      <c r="AW128" t="inlineStr">
        <is>
          <t>2020_AB_Line 59050</t>
        </is>
      </c>
      <c r="AX128" s="101">
        <f>'AB Transfer S2'!E75</f>
        <v/>
      </c>
      <c r="AY128">
        <f>'AB Transfer S2'!H75</f>
        <v/>
      </c>
      <c r="AZ128" s="21" t="n"/>
    </row>
    <row r="129">
      <c r="M129" s="34" t="n">
        <v>122</v>
      </c>
      <c r="N129" s="21" t="n"/>
      <c r="U129" s="35" t="n"/>
      <c r="AW129" t="inlineStr">
        <is>
          <t>2020_AB_Line 59070</t>
        </is>
      </c>
      <c r="AX129" s="101">
        <f>'AB Transfer S2'!E76</f>
        <v/>
      </c>
      <c r="AY129">
        <f>'AB Transfer S2'!H76</f>
        <v/>
      </c>
      <c r="AZ129" s="21" t="n"/>
    </row>
    <row r="130">
      <c r="M130" s="189" t="n">
        <v>123</v>
      </c>
      <c r="N130" s="21" t="n">
        <v>2018</v>
      </c>
      <c r="O130" s="192">
        <f t="array" ref="O130">IF(C28="AB",'AB Transfer S2'!B107:H115,(IF(C28="BC",'BC Transfer S2'!B107:H115,(IF(C28="MB",'MB Transfer S2'!B107:H115,(IF(C28="NB",'NB Transfer S2'!B107:H115,IF(C28="NL",'NL Transfer S2'!B107:H115,IF(C28="NT",'NT Transfer S2'!B107:H115,IF(C28="NS",'NS Transfer S2'!B107:H115,IF(C28="NU",'NU Transfer S2'!B107:H115,(IF(C28="ON",'ON Transfer S2'!B107:H115,(IF(C28="PE",'PE Transfer S2'!B107:H115,(IF(C28="SK",'SK Transfer S2'!B107:H115,(IF(C28="YT",'YT Transfer S2'!B107:H115)))))))))))))))))))</f>
        <v/>
      </c>
      <c r="U130" s="35" t="n"/>
      <c r="AX130" s="101" t="n"/>
      <c r="AZ130" s="21" t="n"/>
    </row>
    <row r="131" ht="15.75" customHeight="1" thickBot="1">
      <c r="M131" s="189" t="n">
        <v>124</v>
      </c>
      <c r="N131" s="21" t="n"/>
      <c r="O131" s="41" t="n"/>
      <c r="P131" s="41" t="n"/>
      <c r="Q131" s="41" t="n"/>
      <c r="R131" s="41" t="n"/>
      <c r="S131" s="188" t="n"/>
      <c r="T131" s="41" t="n"/>
      <c r="U131" s="191" t="n"/>
      <c r="AX131" s="101" t="n"/>
      <c r="AZ131" s="21" t="n"/>
    </row>
    <row r="132">
      <c r="M132" s="189" t="n">
        <v>125</v>
      </c>
      <c r="N132" s="21" t="n"/>
      <c r="U132" s="35" t="n"/>
      <c r="AX132" s="101" t="n"/>
      <c r="AZ132" s="21" t="n"/>
    </row>
    <row r="133">
      <c r="M133" s="189" t="n">
        <v>126</v>
      </c>
      <c r="N133" s="21" t="n"/>
      <c r="U133" s="35" t="n"/>
      <c r="AX133" s="101" t="n"/>
      <c r="AZ133" s="21" t="n"/>
    </row>
    <row r="134">
      <c r="M134" s="189" t="n">
        <v>127</v>
      </c>
      <c r="N134" s="21" t="n"/>
      <c r="U134" s="35" t="n"/>
      <c r="AX134" s="101" t="n"/>
      <c r="AZ134" s="21" t="n"/>
    </row>
    <row r="135">
      <c r="M135" s="189" t="n">
        <v>128</v>
      </c>
      <c r="N135" s="21" t="n"/>
      <c r="U135" s="35" t="n"/>
      <c r="AW135" t="inlineStr">
        <is>
          <t>2019_AB_Line 59020</t>
        </is>
      </c>
      <c r="AX135" s="101">
        <f>'AB Transfer S2'!M74</f>
        <v/>
      </c>
      <c r="AY135" s="101">
        <f>'AB Transfer S2'!P74</f>
        <v/>
      </c>
      <c r="AZ135" s="21" t="n"/>
    </row>
    <row r="136">
      <c r="M136" s="189" t="n">
        <v>129</v>
      </c>
      <c r="N136" s="21" t="n"/>
      <c r="U136" s="35" t="n"/>
      <c r="AW136" t="inlineStr">
        <is>
          <t>2019_AB_Line 59050</t>
        </is>
      </c>
      <c r="AX136" s="101">
        <f>'AB Transfer S2'!M75</f>
        <v/>
      </c>
      <c r="AY136" s="101">
        <f>'AB Transfer S2'!P75</f>
        <v/>
      </c>
      <c r="AZ136" s="21" t="n"/>
    </row>
    <row r="137">
      <c r="M137" s="189" t="n">
        <v>130</v>
      </c>
      <c r="N137" s="21" t="n"/>
      <c r="U137" s="35" t="n"/>
      <c r="AW137" t="inlineStr">
        <is>
          <t>2019_AB_Line 59070</t>
        </is>
      </c>
      <c r="AX137" s="101">
        <f>'AB Transfer S2'!M76</f>
        <v/>
      </c>
      <c r="AY137" s="101">
        <f>'AB Transfer S2'!P76</f>
        <v/>
      </c>
      <c r="AZ137" s="21" t="n"/>
    </row>
    <row r="138">
      <c r="M138" s="189" t="n">
        <v>131</v>
      </c>
      <c r="N138" s="21" t="n"/>
      <c r="U138" s="35" t="n"/>
      <c r="AW138" t="inlineStr">
        <is>
          <t>2019_AB_Line 59090</t>
        </is>
      </c>
      <c r="AX138" s="101">
        <f>'AB Transfer S2'!M77</f>
        <v/>
      </c>
      <c r="AY138" s="101">
        <f>'AB Transfer S2'!P77</f>
        <v/>
      </c>
      <c r="AZ138" s="21" t="n"/>
    </row>
    <row r="139">
      <c r="M139" s="189" t="n">
        <v>132</v>
      </c>
      <c r="N139" s="21" t="n"/>
      <c r="U139" s="35" t="n"/>
      <c r="AX139" s="101" t="n"/>
      <c r="AZ139" s="21" t="n"/>
    </row>
    <row r="140">
      <c r="M140" s="189" t="n">
        <v>133</v>
      </c>
      <c r="N140" s="21" t="n"/>
      <c r="U140" s="35" t="n"/>
      <c r="AX140" s="101" t="n"/>
      <c r="AZ140" s="21" t="n"/>
    </row>
    <row r="141">
      <c r="M141" s="189" t="n">
        <v>134</v>
      </c>
      <c r="N141" s="21" t="n"/>
      <c r="U141" s="35" t="n"/>
      <c r="AX141" s="101" t="n"/>
      <c r="AZ141" s="21" t="n"/>
    </row>
    <row r="142">
      <c r="M142" s="189" t="n">
        <v>135</v>
      </c>
      <c r="N142" s="21" t="n"/>
      <c r="U142" s="35" t="n"/>
      <c r="AX142" s="101" t="n"/>
      <c r="AZ142" s="21" t="n"/>
    </row>
    <row r="143">
      <c r="M143" s="34" t="n">
        <v>136</v>
      </c>
      <c r="N143" s="21" t="n"/>
      <c r="U143" s="35" t="n"/>
      <c r="AW143" t="inlineStr">
        <is>
          <t>2018_AB_Line 59020</t>
        </is>
      </c>
      <c r="AX143" s="101">
        <f>'AB Transfer S2'!E109</f>
        <v/>
      </c>
      <c r="AY143" s="101">
        <f>'AB Transfer S2'!H109</f>
        <v/>
      </c>
      <c r="AZ143" s="21" t="n"/>
    </row>
    <row r="144">
      <c r="M144" s="189" t="n">
        <v>137</v>
      </c>
      <c r="N144" s="21" t="n">
        <v>2017</v>
      </c>
      <c r="O144" s="192">
        <f t="array" ref="O144">IF(C29="AB",'AB Transfer S2'!J107:P115,(IF(C29="BC",'BC Transfer S2'!J107:P115,(IF(C29="MB",'MB Transfer S2'!J107:P115,(IF(C29="NB",'NB Transfer S2'!J107:P115,IF(C29="NL",'NL Transfer S2'!J107:P115,IF(C29="NT",'NT Transfer S2'!J107:P115,IF(C29="NS",'NS Transfer S2'!J107:P115,IF(C29="NU",'NU Transfer S2'!J107:P115,(IF(C29="ON",'ON Transfer S2'!J107:P115,(IF(C29="PE",'PE Transfer S2'!J107:P115,(IF(C29="SK",'SK Transfer S2'!J107:P115,(IF(C29="YT",'YT Transfer S2'!J107:P115)))))))))))))))))))</f>
        <v/>
      </c>
      <c r="U144" s="35" t="n"/>
      <c r="AW144" t="inlineStr">
        <is>
          <t>2018_AB_Line 59050</t>
        </is>
      </c>
      <c r="AX144" s="101">
        <f>'AB Transfer S2'!E110</f>
        <v/>
      </c>
      <c r="AY144" s="101">
        <f>'AB Transfer S2'!H110</f>
        <v/>
      </c>
      <c r="AZ144" s="21" t="n"/>
    </row>
    <row r="145" ht="15.75" customHeight="1" thickBot="1">
      <c r="M145" s="189" t="n">
        <v>138</v>
      </c>
      <c r="N145" s="21" t="n"/>
      <c r="O145" s="41" t="n"/>
      <c r="P145" s="41" t="n"/>
      <c r="Q145" s="41" t="n"/>
      <c r="R145" s="41" t="n"/>
      <c r="S145" s="188" t="n"/>
      <c r="T145" s="41" t="n"/>
      <c r="U145" s="191" t="n"/>
      <c r="AW145" t="inlineStr">
        <is>
          <t>2018_AB_Line 59070</t>
        </is>
      </c>
      <c r="AX145" s="101">
        <f>'AB Transfer S2'!E111</f>
        <v/>
      </c>
      <c r="AY145" s="101">
        <f>'AB Transfer S2'!H111</f>
        <v/>
      </c>
      <c r="AZ145" s="21" t="n"/>
    </row>
    <row r="146">
      <c r="M146" s="189" t="n">
        <v>139</v>
      </c>
      <c r="N146" s="21" t="n"/>
      <c r="U146" s="35" t="n"/>
      <c r="AW146" t="inlineStr">
        <is>
          <t>2018_AB_Line 59090</t>
        </is>
      </c>
      <c r="AX146" s="101">
        <f>'AB Transfer S2'!E112</f>
        <v/>
      </c>
      <c r="AY146" s="101">
        <f>'AB Transfer S2'!H112</f>
        <v/>
      </c>
      <c r="AZ146" s="21" t="n"/>
    </row>
    <row r="147">
      <c r="M147" s="189" t="n">
        <v>140</v>
      </c>
      <c r="N147" s="21" t="n"/>
      <c r="U147" s="35" t="n"/>
      <c r="AX147" s="101" t="n"/>
      <c r="AZ147" s="21" t="n"/>
    </row>
    <row r="148">
      <c r="M148" s="189" t="n">
        <v>141</v>
      </c>
      <c r="N148" s="21" t="n"/>
      <c r="U148" s="35" t="n"/>
      <c r="AX148" s="101" t="n"/>
      <c r="AZ148" s="21" t="n"/>
    </row>
    <row r="149">
      <c r="M149" s="189" t="n">
        <v>142</v>
      </c>
      <c r="N149" s="21" t="n"/>
      <c r="U149" s="35" t="n"/>
      <c r="AX149" s="101" t="n"/>
      <c r="AZ149" s="21" t="n"/>
    </row>
    <row r="150">
      <c r="M150" s="189" t="n">
        <v>143</v>
      </c>
      <c r="N150" s="21" t="n"/>
      <c r="U150" s="35" t="n"/>
      <c r="AX150" s="101" t="n"/>
      <c r="AZ150" s="21" t="n"/>
    </row>
    <row r="151">
      <c r="M151" s="189" t="n">
        <v>144</v>
      </c>
      <c r="N151" s="21" t="n"/>
      <c r="U151" s="35" t="n"/>
      <c r="AW151" t="inlineStr">
        <is>
          <t>2017_AB_Line 59020</t>
        </is>
      </c>
      <c r="AX151" s="101">
        <f>'AB Transfer S2'!M109</f>
        <v/>
      </c>
      <c r="AY151">
        <f>'AB Transfer S2'!P109</f>
        <v/>
      </c>
      <c r="AZ151" s="21" t="n"/>
    </row>
    <row r="152">
      <c r="M152" s="189" t="n">
        <v>145</v>
      </c>
      <c r="N152" s="21" t="n"/>
      <c r="U152" s="35" t="n"/>
      <c r="AW152" t="inlineStr">
        <is>
          <t>2017_AB_Line 59050</t>
        </is>
      </c>
      <c r="AX152" s="101">
        <f>'AB Transfer S2'!M110</f>
        <v/>
      </c>
      <c r="AY152">
        <f>'AB Transfer S2'!P110</f>
        <v/>
      </c>
      <c r="AZ152" s="21" t="n"/>
    </row>
    <row r="153">
      <c r="M153" s="189" t="n">
        <v>146</v>
      </c>
      <c r="N153" s="21" t="n"/>
      <c r="U153" s="35" t="n"/>
      <c r="AW153" t="inlineStr">
        <is>
          <t>2017_AB_Line 59070</t>
        </is>
      </c>
      <c r="AX153" s="101">
        <f>'AB Transfer S2'!M111</f>
        <v/>
      </c>
      <c r="AY153">
        <f>'AB Transfer S2'!P111</f>
        <v/>
      </c>
      <c r="AZ153" s="21" t="n"/>
    </row>
    <row r="154">
      <c r="M154" s="189" t="n">
        <v>147</v>
      </c>
      <c r="N154" s="21" t="n"/>
      <c r="U154" s="35" t="n"/>
      <c r="AW154" t="inlineStr">
        <is>
          <t>2017_AB_Line 59090</t>
        </is>
      </c>
      <c r="AX154" s="101">
        <f>'AB Transfer S2'!M112</f>
        <v/>
      </c>
      <c r="AY154">
        <f>'AB Transfer S2'!P112</f>
        <v/>
      </c>
      <c r="AZ154" s="21" t="n"/>
    </row>
    <row r="155">
      <c r="M155" s="189" t="n">
        <v>148</v>
      </c>
      <c r="N155" s="21" t="n"/>
      <c r="U155" s="35" t="n"/>
      <c r="AX155" s="101" t="n"/>
      <c r="AZ155" s="21" t="n"/>
    </row>
    <row r="156">
      <c r="M156" s="189" t="n">
        <v>149</v>
      </c>
      <c r="N156" s="21" t="n"/>
      <c r="U156" s="35" t="n"/>
      <c r="AX156" s="101" t="n"/>
      <c r="AZ156" s="21" t="n"/>
    </row>
    <row r="157">
      <c r="M157" s="34" t="n">
        <v>150</v>
      </c>
      <c r="N157" s="21" t="n"/>
      <c r="U157" s="35" t="n"/>
      <c r="AX157" s="101" t="n"/>
      <c r="AZ157" s="21" t="n"/>
    </row>
    <row r="158">
      <c r="M158" s="189" t="n">
        <v>151</v>
      </c>
      <c r="N158" s="21" t="n">
        <v>2016</v>
      </c>
      <c r="O158" s="192">
        <f t="array" ref="O158">IF(C30="AB",'AB Transfer S2'!B142:H149,(IF(C30="BC",'BC Transfer S2'!B142:H149,(IF(C30="MB",'MB Transfer S2'!B142:H149,(IF(C30="NB",'NB Transfer S2'!B142:H149,IF(C30="NL",'NL Transfer S2'!B142:H149,IF(C30="NT",'NT Transfer S2'!B142:H149,IF(C30="NS",'NS Transfer S2'!B142:H149,IF(C30="NU",'NU Transfer S2'!B142:H149,(IF(C30="ON",'ON Transfer S2'!B142:H149,(IF(C30="PE",'PE Transfer S2'!B142:H149,(IF(C30="SK",'SK Transfer S2'!B142:H150,(IF(C30="YT",'YT Transfer S2'!B142:H149)))))))))))))))))))</f>
        <v/>
      </c>
      <c r="U158" s="35" t="n"/>
      <c r="AX158" s="101" t="n"/>
      <c r="AZ158" s="21" t="n"/>
    </row>
    <row r="159" ht="15.75" customHeight="1" thickBot="1">
      <c r="M159" s="189" t="n">
        <v>152</v>
      </c>
      <c r="N159" s="21" t="n"/>
      <c r="O159" s="41" t="n"/>
      <c r="P159" s="41" t="n"/>
      <c r="Q159" s="41" t="n"/>
      <c r="R159" s="41" t="n"/>
      <c r="S159" s="188" t="n"/>
      <c r="T159" s="41" t="n"/>
      <c r="U159" s="191" t="n"/>
      <c r="AW159" t="inlineStr">
        <is>
          <t>2016_AB_Line 59020</t>
        </is>
      </c>
      <c r="AX159" s="101">
        <f>'AB Transfer S2'!E144</f>
        <v/>
      </c>
      <c r="AY159">
        <f>'AB Transfer S2'!H144</f>
        <v/>
      </c>
      <c r="AZ159" s="21" t="n"/>
    </row>
    <row r="160">
      <c r="M160" s="189" t="n">
        <v>153</v>
      </c>
      <c r="N160" s="21" t="n"/>
      <c r="U160" s="35" t="n"/>
      <c r="AW160" t="inlineStr">
        <is>
          <t>2016_AB_Line 59050</t>
        </is>
      </c>
      <c r="AX160" s="101">
        <f>'AB Transfer S2'!E145</f>
        <v/>
      </c>
      <c r="AY160">
        <f>'AB Transfer S2'!H145</f>
        <v/>
      </c>
      <c r="AZ160" s="21" t="n"/>
    </row>
    <row r="161">
      <c r="M161" s="189" t="n">
        <v>154</v>
      </c>
      <c r="N161" s="21" t="n"/>
      <c r="U161" s="35" t="n"/>
      <c r="AW161" t="inlineStr">
        <is>
          <t>2016_AB_Line 59070</t>
        </is>
      </c>
      <c r="AX161" s="101">
        <f>'AB Transfer S2'!E146</f>
        <v/>
      </c>
      <c r="AY161">
        <f>'AB Transfer S2'!H146</f>
        <v/>
      </c>
      <c r="AZ161" s="21" t="n"/>
    </row>
    <row r="162">
      <c r="M162" s="189" t="n">
        <v>155</v>
      </c>
      <c r="N162" s="21" t="n"/>
      <c r="U162" s="35" t="n"/>
      <c r="AW162" t="inlineStr">
        <is>
          <t>2016_AB_Line 59090</t>
        </is>
      </c>
      <c r="AX162" s="101">
        <f>'AB Transfer S2'!E147</f>
        <v/>
      </c>
      <c r="AY162">
        <f>'AB Transfer S2'!H147</f>
        <v/>
      </c>
      <c r="AZ162" s="21" t="n"/>
    </row>
    <row r="163">
      <c r="M163" s="189" t="n">
        <v>156</v>
      </c>
      <c r="N163" s="21" t="n"/>
      <c r="U163" s="35" t="n"/>
      <c r="AX163" s="101" t="n"/>
      <c r="AZ163" s="21" t="n"/>
    </row>
    <row r="164">
      <c r="M164" s="189" t="n">
        <v>157</v>
      </c>
      <c r="N164" s="21" t="n"/>
      <c r="U164" s="35" t="n"/>
      <c r="AX164" s="101" t="n"/>
      <c r="AZ164" s="21" t="n"/>
    </row>
    <row r="165">
      <c r="M165" s="189" t="n">
        <v>158</v>
      </c>
      <c r="N165" s="21" t="n"/>
      <c r="U165" s="35" t="n"/>
      <c r="AX165" s="101" t="n"/>
      <c r="AZ165" s="21" t="n"/>
    </row>
    <row r="166">
      <c r="M166" s="189" t="n">
        <v>159</v>
      </c>
      <c r="N166" s="21" t="n"/>
      <c r="U166" s="35" t="n"/>
      <c r="AX166" s="101" t="n"/>
      <c r="AZ166" s="21" t="n"/>
    </row>
    <row r="167">
      <c r="M167" s="189" t="n">
        <v>160</v>
      </c>
      <c r="N167" s="21" t="n"/>
      <c r="U167" s="35" t="n"/>
      <c r="AW167" t="inlineStr">
        <is>
          <t>2015_AB_Line 59020</t>
        </is>
      </c>
      <c r="AX167" s="101">
        <f>'AB Transfer S2'!M144</f>
        <v/>
      </c>
      <c r="AY167">
        <f>'AB Transfer S2'!P144</f>
        <v/>
      </c>
      <c r="AZ167" s="21" t="n"/>
    </row>
    <row r="168">
      <c r="M168" s="189" t="n">
        <v>161</v>
      </c>
      <c r="N168" s="21" t="n"/>
      <c r="U168" s="35" t="n"/>
      <c r="AW168" t="inlineStr">
        <is>
          <t>2015_AB_Line 59050</t>
        </is>
      </c>
      <c r="AX168" s="101">
        <f>'AB Transfer S2'!M145</f>
        <v/>
      </c>
      <c r="AY168">
        <f>'AB Transfer S2'!P145</f>
        <v/>
      </c>
      <c r="AZ168" s="21" t="n"/>
    </row>
    <row r="169">
      <c r="M169" s="189" t="n">
        <v>162</v>
      </c>
      <c r="N169" s="21" t="n"/>
      <c r="U169" s="35" t="n"/>
      <c r="AW169" t="inlineStr">
        <is>
          <t>2015_AB_Line 59070</t>
        </is>
      </c>
      <c r="AX169" s="101">
        <f>'AB Transfer S2'!M146</f>
        <v/>
      </c>
      <c r="AY169">
        <f>'AB Transfer S2'!P146</f>
        <v/>
      </c>
      <c r="AZ169" s="21" t="n"/>
    </row>
    <row r="170">
      <c r="M170" s="189" t="n">
        <v>163</v>
      </c>
      <c r="N170" s="21" t="n"/>
      <c r="U170" s="35" t="n"/>
      <c r="AW170" t="inlineStr">
        <is>
          <t>2015_AB_Line 59090</t>
        </is>
      </c>
      <c r="AX170" s="101">
        <f>'AB Transfer S2'!M147</f>
        <v/>
      </c>
      <c r="AY170">
        <f>'AB Transfer S2'!P147</f>
        <v/>
      </c>
      <c r="AZ170" s="21" t="n"/>
    </row>
    <row r="171">
      <c r="M171" s="34" t="n">
        <v>164</v>
      </c>
      <c r="N171" s="21" t="n"/>
      <c r="U171" s="35" t="n"/>
      <c r="AX171" s="101" t="n"/>
      <c r="AZ171" s="21" t="n"/>
    </row>
    <row r="172">
      <c r="M172" s="189" t="n">
        <v>165</v>
      </c>
      <c r="N172" s="21" t="n">
        <v>2015</v>
      </c>
      <c r="O172" s="192">
        <f t="array" ref="O172">IF(C31="AB",'AB Transfer S2'!J142:P149,(IF(C31="BC",'BC Transfer S2'!J142:P149,(IF(C31="MB",'MB Transfer S2'!J142:P149,(IF(C31="NB",'NB Transfer S2'!J142:P149,IF(C31="NL",'NL Transfer S2'!J142:P149,IF(C31="NT",'NT Transfer S2'!J142:P149,IF(C31="NS",'NS Transfer S2'!J142:P149,IF(C31="NU",'NU Transfer S2'!J142:P149,(IF(C31="ON",'ON Transfer S2'!J142:P149,(IF(C31="PE",'PE Transfer S2'!J142:P149,(IF(C31="SK",'SK Transfer S2'!J142:P150,(IF(C31="YT",'YT Transfer S2'!J142:P149)))))))))))))))))))</f>
        <v/>
      </c>
      <c r="U172" s="35" t="n"/>
      <c r="AX172" s="101" t="n"/>
      <c r="AZ172" s="21" t="n"/>
    </row>
    <row r="173" ht="15.75" customHeight="1" thickBot="1">
      <c r="M173" s="189" t="n">
        <v>166</v>
      </c>
      <c r="N173" s="21" t="n"/>
      <c r="O173" s="41" t="n"/>
      <c r="P173" s="41" t="n"/>
      <c r="Q173" s="41" t="n"/>
      <c r="R173" s="41" t="n"/>
      <c r="S173" s="188" t="n"/>
      <c r="T173" s="41" t="n"/>
      <c r="U173" s="191" t="n"/>
      <c r="AX173" s="101" t="n"/>
      <c r="AZ173" s="21" t="n"/>
    </row>
    <row r="174">
      <c r="M174" s="189" t="n">
        <v>167</v>
      </c>
      <c r="N174" s="21" t="n"/>
      <c r="U174" s="35" t="n"/>
      <c r="AX174" s="101" t="n"/>
      <c r="AZ174" s="21" t="n"/>
    </row>
    <row r="175">
      <c r="M175" s="189" t="n">
        <v>168</v>
      </c>
      <c r="N175" s="21" t="n"/>
      <c r="U175" s="35" t="n"/>
      <c r="AW175" t="inlineStr">
        <is>
          <t>2014_AB_Line 59020</t>
        </is>
      </c>
      <c r="AX175" s="101">
        <f>'AB Transfer S2'!E178</f>
        <v/>
      </c>
      <c r="AY175">
        <f>'AB Transfer S2'!H178</f>
        <v/>
      </c>
      <c r="AZ175" s="21" t="n"/>
    </row>
    <row r="176">
      <c r="M176" s="189" t="n">
        <v>169</v>
      </c>
      <c r="N176" s="21" t="n"/>
      <c r="U176" s="35" t="n"/>
      <c r="AW176" t="inlineStr">
        <is>
          <t>2014_AB_Line 59050</t>
        </is>
      </c>
      <c r="AX176" s="101">
        <f>'AB Transfer S2'!E179</f>
        <v/>
      </c>
      <c r="AY176">
        <f>'AB Transfer S2'!H179</f>
        <v/>
      </c>
      <c r="AZ176" s="21" t="n"/>
    </row>
    <row r="177">
      <c r="M177" s="189" t="n">
        <v>170</v>
      </c>
      <c r="N177" s="21" t="n"/>
      <c r="U177" s="35" t="n"/>
      <c r="AW177" t="inlineStr">
        <is>
          <t>2014_AB_Line 59070</t>
        </is>
      </c>
      <c r="AX177" s="101">
        <f>'AB Transfer S2'!E180</f>
        <v/>
      </c>
      <c r="AY177">
        <f>'AB Transfer S2'!H180</f>
        <v/>
      </c>
      <c r="AZ177" s="21" t="n"/>
    </row>
    <row r="178">
      <c r="M178" s="189" t="n">
        <v>171</v>
      </c>
      <c r="N178" s="21" t="n"/>
      <c r="U178" s="35" t="n"/>
      <c r="AW178" t="inlineStr">
        <is>
          <t>2014_AB_Line 59090</t>
        </is>
      </c>
      <c r="AX178" s="101">
        <f>'AB Transfer S2'!E181</f>
        <v/>
      </c>
      <c r="AY178">
        <f>'AB Transfer S2'!H181</f>
        <v/>
      </c>
      <c r="AZ178" s="21" t="n"/>
    </row>
    <row r="179">
      <c r="M179" s="189" t="n">
        <v>172</v>
      </c>
      <c r="N179" s="21" t="n"/>
      <c r="U179" s="35" t="n"/>
      <c r="AX179" s="101" t="n"/>
    </row>
    <row r="180">
      <c r="M180" s="189" t="n">
        <v>173</v>
      </c>
      <c r="N180" s="21" t="n"/>
      <c r="U180" s="35" t="n"/>
      <c r="AX180" s="101" t="n"/>
    </row>
    <row r="181">
      <c r="M181" s="189" t="n">
        <v>174</v>
      </c>
      <c r="N181" s="21" t="n"/>
      <c r="U181" s="35" t="n"/>
      <c r="AX181" s="101" t="n"/>
    </row>
    <row r="182">
      <c r="M182" s="189" t="n">
        <v>175</v>
      </c>
      <c r="N182" s="21" t="n"/>
      <c r="U182" s="35" t="n"/>
      <c r="AX182" s="101" t="n"/>
    </row>
    <row r="183">
      <c r="M183" s="189" t="n">
        <v>176</v>
      </c>
      <c r="N183" s="21" t="n"/>
      <c r="U183" s="35" t="n"/>
      <c r="AW183" t="inlineStr">
        <is>
          <t>2023_BC_Line 59020</t>
        </is>
      </c>
      <c r="AX183" s="101">
        <f>'BC Transfer S2'!M4</f>
        <v/>
      </c>
      <c r="AY183">
        <f>'BC Transfer S2'!P4</f>
        <v/>
      </c>
    </row>
    <row r="184">
      <c r="M184" s="189" t="n">
        <v>177</v>
      </c>
      <c r="N184" s="21" t="n"/>
      <c r="U184" s="35" t="n"/>
      <c r="AW184" t="inlineStr">
        <is>
          <t>2023_BC_Line 59050</t>
        </is>
      </c>
      <c r="AX184" s="101">
        <f>'BC Transfer S2'!M5</f>
        <v/>
      </c>
      <c r="AY184">
        <f>'BC Transfer S2'!P5</f>
        <v/>
      </c>
    </row>
    <row r="185">
      <c r="M185" s="34" t="n">
        <v>178</v>
      </c>
      <c r="N185" s="21" t="n"/>
      <c r="U185" s="35" t="n"/>
      <c r="AW185" t="inlineStr">
        <is>
          <t>2023_BC_Line 59070</t>
        </is>
      </c>
      <c r="AX185" s="101">
        <f>'BC Transfer S2'!M6</f>
        <v/>
      </c>
      <c r="AY185">
        <f>'BC Transfer S2'!P6</f>
        <v/>
      </c>
    </row>
    <row r="186">
      <c r="M186" s="189" t="n">
        <v>179</v>
      </c>
      <c r="N186" s="21" t="n">
        <v>2014</v>
      </c>
      <c r="O186" s="192">
        <f t="array" ref="O186">IF(C32="AB",'AB Transfer S2'!B176:H183,(IF(C32="BC",'BC Transfer S2'!B176:H183,(IF(C32="MB",'MB Transfer S2'!B176:H183,(IF(C32="NB",'NB Transfer S2'!B176:H183,IF(C32="NL",'NL Transfer S2'!B176:H183,IF(C32="NT",'NT Transfer S2'!B176:H183,IF(C32="NS",'NS Transfer S2'!B176:H183,IF(C32="NU",'NU Transfer S2'!B176:H183,(IF(C32="ON",'ON Transfer S2'!B176:H183,(IF(C32="PE",'PE Transfer S2'!B176:H183,(IF(C32="SK",'SK Transfer S2'!B178:P186,(IF(C32="YT",'YT Transfer S2'!B176:H183)))))))))))))))))))</f>
        <v/>
      </c>
      <c r="U186" s="35" t="n"/>
      <c r="AW186" t="inlineStr">
        <is>
          <t>2023_BC_Line 59090</t>
        </is>
      </c>
      <c r="AX186" s="101">
        <f>'BC Transfer S2'!M7</f>
        <v/>
      </c>
      <c r="AY186">
        <f>'BC Transfer S2'!P7</f>
        <v/>
      </c>
    </row>
    <row r="187" ht="15.75" customHeight="1" thickBot="1">
      <c r="M187" s="189" t="n">
        <v>180</v>
      </c>
      <c r="O187" s="41" t="n"/>
      <c r="P187" s="41" t="n"/>
      <c r="Q187" s="41" t="n"/>
      <c r="R187" s="41" t="n"/>
      <c r="S187" s="188" t="n"/>
      <c r="T187" s="41" t="n"/>
      <c r="U187" s="191" t="n"/>
      <c r="AX187" s="101" t="n"/>
    </row>
    <row r="188">
      <c r="M188" s="189" t="n">
        <v>181</v>
      </c>
      <c r="U188" s="35" t="n"/>
      <c r="AX188" s="101" t="n"/>
    </row>
    <row r="189">
      <c r="M189" s="189" t="n">
        <v>182</v>
      </c>
      <c r="U189" s="35" t="n"/>
      <c r="AX189" s="101" t="n"/>
    </row>
    <row r="190">
      <c r="M190" s="189" t="n">
        <v>183</v>
      </c>
      <c r="U190" s="35" t="n"/>
      <c r="AX190" s="101" t="n"/>
    </row>
    <row r="191">
      <c r="M191" s="189" t="n">
        <v>184</v>
      </c>
      <c r="U191" s="35" t="n"/>
      <c r="AW191" t="inlineStr">
        <is>
          <t>2022_BC_Line 59020</t>
        </is>
      </c>
      <c r="AX191" s="101">
        <f>'BC Transfer S2'!E39</f>
        <v/>
      </c>
      <c r="AY191">
        <f>'BC Transfer S2'!H39</f>
        <v/>
      </c>
    </row>
    <row r="192">
      <c r="M192" s="189" t="n">
        <v>185</v>
      </c>
      <c r="U192" s="35" t="n"/>
      <c r="AW192" t="inlineStr">
        <is>
          <t>2022_BC_Line 59050</t>
        </is>
      </c>
      <c r="AX192" s="101">
        <f>'BC Transfer S2'!E40</f>
        <v/>
      </c>
      <c r="AY192">
        <f>'BC Transfer S2'!H40</f>
        <v/>
      </c>
    </row>
    <row r="193">
      <c r="M193" s="189" t="n">
        <v>186</v>
      </c>
      <c r="U193" s="35" t="n"/>
      <c r="AW193" t="inlineStr">
        <is>
          <t>2022_BC_Line 59070</t>
        </is>
      </c>
      <c r="AX193" s="101">
        <f>'BC Transfer S2'!E41</f>
        <v/>
      </c>
      <c r="AY193">
        <f>'BC Transfer S2'!H41</f>
        <v/>
      </c>
    </row>
    <row r="194">
      <c r="M194" s="189" t="n">
        <v>187</v>
      </c>
      <c r="U194" s="35" t="n"/>
      <c r="AW194" t="inlineStr">
        <is>
          <t>2022_BC_Line 59090</t>
        </is>
      </c>
      <c r="AX194" s="101">
        <f>'BC Transfer S2'!E42</f>
        <v/>
      </c>
      <c r="AY194">
        <f>'BC Transfer S2'!H42</f>
        <v/>
      </c>
    </row>
    <row r="195">
      <c r="M195" s="189" t="n">
        <v>188</v>
      </c>
      <c r="U195" s="35" t="n"/>
      <c r="AX195" s="101" t="n"/>
    </row>
    <row r="196">
      <c r="M196" s="189" t="n">
        <v>189</v>
      </c>
      <c r="U196" s="35" t="n"/>
      <c r="AX196" s="101" t="n"/>
    </row>
    <row r="197">
      <c r="M197" s="189" t="n">
        <v>190</v>
      </c>
      <c r="U197" s="35" t="n"/>
      <c r="AX197" s="101" t="n"/>
    </row>
    <row r="198">
      <c r="M198" s="189" t="n">
        <v>191</v>
      </c>
      <c r="U198" s="35" t="n"/>
      <c r="AX198" s="101" t="n"/>
    </row>
    <row r="199">
      <c r="M199" s="189" t="n">
        <v>192</v>
      </c>
      <c r="U199" s="35" t="n"/>
      <c r="AW199" t="inlineStr">
        <is>
          <t>2021_BC_Line 59020</t>
        </is>
      </c>
      <c r="AX199" s="101">
        <f>'BC Transfer S2'!M39</f>
        <v/>
      </c>
      <c r="AY199">
        <f>'BC Transfer S2'!P39</f>
        <v/>
      </c>
    </row>
    <row r="200" ht="15.75" customHeight="1" thickBot="1">
      <c r="M200" s="42" t="n">
        <v>193</v>
      </c>
      <c r="N200" s="41" t="n"/>
      <c r="O200" s="41" t="n"/>
      <c r="P200" s="41" t="n"/>
      <c r="Q200" s="41" t="n"/>
      <c r="R200" s="41" t="n"/>
      <c r="S200" s="188" t="n"/>
      <c r="T200" s="41" t="n"/>
      <c r="U200" s="191" t="n"/>
      <c r="AW200" t="inlineStr">
        <is>
          <t>2021_BC_Line 59050</t>
        </is>
      </c>
      <c r="AX200" s="101">
        <f>'BC Transfer S2'!M40</f>
        <v/>
      </c>
      <c r="AY200">
        <f>'BC Transfer S2'!P40</f>
        <v/>
      </c>
    </row>
    <row r="201">
      <c r="AW201" t="inlineStr">
        <is>
          <t>2021_BC_Line 59070</t>
        </is>
      </c>
      <c r="AX201" s="101">
        <f>'BC Transfer S2'!M41</f>
        <v/>
      </c>
      <c r="AY201">
        <f>'BC Transfer S2'!P41</f>
        <v/>
      </c>
    </row>
    <row r="202">
      <c r="AW202" t="inlineStr">
        <is>
          <t>2021_BC_Line 59090</t>
        </is>
      </c>
      <c r="AX202" s="101">
        <f>'BC Transfer S2'!M42</f>
        <v/>
      </c>
      <c r="AY202">
        <f>'BC Transfer S2'!P42</f>
        <v/>
      </c>
    </row>
    <row r="203">
      <c r="AX203" s="101" t="n"/>
    </row>
    <row r="204">
      <c r="AX204" s="101" t="n"/>
    </row>
    <row r="205">
      <c r="AX205" s="101" t="n"/>
    </row>
    <row r="206">
      <c r="AX206" s="101" t="n"/>
    </row>
    <row r="207">
      <c r="AW207" t="inlineStr">
        <is>
          <t>2020_BC_Line 59020</t>
        </is>
      </c>
      <c r="AX207" s="101">
        <f>'BC Transfer S2'!E74</f>
        <v/>
      </c>
      <c r="AY207">
        <f>'BC Transfer S2'!H74</f>
        <v/>
      </c>
    </row>
    <row r="208">
      <c r="AW208" t="inlineStr">
        <is>
          <t>2020_BC_Line 59050</t>
        </is>
      </c>
      <c r="AX208" s="101">
        <f>'BC Transfer S2'!E75</f>
        <v/>
      </c>
      <c r="AY208">
        <f>'BC Transfer S2'!H75</f>
        <v/>
      </c>
    </row>
    <row r="209">
      <c r="AW209" t="inlineStr">
        <is>
          <t>2020_BC_Line 59070</t>
        </is>
      </c>
      <c r="AX209" s="101">
        <f>'BC Transfer S2'!E76</f>
        <v/>
      </c>
      <c r="AY209">
        <f>'BC Transfer S2'!H76</f>
        <v/>
      </c>
    </row>
    <row r="210">
      <c r="AW210" t="inlineStr">
        <is>
          <t>2020_BC_Line 59090</t>
        </is>
      </c>
      <c r="AX210" s="101">
        <f>'BC Transfer S2'!E77</f>
        <v/>
      </c>
      <c r="AY210">
        <f>'BC Transfer S2'!H77</f>
        <v/>
      </c>
    </row>
    <row r="211">
      <c r="AX211" s="101" t="n"/>
    </row>
    <row r="212">
      <c r="AX212" s="101" t="n"/>
    </row>
    <row r="213">
      <c r="AX213" s="101" t="n"/>
    </row>
    <row r="214">
      <c r="AX214" s="101" t="n"/>
    </row>
    <row r="215">
      <c r="AW215" t="inlineStr">
        <is>
          <t>2019_BC_Line 59020</t>
        </is>
      </c>
      <c r="AX215" s="101">
        <f>'BC Transfer S2'!M74</f>
        <v/>
      </c>
      <c r="AY215">
        <f>'BC Transfer S2'!P74</f>
        <v/>
      </c>
    </row>
    <row r="216">
      <c r="AW216" t="inlineStr">
        <is>
          <t>2019_BC_Line 59050</t>
        </is>
      </c>
      <c r="AX216" s="101">
        <f>'BC Transfer S2'!M75</f>
        <v/>
      </c>
      <c r="AY216">
        <f>'BC Transfer S2'!P75</f>
        <v/>
      </c>
    </row>
    <row r="217">
      <c r="AW217" t="inlineStr">
        <is>
          <t>2019_BC_Line 59070</t>
        </is>
      </c>
      <c r="AX217" s="101">
        <f>'BC Transfer S2'!M76</f>
        <v/>
      </c>
      <c r="AY217">
        <f>'BC Transfer S2'!P76</f>
        <v/>
      </c>
    </row>
    <row r="218">
      <c r="AW218" t="inlineStr">
        <is>
          <t>2019_BC_Line 59090</t>
        </is>
      </c>
      <c r="AX218" s="101">
        <f>'BC Transfer S2'!M77</f>
        <v/>
      </c>
      <c r="AY218">
        <f>'BC Transfer S2'!P77</f>
        <v/>
      </c>
    </row>
    <row r="219">
      <c r="AX219" s="101" t="n"/>
    </row>
    <row r="220">
      <c r="AX220" s="101" t="n"/>
    </row>
    <row r="221">
      <c r="AX221" s="101" t="n"/>
    </row>
    <row r="222">
      <c r="AX222" s="101" t="n"/>
    </row>
    <row r="223">
      <c r="AW223" t="inlineStr">
        <is>
          <t>2018_BC_Line 59020</t>
        </is>
      </c>
      <c r="AX223" s="101">
        <f>'BC Transfer S2'!E109</f>
        <v/>
      </c>
      <c r="AY223">
        <f>'BC Transfer S2'!H109</f>
        <v/>
      </c>
    </row>
    <row r="224">
      <c r="AW224" t="inlineStr">
        <is>
          <t>2018_BC_Line 59050</t>
        </is>
      </c>
      <c r="AX224" s="101">
        <f>'BC Transfer S2'!E110</f>
        <v/>
      </c>
      <c r="AY224">
        <f>'BC Transfer S2'!H110</f>
        <v/>
      </c>
    </row>
    <row r="225">
      <c r="AW225" t="inlineStr">
        <is>
          <t>2018_BC_Line 59070</t>
        </is>
      </c>
      <c r="AX225" s="101">
        <f>'BC Transfer S2'!E111</f>
        <v/>
      </c>
      <c r="AY225">
        <f>'BC Transfer S2'!H111</f>
        <v/>
      </c>
    </row>
    <row r="226">
      <c r="AW226" t="inlineStr">
        <is>
          <t>2018_BC_Line 59090</t>
        </is>
      </c>
      <c r="AX226" s="101">
        <f>'BC Transfer S2'!E112</f>
        <v/>
      </c>
      <c r="AY226">
        <f>'BC Transfer S2'!H112</f>
        <v/>
      </c>
    </row>
    <row r="227">
      <c r="AX227" s="101" t="n"/>
    </row>
    <row r="228">
      <c r="AX228" s="101" t="n"/>
    </row>
    <row r="229">
      <c r="AX229" s="101" t="n"/>
    </row>
    <row r="230">
      <c r="AX230" s="101" t="n"/>
    </row>
    <row r="231">
      <c r="AW231" t="inlineStr">
        <is>
          <t>2017_BC_Line 59020</t>
        </is>
      </c>
      <c r="AX231" s="101">
        <f>'BC Transfer S2'!M109</f>
        <v/>
      </c>
      <c r="AY231">
        <f>'BC Transfer S2'!P109</f>
        <v/>
      </c>
    </row>
    <row r="232">
      <c r="AW232" t="inlineStr">
        <is>
          <t>2017_BC_Line 59050</t>
        </is>
      </c>
      <c r="AX232" s="101">
        <f>'BC Transfer S2'!M110</f>
        <v/>
      </c>
      <c r="AY232">
        <f>'BC Transfer S2'!P110</f>
        <v/>
      </c>
    </row>
    <row r="233">
      <c r="AW233" t="inlineStr">
        <is>
          <t>2017_BC_Line 59070</t>
        </is>
      </c>
      <c r="AX233" s="101">
        <f>'BC Transfer S2'!M111</f>
        <v/>
      </c>
      <c r="AY233">
        <f>'BC Transfer S2'!P111</f>
        <v/>
      </c>
    </row>
    <row r="234">
      <c r="AW234" t="inlineStr">
        <is>
          <t>2017_BC_Line 59090</t>
        </is>
      </c>
      <c r="AX234" s="101">
        <f>'BC Transfer S2'!M112</f>
        <v/>
      </c>
      <c r="AY234">
        <f>'BC Transfer S2'!P112</f>
        <v/>
      </c>
    </row>
    <row r="235">
      <c r="AX235" s="101" t="n"/>
    </row>
    <row r="236">
      <c r="AX236" s="101" t="n"/>
    </row>
    <row r="237">
      <c r="AX237" s="101" t="n"/>
    </row>
    <row r="238">
      <c r="AX238" s="101" t="n"/>
    </row>
    <row r="239">
      <c r="AW239" t="inlineStr">
        <is>
          <t>2016_BC_Line 59020</t>
        </is>
      </c>
      <c r="AX239" s="101">
        <f>'BC Transfer S2'!E144</f>
        <v/>
      </c>
      <c r="AY239">
        <f>'BC Transfer S2'!H144</f>
        <v/>
      </c>
    </row>
    <row r="240">
      <c r="AW240" t="inlineStr">
        <is>
          <t>2016_BC_Line 59050</t>
        </is>
      </c>
      <c r="AX240" s="101">
        <f>'BC Transfer S2'!E145</f>
        <v/>
      </c>
      <c r="AY240">
        <f>'BC Transfer S2'!H145</f>
        <v/>
      </c>
    </row>
    <row r="241">
      <c r="AW241" t="inlineStr">
        <is>
          <t>2016_BC_Line 59070</t>
        </is>
      </c>
      <c r="AX241" s="101">
        <f>'BC Transfer S2'!E146</f>
        <v/>
      </c>
      <c r="AY241">
        <f>'BC Transfer S2'!H146</f>
        <v/>
      </c>
    </row>
    <row r="242">
      <c r="AW242" t="inlineStr">
        <is>
          <t>2016_BC_Line 59090</t>
        </is>
      </c>
      <c r="AX242" s="101">
        <f>'BC Transfer S2'!E147</f>
        <v/>
      </c>
      <c r="AY242">
        <f>'BC Transfer S2'!H147</f>
        <v/>
      </c>
    </row>
    <row r="243">
      <c r="AX243" s="101" t="n"/>
    </row>
    <row r="244">
      <c r="AX244" s="101" t="n"/>
    </row>
    <row r="245">
      <c r="AX245" s="101" t="n"/>
    </row>
    <row r="246">
      <c r="AX246" s="101" t="inlineStr">
        <is>
          <t>M144</t>
        </is>
      </c>
      <c r="AY246" t="inlineStr">
        <is>
          <t>P144</t>
        </is>
      </c>
    </row>
    <row r="247">
      <c r="AW247" t="inlineStr">
        <is>
          <t>2015_BC_Line 59020</t>
        </is>
      </c>
      <c r="AX247" s="101">
        <f>'BC Transfer S2'!M144</f>
        <v/>
      </c>
      <c r="AY247">
        <f>'BC Transfer S2'!P144</f>
        <v/>
      </c>
    </row>
    <row r="248">
      <c r="AW248" t="inlineStr">
        <is>
          <t>2015_BC_Line 59050</t>
        </is>
      </c>
      <c r="AX248" s="101">
        <f>'BC Transfer S2'!M145</f>
        <v/>
      </c>
      <c r="AY248">
        <f>'BC Transfer S2'!P145</f>
        <v/>
      </c>
    </row>
    <row r="249">
      <c r="AW249" t="inlineStr">
        <is>
          <t>2015_BC_Line 59070</t>
        </is>
      </c>
      <c r="AX249" s="101">
        <f>'BC Transfer S2'!M146</f>
        <v/>
      </c>
      <c r="AY249">
        <f>'BC Transfer S2'!P146</f>
        <v/>
      </c>
    </row>
    <row r="250">
      <c r="AW250" t="inlineStr">
        <is>
          <t>2015_BC_Line 59090</t>
        </is>
      </c>
      <c r="AX250" s="101">
        <f>'BC Transfer S2'!M147</f>
        <v/>
      </c>
      <c r="AY250">
        <f>'BC Transfer S2'!P147</f>
        <v/>
      </c>
    </row>
    <row r="251">
      <c r="AX251" s="101" t="n"/>
    </row>
    <row r="252">
      <c r="AX252" s="101" t="n"/>
    </row>
    <row r="253">
      <c r="AX253" s="101" t="n"/>
    </row>
    <row r="254">
      <c r="AX254" s="101" t="inlineStr">
        <is>
          <t>E178</t>
        </is>
      </c>
      <c r="AY254" t="inlineStr">
        <is>
          <t>H178</t>
        </is>
      </c>
    </row>
    <row r="255">
      <c r="AW255" t="inlineStr">
        <is>
          <t>2014_BC_Line 59020</t>
        </is>
      </c>
      <c r="AX255" s="101">
        <f>'BC Transfer S2'!E178</f>
        <v/>
      </c>
      <c r="AY255">
        <f>'BC Transfer S2'!H178</f>
        <v/>
      </c>
    </row>
    <row r="256">
      <c r="AW256" t="inlineStr">
        <is>
          <t>2014_BC_Line 59050</t>
        </is>
      </c>
      <c r="AX256" s="101">
        <f>'BC Transfer S2'!E179</f>
        <v/>
      </c>
      <c r="AY256">
        <f>'BC Transfer S2'!H179</f>
        <v/>
      </c>
    </row>
    <row r="257">
      <c r="AW257" t="inlineStr">
        <is>
          <t>2014_BC_Line 59070</t>
        </is>
      </c>
      <c r="AX257" s="101">
        <f>'BC Transfer S2'!E180</f>
        <v/>
      </c>
      <c r="AY257">
        <f>'BC Transfer S2'!H180</f>
        <v/>
      </c>
    </row>
    <row r="258">
      <c r="AW258" t="inlineStr">
        <is>
          <t>2014_BC_Line 59090</t>
        </is>
      </c>
      <c r="AX258" s="101">
        <f>'BC Transfer S2'!E181</f>
        <v/>
      </c>
      <c r="AY258">
        <f>'BC Transfer S2'!H181</f>
        <v/>
      </c>
    </row>
    <row r="259">
      <c r="AX259" s="101" t="n"/>
    </row>
    <row r="260">
      <c r="AX260" s="101" t="n"/>
    </row>
    <row r="261">
      <c r="AX261" s="101" t="n"/>
    </row>
    <row r="262">
      <c r="AX262" s="101" t="n"/>
    </row>
    <row r="263">
      <c r="AW263" t="inlineStr">
        <is>
          <t>2023_MB_Line 59020</t>
        </is>
      </c>
      <c r="AX263" s="101">
        <f>'MB Transfer S2'!M4</f>
        <v/>
      </c>
      <c r="AY263">
        <f>'MB Transfer S2'!P4</f>
        <v/>
      </c>
    </row>
    <row r="264">
      <c r="AW264" t="inlineStr">
        <is>
          <t>2023_MB_Line 59050</t>
        </is>
      </c>
      <c r="AX264" s="101" t="n"/>
    </row>
    <row r="265">
      <c r="AW265" t="inlineStr">
        <is>
          <t>2023_MB_Line 59070</t>
        </is>
      </c>
      <c r="AX265" s="101" t="n"/>
    </row>
    <row r="266">
      <c r="AW266" t="inlineStr">
        <is>
          <t>2023_MB_Line 59090</t>
        </is>
      </c>
      <c r="AX266" s="101" t="n"/>
    </row>
    <row r="267">
      <c r="AW267" t="inlineStr">
        <is>
          <t>2023_MB_Line 59000</t>
        </is>
      </c>
      <c r="AX267" s="101" t="n"/>
    </row>
    <row r="268">
      <c r="AW268" t="inlineStr">
        <is>
          <t>2023_MB_Line 59010</t>
        </is>
      </c>
      <c r="AX268" s="101" t="n"/>
    </row>
    <row r="269">
      <c r="AW269" t="inlineStr">
        <is>
          <t>2023_MB_Line 59030</t>
        </is>
      </c>
      <c r="AX269" s="101" t="n"/>
    </row>
    <row r="270">
      <c r="AW270" t="inlineStr">
        <is>
          <t>2023_MB_Line 59040</t>
        </is>
      </c>
      <c r="AX270" s="101" t="n"/>
    </row>
    <row r="271">
      <c r="AW271" t="inlineStr">
        <is>
          <t>2022_MB_Line 59020</t>
        </is>
      </c>
      <c r="AX271" s="101" t="n"/>
    </row>
    <row r="272">
      <c r="AW272" t="inlineStr">
        <is>
          <t>2022_MB_Line 59050</t>
        </is>
      </c>
      <c r="AX272" s="101" t="n"/>
    </row>
    <row r="273">
      <c r="AW273" t="inlineStr">
        <is>
          <t>2022_MB_Line 59070</t>
        </is>
      </c>
      <c r="AX273" s="101" t="n"/>
    </row>
    <row r="274">
      <c r="AW274" t="inlineStr">
        <is>
          <t>2022_MB_Line 59090</t>
        </is>
      </c>
      <c r="AX274" s="101" t="n"/>
    </row>
    <row r="275">
      <c r="AW275" t="inlineStr">
        <is>
          <t>2022_MB_Line 59000</t>
        </is>
      </c>
      <c r="AX275" s="101" t="n"/>
    </row>
    <row r="276">
      <c r="AW276" t="inlineStr">
        <is>
          <t>2022_MB_Line 59010</t>
        </is>
      </c>
      <c r="AX276" s="101" t="n"/>
    </row>
    <row r="277">
      <c r="AW277" t="inlineStr">
        <is>
          <t>2022_MB_Line 59030</t>
        </is>
      </c>
      <c r="AX277" s="101" t="n"/>
    </row>
    <row r="278">
      <c r="AW278" t="inlineStr">
        <is>
          <t>2022_MB_Line 59040</t>
        </is>
      </c>
      <c r="AX278" s="101" t="n"/>
    </row>
    <row r="279">
      <c r="AW279" t="inlineStr">
        <is>
          <t>2021_MB_Line 59020</t>
        </is>
      </c>
      <c r="AX279" s="101" t="n"/>
    </row>
    <row r="280">
      <c r="AW280" t="inlineStr">
        <is>
          <t>2021_MB_Line 59050</t>
        </is>
      </c>
      <c r="AX280" s="101" t="n"/>
    </row>
    <row r="281">
      <c r="AW281" t="inlineStr">
        <is>
          <t>2021_MB_Line 59070</t>
        </is>
      </c>
      <c r="AX281" s="101" t="n"/>
    </row>
    <row r="282">
      <c r="AW282" t="inlineStr">
        <is>
          <t>2021_MB_Line 59090</t>
        </is>
      </c>
      <c r="AX282" s="101" t="n"/>
    </row>
    <row r="283">
      <c r="AW283" t="inlineStr">
        <is>
          <t>2021_MB_Line 59000</t>
        </is>
      </c>
      <c r="AX283" s="101" t="n"/>
    </row>
    <row r="284">
      <c r="AW284" t="inlineStr">
        <is>
          <t>2021_MB_Line 59010</t>
        </is>
      </c>
      <c r="AX284" s="101" t="n"/>
    </row>
    <row r="285">
      <c r="AW285" t="inlineStr">
        <is>
          <t>2021_MB_Line 59030</t>
        </is>
      </c>
      <c r="AX285" s="101" t="n"/>
    </row>
    <row r="286">
      <c r="AW286" t="inlineStr">
        <is>
          <t>2021_MB_Line 59040</t>
        </is>
      </c>
      <c r="AX286" s="101" t="n"/>
    </row>
    <row r="287">
      <c r="AW287" t="inlineStr">
        <is>
          <t>2020_MB_Line 59020</t>
        </is>
      </c>
      <c r="AX287" s="101" t="n"/>
    </row>
    <row r="288">
      <c r="AW288" t="inlineStr">
        <is>
          <t>2020_MB_Line 59050</t>
        </is>
      </c>
      <c r="AX288" s="101" t="n"/>
    </row>
    <row r="289">
      <c r="AW289" t="inlineStr">
        <is>
          <t>2020_MB_Line 59070</t>
        </is>
      </c>
      <c r="AX289" s="101" t="n"/>
    </row>
    <row r="290">
      <c r="AW290" t="inlineStr">
        <is>
          <t>2020_MB_Line 59090</t>
        </is>
      </c>
      <c r="AX290" s="101" t="n"/>
    </row>
    <row r="291">
      <c r="AW291" t="inlineStr">
        <is>
          <t>2020_MB_Line 59000</t>
        </is>
      </c>
      <c r="AX291" s="101" t="n"/>
    </row>
    <row r="292">
      <c r="AW292" t="inlineStr">
        <is>
          <t>2020_MB_Line 59010</t>
        </is>
      </c>
      <c r="AX292" s="101" t="n"/>
    </row>
    <row r="293">
      <c r="AW293" t="inlineStr">
        <is>
          <t>2020_MB_Line 59030</t>
        </is>
      </c>
      <c r="AX293" s="101" t="n"/>
    </row>
    <row r="294">
      <c r="AW294" t="inlineStr">
        <is>
          <t>2020_MB_Line 59040</t>
        </is>
      </c>
      <c r="AX294" s="101" t="n"/>
    </row>
    <row r="295">
      <c r="AW295" t="inlineStr">
        <is>
          <t>2019_MB_Line 59020</t>
        </is>
      </c>
      <c r="AX295" s="101" t="n"/>
    </row>
    <row r="296">
      <c r="AW296" t="inlineStr">
        <is>
          <t>2019_MB_Line 59050</t>
        </is>
      </c>
      <c r="AX296" s="101" t="n"/>
    </row>
    <row r="297">
      <c r="AW297" t="inlineStr">
        <is>
          <t>2019_MB_Line 59070</t>
        </is>
      </c>
      <c r="AX297" s="101" t="n"/>
    </row>
    <row r="298">
      <c r="AW298" t="inlineStr">
        <is>
          <t>2019_MB_Line 59090</t>
        </is>
      </c>
      <c r="AX298" s="101" t="n"/>
    </row>
    <row r="299">
      <c r="AW299" t="inlineStr">
        <is>
          <t>2019_MB_Line 59000</t>
        </is>
      </c>
      <c r="AX299" s="101" t="n"/>
    </row>
    <row r="300">
      <c r="AW300" t="inlineStr">
        <is>
          <t>2019_MB_Line 59010</t>
        </is>
      </c>
      <c r="AX300" s="101" t="n"/>
    </row>
    <row r="301">
      <c r="AW301" t="inlineStr">
        <is>
          <t>2019_MB_Line 59030</t>
        </is>
      </c>
      <c r="AX301" s="101" t="n"/>
    </row>
    <row r="302">
      <c r="AW302" t="inlineStr">
        <is>
          <t>2019_MB_Line 59040</t>
        </is>
      </c>
      <c r="AX302" s="101" t="n"/>
    </row>
    <row r="303">
      <c r="AW303" t="inlineStr">
        <is>
          <t>2018_MB_Line 59020</t>
        </is>
      </c>
      <c r="AX303" s="101" t="n"/>
    </row>
    <row r="304">
      <c r="AW304" t="inlineStr">
        <is>
          <t>2018_MB_Line 59050</t>
        </is>
      </c>
      <c r="AX304" s="101" t="n"/>
    </row>
    <row r="305">
      <c r="AW305" t="inlineStr">
        <is>
          <t>2018_MB_Line 59070</t>
        </is>
      </c>
      <c r="AX305" s="101" t="n"/>
    </row>
    <row r="306">
      <c r="AW306" t="inlineStr">
        <is>
          <t>2018_MB_Line 59090</t>
        </is>
      </c>
      <c r="AX306" s="101" t="n"/>
    </row>
    <row r="307">
      <c r="AW307" t="inlineStr">
        <is>
          <t>2018_MB_Line 59000</t>
        </is>
      </c>
      <c r="AX307" s="101" t="n"/>
    </row>
    <row r="308">
      <c r="AW308" t="inlineStr">
        <is>
          <t>2018_MB_Line 59010</t>
        </is>
      </c>
      <c r="AX308" s="101" t="n"/>
    </row>
    <row r="309">
      <c r="AW309" t="inlineStr">
        <is>
          <t>2018_MB_Line 59030</t>
        </is>
      </c>
      <c r="AX309" s="101" t="n"/>
    </row>
    <row r="310">
      <c r="AW310" t="inlineStr">
        <is>
          <t>2018_MB_Line 59040</t>
        </is>
      </c>
      <c r="AX310" s="101" t="n"/>
    </row>
    <row r="311">
      <c r="AW311" t="inlineStr">
        <is>
          <t>2017_MB_Line 59020</t>
        </is>
      </c>
      <c r="AX311" s="101" t="n"/>
    </row>
    <row r="312">
      <c r="AW312" t="inlineStr">
        <is>
          <t>2017_MB_Line 59050</t>
        </is>
      </c>
      <c r="AX312" s="101" t="n"/>
    </row>
    <row r="313">
      <c r="AW313" t="inlineStr">
        <is>
          <t>2017_MB_Line 59070</t>
        </is>
      </c>
      <c r="AX313" s="101" t="n"/>
    </row>
    <row r="314">
      <c r="AW314" t="inlineStr">
        <is>
          <t>2017_MB_Line 59090</t>
        </is>
      </c>
      <c r="AX314" s="101" t="n"/>
    </row>
    <row r="315">
      <c r="AW315" t="inlineStr">
        <is>
          <t>2017_MB_Line 59000</t>
        </is>
      </c>
      <c r="AX315" s="101" t="n"/>
    </row>
    <row r="316">
      <c r="AW316" t="inlineStr">
        <is>
          <t>2017_MB_Line 59010</t>
        </is>
      </c>
      <c r="AX316" s="101" t="n"/>
    </row>
    <row r="317">
      <c r="AW317" t="inlineStr">
        <is>
          <t>2017_MB_Line 59030</t>
        </is>
      </c>
      <c r="AX317" s="101" t="n"/>
    </row>
    <row r="318">
      <c r="AW318" t="inlineStr">
        <is>
          <t>2017_MB_Line 59040</t>
        </is>
      </c>
      <c r="AX318" s="101" t="n"/>
    </row>
    <row r="319">
      <c r="AW319" t="inlineStr">
        <is>
          <t>2016_MB_Line 59020</t>
        </is>
      </c>
      <c r="AX319" s="101" t="n"/>
    </row>
    <row r="320">
      <c r="AW320" t="inlineStr">
        <is>
          <t>2016_MB_Line 59050</t>
        </is>
      </c>
      <c r="AX320" s="101" t="n"/>
    </row>
    <row r="321">
      <c r="AW321" t="inlineStr">
        <is>
          <t>2016_MB_Line 59070</t>
        </is>
      </c>
      <c r="AX321" s="101" t="n"/>
    </row>
    <row r="322">
      <c r="AW322" t="inlineStr">
        <is>
          <t>2016_MB_Line 59090</t>
        </is>
      </c>
      <c r="AX322" s="101" t="n"/>
    </row>
    <row r="323">
      <c r="AW323" t="inlineStr">
        <is>
          <t>2016_MB_Line 59000</t>
        </is>
      </c>
      <c r="AX323" s="101" t="n"/>
    </row>
    <row r="324">
      <c r="AW324" t="inlineStr">
        <is>
          <t>2016_MB_Line 59010</t>
        </is>
      </c>
      <c r="AX324" s="101" t="n"/>
    </row>
    <row r="325">
      <c r="AW325" t="inlineStr">
        <is>
          <t>2016_MB_Line 59030</t>
        </is>
      </c>
      <c r="AX325" s="101" t="n"/>
    </row>
    <row r="326">
      <c r="AW326" t="inlineStr">
        <is>
          <t>2016_MB_Line 59040</t>
        </is>
      </c>
      <c r="AX326" s="101" t="n"/>
    </row>
    <row r="327">
      <c r="AW327" t="inlineStr">
        <is>
          <t>2015_MB_Line 59020</t>
        </is>
      </c>
      <c r="AX327" s="101" t="n"/>
    </row>
    <row r="328">
      <c r="AW328" t="inlineStr">
        <is>
          <t>2015_MB_Line 59050</t>
        </is>
      </c>
      <c r="AX328" s="101" t="n"/>
    </row>
    <row r="329">
      <c r="AW329" t="inlineStr">
        <is>
          <t>2015_MB_Line 59070</t>
        </is>
      </c>
      <c r="AX329" s="101" t="n"/>
    </row>
    <row r="330">
      <c r="AW330" t="inlineStr">
        <is>
          <t>2015_MB_Line 59090</t>
        </is>
      </c>
      <c r="AX330" s="101" t="n"/>
    </row>
    <row r="331">
      <c r="AW331" t="inlineStr">
        <is>
          <t>2015_MB_Line 59000</t>
        </is>
      </c>
      <c r="AX331" s="101" t="n"/>
    </row>
    <row r="332">
      <c r="AW332" t="inlineStr">
        <is>
          <t>2015_MB_Line 59010</t>
        </is>
      </c>
      <c r="AX332" s="101" t="n"/>
    </row>
    <row r="333">
      <c r="AW333" t="inlineStr">
        <is>
          <t>2015_MB_Line 59030</t>
        </is>
      </c>
      <c r="AX333" s="101" t="n"/>
    </row>
    <row r="334">
      <c r="AW334" t="inlineStr">
        <is>
          <t>2015_MB_Line 59040</t>
        </is>
      </c>
      <c r="AX334" s="101" t="n"/>
    </row>
    <row r="335">
      <c r="AW335" t="inlineStr">
        <is>
          <t>2014_MB_Line 59020</t>
        </is>
      </c>
      <c r="AX335" s="101" t="n"/>
    </row>
    <row r="336">
      <c r="AW336" t="inlineStr">
        <is>
          <t>2014_MB_Line 59050</t>
        </is>
      </c>
      <c r="AX336" s="101" t="n"/>
    </row>
    <row r="337">
      <c r="AW337" t="inlineStr">
        <is>
          <t>2014_MB_Line 59070</t>
        </is>
      </c>
      <c r="AX337" s="101" t="n"/>
    </row>
    <row r="338">
      <c r="AW338" t="inlineStr">
        <is>
          <t>2014_MB_Line 59090</t>
        </is>
      </c>
      <c r="AX338" s="101" t="n"/>
    </row>
    <row r="339">
      <c r="AW339" t="inlineStr">
        <is>
          <t>2014_MB_Line 59000</t>
        </is>
      </c>
      <c r="AX339" s="101" t="n"/>
    </row>
    <row r="340">
      <c r="AW340" t="inlineStr">
        <is>
          <t>2014_MB_Line 59010</t>
        </is>
      </c>
      <c r="AX340" s="101" t="n"/>
    </row>
    <row r="341">
      <c r="AW341" t="inlineStr">
        <is>
          <t>2014_MB_Line 59030</t>
        </is>
      </c>
      <c r="AX341" s="101" t="n"/>
    </row>
    <row r="342">
      <c r="AW342" t="inlineStr">
        <is>
          <t>2014_MB_Line 59040</t>
        </is>
      </c>
      <c r="AX342" s="101" t="n"/>
    </row>
    <row r="343">
      <c r="AW343" t="inlineStr">
        <is>
          <t>2023_NB_Line 59020</t>
        </is>
      </c>
      <c r="AX343" s="101" t="n"/>
    </row>
    <row r="344">
      <c r="AW344" t="inlineStr">
        <is>
          <t>2023_NB_Line 59050</t>
        </is>
      </c>
      <c r="AX344" s="101" t="n"/>
    </row>
    <row r="345">
      <c r="AW345" t="inlineStr">
        <is>
          <t>2023_NB_Line 59070</t>
        </is>
      </c>
      <c r="AX345" s="101" t="n"/>
    </row>
    <row r="346">
      <c r="AW346" t="inlineStr">
        <is>
          <t>2023_NB_Line 59090</t>
        </is>
      </c>
      <c r="AX346" s="101" t="n"/>
    </row>
    <row r="347">
      <c r="AW347" t="inlineStr">
        <is>
          <t>2023_NB_Line 59000</t>
        </is>
      </c>
      <c r="AX347" s="101" t="n"/>
    </row>
    <row r="348">
      <c r="AW348" t="inlineStr">
        <is>
          <t>2023_NB_Line 59010</t>
        </is>
      </c>
      <c r="AX348" s="101" t="n"/>
    </row>
    <row r="349">
      <c r="AW349" t="inlineStr">
        <is>
          <t>2023_NB_Line 59030</t>
        </is>
      </c>
      <c r="AX349" s="101" t="n"/>
    </row>
    <row r="350">
      <c r="AW350" t="inlineStr">
        <is>
          <t>2023_NB_Line 59040</t>
        </is>
      </c>
      <c r="AX350" s="101" t="n"/>
    </row>
    <row r="351">
      <c r="AW351" t="inlineStr">
        <is>
          <t>2022_NB_Line 59020</t>
        </is>
      </c>
      <c r="AX351" s="101" t="n"/>
    </row>
    <row r="352">
      <c r="AW352" t="inlineStr">
        <is>
          <t>2022_NB_Line 59050</t>
        </is>
      </c>
      <c r="AX352" s="101" t="n"/>
    </row>
    <row r="353">
      <c r="AW353" t="inlineStr">
        <is>
          <t>2022_NB_Line 59070</t>
        </is>
      </c>
      <c r="AX353" s="101" t="n"/>
    </row>
    <row r="354">
      <c r="AW354" t="inlineStr">
        <is>
          <t>2022_NB_Line 59090</t>
        </is>
      </c>
      <c r="AX354" s="101" t="n"/>
    </row>
    <row r="355">
      <c r="AW355" t="inlineStr">
        <is>
          <t>2022_NB_Line 59000</t>
        </is>
      </c>
      <c r="AX355" s="101" t="n"/>
    </row>
    <row r="356">
      <c r="AW356" t="inlineStr">
        <is>
          <t>2022_NB_Line 59010</t>
        </is>
      </c>
      <c r="AX356" s="101" t="n"/>
    </row>
    <row r="357">
      <c r="AW357" t="inlineStr">
        <is>
          <t>2022_NB_Line 59030</t>
        </is>
      </c>
      <c r="AX357" s="101" t="n"/>
    </row>
    <row r="358">
      <c r="AW358" t="inlineStr">
        <is>
          <t>2022_NB_Line 59040</t>
        </is>
      </c>
      <c r="AX358" s="101" t="n"/>
    </row>
    <row r="359">
      <c r="AW359" t="inlineStr">
        <is>
          <t>2021_NB_Line 59020</t>
        </is>
      </c>
      <c r="AX359" s="101" t="n"/>
    </row>
    <row r="360">
      <c r="AW360" t="inlineStr">
        <is>
          <t>2021_NB_Line 59050</t>
        </is>
      </c>
      <c r="AX360" s="101" t="n"/>
    </row>
    <row r="361">
      <c r="AW361" t="inlineStr">
        <is>
          <t>2021_NB_Line 59070</t>
        </is>
      </c>
      <c r="AX361" s="101" t="n"/>
    </row>
    <row r="362">
      <c r="AW362" t="inlineStr">
        <is>
          <t>2021_NB_Line 59090</t>
        </is>
      </c>
      <c r="AX362" s="101" t="n"/>
    </row>
    <row r="363">
      <c r="AW363" t="inlineStr">
        <is>
          <t>2021_NB_Line 59000</t>
        </is>
      </c>
      <c r="AX363" s="101" t="n"/>
    </row>
    <row r="364">
      <c r="AW364" t="inlineStr">
        <is>
          <t>2021_NB_Line 59010</t>
        </is>
      </c>
      <c r="AX364" s="101" t="n"/>
    </row>
    <row r="365">
      <c r="AW365" t="inlineStr">
        <is>
          <t>2021_NB_Line 59030</t>
        </is>
      </c>
      <c r="AX365" s="101" t="n"/>
    </row>
    <row r="366">
      <c r="AW366" t="inlineStr">
        <is>
          <t>2021_NB_Line 59040</t>
        </is>
      </c>
      <c r="AX366" s="101" t="n"/>
    </row>
    <row r="367">
      <c r="AW367" t="inlineStr">
        <is>
          <t>2020_NB_Line 59020</t>
        </is>
      </c>
      <c r="AX367" s="101" t="n"/>
    </row>
    <row r="368">
      <c r="AW368" t="inlineStr">
        <is>
          <t>2020_NB_Line 59050</t>
        </is>
      </c>
      <c r="AX368" s="101" t="n"/>
    </row>
    <row r="369">
      <c r="AW369" t="inlineStr">
        <is>
          <t>2020_NB_Line 59070</t>
        </is>
      </c>
      <c r="AX369" s="101" t="n"/>
    </row>
    <row r="370">
      <c r="AW370" t="inlineStr">
        <is>
          <t>2020_NB_Line 59090</t>
        </is>
      </c>
      <c r="AX370" s="101" t="n"/>
    </row>
    <row r="371">
      <c r="AW371" t="inlineStr">
        <is>
          <t>2020_NB_Line 59000</t>
        </is>
      </c>
      <c r="AX371" s="101" t="n"/>
    </row>
    <row r="372">
      <c r="AW372" t="inlineStr">
        <is>
          <t>2020_NB_Line 59010</t>
        </is>
      </c>
      <c r="AX372" s="101" t="n"/>
    </row>
    <row r="373">
      <c r="AW373" t="inlineStr">
        <is>
          <t>2020_NB_Line 59030</t>
        </is>
      </c>
      <c r="AX373" s="101" t="n"/>
    </row>
    <row r="374">
      <c r="AW374" t="inlineStr">
        <is>
          <t>2020_NB_Line 59040</t>
        </is>
      </c>
      <c r="AX374" s="101" t="n"/>
    </row>
    <row r="375">
      <c r="AW375" t="inlineStr">
        <is>
          <t>2019_NB_Line 59020</t>
        </is>
      </c>
      <c r="AX375" s="101" t="n"/>
    </row>
    <row r="376">
      <c r="AW376" t="inlineStr">
        <is>
          <t>2019_NB_Line 59050</t>
        </is>
      </c>
      <c r="AX376" s="101" t="n"/>
    </row>
    <row r="377">
      <c r="AW377" t="inlineStr">
        <is>
          <t>2019_NB_Line 59070</t>
        </is>
      </c>
      <c r="AX377" s="101" t="n"/>
    </row>
    <row r="378">
      <c r="AW378" t="inlineStr">
        <is>
          <t>2019_NB_Line 59090</t>
        </is>
      </c>
      <c r="AX378" s="101" t="n"/>
    </row>
    <row r="379">
      <c r="AW379" t="inlineStr">
        <is>
          <t>2019_NB_Line 59000</t>
        </is>
      </c>
      <c r="AX379" s="101" t="n"/>
    </row>
    <row r="380">
      <c r="AW380" t="inlineStr">
        <is>
          <t>2019_NB_Line 59010</t>
        </is>
      </c>
      <c r="AX380" s="101" t="n"/>
    </row>
    <row r="381">
      <c r="AW381" t="inlineStr">
        <is>
          <t>2019_NB_Line 59030</t>
        </is>
      </c>
      <c r="AX381" s="101" t="n"/>
    </row>
    <row r="382">
      <c r="AW382" t="inlineStr">
        <is>
          <t>2019_NB_Line 59040</t>
        </is>
      </c>
      <c r="AX382" s="101" t="n"/>
    </row>
    <row r="383">
      <c r="AW383" t="inlineStr">
        <is>
          <t>2018_NB_Line 59020</t>
        </is>
      </c>
      <c r="AX383" s="101" t="n"/>
    </row>
    <row r="384">
      <c r="AW384" t="inlineStr">
        <is>
          <t>2018_NB_Line 59050</t>
        </is>
      </c>
      <c r="AX384" s="101" t="n"/>
    </row>
    <row r="385">
      <c r="AW385" t="inlineStr">
        <is>
          <t>2018_NB_Line 59070</t>
        </is>
      </c>
      <c r="AX385" s="101" t="n"/>
    </row>
    <row r="386">
      <c r="AW386" t="inlineStr">
        <is>
          <t>2018_NB_Line 59090</t>
        </is>
      </c>
      <c r="AX386" s="101" t="n"/>
    </row>
    <row r="387">
      <c r="AW387" t="inlineStr">
        <is>
          <t>2018_NB_Line 59000</t>
        </is>
      </c>
      <c r="AX387" s="101" t="n"/>
    </row>
    <row r="388">
      <c r="AW388" t="inlineStr">
        <is>
          <t>2018_NB_Line 59010</t>
        </is>
      </c>
      <c r="AX388" s="101" t="n"/>
    </row>
    <row r="389">
      <c r="AW389" t="inlineStr">
        <is>
          <t>2018_NB_Line 59030</t>
        </is>
      </c>
      <c r="AX389" s="101" t="n"/>
    </row>
    <row r="390">
      <c r="AW390" t="inlineStr">
        <is>
          <t>2018_NB_Line 59040</t>
        </is>
      </c>
      <c r="AX390" s="101" t="n"/>
    </row>
    <row r="391">
      <c r="AW391" t="inlineStr">
        <is>
          <t>2017_NB_Line 59020</t>
        </is>
      </c>
      <c r="AX391" s="101" t="n"/>
    </row>
    <row r="392">
      <c r="AW392" t="inlineStr">
        <is>
          <t>2017_NB_Line 59050</t>
        </is>
      </c>
      <c r="AX392" s="101" t="n"/>
    </row>
    <row r="393">
      <c r="AW393" t="inlineStr">
        <is>
          <t>2017_NB_Line 59070</t>
        </is>
      </c>
      <c r="AX393" s="101" t="n"/>
    </row>
    <row r="394">
      <c r="AW394" t="inlineStr">
        <is>
          <t>2017_NB_Line 59090</t>
        </is>
      </c>
      <c r="AX394" s="101" t="n"/>
    </row>
    <row r="395">
      <c r="AW395" t="inlineStr">
        <is>
          <t>2017_NB_Line 59000</t>
        </is>
      </c>
      <c r="AX395" s="101" t="n"/>
    </row>
    <row r="396">
      <c r="AW396" t="inlineStr">
        <is>
          <t>2017_NB_Line 59010</t>
        </is>
      </c>
      <c r="AX396" s="101" t="n"/>
    </row>
    <row r="397">
      <c r="AW397" t="inlineStr">
        <is>
          <t>2017_NB_Line 59030</t>
        </is>
      </c>
      <c r="AX397" s="101" t="n"/>
    </row>
    <row r="398">
      <c r="AW398" t="inlineStr">
        <is>
          <t>2017_NB_Line 59040</t>
        </is>
      </c>
      <c r="AX398" s="101" t="n"/>
    </row>
    <row r="399">
      <c r="AW399" t="inlineStr">
        <is>
          <t>2016_NB_Line 59020</t>
        </is>
      </c>
      <c r="AX399" s="101" t="n"/>
    </row>
    <row r="400">
      <c r="AW400" t="inlineStr">
        <is>
          <t>2016_NB_Line 59050</t>
        </is>
      </c>
      <c r="AX400" s="101" t="n"/>
    </row>
    <row r="401">
      <c r="AW401" t="inlineStr">
        <is>
          <t>2016_NB_Line 59070</t>
        </is>
      </c>
      <c r="AX401" s="101" t="n"/>
    </row>
    <row r="402">
      <c r="AW402" t="inlineStr">
        <is>
          <t>2016_NB_Line 59090</t>
        </is>
      </c>
      <c r="AX402" s="101" t="n"/>
    </row>
    <row r="403">
      <c r="AW403" t="inlineStr">
        <is>
          <t>2016_NB_Line 59000</t>
        </is>
      </c>
      <c r="AX403" s="101" t="n"/>
    </row>
    <row r="404">
      <c r="AW404" t="inlineStr">
        <is>
          <t>2016_NB_Line 59010</t>
        </is>
      </c>
      <c r="AX404" s="101" t="n"/>
    </row>
    <row r="405">
      <c r="AW405" t="inlineStr">
        <is>
          <t>2016_NB_Line 59030</t>
        </is>
      </c>
      <c r="AX405" s="101" t="n"/>
    </row>
    <row r="406">
      <c r="AW406" t="inlineStr">
        <is>
          <t>2016_NB_Line 59040</t>
        </is>
      </c>
      <c r="AX406" s="101" t="n"/>
    </row>
    <row r="407">
      <c r="AW407" t="inlineStr">
        <is>
          <t>2015_NB_Line 59020</t>
        </is>
      </c>
      <c r="AX407" s="101" t="n"/>
    </row>
    <row r="408">
      <c r="AW408" t="inlineStr">
        <is>
          <t>2015_NB_Line 59050</t>
        </is>
      </c>
      <c r="AX408" s="101" t="n"/>
    </row>
    <row r="409">
      <c r="AW409" t="inlineStr">
        <is>
          <t>2015_NB_Line 59070</t>
        </is>
      </c>
      <c r="AX409" s="101" t="n"/>
    </row>
    <row r="410">
      <c r="AW410" t="inlineStr">
        <is>
          <t>2015_NB_Line 59090</t>
        </is>
      </c>
      <c r="AX410" s="101" t="n"/>
    </row>
    <row r="411">
      <c r="AW411" t="inlineStr">
        <is>
          <t>2015_NB_Line 59000</t>
        </is>
      </c>
      <c r="AX411" s="101" t="n"/>
    </row>
    <row r="412">
      <c r="AW412" t="inlineStr">
        <is>
          <t>2015_NB_Line 59010</t>
        </is>
      </c>
      <c r="AX412" s="101" t="n"/>
    </row>
    <row r="413">
      <c r="AW413" t="inlineStr">
        <is>
          <t>2015_NB_Line 59030</t>
        </is>
      </c>
      <c r="AX413" s="101" t="n"/>
    </row>
    <row r="414">
      <c r="AW414" t="inlineStr">
        <is>
          <t>2015_NB_Line 59040</t>
        </is>
      </c>
      <c r="AX414" s="101" t="n"/>
    </row>
    <row r="415">
      <c r="AW415" t="inlineStr">
        <is>
          <t>2014_NB_Line 59020</t>
        </is>
      </c>
      <c r="AX415" s="101" t="n"/>
    </row>
    <row r="416">
      <c r="AW416" t="inlineStr">
        <is>
          <t>2014_NB_Line 59050</t>
        </is>
      </c>
      <c r="AX416" s="101" t="n"/>
    </row>
    <row r="417">
      <c r="AW417" t="inlineStr">
        <is>
          <t>2014_NB_Line 59070</t>
        </is>
      </c>
      <c r="AX417" s="101" t="n"/>
    </row>
    <row r="418">
      <c r="AW418" t="inlineStr">
        <is>
          <t>2014_NB_Line 59090</t>
        </is>
      </c>
      <c r="AX418" s="101" t="n"/>
    </row>
    <row r="419">
      <c r="AW419" t="inlineStr">
        <is>
          <t>2014_NB_Line 59000</t>
        </is>
      </c>
      <c r="AX419" s="101" t="n"/>
    </row>
    <row r="420">
      <c r="AW420" t="inlineStr">
        <is>
          <t>2014_NB_Line 59010</t>
        </is>
      </c>
      <c r="AX420" s="101" t="n"/>
    </row>
    <row r="421">
      <c r="AW421" t="inlineStr">
        <is>
          <t>2014_NB_Line 59030</t>
        </is>
      </c>
      <c r="AX421" s="101" t="n"/>
    </row>
    <row r="422">
      <c r="AW422" t="inlineStr">
        <is>
          <t>2014_NB_Line 59040</t>
        </is>
      </c>
      <c r="AX422" s="101" t="n"/>
    </row>
    <row r="423">
      <c r="AW423" t="inlineStr">
        <is>
          <t>2023_NL_Line 59020</t>
        </is>
      </c>
      <c r="AX423" s="101" t="n"/>
    </row>
    <row r="424">
      <c r="AW424" t="inlineStr">
        <is>
          <t>2023_NL_Line 59050</t>
        </is>
      </c>
      <c r="AX424" s="101" t="n"/>
    </row>
    <row r="425">
      <c r="AW425" t="inlineStr">
        <is>
          <t>2023_NL_Line 59070</t>
        </is>
      </c>
      <c r="AX425" s="101" t="n"/>
    </row>
    <row r="426">
      <c r="AW426" t="inlineStr">
        <is>
          <t>2023_NL_Line 59090</t>
        </is>
      </c>
      <c r="AX426" s="101" t="n"/>
    </row>
    <row r="427">
      <c r="AW427" t="inlineStr">
        <is>
          <t>2023_NL_Line 59000</t>
        </is>
      </c>
      <c r="AX427" s="101" t="n"/>
    </row>
    <row r="428">
      <c r="AW428" t="inlineStr">
        <is>
          <t>2023_NL_Line 59010</t>
        </is>
      </c>
      <c r="AX428" s="101" t="n"/>
    </row>
    <row r="429">
      <c r="AW429" t="inlineStr">
        <is>
          <t>2023_NL_Line 59030</t>
        </is>
      </c>
      <c r="AX429" s="101" t="n"/>
    </row>
    <row r="430">
      <c r="AW430" t="inlineStr">
        <is>
          <t>2023_NL_Line 59040</t>
        </is>
      </c>
      <c r="AX430" s="101" t="n"/>
    </row>
    <row r="431">
      <c r="AW431" t="inlineStr">
        <is>
          <t>2022_NL_Line 59020</t>
        </is>
      </c>
      <c r="AX431" s="101" t="n"/>
    </row>
    <row r="432">
      <c r="AW432" t="inlineStr">
        <is>
          <t>2022_NL_Line 59050</t>
        </is>
      </c>
      <c r="AX432" s="101" t="n"/>
    </row>
    <row r="433">
      <c r="AW433" t="inlineStr">
        <is>
          <t>2022_NL_Line 59070</t>
        </is>
      </c>
      <c r="AX433" s="101" t="n"/>
    </row>
    <row r="434">
      <c r="AW434" t="inlineStr">
        <is>
          <t>2022_NL_Line 59090</t>
        </is>
      </c>
      <c r="AX434" s="101" t="n"/>
    </row>
    <row r="435">
      <c r="AW435" t="inlineStr">
        <is>
          <t>2022_NL_Line 59000</t>
        </is>
      </c>
      <c r="AX435" s="101" t="n"/>
    </row>
    <row r="436">
      <c r="AW436" t="inlineStr">
        <is>
          <t>2022_NL_Line 59010</t>
        </is>
      </c>
      <c r="AX436" s="101" t="n"/>
    </row>
    <row r="437">
      <c r="AW437" t="inlineStr">
        <is>
          <t>2022_NL_Line 59030</t>
        </is>
      </c>
      <c r="AX437" s="101" t="n"/>
    </row>
    <row r="438">
      <c r="AW438" t="inlineStr">
        <is>
          <t>2022_NL_Line 59040</t>
        </is>
      </c>
      <c r="AX438" s="101" t="n"/>
    </row>
    <row r="439">
      <c r="AW439" t="inlineStr">
        <is>
          <t>2021_NL_Line 59020</t>
        </is>
      </c>
      <c r="AX439" s="101" t="n"/>
    </row>
    <row r="440">
      <c r="AW440" t="inlineStr">
        <is>
          <t>2021_NL_Line 59050</t>
        </is>
      </c>
      <c r="AX440" s="101" t="n"/>
    </row>
    <row r="441">
      <c r="AW441" t="inlineStr">
        <is>
          <t>2021_NL_Line 59070</t>
        </is>
      </c>
      <c r="AX441" s="101" t="n"/>
    </row>
    <row r="442">
      <c r="AW442" t="inlineStr">
        <is>
          <t>2021_NL_Line 59090</t>
        </is>
      </c>
      <c r="AX442" s="101" t="n"/>
    </row>
    <row r="443">
      <c r="AW443" t="inlineStr">
        <is>
          <t>2021_NL_Line 59000</t>
        </is>
      </c>
      <c r="AX443" s="101" t="n"/>
    </row>
    <row r="444">
      <c r="AW444" t="inlineStr">
        <is>
          <t>2021_NL_Line 59010</t>
        </is>
      </c>
      <c r="AX444" s="101" t="n"/>
    </row>
    <row r="445">
      <c r="AW445" t="inlineStr">
        <is>
          <t>2021_NL_Line 59030</t>
        </is>
      </c>
      <c r="AX445" s="101" t="n"/>
    </row>
    <row r="446">
      <c r="AW446" t="inlineStr">
        <is>
          <t>2021_NL_Line 59040</t>
        </is>
      </c>
      <c r="AX446" s="101" t="n"/>
    </row>
    <row r="447">
      <c r="AW447" t="inlineStr">
        <is>
          <t>2020_NL_Line 59020</t>
        </is>
      </c>
      <c r="AX447" s="101" t="n"/>
    </row>
    <row r="448">
      <c r="AW448" t="inlineStr">
        <is>
          <t>2020_NL_Line 59050</t>
        </is>
      </c>
      <c r="AX448" s="101" t="n"/>
    </row>
    <row r="449">
      <c r="AW449" t="inlineStr">
        <is>
          <t>2020_NL_Line 59070</t>
        </is>
      </c>
      <c r="AX449" s="101" t="n"/>
    </row>
    <row r="450">
      <c r="AW450" t="inlineStr">
        <is>
          <t>2020_NL_Line 59090</t>
        </is>
      </c>
      <c r="AX450" s="101" t="n"/>
    </row>
    <row r="451">
      <c r="AW451" t="inlineStr">
        <is>
          <t>2020_NL_Line 59000</t>
        </is>
      </c>
      <c r="AX451" s="101" t="n"/>
    </row>
    <row r="452">
      <c r="AW452" t="inlineStr">
        <is>
          <t>2020_NL_Line 59010</t>
        </is>
      </c>
      <c r="AX452" s="101" t="n"/>
    </row>
    <row r="453">
      <c r="AW453" t="inlineStr">
        <is>
          <t>2020_NL_Line 59030</t>
        </is>
      </c>
      <c r="AX453" s="101" t="n"/>
    </row>
    <row r="454">
      <c r="AW454" t="inlineStr">
        <is>
          <t>2020_NL_Line 59040</t>
        </is>
      </c>
      <c r="AX454" s="101" t="n"/>
    </row>
    <row r="455">
      <c r="AW455" t="inlineStr">
        <is>
          <t>2019_NL_Line 59020</t>
        </is>
      </c>
      <c r="AX455" s="101" t="n"/>
    </row>
    <row r="456">
      <c r="AW456" t="inlineStr">
        <is>
          <t>2019_NL_Line 59050</t>
        </is>
      </c>
      <c r="AX456" s="101" t="n"/>
    </row>
    <row r="457">
      <c r="AW457" t="inlineStr">
        <is>
          <t>2019_NL_Line 59070</t>
        </is>
      </c>
      <c r="AX457" s="101" t="n"/>
    </row>
    <row r="458">
      <c r="AW458" t="inlineStr">
        <is>
          <t>2019_NL_Line 59090</t>
        </is>
      </c>
      <c r="AX458" s="101" t="n"/>
    </row>
    <row r="459">
      <c r="AW459" t="inlineStr">
        <is>
          <t>2019_NL_Line 59000</t>
        </is>
      </c>
      <c r="AX459" s="101" t="n"/>
    </row>
    <row r="460">
      <c r="AW460" t="inlineStr">
        <is>
          <t>2019_NL_Line 59010</t>
        </is>
      </c>
      <c r="AX460" s="101" t="n"/>
    </row>
    <row r="461">
      <c r="AW461" t="inlineStr">
        <is>
          <t>2019_NL_Line 59030</t>
        </is>
      </c>
      <c r="AX461" s="101" t="n"/>
    </row>
    <row r="462">
      <c r="AW462" t="inlineStr">
        <is>
          <t>2019_NL_Line 59040</t>
        </is>
      </c>
      <c r="AX462" s="101" t="n"/>
    </row>
    <row r="463">
      <c r="AW463" t="inlineStr">
        <is>
          <t>2018_NL_Line 59020</t>
        </is>
      </c>
      <c r="AX463" s="101" t="n"/>
    </row>
    <row r="464">
      <c r="AW464" t="inlineStr">
        <is>
          <t>2018_NL_Line 59050</t>
        </is>
      </c>
      <c r="AX464" s="101" t="n"/>
    </row>
    <row r="465">
      <c r="AW465" t="inlineStr">
        <is>
          <t>2018_NL_Line 59070</t>
        </is>
      </c>
      <c r="AX465" s="101" t="n"/>
    </row>
    <row r="466">
      <c r="AW466" t="inlineStr">
        <is>
          <t>2018_NL_Line 59090</t>
        </is>
      </c>
      <c r="AX466" s="101" t="n"/>
    </row>
    <row r="467">
      <c r="AW467" t="inlineStr">
        <is>
          <t>2018_NL_Line 59000</t>
        </is>
      </c>
      <c r="AX467" s="101" t="n"/>
    </row>
    <row r="468">
      <c r="AW468" t="inlineStr">
        <is>
          <t>2018_NL_Line 59010</t>
        </is>
      </c>
      <c r="AX468" s="101" t="n"/>
    </row>
    <row r="469">
      <c r="AW469" t="inlineStr">
        <is>
          <t>2018_NL_Line 59030</t>
        </is>
      </c>
      <c r="AX469" s="101" t="n"/>
    </row>
    <row r="470">
      <c r="AW470" t="inlineStr">
        <is>
          <t>2018_NL_Line 59040</t>
        </is>
      </c>
      <c r="AX470" s="101" t="n"/>
    </row>
    <row r="471">
      <c r="AW471" t="inlineStr">
        <is>
          <t>2017_NL_Line 59020</t>
        </is>
      </c>
      <c r="AX471" s="101" t="n"/>
    </row>
    <row r="472">
      <c r="AW472" t="inlineStr">
        <is>
          <t>2017_NL_Line 59050</t>
        </is>
      </c>
      <c r="AX472" s="101" t="n"/>
    </row>
    <row r="473">
      <c r="AW473" t="inlineStr">
        <is>
          <t>2017_NL_Line 59070</t>
        </is>
      </c>
      <c r="AX473" s="101" t="n"/>
    </row>
    <row r="474">
      <c r="AW474" t="inlineStr">
        <is>
          <t>2017_NL_Line 59090</t>
        </is>
      </c>
      <c r="AX474" s="101" t="n"/>
    </row>
    <row r="475">
      <c r="AW475" t="inlineStr">
        <is>
          <t>2017_NL_Line 59000</t>
        </is>
      </c>
      <c r="AX475" s="101" t="n"/>
    </row>
    <row r="476">
      <c r="AW476" t="inlineStr">
        <is>
          <t>2017_NL_Line 59010</t>
        </is>
      </c>
      <c r="AX476" s="101" t="n"/>
    </row>
    <row r="477">
      <c r="AW477" t="inlineStr">
        <is>
          <t>2017_NL_Line 59030</t>
        </is>
      </c>
      <c r="AX477" s="101" t="n"/>
    </row>
    <row r="478">
      <c r="AW478" t="inlineStr">
        <is>
          <t>2017_NL_Line 59040</t>
        </is>
      </c>
      <c r="AX478" s="101" t="n"/>
    </row>
    <row r="479">
      <c r="AW479" t="inlineStr">
        <is>
          <t>2016_NL_Line 59020</t>
        </is>
      </c>
      <c r="AX479" s="101" t="n"/>
    </row>
    <row r="480">
      <c r="AW480" t="inlineStr">
        <is>
          <t>2016_NL_Line 59050</t>
        </is>
      </c>
      <c r="AX480" s="101" t="n"/>
    </row>
    <row r="481">
      <c r="AW481" t="inlineStr">
        <is>
          <t>2016_NL_Line 59070</t>
        </is>
      </c>
      <c r="AX481" s="101" t="n"/>
    </row>
    <row r="482">
      <c r="AW482" t="inlineStr">
        <is>
          <t>2016_NL_Line 59090</t>
        </is>
      </c>
      <c r="AX482" s="101" t="n"/>
    </row>
    <row r="483">
      <c r="AW483" t="inlineStr">
        <is>
          <t>2016_NL_Line 59000</t>
        </is>
      </c>
      <c r="AX483" s="101" t="n"/>
    </row>
    <row r="484">
      <c r="AW484" t="inlineStr">
        <is>
          <t>2016_NL_Line 59010</t>
        </is>
      </c>
      <c r="AX484" s="101" t="n"/>
    </row>
    <row r="485">
      <c r="AW485" t="inlineStr">
        <is>
          <t>2016_NL_Line 59030</t>
        </is>
      </c>
      <c r="AX485" s="101" t="n"/>
    </row>
    <row r="486">
      <c r="AW486" t="inlineStr">
        <is>
          <t>2016_NL_Line 59040</t>
        </is>
      </c>
      <c r="AX486" s="101" t="n"/>
    </row>
    <row r="487">
      <c r="AW487" t="inlineStr">
        <is>
          <t>2015_NL_Line 59020</t>
        </is>
      </c>
      <c r="AX487" s="101" t="n"/>
    </row>
    <row r="488">
      <c r="AW488" t="inlineStr">
        <is>
          <t>2015_NL_Line 59050</t>
        </is>
      </c>
      <c r="AX488" s="101" t="n"/>
    </row>
    <row r="489">
      <c r="AW489" t="inlineStr">
        <is>
          <t>2015_NL_Line 59070</t>
        </is>
      </c>
      <c r="AX489" s="101" t="n"/>
    </row>
    <row r="490">
      <c r="AW490" t="inlineStr">
        <is>
          <t>2015_NL_Line 59090</t>
        </is>
      </c>
      <c r="AX490" s="101" t="n"/>
    </row>
    <row r="491">
      <c r="AW491" t="inlineStr">
        <is>
          <t>2015_NL_Line 59000</t>
        </is>
      </c>
      <c r="AX491" s="101" t="n"/>
    </row>
    <row r="492">
      <c r="AW492" t="inlineStr">
        <is>
          <t>2015_NL_Line 59010</t>
        </is>
      </c>
      <c r="AX492" s="101" t="n"/>
    </row>
    <row r="493">
      <c r="AW493" t="inlineStr">
        <is>
          <t>2015_NL_Line 59030</t>
        </is>
      </c>
      <c r="AX493" s="101" t="n"/>
    </row>
    <row r="494">
      <c r="AW494" t="inlineStr">
        <is>
          <t>2015_NL_Line 59040</t>
        </is>
      </c>
      <c r="AX494" s="101" t="n"/>
    </row>
    <row r="495">
      <c r="AW495" t="inlineStr">
        <is>
          <t>2014_NL_Line 59020</t>
        </is>
      </c>
      <c r="AX495" s="101" t="n"/>
    </row>
    <row r="496">
      <c r="AW496" t="inlineStr">
        <is>
          <t>2014_NL_Line 59050</t>
        </is>
      </c>
      <c r="AX496" s="101" t="n"/>
    </row>
    <row r="497">
      <c r="AW497" t="inlineStr">
        <is>
          <t>2014_NL_Line 59070</t>
        </is>
      </c>
      <c r="AX497" s="101" t="n"/>
    </row>
    <row r="498">
      <c r="AW498" t="inlineStr">
        <is>
          <t>2014_NL_Line 59090</t>
        </is>
      </c>
      <c r="AX498" s="101" t="n"/>
    </row>
    <row r="499">
      <c r="AW499" t="inlineStr">
        <is>
          <t>2014_NL_Line 59000</t>
        </is>
      </c>
      <c r="AX499" s="101" t="n"/>
    </row>
    <row r="500">
      <c r="AW500" t="inlineStr">
        <is>
          <t>2014_NL_Line 59010</t>
        </is>
      </c>
      <c r="AX500" s="101" t="n"/>
    </row>
    <row r="501">
      <c r="AW501" t="inlineStr">
        <is>
          <t>2014_NL_Line 59030</t>
        </is>
      </c>
      <c r="AX501" s="101" t="n"/>
    </row>
    <row r="502">
      <c r="AW502" t="inlineStr">
        <is>
          <t>2014_NL_Line 59040</t>
        </is>
      </c>
      <c r="AX502" s="101" t="n"/>
    </row>
    <row r="503">
      <c r="AW503" t="inlineStr">
        <is>
          <t>2023_NT_Line 59020</t>
        </is>
      </c>
      <c r="AX503" s="101" t="n"/>
    </row>
    <row r="504">
      <c r="AW504" t="inlineStr">
        <is>
          <t>2023_NT_Line 59050</t>
        </is>
      </c>
      <c r="AX504" s="101" t="n"/>
    </row>
    <row r="505">
      <c r="AW505" t="inlineStr">
        <is>
          <t>2023_NT_Line 59070</t>
        </is>
      </c>
      <c r="AX505" s="101" t="n"/>
    </row>
    <row r="506">
      <c r="AW506" t="inlineStr">
        <is>
          <t>2023_NT_Line 59090</t>
        </is>
      </c>
      <c r="AX506" s="101" t="n"/>
    </row>
    <row r="507">
      <c r="AW507" t="inlineStr">
        <is>
          <t>2023_NT_Line 59000</t>
        </is>
      </c>
      <c r="AX507" s="101" t="n"/>
    </row>
    <row r="508">
      <c r="AW508" t="inlineStr">
        <is>
          <t>2023_NT_Line 59010</t>
        </is>
      </c>
      <c r="AX508" s="101" t="n"/>
    </row>
    <row r="509">
      <c r="AW509" t="inlineStr">
        <is>
          <t>2023_NT_Line 59030</t>
        </is>
      </c>
      <c r="AX509" s="101" t="n"/>
    </row>
    <row r="510">
      <c r="AW510" t="inlineStr">
        <is>
          <t>2023_NT_Line 59040</t>
        </is>
      </c>
      <c r="AX510" s="101" t="n"/>
    </row>
    <row r="511">
      <c r="AW511" t="inlineStr">
        <is>
          <t>2022_NT_Line 59020</t>
        </is>
      </c>
      <c r="AX511" s="101" t="n"/>
    </row>
    <row r="512">
      <c r="AW512" t="inlineStr">
        <is>
          <t>2022_NT_Line 59050</t>
        </is>
      </c>
      <c r="AX512" s="101" t="n"/>
    </row>
    <row r="513">
      <c r="AW513" t="inlineStr">
        <is>
          <t>2022_NT_Line 59070</t>
        </is>
      </c>
      <c r="AX513" s="101" t="n"/>
    </row>
    <row r="514">
      <c r="AW514" t="inlineStr">
        <is>
          <t>2022_NT_Line 59090</t>
        </is>
      </c>
      <c r="AX514" s="101" t="n"/>
    </row>
    <row r="515">
      <c r="AW515" t="inlineStr">
        <is>
          <t>2022_NT_Line 59000</t>
        </is>
      </c>
      <c r="AX515" s="101" t="n"/>
    </row>
    <row r="516">
      <c r="AW516" t="inlineStr">
        <is>
          <t>2022_NT_Line 59010</t>
        </is>
      </c>
      <c r="AX516" s="101" t="n"/>
    </row>
    <row r="517">
      <c r="AW517" t="inlineStr">
        <is>
          <t>2022_NT_Line 59030</t>
        </is>
      </c>
      <c r="AX517" s="101" t="n"/>
    </row>
    <row r="518">
      <c r="AW518" t="inlineStr">
        <is>
          <t>2022_NT_Line 59040</t>
        </is>
      </c>
      <c r="AX518" s="101" t="n"/>
    </row>
    <row r="519">
      <c r="AW519" t="inlineStr">
        <is>
          <t>2021_NT_Line 59020</t>
        </is>
      </c>
      <c r="AX519" s="101" t="n"/>
    </row>
    <row r="520">
      <c r="AW520" t="inlineStr">
        <is>
          <t>2021_NT_Line 59050</t>
        </is>
      </c>
      <c r="AX520" s="101" t="n"/>
    </row>
    <row r="521">
      <c r="AW521" t="inlineStr">
        <is>
          <t>2021_NT_Line 59070</t>
        </is>
      </c>
      <c r="AX521" s="101" t="n"/>
    </row>
    <row r="522">
      <c r="AW522" t="inlineStr">
        <is>
          <t>2021_NT_Line 59090</t>
        </is>
      </c>
      <c r="AX522" s="101" t="n"/>
    </row>
    <row r="523">
      <c r="AW523" t="inlineStr">
        <is>
          <t>2021_NT_Line 59000</t>
        </is>
      </c>
      <c r="AX523" s="101" t="n"/>
    </row>
    <row r="524">
      <c r="AW524" t="inlineStr">
        <is>
          <t>2021_NT_Line 59010</t>
        </is>
      </c>
      <c r="AX524" s="101" t="n"/>
    </row>
    <row r="525">
      <c r="AW525" t="inlineStr">
        <is>
          <t>2021_NT_Line 59030</t>
        </is>
      </c>
      <c r="AX525" s="101" t="n"/>
    </row>
    <row r="526">
      <c r="AW526" t="inlineStr">
        <is>
          <t>2021_NT_Line 59040</t>
        </is>
      </c>
      <c r="AX526" s="101" t="n"/>
    </row>
    <row r="527">
      <c r="AW527" t="inlineStr">
        <is>
          <t>2020_NT_Line 59020</t>
        </is>
      </c>
      <c r="AX527" s="101" t="n"/>
    </row>
    <row r="528">
      <c r="AW528" t="inlineStr">
        <is>
          <t>2020_NT_Line 59050</t>
        </is>
      </c>
      <c r="AX528" s="101" t="n"/>
    </row>
    <row r="529">
      <c r="AW529" t="inlineStr">
        <is>
          <t>2020_NT_Line 59070</t>
        </is>
      </c>
      <c r="AX529" s="101" t="n"/>
    </row>
    <row r="530">
      <c r="AW530" t="inlineStr">
        <is>
          <t>2020_NT_Line 59090</t>
        </is>
      </c>
      <c r="AX530" s="101" t="n"/>
    </row>
    <row r="531">
      <c r="AW531" t="inlineStr">
        <is>
          <t>2020_NT_Line 59000</t>
        </is>
      </c>
      <c r="AX531" s="101" t="n"/>
    </row>
    <row r="532">
      <c r="AW532" t="inlineStr">
        <is>
          <t>2020_NT_Line 59010</t>
        </is>
      </c>
      <c r="AX532" s="101" t="n"/>
    </row>
    <row r="533">
      <c r="AW533" t="inlineStr">
        <is>
          <t>2020_NT_Line 59030</t>
        </is>
      </c>
      <c r="AX533" s="101" t="n"/>
    </row>
    <row r="534">
      <c r="AW534" t="inlineStr">
        <is>
          <t>2020_NT_Line 59040</t>
        </is>
      </c>
      <c r="AX534" s="101" t="n"/>
    </row>
    <row r="535">
      <c r="AW535" t="inlineStr">
        <is>
          <t>2019_NT_Line 59020</t>
        </is>
      </c>
      <c r="AX535" s="101" t="n"/>
    </row>
    <row r="536">
      <c r="AW536" t="inlineStr">
        <is>
          <t>2019_NT_Line 59050</t>
        </is>
      </c>
      <c r="AX536" s="101" t="n"/>
    </row>
    <row r="537">
      <c r="AW537" t="inlineStr">
        <is>
          <t>2019_NT_Line 59070</t>
        </is>
      </c>
      <c r="AX537" s="101" t="n"/>
    </row>
    <row r="538">
      <c r="AW538" t="inlineStr">
        <is>
          <t>2019_NT_Line 59090</t>
        </is>
      </c>
      <c r="AX538" s="101" t="n"/>
    </row>
    <row r="539">
      <c r="AW539" t="inlineStr">
        <is>
          <t>2019_NT_Line 59000</t>
        </is>
      </c>
      <c r="AX539" s="101" t="n"/>
    </row>
    <row r="540">
      <c r="AW540" t="inlineStr">
        <is>
          <t>2019_NT_Line 59010</t>
        </is>
      </c>
      <c r="AX540" s="101" t="n"/>
    </row>
    <row r="541">
      <c r="AW541" t="inlineStr">
        <is>
          <t>2019_NT_Line 59030</t>
        </is>
      </c>
      <c r="AX541" s="101" t="n"/>
    </row>
    <row r="542">
      <c r="AW542" t="inlineStr">
        <is>
          <t>2019_NT_Line 59040</t>
        </is>
      </c>
      <c r="AX542" s="101" t="n"/>
    </row>
    <row r="543">
      <c r="AW543" t="inlineStr">
        <is>
          <t>2018_NT_Line 59020</t>
        </is>
      </c>
      <c r="AX543" s="101" t="n"/>
    </row>
    <row r="544">
      <c r="AW544" t="inlineStr">
        <is>
          <t>2018_NT_Line 59050</t>
        </is>
      </c>
      <c r="AX544" s="101" t="n"/>
    </row>
    <row r="545">
      <c r="AW545" t="inlineStr">
        <is>
          <t>2018_NT_Line 59070</t>
        </is>
      </c>
      <c r="AX545" s="101" t="n"/>
    </row>
    <row r="546">
      <c r="AW546" t="inlineStr">
        <is>
          <t>2018_NT_Line 59090</t>
        </is>
      </c>
      <c r="AX546" s="101" t="n"/>
    </row>
    <row r="547">
      <c r="AW547" t="inlineStr">
        <is>
          <t>2018_NT_Line 59000</t>
        </is>
      </c>
      <c r="AX547" s="101" t="n"/>
    </row>
    <row r="548">
      <c r="AW548" t="inlineStr">
        <is>
          <t>2018_NT_Line 59010</t>
        </is>
      </c>
      <c r="AX548" s="101" t="n"/>
    </row>
    <row r="549">
      <c r="AW549" t="inlineStr">
        <is>
          <t>2018_NT_Line 59030</t>
        </is>
      </c>
      <c r="AX549" s="101" t="n"/>
    </row>
    <row r="550">
      <c r="AW550" t="inlineStr">
        <is>
          <t>2018_NT_Line 59040</t>
        </is>
      </c>
      <c r="AX550" s="101" t="n"/>
    </row>
    <row r="551">
      <c r="AW551" t="inlineStr">
        <is>
          <t>2017_NT_Line 59020</t>
        </is>
      </c>
      <c r="AX551" s="101" t="n"/>
    </row>
    <row r="552">
      <c r="AW552" t="inlineStr">
        <is>
          <t>2017_NT_Line 59050</t>
        </is>
      </c>
      <c r="AX552" s="101" t="n"/>
    </row>
    <row r="553">
      <c r="AW553" t="inlineStr">
        <is>
          <t>2017_NT_Line 59070</t>
        </is>
      </c>
      <c r="AX553" s="101" t="n"/>
    </row>
    <row r="554">
      <c r="AW554" t="inlineStr">
        <is>
          <t>2017_NT_Line 59090</t>
        </is>
      </c>
      <c r="AX554" s="101" t="n"/>
    </row>
    <row r="555">
      <c r="AW555" t="inlineStr">
        <is>
          <t>2017_NT_Line 59000</t>
        </is>
      </c>
      <c r="AX555" s="101" t="n"/>
    </row>
    <row r="556">
      <c r="AW556" t="inlineStr">
        <is>
          <t>2017_NT_Line 59010</t>
        </is>
      </c>
      <c r="AX556" s="101" t="n"/>
    </row>
    <row r="557">
      <c r="AW557" t="inlineStr">
        <is>
          <t>2017_NT_Line 59030</t>
        </is>
      </c>
      <c r="AX557" s="101" t="n"/>
    </row>
    <row r="558">
      <c r="AW558" t="inlineStr">
        <is>
          <t>2017_NT_Line 59040</t>
        </is>
      </c>
      <c r="AX558" s="101" t="n"/>
    </row>
    <row r="559">
      <c r="AW559" t="inlineStr">
        <is>
          <t>2016_NT_Line 59020</t>
        </is>
      </c>
      <c r="AX559" s="101" t="n"/>
    </row>
    <row r="560">
      <c r="AW560" t="inlineStr">
        <is>
          <t>2016_NT_Line 59050</t>
        </is>
      </c>
      <c r="AX560" s="101" t="n"/>
    </row>
    <row r="561">
      <c r="AW561" t="inlineStr">
        <is>
          <t>2016_NT_Line 59070</t>
        </is>
      </c>
      <c r="AX561" s="101" t="n"/>
    </row>
    <row r="562">
      <c r="AW562" t="inlineStr">
        <is>
          <t>2016_NT_Line 59090</t>
        </is>
      </c>
      <c r="AX562" s="101" t="n"/>
    </row>
    <row r="563">
      <c r="AW563" t="inlineStr">
        <is>
          <t>2016_NT_Line 59000</t>
        </is>
      </c>
      <c r="AX563" s="101" t="n"/>
    </row>
    <row r="564">
      <c r="AW564" t="inlineStr">
        <is>
          <t>2016_NT_Line 59010</t>
        </is>
      </c>
      <c r="AX564" s="101" t="n"/>
    </row>
    <row r="565">
      <c r="AW565" t="inlineStr">
        <is>
          <t>2016_NT_Line 59030</t>
        </is>
      </c>
      <c r="AX565" s="101" t="n"/>
    </row>
    <row r="566">
      <c r="AW566" t="inlineStr">
        <is>
          <t>2016_NT_Line 59040</t>
        </is>
      </c>
      <c r="AX566" s="101" t="n"/>
    </row>
    <row r="567">
      <c r="AW567" t="inlineStr">
        <is>
          <t>2015_NT_Line 59020</t>
        </is>
      </c>
      <c r="AX567" s="101" t="n"/>
    </row>
    <row r="568">
      <c r="AW568" t="inlineStr">
        <is>
          <t>2015_NT_Line 59050</t>
        </is>
      </c>
      <c r="AX568" s="101" t="n"/>
    </row>
    <row r="569">
      <c r="AW569" t="inlineStr">
        <is>
          <t>2015_NT_Line 59070</t>
        </is>
      </c>
      <c r="AX569" s="101" t="n"/>
    </row>
    <row r="570">
      <c r="AW570" t="inlineStr">
        <is>
          <t>2015_NT_Line 59090</t>
        </is>
      </c>
      <c r="AX570" s="101" t="n"/>
    </row>
    <row r="571">
      <c r="AW571" t="inlineStr">
        <is>
          <t>2015_NT_Line 59000</t>
        </is>
      </c>
      <c r="AX571" s="101" t="n"/>
    </row>
    <row r="572">
      <c r="AW572" t="inlineStr">
        <is>
          <t>2015_NT_Line 59010</t>
        </is>
      </c>
      <c r="AX572" s="101" t="n"/>
    </row>
    <row r="573">
      <c r="AW573" t="inlineStr">
        <is>
          <t>2015_NT_Line 59030</t>
        </is>
      </c>
      <c r="AX573" s="101" t="n"/>
    </row>
    <row r="574">
      <c r="AW574" t="inlineStr">
        <is>
          <t>2015_NT_Line 59040</t>
        </is>
      </c>
      <c r="AX574" s="101" t="n"/>
    </row>
    <row r="575">
      <c r="AW575" t="inlineStr">
        <is>
          <t>2014_NT_Line 59020</t>
        </is>
      </c>
      <c r="AX575" s="101" t="n"/>
    </row>
    <row r="576">
      <c r="AW576" t="inlineStr">
        <is>
          <t>2014_NT_Line 59050</t>
        </is>
      </c>
      <c r="AX576" s="101" t="n"/>
    </row>
    <row r="577">
      <c r="AW577" t="inlineStr">
        <is>
          <t>2014_NT_Line 59070</t>
        </is>
      </c>
      <c r="AX577" s="101" t="n"/>
    </row>
    <row r="578">
      <c r="AW578" t="inlineStr">
        <is>
          <t>2014_NT_Line 59090</t>
        </is>
      </c>
      <c r="AX578" s="101" t="n"/>
    </row>
    <row r="579">
      <c r="AW579" t="inlineStr">
        <is>
          <t>2014_NT_Line 59000</t>
        </is>
      </c>
      <c r="AX579" s="101" t="n"/>
    </row>
    <row r="580">
      <c r="AW580" t="inlineStr">
        <is>
          <t>2014_NT_Line 59010</t>
        </is>
      </c>
      <c r="AX580" s="101" t="n"/>
    </row>
    <row r="581">
      <c r="AW581" t="inlineStr">
        <is>
          <t>2014_NT_Line 59030</t>
        </is>
      </c>
      <c r="AX581" s="101" t="n"/>
    </row>
    <row r="582">
      <c r="AW582" t="inlineStr">
        <is>
          <t>2014_NT_Line 59040</t>
        </is>
      </c>
      <c r="AX582" s="101" t="n"/>
    </row>
    <row r="583">
      <c r="AW583" t="inlineStr">
        <is>
          <t>2023_NS_Line 59020</t>
        </is>
      </c>
      <c r="AX583" s="101" t="n"/>
    </row>
    <row r="584">
      <c r="AW584" t="inlineStr">
        <is>
          <t>2023_NS_Line 59050</t>
        </is>
      </c>
      <c r="AX584" s="101" t="n"/>
    </row>
    <row r="585">
      <c r="AW585" t="inlineStr">
        <is>
          <t>2023_NS_Line 59070</t>
        </is>
      </c>
      <c r="AX585" s="101" t="n"/>
    </row>
    <row r="586">
      <c r="AW586" t="inlineStr">
        <is>
          <t>2023_NS_Line 59090</t>
        </is>
      </c>
      <c r="AX586" s="101" t="n"/>
    </row>
    <row r="587">
      <c r="AW587" t="inlineStr">
        <is>
          <t>2023_NS_Line 59000</t>
        </is>
      </c>
      <c r="AX587" s="101" t="n"/>
    </row>
    <row r="588">
      <c r="AW588" t="inlineStr">
        <is>
          <t>2023_NS_Line 59010</t>
        </is>
      </c>
      <c r="AX588" s="101" t="n"/>
    </row>
    <row r="589">
      <c r="AW589" t="inlineStr">
        <is>
          <t>2023_NS_Line 59030</t>
        </is>
      </c>
      <c r="AX589" s="101" t="n"/>
    </row>
    <row r="590">
      <c r="AW590" t="inlineStr">
        <is>
          <t>2023_NS_Line 59040</t>
        </is>
      </c>
      <c r="AX590" s="101" t="n"/>
    </row>
    <row r="591">
      <c r="AW591" t="inlineStr">
        <is>
          <t>2022_NS_Line 59020</t>
        </is>
      </c>
      <c r="AX591" s="101" t="n"/>
    </row>
    <row r="592">
      <c r="AW592" t="inlineStr">
        <is>
          <t>2022_NS_Line 59050</t>
        </is>
      </c>
      <c r="AX592" s="101" t="n"/>
    </row>
    <row r="593">
      <c r="AW593" t="inlineStr">
        <is>
          <t>2022_NS_Line 59070</t>
        </is>
      </c>
      <c r="AX593" s="101" t="n"/>
    </row>
    <row r="594">
      <c r="AW594" t="inlineStr">
        <is>
          <t>2022_NS_Line 59090</t>
        </is>
      </c>
      <c r="AX594" s="101" t="n"/>
    </row>
    <row r="595">
      <c r="AW595" t="inlineStr">
        <is>
          <t>2022_NS_Line 59000</t>
        </is>
      </c>
      <c r="AX595" s="101" t="n"/>
    </row>
    <row r="596">
      <c r="AW596" t="inlineStr">
        <is>
          <t>2022_NS_Line 59010</t>
        </is>
      </c>
      <c r="AX596" s="101" t="n"/>
    </row>
    <row r="597">
      <c r="AW597" t="inlineStr">
        <is>
          <t>2022_NS_Line 59030</t>
        </is>
      </c>
      <c r="AX597" s="101" t="n"/>
    </row>
    <row r="598">
      <c r="AW598" t="inlineStr">
        <is>
          <t>2022_NS_Line 59040</t>
        </is>
      </c>
      <c r="AX598" s="101" t="n"/>
    </row>
    <row r="599">
      <c r="AW599" t="inlineStr">
        <is>
          <t>2021_NS_Line 59020</t>
        </is>
      </c>
      <c r="AX599" s="101" t="n"/>
    </row>
    <row r="600">
      <c r="AW600" t="inlineStr">
        <is>
          <t>2021_NS_Line 59050</t>
        </is>
      </c>
      <c r="AX600" s="101" t="n"/>
    </row>
    <row r="601">
      <c r="AW601" t="inlineStr">
        <is>
          <t>2021_NS_Line 59070</t>
        </is>
      </c>
      <c r="AX601" s="101" t="n"/>
    </row>
    <row r="602">
      <c r="AW602" t="inlineStr">
        <is>
          <t>2021_NS_Line 59090</t>
        </is>
      </c>
      <c r="AX602" s="101" t="n"/>
    </row>
    <row r="603">
      <c r="AW603" t="inlineStr">
        <is>
          <t>2021_NS_Line 59000</t>
        </is>
      </c>
      <c r="AX603" s="101" t="n"/>
    </row>
    <row r="604">
      <c r="AW604" t="inlineStr">
        <is>
          <t>2021_NS_Line 59010</t>
        </is>
      </c>
      <c r="AX604" s="101" t="n"/>
    </row>
    <row r="605">
      <c r="AW605" t="inlineStr">
        <is>
          <t>2021_NS_Line 59030</t>
        </is>
      </c>
      <c r="AX605" s="101" t="n"/>
    </row>
    <row r="606">
      <c r="AW606" t="inlineStr">
        <is>
          <t>2021_NS_Line 59040</t>
        </is>
      </c>
      <c r="AX606" s="101" t="n"/>
    </row>
    <row r="607">
      <c r="AW607" t="inlineStr">
        <is>
          <t>2020_NS_Line 59020</t>
        </is>
      </c>
      <c r="AX607" s="101" t="n"/>
    </row>
    <row r="608">
      <c r="AW608" t="inlineStr">
        <is>
          <t>2020_NS_Line 59050</t>
        </is>
      </c>
      <c r="AX608" s="101" t="n"/>
    </row>
    <row r="609">
      <c r="AW609" t="inlineStr">
        <is>
          <t>2020_NS_Line 59070</t>
        </is>
      </c>
      <c r="AX609" s="101" t="n"/>
    </row>
    <row r="610">
      <c r="AW610" t="inlineStr">
        <is>
          <t>2020_NS_Line 59090</t>
        </is>
      </c>
      <c r="AX610" s="101" t="n"/>
    </row>
    <row r="611">
      <c r="AW611" t="inlineStr">
        <is>
          <t>2020_NS_Line 59000</t>
        </is>
      </c>
      <c r="AX611" s="101" t="n"/>
    </row>
    <row r="612">
      <c r="AW612" t="inlineStr">
        <is>
          <t>2020_NS_Line 59010</t>
        </is>
      </c>
      <c r="AX612" s="101" t="n"/>
    </row>
    <row r="613">
      <c r="AW613" t="inlineStr">
        <is>
          <t>2020_NS_Line 59030</t>
        </is>
      </c>
      <c r="AX613" s="101" t="n"/>
    </row>
    <row r="614">
      <c r="AW614" t="inlineStr">
        <is>
          <t>2020_NS_Line 59040</t>
        </is>
      </c>
      <c r="AX614" s="101" t="n"/>
    </row>
    <row r="615">
      <c r="AW615" t="inlineStr">
        <is>
          <t>2019_NS_Line 59020</t>
        </is>
      </c>
      <c r="AX615" s="101" t="n"/>
    </row>
    <row r="616">
      <c r="AW616" t="inlineStr">
        <is>
          <t>2019_NS_Line 59050</t>
        </is>
      </c>
      <c r="AX616" s="101" t="n"/>
    </row>
    <row r="617">
      <c r="AW617" t="inlineStr">
        <is>
          <t>2019_NS_Line 59070</t>
        </is>
      </c>
      <c r="AX617" s="101" t="n"/>
    </row>
    <row r="618">
      <c r="AW618" t="inlineStr">
        <is>
          <t>2019_NS_Line 59090</t>
        </is>
      </c>
      <c r="AX618" s="101" t="n"/>
    </row>
    <row r="619">
      <c r="AW619" t="inlineStr">
        <is>
          <t>2019_NS_Line 59000</t>
        </is>
      </c>
      <c r="AX619" s="101" t="n"/>
    </row>
    <row r="620">
      <c r="AW620" t="inlineStr">
        <is>
          <t>2019_NS_Line 59010</t>
        </is>
      </c>
      <c r="AX620" s="101" t="n"/>
    </row>
    <row r="621">
      <c r="AW621" t="inlineStr">
        <is>
          <t>2019_NS_Line 59030</t>
        </is>
      </c>
      <c r="AX621" s="101" t="n"/>
    </row>
    <row r="622">
      <c r="AW622" t="inlineStr">
        <is>
          <t>2019_NS_Line 59040</t>
        </is>
      </c>
      <c r="AX622" s="101" t="n"/>
    </row>
    <row r="623">
      <c r="AW623" t="inlineStr">
        <is>
          <t>2018_NS_Line 59020</t>
        </is>
      </c>
      <c r="AX623" s="101" t="n"/>
    </row>
    <row r="624">
      <c r="AW624" t="inlineStr">
        <is>
          <t>2018_NS_Line 59050</t>
        </is>
      </c>
      <c r="AX624" s="101" t="n"/>
    </row>
    <row r="625">
      <c r="AW625" t="inlineStr">
        <is>
          <t>2018_NS_Line 59070</t>
        </is>
      </c>
      <c r="AX625" s="101" t="n"/>
    </row>
    <row r="626">
      <c r="AW626" t="inlineStr">
        <is>
          <t>2018_NS_Line 59090</t>
        </is>
      </c>
      <c r="AX626" s="101" t="n"/>
    </row>
    <row r="627">
      <c r="AW627" t="inlineStr">
        <is>
          <t>2018_NS_Line 59000</t>
        </is>
      </c>
      <c r="AX627" s="101" t="n"/>
    </row>
    <row r="628">
      <c r="AW628" t="inlineStr">
        <is>
          <t>2018_NS_Line 59010</t>
        </is>
      </c>
      <c r="AX628" s="101" t="n"/>
    </row>
    <row r="629">
      <c r="AW629" t="inlineStr">
        <is>
          <t>2018_NS_Line 59030</t>
        </is>
      </c>
      <c r="AX629" s="101" t="n"/>
    </row>
    <row r="630">
      <c r="AW630" t="inlineStr">
        <is>
          <t>2018_NS_Line 59040</t>
        </is>
      </c>
      <c r="AX630" s="101" t="n"/>
    </row>
    <row r="631">
      <c r="AW631" t="inlineStr">
        <is>
          <t>2017_NS_Line 59020</t>
        </is>
      </c>
      <c r="AX631" s="101" t="n"/>
    </row>
    <row r="632">
      <c r="AW632" t="inlineStr">
        <is>
          <t>2017_NS_Line 59050</t>
        </is>
      </c>
      <c r="AX632" s="101" t="n"/>
    </row>
    <row r="633">
      <c r="AW633" t="inlineStr">
        <is>
          <t>2017_NS_Line 59070</t>
        </is>
      </c>
      <c r="AX633" s="101" t="n"/>
    </row>
    <row r="634">
      <c r="AW634" t="inlineStr">
        <is>
          <t>2017_NS_Line 59090</t>
        </is>
      </c>
      <c r="AX634" s="101" t="n"/>
    </row>
    <row r="635">
      <c r="AW635" t="inlineStr">
        <is>
          <t>2017_NS_Line 59000</t>
        </is>
      </c>
      <c r="AX635" s="101" t="n"/>
    </row>
    <row r="636">
      <c r="AW636" t="inlineStr">
        <is>
          <t>2017_NS_Line 59010</t>
        </is>
      </c>
      <c r="AX636" s="101" t="n"/>
    </row>
    <row r="637">
      <c r="AW637" t="inlineStr">
        <is>
          <t>2017_NS_Line 59030</t>
        </is>
      </c>
      <c r="AX637" s="101" t="n"/>
    </row>
    <row r="638">
      <c r="AW638" t="inlineStr">
        <is>
          <t>2017_NS_Line 59040</t>
        </is>
      </c>
      <c r="AX638" s="101" t="n"/>
    </row>
    <row r="639">
      <c r="AW639" t="inlineStr">
        <is>
          <t>2016_NS_Line 59020</t>
        </is>
      </c>
      <c r="AX639" s="101" t="n"/>
    </row>
    <row r="640">
      <c r="AW640" t="inlineStr">
        <is>
          <t>2016_NS_Line 59050</t>
        </is>
      </c>
      <c r="AX640" s="101" t="n"/>
    </row>
    <row r="641">
      <c r="AW641" t="inlineStr">
        <is>
          <t>2016_NS_Line 59070</t>
        </is>
      </c>
      <c r="AX641" s="101" t="n"/>
    </row>
    <row r="642">
      <c r="AW642" t="inlineStr">
        <is>
          <t>2016_NS_Line 59090</t>
        </is>
      </c>
      <c r="AX642" s="101" t="n"/>
    </row>
    <row r="643">
      <c r="AW643" t="inlineStr">
        <is>
          <t>2016_NS_Line 59000</t>
        </is>
      </c>
      <c r="AX643" s="101" t="n"/>
    </row>
    <row r="644">
      <c r="AW644" t="inlineStr">
        <is>
          <t>2016_NS_Line 59010</t>
        </is>
      </c>
      <c r="AX644" s="101" t="n"/>
    </row>
    <row r="645">
      <c r="AW645" t="inlineStr">
        <is>
          <t>2016_NS_Line 59030</t>
        </is>
      </c>
      <c r="AX645" s="101" t="n"/>
    </row>
    <row r="646">
      <c r="AW646" t="inlineStr">
        <is>
          <t>2016_NS_Line 59040</t>
        </is>
      </c>
      <c r="AX646" s="101" t="n"/>
    </row>
    <row r="647">
      <c r="AW647" t="inlineStr">
        <is>
          <t>2015_NS_Line 59020</t>
        </is>
      </c>
      <c r="AX647" s="101" t="n"/>
    </row>
    <row r="648">
      <c r="AW648" t="inlineStr">
        <is>
          <t>2015_NS_Line 59050</t>
        </is>
      </c>
      <c r="AX648" s="101" t="n"/>
    </row>
    <row r="649">
      <c r="AW649" t="inlineStr">
        <is>
          <t>2015_NS_Line 59070</t>
        </is>
      </c>
      <c r="AX649" s="101" t="n"/>
    </row>
    <row r="650">
      <c r="AW650" t="inlineStr">
        <is>
          <t>2015_NS_Line 59090</t>
        </is>
      </c>
      <c r="AX650" s="101" t="n"/>
    </row>
    <row r="651">
      <c r="AW651" t="inlineStr">
        <is>
          <t>2015_NS_Line 59000</t>
        </is>
      </c>
      <c r="AX651" s="101" t="n"/>
    </row>
    <row r="652">
      <c r="AW652" t="inlineStr">
        <is>
          <t>2015_NS_Line 59010</t>
        </is>
      </c>
      <c r="AX652" s="101" t="n"/>
    </row>
    <row r="653">
      <c r="AW653" t="inlineStr">
        <is>
          <t>2015_NS_Line 59030</t>
        </is>
      </c>
      <c r="AX653" s="101" t="n"/>
    </row>
    <row r="654">
      <c r="AW654" t="inlineStr">
        <is>
          <t>2015_NS_Line 59040</t>
        </is>
      </c>
      <c r="AX654" s="101" t="n"/>
    </row>
    <row r="655">
      <c r="AW655" t="inlineStr">
        <is>
          <t>2014_NS_Line 59020</t>
        </is>
      </c>
      <c r="AX655" s="101" t="n"/>
    </row>
    <row r="656">
      <c r="AW656" t="inlineStr">
        <is>
          <t>2014_NS_Line 59050</t>
        </is>
      </c>
      <c r="AX656" s="101" t="n"/>
    </row>
    <row r="657">
      <c r="AW657" t="inlineStr">
        <is>
          <t>2014_NS_Line 59070</t>
        </is>
      </c>
      <c r="AX657" s="101" t="n"/>
    </row>
    <row r="658">
      <c r="AW658" t="inlineStr">
        <is>
          <t>2014_NS_Line 59090</t>
        </is>
      </c>
      <c r="AX658" s="101" t="n"/>
    </row>
    <row r="659">
      <c r="AW659" t="inlineStr">
        <is>
          <t>2014_NS_Line 59000</t>
        </is>
      </c>
      <c r="AX659" s="101" t="n"/>
    </row>
    <row r="660">
      <c r="AW660" t="inlineStr">
        <is>
          <t>2014_NS_Line 59010</t>
        </is>
      </c>
      <c r="AX660" s="101" t="n"/>
    </row>
    <row r="661">
      <c r="AW661" t="inlineStr">
        <is>
          <t>2014_NS_Line 59030</t>
        </is>
      </c>
      <c r="AX661" s="101" t="n"/>
    </row>
    <row r="662">
      <c r="AW662" t="inlineStr">
        <is>
          <t>2014_NS_Line 59040</t>
        </is>
      </c>
      <c r="AX662" s="101" t="n"/>
    </row>
    <row r="663">
      <c r="AW663" t="inlineStr">
        <is>
          <t>2023_NU_Line 59020</t>
        </is>
      </c>
      <c r="AX663" s="101" t="n"/>
    </row>
    <row r="664">
      <c r="AW664" t="inlineStr">
        <is>
          <t>2023_NU_Line 59050</t>
        </is>
      </c>
      <c r="AX664" s="101" t="n"/>
    </row>
    <row r="665">
      <c r="AW665" t="inlineStr">
        <is>
          <t>2023_NU_Line 59070</t>
        </is>
      </c>
      <c r="AX665" s="101" t="n"/>
    </row>
    <row r="666">
      <c r="AW666" t="inlineStr">
        <is>
          <t>2023_NU_Line 59090</t>
        </is>
      </c>
      <c r="AX666" s="101" t="n"/>
    </row>
    <row r="667">
      <c r="AW667" t="inlineStr">
        <is>
          <t>2023_NU_Line 59000</t>
        </is>
      </c>
      <c r="AX667" s="101" t="n"/>
    </row>
    <row r="668">
      <c r="AW668" t="inlineStr">
        <is>
          <t>2023_NU_Line 59010</t>
        </is>
      </c>
      <c r="AX668" s="101" t="n"/>
    </row>
    <row r="669">
      <c r="AW669" t="inlineStr">
        <is>
          <t>2023_NU_Line 59030</t>
        </is>
      </c>
      <c r="AX669" s="101" t="n"/>
    </row>
    <row r="670">
      <c r="AW670" t="inlineStr">
        <is>
          <t>2023_NU_Line 59040</t>
        </is>
      </c>
      <c r="AX670" s="101" t="n"/>
    </row>
    <row r="671">
      <c r="AW671" t="inlineStr">
        <is>
          <t>2022_NU_Line 59020</t>
        </is>
      </c>
      <c r="AX671" s="101" t="n"/>
    </row>
    <row r="672">
      <c r="AW672" t="inlineStr">
        <is>
          <t>2022_NU_Line 59050</t>
        </is>
      </c>
      <c r="AX672" s="101" t="n"/>
    </row>
    <row r="673">
      <c r="AW673" t="inlineStr">
        <is>
          <t>2022_NU_Line 59070</t>
        </is>
      </c>
      <c r="AX673" s="101" t="n"/>
    </row>
    <row r="674">
      <c r="AW674" t="inlineStr">
        <is>
          <t>2022_NU_Line 59090</t>
        </is>
      </c>
      <c r="AX674" s="101" t="n"/>
    </row>
    <row r="675">
      <c r="AW675" t="inlineStr">
        <is>
          <t>2022_NU_Line 59000</t>
        </is>
      </c>
      <c r="AX675" s="101" t="n"/>
    </row>
    <row r="676">
      <c r="AW676" t="inlineStr">
        <is>
          <t>2022_NU_Line 59010</t>
        </is>
      </c>
      <c r="AX676" s="101" t="n"/>
    </row>
    <row r="677">
      <c r="AW677" t="inlineStr">
        <is>
          <t>2022_NU_Line 59030</t>
        </is>
      </c>
      <c r="AX677" s="101" t="n"/>
    </row>
    <row r="678">
      <c r="AW678" t="inlineStr">
        <is>
          <t>2022_NU_Line 59040</t>
        </is>
      </c>
      <c r="AX678" s="101" t="n"/>
    </row>
    <row r="679">
      <c r="AW679" t="inlineStr">
        <is>
          <t>2021_NU_Line 59020</t>
        </is>
      </c>
      <c r="AX679" s="101" t="n"/>
    </row>
    <row r="680">
      <c r="AW680" t="inlineStr">
        <is>
          <t>2021_NU_Line 59050</t>
        </is>
      </c>
      <c r="AX680" s="101" t="n"/>
    </row>
    <row r="681">
      <c r="AW681" t="inlineStr">
        <is>
          <t>2021_NU_Line 59070</t>
        </is>
      </c>
      <c r="AX681" s="101" t="n"/>
    </row>
    <row r="682">
      <c r="AW682" t="inlineStr">
        <is>
          <t>2021_NU_Line 59090</t>
        </is>
      </c>
      <c r="AX682" s="101" t="n"/>
    </row>
    <row r="683">
      <c r="AW683" t="inlineStr">
        <is>
          <t>2021_NU_Line 59000</t>
        </is>
      </c>
      <c r="AX683" s="101" t="n"/>
    </row>
    <row r="684">
      <c r="AW684" t="inlineStr">
        <is>
          <t>2021_NU_Line 59010</t>
        </is>
      </c>
      <c r="AX684" s="101" t="n"/>
    </row>
    <row r="685">
      <c r="AW685" t="inlineStr">
        <is>
          <t>2021_NU_Line 59030</t>
        </is>
      </c>
      <c r="AX685" s="101" t="n"/>
    </row>
    <row r="686">
      <c r="AW686" t="inlineStr">
        <is>
          <t>2021_NU_Line 59040</t>
        </is>
      </c>
      <c r="AX686" s="101" t="n"/>
    </row>
    <row r="687">
      <c r="AW687" t="inlineStr">
        <is>
          <t>2020_NU_Line 59020</t>
        </is>
      </c>
      <c r="AX687" s="101" t="n"/>
    </row>
    <row r="688">
      <c r="AW688" t="inlineStr">
        <is>
          <t>2020_NU_Line 59050</t>
        </is>
      </c>
      <c r="AX688" s="101" t="n"/>
    </row>
    <row r="689">
      <c r="AW689" t="inlineStr">
        <is>
          <t>2020_NU_Line 59070</t>
        </is>
      </c>
      <c r="AX689" s="101" t="n"/>
    </row>
    <row r="690">
      <c r="AW690" t="inlineStr">
        <is>
          <t>2020_NU_Line 59090</t>
        </is>
      </c>
      <c r="AX690" s="101" t="n"/>
    </row>
    <row r="691">
      <c r="AW691" t="inlineStr">
        <is>
          <t>2020_NU_Line 59000</t>
        </is>
      </c>
      <c r="AX691" s="101" t="n"/>
    </row>
    <row r="692">
      <c r="AW692" t="inlineStr">
        <is>
          <t>2020_NU_Line 59010</t>
        </is>
      </c>
      <c r="AX692" s="101" t="n"/>
    </row>
    <row r="693">
      <c r="AW693" t="inlineStr">
        <is>
          <t>2020_NU_Line 59030</t>
        </is>
      </c>
      <c r="AX693" s="101" t="n"/>
    </row>
    <row r="694">
      <c r="AW694" t="inlineStr">
        <is>
          <t>2020_NU_Line 59040</t>
        </is>
      </c>
      <c r="AX694" s="101" t="n"/>
    </row>
    <row r="695">
      <c r="AW695" t="inlineStr">
        <is>
          <t>2019_NU_Line 59020</t>
        </is>
      </c>
      <c r="AX695" s="101" t="n"/>
    </row>
    <row r="696">
      <c r="AW696" t="inlineStr">
        <is>
          <t>2019_NU_Line 59050</t>
        </is>
      </c>
      <c r="AX696" s="101" t="n"/>
    </row>
    <row r="697">
      <c r="AW697" t="inlineStr">
        <is>
          <t>2019_NU_Line 59070</t>
        </is>
      </c>
      <c r="AX697" s="101" t="n"/>
    </row>
    <row r="698">
      <c r="AW698" t="inlineStr">
        <is>
          <t>2019_NU_Line 59090</t>
        </is>
      </c>
      <c r="AX698" s="101" t="n"/>
    </row>
    <row r="699">
      <c r="AW699" t="inlineStr">
        <is>
          <t>2019_NU_Line 59000</t>
        </is>
      </c>
      <c r="AX699" s="101" t="n"/>
    </row>
    <row r="700">
      <c r="AW700" t="inlineStr">
        <is>
          <t>2019_NU_Line 59010</t>
        </is>
      </c>
      <c r="AX700" s="101" t="n"/>
    </row>
    <row r="701">
      <c r="AW701" t="inlineStr">
        <is>
          <t>2019_NU_Line 59030</t>
        </is>
      </c>
      <c r="AX701" s="101" t="n"/>
    </row>
    <row r="702">
      <c r="AW702" t="inlineStr">
        <is>
          <t>2019_NU_Line 59040</t>
        </is>
      </c>
      <c r="AX702" s="101" t="n"/>
    </row>
    <row r="703">
      <c r="AW703" t="inlineStr">
        <is>
          <t>2018_NU_Line 59020</t>
        </is>
      </c>
      <c r="AX703" s="101" t="n"/>
    </row>
    <row r="704">
      <c r="AW704" t="inlineStr">
        <is>
          <t>2018_NU_Line 59050</t>
        </is>
      </c>
      <c r="AX704" s="101" t="n"/>
    </row>
    <row r="705">
      <c r="AW705" t="inlineStr">
        <is>
          <t>2018_NU_Line 59070</t>
        </is>
      </c>
      <c r="AX705" s="101" t="n"/>
    </row>
    <row r="706">
      <c r="AW706" t="inlineStr">
        <is>
          <t>2018_NU_Line 59090</t>
        </is>
      </c>
      <c r="AX706" s="101" t="n"/>
    </row>
    <row r="707">
      <c r="AW707" t="inlineStr">
        <is>
          <t>2018_NU_Line 59000</t>
        </is>
      </c>
      <c r="AX707" s="101" t="n"/>
    </row>
    <row r="708">
      <c r="AW708" t="inlineStr">
        <is>
          <t>2018_NU_Line 59010</t>
        </is>
      </c>
      <c r="AX708" s="101" t="n"/>
    </row>
    <row r="709">
      <c r="AW709" t="inlineStr">
        <is>
          <t>2018_NU_Line 59030</t>
        </is>
      </c>
      <c r="AX709" s="101" t="n"/>
    </row>
    <row r="710">
      <c r="AW710" t="inlineStr">
        <is>
          <t>2018_NU_Line 59040</t>
        </is>
      </c>
      <c r="AX710" s="101" t="n"/>
    </row>
    <row r="711">
      <c r="AW711" t="inlineStr">
        <is>
          <t>2017_NU_Line 59020</t>
        </is>
      </c>
      <c r="AX711" s="101" t="n"/>
    </row>
    <row r="712">
      <c r="AW712" t="inlineStr">
        <is>
          <t>2017_NU_Line 59050</t>
        </is>
      </c>
      <c r="AX712" s="101" t="n"/>
    </row>
    <row r="713">
      <c r="AW713" t="inlineStr">
        <is>
          <t>2017_NU_Line 59070</t>
        </is>
      </c>
      <c r="AX713" s="101" t="n"/>
    </row>
    <row r="714">
      <c r="AW714" t="inlineStr">
        <is>
          <t>2017_NU_Line 59090</t>
        </is>
      </c>
      <c r="AX714" s="101" t="n"/>
    </row>
    <row r="715">
      <c r="AW715" t="inlineStr">
        <is>
          <t>2017_NU_Line 59000</t>
        </is>
      </c>
      <c r="AX715" s="101" t="n"/>
    </row>
    <row r="716">
      <c r="AW716" t="inlineStr">
        <is>
          <t>2017_NU_Line 59010</t>
        </is>
      </c>
      <c r="AX716" s="101" t="n"/>
    </row>
    <row r="717">
      <c r="AW717" t="inlineStr">
        <is>
          <t>2017_NU_Line 59030</t>
        </is>
      </c>
      <c r="AX717" s="101" t="n"/>
    </row>
    <row r="718">
      <c r="AW718" t="inlineStr">
        <is>
          <t>2017_NU_Line 59040</t>
        </is>
      </c>
      <c r="AX718" s="101" t="n"/>
    </row>
    <row r="719">
      <c r="AW719" t="inlineStr">
        <is>
          <t>2016_NU_Line 59020</t>
        </is>
      </c>
      <c r="AX719" s="101" t="n"/>
    </row>
    <row r="720">
      <c r="AW720" t="inlineStr">
        <is>
          <t>2016_NU_Line 59050</t>
        </is>
      </c>
      <c r="AX720" s="101" t="n"/>
    </row>
    <row r="721">
      <c r="AW721" t="inlineStr">
        <is>
          <t>2016_NU_Line 59070</t>
        </is>
      </c>
      <c r="AX721" s="101" t="n"/>
    </row>
    <row r="722">
      <c r="AW722" t="inlineStr">
        <is>
          <t>2016_NU_Line 59090</t>
        </is>
      </c>
      <c r="AX722" s="101" t="n"/>
    </row>
    <row r="723">
      <c r="AW723" t="inlineStr">
        <is>
          <t>2016_NU_Line 59000</t>
        </is>
      </c>
      <c r="AX723" s="101" t="n"/>
    </row>
    <row r="724">
      <c r="AW724" t="inlineStr">
        <is>
          <t>2016_NU_Line 59010</t>
        </is>
      </c>
      <c r="AX724" s="101" t="n"/>
    </row>
    <row r="725">
      <c r="AW725" t="inlineStr">
        <is>
          <t>2016_NU_Line 59030</t>
        </is>
      </c>
      <c r="AX725" s="101" t="n"/>
    </row>
    <row r="726">
      <c r="AW726" t="inlineStr">
        <is>
          <t>2016_NU_Line 59040</t>
        </is>
      </c>
      <c r="AX726" s="101" t="n"/>
    </row>
    <row r="727">
      <c r="AW727" t="inlineStr">
        <is>
          <t>2015_NU_Line 59020</t>
        </is>
      </c>
      <c r="AX727" s="101" t="n"/>
    </row>
    <row r="728">
      <c r="AW728" t="inlineStr">
        <is>
          <t>2015_NU_Line 59050</t>
        </is>
      </c>
      <c r="AX728" s="101" t="n"/>
    </row>
    <row r="729">
      <c r="AW729" t="inlineStr">
        <is>
          <t>2015_NU_Line 59070</t>
        </is>
      </c>
      <c r="AX729" s="101" t="n"/>
    </row>
    <row r="730">
      <c r="AW730" t="inlineStr">
        <is>
          <t>2015_NU_Line 59090</t>
        </is>
      </c>
      <c r="AX730" s="101" t="n"/>
    </row>
    <row r="731">
      <c r="AW731" t="inlineStr">
        <is>
          <t>2015_NU_Line 59000</t>
        </is>
      </c>
      <c r="AX731" s="101" t="n"/>
    </row>
    <row r="732">
      <c r="AW732" t="inlineStr">
        <is>
          <t>2015_NU_Line 59010</t>
        </is>
      </c>
      <c r="AX732" s="101" t="n"/>
    </row>
    <row r="733">
      <c r="AW733" t="inlineStr">
        <is>
          <t>2015_NU_Line 59030</t>
        </is>
      </c>
      <c r="AX733" s="101" t="n"/>
    </row>
    <row r="734">
      <c r="AW734" t="inlineStr">
        <is>
          <t>2015_NU_Line 59040</t>
        </is>
      </c>
      <c r="AX734" s="101" t="n"/>
    </row>
    <row r="735">
      <c r="AW735" t="inlineStr">
        <is>
          <t>2014_NU_Line 59020</t>
        </is>
      </c>
      <c r="AX735" s="101" t="n"/>
    </row>
    <row r="736">
      <c r="AW736" t="inlineStr">
        <is>
          <t>2014_NU_Line 59050</t>
        </is>
      </c>
      <c r="AX736" s="101" t="n"/>
    </row>
    <row r="737">
      <c r="AW737" t="inlineStr">
        <is>
          <t>2014_NU_Line 59070</t>
        </is>
      </c>
      <c r="AX737" s="101" t="n"/>
    </row>
    <row r="738">
      <c r="AW738" t="inlineStr">
        <is>
          <t>2014_NU_Line 59090</t>
        </is>
      </c>
      <c r="AX738" s="101" t="n"/>
    </row>
    <row r="739">
      <c r="AW739" t="inlineStr">
        <is>
          <t>2014_NU_Line 59000</t>
        </is>
      </c>
      <c r="AX739" s="101" t="n"/>
    </row>
    <row r="740">
      <c r="AW740" t="inlineStr">
        <is>
          <t>2014_NU_Line 59010</t>
        </is>
      </c>
      <c r="AX740" s="101" t="n"/>
    </row>
    <row r="741">
      <c r="AW741" t="inlineStr">
        <is>
          <t>2014_NU_Line 59030</t>
        </is>
      </c>
      <c r="AX741" s="101" t="n"/>
    </row>
    <row r="742">
      <c r="AW742" t="inlineStr">
        <is>
          <t>2014_NU_Line 59040</t>
        </is>
      </c>
      <c r="AX742" s="101" t="n"/>
    </row>
    <row r="743">
      <c r="AW743" t="inlineStr">
        <is>
          <t>2023_ON_Line 59020</t>
        </is>
      </c>
      <c r="AX743" s="101" t="n"/>
    </row>
    <row r="744">
      <c r="AW744" t="inlineStr">
        <is>
          <t>2023_ON_Line 59050</t>
        </is>
      </c>
      <c r="AX744" s="101" t="n"/>
    </row>
    <row r="745">
      <c r="AW745" t="inlineStr">
        <is>
          <t>2023_ON_Line 59070</t>
        </is>
      </c>
      <c r="AX745" s="101" t="n"/>
    </row>
    <row r="746">
      <c r="AW746" t="inlineStr">
        <is>
          <t>2023_ON_Line 59090</t>
        </is>
      </c>
      <c r="AX746" s="101" t="n"/>
    </row>
    <row r="747">
      <c r="AW747" t="inlineStr">
        <is>
          <t>2023_ON_Line 59000</t>
        </is>
      </c>
      <c r="AX747" s="101" t="n"/>
    </row>
    <row r="748">
      <c r="AW748" t="inlineStr">
        <is>
          <t>2023_ON_Line 59010</t>
        </is>
      </c>
      <c r="AX748" s="101" t="n"/>
    </row>
    <row r="749">
      <c r="AW749" t="inlineStr">
        <is>
          <t>2023_ON_Line 59030</t>
        </is>
      </c>
      <c r="AX749" s="101" t="n"/>
    </row>
    <row r="750">
      <c r="AW750" t="inlineStr">
        <is>
          <t>2023_ON_Line 59040</t>
        </is>
      </c>
      <c r="AX750" s="101" t="n"/>
    </row>
    <row r="751">
      <c r="AW751" t="inlineStr">
        <is>
          <t>2022_ON_Line 59020</t>
        </is>
      </c>
      <c r="AX751" s="101" t="n"/>
    </row>
    <row r="752">
      <c r="AW752" t="inlineStr">
        <is>
          <t>2022_ON_Line 59050</t>
        </is>
      </c>
      <c r="AX752" s="101" t="n"/>
    </row>
    <row r="753">
      <c r="AW753" t="inlineStr">
        <is>
          <t>2022_ON_Line 59070</t>
        </is>
      </c>
      <c r="AX753" s="101" t="n"/>
    </row>
    <row r="754">
      <c r="AW754" t="inlineStr">
        <is>
          <t>2022_ON_Line 59090</t>
        </is>
      </c>
      <c r="AX754" s="101" t="n"/>
    </row>
    <row r="755">
      <c r="AW755" t="inlineStr">
        <is>
          <t>2022_ON_Line 59000</t>
        </is>
      </c>
      <c r="AX755" s="101" t="n"/>
    </row>
    <row r="756">
      <c r="AW756" t="inlineStr">
        <is>
          <t>2022_ON_Line 59010</t>
        </is>
      </c>
      <c r="AX756" s="101" t="n"/>
    </row>
    <row r="757">
      <c r="AW757" t="inlineStr">
        <is>
          <t>2022_ON_Line 59030</t>
        </is>
      </c>
      <c r="AX757" s="101" t="n"/>
    </row>
    <row r="758">
      <c r="AW758" t="inlineStr">
        <is>
          <t>2022_ON_Line 59040</t>
        </is>
      </c>
      <c r="AX758" s="101" t="n"/>
    </row>
    <row r="759">
      <c r="AW759" t="inlineStr">
        <is>
          <t>2021_ON_Line 59020</t>
        </is>
      </c>
      <c r="AX759" s="101" t="n"/>
    </row>
    <row r="760">
      <c r="AW760" t="inlineStr">
        <is>
          <t>2021_ON_Line 59050</t>
        </is>
      </c>
      <c r="AX760" s="101" t="n"/>
    </row>
    <row r="761">
      <c r="AW761" t="inlineStr">
        <is>
          <t>2021_ON_Line 59070</t>
        </is>
      </c>
      <c r="AX761" s="101" t="n"/>
    </row>
    <row r="762">
      <c r="AW762" t="inlineStr">
        <is>
          <t>2021_ON_Line 59090</t>
        </is>
      </c>
      <c r="AX762" s="101" t="n"/>
    </row>
    <row r="763">
      <c r="AW763" t="inlineStr">
        <is>
          <t>2021_ON_Line 59000</t>
        </is>
      </c>
      <c r="AX763" s="101" t="n"/>
    </row>
    <row r="764">
      <c r="AW764" t="inlineStr">
        <is>
          <t>2021_ON_Line 59010</t>
        </is>
      </c>
      <c r="AX764" s="101" t="n"/>
    </row>
    <row r="765">
      <c r="AW765" t="inlineStr">
        <is>
          <t>2021_ON_Line 59030</t>
        </is>
      </c>
      <c r="AX765" s="101" t="n"/>
    </row>
    <row r="766">
      <c r="AW766" t="inlineStr">
        <is>
          <t>2021_ON_Line 59040</t>
        </is>
      </c>
      <c r="AX766" s="101" t="n"/>
    </row>
    <row r="767">
      <c r="AW767" t="inlineStr">
        <is>
          <t>2020_ON_Line 59020</t>
        </is>
      </c>
      <c r="AX767" s="101" t="n"/>
    </row>
    <row r="768">
      <c r="AW768" t="inlineStr">
        <is>
          <t>2020_ON_Line 59050</t>
        </is>
      </c>
      <c r="AX768" s="101" t="n"/>
    </row>
    <row r="769">
      <c r="AW769" t="inlineStr">
        <is>
          <t>2020_ON_Line 59070</t>
        </is>
      </c>
      <c r="AX769" s="101" t="n"/>
    </row>
    <row r="770">
      <c r="AW770" t="inlineStr">
        <is>
          <t>2020_ON_Line 59090</t>
        </is>
      </c>
      <c r="AX770" s="101" t="n"/>
    </row>
    <row r="771">
      <c r="AW771" t="inlineStr">
        <is>
          <t>2020_ON_Line 59000</t>
        </is>
      </c>
      <c r="AX771" s="101" t="n"/>
    </row>
    <row r="772">
      <c r="AW772" t="inlineStr">
        <is>
          <t>2020_ON_Line 59010</t>
        </is>
      </c>
      <c r="AX772" s="101" t="n"/>
    </row>
    <row r="773">
      <c r="AW773" t="inlineStr">
        <is>
          <t>2020_ON_Line 59030</t>
        </is>
      </c>
      <c r="AX773" s="101" t="n"/>
    </row>
    <row r="774">
      <c r="AW774" t="inlineStr">
        <is>
          <t>2020_ON_Line 59040</t>
        </is>
      </c>
      <c r="AX774" s="101" t="n"/>
    </row>
    <row r="775">
      <c r="AW775" t="inlineStr">
        <is>
          <t>2019_ON_Line 59020</t>
        </is>
      </c>
      <c r="AX775" s="101" t="n"/>
    </row>
    <row r="776">
      <c r="AW776" t="inlineStr">
        <is>
          <t>2019_ON_Line 59050</t>
        </is>
      </c>
      <c r="AX776" s="101" t="n"/>
    </row>
    <row r="777">
      <c r="AW777" t="inlineStr">
        <is>
          <t>2019_ON_Line 59070</t>
        </is>
      </c>
      <c r="AX777" s="101" t="n"/>
    </row>
    <row r="778">
      <c r="AW778" t="inlineStr">
        <is>
          <t>2019_ON_Line 59090</t>
        </is>
      </c>
      <c r="AX778" s="101" t="n"/>
    </row>
    <row r="779">
      <c r="AW779" t="inlineStr">
        <is>
          <t>2019_ON_Line 59000</t>
        </is>
      </c>
      <c r="AX779" s="101" t="n"/>
    </row>
    <row r="780">
      <c r="AW780" t="inlineStr">
        <is>
          <t>2019_ON_Line 59010</t>
        </is>
      </c>
      <c r="AX780" s="101" t="n"/>
    </row>
    <row r="781">
      <c r="AW781" t="inlineStr">
        <is>
          <t>2019_ON_Line 59030</t>
        </is>
      </c>
      <c r="AX781" s="101" t="n"/>
    </row>
    <row r="782">
      <c r="AW782" t="inlineStr">
        <is>
          <t>2019_ON_Line 59040</t>
        </is>
      </c>
      <c r="AX782" s="101" t="n"/>
    </row>
    <row r="783">
      <c r="AW783" t="inlineStr">
        <is>
          <t>2018_ON_Line 59020</t>
        </is>
      </c>
      <c r="AX783" s="101" t="n"/>
    </row>
    <row r="784">
      <c r="AW784" t="inlineStr">
        <is>
          <t>2018_ON_Line 59050</t>
        </is>
      </c>
      <c r="AX784" s="101" t="n"/>
    </row>
    <row r="785">
      <c r="AW785" t="inlineStr">
        <is>
          <t>2018_ON_Line 59070</t>
        </is>
      </c>
      <c r="AX785" s="101" t="n"/>
    </row>
    <row r="786">
      <c r="AW786" t="inlineStr">
        <is>
          <t>2018_ON_Line 59090</t>
        </is>
      </c>
      <c r="AX786" s="101" t="n"/>
    </row>
    <row r="787">
      <c r="AW787" t="inlineStr">
        <is>
          <t>2018_ON_Line 59000</t>
        </is>
      </c>
      <c r="AX787" s="101" t="n"/>
    </row>
    <row r="788">
      <c r="AW788" t="inlineStr">
        <is>
          <t>2018_ON_Line 59010</t>
        </is>
      </c>
      <c r="AX788" s="101" t="n"/>
    </row>
    <row r="789">
      <c r="AW789" t="inlineStr">
        <is>
          <t>2018_ON_Line 59030</t>
        </is>
      </c>
      <c r="AX789" s="101" t="n"/>
    </row>
    <row r="790">
      <c r="AW790" t="inlineStr">
        <is>
          <t>2018_ON_Line 59040</t>
        </is>
      </c>
      <c r="AX790" s="101" t="n"/>
    </row>
    <row r="791">
      <c r="AW791" t="inlineStr">
        <is>
          <t>2017_ON_Line 59020</t>
        </is>
      </c>
      <c r="AX791" s="101" t="n"/>
    </row>
    <row r="792">
      <c r="AW792" t="inlineStr">
        <is>
          <t>2017_ON_Line 59050</t>
        </is>
      </c>
      <c r="AX792" s="101" t="n"/>
    </row>
    <row r="793">
      <c r="AW793" t="inlineStr">
        <is>
          <t>2017_ON_Line 59070</t>
        </is>
      </c>
      <c r="AX793" s="101" t="n"/>
    </row>
    <row r="794">
      <c r="AW794" t="inlineStr">
        <is>
          <t>2017_ON_Line 59090</t>
        </is>
      </c>
      <c r="AX794" s="101" t="n"/>
    </row>
    <row r="795">
      <c r="AW795" t="inlineStr">
        <is>
          <t>2017_ON_Line 59000</t>
        </is>
      </c>
      <c r="AX795" s="101" t="n"/>
    </row>
    <row r="796">
      <c r="AW796" t="inlineStr">
        <is>
          <t>2017_ON_Line 59010</t>
        </is>
      </c>
      <c r="AX796" s="101" t="n"/>
    </row>
    <row r="797">
      <c r="AW797" t="inlineStr">
        <is>
          <t>2017_ON_Line 59030</t>
        </is>
      </c>
      <c r="AX797" s="101" t="n"/>
    </row>
    <row r="798">
      <c r="AW798" t="inlineStr">
        <is>
          <t>2017_ON_Line 59040</t>
        </is>
      </c>
      <c r="AX798" s="101" t="n"/>
    </row>
    <row r="799">
      <c r="AW799" t="inlineStr">
        <is>
          <t>2016_ON_Line 59020</t>
        </is>
      </c>
      <c r="AX799" s="101" t="n"/>
    </row>
    <row r="800">
      <c r="AW800" t="inlineStr">
        <is>
          <t>2016_ON_Line 59050</t>
        </is>
      </c>
      <c r="AX800" s="101" t="n"/>
    </row>
    <row r="801">
      <c r="AW801" t="inlineStr">
        <is>
          <t>2016_ON_Line 59070</t>
        </is>
      </c>
      <c r="AX801" s="101" t="n"/>
    </row>
    <row r="802">
      <c r="AW802" t="inlineStr">
        <is>
          <t>2016_ON_Line 59090</t>
        </is>
      </c>
      <c r="AX802" s="101" t="n"/>
    </row>
    <row r="803">
      <c r="AW803" t="inlineStr">
        <is>
          <t>2016_ON_Line 59000</t>
        </is>
      </c>
      <c r="AX803" s="101" t="n"/>
    </row>
    <row r="804">
      <c r="AW804" t="inlineStr">
        <is>
          <t>2016_ON_Line 59010</t>
        </is>
      </c>
      <c r="AX804" s="101" t="n"/>
    </row>
    <row r="805">
      <c r="AW805" t="inlineStr">
        <is>
          <t>2016_ON_Line 59030</t>
        </is>
      </c>
      <c r="AX805" s="101" t="n"/>
    </row>
    <row r="806">
      <c r="AW806" t="inlineStr">
        <is>
          <t>2016_ON_Line 59040</t>
        </is>
      </c>
      <c r="AX806" s="101" t="n"/>
    </row>
    <row r="807">
      <c r="AW807" t="inlineStr">
        <is>
          <t>2015_ON_Line 59020</t>
        </is>
      </c>
      <c r="AX807" s="101" t="n"/>
    </row>
    <row r="808">
      <c r="AW808" t="inlineStr">
        <is>
          <t>2015_ON_Line 59050</t>
        </is>
      </c>
      <c r="AX808" s="101" t="n"/>
    </row>
    <row r="809">
      <c r="AW809" t="inlineStr">
        <is>
          <t>2015_ON_Line 59070</t>
        </is>
      </c>
      <c r="AX809" s="101" t="n"/>
    </row>
    <row r="810">
      <c r="AW810" t="inlineStr">
        <is>
          <t>2015_ON_Line 59090</t>
        </is>
      </c>
      <c r="AX810" s="101" t="n"/>
    </row>
    <row r="811">
      <c r="AW811" t="inlineStr">
        <is>
          <t>2015_ON_Line 59000</t>
        </is>
      </c>
      <c r="AX811" s="101" t="n"/>
    </row>
    <row r="812">
      <c r="AW812" t="inlineStr">
        <is>
          <t>2015_ON_Line 59010</t>
        </is>
      </c>
      <c r="AX812" s="101" t="n"/>
    </row>
    <row r="813">
      <c r="AW813" t="inlineStr">
        <is>
          <t>2015_ON_Line 59030</t>
        </is>
      </c>
      <c r="AX813" s="101" t="n"/>
    </row>
    <row r="814">
      <c r="AW814" t="inlineStr">
        <is>
          <t>2015_ON_Line 59040</t>
        </is>
      </c>
      <c r="AX814" s="101" t="n"/>
    </row>
    <row r="815">
      <c r="AW815" t="inlineStr">
        <is>
          <t>2014_ON_Line 59020</t>
        </is>
      </c>
      <c r="AX815" s="101" t="n"/>
    </row>
    <row r="816">
      <c r="AW816" t="inlineStr">
        <is>
          <t>2014_ON_Line 59050</t>
        </is>
      </c>
      <c r="AX816" s="101" t="n"/>
    </row>
    <row r="817">
      <c r="AW817" t="inlineStr">
        <is>
          <t>2014_ON_Line 59070</t>
        </is>
      </c>
      <c r="AX817" s="101" t="n"/>
    </row>
    <row r="818">
      <c r="AW818" t="inlineStr">
        <is>
          <t>2014_ON_Line 59090</t>
        </is>
      </c>
      <c r="AX818" s="101" t="n"/>
    </row>
    <row r="819">
      <c r="AW819" t="inlineStr">
        <is>
          <t>2014_ON_Line 59000</t>
        </is>
      </c>
      <c r="AX819" s="101" t="n"/>
    </row>
    <row r="820">
      <c r="AW820" t="inlineStr">
        <is>
          <t>2014_ON_Line 59010</t>
        </is>
      </c>
      <c r="AX820" s="101" t="n"/>
    </row>
    <row r="821">
      <c r="AW821" t="inlineStr">
        <is>
          <t>2014_ON_Line 59030</t>
        </is>
      </c>
      <c r="AX821" s="101" t="n"/>
    </row>
    <row r="822">
      <c r="AW822" t="inlineStr">
        <is>
          <t>2014_ON_Line 59040</t>
        </is>
      </c>
      <c r="AX822" s="101" t="n"/>
    </row>
    <row r="823">
      <c r="AW823" t="inlineStr">
        <is>
          <t>2023_PE_Line 59020</t>
        </is>
      </c>
      <c r="AX823" s="101" t="n"/>
    </row>
    <row r="824">
      <c r="AW824" t="inlineStr">
        <is>
          <t>2023_PE_Line 59050</t>
        </is>
      </c>
      <c r="AX824" s="101" t="n"/>
    </row>
    <row r="825">
      <c r="AW825" t="inlineStr">
        <is>
          <t>2023_PE_Line 59070</t>
        </is>
      </c>
      <c r="AX825" s="101" t="n"/>
    </row>
    <row r="826">
      <c r="AW826" t="inlineStr">
        <is>
          <t>2023_PE_Line 59090</t>
        </is>
      </c>
      <c r="AX826" s="101" t="n"/>
    </row>
    <row r="827">
      <c r="AW827" t="inlineStr">
        <is>
          <t>2023_PE_Line 59000</t>
        </is>
      </c>
      <c r="AX827" s="101" t="n"/>
    </row>
    <row r="828">
      <c r="AW828" t="inlineStr">
        <is>
          <t>2023_PE_Line 59010</t>
        </is>
      </c>
      <c r="AX828" s="101" t="n"/>
    </row>
    <row r="829">
      <c r="AW829" t="inlineStr">
        <is>
          <t>2023_PE_Line 59030</t>
        </is>
      </c>
      <c r="AX829" s="101" t="n"/>
    </row>
    <row r="830">
      <c r="AW830" t="inlineStr">
        <is>
          <t>2023_PE_Line 59040</t>
        </is>
      </c>
      <c r="AX830" s="101" t="n"/>
    </row>
    <row r="831">
      <c r="AW831" t="inlineStr">
        <is>
          <t>2022_PE_Line 59020</t>
        </is>
      </c>
      <c r="AX831" s="101" t="n"/>
    </row>
    <row r="832">
      <c r="AW832" t="inlineStr">
        <is>
          <t>2022_PE_Line 59050</t>
        </is>
      </c>
      <c r="AX832" s="101" t="n"/>
    </row>
    <row r="833">
      <c r="AW833" t="inlineStr">
        <is>
          <t>2022_PE_Line 59070</t>
        </is>
      </c>
      <c r="AX833" s="101" t="n"/>
    </row>
    <row r="834">
      <c r="AW834" t="inlineStr">
        <is>
          <t>2022_PE_Line 59090</t>
        </is>
      </c>
      <c r="AX834" s="101" t="n"/>
    </row>
    <row r="835">
      <c r="AW835" t="inlineStr">
        <is>
          <t>2022_PE_Line 59000</t>
        </is>
      </c>
      <c r="AX835" s="101" t="n"/>
    </row>
    <row r="836">
      <c r="AW836" t="inlineStr">
        <is>
          <t>2022_PE_Line 59010</t>
        </is>
      </c>
      <c r="AX836" s="101" t="n"/>
    </row>
    <row r="837">
      <c r="AW837" t="inlineStr">
        <is>
          <t>2022_PE_Line 59030</t>
        </is>
      </c>
      <c r="AX837" s="101" t="n"/>
    </row>
    <row r="838">
      <c r="AW838" t="inlineStr">
        <is>
          <t>2022_PE_Line 59040</t>
        </is>
      </c>
      <c r="AX838" s="101" t="n"/>
    </row>
    <row r="839">
      <c r="AW839" t="inlineStr">
        <is>
          <t>2021_PE_Line 59020</t>
        </is>
      </c>
      <c r="AX839" s="101" t="n"/>
    </row>
    <row r="840">
      <c r="AW840" t="inlineStr">
        <is>
          <t>2021_PE_Line 59050</t>
        </is>
      </c>
      <c r="AX840" s="101" t="n"/>
    </row>
    <row r="841">
      <c r="AW841" t="inlineStr">
        <is>
          <t>2021_PE_Line 59070</t>
        </is>
      </c>
      <c r="AX841" s="101" t="n"/>
    </row>
    <row r="842">
      <c r="AW842" t="inlineStr">
        <is>
          <t>2021_PE_Line 59090</t>
        </is>
      </c>
      <c r="AX842" s="101" t="n"/>
    </row>
    <row r="843">
      <c r="AW843" t="inlineStr">
        <is>
          <t>2021_PE_Line 59000</t>
        </is>
      </c>
      <c r="AX843" s="101" t="n"/>
    </row>
    <row r="844">
      <c r="AW844" t="inlineStr">
        <is>
          <t>2021_PE_Line 59010</t>
        </is>
      </c>
      <c r="AX844" s="101" t="n"/>
    </row>
    <row r="845">
      <c r="AW845" t="inlineStr">
        <is>
          <t>2021_PE_Line 59030</t>
        </is>
      </c>
      <c r="AX845" s="101" t="n"/>
    </row>
    <row r="846">
      <c r="AW846" t="inlineStr">
        <is>
          <t>2021_PE_Line 59040</t>
        </is>
      </c>
      <c r="AX846" s="101" t="n"/>
    </row>
    <row r="847">
      <c r="AW847" t="inlineStr">
        <is>
          <t>2020_PE_Line 59020</t>
        </is>
      </c>
      <c r="AX847" s="101" t="n"/>
    </row>
    <row r="848">
      <c r="AW848" t="inlineStr">
        <is>
          <t>2020_PE_Line 59050</t>
        </is>
      </c>
      <c r="AX848" s="101" t="n"/>
    </row>
    <row r="849">
      <c r="AW849" t="inlineStr">
        <is>
          <t>2020_PE_Line 59070</t>
        </is>
      </c>
      <c r="AX849" s="101" t="n"/>
    </row>
    <row r="850">
      <c r="AW850" t="inlineStr">
        <is>
          <t>2020_PE_Line 59090</t>
        </is>
      </c>
      <c r="AX850" s="101" t="n"/>
    </row>
    <row r="851">
      <c r="AW851" t="inlineStr">
        <is>
          <t>2020_PE_Line 59000</t>
        </is>
      </c>
      <c r="AX851" s="101" t="n"/>
    </row>
    <row r="852">
      <c r="AW852" t="inlineStr">
        <is>
          <t>2020_PE_Line 59010</t>
        </is>
      </c>
      <c r="AX852" s="101" t="n"/>
    </row>
    <row r="853">
      <c r="AW853" t="inlineStr">
        <is>
          <t>2020_PE_Line 59030</t>
        </is>
      </c>
      <c r="AX853" s="101" t="n"/>
    </row>
    <row r="854">
      <c r="AW854" t="inlineStr">
        <is>
          <t>2020_PE_Line 59040</t>
        </is>
      </c>
      <c r="AX854" s="101" t="n"/>
    </row>
    <row r="855">
      <c r="AW855" t="inlineStr">
        <is>
          <t>2019_PE_Line 59020</t>
        </is>
      </c>
      <c r="AX855" s="101" t="n"/>
    </row>
    <row r="856">
      <c r="AW856" t="inlineStr">
        <is>
          <t>2019_PE_Line 59050</t>
        </is>
      </c>
      <c r="AX856" s="101" t="n"/>
    </row>
    <row r="857">
      <c r="AW857" t="inlineStr">
        <is>
          <t>2019_PE_Line 59070</t>
        </is>
      </c>
      <c r="AX857" s="101" t="n"/>
    </row>
    <row r="858">
      <c r="AW858" t="inlineStr">
        <is>
          <t>2019_PE_Line 59090</t>
        </is>
      </c>
      <c r="AX858" s="101" t="n"/>
    </row>
    <row r="859">
      <c r="AW859" t="inlineStr">
        <is>
          <t>2019_PE_Line 59000</t>
        </is>
      </c>
      <c r="AX859" s="101" t="n"/>
    </row>
    <row r="860">
      <c r="AW860" t="inlineStr">
        <is>
          <t>2019_PE_Line 59010</t>
        </is>
      </c>
      <c r="AX860" s="101" t="n"/>
    </row>
    <row r="861">
      <c r="AW861" t="inlineStr">
        <is>
          <t>2019_PE_Line 59030</t>
        </is>
      </c>
      <c r="AX861" s="101" t="n"/>
    </row>
    <row r="862">
      <c r="AW862" t="inlineStr">
        <is>
          <t>2019_PE_Line 59040</t>
        </is>
      </c>
      <c r="AX862" s="101" t="n"/>
    </row>
    <row r="863">
      <c r="AW863" t="inlineStr">
        <is>
          <t>2018_PE_Line 59020</t>
        </is>
      </c>
      <c r="AX863" s="101" t="n"/>
    </row>
    <row r="864">
      <c r="AW864" t="inlineStr">
        <is>
          <t>2018_PE_Line 59050</t>
        </is>
      </c>
      <c r="AX864" s="101" t="n"/>
    </row>
    <row r="865">
      <c r="AW865" t="inlineStr">
        <is>
          <t>2018_PE_Line 59070</t>
        </is>
      </c>
      <c r="AX865" s="101" t="n"/>
    </row>
    <row r="866">
      <c r="AW866" t="inlineStr">
        <is>
          <t>2018_PE_Line 59090</t>
        </is>
      </c>
      <c r="AX866" s="101" t="n"/>
    </row>
    <row r="867">
      <c r="AW867" t="inlineStr">
        <is>
          <t>2018_PE_Line 59000</t>
        </is>
      </c>
      <c r="AX867" s="101" t="n"/>
    </row>
    <row r="868">
      <c r="AW868" t="inlineStr">
        <is>
          <t>2018_PE_Line 59010</t>
        </is>
      </c>
      <c r="AX868" s="101" t="n"/>
    </row>
    <row r="869">
      <c r="AW869" t="inlineStr">
        <is>
          <t>2018_PE_Line 59030</t>
        </is>
      </c>
      <c r="AX869" s="101" t="n"/>
    </row>
    <row r="870">
      <c r="AW870" t="inlineStr">
        <is>
          <t>2018_PE_Line 59040</t>
        </is>
      </c>
      <c r="AX870" s="101" t="n"/>
    </row>
    <row r="871">
      <c r="AW871" t="inlineStr">
        <is>
          <t>2017_PE_Line 59020</t>
        </is>
      </c>
      <c r="AX871" s="101" t="n"/>
    </row>
    <row r="872">
      <c r="AW872" t="inlineStr">
        <is>
          <t>2017_PE_Line 59050</t>
        </is>
      </c>
      <c r="AX872" s="101" t="n"/>
    </row>
    <row r="873">
      <c r="AW873" t="inlineStr">
        <is>
          <t>2017_PE_Line 59070</t>
        </is>
      </c>
      <c r="AX873" s="101" t="n"/>
    </row>
    <row r="874">
      <c r="AW874" t="inlineStr">
        <is>
          <t>2017_PE_Line 59090</t>
        </is>
      </c>
      <c r="AX874" s="101" t="n"/>
    </row>
    <row r="875">
      <c r="AW875" t="inlineStr">
        <is>
          <t>2017_PE_Line 59000</t>
        </is>
      </c>
      <c r="AX875" s="101" t="n"/>
    </row>
    <row r="876">
      <c r="AW876" t="inlineStr">
        <is>
          <t>2017_PE_Line 59010</t>
        </is>
      </c>
      <c r="AX876" s="101" t="n"/>
    </row>
    <row r="877">
      <c r="AW877" t="inlineStr">
        <is>
          <t>2017_PE_Line 59030</t>
        </is>
      </c>
      <c r="AX877" s="101" t="n"/>
    </row>
    <row r="878">
      <c r="AW878" t="inlineStr">
        <is>
          <t>2017_PE_Line 59040</t>
        </is>
      </c>
      <c r="AX878" s="101" t="n"/>
    </row>
    <row r="879">
      <c r="AW879" t="inlineStr">
        <is>
          <t>2016_PE_Line 59020</t>
        </is>
      </c>
      <c r="AX879" s="101" t="n"/>
    </row>
    <row r="880">
      <c r="AW880" t="inlineStr">
        <is>
          <t>2016_PE_Line 59050</t>
        </is>
      </c>
      <c r="AX880" s="101" t="n"/>
    </row>
    <row r="881">
      <c r="AW881" t="inlineStr">
        <is>
          <t>2016_PE_Line 59070</t>
        </is>
      </c>
      <c r="AX881" s="101" t="n"/>
    </row>
    <row r="882">
      <c r="AW882" t="inlineStr">
        <is>
          <t>2016_PE_Line 59090</t>
        </is>
      </c>
      <c r="AX882" s="101" t="n"/>
    </row>
    <row r="883">
      <c r="AW883" t="inlineStr">
        <is>
          <t>2016_PE_Line 59000</t>
        </is>
      </c>
      <c r="AX883" s="101" t="n"/>
    </row>
    <row r="884">
      <c r="AW884" t="inlineStr">
        <is>
          <t>2016_PE_Line 59010</t>
        </is>
      </c>
      <c r="AX884" s="101" t="n"/>
    </row>
    <row r="885">
      <c r="AW885" t="inlineStr">
        <is>
          <t>2016_PE_Line 59030</t>
        </is>
      </c>
      <c r="AX885" s="101" t="n"/>
    </row>
    <row r="886">
      <c r="AW886" t="inlineStr">
        <is>
          <t>2016_PE_Line 59040</t>
        </is>
      </c>
      <c r="AX886" s="101" t="n"/>
    </row>
    <row r="887">
      <c r="AW887" t="inlineStr">
        <is>
          <t>2015_PE_Line 59020</t>
        </is>
      </c>
      <c r="AX887" s="101" t="n"/>
    </row>
    <row r="888">
      <c r="AW888" t="inlineStr">
        <is>
          <t>2015_PE_Line 59050</t>
        </is>
      </c>
      <c r="AX888" s="101" t="n"/>
    </row>
    <row r="889">
      <c r="AW889" t="inlineStr">
        <is>
          <t>2015_PE_Line 59070</t>
        </is>
      </c>
      <c r="AX889" s="101" t="n"/>
    </row>
    <row r="890">
      <c r="AW890" t="inlineStr">
        <is>
          <t>2015_PE_Line 59090</t>
        </is>
      </c>
      <c r="AX890" s="101" t="n"/>
    </row>
    <row r="891">
      <c r="AW891" t="inlineStr">
        <is>
          <t>2015_PE_Line 59000</t>
        </is>
      </c>
      <c r="AX891" s="101" t="n"/>
    </row>
    <row r="892">
      <c r="AW892" t="inlineStr">
        <is>
          <t>2015_PE_Line 59010</t>
        </is>
      </c>
      <c r="AX892" s="101" t="n"/>
    </row>
    <row r="893">
      <c r="AW893" t="inlineStr">
        <is>
          <t>2015_PE_Line 59030</t>
        </is>
      </c>
      <c r="AX893" s="101" t="n"/>
    </row>
    <row r="894">
      <c r="AW894" t="inlineStr">
        <is>
          <t>2015_PE_Line 59040</t>
        </is>
      </c>
      <c r="AX894" s="101" t="n"/>
    </row>
    <row r="895">
      <c r="AW895" t="inlineStr">
        <is>
          <t>2014_PE_Line 59020</t>
        </is>
      </c>
      <c r="AX895" s="101" t="n"/>
    </row>
    <row r="896">
      <c r="AW896" t="inlineStr">
        <is>
          <t>2014_PE_Line 59050</t>
        </is>
      </c>
      <c r="AX896" s="101" t="n"/>
    </row>
    <row r="897">
      <c r="AW897" t="inlineStr">
        <is>
          <t>2014_PE_Line 59070</t>
        </is>
      </c>
      <c r="AX897" s="101" t="n"/>
    </row>
    <row r="898">
      <c r="AW898" t="inlineStr">
        <is>
          <t>2014_PE_Line 59090</t>
        </is>
      </c>
      <c r="AX898" s="101" t="n"/>
    </row>
    <row r="899">
      <c r="AW899" t="inlineStr">
        <is>
          <t>2014_PE_Line 59000</t>
        </is>
      </c>
      <c r="AX899" s="101" t="n"/>
    </row>
    <row r="900">
      <c r="AW900" t="inlineStr">
        <is>
          <t>2014_PE_Line 59010</t>
        </is>
      </c>
      <c r="AX900" s="101" t="n"/>
    </row>
    <row r="901">
      <c r="AW901" t="inlineStr">
        <is>
          <t>2014_PE_Line 59030</t>
        </is>
      </c>
      <c r="AX901" s="101" t="n"/>
    </row>
    <row r="902">
      <c r="AW902" t="inlineStr">
        <is>
          <t>2014_PE_Line 59040</t>
        </is>
      </c>
      <c r="AX902" s="101" t="n"/>
    </row>
    <row r="903">
      <c r="AW903" t="inlineStr">
        <is>
          <t>2023_SK_Line 59020</t>
        </is>
      </c>
      <c r="AX903" s="101" t="n"/>
    </row>
    <row r="904">
      <c r="AW904" t="inlineStr">
        <is>
          <t>2023_SK_Line 59050</t>
        </is>
      </c>
      <c r="AX904" s="101" t="n"/>
    </row>
    <row r="905">
      <c r="AW905" t="inlineStr">
        <is>
          <t>2023_SK_Line 59070</t>
        </is>
      </c>
      <c r="AX905" s="101" t="n"/>
    </row>
    <row r="906">
      <c r="AW906" t="inlineStr">
        <is>
          <t>2023_SK_Line 59090</t>
        </is>
      </c>
      <c r="AX906" s="101" t="n"/>
    </row>
    <row r="907">
      <c r="AW907" t="inlineStr">
        <is>
          <t>2023_SK_Line 59000</t>
        </is>
      </c>
      <c r="AX907" s="101" t="n"/>
    </row>
    <row r="908">
      <c r="AW908" t="inlineStr">
        <is>
          <t>2023_SK_Line 59010</t>
        </is>
      </c>
      <c r="AX908" s="101" t="n"/>
    </row>
    <row r="909">
      <c r="AW909" t="inlineStr">
        <is>
          <t>2023_SK_Line 59030</t>
        </is>
      </c>
      <c r="AX909" s="101" t="n"/>
    </row>
    <row r="910">
      <c r="AW910" t="inlineStr">
        <is>
          <t>2023_SK_Line 59040</t>
        </is>
      </c>
      <c r="AX910" s="101" t="n"/>
    </row>
    <row r="911">
      <c r="AW911" t="inlineStr">
        <is>
          <t>2022_SK_Line 59020</t>
        </is>
      </c>
      <c r="AX911" s="101" t="n"/>
    </row>
    <row r="912">
      <c r="AW912" t="inlineStr">
        <is>
          <t>2022_SK_Line 59050</t>
        </is>
      </c>
      <c r="AX912" s="101" t="n"/>
    </row>
    <row r="913">
      <c r="AW913" t="inlineStr">
        <is>
          <t>2022_SK_Line 59070</t>
        </is>
      </c>
      <c r="AX913" s="101" t="n"/>
    </row>
    <row r="914">
      <c r="AW914" t="inlineStr">
        <is>
          <t>2022_SK_Line 59090</t>
        </is>
      </c>
      <c r="AX914" s="101" t="n"/>
    </row>
    <row r="915">
      <c r="AW915" t="inlineStr">
        <is>
          <t>2022_SK_Line 59000</t>
        </is>
      </c>
      <c r="AX915" s="101" t="n"/>
    </row>
    <row r="916">
      <c r="AW916" t="inlineStr">
        <is>
          <t>2022_SK_Line 59010</t>
        </is>
      </c>
      <c r="AX916" s="101" t="n"/>
    </row>
    <row r="917">
      <c r="AW917" t="inlineStr">
        <is>
          <t>2022_SK_Line 59030</t>
        </is>
      </c>
      <c r="AX917" s="101" t="n"/>
    </row>
    <row r="918">
      <c r="AW918" t="inlineStr">
        <is>
          <t>2022_SK_Line 59040</t>
        </is>
      </c>
      <c r="AX918" s="101" t="n"/>
    </row>
    <row r="919">
      <c r="AW919" t="inlineStr">
        <is>
          <t>2021_SK_Line 59020</t>
        </is>
      </c>
      <c r="AX919" s="101" t="n"/>
    </row>
    <row r="920">
      <c r="AW920" t="inlineStr">
        <is>
          <t>2021_SK_Line 59050</t>
        </is>
      </c>
      <c r="AX920" s="101" t="n"/>
    </row>
    <row r="921">
      <c r="AW921" t="inlineStr">
        <is>
          <t>2021_SK_Line 59070</t>
        </is>
      </c>
      <c r="AX921" s="101" t="n"/>
    </row>
    <row r="922">
      <c r="AW922" t="inlineStr">
        <is>
          <t>2021_SK_Line 59090</t>
        </is>
      </c>
      <c r="AX922" s="101" t="n"/>
    </row>
    <row r="923">
      <c r="AW923" t="inlineStr">
        <is>
          <t>2021_SK_Line 59000</t>
        </is>
      </c>
      <c r="AX923" s="101" t="n"/>
    </row>
    <row r="924">
      <c r="AW924" t="inlineStr">
        <is>
          <t>2021_SK_Line 59010</t>
        </is>
      </c>
      <c r="AX924" s="101" t="n"/>
    </row>
    <row r="925">
      <c r="AW925" t="inlineStr">
        <is>
          <t>2021_SK_Line 59030</t>
        </is>
      </c>
      <c r="AX925" s="101" t="n"/>
    </row>
    <row r="926">
      <c r="AW926" t="inlineStr">
        <is>
          <t>2021_SK_Line 59040</t>
        </is>
      </c>
      <c r="AX926" s="101" t="n"/>
    </row>
    <row r="927">
      <c r="AW927" t="inlineStr">
        <is>
          <t>2020_SK_Line 59020</t>
        </is>
      </c>
      <c r="AX927" s="101" t="n"/>
    </row>
    <row r="928">
      <c r="AW928" t="inlineStr">
        <is>
          <t>2020_SK_Line 59050</t>
        </is>
      </c>
      <c r="AX928" s="101" t="n"/>
    </row>
    <row r="929">
      <c r="AW929" t="inlineStr">
        <is>
          <t>2020_SK_Line 59070</t>
        </is>
      </c>
      <c r="AX929" s="101" t="n"/>
    </row>
    <row r="930">
      <c r="AW930" t="inlineStr">
        <is>
          <t>2020_SK_Line 59090</t>
        </is>
      </c>
      <c r="AX930" s="101" t="n"/>
    </row>
    <row r="931">
      <c r="AW931" t="inlineStr">
        <is>
          <t>2020_SK_Line 59000</t>
        </is>
      </c>
      <c r="AX931" s="101" t="n"/>
    </row>
    <row r="932">
      <c r="AW932" t="inlineStr">
        <is>
          <t>2020_SK_Line 59010</t>
        </is>
      </c>
      <c r="AX932" s="101" t="n"/>
    </row>
    <row r="933">
      <c r="AW933" t="inlineStr">
        <is>
          <t>2020_SK_Line 59030</t>
        </is>
      </c>
      <c r="AX933" s="101" t="n"/>
    </row>
    <row r="934">
      <c r="AW934" t="inlineStr">
        <is>
          <t>2020_SK_Line 59040</t>
        </is>
      </c>
      <c r="AX934" s="101" t="n"/>
    </row>
    <row r="935">
      <c r="AW935" t="inlineStr">
        <is>
          <t>2019_SK_Line 59020</t>
        </is>
      </c>
      <c r="AX935" s="101" t="n"/>
    </row>
    <row r="936">
      <c r="AW936" t="inlineStr">
        <is>
          <t>2019_SK_Line 59050</t>
        </is>
      </c>
      <c r="AX936" s="101" t="n"/>
    </row>
    <row r="937">
      <c r="AW937" t="inlineStr">
        <is>
          <t>2019_SK_Line 59070</t>
        </is>
      </c>
      <c r="AX937" s="101" t="n"/>
    </row>
    <row r="938">
      <c r="AW938" t="inlineStr">
        <is>
          <t>2019_SK_Line 59090</t>
        </is>
      </c>
      <c r="AX938" s="101" t="n"/>
    </row>
    <row r="939">
      <c r="AW939" t="inlineStr">
        <is>
          <t>2019_SK_Line 59000</t>
        </is>
      </c>
      <c r="AX939" s="101" t="n"/>
    </row>
    <row r="940">
      <c r="AW940" t="inlineStr">
        <is>
          <t>2019_SK_Line 59010</t>
        </is>
      </c>
      <c r="AX940" s="101" t="n"/>
    </row>
    <row r="941">
      <c r="AW941" t="inlineStr">
        <is>
          <t>2019_SK_Line 59030</t>
        </is>
      </c>
      <c r="AX941" s="101" t="n"/>
    </row>
    <row r="942">
      <c r="AW942" t="inlineStr">
        <is>
          <t>2019_SK_Line 59040</t>
        </is>
      </c>
      <c r="AX942" s="101" t="n"/>
    </row>
    <row r="943">
      <c r="AW943" t="inlineStr">
        <is>
          <t>2018_SK_Line 59020</t>
        </is>
      </c>
      <c r="AX943" s="101" t="n"/>
    </row>
    <row r="944">
      <c r="AW944" t="inlineStr">
        <is>
          <t>2018_SK_Line 59050</t>
        </is>
      </c>
      <c r="AX944" s="101" t="n"/>
    </row>
    <row r="945">
      <c r="AW945" t="inlineStr">
        <is>
          <t>2018_SK_Line 59070</t>
        </is>
      </c>
      <c r="AX945" s="101" t="n"/>
    </row>
    <row r="946">
      <c r="AW946" t="inlineStr">
        <is>
          <t>2018_SK_Line 59090</t>
        </is>
      </c>
      <c r="AX946" s="101" t="n"/>
    </row>
    <row r="947">
      <c r="AW947" t="inlineStr">
        <is>
          <t>2018_SK_Line 59000</t>
        </is>
      </c>
      <c r="AX947" s="101" t="n"/>
    </row>
    <row r="948">
      <c r="AW948" t="inlineStr">
        <is>
          <t>2018_SK_Line 59010</t>
        </is>
      </c>
      <c r="AX948" s="101" t="n"/>
    </row>
    <row r="949">
      <c r="AW949" t="inlineStr">
        <is>
          <t>2018_SK_Line 59030</t>
        </is>
      </c>
      <c r="AX949" s="101" t="n"/>
    </row>
    <row r="950">
      <c r="AW950" t="inlineStr">
        <is>
          <t>2018_SK_Line 59040</t>
        </is>
      </c>
      <c r="AX950" s="101" t="n"/>
    </row>
    <row r="951">
      <c r="AW951" t="inlineStr">
        <is>
          <t>2017_SK_Line 59020</t>
        </is>
      </c>
      <c r="AX951" s="101" t="n"/>
    </row>
    <row r="952">
      <c r="AW952" t="inlineStr">
        <is>
          <t>2017_SK_Line 59050</t>
        </is>
      </c>
      <c r="AX952" s="101" t="n"/>
    </row>
    <row r="953">
      <c r="AW953" t="inlineStr">
        <is>
          <t>2017_SK_Line 59070</t>
        </is>
      </c>
      <c r="AX953" s="101" t="n"/>
    </row>
    <row r="954">
      <c r="AW954" t="inlineStr">
        <is>
          <t>2017_SK_Line 59090</t>
        </is>
      </c>
      <c r="AX954" s="101" t="n"/>
    </row>
    <row r="955">
      <c r="AW955" t="inlineStr">
        <is>
          <t>2017_SK_Line 59000</t>
        </is>
      </c>
      <c r="AX955" s="101" t="n"/>
    </row>
    <row r="956">
      <c r="AW956" t="inlineStr">
        <is>
          <t>2017_SK_Line 59010</t>
        </is>
      </c>
      <c r="AX956" s="101" t="n"/>
    </row>
    <row r="957">
      <c r="AW957" t="inlineStr">
        <is>
          <t>2017_SK_Line 59030</t>
        </is>
      </c>
      <c r="AX957" s="101" t="n"/>
    </row>
    <row r="958">
      <c r="AW958" t="inlineStr">
        <is>
          <t>2017_SK_Line 59040</t>
        </is>
      </c>
      <c r="AX958" s="101" t="n"/>
    </row>
    <row r="959">
      <c r="AW959" t="inlineStr">
        <is>
          <t>2016_SK_Line 59020</t>
        </is>
      </c>
      <c r="AX959" s="101" t="n"/>
    </row>
    <row r="960">
      <c r="AW960" t="inlineStr">
        <is>
          <t>2016_SK_Line 59050</t>
        </is>
      </c>
      <c r="AX960" s="101" t="n"/>
    </row>
    <row r="961">
      <c r="AW961" t="inlineStr">
        <is>
          <t>2016_SK_Line 59070</t>
        </is>
      </c>
      <c r="AX961" s="101" t="n"/>
    </row>
    <row r="962">
      <c r="AW962" t="inlineStr">
        <is>
          <t>2016_SK_Line 59090</t>
        </is>
      </c>
      <c r="AX962" s="101" t="n"/>
    </row>
    <row r="963">
      <c r="AW963" t="inlineStr">
        <is>
          <t>2016_SK_Line 59000</t>
        </is>
      </c>
      <c r="AX963" s="101" t="n"/>
    </row>
    <row r="964">
      <c r="AW964" t="inlineStr">
        <is>
          <t>2016_SK_Line 59010</t>
        </is>
      </c>
      <c r="AX964" s="101" t="n"/>
    </row>
    <row r="965">
      <c r="AW965" t="inlineStr">
        <is>
          <t>2016_SK_Line 59030</t>
        </is>
      </c>
      <c r="AX965" s="101" t="n"/>
    </row>
    <row r="966">
      <c r="AW966" t="inlineStr">
        <is>
          <t>2016_SK_Line 59040</t>
        </is>
      </c>
      <c r="AX966" s="101" t="n"/>
    </row>
    <row r="967">
      <c r="AW967" t="inlineStr">
        <is>
          <t>2015_SK_Line 59020</t>
        </is>
      </c>
      <c r="AX967" s="101" t="n"/>
    </row>
    <row r="968">
      <c r="AW968" t="inlineStr">
        <is>
          <t>2015_SK_Line 59050</t>
        </is>
      </c>
      <c r="AX968" s="101" t="n"/>
    </row>
    <row r="969">
      <c r="AW969" t="inlineStr">
        <is>
          <t>2015_SK_Line 59070</t>
        </is>
      </c>
      <c r="AX969" s="101" t="n"/>
    </row>
    <row r="970">
      <c r="AW970" t="inlineStr">
        <is>
          <t>2015_SK_Line 59090</t>
        </is>
      </c>
      <c r="AX970" s="101" t="n"/>
    </row>
    <row r="971">
      <c r="AW971" t="inlineStr">
        <is>
          <t>2015_SK_Line 59000</t>
        </is>
      </c>
      <c r="AX971" s="101" t="n"/>
    </row>
    <row r="972">
      <c r="AW972" t="inlineStr">
        <is>
          <t>2015_SK_Line 59010</t>
        </is>
      </c>
      <c r="AX972" s="101" t="n"/>
    </row>
    <row r="973">
      <c r="AW973" t="inlineStr">
        <is>
          <t>2015_SK_Line 59030</t>
        </is>
      </c>
      <c r="AX973" s="101" t="n"/>
    </row>
    <row r="974">
      <c r="AW974" t="inlineStr">
        <is>
          <t>2015_SK_Line 59040</t>
        </is>
      </c>
      <c r="AX974" s="101" t="n"/>
    </row>
    <row r="975">
      <c r="AW975" t="inlineStr">
        <is>
          <t>2014_SK_Line 59020</t>
        </is>
      </c>
      <c r="AX975" s="101" t="n"/>
    </row>
    <row r="976">
      <c r="AW976" t="inlineStr">
        <is>
          <t>2014_SK_Line 59050</t>
        </is>
      </c>
      <c r="AX976" s="101" t="n"/>
    </row>
    <row r="977">
      <c r="AW977" t="inlineStr">
        <is>
          <t>2014_SK_Line 59070</t>
        </is>
      </c>
      <c r="AX977" s="101" t="n"/>
    </row>
    <row r="978">
      <c r="AW978" t="inlineStr">
        <is>
          <t>2014_SK_Line 59090</t>
        </is>
      </c>
      <c r="AX978" s="101" t="n"/>
    </row>
    <row r="979">
      <c r="AW979" t="inlineStr">
        <is>
          <t>2014_SK_Line 59000</t>
        </is>
      </c>
      <c r="AX979" s="101" t="n"/>
    </row>
    <row r="980">
      <c r="AW980" t="inlineStr">
        <is>
          <t>2014_SK_Line 59010</t>
        </is>
      </c>
      <c r="AX980" s="101" t="n"/>
    </row>
    <row r="981">
      <c r="AW981" t="inlineStr">
        <is>
          <t>2014_SK_Line 59030</t>
        </is>
      </c>
      <c r="AX981" s="101" t="n"/>
    </row>
    <row r="982">
      <c r="AW982" t="inlineStr">
        <is>
          <t>2014_SK_Line 59040</t>
        </is>
      </c>
      <c r="AX982" s="101" t="n"/>
    </row>
    <row r="983">
      <c r="AW983" t="inlineStr">
        <is>
          <t>2023_YT_Line 59020</t>
        </is>
      </c>
      <c r="AX983" s="101" t="n"/>
    </row>
    <row r="984">
      <c r="AW984" t="inlineStr">
        <is>
          <t>2023_YT_Line 59050</t>
        </is>
      </c>
      <c r="AX984" s="101" t="n"/>
    </row>
    <row r="985">
      <c r="AW985" t="inlineStr">
        <is>
          <t>2023_YT_Line 59070</t>
        </is>
      </c>
      <c r="AX985" s="101" t="n"/>
    </row>
    <row r="986">
      <c r="AW986" t="inlineStr">
        <is>
          <t>2023_YT_Line 59090</t>
        </is>
      </c>
      <c r="AX986" s="101" t="n"/>
    </row>
    <row r="987">
      <c r="AW987" t="inlineStr">
        <is>
          <t>2023_YT_Line 59000</t>
        </is>
      </c>
      <c r="AX987" s="101" t="n"/>
    </row>
    <row r="988">
      <c r="AW988" t="inlineStr">
        <is>
          <t>2023_YT_Line 59010</t>
        </is>
      </c>
      <c r="AX988" s="101" t="n"/>
    </row>
    <row r="989">
      <c r="AW989" t="inlineStr">
        <is>
          <t>2023_YT_Line 59030</t>
        </is>
      </c>
      <c r="AX989" s="101" t="n"/>
    </row>
    <row r="990">
      <c r="AW990" t="inlineStr">
        <is>
          <t>2023_YT_Line 59040</t>
        </is>
      </c>
      <c r="AX990" s="101" t="n"/>
    </row>
    <row r="991">
      <c r="AW991" t="inlineStr">
        <is>
          <t>2022_YT_Line 59020</t>
        </is>
      </c>
      <c r="AX991" s="101" t="n"/>
    </row>
    <row r="992">
      <c r="AW992" t="inlineStr">
        <is>
          <t>2022_YT_Line 59050</t>
        </is>
      </c>
      <c r="AX992" s="101" t="n"/>
    </row>
    <row r="993">
      <c r="AW993" t="inlineStr">
        <is>
          <t>2022_YT_Line 59070</t>
        </is>
      </c>
      <c r="AX993" s="101" t="n"/>
    </row>
    <row r="994">
      <c r="AW994" t="inlineStr">
        <is>
          <t>2022_YT_Line 59090</t>
        </is>
      </c>
      <c r="AX994" s="101" t="n"/>
    </row>
    <row r="995">
      <c r="AW995" t="inlineStr">
        <is>
          <t>2022_YT_Line 59000</t>
        </is>
      </c>
      <c r="AX995" s="101" t="n"/>
    </row>
    <row r="996">
      <c r="AW996" t="inlineStr">
        <is>
          <t>2022_YT_Line 59010</t>
        </is>
      </c>
      <c r="AX996" s="101" t="n"/>
    </row>
    <row r="997">
      <c r="AW997" t="inlineStr">
        <is>
          <t>2022_YT_Line 59030</t>
        </is>
      </c>
      <c r="AX997" s="101" t="n"/>
    </row>
    <row r="998">
      <c r="AW998" t="inlineStr">
        <is>
          <t>2022_YT_Line 59040</t>
        </is>
      </c>
      <c r="AX998" s="101" t="n"/>
    </row>
    <row r="999">
      <c r="AW999" t="inlineStr">
        <is>
          <t>2021_YT_Line 59020</t>
        </is>
      </c>
      <c r="AX999" s="101" t="n"/>
    </row>
    <row r="1000">
      <c r="AW1000" t="inlineStr">
        <is>
          <t>2021_YT_Line 59050</t>
        </is>
      </c>
      <c r="AX1000" s="101" t="n"/>
    </row>
    <row r="1001">
      <c r="AW1001" t="inlineStr">
        <is>
          <t>2021_YT_Line 59070</t>
        </is>
      </c>
      <c r="AX1001" s="101" t="n"/>
    </row>
    <row r="1002">
      <c r="AW1002" t="inlineStr">
        <is>
          <t>2021_YT_Line 59090</t>
        </is>
      </c>
      <c r="AX1002" s="101" t="n"/>
    </row>
    <row r="1003">
      <c r="AW1003" t="inlineStr">
        <is>
          <t>2021_YT_Line 59000</t>
        </is>
      </c>
      <c r="AX1003" s="101" t="n"/>
    </row>
    <row r="1004">
      <c r="AW1004" t="inlineStr">
        <is>
          <t>2021_YT_Line 59010</t>
        </is>
      </c>
      <c r="AX1004" s="101" t="n"/>
    </row>
    <row r="1005">
      <c r="AW1005" t="inlineStr">
        <is>
          <t>2021_YT_Line 59030</t>
        </is>
      </c>
      <c r="AX1005" s="101" t="n"/>
    </row>
    <row r="1006">
      <c r="AW1006" t="inlineStr">
        <is>
          <t>2021_YT_Line 59040</t>
        </is>
      </c>
      <c r="AX1006" s="101" t="n"/>
    </row>
    <row r="1007">
      <c r="AW1007" t="inlineStr">
        <is>
          <t>2020_YT_Line 59020</t>
        </is>
      </c>
      <c r="AX1007" s="101" t="n"/>
    </row>
    <row r="1008">
      <c r="AW1008" t="inlineStr">
        <is>
          <t>2020_YT_Line 59050</t>
        </is>
      </c>
      <c r="AX1008" s="101" t="n"/>
    </row>
    <row r="1009">
      <c r="AW1009" t="inlineStr">
        <is>
          <t>2020_YT_Line 59070</t>
        </is>
      </c>
      <c r="AX1009" s="101" t="n"/>
    </row>
    <row r="1010">
      <c r="AW1010" t="inlineStr">
        <is>
          <t>2020_YT_Line 59090</t>
        </is>
      </c>
      <c r="AX1010" s="101" t="n"/>
    </row>
    <row r="1011">
      <c r="AW1011" t="inlineStr">
        <is>
          <t>2020_YT_Line 59000</t>
        </is>
      </c>
      <c r="AX1011" s="101" t="n"/>
    </row>
    <row r="1012">
      <c r="AW1012" t="inlineStr">
        <is>
          <t>2020_YT_Line 59010</t>
        </is>
      </c>
      <c r="AX1012" s="101" t="n"/>
    </row>
    <row r="1013">
      <c r="AW1013" t="inlineStr">
        <is>
          <t>2020_YT_Line 59030</t>
        </is>
      </c>
      <c r="AX1013" s="101" t="n"/>
    </row>
    <row r="1014">
      <c r="AW1014" t="inlineStr">
        <is>
          <t>2020_YT_Line 59040</t>
        </is>
      </c>
      <c r="AX1014" s="101" t="n"/>
    </row>
    <row r="1015">
      <c r="AW1015" t="inlineStr">
        <is>
          <t>2019_YT_Line 59020</t>
        </is>
      </c>
      <c r="AX1015" s="101" t="n"/>
    </row>
    <row r="1016">
      <c r="AW1016" t="inlineStr">
        <is>
          <t>2019_YT_Line 59050</t>
        </is>
      </c>
      <c r="AX1016" s="101" t="n"/>
    </row>
    <row r="1017">
      <c r="AW1017" t="inlineStr">
        <is>
          <t>2019_YT_Line 59070</t>
        </is>
      </c>
      <c r="AX1017" s="101" t="n"/>
    </row>
    <row r="1018">
      <c r="AW1018" t="inlineStr">
        <is>
          <t>2019_YT_Line 59090</t>
        </is>
      </c>
      <c r="AX1018" s="101" t="n"/>
    </row>
    <row r="1019">
      <c r="AW1019" t="inlineStr">
        <is>
          <t>2019_YT_Line 59000</t>
        </is>
      </c>
      <c r="AX1019" s="101" t="n"/>
    </row>
    <row r="1020">
      <c r="AW1020" t="inlineStr">
        <is>
          <t>2019_YT_Line 59010</t>
        </is>
      </c>
      <c r="AX1020" s="101" t="n"/>
    </row>
    <row r="1021">
      <c r="AW1021" t="inlineStr">
        <is>
          <t>2019_YT_Line 59030</t>
        </is>
      </c>
      <c r="AX1021" s="101" t="n"/>
    </row>
    <row r="1022">
      <c r="AW1022" t="inlineStr">
        <is>
          <t>2019_YT_Line 59040</t>
        </is>
      </c>
      <c r="AX1022" s="101" t="n"/>
    </row>
    <row r="1023">
      <c r="AW1023" t="inlineStr">
        <is>
          <t>2018_YT_Line 59020</t>
        </is>
      </c>
      <c r="AX1023" s="101" t="n"/>
    </row>
    <row r="1024">
      <c r="AW1024" t="inlineStr">
        <is>
          <t>2018_YT_Line 59050</t>
        </is>
      </c>
      <c r="AX1024" s="101" t="n"/>
    </row>
    <row r="1025">
      <c r="AW1025" t="inlineStr">
        <is>
          <t>2018_YT_Line 59070</t>
        </is>
      </c>
      <c r="AX1025" s="101" t="n"/>
    </row>
    <row r="1026">
      <c r="AW1026" t="inlineStr">
        <is>
          <t>2018_YT_Line 59090</t>
        </is>
      </c>
      <c r="AX1026" s="101" t="n"/>
    </row>
    <row r="1027">
      <c r="AW1027" t="inlineStr">
        <is>
          <t>2018_YT_Line 59000</t>
        </is>
      </c>
      <c r="AX1027" s="101" t="n"/>
    </row>
    <row r="1028">
      <c r="AW1028" t="inlineStr">
        <is>
          <t>2018_YT_Line 59010</t>
        </is>
      </c>
      <c r="AX1028" s="101" t="n"/>
    </row>
    <row r="1029">
      <c r="AW1029" t="inlineStr">
        <is>
          <t>2018_YT_Line 59030</t>
        </is>
      </c>
      <c r="AX1029" s="101" t="n"/>
    </row>
    <row r="1030">
      <c r="AW1030" t="inlineStr">
        <is>
          <t>2018_YT_Line 59040</t>
        </is>
      </c>
      <c r="AX1030" s="101" t="n"/>
    </row>
    <row r="1031">
      <c r="AW1031" t="inlineStr">
        <is>
          <t>2017_YT_Line 59020</t>
        </is>
      </c>
      <c r="AX1031" s="101" t="n"/>
    </row>
    <row r="1032">
      <c r="AW1032" t="inlineStr">
        <is>
          <t>2017_YT_Line 59050</t>
        </is>
      </c>
      <c r="AX1032" s="101" t="n"/>
    </row>
    <row r="1033">
      <c r="AW1033" t="inlineStr">
        <is>
          <t>2017_YT_Line 59070</t>
        </is>
      </c>
      <c r="AX1033" s="101" t="n"/>
    </row>
    <row r="1034">
      <c r="AW1034" t="inlineStr">
        <is>
          <t>2017_YT_Line 59090</t>
        </is>
      </c>
      <c r="AX1034" s="101" t="n"/>
    </row>
    <row r="1035">
      <c r="AW1035" t="inlineStr">
        <is>
          <t>2017_YT_Line 59000</t>
        </is>
      </c>
      <c r="AX1035" s="101" t="n"/>
    </row>
    <row r="1036">
      <c r="AW1036" t="inlineStr">
        <is>
          <t>2017_YT_Line 59010</t>
        </is>
      </c>
      <c r="AX1036" s="101" t="n"/>
    </row>
    <row r="1037">
      <c r="AW1037" t="inlineStr">
        <is>
          <t>2017_YT_Line 59030</t>
        </is>
      </c>
      <c r="AX1037" s="101" t="n"/>
    </row>
    <row r="1038">
      <c r="AW1038" t="inlineStr">
        <is>
          <t>2017_YT_Line 59040</t>
        </is>
      </c>
      <c r="AX1038" s="101" t="n"/>
    </row>
    <row r="1039">
      <c r="AW1039" t="inlineStr">
        <is>
          <t>2016_YT_Line 59020</t>
        </is>
      </c>
      <c r="AX1039" s="101" t="n"/>
    </row>
    <row r="1040">
      <c r="AW1040" t="inlineStr">
        <is>
          <t>2016_YT_Line 59050</t>
        </is>
      </c>
      <c r="AX1040" s="101" t="n"/>
    </row>
    <row r="1041">
      <c r="AW1041" t="inlineStr">
        <is>
          <t>2016_YT_Line 59070</t>
        </is>
      </c>
      <c r="AX1041" s="101" t="n"/>
    </row>
    <row r="1042">
      <c r="AW1042" t="inlineStr">
        <is>
          <t>2016_YT_Line 59090</t>
        </is>
      </c>
      <c r="AX1042" s="101" t="n"/>
    </row>
    <row r="1043">
      <c r="AW1043" t="inlineStr">
        <is>
          <t>2016_YT_Line 59000</t>
        </is>
      </c>
      <c r="AX1043" s="101" t="n"/>
    </row>
    <row r="1044">
      <c r="AW1044" t="inlineStr">
        <is>
          <t>2016_YT_Line 59010</t>
        </is>
      </c>
      <c r="AX1044" s="101" t="n"/>
    </row>
    <row r="1045">
      <c r="AW1045" t="inlineStr">
        <is>
          <t>2016_YT_Line 59030</t>
        </is>
      </c>
      <c r="AX1045" s="101" t="n"/>
    </row>
    <row r="1046">
      <c r="AW1046" t="inlineStr">
        <is>
          <t>2016_YT_Line 59040</t>
        </is>
      </c>
      <c r="AX1046" s="101" t="n"/>
    </row>
    <row r="1047">
      <c r="AW1047" t="inlineStr">
        <is>
          <t>2015_YT_Line 59020</t>
        </is>
      </c>
      <c r="AX1047" s="101" t="n"/>
    </row>
    <row r="1048">
      <c r="AW1048" t="inlineStr">
        <is>
          <t>2015_YT_Line 59050</t>
        </is>
      </c>
      <c r="AX1048" s="101" t="n"/>
    </row>
    <row r="1049">
      <c r="AW1049" t="inlineStr">
        <is>
          <t>2015_YT_Line 59070</t>
        </is>
      </c>
      <c r="AX1049" s="101" t="n"/>
    </row>
    <row r="1050">
      <c r="AW1050" t="inlineStr">
        <is>
          <t>2015_YT_Line 59090</t>
        </is>
      </c>
      <c r="AX1050" s="101" t="n"/>
    </row>
    <row r="1051">
      <c r="AW1051" t="inlineStr">
        <is>
          <t>2015_YT_Line 59000</t>
        </is>
      </c>
      <c r="AX1051" s="101" t="n"/>
    </row>
    <row r="1052">
      <c r="AW1052" t="inlineStr">
        <is>
          <t>2015_YT_Line 59010</t>
        </is>
      </c>
      <c r="AX1052" s="101" t="n"/>
    </row>
    <row r="1053">
      <c r="AW1053" t="inlineStr">
        <is>
          <t>2015_YT_Line 59030</t>
        </is>
      </c>
      <c r="AX1053" s="101" t="n"/>
    </row>
    <row r="1054">
      <c r="AW1054" t="inlineStr">
        <is>
          <t>2015_YT_Line 59040</t>
        </is>
      </c>
      <c r="AX1054" s="101" t="n"/>
    </row>
    <row r="1055">
      <c r="AW1055" t="inlineStr">
        <is>
          <t>2014_YT_Line 59020</t>
        </is>
      </c>
      <c r="AX1055" s="101" t="n"/>
    </row>
    <row r="1056">
      <c r="AW1056" t="inlineStr">
        <is>
          <t>2014_YT_Line 59050</t>
        </is>
      </c>
      <c r="AX1056" s="101" t="n"/>
    </row>
    <row r="1057">
      <c r="AW1057" t="inlineStr">
        <is>
          <t>2014_YT_Line 59070</t>
        </is>
      </c>
      <c r="AX1057" s="101" t="n"/>
    </row>
    <row r="1058">
      <c r="AW1058" t="inlineStr">
        <is>
          <t>2014_YT_Line 59090</t>
        </is>
      </c>
      <c r="AX1058" s="101" t="n"/>
    </row>
    <row r="1059">
      <c r="AW1059" t="inlineStr">
        <is>
          <t>2014_YT_Line 59000</t>
        </is>
      </c>
      <c r="AX1059" s="101" t="n"/>
    </row>
    <row r="1060">
      <c r="AW1060" t="inlineStr">
        <is>
          <t>2014_YT_Line 59010</t>
        </is>
      </c>
      <c r="AX1060" s="101" t="n"/>
    </row>
    <row r="1061">
      <c r="AW1061" t="inlineStr">
        <is>
          <t>2014_YT_Line 59030</t>
        </is>
      </c>
      <c r="AX1061" s="101" t="n"/>
    </row>
    <row r="1062">
      <c r="AW1062" t="inlineStr">
        <is>
          <t>2014_YT_Line 59040</t>
        </is>
      </c>
      <c r="AX1062" s="101" t="n"/>
    </row>
  </sheetData>
  <mergeCells count="25">
    <mergeCell ref="P4:Q4"/>
    <mergeCell ref="R2:T25"/>
    <mergeCell ref="P20:Q20"/>
    <mergeCell ref="P10:Q10"/>
    <mergeCell ref="O24:O25"/>
    <mergeCell ref="P22:Q22"/>
    <mergeCell ref="P9:Q9"/>
    <mergeCell ref="O17:O19"/>
    <mergeCell ref="P21:Q21"/>
    <mergeCell ref="O11:O15"/>
    <mergeCell ref="P6:Q6"/>
    <mergeCell ref="E19:F19"/>
    <mergeCell ref="P8:Q8"/>
    <mergeCell ref="P2:Q2"/>
    <mergeCell ref="P24:Q25"/>
    <mergeCell ref="P23:Q23"/>
    <mergeCell ref="P7:Q7"/>
    <mergeCell ref="P16:Q16"/>
    <mergeCell ref="P11:Q15"/>
    <mergeCell ref="M58:U58"/>
    <mergeCell ref="P17:Q19"/>
    <mergeCell ref="A34:L34"/>
    <mergeCell ref="P3:Q3"/>
    <mergeCell ref="P5:Q5"/>
    <mergeCell ref="E18:F18"/>
  </mergeCells>
  <pageMargins left="0.7" right="0.7" top="0.75" bottom="0.75" header="0.3" footer="0.3"/>
  <pageSetup orientation="portrait"/>
</worksheet>
</file>

<file path=xl/worksheets/sheet5.xml><?xml version="1.0" encoding="utf-8"?>
<worksheet xmlns:r="http://schemas.openxmlformats.org/officeDocument/2006/relationships" xmlns="http://schemas.openxmlformats.org/spreadsheetml/2006/main">
  <sheetPr codeName="Sheet18">
    <outlinePr summaryBelow="1" summaryRight="1"/>
    <pageSetUpPr/>
  </sheetPr>
  <dimension ref="B2:AC139"/>
  <sheetViews>
    <sheetView zoomScale="85" zoomScaleNormal="85" workbookViewId="0">
      <selection activeCell="I16" sqref="I16"/>
    </sheetView>
  </sheetViews>
  <sheetFormatPr baseColWidth="8" defaultRowHeight="15"/>
  <cols>
    <col width="3" customWidth="1" min="1" max="1"/>
    <col width="16.5703125" bestFit="1" customWidth="1" min="2" max="2"/>
    <col width="17.140625" customWidth="1" min="5" max="5"/>
    <col width="17.28515625" customWidth="1" min="6" max="6"/>
    <col width="26.42578125" bestFit="1" customWidth="1" min="7" max="7"/>
    <col width="26.5703125" bestFit="1" customWidth="1" min="8" max="8"/>
    <col width="16.7109375" bestFit="1" customWidth="1" min="9" max="9"/>
    <col width="18.7109375" bestFit="1" customWidth="1" min="10" max="10"/>
    <col width="13.5703125" bestFit="1" customWidth="1" min="11" max="11"/>
    <col width="25.28515625" bestFit="1" customWidth="1" min="12" max="12"/>
    <col width="12.7109375" bestFit="1" customWidth="1" min="13" max="13"/>
    <col width="10.42578125" bestFit="1" customWidth="1" min="14" max="14"/>
    <col width="11.5703125" bestFit="1" customWidth="1" min="15" max="15"/>
    <col width="13.5703125" customWidth="1" min="17" max="17"/>
    <col width="45.85546875" bestFit="1" customWidth="1" min="25" max="25"/>
    <col width="13.42578125" bestFit="1" customWidth="1" min="26" max="26"/>
  </cols>
  <sheetData>
    <row r="2" ht="26.25" customHeight="1">
      <c r="B2" s="514" t="inlineStr">
        <is>
          <t>Child Disability Benefit Calculator</t>
        </is>
      </c>
      <c r="C2" s="91" t="n"/>
      <c r="D2" s="91" t="n"/>
      <c r="E2" s="91" t="n"/>
      <c r="F2" s="91" t="n"/>
      <c r="G2" s="91" t="n"/>
      <c r="H2" s="91" t="n"/>
      <c r="I2" s="91" t="n"/>
      <c r="J2" s="750" t="n"/>
    </row>
    <row r="3">
      <c r="M3" s="360">
        <f>TODAY()</f>
        <v/>
      </c>
    </row>
    <row r="4" ht="15" customHeight="1">
      <c r="M4">
        <f>YEAR(M3)</f>
        <v/>
      </c>
    </row>
    <row r="5">
      <c r="H5" s="492" t="inlineStr">
        <is>
          <t>DTC Approval Start</t>
        </is>
      </c>
      <c r="I5" s="492" t="inlineStr">
        <is>
          <t>DTC Approval End</t>
        </is>
      </c>
      <c r="J5" s="492" t="inlineStr">
        <is>
          <t>DOB (MM/DD/YYYY)</t>
        </is>
      </c>
      <c r="K5" s="492" t="n"/>
    </row>
    <row r="6" ht="16.5" customHeight="1">
      <c r="B6" s="775" t="inlineStr">
        <is>
          <t>**STEP 1: Input DOB and Estimated DTC Approval Start and End years for each DTC eligible dependant. Note: Please ensure that you only populate the cells for applicable dependants. All other cells should be left blank</t>
        </is>
      </c>
      <c r="C6" s="279" t="n"/>
      <c r="D6" s="279" t="n"/>
      <c r="E6" s="752" t="n"/>
      <c r="G6" s="668" t="inlineStr">
        <is>
          <t>Dependant 1</t>
        </is>
      </c>
      <c r="H6" s="388" t="n"/>
      <c r="I6" s="388" t="n"/>
      <c r="J6" s="383" t="n"/>
    </row>
    <row r="7">
      <c r="B7" s="762" t="n"/>
      <c r="E7" s="758" t="n"/>
      <c r="G7" s="668" t="inlineStr">
        <is>
          <t>Dependant 2</t>
        </is>
      </c>
      <c r="H7" s="388" t="n"/>
      <c r="I7" s="388" t="n"/>
      <c r="J7" s="383" t="n"/>
    </row>
    <row r="8">
      <c r="B8" s="762" t="n"/>
      <c r="E8" s="758" t="n"/>
      <c r="G8" s="668" t="inlineStr">
        <is>
          <t>Dependant 3</t>
        </is>
      </c>
      <c r="H8" s="388" t="n"/>
      <c r="I8" s="388" t="n"/>
      <c r="J8" s="383" t="n"/>
    </row>
    <row r="9">
      <c r="B9" s="762" t="n"/>
      <c r="E9" s="758" t="n"/>
      <c r="G9" s="668" t="inlineStr">
        <is>
          <t>Dependant 4</t>
        </is>
      </c>
      <c r="H9" s="388" t="n"/>
      <c r="I9" s="388" t="n"/>
      <c r="J9" s="383" t="n"/>
    </row>
    <row r="10">
      <c r="B10" s="762" t="n"/>
      <c r="E10" s="758" t="n"/>
      <c r="G10" s="668" t="inlineStr">
        <is>
          <t>Dependant 5</t>
        </is>
      </c>
      <c r="H10" s="388" t="n"/>
      <c r="I10" s="388" t="n"/>
      <c r="J10" s="383" t="n"/>
      <c r="N10" t="inlineStr">
        <is>
          <t>Note that the client gets a CDB payment for the month that they turn 18 and that is the last payment</t>
        </is>
      </c>
    </row>
    <row r="11">
      <c r="B11" s="762" t="n"/>
      <c r="E11" s="758" t="n"/>
      <c r="G11" s="668" t="inlineStr">
        <is>
          <t>Dependant 6</t>
        </is>
      </c>
      <c r="H11" s="388" t="n"/>
      <c r="I11" s="388" t="n"/>
      <c r="J11" s="383" t="n"/>
      <c r="N11" t="inlineStr">
        <is>
          <t>Chris turns 18 in Nov 2022, therefore, his mom will receive her last CDB payment in the month of November (for that month)</t>
        </is>
      </c>
    </row>
    <row r="12">
      <c r="B12" s="755" t="n"/>
      <c r="C12" s="39" t="n"/>
      <c r="D12" s="39" t="n"/>
      <c r="E12" s="756" t="n"/>
      <c r="G12" s="668" t="inlineStr">
        <is>
          <t>Dependant 7</t>
        </is>
      </c>
      <c r="H12" s="388" t="n"/>
      <c r="I12" s="388" t="n"/>
      <c r="J12" s="383" t="n"/>
    </row>
    <row r="13">
      <c r="G13" s="668" t="inlineStr">
        <is>
          <t>Dependant 8</t>
        </is>
      </c>
      <c r="H13" s="388" t="n"/>
      <c r="I13" s="388" t="n"/>
      <c r="J13" s="383" t="n"/>
    </row>
    <row r="15">
      <c r="G15" s="668" t="inlineStr">
        <is>
          <t>Tax Year</t>
        </is>
      </c>
      <c r="H15" s="71" t="inlineStr">
        <is>
          <t>Adjusted Family Net Income</t>
        </is>
      </c>
      <c r="I15" s="492" t="inlineStr">
        <is>
          <t>Parent 1 (Line 236)</t>
        </is>
      </c>
      <c r="J15" s="492" t="inlineStr">
        <is>
          <t>Parent 2 (Line 236)</t>
        </is>
      </c>
      <c r="K15" t="inlineStr">
        <is>
          <t>Marital Status</t>
        </is>
      </c>
      <c r="L15" s="492" t="inlineStr">
        <is>
          <t>Custody status</t>
        </is>
      </c>
      <c r="N15" s="513" t="inlineStr">
        <is>
          <t>Note that the rule is the year of DTC eligibility minus 2 years, meaning if someone is first elgible for the DTC in 2020, then the first year they would get CDB would use the 2018 base year as a reference point. The pay period for the 2018 base year would be July 2019 until June 2020 and so they would get retro payments from July 2019 until the current month we are in (Present day).</t>
        </is>
      </c>
    </row>
    <row r="16">
      <c r="G16" s="668" t="n"/>
      <c r="H16" s="71" t="n"/>
      <c r="I16" s="492" t="n"/>
      <c r="J16" s="492" t="n"/>
      <c r="L16" s="492" t="n"/>
    </row>
    <row r="17" ht="15" customHeight="1">
      <c r="B17" s="775" t="inlineStr">
        <is>
          <t>**STEP 2: Input the clients Annual Family Net Income. This is calculated by taking the value in line 236 for each family member minus line 117 and adding them all together to tabulate the total family net income.  Please note, that if the client has no income, you must enter $1.00 as their net income so that the calculation will be completed.</t>
        </is>
      </c>
      <c r="C17" s="279" t="n"/>
      <c r="D17" s="279" t="n"/>
      <c r="E17" s="752" t="n"/>
      <c r="G17" s="668">
        <f>M4-1</f>
        <v/>
      </c>
      <c r="H17" s="385">
        <f>I17+J17</f>
        <v/>
      </c>
      <c r="I17" s="416">
        <f>IF(TransferName="NONE",0,(_xlfn.XLOOKUP(MainClient,Clients!D:D,Clients!EI:EI,2,0,1)))</f>
        <v/>
      </c>
      <c r="J17" s="387">
        <f>IF(TransferName="NONE",0,(_xlfn.XLOOKUP(MainClient,Clients!D:D,Clients!EI:EI,2,0,1)))</f>
        <v/>
      </c>
      <c r="K17" s="484" t="n"/>
      <c r="L17" s="484" t="n"/>
    </row>
    <row r="18" ht="18" customHeight="1">
      <c r="B18" s="762" t="n"/>
      <c r="E18" s="758" t="n"/>
      <c r="G18" s="668">
        <f>G17-1</f>
        <v/>
      </c>
      <c r="H18" s="385">
        <f>I18+J18</f>
        <v/>
      </c>
      <c r="I18" s="417">
        <f>IF(TransferName="NONE",0,(_xlfn.XLOOKUP(MainClient,Clients!D:D,Clients!AFD:AFD,2,0,1)))</f>
        <v/>
      </c>
      <c r="J18" s="384">
        <f>IF(TransferName="NONE",0,(_xlfn.XLOOKUP(MainClient,Clients!D:D,Clients!AFD:AFD,2,0,1)))</f>
        <v/>
      </c>
      <c r="K18" s="484" t="n"/>
      <c r="L18" s="484" t="n"/>
    </row>
    <row r="19" ht="15.75" customHeight="1">
      <c r="B19" s="762" t="n"/>
      <c r="E19" s="758" t="n"/>
      <c r="G19" s="668">
        <f>G18-1</f>
        <v/>
      </c>
      <c r="H19" s="385">
        <f>I19+J19</f>
        <v/>
      </c>
      <c r="I19" s="416">
        <f>IF(TransferName="NONE",0,(_xlfn.XLOOKUP(MainClient,Clients!D:D,Clients!BFY:BFY,2,0,1)))</f>
        <v/>
      </c>
      <c r="J19" s="384">
        <f>IF(TransferName="NONE",0,(_xlfn.XLOOKUP(MainClient,Clients!D:D,Clients!BFY:BFY,2,0,1)))</f>
        <v/>
      </c>
      <c r="K19" s="484" t="n"/>
      <c r="L19" s="484" t="n"/>
    </row>
    <row r="20" ht="15.75" customHeight="1">
      <c r="B20" s="762" t="n"/>
      <c r="E20" s="758" t="n"/>
      <c r="G20" s="668">
        <f>G19-1</f>
        <v/>
      </c>
      <c r="H20" s="385">
        <f>I20+J20</f>
        <v/>
      </c>
      <c r="I20" s="416">
        <f>IF(TransferName="NONE",0,(_xlfn.XLOOKUP(MainClient,Clients!D:D,Clients!CGT:CGT,2,0,1)))</f>
        <v/>
      </c>
      <c r="J20" s="384">
        <f>IF(TransferName="NONE",0,(_xlfn.XLOOKUP(MainClient,Clients!D:D,Clients!CGT:CGT,2,0,1)))</f>
        <v/>
      </c>
      <c r="K20" s="484" t="n"/>
      <c r="L20" s="484" t="n"/>
    </row>
    <row r="21" ht="15.75" customHeight="1">
      <c r="B21" s="762" t="n"/>
      <c r="E21" s="758" t="n"/>
      <c r="G21" s="668">
        <f>G20-1</f>
        <v/>
      </c>
      <c r="H21" s="385">
        <f>I21+J21</f>
        <v/>
      </c>
      <c r="I21" s="416">
        <f>IF(TransferName="NONE",0,(_xlfn.XLOOKUP(MainClient,Clients!D:D,Clients!DHO:DHO,2,0,1)))</f>
        <v/>
      </c>
      <c r="J21" s="384">
        <f>IF(TransferName="NONE",0,(_xlfn.XLOOKUP(MainClient,Clients!D:D,Clients!DHO:DHO,2,0,1)))</f>
        <v/>
      </c>
      <c r="K21" s="484" t="n"/>
      <c r="L21" s="484" t="n"/>
    </row>
    <row r="22" ht="18" customHeight="1">
      <c r="B22" s="762" t="n"/>
      <c r="E22" s="758" t="n"/>
      <c r="G22" s="668">
        <f>G21-1</f>
        <v/>
      </c>
      <c r="H22" s="385">
        <f>I22+J22</f>
        <v/>
      </c>
      <c r="I22" s="416">
        <f>IF(TransferName="NONE",0,(_xlfn.XLOOKUP(MainClient,Clients!D:D,Clients!EIJ:EIJ,2,0,1)))</f>
        <v/>
      </c>
      <c r="J22" s="384">
        <f>IF(TransferName="NONE",0,(_xlfn.XLOOKUP(MainClient,Clients!D:D,Clients!EIJ:EIJ,2,0,1)))</f>
        <v/>
      </c>
      <c r="K22" s="484" t="n"/>
      <c r="L22" s="386" t="n"/>
    </row>
    <row r="23" ht="15.75" customHeight="1">
      <c r="B23" s="755" t="n"/>
      <c r="C23" s="39" t="n"/>
      <c r="D23" s="39" t="n"/>
      <c r="E23" s="756" t="n"/>
      <c r="G23" s="668">
        <f>G22-1</f>
        <v/>
      </c>
      <c r="H23" s="385">
        <f>I23+J23</f>
        <v/>
      </c>
      <c r="I23" s="416">
        <f>IF(TransferName="NONE",0,(_xlfn.XLOOKUP(MainClient,Clients!D:D,Clients!FIL:FIL,2,0,1)))</f>
        <v/>
      </c>
      <c r="J23" s="384">
        <f>IF(TransferName="NONE",0,(_xlfn.XLOOKUP(MainClient,Clients!D:D,Clients!FIL:FIL,2,0,1)))</f>
        <v/>
      </c>
      <c r="K23" s="484" t="n"/>
      <c r="L23" s="484" t="n"/>
    </row>
    <row r="24" ht="15.75" customHeight="1">
      <c r="B24" s="775" t="inlineStr">
        <is>
          <t>Adjusted Family Net Income – is your family net income (defined above) minus any universal child care benefit (UCCB) and registered disability savings plan (RDSP) income received plus any UCCB and RDSP amounts repaid.</t>
        </is>
      </c>
      <c r="C24" s="279" t="n"/>
      <c r="D24" s="279" t="n"/>
      <c r="E24" s="752" t="n"/>
      <c r="G24" s="668">
        <f>G23-1</f>
        <v/>
      </c>
      <c r="H24" s="385">
        <f>I24+J24</f>
        <v/>
      </c>
      <c r="I24" s="416">
        <f>IF(TransferName="NONE",0,(_xlfn.XLOOKUP(MainClient,Clients!D:D,Clients!GIN:GIN,2,0,1)))</f>
        <v/>
      </c>
      <c r="J24" s="384">
        <f>IF(TransferName="NONE",0,(_xlfn.XLOOKUP(MainClient,Clients!D:D,Clients!GIN:GIN,2,0,1)))</f>
        <v/>
      </c>
      <c r="K24" s="484" t="n"/>
      <c r="L24" s="484" t="n"/>
    </row>
    <row r="25" ht="15" customHeight="1">
      <c r="B25" s="762" t="n"/>
      <c r="E25" s="758" t="n"/>
      <c r="G25" s="668">
        <f>G24-1</f>
        <v/>
      </c>
      <c r="H25" s="385">
        <f>I25+J25</f>
        <v/>
      </c>
      <c r="I25" s="416">
        <f>IF(TransferName="NONE",0,(_xlfn.XLOOKUP(MainClient,Clients!D:D,Clients!HIP:HIP,2,0,1)))</f>
        <v/>
      </c>
      <c r="J25" s="384">
        <f>IF(TransferName="NONE",0,(_xlfn.XLOOKUP(MainClient,Clients!D:D,Clients!HIP:HIP,2,0,1)))</f>
        <v/>
      </c>
      <c r="K25" s="484" t="n"/>
      <c r="L25" s="484" t="n"/>
    </row>
    <row r="26" ht="15.75" customHeight="1">
      <c r="B26" s="762" t="n"/>
      <c r="E26" s="758" t="n"/>
      <c r="G26" s="668">
        <f>G25-1</f>
        <v/>
      </c>
      <c r="H26" s="385">
        <f>I26+J26</f>
        <v/>
      </c>
      <c r="I26" s="416">
        <f>IF(TransferName="NONE",0,(_xlfn.XLOOKUP(MainClient,Clients!D:D,Clients!IIR:IIR,2,0,1)))</f>
        <v/>
      </c>
      <c r="J26" s="384">
        <f>IF(TransferName="NONE",0,(_xlfn.XLOOKUP(MainClient,Clients!D:D,Clients!IIR:IIR,2,0,1)))</f>
        <v/>
      </c>
      <c r="K26" s="484" t="n"/>
      <c r="L26" s="484" t="n"/>
    </row>
    <row r="27" ht="15.75" customHeight="1">
      <c r="B27" s="755" t="n"/>
      <c r="C27" s="39" t="n"/>
      <c r="D27" s="39" t="n"/>
      <c r="E27" s="756" t="n"/>
      <c r="G27" s="668" t="n"/>
      <c r="H27" s="372" t="n"/>
      <c r="I27" s="415" t="n"/>
      <c r="J27" s="415" t="n"/>
      <c r="K27" s="492" t="n"/>
      <c r="L27" s="492" t="n"/>
    </row>
    <row r="28" ht="15.75" customHeight="1">
      <c r="G28" s="668" t="n"/>
      <c r="I28" s="415" t="n"/>
    </row>
    <row r="29" ht="15.75" customHeight="1">
      <c r="B29" s="484" t="inlineStr">
        <is>
          <t>**STEP 3: Input Estimated Payment Date:</t>
        </is>
      </c>
      <c r="C29" s="91" t="n"/>
      <c r="D29" s="91" t="n"/>
      <c r="E29" s="750" t="n"/>
      <c r="F29" s="383" t="n">
        <v>45524</v>
      </c>
      <c r="G29" s="254" t="n"/>
      <c r="H29" s="254" t="n"/>
      <c r="I29" s="254" t="n"/>
      <c r="Y29" s="360">
        <f>TODAY()</f>
        <v/>
      </c>
    </row>
    <row r="30" ht="15" customHeight="1">
      <c r="B30" s="382" t="n"/>
      <c r="C30" s="382" t="n"/>
      <c r="D30" s="382" t="n"/>
      <c r="E30" s="381" t="inlineStr">
        <is>
          <t>Note the year inputted must be the current calendar year--&gt;</t>
        </is>
      </c>
      <c r="F30" s="380">
        <f>Y30</f>
        <v/>
      </c>
      <c r="G30" s="254" t="n"/>
      <c r="H30" s="254" t="n"/>
      <c r="I30" s="254" t="n"/>
      <c r="Y30">
        <f>YEAR(Y29)</f>
        <v/>
      </c>
    </row>
    <row r="31" ht="15" customHeight="1"/>
    <row r="33" ht="16.5" customHeight="1">
      <c r="L33" s="379" t="n"/>
      <c r="Q33" s="373" t="n"/>
    </row>
    <row r="34" ht="16.5" customHeight="1">
      <c r="B34" s="378">
        <f>'[3]CDB Payout Calc'!B8</f>
        <v/>
      </c>
      <c r="C34" s="378">
        <f>'[3]CDB Payout Calc'!C8</f>
        <v/>
      </c>
      <c r="D34" s="91" t="n"/>
      <c r="E34" s="91" t="n"/>
      <c r="F34" s="750" t="n"/>
      <c r="G34" s="378" t="inlineStr">
        <is>
          <t>Est Client Payout</t>
        </is>
      </c>
      <c r="Y34" s="21" t="inlineStr">
        <is>
          <t>Calculation  for 2020 Base Year Payout</t>
        </is>
      </c>
    </row>
    <row r="35" ht="15" customHeight="1">
      <c r="B35" s="375">
        <f>G17</f>
        <v/>
      </c>
      <c r="C35" s="377" t="inlineStr">
        <is>
          <t>July</t>
        </is>
      </c>
      <c r="D35" s="377">
        <f>B35+1</f>
        <v/>
      </c>
      <c r="E35" s="484" t="inlineStr">
        <is>
          <t>June</t>
        </is>
      </c>
      <c r="F35" s="484">
        <f>D35+1</f>
        <v/>
      </c>
      <c r="G35" s="374">
        <f>'Payout Calcs'!D55</f>
        <v/>
      </c>
      <c r="K35" s="776" t="n"/>
      <c r="Y35" t="inlineStr">
        <is>
          <t>Invoice Date-&gt;</t>
        </is>
      </c>
      <c r="Z35" s="360">
        <f>F29</f>
        <v/>
      </c>
      <c r="AB35">
        <f>#REF!/12</f>
        <v/>
      </c>
      <c r="AC35" t="inlineStr">
        <is>
          <t>&lt;--Annual CDB payment for current year divided by 12 (To get a monthly number)</t>
        </is>
      </c>
    </row>
    <row r="36" ht="15" customHeight="1">
      <c r="B36" s="375">
        <f>G18</f>
        <v/>
      </c>
      <c r="C36" s="484" t="inlineStr">
        <is>
          <t>July</t>
        </is>
      </c>
      <c r="D36" s="484">
        <f>B36+1</f>
        <v/>
      </c>
      <c r="E36" s="377" t="inlineStr">
        <is>
          <t>June</t>
        </is>
      </c>
      <c r="F36" s="377">
        <f>D36+1</f>
        <v/>
      </c>
      <c r="G36" s="374">
        <f>'Payout Calcs'!E55</f>
        <v/>
      </c>
      <c r="K36" s="776" t="n"/>
      <c r="Y36" t="inlineStr">
        <is>
          <t>Month of Invoice Date</t>
        </is>
      </c>
      <c r="Z36">
        <f>MONTH(Z35)</f>
        <v/>
      </c>
    </row>
    <row r="37" ht="15" customHeight="1">
      <c r="B37" s="375">
        <f>G19</f>
        <v/>
      </c>
      <c r="C37" s="484" t="inlineStr">
        <is>
          <t>July</t>
        </is>
      </c>
      <c r="D37" s="484">
        <f>B37+1</f>
        <v/>
      </c>
      <c r="E37" s="484" t="inlineStr">
        <is>
          <t>June</t>
        </is>
      </c>
      <c r="F37" s="484">
        <f>D37+1</f>
        <v/>
      </c>
      <c r="G37" s="374">
        <f>'Payout Calcs'!F55</f>
        <v/>
      </c>
      <c r="K37" s="776" t="n"/>
      <c r="Y37" t="inlineStr">
        <is>
          <t>Payment Amount Due based on Current Month--&gt;</t>
        </is>
      </c>
      <c r="Z37">
        <f>IF(Z36&gt;6,((Z36-6)*AB35),(AB35*6)+(Z36*AB35))</f>
        <v/>
      </c>
    </row>
    <row r="38" ht="15" customHeight="1">
      <c r="B38" s="375">
        <f>G20</f>
        <v/>
      </c>
      <c r="C38" s="484" t="inlineStr">
        <is>
          <t>July</t>
        </is>
      </c>
      <c r="D38" s="484">
        <f>B38+1</f>
        <v/>
      </c>
      <c r="E38" s="484" t="inlineStr">
        <is>
          <t>June</t>
        </is>
      </c>
      <c r="F38" s="484">
        <f>D38+1</f>
        <v/>
      </c>
      <c r="G38" s="374">
        <f>'Payout Calcs'!G55</f>
        <v/>
      </c>
      <c r="J38" s="370" t="n"/>
      <c r="K38" s="776" t="n"/>
    </row>
    <row r="39" ht="15" customHeight="1">
      <c r="B39" s="375">
        <f>G21</f>
        <v/>
      </c>
      <c r="C39" s="484" t="inlineStr">
        <is>
          <t>July</t>
        </is>
      </c>
      <c r="D39" s="484">
        <f>B39+1</f>
        <v/>
      </c>
      <c r="E39" s="484" t="inlineStr">
        <is>
          <t>June</t>
        </is>
      </c>
      <c r="F39" s="484">
        <f>D39+1</f>
        <v/>
      </c>
      <c r="G39" s="374">
        <f>'Payout Calcs'!H55</f>
        <v/>
      </c>
      <c r="J39" s="370" t="n"/>
      <c r="K39" s="776" t="n"/>
    </row>
    <row r="40" ht="18" customHeight="1">
      <c r="B40" s="375">
        <f>G22</f>
        <v/>
      </c>
      <c r="C40" s="484" t="inlineStr">
        <is>
          <t>July</t>
        </is>
      </c>
      <c r="D40" s="484">
        <f>B40+1</f>
        <v/>
      </c>
      <c r="E40" s="484" t="inlineStr">
        <is>
          <t>June</t>
        </is>
      </c>
      <c r="F40" s="484">
        <f>D40+1</f>
        <v/>
      </c>
      <c r="G40" s="374">
        <f>'Payout Calcs'!I55</f>
        <v/>
      </c>
      <c r="J40" s="370" t="n"/>
      <c r="K40" s="776" t="n"/>
      <c r="Q40" s="373" t="n"/>
    </row>
    <row r="41" ht="18" customHeight="1">
      <c r="B41" s="375">
        <f>G23</f>
        <v/>
      </c>
      <c r="C41" s="484" t="inlineStr">
        <is>
          <t>July</t>
        </is>
      </c>
      <c r="D41" s="484">
        <f>B41+1</f>
        <v/>
      </c>
      <c r="E41" s="484" t="inlineStr">
        <is>
          <t>June</t>
        </is>
      </c>
      <c r="F41" s="484">
        <f>D41+1</f>
        <v/>
      </c>
      <c r="G41" s="374">
        <f>'Payout Calcs'!J55</f>
        <v/>
      </c>
      <c r="J41" s="370" t="n"/>
      <c r="K41" s="776" t="n"/>
    </row>
    <row r="42" ht="18" customHeight="1">
      <c r="B42" s="375">
        <f>G24</f>
        <v/>
      </c>
      <c r="C42" s="484" t="inlineStr">
        <is>
          <t>July</t>
        </is>
      </c>
      <c r="D42" s="484">
        <f>B42+1</f>
        <v/>
      </c>
      <c r="E42" s="484" t="inlineStr">
        <is>
          <t>June</t>
        </is>
      </c>
      <c r="F42" s="484">
        <f>D42+1</f>
        <v/>
      </c>
      <c r="G42" s="374">
        <f>'Payout Calcs'!K55</f>
        <v/>
      </c>
      <c r="J42" s="370" t="n"/>
      <c r="K42" s="777" t="n"/>
    </row>
    <row r="43" ht="18" customHeight="1">
      <c r="B43" s="375">
        <f>G25</f>
        <v/>
      </c>
      <c r="C43" s="484" t="inlineStr">
        <is>
          <t>July</t>
        </is>
      </c>
      <c r="D43" s="484">
        <f>B43+1</f>
        <v/>
      </c>
      <c r="E43" s="484" t="inlineStr">
        <is>
          <t>June</t>
        </is>
      </c>
      <c r="F43" s="484">
        <f>D43+1</f>
        <v/>
      </c>
      <c r="G43" s="374">
        <f>'Payout Calcs'!L55</f>
        <v/>
      </c>
      <c r="I43" s="373" t="n"/>
      <c r="J43" s="370" t="n"/>
      <c r="K43" s="777" t="n"/>
      <c r="L43" s="370" t="n"/>
    </row>
    <row r="44" ht="18" customHeight="1">
      <c r="B44" s="375">
        <f>G26</f>
        <v/>
      </c>
      <c r="C44" s="484" t="inlineStr">
        <is>
          <t>July</t>
        </is>
      </c>
      <c r="D44" s="484">
        <f>B44+1</f>
        <v/>
      </c>
      <c r="E44" s="484" t="inlineStr">
        <is>
          <t>June</t>
        </is>
      </c>
      <c r="F44" s="484">
        <f>D44+1</f>
        <v/>
      </c>
      <c r="G44" s="374">
        <f>'Payout Calcs'!M55</f>
        <v/>
      </c>
      <c r="I44" s="373" t="n"/>
      <c r="J44" s="370" t="n"/>
      <c r="K44" s="777" t="n"/>
      <c r="L44" s="370" t="n"/>
    </row>
    <row r="45" ht="18" customHeight="1">
      <c r="G45" s="372">
        <f>SUM(G35:G44)</f>
        <v/>
      </c>
      <c r="J45" s="370" t="n"/>
      <c r="K45" s="777" t="n"/>
      <c r="L45" s="370" t="n"/>
    </row>
    <row r="46" ht="18" customHeight="1">
      <c r="B46" s="60" t="inlineStr">
        <is>
          <t>***for reference only and have not been included in the total in cell G47</t>
        </is>
      </c>
      <c r="J46" s="370" t="n"/>
      <c r="K46" s="777" t="n"/>
      <c r="L46" s="370" t="n"/>
    </row>
    <row r="47" ht="18" customHeight="1">
      <c r="J47" s="370" t="n"/>
      <c r="K47" s="777" t="n"/>
      <c r="L47" s="370" t="n"/>
    </row>
    <row r="48" ht="18" customHeight="1">
      <c r="J48" s="370" t="n"/>
      <c r="K48" s="777" t="n"/>
      <c r="L48" s="370" t="n"/>
    </row>
    <row r="49" ht="18" customHeight="1">
      <c r="J49" s="370" t="n"/>
      <c r="K49" s="777" t="n"/>
      <c r="L49" s="370" t="n"/>
    </row>
    <row r="50" ht="18" customHeight="1">
      <c r="J50" s="370" t="n"/>
      <c r="K50" s="777" t="n"/>
      <c r="L50" s="370" t="n"/>
    </row>
    <row r="51" ht="18" customHeight="1">
      <c r="J51" s="370" t="n"/>
      <c r="K51" s="777" t="n"/>
      <c r="L51" s="370" t="n"/>
    </row>
    <row r="52" ht="18" customHeight="1">
      <c r="J52" s="370" t="n"/>
      <c r="K52" s="777" t="n"/>
      <c r="L52" s="370" t="n"/>
    </row>
    <row r="53" ht="18" customHeight="1">
      <c r="J53" s="370" t="n"/>
      <c r="K53" s="777" t="n"/>
      <c r="L53" s="370" t="n"/>
    </row>
    <row r="54" ht="18" customHeight="1">
      <c r="J54" s="370" t="n"/>
      <c r="K54" s="777" t="n"/>
      <c r="L54" s="370" t="n"/>
    </row>
    <row r="55" ht="18" customHeight="1">
      <c r="J55" s="370" t="n"/>
      <c r="K55" s="777" t="n"/>
      <c r="L55" s="370" t="n"/>
    </row>
    <row r="56" ht="18" customHeight="1">
      <c r="J56" s="370" t="n"/>
      <c r="K56" s="777" t="n"/>
      <c r="L56" s="370" t="n"/>
    </row>
    <row r="57" ht="18" customHeight="1">
      <c r="J57" s="370" t="n"/>
      <c r="K57" s="777" t="n"/>
      <c r="L57" s="370" t="n"/>
    </row>
    <row r="58" ht="18" customHeight="1">
      <c r="J58" s="370" t="n"/>
      <c r="K58" s="777" t="n"/>
      <c r="L58" s="370" t="n"/>
    </row>
    <row r="59" ht="18" customHeight="1">
      <c r="J59" s="370" t="n"/>
      <c r="K59" s="777" t="n"/>
      <c r="L59" s="370" t="n"/>
    </row>
    <row r="60" ht="18" customHeight="1">
      <c r="J60" s="370" t="n"/>
      <c r="K60" s="777" t="n"/>
      <c r="L60" s="370" t="n"/>
    </row>
    <row r="61" ht="18" customHeight="1">
      <c r="J61" s="370" t="n"/>
      <c r="L61" s="370" t="n"/>
    </row>
    <row r="62" ht="18" customHeight="1">
      <c r="J62" s="370" t="n"/>
      <c r="L62" s="370" t="n"/>
    </row>
    <row r="63" ht="18" customHeight="1">
      <c r="J63" s="370" t="n"/>
      <c r="L63" s="370" t="n"/>
    </row>
    <row r="64" ht="18" customHeight="1">
      <c r="J64" s="370" t="n"/>
      <c r="L64" s="370" t="n"/>
    </row>
    <row r="65" ht="18" customHeight="1">
      <c r="J65" s="370" t="n"/>
      <c r="L65" s="370" t="n"/>
    </row>
    <row r="66" ht="18" customHeight="1">
      <c r="J66" s="370" t="n"/>
      <c r="L66" s="370" t="n"/>
    </row>
    <row r="67" ht="18" customHeight="1">
      <c r="J67" s="370" t="n"/>
      <c r="L67" s="370" t="n"/>
    </row>
    <row r="68" ht="18" customHeight="1">
      <c r="J68" s="370" t="n"/>
      <c r="L68" s="370" t="n"/>
    </row>
    <row r="69" ht="18" customHeight="1">
      <c r="J69" s="370" t="n"/>
      <c r="L69" s="370" t="n"/>
    </row>
    <row r="70" ht="18" customHeight="1">
      <c r="J70" s="370" t="n"/>
      <c r="L70" s="370" t="n"/>
    </row>
    <row r="71" ht="18" customHeight="1">
      <c r="J71" s="370" t="n"/>
      <c r="L71" s="370" t="n"/>
    </row>
    <row r="72" ht="18" customHeight="1">
      <c r="J72" s="370" t="n"/>
      <c r="L72" s="370" t="n"/>
    </row>
    <row r="73" ht="18" customHeight="1">
      <c r="J73" s="370" t="n"/>
      <c r="L73" s="370" t="n"/>
    </row>
    <row r="74" ht="18" customHeight="1">
      <c r="J74" s="370" t="n"/>
      <c r="L74" s="370" t="n"/>
    </row>
    <row r="75" ht="18" customHeight="1">
      <c r="J75" s="370" t="n"/>
      <c r="L75" s="370" t="n"/>
    </row>
    <row r="76" ht="18" customHeight="1">
      <c r="J76" s="370" t="n"/>
      <c r="L76" s="370" t="n"/>
    </row>
    <row r="77" ht="18" customHeight="1">
      <c r="J77" s="370" t="n"/>
      <c r="L77" s="370" t="n"/>
    </row>
    <row r="78" ht="18" customHeight="1">
      <c r="J78" s="370" t="n"/>
      <c r="L78" s="370" t="n"/>
    </row>
    <row r="79" ht="18" customHeight="1">
      <c r="J79" s="370" t="n"/>
      <c r="L79" s="370" t="n"/>
    </row>
    <row r="80" ht="18" customHeight="1">
      <c r="J80" s="370" t="n"/>
      <c r="L80" s="370" t="n"/>
    </row>
    <row r="81" ht="18" customHeight="1">
      <c r="L81" s="370" t="n">
        <v>2412.16</v>
      </c>
    </row>
    <row r="82" ht="18" customHeight="1">
      <c r="L82" s="370" t="n"/>
    </row>
    <row r="83" ht="18" customHeight="1">
      <c r="L83" s="370" t="n"/>
    </row>
    <row r="84" ht="18" customHeight="1">
      <c r="L84" s="370" t="n"/>
    </row>
    <row r="85" ht="18" customHeight="1">
      <c r="L85" s="370" t="n"/>
    </row>
    <row r="86" ht="18" customHeight="1">
      <c r="L86" s="370" t="n"/>
    </row>
    <row r="87" ht="18" customHeight="1">
      <c r="L87" s="370" t="n"/>
    </row>
    <row r="88" ht="18" customHeight="1">
      <c r="L88" s="370" t="n"/>
    </row>
    <row r="89" ht="18" customHeight="1">
      <c r="L89" s="370" t="n"/>
    </row>
    <row r="90" ht="18" customHeight="1">
      <c r="L90" s="370" t="n"/>
    </row>
    <row r="91" ht="18" customHeight="1">
      <c r="L91" s="370" t="n"/>
    </row>
    <row r="92" ht="18" customHeight="1">
      <c r="L92" s="370" t="n"/>
    </row>
    <row r="93" ht="18" customHeight="1">
      <c r="L93" s="370" t="n"/>
    </row>
    <row r="94" ht="18" customHeight="1">
      <c r="L94" s="370" t="n"/>
    </row>
    <row r="95" ht="18" customHeight="1">
      <c r="L95" s="370" t="n"/>
    </row>
    <row r="96" ht="18" customHeight="1">
      <c r="L96" s="370" t="n"/>
    </row>
    <row r="97" ht="18" customHeight="1">
      <c r="L97" s="370" t="n"/>
    </row>
    <row r="98" ht="18" customHeight="1">
      <c r="L98" s="370" t="n"/>
    </row>
    <row r="99" ht="18" customHeight="1">
      <c r="L99" s="370" t="n"/>
    </row>
    <row r="100" ht="18" customHeight="1">
      <c r="L100" s="370" t="n"/>
    </row>
    <row r="101" ht="18" customHeight="1">
      <c r="L101" s="370" t="n"/>
    </row>
    <row r="102" ht="18" customHeight="1">
      <c r="L102" s="370" t="n"/>
    </row>
    <row r="103" ht="18" customHeight="1">
      <c r="L103" s="370" t="n"/>
    </row>
    <row r="104" ht="18" customHeight="1">
      <c r="L104" s="370" t="n"/>
    </row>
    <row r="105" ht="18" customHeight="1">
      <c r="L105" s="370" t="n"/>
    </row>
    <row r="106" ht="18" customHeight="1">
      <c r="L106" s="370" t="n"/>
    </row>
    <row r="107" ht="18" customHeight="1">
      <c r="L107" s="370" t="n"/>
    </row>
    <row r="108" ht="18" customHeight="1">
      <c r="L108" s="370" t="n"/>
    </row>
    <row r="109" ht="18" customHeight="1">
      <c r="L109" s="370" t="n"/>
    </row>
    <row r="110" ht="18" customHeight="1">
      <c r="L110" s="370" t="n"/>
    </row>
    <row r="111" ht="18" customHeight="1">
      <c r="L111" s="370" t="n"/>
    </row>
    <row r="112" ht="18" customHeight="1">
      <c r="L112" s="370" t="n"/>
    </row>
    <row r="113" ht="18" customHeight="1">
      <c r="L113" s="370" t="n"/>
    </row>
    <row r="114" ht="18" customHeight="1">
      <c r="L114" s="370" t="n"/>
    </row>
    <row r="115" ht="18" customHeight="1">
      <c r="L115" s="370" t="n"/>
    </row>
    <row r="116" ht="18" customHeight="1">
      <c r="L116" s="370" t="n"/>
    </row>
    <row r="117" ht="18" customHeight="1">
      <c r="L117" s="370" t="n"/>
    </row>
    <row r="118" ht="18" customHeight="1">
      <c r="L118" s="370" t="n"/>
    </row>
    <row r="119" ht="18" customHeight="1">
      <c r="L119" s="370" t="n"/>
    </row>
    <row r="120" ht="18" customHeight="1">
      <c r="L120" s="370" t="n"/>
    </row>
    <row r="121" ht="18" customHeight="1">
      <c r="L121" s="370" t="n"/>
    </row>
    <row r="122" ht="18" customHeight="1">
      <c r="L122" s="370" t="n"/>
    </row>
    <row r="123" ht="18" customHeight="1">
      <c r="L123" s="370" t="n"/>
    </row>
    <row r="124" ht="18" customHeight="1">
      <c r="L124" s="370" t="n"/>
    </row>
    <row r="125" ht="18" customHeight="1">
      <c r="L125" s="370" t="n"/>
    </row>
    <row r="126" ht="18" customHeight="1">
      <c r="L126" s="370" t="n"/>
    </row>
    <row r="127" ht="18" customHeight="1">
      <c r="L127" s="370" t="n"/>
    </row>
    <row r="128" ht="18" customHeight="1">
      <c r="L128" s="370" t="n"/>
    </row>
    <row r="129" ht="18" customHeight="1">
      <c r="L129" s="370" t="n"/>
    </row>
    <row r="130" ht="18" customHeight="1">
      <c r="L130" s="370" t="n"/>
    </row>
    <row r="131" ht="18" customHeight="1">
      <c r="L131" s="370" t="n"/>
    </row>
    <row r="132" ht="18" customHeight="1">
      <c r="L132" s="370" t="n"/>
    </row>
    <row r="133" ht="18" customHeight="1">
      <c r="L133" s="370" t="n"/>
    </row>
    <row r="134" ht="18" customHeight="1">
      <c r="L134" s="370" t="n"/>
    </row>
    <row r="135" ht="18" customHeight="1">
      <c r="L135" s="370" t="n"/>
    </row>
    <row r="136" ht="18" customHeight="1">
      <c r="L136" s="370" t="n"/>
    </row>
    <row r="137" ht="18" customHeight="1">
      <c r="L137" s="370" t="n"/>
    </row>
    <row r="138" ht="18" customHeight="1">
      <c r="L138" s="370" t="n"/>
    </row>
    <row r="139" ht="18" customHeight="1">
      <c r="L139" s="370" t="n"/>
    </row>
  </sheetData>
  <mergeCells count="7">
    <mergeCell ref="C34:F34"/>
    <mergeCell ref="B29:E29"/>
    <mergeCell ref="B17:E23"/>
    <mergeCell ref="N15:R23"/>
    <mergeCell ref="B24:E27"/>
    <mergeCell ref="B6:E12"/>
    <mergeCell ref="B2:J2"/>
  </mergeCells>
  <pageMargins left="0.7" right="0.7" top="0.75" bottom="0.75" header="0.3" footer="0.3"/>
  <pageSetup orientation="portrait"/>
  <legacyDrawing r:id="anysvml"/>
</worksheet>
</file>

<file path=xl/worksheets/sheet6.xml><?xml version="1.0" encoding="utf-8"?>
<worksheet xmlns:r="http://schemas.openxmlformats.org/officeDocument/2006/relationships" xmlns="http://schemas.openxmlformats.org/spreadsheetml/2006/main">
  <sheetPr codeName="Sheet1">
    <outlinePr summaryBelow="1" summaryRight="1"/>
    <pageSetUpPr/>
  </sheetPr>
  <dimension ref="A2:AQ12851"/>
  <sheetViews>
    <sheetView zoomScale="80" zoomScaleNormal="80" workbookViewId="0">
      <selection activeCell="I28" sqref="I28:K28"/>
    </sheetView>
  </sheetViews>
  <sheetFormatPr baseColWidth="8" defaultColWidth="9.140625" defaultRowHeight="15"/>
  <cols>
    <col width="8.5703125" customWidth="1" style="2" min="1" max="1"/>
    <col width="14.5703125" customWidth="1" style="2" min="2" max="2"/>
    <col width="20.28515625" customWidth="1" style="2" min="3" max="3"/>
    <col width="15" customWidth="1" style="2" min="4" max="4"/>
    <col width="16.28515625" customWidth="1" style="2" min="5" max="5"/>
    <col width="14" customWidth="1" style="2" min="6" max="6"/>
    <col width="16" customWidth="1" style="2" min="7" max="7"/>
    <col width="18.140625" customWidth="1" style="2" min="8" max="8"/>
    <col width="17" customWidth="1" style="2" min="9" max="9"/>
    <col width="15.5703125" customWidth="1" style="2" min="10" max="10"/>
    <col width="11.140625" customWidth="1" style="2" min="11" max="11"/>
    <col width="8.28515625" customWidth="1" style="2" min="12" max="12"/>
    <col width="10.28515625" customWidth="1" style="2" min="13" max="13"/>
    <col width="8.7109375" bestFit="1" customWidth="1" style="2" min="14" max="14"/>
    <col width="23.42578125" customWidth="1" style="2" min="15" max="16"/>
    <col width="19.7109375" customWidth="1" style="2" min="17" max="18"/>
    <col width="31.85546875" customWidth="1" style="2" min="19" max="19"/>
    <col width="32.85546875" customWidth="1" style="2" min="20" max="20"/>
    <col width="22.7109375" customWidth="1" style="2" min="21" max="21"/>
    <col width="21.28515625" customWidth="1" style="2" min="22" max="22"/>
    <col width="21.85546875" customWidth="1" style="2" min="23" max="23"/>
    <col width="10.85546875" customWidth="1" style="2" min="24" max="24"/>
    <col width="30.7109375" customWidth="1" style="2" min="25" max="25"/>
    <col width="11.5703125" bestFit="1" customWidth="1" style="2" min="26" max="26"/>
    <col width="13.5703125" bestFit="1" customWidth="1" style="2" min="27" max="27"/>
    <col width="9.28515625" customWidth="1" style="2" min="28" max="28"/>
    <col width="10.7109375" bestFit="1" customWidth="1" style="2" min="29" max="29"/>
    <col width="9.28515625" bestFit="1" customWidth="1" style="2" min="30" max="33"/>
    <col width="9.5703125" bestFit="1" customWidth="1" style="2" min="34" max="35"/>
    <col width="9.28515625" bestFit="1" customWidth="1" style="2" min="36" max="39"/>
    <col width="9.140625" customWidth="1" style="2" min="40" max="16384"/>
  </cols>
  <sheetData>
    <row r="1" ht="5.25" customHeight="1" thickBot="1"/>
    <row r="2" ht="19.5" customHeight="1" thickBot="1">
      <c r="A2" t="inlineStr">
        <is>
          <t>X</t>
        </is>
      </c>
      <c r="B2" s="570" t="inlineStr">
        <is>
          <t>DTC Calculator</t>
        </is>
      </c>
      <c r="C2" s="778" t="n"/>
      <c r="D2" s="778" t="n"/>
      <c r="E2" s="778" t="n"/>
      <c r="F2" s="778" t="n"/>
      <c r="G2" s="778" t="n"/>
      <c r="H2" s="778" t="n"/>
      <c r="I2" s="778" t="n"/>
      <c r="J2" s="778" t="n"/>
      <c r="K2" s="778" t="n"/>
      <c r="L2" s="778" t="n"/>
      <c r="M2" s="778" t="n"/>
      <c r="N2" s="778" t="n"/>
      <c r="O2" s="778" t="n"/>
      <c r="P2" s="778" t="n"/>
      <c r="Q2" s="778" t="n"/>
      <c r="R2" s="778" t="n"/>
      <c r="S2" s="778" t="n"/>
    </row>
    <row r="3" ht="19.5" customHeight="1" thickBot="1">
      <c r="B3" s="779">
        <f>IF(_xlfn.XLOOKUP($C$5, Clients!D:D, Clients!J:J, "", 0, 1) = "", "No Errors Found", _xlfn.XLOOKUP($C$5, Clients!D:D, Clients!J:J, "", 0, 1))</f>
        <v/>
      </c>
      <c r="C3" s="778" t="n"/>
      <c r="D3" s="778" t="n"/>
      <c r="E3" s="778" t="n"/>
      <c r="F3" s="778" t="n"/>
      <c r="G3" s="778" t="n"/>
      <c r="H3" s="778" t="n"/>
      <c r="I3" s="778" t="n"/>
      <c r="J3" s="778" t="n"/>
      <c r="K3" s="778" t="n"/>
      <c r="L3" s="778" t="n"/>
      <c r="M3" s="778" t="n"/>
      <c r="N3" s="778" t="n"/>
      <c r="O3" s="778" t="n"/>
      <c r="P3" s="778" t="n"/>
      <c r="Q3" s="778" t="n"/>
      <c r="R3" s="778" t="n"/>
      <c r="S3" s="780" t="n"/>
    </row>
    <row r="4" ht="27" customHeight="1" thickBot="1">
      <c r="B4" s="306" t="inlineStr">
        <is>
          <t>Affected Since</t>
        </is>
      </c>
      <c r="C4" s="644" t="inlineStr">
        <is>
          <t>Client Number</t>
        </is>
      </c>
      <c r="D4" s="306" t="inlineStr">
        <is>
          <t xml:space="preserve">Client Name </t>
        </is>
      </c>
      <c r="E4" s="780" t="n"/>
      <c r="F4" s="306" t="inlineStr">
        <is>
          <t>CRA Client Name / Address</t>
        </is>
      </c>
      <c r="G4" s="780" t="n"/>
      <c r="H4" s="306" t="inlineStr">
        <is>
          <t>Transfer Number</t>
        </is>
      </c>
      <c r="I4" s="781" t="inlineStr">
        <is>
          <t>Transfer Name</t>
        </is>
      </c>
      <c r="J4" s="74" t="n"/>
      <c r="K4" s="258" t="n"/>
      <c r="L4" s="329" t="inlineStr">
        <is>
          <t>Bankruptcy</t>
        </is>
      </c>
      <c r="M4" s="778" t="n"/>
      <c r="N4" s="780" t="n"/>
      <c r="O4" s="328" t="inlineStr">
        <is>
          <t>Direct Deposit (TAX)</t>
        </is>
      </c>
      <c r="P4" s="329" t="inlineStr">
        <is>
          <t>Direct Deposit (CCB)</t>
        </is>
      </c>
      <c r="Q4" s="329" t="inlineStr">
        <is>
          <t xml:space="preserve">Insolvency </t>
        </is>
      </c>
      <c r="R4" s="330" t="inlineStr">
        <is>
          <t>Account Balance</t>
        </is>
      </c>
      <c r="S4" s="329" t="inlineStr">
        <is>
          <t xml:space="preserve">Previous Debt </t>
        </is>
      </c>
    </row>
    <row r="5" ht="26.45" customHeight="1" thickBot="1">
      <c r="B5" s="342">
        <f>_xlfn.XLOOKUP($C$5,Clients!D:D,Clients!I:I,2,0,1)</f>
        <v/>
      </c>
      <c r="C5" s="311" t="inlineStr">
        <is>
          <t>TNDS65891</t>
        </is>
      </c>
      <c r="D5" s="654">
        <f>_xlfn.XLOOKUP($C$5,Clients!D:D,Clients!E:E,2,0,1)</f>
        <v/>
      </c>
      <c r="E5" s="780" t="n"/>
      <c r="F5" s="782">
        <f>_xlfn.XLOOKUP($C$5,Clients!D:D,Clients!H:H,2,0,1)</f>
        <v/>
      </c>
      <c r="G5" s="780" t="n"/>
      <c r="H5" s="310">
        <f>TransferNumber</f>
        <v/>
      </c>
      <c r="I5" s="310">
        <f>D28</f>
        <v/>
      </c>
      <c r="J5" s="778" t="n"/>
      <c r="K5" s="780" t="n"/>
      <c r="L5" s="783">
        <f>(_xlfn.XLOOKUP($C$5,Clients!D:D,Clients!AV:AV,2,0,1))</f>
        <v/>
      </c>
      <c r="M5" s="74" t="n"/>
      <c r="N5" s="258" t="n"/>
      <c r="O5" s="784">
        <f>(_xlfn.XLOOKUP($C$5,Clients!D:D,Clients!AT:AT,2,0,1))</f>
        <v/>
      </c>
      <c r="P5" s="784">
        <f>(_xlfn.XLOOKUP($C$5,Clients!D:D,Clients!AU:AU,2,0,1))</f>
        <v/>
      </c>
      <c r="Q5" s="785">
        <f>(_xlfn.XLOOKUP($C$5,Clients!D:D,Clients!K:K,2,0,1) &amp; "")</f>
        <v/>
      </c>
      <c r="R5" s="786">
        <f>(_xlfn.XLOOKUP($C$5,Clients!D:D,Clients!M:M,2,0,1))</f>
        <v/>
      </c>
      <c r="S5" s="787">
        <f>(_xlfn.XLOOKUP($C$5,Clients!D:D,Clients!L:L,2,0,1))</f>
        <v/>
      </c>
    </row>
    <row r="6" ht="30.6" customHeight="1" thickBot="1">
      <c r="B6" s="788">
        <f>IF(O18 &gt; 0,
    D5 &amp; " DTC Claim " &amp;
    IF(AND(A17, NOT(A16)), "2014", IF(A17, "2014-", "")) &amp;
    IF(AND(A16, NOT(A15)), IF(OR(A15, A14, A13, A12, A11, A10, A9, A8), "2015 and ", "2015"), IF(A16, IF(NOT(A17), "2015-", ""), "")) &amp;
    IF(AND(A15, NOT(A14)), IF(OR(A14, A13, A12, A11, A10, A9, A8), "2016 and ", "2016"), IF(A15, IF(NOT(A16), "2016-", ""), "")) &amp;
    IF(AND(A14, NOT(A13)), IF(OR(A13, A12, A11, A10, A9, A8), "2017 and ", "2017"), IF(A14, IF(NOT(A15), "2017-", ""), "")) &amp;
    IF(AND(A13, NOT(A12)), IF(OR(A12, A11, A10, A9, A8), "2018 and ", "2018"), IF(A13, IF(NOT(A14), "2018-", ""), "")) &amp;
    IF(AND(A12, NOT(A11)), IF(OR(A11, A10, A9, A8), "2019 and ", "2019"), IF(A12, IF(NOT(A13), "2019-", ""), "")) &amp;
    IF(AND(A11, NOT(A10)), IF(OR(A10, A9, A8), "2020 and ", "2020"), IF(A11, IF(NOT(A12), "2020-", ""), "")) &amp;
    IF(AND(A10, NOT(A9)), IF(OR(A9, A8), "2021 and ", "2021"), IF(A10, IF(NOT(A11), "2021-", ""), "")) &amp;
    IF(AND(A9, NOT(A8)), IF(A8, "2022 and ", "2022"), IF(A9, IF(NOT(A10), "2022-", ""), "")) &amp;
    IF(A8, "2023", "") &amp; " WITB " &amp; O19,
    D5 &amp; " DTC Claim " &amp;
    IF(AND(A17, NOT(A16)), "2014", IF(A17, "2014-", "")) &amp;
    IF(AND(A16, NOT(A15)), IF(OR(A15, A14, A13, A12, A11, A10, A9, A8), "2015 and ", "2015"), IF(A16, IF(NOT(A17), "2015-", ""), "")) &amp;
    IF(AND(A15, NOT(A14)), IF(OR(A14, A13, A12, A11, A10, A9, A8), "2016 and ", "2016"), IF(A15, IF(NOT(A16), "2016-", ""), "")) &amp;
    IF(AND(A14, NOT(A13)), IF(OR(A13, A12, A11, A10, A9, A8), "2017 and ", "2017"), IF(A14, IF(NOT(A15), "2017-", ""), "")) &amp;
    IF(AND(A13, NOT(A12)), IF(OR(A12, A11, A10, A9, A8), "2018 and ", "2018"), IF(A13, IF(NOT(A14), "2018-", ""), "")) &amp;
    IF(AND(A12, NOT(A11)), IF(OR(A11, A10, A9, A8), "2019 and ", "2019"), IF(A12, IF(NOT(A13), "2019-", ""), "")) &amp;
    IF(AND(A11, NOT(A10)), IF(OR(A10, A9, A8), "2020 and ", "2020"), IF(A11, IF(NOT(A12), "2020-", ""), "")) &amp;
    IF(AND(A10, NOT(A9)), IF(OR(A9, A8), "2021 and ", "2021"), IF(A10, IF(NOT(A11), "2021-", ""), "")) &amp;
    IF(AND(A9, NOT(A8)), IF(A8, "2022 and ", "2022"), IF(A9, IF(NOT(A10), "2022-", ""), "")) &amp;
    IF(A8, "2023", ""))</f>
        <v/>
      </c>
      <c r="C6" s="778" t="n"/>
      <c r="D6" s="778" t="n"/>
      <c r="E6" s="778" t="n"/>
      <c r="F6" s="778" t="n"/>
      <c r="G6" s="778" t="n"/>
      <c r="H6" s="780" t="n"/>
      <c r="I6" s="789">
        <f>Summary!E19</f>
        <v/>
      </c>
      <c r="J6" s="778" t="n"/>
      <c r="K6" s="780" t="n"/>
      <c r="L6" s="42" t="n"/>
      <c r="M6" s="41" t="n"/>
      <c r="N6" s="191" t="n"/>
      <c r="O6" s="790" t="n"/>
      <c r="P6" s="790" t="n"/>
      <c r="Q6" s="790" t="n"/>
      <c r="R6" s="191" t="n"/>
      <c r="S6" s="791" t="n"/>
    </row>
    <row r="7" ht="30.75" customHeight="1" thickBot="1">
      <c r="A7" s="27" t="b">
        <v>0</v>
      </c>
      <c r="B7" s="312" t="inlineStr">
        <is>
          <t>Tax Year</t>
        </is>
      </c>
      <c r="C7" s="312" t="inlineStr">
        <is>
          <t>Total Federal Tax  (Line 420)</t>
        </is>
      </c>
      <c r="D7" s="312" t="inlineStr">
        <is>
          <t>Total Provincial Tax  (Line 428)</t>
        </is>
      </c>
      <c r="E7" s="641" t="inlineStr">
        <is>
          <t xml:space="preserve">DTC Amount Federal </t>
        </is>
      </c>
      <c r="F7" s="312" t="inlineStr">
        <is>
          <t xml:space="preserve">DTC Amount Provincial </t>
        </is>
      </c>
      <c r="G7" s="312" t="inlineStr">
        <is>
          <t>DTC Claimable For Self</t>
        </is>
      </c>
      <c r="H7" s="312" t="inlineStr">
        <is>
          <t>Transferable Federal</t>
        </is>
      </c>
      <c r="I7" s="312" t="inlineStr">
        <is>
          <t>Transferable Provincial</t>
        </is>
      </c>
      <c r="J7" s="312" t="inlineStr">
        <is>
          <t>Credits Transferable</t>
        </is>
      </c>
      <c r="K7" s="780" t="n"/>
      <c r="L7" s="792" t="inlineStr">
        <is>
          <t>Marital Status</t>
        </is>
      </c>
      <c r="M7" s="258" t="n"/>
      <c r="N7" s="16" t="inlineStr">
        <is>
          <t>Province</t>
        </is>
      </c>
      <c r="O7" s="331" t="inlineStr">
        <is>
          <t>WITB</t>
        </is>
      </c>
      <c r="P7" s="332" t="inlineStr">
        <is>
          <t>Previous DTC Status</t>
        </is>
      </c>
      <c r="Q7" s="331" t="inlineStr">
        <is>
          <t>DTC Eligiblity</t>
        </is>
      </c>
      <c r="R7" s="780" t="n"/>
      <c r="S7" s="791" t="n"/>
      <c r="Z7" s="33" t="n"/>
      <c r="AA7" s="32" t="n"/>
      <c r="AB7" s="31" t="inlineStr">
        <is>
          <t>NL</t>
        </is>
      </c>
      <c r="AC7" s="31" t="inlineStr">
        <is>
          <t>PE</t>
        </is>
      </c>
      <c r="AD7" s="31" t="inlineStr">
        <is>
          <t>NS</t>
        </is>
      </c>
      <c r="AE7" s="31" t="inlineStr">
        <is>
          <t>NB</t>
        </is>
      </c>
      <c r="AF7" s="31" t="inlineStr">
        <is>
          <t>ON</t>
        </is>
      </c>
      <c r="AG7" s="31" t="inlineStr">
        <is>
          <t>MB</t>
        </is>
      </c>
      <c r="AH7" s="31" t="inlineStr">
        <is>
          <t>SK</t>
        </is>
      </c>
      <c r="AI7" s="31" t="inlineStr">
        <is>
          <t>AB</t>
        </is>
      </c>
      <c r="AJ7" s="31" t="inlineStr">
        <is>
          <t>BC</t>
        </is>
      </c>
      <c r="AK7" s="31" t="inlineStr">
        <is>
          <t>YT</t>
        </is>
      </c>
      <c r="AL7" s="31" t="inlineStr">
        <is>
          <t>NT</t>
        </is>
      </c>
      <c r="AM7" s="30" t="inlineStr">
        <is>
          <t>NU</t>
        </is>
      </c>
    </row>
    <row r="8" ht="16.15" customHeight="1" thickBot="1">
      <c r="A8" s="2" t="b">
        <v>1</v>
      </c>
      <c r="B8" s="277" t="n">
        <v>2023</v>
      </c>
      <c r="C8" s="793">
        <f>IF(_xlfn.XLOOKUP($C$5,Clients!D:D,Clients!AW:AW,"ERROR",0,1)="Not Filed","NR",IF(_xlfn.XLOOKUP($C$5,Clients!D:D,Clients!AW:AW,"ERROR",0,1)="NOT EXPANDED","Filed, Not Expanded",_xlfn.XLOOKUP($C$5,Clients!D:D,Clients!IC:IC,2,0,1)))</f>
        <v/>
      </c>
      <c r="D8" s="794">
        <f>IF(_xlfn.XLOOKUP($C$5,Clients!D:D,Clients!AW:AW,"ERROR",0,1)="Not Filed","NR",(_xlfn.XLOOKUP($C$5,Clients!D:D,Clients!IG:IG,"2",0,1))-(_xlfn.XLOOKUP($C$5,Clients!D:D,Clients!BE:BE,"2",0,1)))</f>
        <v/>
      </c>
      <c r="E8" s="795" t="n">
        <v>1414</v>
      </c>
      <c r="F8" s="796">
        <f>IF($N$8="NL",AB8,IF($N$8="PE",AC8,IF($N$8="NS",AD8,IF($N$8="NB",AE8,IF($N$8="ON",AF8,IF($N$8="MB",AG8,IF($N$8="SK",AH8,IF($N$8="AB",AI8,IF($N$8="BC",AJ8,IF($N$8="YT",AK8,IF($N$8="NT",AL8,IF($N$8="NU",AM8,0))))))))))))</f>
        <v/>
      </c>
      <c r="G8" s="797">
        <f>IF(C8="NR", 0, (IF((_xlfn.XLOOKUP($C$5, Clients!D:D, Clients!HJV:HJV, "nf", 0, 1)) &gt; 0, "316 Claimed", (IF(A8=TRUE, IF(C8 &gt; E8, E8, C8), 0) + IF(A8=TRUE, IF(D8 &gt; F8, F8, D8), 0)))))</f>
        <v/>
      </c>
      <c r="H8" s="793">
        <f>IF(C8="NR",0,IF(A8=TRUE,IF(OR(M8="Married",M8="Common-Law"),'Federal Transfer S2'!P29,IF(A8=TRUE,IF(C8&lt;E8,E8-C8,0),0))))</f>
        <v/>
      </c>
      <c r="I8" s="796">
        <f>IF(D8="NR",0,IF(A8=TRUE,IF(OR(M8="Married",M8="Common-Law"),(_xlfn.XLOOKUP(CONCATENATE(Calculator!L8,"_",Calculator!N8),'Prov Trans Master'!A1:A134,'Prov Trans Master'!B1:B134,"NR",0,1)),IF(A8=TRUE,IF(D8&lt;F8,F8-D8,0),0))))</f>
        <v/>
      </c>
      <c r="J8" s="798">
        <f>SUM(H8:I8)</f>
        <v/>
      </c>
      <c r="K8" s="258" t="n"/>
      <c r="L8" s="107" t="n">
        <v>2023</v>
      </c>
      <c r="M8" s="108">
        <f>IF(C8="NR","NR",_xlfn.XLOOKUP($C$5,Clients!D:D,Clients!AY:AY,"2",0,1))</f>
        <v/>
      </c>
      <c r="N8" s="109">
        <f>_xlfn.XLOOKUP($C$5,Clients!D:D,Clients!AX:AX,"2",0,1)</f>
        <v/>
      </c>
      <c r="O8" s="258">
        <f>IF((_xlfn.XLOOKUP($C$5,Clients!D:D,Clients!IV:IV,"2",0,1))&gt;1,"WITB","-")</f>
        <v/>
      </c>
      <c r="P8" s="799">
        <f>(_xlfn.XLOOKUP($C$5,Clients!D:D,Clients!N:N,2,0,1))</f>
        <v/>
      </c>
      <c r="Q8" s="800" t="inlineStr">
        <is>
          <t>SELF</t>
        </is>
      </c>
      <c r="R8" s="258" t="n"/>
      <c r="S8" s="791" t="n"/>
      <c r="Z8" s="26" t="n">
        <v>2023</v>
      </c>
      <c r="AA8" s="801" t="n">
        <v>1414</v>
      </c>
      <c r="AB8" s="29" t="n">
        <v>609</v>
      </c>
      <c r="AC8" s="29" t="n">
        <v>675</v>
      </c>
      <c r="AD8" s="29" t="n">
        <v>645</v>
      </c>
      <c r="AE8" s="29" t="n">
        <v>875</v>
      </c>
      <c r="AF8" s="29" t="n">
        <v>484</v>
      </c>
      <c r="AG8" s="29" t="n">
        <v>667</v>
      </c>
      <c r="AH8" s="29" t="n">
        <v>1093</v>
      </c>
      <c r="AI8" s="29" t="n">
        <v>1620</v>
      </c>
      <c r="AJ8" s="29" t="n">
        <v>455</v>
      </c>
      <c r="AK8" s="29" t="n">
        <v>603</v>
      </c>
      <c r="AL8" s="29" t="n">
        <v>794</v>
      </c>
      <c r="AM8" s="28" t="n">
        <v>610</v>
      </c>
      <c r="AO8" s="298" t="n"/>
    </row>
    <row r="9" ht="16.15" customHeight="1" thickBot="1">
      <c r="A9" s="2" t="b">
        <v>1</v>
      </c>
      <c r="B9" s="277" t="n">
        <v>2022</v>
      </c>
      <c r="C9" s="802">
        <f>IF(_xlfn.XLOOKUP($C$5,Clients!D:D,Clients!ABR:ABR,"ERROR",0,1)="Not Filed","NR",IF(_xlfn.XLOOKUP($C$5,Clients!D:D,Clients!ABR:ABR,"ERROR",0,1)="NOT EXPANDED","Filed, Not Expanded",_xlfn.XLOOKUP($C$5,Clients!D:D,Clients!AIX:AIX,2,0,1)))</f>
        <v/>
      </c>
      <c r="D9" s="794">
        <f>IF(_xlfn.XLOOKUP($C$5,Clients!D:D,Clients!ABR:ABR,"ERROR",0,1)="Not Filed","NR",(_xlfn.XLOOKUP($C$5,Clients!D:D,Clients!AJB:AJB,"2",0,1))-(_xlfn.XLOOKUP($C$5,Clients!D:D,Clients!ABZ:ABZ,"2",0,1)))</f>
        <v/>
      </c>
      <c r="E9" s="803" t="n">
        <v>1331</v>
      </c>
      <c r="F9" s="804">
        <f>IF($N$9="NL",AB9,IF($N$9="PE",AC9,IF($N$9="NS",AD9,IF($N$9="NB",AE9,IF($N$9="ON",AF9,IF($N$9="MB",AG9,IF($N$9="SK",AH9,IF($N$9="AB",AI9,IF($N$9="BC",AJ9,IF($N$9="YT",AK9,IF($N$9="NT",AL9,IF($N$9="NU",AM9,0))))))))))))</f>
        <v/>
      </c>
      <c r="G9" s="797">
        <f>IF(C9="NR", 0, (IF((_xlfn.XLOOKUP($C$5, Clients!D:D, Clients!HJV:HJV, "nf", 0, 1)) &gt; 0, "316 Claimed", (IF(A9=TRUE, IF(C9 &gt; E9, E9, C9), 0) + IF(A9=TRUE, IF(D9 &gt; F9, F9, D9), 0)))))</f>
        <v/>
      </c>
      <c r="H9" s="794">
        <f>IF(C9="NR",0,IF(A9=TRUE,IF(OR(M9="Married",M9="Common-Law"),'Federal Transfer S2'!H63,IF(A9=TRUE,IF(C9&lt;E9,E9-C9,0),0))))</f>
        <v/>
      </c>
      <c r="I9" s="804">
        <f>IF(D9="NR",0,IF(A9=TRUE,IF(OR(M9="Married",M9="Common-Law"),(_xlfn.XLOOKUP(CONCATENATE(Calculator!L9,"_",Calculator!N9),'Prov Trans Master'!A1:A134,'Prov Trans Master'!B1:B134,"NR",0,1)),IF(A9=TRUE,IF(D9&lt;F9,F9-D9,0),0))))</f>
        <v/>
      </c>
      <c r="J9" s="805">
        <f>SUM(H9:I9)</f>
        <v/>
      </c>
      <c r="K9" s="35" t="n"/>
      <c r="L9" s="107" t="n">
        <v>2022</v>
      </c>
      <c r="M9" s="108">
        <f>IF(C9="NR","NR",_xlfn.XLOOKUP($C$5,Clients!D:D,Clients!ABT:ABT,"2",0,1))</f>
        <v/>
      </c>
      <c r="N9" s="109">
        <f>_xlfn.XLOOKUP($C$5,Clients!D:D,Clients!ABS:ABS,"2",0,1)</f>
        <v/>
      </c>
      <c r="O9" s="110">
        <f>IF((_xlfn.XLOOKUP($C$5,Clients!D:D,Clients!AJQ:AJQ,"2",0,1))&gt;1,"WITB","-")</f>
        <v/>
      </c>
      <c r="P9" s="791" t="n"/>
      <c r="Q9" s="274">
        <f>(_xlfn.XLOOKUP($C$5,Clients!D:D,Clients!P:P,2,0,1) &amp; "")</f>
        <v/>
      </c>
      <c r="R9" s="257">
        <f>(_xlfn.XLOOKUP($C$5,Clients!D:D,Clients!Q:Q,2,0,1) &amp; "")</f>
        <v/>
      </c>
      <c r="S9" s="791" t="n"/>
      <c r="Z9" s="26" t="n">
        <v>2022</v>
      </c>
      <c r="AA9" s="801" t="n">
        <v>1330.5</v>
      </c>
      <c r="AB9" s="29" t="n">
        <v>575.505</v>
      </c>
      <c r="AC9" s="29" t="n">
        <v>675.22</v>
      </c>
      <c r="AD9" s="29" t="n">
        <v>645.2739</v>
      </c>
      <c r="AE9" s="29" t="n">
        <v>847.6776</v>
      </c>
      <c r="AF9" s="29" t="n">
        <v>454.5505000000001</v>
      </c>
      <c r="AG9" s="29" t="n">
        <v>667.4399999999999</v>
      </c>
      <c r="AH9" s="29" t="n">
        <v>1027.845</v>
      </c>
      <c r="AI9" s="29" t="n">
        <v>1528.4</v>
      </c>
      <c r="AJ9" s="29" t="n">
        <v>428.9362</v>
      </c>
      <c r="AK9" s="29" t="n">
        <v>567.6800000000001</v>
      </c>
      <c r="AL9" s="29" t="n">
        <v>746.822</v>
      </c>
      <c r="AM9" s="28" t="n">
        <v>574.08</v>
      </c>
      <c r="AO9" s="298" t="n"/>
    </row>
    <row r="10" ht="16.15" customHeight="1" thickBot="1">
      <c r="A10" s="2" t="b">
        <v>1</v>
      </c>
      <c r="B10" s="277" t="n">
        <v>2021</v>
      </c>
      <c r="C10" s="802">
        <f>IF(_xlfn.XLOOKUP($C$5,Clients!D:D,Clients!BCM:BCM,"ERROR",0,1)="Not Filed","NR",IF(_xlfn.XLOOKUP($C$5,Clients!D:D,Clients!BCM:BCM,"ERROR",0,1)="NOT EXPANDED","Filed, Not Expanded",_xlfn.XLOOKUP($C$5,Clients!D:D,Clients!BJS:BJS,2,0,1)))</f>
        <v/>
      </c>
      <c r="D10" s="802">
        <f>IF(_xlfn.XLOOKUP($C$5,Clients!D:D,Clients!BCM:BCM,"ERROR",0,1)="Not Filed","NR",(_xlfn.XLOOKUP($C$5,Clients!D:D,Clients!BJW:BJW,"2",0,1))-(_xlfn.XLOOKUP($C$5,Clients!D:D,Clients!BCU:BCU,"2",0,1)))</f>
        <v/>
      </c>
      <c r="E10" s="806" t="n">
        <v>1299</v>
      </c>
      <c r="F10" s="802">
        <f>IF($N$10="NL",AB10,IF($N$10="PE",AC10,IF($N$10="NS",AD10,IF($N$10="NB",AE10,IF($N$10="ON",AF10,IF($N$10="MB",AG10,IF($N$10="SK",AH10,IF($N$10="AB",AI10,IF($N$10="BC",AJ10,IF($N$10="YT",AK10,IF($N$10="NT",AL10,IF($N$10="NU",AM10,0))))))))))))</f>
        <v/>
      </c>
      <c r="G10" s="797">
        <f>IF(C10="NR", 0, (IF((_xlfn.XLOOKUP($C$5, Clients!D:D, Clients!HJV:HJV, "nf", 0, 1)) &gt; 0, "316 Claimed", (IF(A10=TRUE, IF(C10 &gt; E10, E10, C10), 0) + IF(A10=TRUE, IF(D10 &gt; F10, F10, D10), 0)))))</f>
        <v/>
      </c>
      <c r="H10" s="802">
        <f>IF(C10="NR",0,IF(A10=TRUE,IF(OR(M10="Married",M10="Common-Law"),'Federal Transfer S2'!P62,IF(A10=TRUE,IF(C10&lt;E10,E10-C10,0),0))))</f>
        <v/>
      </c>
      <c r="I10" s="804">
        <f>IF(D10="NR",0,IF(A10=TRUE,IF(OR(M10="Married",M10="Common-Law"),(_xlfn.XLOOKUP(CONCATENATE(Calculator!L10,"_",Calculator!N10),'Prov Trans Master'!A1:A134,'Prov Trans Master'!B1:B134,"NR",0,1)),IF(A10=TRUE,IF(D10&lt;F10,F10-D10,0),0))))</f>
        <v/>
      </c>
      <c r="J10" s="807">
        <f>SUM(H10:I10)</f>
        <v/>
      </c>
      <c r="K10" s="35" t="n"/>
      <c r="L10" s="17" t="n">
        <v>2021</v>
      </c>
      <c r="M10" s="47">
        <f>IF(C10="NR","NR",_xlfn.XLOOKUP($C$5,Clients!D:D,Clients!BCO:BCO,"2",0,1))</f>
        <v/>
      </c>
      <c r="N10" s="46">
        <f>_xlfn.XLOOKUP($C$5,Clients!D:D,Clients!BCN:BCN,"2",0,1)</f>
        <v/>
      </c>
      <c r="O10" s="35">
        <f>IF((_xlfn.XLOOKUP($C$5,Clients!D:D,Clients!BKL:BKL,"2",0,1))&gt;1,"WITB","-")</f>
        <v/>
      </c>
      <c r="P10" s="791" t="n"/>
      <c r="Q10" s="808">
        <f>(_xlfn.XLOOKUP($C$5,Clients!D:D,Clients!O:O,2,0,1))</f>
        <v/>
      </c>
      <c r="R10" s="191" t="n"/>
      <c r="S10" s="791" t="n"/>
      <c r="Z10" s="26" t="n">
        <v>2021</v>
      </c>
      <c r="AA10" s="801" t="n">
        <v>1299</v>
      </c>
      <c r="AB10" s="29" t="n">
        <v>560</v>
      </c>
      <c r="AC10" s="29" t="n">
        <v>675</v>
      </c>
      <c r="AD10" s="29" t="n">
        <v>645</v>
      </c>
      <c r="AE10" s="29" t="n">
        <v>828</v>
      </c>
      <c r="AF10" s="29" t="n">
        <v>444</v>
      </c>
      <c r="AG10" s="29" t="n">
        <v>667</v>
      </c>
      <c r="AH10" s="29" t="n">
        <v>1004</v>
      </c>
      <c r="AI10" s="29" t="n">
        <v>1494</v>
      </c>
      <c r="AJ10" s="29" t="n">
        <v>420</v>
      </c>
      <c r="AK10" s="29" t="n">
        <v>554</v>
      </c>
      <c r="AL10" s="29" t="n">
        <v>729</v>
      </c>
      <c r="AM10" s="28" t="n">
        <v>561</v>
      </c>
      <c r="AO10" s="298" t="n"/>
    </row>
    <row r="11" ht="16.15" customHeight="1" thickBot="1">
      <c r="A11" s="2" t="b">
        <v>1</v>
      </c>
      <c r="B11" s="277" t="n">
        <v>2020</v>
      </c>
      <c r="C11" s="802">
        <f>IF(_xlfn.XLOOKUP($C$5,Clients!D:D,Clients!CDH:CDH,"ERROR",0,1)="Not Filed","NR",IF(_xlfn.XLOOKUP($C$5,Clients!D:D,Clients!CDH:CDH,"ERROR",0,1)="NOT EXPANDED","Filed, Not Expanded",_xlfn.XLOOKUP($C$5,Clients!D:D,Clients!CKN:CKN,2,0,1)))</f>
        <v/>
      </c>
      <c r="D11" s="802">
        <f>IF(_xlfn.XLOOKUP($C$5,Clients!D:D,Clients!CDH:CDH,"ERROR",0,1)="Not Filed","NR",(_xlfn.XLOOKUP($C$5,Clients!D:D,Clients!CKR:CKR,"2",0,1))-(_xlfn.XLOOKUP($C$5,Clients!D:D,Clients!CDP:CDP,"2",0,1)))</f>
        <v/>
      </c>
      <c r="E11" s="806" t="n">
        <v>1286</v>
      </c>
      <c r="F11" s="802">
        <f>IF($N$11="NL",AB11,IF($N$11="PE",AC11,IF($N$11="NS",AD11,IF($N$11="NB",AE11,IF($N$11="ON",AF11,IF($N$11="MB",AG11,IF($N$11="SK",AH11,IF($N$11="AB",AI11,IF($N$11="BC",AJ11,IF($N$11="YT",AK11,IF($N$11="NT",AL11,IF($N$11="NU",AM11,0))))))))))))</f>
        <v/>
      </c>
      <c r="G11" s="797">
        <f>IF(C11="NR", 0, (IF((_xlfn.XLOOKUP($C$5, Clients!D:D, Clients!HJV:HJV, "nf", 0, 1)) &gt; 0, "316 Claimed", (IF(A11=TRUE, IF(C11 &gt; E11, E11, C11), 0) + IF(A11=TRUE, IF(D11 &gt; F11, F11, D11), 0)))))</f>
        <v/>
      </c>
      <c r="H11" s="802">
        <f>IF(C11="NR",0,IF(A11=TRUE,IF(OR(M11="Married",M11="Common-Law"),'Federal Transfer S2'!H97,IF(A11=TRUE,IF(C11&lt;E11,E11-C11,0),0))))</f>
        <v/>
      </c>
      <c r="I11" s="804">
        <f>IF(D11="NR",0,IF(A11=TRUE,IF(OR(M11="Married",M11="Common-Law"),(_xlfn.XLOOKUP(CONCATENATE(Calculator!L11,"_",Calculator!N11),'Prov Trans Master'!A1:A134,'Prov Trans Master'!B1:B134,"NR",0,1)),IF(A11=TRUE,IF(D11&lt;F11,F11-D11,0),0))))</f>
        <v/>
      </c>
      <c r="J11" s="807">
        <f>SUM(H11:I11)</f>
        <v/>
      </c>
      <c r="K11" s="35" t="n"/>
      <c r="L11" s="17" t="n">
        <v>2020</v>
      </c>
      <c r="M11" s="47">
        <f>IF(C11="NR","NR",_xlfn.XLOOKUP($C$5,Clients!D:D,Clients!CDJ:CDJ,"2",0,1))</f>
        <v/>
      </c>
      <c r="N11" s="46">
        <f>_xlfn.XLOOKUP($C$5,Clients!D:D,Clients!CDI:CDI,"2",0,1)</f>
        <v/>
      </c>
      <c r="O11" s="35">
        <f>IF((_xlfn.XLOOKUP($C$5,Clients!D:D,Clients!CLG:CLG,"2",0,1))&gt;1,"WITB","-")</f>
        <v/>
      </c>
      <c r="P11" s="791" t="n"/>
      <c r="Q11" s="800" t="inlineStr">
        <is>
          <t>SPOUSE</t>
        </is>
      </c>
      <c r="R11" s="258" t="n"/>
      <c r="S11" s="791" t="n"/>
      <c r="Z11" s="26" t="n">
        <v>2020</v>
      </c>
      <c r="AA11" s="801" t="n">
        <v>1286</v>
      </c>
      <c r="AB11" s="29" t="n">
        <v>558</v>
      </c>
      <c r="AC11" s="29" t="n">
        <v>675</v>
      </c>
      <c r="AD11" s="29" t="n">
        <v>645</v>
      </c>
      <c r="AE11" s="29" t="n">
        <v>820</v>
      </c>
      <c r="AF11" s="29" t="n">
        <v>440</v>
      </c>
      <c r="AG11" s="29" t="n">
        <v>667</v>
      </c>
      <c r="AH11" s="29" t="n">
        <v>994</v>
      </c>
      <c r="AI11" s="29" t="n">
        <v>1494</v>
      </c>
      <c r="AJ11" s="29" t="n">
        <v>416</v>
      </c>
      <c r="AK11" s="29" t="n">
        <v>549</v>
      </c>
      <c r="AL11" s="29" t="n">
        <v>722</v>
      </c>
      <c r="AM11" s="28" t="n">
        <v>555</v>
      </c>
      <c r="AO11" s="298" t="n"/>
    </row>
    <row r="12" ht="16.15" customHeight="1" thickBot="1">
      <c r="A12" s="2" t="b">
        <v>1</v>
      </c>
      <c r="B12" s="277" t="n">
        <v>2019</v>
      </c>
      <c r="C12" s="802">
        <f>IF(_xlfn.XLOOKUP($C$5,Clients!D:D,Clients!DEC:DEC,"ERROR",0,1)="Not Filed","NR",IF(_xlfn.XLOOKUP($C$5,Clients!D:D,Clients!DEC:DEC,"ERROR",0,1)="NOT EXPANDED","Filed, Not Expanded",_xlfn.XLOOKUP($C$5,Clients!D:D,Clients!DLI:DLI,2,0,1)))</f>
        <v/>
      </c>
      <c r="D12" s="802">
        <f>IF(_xlfn.XLOOKUP($C$5,Clients!D:D,Clients!DEC:DEC,"ERROR",0,1)="Not Filed","NR",(_xlfn.XLOOKUP($C$5,Clients!D:D,Clients!DLM:DLM,"2",0,1))-(_xlfn.XLOOKUP($C$5,Clients!D:D,Clients!DEK:DEK,"2",0,1)))</f>
        <v/>
      </c>
      <c r="E12" s="806" t="n">
        <v>1262</v>
      </c>
      <c r="F12" s="802">
        <f>IF($N$12="NL",AB12,IF($N$12="PE",AC12,IF($N$12="NS",AD12,IF($N$12="NB",AE12,IF($N$12="ON",AF12,IF($N$12="MB",AG12,IF($N$12="SK",AH12,IF($N$12="AB",AI12,IF($N$12="BC",AJ12,IF($N$12="YT",AK12,IF($N$12="NT",AL12,IF($N$12="NU",AM12,0))))))))))))</f>
        <v/>
      </c>
      <c r="G12" s="797">
        <f>IF(C12="NR", 0, (IF((_xlfn.XLOOKUP($C$5, Clients!D:D, Clients!HJV:HJV, "nf", 0, 1)) &gt; 0, "316 Claimed", (IF(A12=TRUE, IF(C12 &gt; E12, E12, C12), 0) + IF(A12=TRUE, IF(D12 &gt; F12, F12, D12), 0)))))</f>
        <v/>
      </c>
      <c r="H12" s="802">
        <f>IF(C12="NR",0,IF(A12=TRUE,IF(OR(M12="Married",M12="Common-Law"),'Federal Transfer S2'!P97,IF(A12=TRUE,IF(C12&lt;E12,E12-C12,0),0))))</f>
        <v/>
      </c>
      <c r="I12" s="804">
        <f>IF(D12="NR",0,IF(A12=TRUE,IF(OR(M12="Married",M12="Common-Law"),(_xlfn.XLOOKUP(CONCATENATE(Calculator!L12,"_",Calculator!N12),'Prov Trans Master'!A1:A134,'Prov Trans Master'!B1:B134,"NR",0,1)),IF(A12=TRUE,IF(D12&lt;F12,F12-D12,0),0))))</f>
        <v/>
      </c>
      <c r="J12" s="807">
        <f>SUM(H12:I12)</f>
        <v/>
      </c>
      <c r="K12" s="35" t="n"/>
      <c r="L12" s="17" t="n">
        <v>2019</v>
      </c>
      <c r="M12" s="47">
        <f>IF(C12="NR","NR",_xlfn.XLOOKUP($C$5,Clients!D:D,Clients!DEE:DEE,"2",0,1))</f>
        <v/>
      </c>
      <c r="N12" s="46">
        <f>_xlfn.XLOOKUP($C$5,Clients!D:D,Clients!DED:DED,"2",0,1)</f>
        <v/>
      </c>
      <c r="O12" s="35">
        <f>IF((_xlfn.XLOOKUP($C$5,Clients!D:D,Clients!DMB:DMB,"2",0,1))&gt;1,"WITB","-")</f>
        <v/>
      </c>
      <c r="P12" s="791" t="n"/>
      <c r="Q12" s="255">
        <f>(_xlfn.XLOOKUP($C$5,Clients!D:D,Clients!S:S,2,0,1) &amp; "")</f>
        <v/>
      </c>
      <c r="R12" s="257">
        <f>(_xlfn.XLOOKUP($C$5,Clients!D:D,Clients!T:T,2,0,1) &amp; "")</f>
        <v/>
      </c>
      <c r="S12" s="791" t="n"/>
      <c r="Z12" s="26" t="n">
        <v>2019</v>
      </c>
      <c r="AA12" s="801" t="n">
        <v>1262</v>
      </c>
      <c r="AB12" s="29" t="n">
        <v>553</v>
      </c>
      <c r="AC12" s="29" t="n">
        <v>675</v>
      </c>
      <c r="AD12" s="29" t="n">
        <v>645</v>
      </c>
      <c r="AE12" s="29" t="n">
        <v>804</v>
      </c>
      <c r="AF12" s="29" t="n">
        <v>432</v>
      </c>
      <c r="AG12" s="29" t="n">
        <v>667</v>
      </c>
      <c r="AH12" s="29" t="n">
        <v>994</v>
      </c>
      <c r="AI12" s="29" t="n">
        <v>1494</v>
      </c>
      <c r="AJ12" s="29" t="n">
        <v>405</v>
      </c>
      <c r="AK12" s="29" t="n">
        <v>539</v>
      </c>
      <c r="AL12" s="29" t="n">
        <v>709</v>
      </c>
      <c r="AM12" s="28" t="n">
        <v>545</v>
      </c>
      <c r="AO12" s="298" t="n"/>
    </row>
    <row r="13" ht="16.15" customHeight="1" thickBot="1">
      <c r="A13" s="2" t="b">
        <v>0</v>
      </c>
      <c r="B13" s="277" t="n">
        <v>2018</v>
      </c>
      <c r="C13" s="802">
        <f>IF(_xlfn.XLOOKUP($C$5,Clients!D:D,Clients!EEX:EEX,"ERROR",0,1)="Not Filed","NR",IF(_xlfn.XLOOKUP($C$5,Clients!D:D,Clients!EEX:EEX,"ERROR",0,1)="NOT EXPANDED","Filed, Not Expanded",_xlfn.XLOOKUP($C$5,Clients!D:D,Clients!EMG:EMG,2,0,1)))</f>
        <v/>
      </c>
      <c r="D13" s="802">
        <f>IF(_xlfn.XLOOKUP($C$5,Clients!D:D,Clients!EEX:EEX,"ERROR",0,1)="Not Filed","NR",(_xlfn.XLOOKUP($C$5,Clients!D:D,Clients!EMK:EMK,2,0,1))-(_xlfn.XLOOKUP($C$5,Clients!D:D,Clients!EFF:EFF,2,0,1)))</f>
        <v/>
      </c>
      <c r="E13" s="806" t="n">
        <v>1235</v>
      </c>
      <c r="F13" s="802">
        <f>IF($N$13="NL",AB13,IF($N$13="PE",AC13,IF($N$13="NS",AD13,IF($N$13="NB",AE13,IF($N$13="ON",AF13,IF($N$13="MB",AG13,IF($N$13="SK",AH13,IF($N$13="AB",AI13,IF($N$13="BC",AJ13,IF($N$13="YT",AK13,IF($N$13="NT",AL13,IF($N$13="NU",AM13,0))))))))))))</f>
        <v/>
      </c>
      <c r="G13" s="797">
        <f>IF(C13="NR", 0, (IF((_xlfn.XLOOKUP($C$5, Clients!D:D, Clients!HJV:HJV, "nf", 0, 1)) &gt; 0, "316 Claimed", (IF(A13=TRUE, IF(C13 &gt; E13, E13, C13), 0) + IF(A13=TRUE, IF(D13 &gt; F13, F13, D13), 0)))))</f>
        <v/>
      </c>
      <c r="H13" s="802">
        <f>IF(C13="NR",0,IF(A13=TRUE,IF(OR(M13="Married",M13="Common-Law"),'Federal Transfer S2'!H131,IF(A13=TRUE,IF(C13&lt;E13,E13-C13,0),0))))</f>
        <v/>
      </c>
      <c r="I13" s="804">
        <f>IF(D13="NR",0,IF(A13=TRUE,IF(OR(M13="Married",M13="Common-Law"),(_xlfn.XLOOKUP(CONCATENATE(Calculator!L13,"_",Calculator!N13),'Prov Trans Master'!A1:A134,'Prov Trans Master'!B1:B134,"NR",0,1)),IF(A13=TRUE,IF(D13&lt;F13,F13-D13,0),0))))</f>
        <v/>
      </c>
      <c r="J13" s="807">
        <f>SUM(H13:I13)</f>
        <v/>
      </c>
      <c r="K13" s="35" t="n"/>
      <c r="L13" s="17" t="n">
        <v>2018</v>
      </c>
      <c r="M13" s="15">
        <f>IF(C13="NR","NR",_xlfn.XLOOKUP($C$5,Clients!D:D,Clients!EEZ:EEZ,"2",0,1))</f>
        <v/>
      </c>
      <c r="N13" s="46">
        <f>_xlfn.XLOOKUP($C$5,Clients!D:D,Clients!EEY:EEY,"2",0,1)</f>
        <v/>
      </c>
      <c r="O13" s="35">
        <f>IF((_xlfn.XLOOKUP($C$5,Clients!D:D,Clients!EMZ:EMZ,"2",0,1))&gt;1,"WITB","-")</f>
        <v/>
      </c>
      <c r="P13" s="791" t="n"/>
      <c r="Q13" s="808">
        <f>(_xlfn.XLOOKUP($C$5,Clients!D:D,Clients!R:R,2,0,1) &amp; "")</f>
        <v/>
      </c>
      <c r="R13" s="191" t="n"/>
      <c r="S13" s="791" t="n"/>
      <c r="Z13" s="26" t="n">
        <v>2018</v>
      </c>
      <c r="AA13" s="801" t="n">
        <v>1235</v>
      </c>
      <c r="AB13" s="29" t="n">
        <v>543</v>
      </c>
      <c r="AC13" s="29" t="n">
        <v>675</v>
      </c>
      <c r="AD13" s="29" t="n">
        <v>645</v>
      </c>
      <c r="AE13" s="29" t="n">
        <v>787</v>
      </c>
      <c r="AF13" s="29" t="n">
        <v>422</v>
      </c>
      <c r="AG13" s="29" t="n">
        <v>667</v>
      </c>
      <c r="AH13" s="29" t="n">
        <v>994</v>
      </c>
      <c r="AI13" s="29" t="n">
        <v>1459</v>
      </c>
      <c r="AJ13" s="29" t="n">
        <v>395</v>
      </c>
      <c r="AK13" s="29" t="n">
        <v>527</v>
      </c>
      <c r="AL13" s="29" t="n">
        <v>693</v>
      </c>
      <c r="AM13" s="28" t="n">
        <v>533</v>
      </c>
    </row>
    <row r="14" ht="16.15" customHeight="1" thickBot="1">
      <c r="A14" s="2" t="b">
        <v>0</v>
      </c>
      <c r="B14" s="277" t="n">
        <v>2017</v>
      </c>
      <c r="C14" s="802">
        <f>IF(_xlfn.XLOOKUP($C$5,Clients!D:D,Clients!FEZ:FEZ,"ERROR",0,1)="Not Filed","NR",IF(_xlfn.XLOOKUP($C$5,Clients!D:D,Clients!FEZ:FEZ,"ERROR",0,1)="NOT EXPANDED","Filed, Not Expanded",_xlfn.XLOOKUP($C$5,Clients!D:D,Clients!FMI:FMI,2,0,1)))</f>
        <v/>
      </c>
      <c r="D14" s="802">
        <f>IF(_xlfn.XLOOKUP($C$5,Clients!D:D,Clients!FEZ:FEZ,"ERROR",0,1)="Not Filed","NR",(_xlfn.XLOOKUP($C$5,Clients!D:D,Clients!FMM:FMM,2,0,1))-(_xlfn.XLOOKUP($C$5,Clients!D:D,Clients!FFH:FFH,2,0,1)))</f>
        <v/>
      </c>
      <c r="E14" s="806" t="n">
        <v>1217</v>
      </c>
      <c r="F14" s="802">
        <f>IF($N$14="NL",AB14,IF($N$14="PE",AC14,IF($N$14="NS",AD14,IF($N$14="NB",AE14,IF($N$14="ON",AF14,IF($N$14="MB",AG14,IF($N$14="SK",AH14,IF($N$14="AB",AI14,IF($N$14="BC",AJ14,IF($N$14="YT",AK14,IF($N$14="NT",AL14,IF($N$14="NU",AM14,0))))))))))))</f>
        <v/>
      </c>
      <c r="G14" s="797">
        <f>IF(C14="NR", 0, (IF((_xlfn.XLOOKUP($C$5, Clients!D:D, Clients!HJV:HJV, "nf", 0, 1)) &gt; 0, "316 Claimed", (IF(A14=TRUE, IF(C14 &gt; E14, E14, C14), 0) + IF(A14=TRUE, IF(D14 &gt; F14, F14, D14), 0)))))</f>
        <v/>
      </c>
      <c r="H14" s="802">
        <f>IF(C14="NR",0,IF(A14=TRUE,IF(OR(M14="Married",M14="Common-Law"),'Federal Transfer S2'!P131,IF(A14=TRUE,IF(C14&lt;E14,E14-C14,0),0))))</f>
        <v/>
      </c>
      <c r="I14" s="804">
        <f>IF(D14="NR",0,IF(A14=TRUE,IF(OR(M14="Married",M14="Common-Law"),(_xlfn.XLOOKUP(CONCATENATE(Calculator!L14,"_",Calculator!N14),'Prov Trans Master'!A1:A134,'Prov Trans Master'!B1:B134,"NR",0,1)),IF(A14=TRUE,IF(D14&lt;F14,F14-D14,0),0))))</f>
        <v/>
      </c>
      <c r="J14" s="807">
        <f>SUM(H14:I14)</f>
        <v/>
      </c>
      <c r="K14" s="35" t="n"/>
      <c r="L14" s="17" t="n">
        <v>2017</v>
      </c>
      <c r="M14" s="15">
        <f>IF(C14="NR","NR",_xlfn.XLOOKUP($C$5,Clients!D:D,Clients!FFB:FFB,"2",0,1))</f>
        <v/>
      </c>
      <c r="N14" s="46">
        <f>_xlfn.XLOOKUP($C$5,Clients!D:D,Clients!FFA:FFA,"2",0,1)</f>
        <v/>
      </c>
      <c r="O14" s="35">
        <f>IF((_xlfn.XLOOKUP($C$5,Clients!D:D,Clients!FNB:FNB,"2",0,1))&gt;1,"WITB","-")</f>
        <v/>
      </c>
      <c r="P14" s="791" t="n"/>
      <c r="Q14" s="259" t="inlineStr">
        <is>
          <t>DEPENDENT 1</t>
        </is>
      </c>
      <c r="R14" s="260">
        <f>(_xlfn.XLOOKUP($C$5,Clients!D:D,Clients!W:W,2,0,1) &amp; "")</f>
        <v/>
      </c>
      <c r="S14" s="791" t="n"/>
      <c r="Z14" s="26" t="n">
        <v>2017</v>
      </c>
      <c r="AA14" s="801" t="n">
        <v>1217</v>
      </c>
      <c r="AB14" s="29" t="n">
        <v>527</v>
      </c>
      <c r="AC14" s="29" t="n">
        <v>675</v>
      </c>
      <c r="AD14" s="29" t="n">
        <v>645</v>
      </c>
      <c r="AE14" s="29" t="n">
        <v>775</v>
      </c>
      <c r="AF14" s="29" t="n">
        <v>415</v>
      </c>
      <c r="AG14" s="29" t="n">
        <v>667</v>
      </c>
      <c r="AH14" s="29" t="n">
        <v>1017</v>
      </c>
      <c r="AI14" s="29" t="n">
        <v>1442</v>
      </c>
      <c r="AJ14" s="29" t="n">
        <v>387</v>
      </c>
      <c r="AK14" s="29" t="n">
        <v>519</v>
      </c>
      <c r="AL14" s="29" t="n">
        <v>683</v>
      </c>
      <c r="AM14" s="28" t="n">
        <v>525</v>
      </c>
    </row>
    <row r="15" ht="16.15" customHeight="1" thickBot="1">
      <c r="A15" s="2" t="b">
        <v>0</v>
      </c>
      <c r="B15" s="277" t="n">
        <v>2016</v>
      </c>
      <c r="C15" s="802">
        <f>IF(_xlfn.XLOOKUP($C$5,Clients!D:D,Clients!GFB:GFB,"ERROR",0,1)="Not Filed","NR",IF(_xlfn.XLOOKUP($C$5,Clients!D:D,Clients!GFB:GFB,"ERROR",0,1)="NOT EXPANDED","Filed, Not Expanded",_xlfn.XLOOKUP($C$5,Clients!D:D,Clients!GMK:GMK,2,0,1)))</f>
        <v/>
      </c>
      <c r="D15" s="802">
        <f>IF(_xlfn.XLOOKUP($C$5,Clients!D:D,Clients!GFB:GFB,"ERROR",0,1)="Not Filed","NR",(_xlfn.XLOOKUP($C$5,Clients!D:D,Clients!GMO:GMO,2,0,1))-(_xlfn.XLOOKUP($C$5,Clients!D:D,Clients!GFJ:GFJ,2,0,1)))</f>
        <v/>
      </c>
      <c r="E15" s="809" t="n">
        <v>1200</v>
      </c>
      <c r="F15" s="802">
        <f>IF($N$15="NL",AB15,IF($N$15="PE",AC15,IF($N$15="NS",AD15,IF($N$15="NB",AE15,IF($N$15="ON",AF15,IF($N$15="MB",AG15,IF($N$15="SK",AH15,IF($N$15="AB",AI15,IF($N$15="BC",AJ15,IF($N$15="YT",AK15,IF($N$15="NT",AL15,IF($N$15="NU",AM15,0))))))))))))</f>
        <v/>
      </c>
      <c r="G15" s="797">
        <f>IF(C15="NR", 0, (IF((_xlfn.XLOOKUP($C$5, Clients!D:D, Clients!HJV:HJV, "nf", 0, 1)) &gt; 0, "316 Claimed", (IF(A15=TRUE, IF(C15 &gt; E15, E15, C15), 0) + IF(A15=TRUE, IF(D15 &gt; F15, F15, D15), 0)))))</f>
        <v/>
      </c>
      <c r="H15" s="802">
        <f>IF(C15="NR",0,IF(A15=TRUE,IF(OR(M15="Married",M15="Common-Law"),'Federal Transfer S2'!H165,IF(A15=TRUE,IF(C15&lt;E15,E15-C15,0),0))))</f>
        <v/>
      </c>
      <c r="I15" s="804">
        <f>IF(D15="NR",0,IF(A15=TRUE,IF(OR(M15="Married",M15="Common-Law"),(_xlfn.XLOOKUP(CONCATENATE(Calculator!L15,"_",Calculator!N15),'Prov Trans Master'!A1:A134,'Prov Trans Master'!B1:B134,"NR",0,1)),IF(A15=TRUE,IF(D15&lt;F15,F15-D15,0),0))))</f>
        <v/>
      </c>
      <c r="J15" s="807">
        <f>SUM(H15:I15)</f>
        <v/>
      </c>
      <c r="K15" s="35" t="n"/>
      <c r="L15" s="17" t="n">
        <v>2016</v>
      </c>
      <c r="M15" s="15">
        <f>IF(C15="NR","NR",_xlfn.XLOOKUP($C$5,Clients!D:D,Clients!GFD:GFD,"2",0,1))</f>
        <v/>
      </c>
      <c r="N15" s="46">
        <f>_xlfn.XLOOKUP($C$5,Clients!D:D,Clients!GFC:GFC,"2",0,1)</f>
        <v/>
      </c>
      <c r="O15" s="35">
        <f>IF((_xlfn.XLOOKUP($C$5,Clients!D:D,Clients!GND:GND,"2",0,1))&gt;1,"WITB","-")</f>
        <v/>
      </c>
      <c r="P15" s="791" t="n"/>
      <c r="Q15" s="255">
        <f>(_xlfn.XLOOKUP($C$5,Clients!D:D,Clients!X:X,2,0,1) &amp; "")</f>
        <v/>
      </c>
      <c r="R15" s="257">
        <f>(_xlfn.XLOOKUP($C$5,Clients!D:D,Clients!Y:Y,2,0,1) &amp; "")</f>
        <v/>
      </c>
      <c r="S15" s="791" t="n"/>
      <c r="Z15" s="26" t="n">
        <v>2016</v>
      </c>
      <c r="AA15" s="801" t="n">
        <v>1200</v>
      </c>
      <c r="AB15" s="29" t="n">
        <v>486.998</v>
      </c>
      <c r="AC15" s="29" t="n">
        <v>675.22</v>
      </c>
      <c r="AD15" s="29" t="n">
        <v>645.2739</v>
      </c>
      <c r="AE15" s="29" t="n">
        <v>764.72</v>
      </c>
      <c r="AF15" s="29" t="n">
        <v>408.444</v>
      </c>
      <c r="AG15" s="29" t="n">
        <v>667.4399999999999</v>
      </c>
      <c r="AH15" s="29" t="n">
        <v>1026.74</v>
      </c>
      <c r="AI15" s="29" t="n">
        <v>1423.2</v>
      </c>
      <c r="AJ15" s="29" t="n">
        <v>380.5626</v>
      </c>
      <c r="AK15" s="29" t="n">
        <v>512.064</v>
      </c>
      <c r="AL15" s="29" t="n">
        <v>673.721</v>
      </c>
      <c r="AM15" s="28" t="n">
        <v>517.88</v>
      </c>
    </row>
    <row r="16" ht="16.15" customHeight="1" thickBot="1">
      <c r="A16" s="2" t="b">
        <v>0</v>
      </c>
      <c r="B16" s="277" t="n">
        <v>2015</v>
      </c>
      <c r="C16" s="802">
        <f>IF(_xlfn.XLOOKUP($C$5,Clients!D:D,Clients!HFD:HFD,"ERROR",0,1)="Not Filed","NR",IF(_xlfn.XLOOKUP($C$5,Clients!D:D,Clients!HFD:HFD,"ERROR",0,1)="NOT EXPANDED","Filed, Not Expanded",_xlfn.XLOOKUP($C$5,Clients!D:D,Clients!HMM:HMM,2,0,1)))</f>
        <v/>
      </c>
      <c r="D16" s="802">
        <f>IF(_xlfn.XLOOKUP($C$5,Clients!D:D,Clients!HFD:HFD,"ERROR",0,1)="Not Filed","NR",(_xlfn.XLOOKUP($C$5,Clients!D:D,Clients!HMQ:HMQ,2,0,1))-(_xlfn.XLOOKUP($C$5,Clients!D:D,Clients!HFL:HFL,2,0,1)))</f>
        <v/>
      </c>
      <c r="E16" s="809" t="n">
        <v>1185</v>
      </c>
      <c r="F16" s="802">
        <f>IF($N$16="NL",AB16,IF($N$16="PE",AC16,IF($N$16="NS",AD16,IF($N$16="NB",AE16,IF($N$16="ON",AF16,IF($N$16="MB",AG16,IF($N$16="SK",AH16,IF($N$16="AB",AI16,IF($N$16="BC",AJ16,IF($N$16="YT",AK16,IF($N$16="NT",AL16,IF($N$16="NU",AM16,0))))))))))))</f>
        <v/>
      </c>
      <c r="G16" s="797">
        <f>IF(C16="NR", 0, (IF((_xlfn.XLOOKUP($C$5, Clients!D:D, Clients!HJV:HJV, "nf", 0, 1)) &gt; 0, "316 Claimed", (IF(A16=TRUE, IF(C16 &gt; E16, E16, C16), 0) + IF(A16=TRUE, IF(D16 &gt; F16, F16, D16), 0)))))</f>
        <v/>
      </c>
      <c r="H16" s="802">
        <f>IF(C16="NR",0,IF(A16=TRUE,IF(OR(M16="Married",M16="Common-Law"),'Federal Transfer S2'!P165,IF(A16=TRUE,IF(C16&lt;E16,E16-C16,0),0))))</f>
        <v/>
      </c>
      <c r="I16" s="804">
        <f>IF(D16="NR",0,IF(A16=TRUE,IF(OR(M16="Married",M16="Common-Law"),(_xlfn.XLOOKUP(CONCATENATE(Calculator!L16,"_",Calculator!N16),'Prov Trans Master'!A1:A134,'Prov Trans Master'!B1:B134,"NR",0,1)),IF(A16=TRUE,IF(D16&lt;F16,F16-D16,0),0))))</f>
        <v/>
      </c>
      <c r="J16" s="807">
        <f>SUM(H16:I16)</f>
        <v/>
      </c>
      <c r="K16" s="35" t="n"/>
      <c r="L16" s="17" t="n">
        <v>2015</v>
      </c>
      <c r="M16" s="15">
        <f>IF(C16="NR","NR",_xlfn.XLOOKUP($C$5,Clients!D:D,Clients!HFF:HFF,"2",0,1))</f>
        <v/>
      </c>
      <c r="N16" s="46">
        <f>_xlfn.XLOOKUP($C$5,Clients!D:D,Clients!HFE:HFE,"2",0,1)</f>
        <v/>
      </c>
      <c r="O16" s="35">
        <f>IF((_xlfn.XLOOKUP($C$5,Clients!D:D,Clients!HNF:HNF,"2",0,1))&gt;1,"WITB","-")</f>
        <v/>
      </c>
      <c r="P16" s="791" t="n"/>
      <c r="Q16" s="808">
        <f>(_xlfn.XLOOKUP($C$5,Clients!D:D,Clients!U:U,2,0,1) &amp; "")</f>
        <v/>
      </c>
      <c r="R16" s="191" t="n"/>
      <c r="S16" s="791" t="n"/>
      <c r="Z16" s="26" t="n">
        <v>2015</v>
      </c>
      <c r="AA16" s="801" t="n">
        <v>1185</v>
      </c>
      <c r="AB16" s="23" t="n">
        <v>455</v>
      </c>
      <c r="AC16" s="23" t="n">
        <v>675</v>
      </c>
      <c r="AD16" s="23" t="n">
        <v>645</v>
      </c>
      <c r="AE16" s="23" t="n">
        <v>755</v>
      </c>
      <c r="AF16" s="23" t="n">
        <v>402</v>
      </c>
      <c r="AG16" s="23" t="n">
        <v>667</v>
      </c>
      <c r="AH16" s="23" t="n">
        <v>1014</v>
      </c>
      <c r="AI16" s="23" t="n">
        <v>1405</v>
      </c>
      <c r="AJ16" s="23" t="n">
        <v>377</v>
      </c>
      <c r="AK16" s="23" t="n">
        <v>506</v>
      </c>
      <c r="AL16" s="23" t="n">
        <v>665</v>
      </c>
      <c r="AM16" s="22" t="n">
        <v>511</v>
      </c>
    </row>
    <row r="17" ht="16.15" customHeight="1" thickBot="1">
      <c r="A17" s="2" t="b">
        <v>0</v>
      </c>
      <c r="B17" s="277" t="n">
        <v>2014</v>
      </c>
      <c r="C17" s="810">
        <f>IF(_xlfn.XLOOKUP($C$5,Clients!D:D,Clients!IFF:IFF,"ERROR",0,1)="Not Filed","NR",IF(_xlfn.XLOOKUP($C$5,Clients!D:D,Clients!IFF:IFF,"ERROR",0,1)="NOT EXPANDED","Filed, Not Expanded",_xlfn.XLOOKUP($C$5,Clients!D:D,Clients!IMO:IMO,2,0,1)))</f>
        <v/>
      </c>
      <c r="D17" s="810">
        <f>IF(_xlfn.XLOOKUP($C$5,Clients!D:D,Clients!IFF:IFF,"ERROR",0,1)="Not Filed","NR",(_xlfn.XLOOKUP($C$5,Clients!D:D,Clients!IMS:IMS,2,0,1))-(_xlfn.XLOOKUP($C$5,Clients!D:D,Clients!IFN:IFN,2,0,1)))</f>
        <v/>
      </c>
      <c r="E17" s="811" t="n">
        <v>1165</v>
      </c>
      <c r="F17" s="802">
        <f>IF($N$17="NL",AB17,IF($N$17="PE",AC17,IF($N$17="NS",AD17,IF($N$17="NB",AE17,IF($N$17="ON",AF17,IF($N$17="MB",AG17,IF($N$17="SK",AH17,IF($N$17="AB",AI17,IF($N$17="BC",AJ17,IF($N$17="YT",AK17,IF($N$17="NT",AL17,IF($N$17="NU",AM17,0))))))))))))</f>
        <v/>
      </c>
      <c r="G17" s="797">
        <f>IF(C17="NR", 0, (IF((_xlfn.XLOOKUP($C$5, Clients!D:D, Clients!HJV:HJV, "nf", 0, 1)) &gt; 0, "316 Claimed", (IF(A17=TRUE, IF(C17 &gt; E17, E17, C17), 0) + IF(A17=TRUE, IF(D17 &gt; F17, F17, D17), 0)))))</f>
        <v/>
      </c>
      <c r="H17" s="802">
        <f>IF(C17="NR",0,IF(A17=TRUE,IF(OR(M17="Married",M17="Common-Law"),'Federal Transfer S2'!H200,IF(A17=TRUE,IF(C17&lt;E17,E17-C17,0),0))))</f>
        <v/>
      </c>
      <c r="I17" s="804">
        <f>IF(D17="NR",0,IF(A17=TRUE,IF(OR(M17="Married",M17="Common-Law"),(_xlfn.XLOOKUP(CONCATENATE(Calculator!L17,"_",Calculator!N17),'Prov Trans Master'!A1:A134,'Prov Trans Master'!B1:B134,"NR",0,1)),IF(A17=TRUE,IF(D17&lt;F17,F17-D17,0),0))))</f>
        <v/>
      </c>
      <c r="J17" s="807">
        <f>SUM(H17:I17)</f>
        <v/>
      </c>
      <c r="K17" s="35" t="n"/>
      <c r="L17" s="17" t="n">
        <v>2014</v>
      </c>
      <c r="M17" s="15">
        <f>IF(C17="NR","NR",_xlfn.XLOOKUP($C$5,Clients!D:D,Clients!IFH:IFH,"2",0,1))</f>
        <v/>
      </c>
      <c r="N17" s="46">
        <f>_xlfn.XLOOKUP($C$5,Clients!D:D,Clients!IFG:IFG,"2",0,1)</f>
        <v/>
      </c>
      <c r="O17" s="35">
        <f>IF(_xlfn.XLOOKUP($C$5,Clients!D:D,Clients!INH:INH,"2",0,1)&gt;1,"WITB","-")</f>
        <v/>
      </c>
      <c r="P17" s="791" t="n"/>
      <c r="Q17" s="259" t="inlineStr">
        <is>
          <t>DEPENDENT 2</t>
        </is>
      </c>
      <c r="R17" s="260">
        <f>(_xlfn.XLOOKUP($C$5,Clients!D:D,Clients!AB:AB,2,0,1) &amp; "")</f>
        <v/>
      </c>
      <c r="S17" s="791" t="n"/>
      <c r="Z17" s="26" t="n">
        <v>2014</v>
      </c>
      <c r="AA17" s="801" t="n">
        <v>1164.9</v>
      </c>
      <c r="AB17" s="23" t="n">
        <v>446</v>
      </c>
      <c r="AC17" s="23" t="n">
        <v>675</v>
      </c>
      <c r="AD17" s="23" t="n">
        <v>645</v>
      </c>
      <c r="AE17" s="23" t="n">
        <v>742</v>
      </c>
      <c r="AF17" s="23" t="n">
        <v>395</v>
      </c>
      <c r="AG17" s="23" t="n">
        <v>667</v>
      </c>
      <c r="AH17" s="23" t="n">
        <v>997</v>
      </c>
      <c r="AI17" s="23" t="n">
        <v>1372</v>
      </c>
      <c r="AJ17" s="23" t="n">
        <v>375</v>
      </c>
      <c r="AK17" s="23" t="n">
        <v>547</v>
      </c>
      <c r="AL17" s="23" t="n">
        <v>654</v>
      </c>
      <c r="AM17" s="22" t="n">
        <v>503</v>
      </c>
    </row>
    <row r="18" ht="15.75" customHeight="1" thickBot="1">
      <c r="B18" s="278" t="n"/>
      <c r="C18" s="14" t="n"/>
      <c r="D18" s="14" t="n"/>
      <c r="E18" s="14" t="n"/>
      <c r="F18" s="324" t="inlineStr">
        <is>
          <t>Sub-Total</t>
        </is>
      </c>
      <c r="G18" s="810">
        <f>SUM(G8:G17)</f>
        <v/>
      </c>
      <c r="H18" s="812">
        <f>SUM(H8:H17)</f>
        <v/>
      </c>
      <c r="I18" s="813">
        <f>SUM(I8:I17)</f>
        <v/>
      </c>
      <c r="J18" s="814">
        <f>SUM(J8:J17)</f>
        <v/>
      </c>
      <c r="K18" s="191" t="n"/>
      <c r="L18" s="815" t="n"/>
      <c r="M18" s="35" t="n"/>
      <c r="N18" s="816" t="n"/>
      <c r="O18" s="817">
        <f>250*(COUNTIF(O8:O17,"WITB"))</f>
        <v/>
      </c>
      <c r="P18" s="791" t="n"/>
      <c r="Q18" s="255">
        <f>(_xlfn.XLOOKUP($C$5,Clients!D:D,Clients!AC:AC,2,0,1) &amp; "")</f>
        <v/>
      </c>
      <c r="R18" s="257">
        <f>(_xlfn.XLOOKUP($C$5,Clients!D:D,Clients!AD:AD,2,0,1) &amp; "")</f>
        <v/>
      </c>
      <c r="S18" s="791" t="n"/>
      <c r="Z18" s="26" t="n">
        <v>2013</v>
      </c>
      <c r="AA18" s="801" t="n">
        <v>1154.55</v>
      </c>
      <c r="AB18" s="23" t="n">
        <v>439</v>
      </c>
      <c r="AC18" s="23" t="n">
        <v>675</v>
      </c>
      <c r="AD18" s="23" t="n">
        <v>645</v>
      </c>
      <c r="AE18" s="23" t="n">
        <v>714</v>
      </c>
      <c r="AF18" s="23" t="n">
        <v>391</v>
      </c>
      <c r="AG18" s="23" t="n">
        <v>667</v>
      </c>
      <c r="AH18" s="23" t="n">
        <v>988</v>
      </c>
      <c r="AI18" s="24" t="n">
        <v>1357</v>
      </c>
      <c r="AJ18" s="23" t="n">
        <v>374</v>
      </c>
      <c r="AK18" s="23" t="n">
        <v>542</v>
      </c>
      <c r="AL18" s="23" t="n">
        <v>648</v>
      </c>
      <c r="AM18" s="22" t="n">
        <v>498</v>
      </c>
    </row>
    <row r="19" ht="16.9" customHeight="1" thickBot="1">
      <c r="B19" s="818">
        <f>IF(OR(H18 &gt; 0, I18 &gt; 0), "Unused Credits", "-")</f>
        <v/>
      </c>
      <c r="D19" s="35" t="n"/>
      <c r="E19" s="819" t="inlineStr">
        <is>
          <t>Client Claim Value</t>
        </is>
      </c>
      <c r="F19" s="258" t="n"/>
      <c r="G19" s="820">
        <f>G18</f>
        <v/>
      </c>
      <c r="H19" s="615" t="inlineStr">
        <is>
          <t>Transfer Amount</t>
        </is>
      </c>
      <c r="I19" s="778" t="n"/>
      <c r="J19" s="821">
        <f>H18+I18</f>
        <v/>
      </c>
      <c r="K19" s="780" t="n"/>
      <c r="L19" s="814" t="n"/>
      <c r="M19" s="35" t="n"/>
      <c r="N19" s="817" t="n"/>
      <c r="O19" s="817">
        <f>IF(_xlfn.TEXTJOIN(", ", TRUE, IF(AND(Calculator!A8=TRUE, Calculator!O8="WITB"), Calculator!B8, ""), IF(AND(Calculator!A9=TRUE, Calculator!O9="WITB"), Calculator!B9, ""), IF(AND(Calculator!A10=TRUE, Calculator!O10="WITB"), Calculator!B10, ""), IF(AND(Calculator!A11=TRUE, Calculator!O11="WITB"), Calculator!B11, ""), IF(AND(Calculator!A12=TRUE, Calculator!O12="WITB"), Calculator!B12, ""), IF(AND(Calculator!A13=TRUE, Calculator!O13="WITB"), Calculator!B13, ""), IF(AND(Calculator!A14=TRUE, Calculator!O14="WITB"), Calculator!B14, ""), IF(AND(Calculator!A15=TRUE, Calculator!O15="WITB"), Calculator!B15, ""), IF(AND(Calculator!A16=TRUE, Calculator!O16="WITB"), Calculator!B16, ""), IF(AND(Calculator!A17=TRUE, Calculator!O17="WITB"), Calculator!B17, ""))="", "None", _xlfn.TEXTJOIN(", ", TRUE, IF(AND(Calculator!A8=TRUE, Calculator!O8="WITB"), Calculator!B8, ""), IF(AND(Calculator!A9=TRUE, Calculator!O9="WITB"), Calculator!B9, ""), IF(AND(Calculator!A10=TRUE, Calculator!O10="WITB"), Calculator!B10, ""), IF(AND(Calculator!A11=TRUE, Calculator!O11="WITB"), Calculator!B11, ""), IF(AND(Calculator!A12=TRUE, Calculator!O12="WITB"), Calculator!B12, ""), IF(AND(Calculator!A13=TRUE, Calculator!O13="WITB"), Calculator!B13, ""), IF(AND(Calculator!A14=TRUE, Calculator!O14="WITB"), Calculator!B14, ""), IF(AND(Calculator!A15=TRUE, Calculator!O15="WITB"), Calculator!B15, ""), IF(AND(Calculator!A16=TRUE, Calculator!O16="WITB"), Calculator!B16, ""), IF(AND(Calculator!A17=TRUE, Calculator!O17="WITB"), Calculator!B17, "")))</f>
        <v/>
      </c>
      <c r="P19" s="791" t="n"/>
      <c r="Q19" s="808">
        <f>(_xlfn.XLOOKUP($C$5,Clients!D:D,Clients!Z:Z,2,0,1) &amp; "")</f>
        <v/>
      </c>
      <c r="R19" s="191" t="n"/>
      <c r="S19" s="791" t="n"/>
    </row>
    <row r="20" ht="18.6" customHeight="1" thickBot="1">
      <c r="B20" s="34" t="n"/>
      <c r="D20" s="35" t="n"/>
      <c r="E20" s="42" t="n"/>
      <c r="F20" s="191" t="n"/>
      <c r="G20" s="790" t="n"/>
      <c r="H20" s="822" t="inlineStr">
        <is>
          <t>Transfer Status</t>
        </is>
      </c>
      <c r="I20" s="823" t="n"/>
      <c r="J20" s="74" t="n"/>
      <c r="K20" s="258" t="n"/>
      <c r="L20" s="34" t="n"/>
      <c r="M20" s="35" t="n"/>
      <c r="N20" s="817" t="n"/>
      <c r="O20" s="817" t="n"/>
      <c r="P20" s="791" t="n"/>
      <c r="Q20" s="261" t="inlineStr">
        <is>
          <t>DEPENDENT 3</t>
        </is>
      </c>
      <c r="R20" s="262">
        <f>(_xlfn.XLOOKUP($C$5,Clients!D:D,Clients!AE:AE,2,0,1) &amp; "")</f>
        <v/>
      </c>
      <c r="S20" s="791" t="n"/>
    </row>
    <row r="21" ht="16.9" customHeight="1">
      <c r="B21" s="34" t="n"/>
      <c r="D21" s="35" t="n"/>
      <c r="E21" s="819" t="inlineStr">
        <is>
          <t>Projected Revenue</t>
        </is>
      </c>
      <c r="F21" s="258" t="n"/>
      <c r="G21" s="820">
        <f>G19*0.2</f>
        <v/>
      </c>
      <c r="H21" s="34" t="n"/>
      <c r="I21" s="34" t="n"/>
      <c r="K21" s="35" t="n"/>
      <c r="L21" s="34" t="n"/>
      <c r="M21" s="35" t="n"/>
      <c r="N21" s="817" t="n"/>
      <c r="O21" s="2">
        <f>_xlfn.TEXTJOIN(", ", TRUE, IF(AND(A8=TRUE, O8="WITB"), B8, ""), IF(AND(A9=TRUE, O9="WITB"), B9, ""), IF(AND(A10=TRUE, O10="WITB"), B10, ""), IF(AND(A11=TRUE, O11="WITB"), B11, ""), IF(AND(A12=TRUE, O12="WITB"), B12, ""), IF(AND(A13=TRUE, O13="WITB"), B13, ""), IF(AND(A14=TRUE, O14="WITB"), B14, ""), IF(AND(A15=TRUE, O15="WITB"), B15, ""), IF(AND(A16=TRUE, O16="WITB"), B16, ""), IF(AND(A17=TRUE, O17="WITB"), B17, ""))</f>
        <v/>
      </c>
      <c r="P21" s="791" t="n"/>
      <c r="Q21" s="255">
        <f>(_xlfn.XLOOKUP($C$5,Clients!D:D,Clients!AH:AH,2,0,1) &amp; "")</f>
        <v/>
      </c>
      <c r="R21" s="257">
        <f>(_xlfn.XLOOKUP($C$5,Clients!D:D,Clients!AI:AI,2,0,1) &amp; "")</f>
        <v/>
      </c>
      <c r="S21" s="791" t="n"/>
    </row>
    <row r="22" ht="17.45" customHeight="1" thickBot="1">
      <c r="B22" s="42" t="n"/>
      <c r="C22" s="41" t="n"/>
      <c r="D22" s="191" t="n"/>
      <c r="E22" s="42" t="n"/>
      <c r="F22" s="191" t="n"/>
      <c r="G22" s="790" t="n"/>
      <c r="H22" s="42" t="n"/>
      <c r="I22" s="42" t="n"/>
      <c r="J22" s="41" t="n"/>
      <c r="K22" s="191" t="n"/>
      <c r="L22" s="42" t="n"/>
      <c r="M22" s="191" t="n"/>
      <c r="N22" s="824" t="n"/>
      <c r="O22" s="824" t="n"/>
      <c r="P22" s="790" t="n"/>
      <c r="Q22" s="808">
        <f>(_xlfn.XLOOKUP($C$5,Clients!D:D,Clients!AG:AG,2,0,1) &amp; "")</f>
        <v/>
      </c>
      <c r="R22" s="191" t="n"/>
      <c r="S22" s="790" t="n"/>
    </row>
    <row r="23" ht="14.25" customHeight="1"/>
    <row r="24" ht="15" customHeight="1" thickBot="1">
      <c r="B24" s="2" t="b">
        <v>0</v>
      </c>
    </row>
    <row r="25" ht="19.5" customHeight="1" thickBot="1">
      <c r="B25" s="570" t="inlineStr">
        <is>
          <t>Transfer DTC Calculator</t>
        </is>
      </c>
      <c r="C25" s="778" t="n"/>
      <c r="D25" s="778" t="n"/>
      <c r="E25" s="778" t="n"/>
      <c r="F25" s="778" t="n"/>
      <c r="G25" s="778" t="n"/>
      <c r="H25" s="778" t="n"/>
      <c r="I25" s="778" t="n"/>
      <c r="J25" s="778" t="n"/>
      <c r="K25" s="778" t="n"/>
      <c r="L25" s="778" t="n"/>
      <c r="M25" s="778" t="n"/>
      <c r="N25" s="778" t="n"/>
      <c r="O25" s="778" t="n"/>
      <c r="P25" s="778" t="n"/>
      <c r="Q25" s="778" t="n"/>
      <c r="R25" s="778" t="n"/>
      <c r="S25" s="778" t="n"/>
    </row>
    <row r="26" ht="19.5" customHeight="1" thickBot="1">
      <c r="B26" s="779">
        <f>(_xlfn.XLOOKUP($C$28,Clients!D:D,Clients!J:J,"",0,1))</f>
        <v/>
      </c>
      <c r="C26" s="778" t="n"/>
      <c r="D26" s="778" t="n"/>
      <c r="E26" s="778" t="n"/>
      <c r="F26" s="778" t="n"/>
      <c r="G26" s="778" t="n"/>
      <c r="H26" s="778" t="n"/>
      <c r="I26" s="778" t="n"/>
      <c r="J26" s="778" t="n"/>
      <c r="K26" s="778" t="n"/>
      <c r="L26" s="778" t="n"/>
      <c r="M26" s="778" t="n"/>
      <c r="N26" s="778" t="n"/>
      <c r="O26" s="778" t="n"/>
      <c r="P26" s="778" t="n"/>
      <c r="Q26" s="778" t="n"/>
      <c r="R26" s="778" t="n"/>
      <c r="S26" s="780" t="n"/>
    </row>
    <row r="27" ht="24.6" customHeight="1" thickBot="1">
      <c r="B27" s="334" t="inlineStr">
        <is>
          <t>Affected Since</t>
        </is>
      </c>
      <c r="C27" s="306" t="inlineStr">
        <is>
          <t>Transfer Number</t>
        </is>
      </c>
      <c r="D27" s="306" t="inlineStr">
        <is>
          <t xml:space="preserve">Client Name </t>
        </is>
      </c>
      <c r="E27" s="780" t="n"/>
      <c r="F27" s="306" t="inlineStr">
        <is>
          <t xml:space="preserve">CRA Client Name </t>
        </is>
      </c>
      <c r="G27" s="780" t="n"/>
      <c r="H27" s="306" t="inlineStr">
        <is>
          <t>Client Number</t>
        </is>
      </c>
      <c r="I27" s="306" t="inlineStr">
        <is>
          <t>Client Name</t>
        </is>
      </c>
      <c r="J27" s="778" t="n"/>
      <c r="K27" s="780" t="n"/>
      <c r="L27" s="337" t="inlineStr">
        <is>
          <t>Bankruptcy</t>
        </is>
      </c>
      <c r="M27" s="41" t="n"/>
      <c r="N27" s="191" t="n"/>
      <c r="O27" s="335" t="inlineStr">
        <is>
          <t>Direct Deposit (TAX)</t>
        </is>
      </c>
      <c r="P27" s="336" t="inlineStr">
        <is>
          <t>Direct Deposit (CCB)</t>
        </is>
      </c>
      <c r="Q27" s="337" t="inlineStr">
        <is>
          <t xml:space="preserve">Insolvency </t>
        </is>
      </c>
      <c r="R27" s="338" t="inlineStr">
        <is>
          <t>Account Balance</t>
        </is>
      </c>
      <c r="S27" s="337" t="inlineStr">
        <is>
          <t xml:space="preserve">Previous Debt </t>
        </is>
      </c>
    </row>
    <row r="28" ht="24" customHeight="1" thickBot="1">
      <c r="B28" s="308" t="n">
        <v>2018</v>
      </c>
      <c r="C28" s="333">
        <f>MainClient &amp; A2</f>
        <v/>
      </c>
      <c r="D28" s="825">
        <f>_xlfn.XLOOKUP(TransferNumber,Clients!D:D,Clients!E:E,"NONE",0,1)</f>
        <v/>
      </c>
      <c r="E28" s="780" t="n"/>
      <c r="F28" s="826">
        <f>_xlfn.XLOOKUP($C$28,Clients!D:D,Clients!H:H,2,0,1)</f>
        <v/>
      </c>
      <c r="G28" s="780" t="n"/>
      <c r="H28" s="309">
        <f>MainClient</f>
        <v/>
      </c>
      <c r="I28" s="827">
        <f>D5</f>
        <v/>
      </c>
      <c r="J28" s="778" t="n"/>
      <c r="K28" s="780" t="n"/>
      <c r="L28" s="783">
        <f>(_xlfn.XLOOKUP($C$28,Clients!D:D,Clients!AV:AV,2,0,1))</f>
        <v/>
      </c>
      <c r="M28" s="74" t="n"/>
      <c r="N28" s="258" t="n"/>
      <c r="O28" s="784">
        <f>(_xlfn.XLOOKUP($C$28,Clients!D:D,Clients!AT:AT,2,0,1))</f>
        <v/>
      </c>
      <c r="P28" s="784">
        <f>(_xlfn.XLOOKUP($C$28,Clients!D:D,Clients!AU:AU,2,0,1))</f>
        <v/>
      </c>
      <c r="Q28" s="828" t="n"/>
      <c r="R28" s="786">
        <f>(_xlfn.XLOOKUP($C$28,Clients!D:D,Clients!M:M,2,0,1))</f>
        <v/>
      </c>
      <c r="S28" s="787">
        <f>(_xlfn.XLOOKUP($C$28,Clients!D:D,Clients!L:L,2,0,1))</f>
        <v/>
      </c>
    </row>
    <row r="29" ht="32.45" customHeight="1" thickBot="1">
      <c r="B29" s="788">
        <f>D5 &amp; " DTC Claim " &amp;
IF(AND(A40, NOT(A39)), "2014", IF(A40, "2014-", "")) &amp;
IF(AND(A39, NOT(A38)), IF(OR(A38, A37, A36, A35, A34, A33, A32, A31), "2015 and ", "2015"), IF(A39, IF(NOT(A40), "2015-", ""), "")) &amp;
IF(AND(A38, NOT(A37)), IF(OR(A37, A36, A35, A34, A33, A32, A31), "2016 and ", "2016"), IF(A38, IF(NOT(A39), "2016-", ""), "")) &amp;
IF(AND(A37, NOT(A36)), IF(OR(A36, A35, A34, A33, A32, A31), "2017 and ", "2017"), IF(A37, IF(NOT(A38), "2017-", ""), "")) &amp;
IF(AND(A36, NOT(A35)), IF(OR(A35, A34, A33, A32, A31), "2018 and ", "2018"), IF(A36, IF(NOT(A37), "2018-", ""), "")) &amp;
IF(AND(A35, NOT(A34)), IF(OR(A34, A33, A32, A31), "2019 and ", "2019"), IF(A35, IF(NOT(A36), "2019-", ""), "")) &amp;
IF(AND(A34, NOT(A33)), IF(OR(A33, A32, A31), "2020 and ", "2020"), IF(A34, IF(NOT(A35), "2020-", ""), "")) &amp;
IF(AND(A33, NOT(A32)), IF(OR(A32, A31), "2021 and ", "2021"), IF(A33, IF(NOT(A34), "2021-", ""), "")) &amp;
IF(AND(A32, NOT(A31)), IF(A31, "2022 and ", "2022"), IF(A32, IF(NOT(A33), "2022-", ""), "")) &amp;
IF(A31, "2023", "") &amp; " transfer to " &amp; D28</f>
        <v/>
      </c>
      <c r="C29" s="778" t="n"/>
      <c r="D29" s="778" t="n"/>
      <c r="E29" s="778" t="n"/>
      <c r="F29" s="778" t="n"/>
      <c r="G29" s="778" t="n"/>
      <c r="H29" s="780" t="n"/>
      <c r="I29" s="829">
        <f>I6</f>
        <v/>
      </c>
      <c r="J29" s="778" t="n"/>
      <c r="K29" s="780" t="n"/>
      <c r="L29" s="42" t="n"/>
      <c r="M29" s="41" t="n"/>
      <c r="N29" s="191" t="n"/>
      <c r="O29" s="790" t="n"/>
      <c r="P29" s="790" t="n"/>
      <c r="Q29" s="42" t="n"/>
      <c r="R29" s="191" t="n"/>
      <c r="S29" s="791" t="n"/>
    </row>
    <row r="30" ht="30.75" customHeight="1" thickBot="1">
      <c r="B30" s="20" t="inlineStr">
        <is>
          <t>Tax Year</t>
        </is>
      </c>
      <c r="C30" s="19" t="inlineStr">
        <is>
          <t>Total Federal Tax  (Line 420)</t>
        </is>
      </c>
      <c r="D30" s="19" t="inlineStr">
        <is>
          <t>Total Provincial Tax  (Line 428)</t>
        </is>
      </c>
      <c r="E30" s="19" t="inlineStr">
        <is>
          <t xml:space="preserve">DTC Amount Federal </t>
        </is>
      </c>
      <c r="F30" s="19" t="inlineStr">
        <is>
          <t xml:space="preserve">DTC Amount Provincial </t>
        </is>
      </c>
      <c r="G30" s="19" t="inlineStr">
        <is>
          <t>DTC Claimable For Self</t>
        </is>
      </c>
      <c r="H30" s="19" t="inlineStr">
        <is>
          <t>Transferable Federal</t>
        </is>
      </c>
      <c r="I30" s="19" t="inlineStr">
        <is>
          <t>Transferable Provincial</t>
        </is>
      </c>
      <c r="J30" s="19" t="inlineStr">
        <is>
          <t>Transfer Claimable</t>
        </is>
      </c>
      <c r="K30" s="19" t="inlineStr">
        <is>
          <t>Caregiver Credit</t>
        </is>
      </c>
      <c r="L30" s="340" t="inlineStr">
        <is>
          <t>Marital Status</t>
        </is>
      </c>
      <c r="M30" s="780" t="n"/>
      <c r="N30" s="339" t="inlineStr">
        <is>
          <t>Province</t>
        </is>
      </c>
      <c r="O30" s="340" t="inlineStr">
        <is>
          <t>WITB</t>
        </is>
      </c>
      <c r="P30" s="341" t="inlineStr">
        <is>
          <t>Previous DTC Status</t>
        </is>
      </c>
      <c r="Q30" s="340" t="inlineStr">
        <is>
          <t>DTC Eligiblity</t>
        </is>
      </c>
      <c r="R30" s="780" t="n"/>
      <c r="S30" s="791" t="n"/>
    </row>
    <row r="31" ht="16.15" customHeight="1">
      <c r="A31" s="60">
        <f>A8</f>
        <v/>
      </c>
      <c r="B31" s="300" t="n">
        <v>2023</v>
      </c>
      <c r="C31" s="830">
        <f>IF(_xlfn.XLOOKUP(TransferNumber,Clients!D:D,Clients!AW:AW,"ERROR",0,1)="Not Filed","NR",IF(_xlfn.XLOOKUP(TransferNumber,Clients!D:D,Clients!AW:AW,"ERROR",0,1)="NOT EXPANDED","Filed, Not Expanded",_xlfn.XLOOKUP(TransferNumber,Clients!D:D,Clients!IC:IC,0,0,1)))</f>
        <v/>
      </c>
      <c r="D31" s="830">
        <f>IF(_xlfn.XLOOKUP(TransferNumber,Clients!D:D,Clients!AW:AW,"ERROR",0,1)="Not Filed","NR",(_xlfn.XLOOKUP(TransferNumber,Clients!D:D,Clients!IG:IG,"2",0,1))-(_xlfn.XLOOKUP(TransferNumber,Clients!D:D,Clients!BE:BE,"2",0,1)))</f>
        <v/>
      </c>
      <c r="E31" s="831" t="n">
        <v>1232.25</v>
      </c>
      <c r="F31" s="832">
        <f>IF($N$35="NL",AB8,IF($N$35="PE",AC8,IF($N$35="NS",AD8,IF($N$35="NB",AE8,IF($N$35="ON",AF8,IF($N$35="MB",AG8,IF($N$35="SK",AH8,IF($N$35="AB",AI8,IF($N$35="BC",AJ8,IF($N$35="YT",AK8,IF($N$35="NT",AL8,IF($N$35="NU",AM8,0))))))))))))</f>
        <v/>
      </c>
      <c r="G31" s="833">
        <f>(IF(C31="NR",0,(IF((_xlfn.XLOOKUP($C$5,Clients!D:D,Clients!BHE:BHE,"nf",0,1))&gt;0,"316 Claimed",(IF(A28=TRUE,IF(C31&gt;(E31),(E31),C31),0)+IF(A28=TRUE,IF(D31&gt;(F31),(F31),D31),0))))))</f>
        <v/>
      </c>
      <c r="H31" s="830">
        <f>IF(C31="NR",0,H8)</f>
        <v/>
      </c>
      <c r="I31" s="830">
        <f>IF(D31="NR",0,I8)</f>
        <v/>
      </c>
      <c r="J31" s="834">
        <f>IF(A8=TRUE,(IF(C31&lt;H31,C31,H31)+IF(A31=TRUE,IF(D31&lt;I31,D31,I31))),0)</f>
        <v/>
      </c>
      <c r="K31" s="834">
        <f>IF(A8=TRUE,((IF(C31="NR",0,IF(C31-H31&gt;'Spouse or common-law partner am'!J15,'Spouse or common-law partner am'!J15,(IF(C31&lt;H31,0,(C31-H31))))))),0)</f>
        <v/>
      </c>
      <c r="L31" s="107" t="n">
        <v>2023</v>
      </c>
      <c r="M31" s="2">
        <f>IF(C31="NR","NR",_xlfn.XLOOKUP($C$28,Clients!D:D,Clients!AY:AY,"2",0,1))</f>
        <v/>
      </c>
      <c r="N31" s="113">
        <f>_xlfn.XLOOKUP($C$28,Clients!D:D,Clients!AX:AX,"2",0,1)</f>
        <v/>
      </c>
      <c r="O31" s="258">
        <f>IF((_xlfn.XLOOKUP($C$28,Clients!D:D,Clients!IV:IV,"2",0,1))&gt;1,"WITB","-")</f>
        <v/>
      </c>
      <c r="P31" s="799">
        <f>(_xlfn.XLOOKUP($C$28,Clients!D:D,Clients!N:N,2,0,1))</f>
        <v/>
      </c>
      <c r="Q31" s="800" t="inlineStr">
        <is>
          <t>SELF</t>
        </is>
      </c>
      <c r="R31" s="258" t="n"/>
      <c r="S31" s="791" t="n"/>
    </row>
    <row r="32" ht="16.15" customHeight="1">
      <c r="A32" s="60">
        <f>A9</f>
        <v/>
      </c>
      <c r="B32" s="300" t="n">
        <v>2022</v>
      </c>
      <c r="C32" s="830">
        <f>IF(_xlfn.XLOOKUP(TransferNumber,Clients!D:D,Clients!ABR:ABR,"ERROR",0,1)="Not Filed","NR",IF(_xlfn.XLOOKUP(TransferNumber,Clients!D:D,Clients!ABR:ABR,"ERROR",0,1)="NOT EXPANDED","Filed, Not Expanded",_xlfn.XLOOKUP(TransferNumber,Clients!D:D,Clients!AIX:AIX,0,0,1)))</f>
        <v/>
      </c>
      <c r="D32" s="830">
        <f>IF(_xlfn.XLOOKUP(TransferNumber,Clients!D:D,Clients!ABR:ABR,"ERROR",0,1)="Not Filed","NR",(_xlfn.XLOOKUP(TransferNumber,Clients!D:D,Clients!AJB:AJB,"2",0,1))-(_xlfn.XLOOKUP(TransferNumber,Clients!D:D,Clients!ABZ:ABZ,"2",0,1)))</f>
        <v/>
      </c>
      <c r="E32" s="831" t="n">
        <v>1233.25</v>
      </c>
      <c r="F32" s="832">
        <f>IF($N$35="NL",AB9,IF($N$35="PE",AC9,IF($N$35="NS",AD9,IF($N$35="NB",AE9,IF($N$35="ON",AF9,IF($N$35="MB",AG9,IF($N$35="SK",AH9,IF($N$35="AB",AI9,IF($N$35="BC",AJ9,IF($N$35="YT",AK9,IF($N$35="NT",AL9,IF($N$35="NU",AM9,0))))))))))))</f>
        <v/>
      </c>
      <c r="G32" s="833">
        <f>(IF(C32="NR",0,(IF((_xlfn.XLOOKUP($C$5,Clients!D:D,Clients!BHE:BHE,"nf",0,1))&gt;0,"316 Claimed",(IF(A29=TRUE,IF(C32&gt;(E32),(E32),C32),0)+IF(A29=TRUE,IF(D32&gt;(F32),(F32),D32),0))))))</f>
        <v/>
      </c>
      <c r="H32" s="830">
        <f>IF(C32="NR",0,H9)</f>
        <v/>
      </c>
      <c r="I32" s="830">
        <f>IF(D32="NR",0,I9)</f>
        <v/>
      </c>
      <c r="J32" s="834">
        <f>IF(A9=TRUE,(IF(C32&lt;H32,C32,H32)+IF(A32=TRUE,IF(D32&lt;I32,D32,I32))),0)</f>
        <v/>
      </c>
      <c r="K32" s="834">
        <f>IF(A9=TRUE,((IF(C32="NR",0,IF(C32-H32&gt;'Spouse or common-law partner am'!J28,'Spouse or common-law partner am'!J28,(IF(C32&lt;H32,0,(C32-H32))))))),0)</f>
        <v/>
      </c>
      <c r="L32" s="107" t="n">
        <v>2022</v>
      </c>
      <c r="M32" s="108">
        <f>IF(C32="NR","NR",_xlfn.XLOOKUP($C$28,Clients!D:D,Clients!ABT:ABT,"2",0,1))</f>
        <v/>
      </c>
      <c r="N32" s="114">
        <f>_xlfn.XLOOKUP($C$28,Clients!D:D,Clients!ABS:ABS,"2",0,1)</f>
        <v/>
      </c>
      <c r="O32" s="110">
        <f>IF((_xlfn.XLOOKUP($C$28,Clients!D:D,Clients!AJQ:AJQ,"2",0,1))&gt;1,"WITB","-")</f>
        <v/>
      </c>
      <c r="P32" s="791" t="n"/>
      <c r="Q32" s="255">
        <f>(_xlfn.XLOOKUP($C$28,Clients!D:D,Clients!P:P,2,0,1))</f>
        <v/>
      </c>
      <c r="R32" s="257">
        <f>(_xlfn.XLOOKUP($C$28,Clients!D:D,Clients!Q:Q,2,0,1))</f>
        <v/>
      </c>
      <c r="S32" s="791" t="n"/>
    </row>
    <row r="33" ht="16.15" customHeight="1" thickBot="1">
      <c r="A33" s="60">
        <f>A10</f>
        <v/>
      </c>
      <c r="B33" s="300" t="n">
        <v>2021</v>
      </c>
      <c r="C33" s="835">
        <f>IF(_xlfn.XLOOKUP(TransferNumber,Clients!D:D,Clients!BCM:BCM,"ERROR",0,1)="Not Filed","NR",IF(_xlfn.XLOOKUP(TransferNumber,Clients!D:D,Clients!BCM:BCM,"ERROR",0,1)="NOT EXPANDED","Filed, Not Expanded",_xlfn.XLOOKUP(TransferNumber,Clients!D:D,Clients!BJS:BJS,0,0,1)))</f>
        <v/>
      </c>
      <c r="D33" s="835">
        <f>IF(_xlfn.XLOOKUP(TransferNumber,Clients!D:D,Clients!BCM:BCM,"ERROR",0,1)="Not Filed","NR",(_xlfn.XLOOKUP(TransferNumber,Clients!D:D,Clients!BJW:BJW,"2",0,1))-(_xlfn.XLOOKUP(TransferNumber,Clients!D:D,Clients!BCU:BCU,"2",0,1)))</f>
        <v/>
      </c>
      <c r="E33" s="831" t="n">
        <v>1234.25</v>
      </c>
      <c r="F33" s="832">
        <f>IF($N$35="NL",AB10,IF($N$35="PE",AC10,IF($N$35="NS",AD10,IF($N$35="NB",AE10,IF($N$35="ON",AF10,IF($N$35="MB",AG10,IF($N$35="SK",AH10,IF($N$35="AB",AI10,IF($N$35="BC",AJ10,IF($N$35="YT",AK10,IF($N$35="NT",AL10,IF($N$35="NU",AM10,0))))))))))))</f>
        <v/>
      </c>
      <c r="G33" s="833">
        <f>(IF(C33="NR",0,(IF((_xlfn.XLOOKUP($C$5,Clients!D:D,Clients!BHE:BHE,"nf",0,1))&gt;0,"316 Claimed",(IF(A30=TRUE,IF(C33&gt;(E33),(E33),C33),0)+IF(A30=TRUE,IF(D33&gt;(F33),(F33),D33),0))))))</f>
        <v/>
      </c>
      <c r="H33" s="835">
        <f>IF(C33="NR",0,H10)</f>
        <v/>
      </c>
      <c r="I33" s="835">
        <f>IF(D33="NR",0,I10)</f>
        <v/>
      </c>
      <c r="J33" s="836">
        <f>IF(A10=TRUE,(IF(C33&lt;H33,C33,H33)+IF(A33=TRUE,IF(D33&lt;I33,D33,I33))),0)</f>
        <v/>
      </c>
      <c r="K33" s="837">
        <f>IF(A10=TRUE,((IF(C33="NR",0,IF(C33-H33&gt;'Spouse or common-law partner am'!J41,'Spouse or common-law partner am'!J41,(IF(C33&lt;H33,0,(C33-H33))))))),0)</f>
        <v/>
      </c>
      <c r="L33" s="17" t="n">
        <v>2021</v>
      </c>
      <c r="M33" s="47">
        <f>IF(C33="NR","NR",_xlfn.XLOOKUP($C$28,Clients!D:D,Clients!BCO:BCO,"2",0,1))</f>
        <v/>
      </c>
      <c r="N33" s="46">
        <f>_xlfn.XLOOKUP($C$28,Clients!D:D,Clients!BCN:BCN,"2",0,1)</f>
        <v/>
      </c>
      <c r="O33" s="35">
        <f>IF((_xlfn.XLOOKUP($C$28,Clients!D:D,Clients!BKL:BKL,"2",0,1))&gt;1,"WITB","-")</f>
        <v/>
      </c>
      <c r="P33" s="791" t="n"/>
      <c r="Q33" s="808">
        <f>(_xlfn.XLOOKUP($C$28,Clients!D:D,Clients!O:O,2,0,1))</f>
        <v/>
      </c>
      <c r="R33" s="191" t="n"/>
      <c r="S33" s="791" t="n"/>
    </row>
    <row r="34" ht="16.15" customHeight="1">
      <c r="A34" s="60">
        <f>A11</f>
        <v/>
      </c>
      <c r="B34" s="300" t="n">
        <v>2020</v>
      </c>
      <c r="C34" s="835">
        <f>IF(_xlfn.XLOOKUP(TransferNumber,Clients!D:D,Clients!CDH:CDH,"ERROR",0,1)="Not Filed","NR",IF(_xlfn.XLOOKUP(TransferNumber,Clients!D:D,Clients!CDH:CDH,"ERROR",0,1)="NOT EXPANDED","Filed, Not Expanded",_xlfn.XLOOKUP(TransferNumber,Clients!D:D,Clients!CKN:CKN,0,0,1)))</f>
        <v/>
      </c>
      <c r="D34" s="835">
        <f>IF(_xlfn.XLOOKUP(TransferNumber,Clients!D:D,Clients!CDH:CDH,"ERROR",0,1)="Not Filed","NR",(_xlfn.XLOOKUP(TransferNumber,Clients!D:D,Clients!CKR:CKR,"2",0,1))-(_xlfn.XLOOKUP(TransferNumber,Clients!D:D,Clients!CDP:CDP,"2",0,1)))</f>
        <v/>
      </c>
      <c r="E34" s="831" t="n">
        <v>1235.25</v>
      </c>
      <c r="F34" s="832">
        <f>IF($N$35="NL",AB11,IF($N$35="PE",AC11,IF($N$35="NS",AD11,IF($N$35="NB",AE11,IF($N$35="ON",AF11,IF($N$35="MB",AG11,IF($N$35="SK",AH11,IF($N$35="AB",AI11,IF($N$35="BC",AJ11,IF($N$35="YT",AK11,IF($N$35="NT",AL11,IF($N$35="NU",AM11,0))))))))))))</f>
        <v/>
      </c>
      <c r="G34" s="833">
        <f>(IF(C34="NR",0,(IF((_xlfn.XLOOKUP($C$5,Clients!D:D,Clients!CHZ:CHZ,"nf",0,1))&gt;0,"316 Claimed",(IF(A33=TRUE,IF(C34&gt;(E34),(E34),C34),0)+IF(A33=TRUE,IF(D34&gt;(F34),(F34),D34),0))))))</f>
        <v/>
      </c>
      <c r="H34" s="835">
        <f>IF(C34="NR",0,H11)</f>
        <v/>
      </c>
      <c r="I34" s="835">
        <f>IF(D34="NR",0,I11)</f>
        <v/>
      </c>
      <c r="J34" s="836">
        <f>IF(A11=TRUE,(IF(C34&lt;H34,C34,H34)+IF(A34=TRUE,IF(D34&lt;I34,D34,I34))),0)</f>
        <v/>
      </c>
      <c r="K34" s="836">
        <f>IF(A11=TRUE,((IF(C34="NR",0,IF(C34-H34&gt;'Spouse or common-law partner am'!J54,'Spouse or common-law partner am'!J54,(IF(C34&lt;H34,0,(C34-H34))))))),0)</f>
        <v/>
      </c>
      <c r="L34" s="17" t="n">
        <v>2020</v>
      </c>
      <c r="M34" s="47">
        <f>IF(C34="NR","NR",_xlfn.XLOOKUP($C$28,Clients!D:D,Clients!CDJ:CDJ,"2",0,1))</f>
        <v/>
      </c>
      <c r="N34" s="46">
        <f>_xlfn.XLOOKUP($C$28,Clients!D:D,Clients!CDI:CDI,"2",0,1)</f>
        <v/>
      </c>
      <c r="O34" s="35">
        <f>IF((_xlfn.XLOOKUP($C$28,Clients!D:D,Clients!CLG:CLG,"2",0,1))&gt;1,"WITB","-")</f>
        <v/>
      </c>
      <c r="P34" s="791" t="n"/>
      <c r="Q34" s="800" t="inlineStr">
        <is>
          <t>SPOUSE</t>
        </is>
      </c>
      <c r="R34" s="258" t="n"/>
      <c r="S34" s="791" t="n"/>
    </row>
    <row r="35" ht="16.15" customHeight="1">
      <c r="A35" s="60">
        <f>A12</f>
        <v/>
      </c>
      <c r="B35" s="300" t="n">
        <v>2019</v>
      </c>
      <c r="C35" s="835">
        <f>IF(_xlfn.XLOOKUP(TransferNumber,Clients!D:D,Clients!DEC:DEC,"ERROR",0,1)="Not Filed","NR",IF(_xlfn.XLOOKUP(TransferNumber,Clients!D:D,Clients!DEC:DEC,"ERROR",0,1)="NOT EXPANDED","Filed, Not Expanded",_xlfn.XLOOKUP(TransferNumber,Clients!D:D,Clients!DLI:DLI,0,0,1)))</f>
        <v/>
      </c>
      <c r="D35" s="835">
        <f>IF(_xlfn.XLOOKUP(TransferNumber,Clients!D:D,Clients!DEC:DEC,"ERROR",0,1)="Not Filed","NR",(_xlfn.XLOOKUP(TransferNumber,Clients!D:D,Clients!DLM:DLM,"2",0,1))-(_xlfn.XLOOKUP(TransferNumber,Clients!D:D,Clients!DEK:DEK,"2",0,1)))</f>
        <v/>
      </c>
      <c r="E35" s="831" t="n">
        <v>1235.25</v>
      </c>
      <c r="F35" s="832">
        <f>IF($N$35="NL",AB12,IF($N$35="PE",AC12,IF($N$35="NS",AD12,IF($N$35="NB",AE12,IF($N$35="ON",AF12,IF($N$35="MB",AG12,IF($N$35="SK",AH12,IF($N$35="AB",AI12,IF($N$35="BC",AJ12,IF($N$35="YT",AK12,IF($N$35="NT",AL12,IF($N$35="NU",AM12,0))))))))))))</f>
        <v/>
      </c>
      <c r="G35" s="833">
        <f>(IF(C35="NR",0,(IF((_xlfn.XLOOKUP($C$5,Clients!D:D,Clients!DIU:DIU,"nf",0,1))&gt;0,"316 Claimed",(IF(A34=TRUE,IF(C35&gt;(E35),(E35),C35),0)+IF(A34=TRUE,IF(D35&gt;(F35),(F35),D35),0))))))</f>
        <v/>
      </c>
      <c r="H35" s="835">
        <f>IF(C35="NR",0,H12)</f>
        <v/>
      </c>
      <c r="I35" s="835">
        <f>IF(D35="NR",0,I12)</f>
        <v/>
      </c>
      <c r="J35" s="836">
        <f>IF(A12=TRUE,(IF(C35&lt;H35,C35,H35)+IF(A35=TRUE,IF(D35&lt;I35,D35,I35))),0)</f>
        <v/>
      </c>
      <c r="K35" s="836">
        <f>IF(A12=TRUE,((IF(C35="NR",0,IF(C35-H35&gt;'Spouse or common-law partner am'!J68,'Spouse or common-law partner am'!J68,(IF(C35&lt;H35,0,(C35-H35))))))),0)</f>
        <v/>
      </c>
      <c r="L35" s="17" t="n">
        <v>2019</v>
      </c>
      <c r="M35" s="47">
        <f>IF(C35="NR","NR",_xlfn.XLOOKUP($C$28,Clients!D:D,Clients!DEE:DEE,"2",0,1))</f>
        <v/>
      </c>
      <c r="N35" s="46">
        <f>_xlfn.XLOOKUP($C$28,Clients!D:D,Clients!DED:DED,"2",0,1)</f>
        <v/>
      </c>
      <c r="O35" s="35">
        <f>IF((_xlfn.XLOOKUP($C$28,Clients!D:D,Clients!DMB:DMB,"2",0,1))&gt;1,"WITB","-")</f>
        <v/>
      </c>
      <c r="P35" s="791" t="n"/>
      <c r="Q35" s="255">
        <f>(_xlfn.XLOOKUP($C$28,Clients!D:D,Clients!S:S,2,0,1))</f>
        <v/>
      </c>
      <c r="R35" s="257">
        <f>(_xlfn.XLOOKUP($C$28,Clients!D:D,Clients!T:T,2,0,1))</f>
        <v/>
      </c>
      <c r="S35" s="791" t="n"/>
    </row>
    <row r="36" ht="16.15" customHeight="1" thickBot="1">
      <c r="A36" s="60">
        <f>A13</f>
        <v/>
      </c>
      <c r="B36" s="300" t="n">
        <v>2018</v>
      </c>
      <c r="C36" s="835">
        <f>IF(_xlfn.XLOOKUP(TransferNumber,Clients!D:D,Clients!EEX:EEX,"ERROR",0,1)="Not Filed","NR",IF(_xlfn.XLOOKUP(TransferNumber,Clients!D:D,Clients!EEX:EEX,"ERROR",0,1)="NOT EXPANDED","Filed, Not Expanded",_xlfn.XLOOKUP(TransferNumber,Clients!D:D,Clients!EMG:EMG,0,0,1)))</f>
        <v/>
      </c>
      <c r="D36" s="835">
        <f>IF(_xlfn.XLOOKUP(TransferNumber,Clients!D:D,Clients!EEX:EEX,"ERROR",0,1)="Not Filed","NR",(_xlfn.XLOOKUP(TransferNumber,Clients!D:D,Clients!EMK:EMK,2,0,1))-(_xlfn.XLOOKUP(TransferNumber,Clients!D:D,Clients!EFF:EFF,2,0,1)))</f>
        <v/>
      </c>
      <c r="E36" s="831" t="n">
        <v>1235.25</v>
      </c>
      <c r="F36" s="83">
        <f>IF($N$36="NL",AB13,IF($N$36="PE",AC13,IF($N$36="NS",AD13,IF($N$36="NB",AE13,IF($N$36="ON",AF13,IF($N$36="MB",AG13,IF($N$36="SK",AH13,IF($N$36="AB",AI13,IF($N$36="BC",AJ13,IF($N$36="YT",AK13,IF($N$36="NT",AL13,IF($N$36="NU",AM13,0))))))))))))</f>
        <v/>
      </c>
      <c r="G36" s="838">
        <f>(IF(C36="NR",0,(IF((_xlfn.XLOOKUP($C$5,Clients!D:D,Clients!EJP:EJP,"nf",0,1))&gt;0,"316 Claimed",(IF(A35=TRUE,IF(C36&gt;(E36),(E36),C36),0)+IF(A35=TRUE,IF(D36&gt;(F36),(F36),D36),0))))))</f>
        <v/>
      </c>
      <c r="H36" s="835">
        <f>IF(C36="NR",0,H13)</f>
        <v/>
      </c>
      <c r="I36" s="835">
        <f>IF(D36="NR",0,I13)</f>
        <v/>
      </c>
      <c r="J36" s="836">
        <f>IF(A13=TRUE,(IF(C36&lt;H36,C36,H36)+IF(A36=TRUE,IF(D36&lt;I36,D36,I36))),0)</f>
        <v/>
      </c>
      <c r="K36" s="836">
        <f>IF(A13=TRUE,((IF(C36="NR",0,IF(C36-H36&gt;'Spouse or common-law partner am'!J83,'Spouse or common-law partner am'!J83,(IF(C36&lt;H36,0,(C36-H36))))))),0)</f>
        <v/>
      </c>
      <c r="L36" s="17" t="n">
        <v>2018</v>
      </c>
      <c r="M36" s="15">
        <f>IF(C36="NR","NR",_xlfn.XLOOKUP($C$28,Clients!D:D,Clients!EEZ:EEZ,"2",0,1))</f>
        <v/>
      </c>
      <c r="N36" s="46">
        <f>_xlfn.XLOOKUP($C$28,Clients!D:D,Clients!EEY:EEY,"2",0,1)</f>
        <v/>
      </c>
      <c r="O36" s="35">
        <f>IF((_xlfn.XLOOKUP($C$28,Clients!D:D,Clients!EMZ:EMZ,"2",0,1))&gt;1,"WITB","-")</f>
        <v/>
      </c>
      <c r="P36" s="791" t="n"/>
      <c r="Q36" s="808">
        <f>(_xlfn.XLOOKUP($C$28,Clients!D:D,Clients!R:R,2,0,1))</f>
        <v/>
      </c>
      <c r="R36" s="191" t="n"/>
      <c r="S36" s="791" t="n"/>
    </row>
    <row r="37" ht="16.15" customHeight="1">
      <c r="A37" s="60">
        <f>A14</f>
        <v/>
      </c>
      <c r="B37" s="300" t="n">
        <v>2017</v>
      </c>
      <c r="C37" s="835">
        <f>IF(_xlfn.XLOOKUP(TransferNumber,Clients!D:D,Clients!FEZ:FEZ,"ERROR",0,1)="Not Filed","NR",IF(_xlfn.XLOOKUP(TransferNumber,Clients!D:D,Clients!FEZ:FEZ,"ERROR",0,1)="NOT EXPANDED","Filed, Not Expanded",_xlfn.XLOOKUP(TransferNumber,Clients!D:D,Clients!FMI:FMI,0,0,1)))</f>
        <v/>
      </c>
      <c r="D37" s="835">
        <f>IF(_xlfn.XLOOKUP(TransferNumber,Clients!D:D,Clients!FEZ:FEZ,"ERROR",0,1)="Not Filed","NR",(_xlfn.XLOOKUP(TransferNumber,Clients!D:D,Clients!FMM:FMM,2,0,1))-(_xlfn.XLOOKUP(TransferNumber,Clients!D:D,Clients!FFH:FFH,2,0,1)))</f>
        <v/>
      </c>
      <c r="E37" s="831" t="n">
        <v>1217</v>
      </c>
      <c r="F37" s="832" t="n"/>
      <c r="G37" s="833">
        <f>(IF(C37="NR",0,(IF((_xlfn.XLOOKUP($C$5,Clients!D:D,Clients!FJR:FJR,"nf",0,1))&gt;0,"316 Claimed",(IF(A36=TRUE,IF(C37&gt;(E37),(E37),C37),0)+IF(A36=TRUE,IF(D37&gt;(F37),(F37),D37),0))))))</f>
        <v/>
      </c>
      <c r="H37" s="835">
        <f>IF(C37="NR",0,H14)</f>
        <v/>
      </c>
      <c r="I37" s="835">
        <f>IF(D37="NR",0,I14)</f>
        <v/>
      </c>
      <c r="J37" s="836">
        <f>IF(A14=TRUE,(IF(C37&lt;H37,C37,H37)+IF(A37=TRUE,IF(D37&lt;I37,D37,I37))),0)</f>
        <v/>
      </c>
      <c r="K37" s="836">
        <f>IF(A14=TRUE,((IF(C37="NR",0,IF(C37-H37&gt;'Spouse or common-law partner am'!J98,'Spouse or common-law partner am'!J98,(IF(C37&lt;H37,0,(C37-H37))))))),0)</f>
        <v/>
      </c>
      <c r="L37" s="17" t="n">
        <v>2017</v>
      </c>
      <c r="M37" s="15">
        <f>IF(C37="NR","NR",_xlfn.XLOOKUP($C$28,Clients!D:D,Clients!FFB:FFB,"2",0,1))</f>
        <v/>
      </c>
      <c r="N37" s="46">
        <f>_xlfn.XLOOKUP($C$28,Clients!D:D,Clients!FFA:FFA,"2",0,1)</f>
        <v/>
      </c>
      <c r="O37" s="35">
        <f>IF((_xlfn.XLOOKUP($C$28,Clients!D:D,Clients!FNB:FNB,"2",0,1))&gt;1,"WITB","-")</f>
        <v/>
      </c>
      <c r="P37" s="791" t="n"/>
      <c r="Q37" s="259" t="inlineStr">
        <is>
          <t>DEPENDENT 1</t>
        </is>
      </c>
      <c r="R37" s="260">
        <f>(_xlfn.XLOOKUP($C$28,Clients!D:D,Clients!W:W,2,0,1))</f>
        <v/>
      </c>
      <c r="S37" s="791" t="n"/>
    </row>
    <row r="38" ht="16.15" customHeight="1">
      <c r="A38" s="60">
        <f>A15</f>
        <v/>
      </c>
      <c r="B38" s="300" t="n">
        <v>2016</v>
      </c>
      <c r="C38" s="835">
        <f>IF(_xlfn.XLOOKUP(TransferNumber,Clients!D:D,Clients!GFB:GFB,"ERROR",0,1)="Not Filed","NR",IF(_xlfn.XLOOKUP(TransferNumber,Clients!D:D,Clients!GFB:GFB,"ERROR",0,1)="NOT EXPANDED","Filed, Not Expanded",_xlfn.XLOOKUP(TransferNumber,Clients!D:D,Clients!GMK:GMK,0,0,1)))</f>
        <v/>
      </c>
      <c r="D38" s="835">
        <f>IF(_xlfn.XLOOKUP(TransferNumber,Clients!D:D,Clients!GFB:GFB,"ERROR",0,1)="Not Filed","NR",(_xlfn.XLOOKUP(TransferNumber,Clients!D:D,Clients!GMO:GMO,2,0,1))-(_xlfn.XLOOKUP(TransferNumber,Clients!D:D,Clients!GFJ:GFJ,2,0,1)))</f>
        <v/>
      </c>
      <c r="E38" s="832" t="n">
        <v>1200</v>
      </c>
      <c r="F38" s="832" t="n"/>
      <c r="G38" s="833">
        <f>(IF(C38="NR",0,(IF((_xlfn.XLOOKUP($C$5,Clients!D:D,Clients!GJT:GJT,"nf",0,1))&gt;0,"316 Claimed",(IF(A37=TRUE,IF(C38&gt;(E38),(E38),C38),0)+IF(A37=TRUE,IF(D38&gt;(F38),(F38),D38),0))))))</f>
        <v/>
      </c>
      <c r="H38" s="835">
        <f>IF(C38="NR",0,H15)</f>
        <v/>
      </c>
      <c r="I38" s="835">
        <f>IF(D38="NR",0,I15)</f>
        <v/>
      </c>
      <c r="J38" s="836">
        <f>IF(A15=TRUE,(IF(C38&lt;H38,C38,H38)+IF(A38=TRUE,IF(D38&lt;I38,D38,I38))),0)</f>
        <v/>
      </c>
      <c r="K38" s="836">
        <f>IF(A15=TRUE,((IF(C38="NR",0,IF(C38-H38&gt;'Spouse or common-law partner am'!J113,'Spouse or common-law partner am'!J113,(IF(C38&lt;H38,0,(C38-H38))))))),0)</f>
        <v/>
      </c>
      <c r="L38" s="17" t="n">
        <v>2016</v>
      </c>
      <c r="M38" s="15">
        <f>IF(C38="NR","NR",_xlfn.XLOOKUP($C$28,Clients!D:D,Clients!GFD:GFD,"2",0,1))</f>
        <v/>
      </c>
      <c r="N38" s="46">
        <f>_xlfn.XLOOKUP($C$28,Clients!D:D,Clients!GFC:GFC,"2",0,1)</f>
        <v/>
      </c>
      <c r="O38" s="35">
        <f>IF((_xlfn.XLOOKUP($C$28,Clients!D:D,Clients!GND:GND,"2",0,1))&gt;1,"WITB","-")</f>
        <v/>
      </c>
      <c r="P38" s="791" t="n"/>
      <c r="Q38" s="255">
        <f>(_xlfn.XLOOKUP($C$28,Clients!D:D,Clients!X:X,2,0,1))</f>
        <v/>
      </c>
      <c r="R38" s="257">
        <f>(_xlfn.XLOOKUP($C$28,Clients!D:D,Clients!Y:Y,2,0,1))</f>
        <v/>
      </c>
      <c r="S38" s="791" t="n"/>
    </row>
    <row r="39" ht="16.15" customHeight="1" thickBot="1">
      <c r="A39" s="60">
        <f>A16</f>
        <v/>
      </c>
      <c r="B39" s="300" t="n">
        <v>2015</v>
      </c>
      <c r="C39" s="835">
        <f>IF(_xlfn.XLOOKUP(TransferNumber,Clients!D:D,Clients!HFD:HFD,"ERROR",0,1)="Not Filed","NR",IF(_xlfn.XLOOKUP(TransferNumber,Clients!D:D,Clients!HFD:HFD,"ERROR",0,1)="NOT EXPANDED","Filed, Not Expanded",_xlfn.XLOOKUP(TransferNumber,Clients!D:D,Clients!HMM:HMM,0,0,1)))</f>
        <v/>
      </c>
      <c r="D39" s="835">
        <f>IF(_xlfn.XLOOKUP(TransferNumber,Clients!D:D,Clients!HFD:HFD,"ERROR",0,1)="Not Filed","NR",(_xlfn.XLOOKUP(TransferNumber,Clients!D:D,Clients!HMQ:HMQ,2,0,1))-(_xlfn.XLOOKUP(TransferNumber,Clients!D:D,Clients!HFL:HFL,2,0,1)))</f>
        <v/>
      </c>
      <c r="E39" s="832" t="n">
        <v>1185</v>
      </c>
      <c r="F39" s="832" t="n"/>
      <c r="G39" s="833">
        <f>(IF(C39="NR",0,(IF((_xlfn.XLOOKUP($C$5,Clients!D:D,Clients!HJV:HJV,"nf",0,1))&gt;0,"316 Claimed",(IF(A38=TRUE,IF(C39&gt;(E39),(E39),C39),0)+IF(A38=TRUE,IF(D39&gt;(F39),(F39),D39),0))))))</f>
        <v/>
      </c>
      <c r="H39" s="835">
        <f>IF(C39="NR",0,H16)</f>
        <v/>
      </c>
      <c r="I39" s="835">
        <f>IF(D39="NR",0,I16)</f>
        <v/>
      </c>
      <c r="J39" s="836">
        <f>IF(A16=TRUE,(IF(C39&lt;H39,C39,H39)+IF(A39=TRUE,IF(D39&lt;I39,D39,I39))),0)</f>
        <v/>
      </c>
      <c r="K39" s="836">
        <f>IF(A16=TRUE,((IF(C39="NR",0,IF(C39-H39&gt;'Spouse or common-law partner am'!J128,'Spouse or common-law partner am'!J128,(IF(C39&lt;H39,0,(C39-H39))))))),0)</f>
        <v/>
      </c>
      <c r="L39" s="17" t="n">
        <v>2015</v>
      </c>
      <c r="M39" s="15">
        <f>IF(C39="NR","NR",_xlfn.XLOOKUP($C$28,Clients!D:D,Clients!HFF:HFF,"2",0,1))</f>
        <v/>
      </c>
      <c r="N39" s="46">
        <f>_xlfn.XLOOKUP($C$28,Clients!D:D,Clients!HFE:HFE,"2",0,1)</f>
        <v/>
      </c>
      <c r="O39" s="35">
        <f>IF((_xlfn.XLOOKUP($C$28,Clients!D:D,Clients!HNF:HNF,"2",0,1))&gt;1,"WITB","-")</f>
        <v/>
      </c>
      <c r="P39" s="791" t="n"/>
      <c r="Q39" s="808">
        <f>(_xlfn.XLOOKUP($C$28,Clients!D:D,Clients!U:U,2,0,1))</f>
        <v/>
      </c>
      <c r="R39" s="191" t="n"/>
      <c r="S39" s="791" t="n"/>
    </row>
    <row r="40" ht="16.15" customHeight="1">
      <c r="A40" s="60">
        <f>A17</f>
        <v/>
      </c>
      <c r="B40" s="300" t="n">
        <v>2014</v>
      </c>
      <c r="C40" s="835">
        <f>IF(_xlfn.XLOOKUP(TransferNumber,Clients!D:D,Clients!IFF:IFF,"ERROR",0,1)="Not Filed","NR",IF(_xlfn.XLOOKUP(TransferNumber,Clients!D:D,Clients!IFF:IFF,"ERROR",0,1)="NOT EXPANDED","Filed, Not Expanded",_xlfn.XLOOKUP(TransferNumber,Clients!D:D,Clients!IMO:IMO,0,0,1)))</f>
        <v/>
      </c>
      <c r="D40" s="835">
        <f>IF(_xlfn.XLOOKUP(TransferNumber,Clients!D:D,Clients!IFF:IFF,"ERROR",0,1)="Not Filed","NR",(_xlfn.XLOOKUP(TransferNumber,Clients!D:D,Clients!IMS:IMS,2,0,1))-(_xlfn.XLOOKUP(TransferNumber,Clients!D:D,Clients!IFN:IFN,2,0,1)))</f>
        <v/>
      </c>
      <c r="E40" s="832" t="n">
        <v>1164.9</v>
      </c>
      <c r="F40" s="832" t="n"/>
      <c r="G40" s="833">
        <f>(IF(C40="NR",0,(IF((_xlfn.XLOOKUP($C$5,Clients!D:D,Clients!IJX:IJX,"nf",0,1))&gt;0,"316 Claimed",(IF(A39=TRUE,IF(C40&gt;(E40),(E40),C40),0)+IF(A39=TRUE,IF(D40&gt;(F40),(F40),D40),0))))))</f>
        <v/>
      </c>
      <c r="H40" s="835">
        <f>IF(C40="NR",0,H17)</f>
        <v/>
      </c>
      <c r="I40" s="835">
        <f>IF(D40="NR",0,I17)</f>
        <v/>
      </c>
      <c r="J40" s="836">
        <f>IF(A17=TRUE,(IF(C40&lt;H40,C40,H40)+IF(A40=TRUE,IF(D40&lt;I40,D40,I40))),0)</f>
        <v/>
      </c>
      <c r="K40" s="836">
        <f>IF(A17=TRUE,((IF(C40="NR",0,IF(C40-H40&gt;'Spouse or common-law partner am'!J143,'Spouse or common-law partner am'!J143,(IF(C40&lt;H40,0,(C40-H40))))))),0)</f>
        <v/>
      </c>
      <c r="L40" s="17" t="n">
        <v>2014</v>
      </c>
      <c r="M40" s="15">
        <f>IF(C40="NR","NR",_xlfn.XLOOKUP($C$28,Clients!D:D,Clients!IFH:IFH,"2",0,1))</f>
        <v/>
      </c>
      <c r="N40" s="46">
        <f>_xlfn.XLOOKUP($C$28,Clients!D:D,Clients!IFG:IFG,"2",0,1)</f>
        <v/>
      </c>
      <c r="O40" s="35">
        <f>IF(_xlfn.XLOOKUP($C$28,Clients!D:D,Clients!INH:INH,"2",0,1)&gt;1,"WITB","-")</f>
        <v/>
      </c>
      <c r="P40" s="791" t="n"/>
      <c r="Q40" s="259" t="inlineStr">
        <is>
          <t>DEPENDENT 2</t>
        </is>
      </c>
      <c r="R40" s="260">
        <f>(_xlfn.XLOOKUP($C$28,Clients!D:D,Clients!Z:Z,2,0,1))</f>
        <v/>
      </c>
      <c r="S40" s="791" t="n"/>
    </row>
    <row r="41" ht="16.5" customHeight="1" thickBot="1">
      <c r="B41" s="301" t="n"/>
      <c r="C41" s="14" t="n"/>
      <c r="D41" s="14" t="n"/>
      <c r="E41" s="14" t="n"/>
      <c r="F41" s="85" t="inlineStr">
        <is>
          <t>Sub-Total</t>
        </is>
      </c>
      <c r="G41" s="839" t="inlineStr">
        <is>
          <t>TOTAL</t>
        </is>
      </c>
      <c r="H41" s="840">
        <f>SUM(H31:H40)</f>
        <v/>
      </c>
      <c r="I41" s="841">
        <f>SUM(I31:I40)</f>
        <v/>
      </c>
      <c r="J41" s="842">
        <f>SUM(J31:J40)</f>
        <v/>
      </c>
      <c r="K41" s="305">
        <f>SUM(K31:K40)</f>
        <v/>
      </c>
      <c r="L41" s="814" t="n"/>
      <c r="M41" s="35" t="n"/>
      <c r="N41" s="817" t="n"/>
      <c r="O41" s="265" t="n"/>
      <c r="P41" s="791" t="n"/>
      <c r="Q41" s="255">
        <f>(_xlfn.XLOOKUP($C$28,Clients!D:D,Clients!AC:AC,2,0,1))</f>
        <v/>
      </c>
      <c r="R41" s="257">
        <f>(_xlfn.XLOOKUP($C$28,Clients!D:D,Clients!AD:AD,2,0,1))</f>
        <v/>
      </c>
      <c r="S41" s="791" t="n"/>
    </row>
    <row r="42" ht="19.9" customHeight="1" thickBot="1">
      <c r="B42" s="843" t="n"/>
      <c r="C42" s="74" t="n"/>
      <c r="D42" s="258" t="n"/>
      <c r="E42" s="819" t="inlineStr">
        <is>
          <t>Caregiver Value</t>
        </is>
      </c>
      <c r="F42" s="780" t="n"/>
      <c r="G42" s="844">
        <f>K41</f>
        <v/>
      </c>
      <c r="H42" s="74" t="n"/>
      <c r="I42" s="258" t="n"/>
      <c r="J42" s="845">
        <f>J41*0.2</f>
        <v/>
      </c>
      <c r="K42" s="846">
        <f>K41*0.2</f>
        <v/>
      </c>
      <c r="L42" s="34" t="n"/>
      <c r="M42" s="35" t="n"/>
      <c r="N42" s="817" t="n"/>
      <c r="O42" s="265" t="n"/>
      <c r="P42" s="791" t="n"/>
      <c r="Q42" s="808">
        <f>(_xlfn.XLOOKUP($C$28,Clients!D:D,Clients!AB:AB,2,0,1))</f>
        <v/>
      </c>
      <c r="R42" s="191" t="n"/>
      <c r="S42" s="791" t="n"/>
    </row>
    <row r="43" ht="21" customHeight="1" thickBot="1">
      <c r="B43" s="34" t="n"/>
      <c r="D43" s="35" t="n"/>
      <c r="E43" s="847" t="inlineStr">
        <is>
          <t>Transfer Value</t>
        </is>
      </c>
      <c r="F43" s="191" t="n"/>
      <c r="G43" s="848">
        <f>J41</f>
        <v/>
      </c>
      <c r="H43" s="778" t="n"/>
      <c r="I43" s="780" t="n"/>
      <c r="J43" s="791" t="n"/>
      <c r="K43" s="35" t="n"/>
      <c r="L43" s="34" t="n"/>
      <c r="M43" s="35" t="n"/>
      <c r="N43" s="817" t="n"/>
      <c r="O43" s="265" t="n"/>
      <c r="P43" s="791" t="n"/>
      <c r="Q43" s="261" t="inlineStr">
        <is>
          <t>DEPENDENT 3</t>
        </is>
      </c>
      <c r="R43" s="262">
        <f>(_xlfn.XLOOKUP($C$28,Clients!D:D,Clients!AE:AE,2,0,1))</f>
        <v/>
      </c>
      <c r="S43" s="791" t="n"/>
    </row>
    <row r="44" ht="22.15" customHeight="1" thickBot="1">
      <c r="B44" s="34" t="n"/>
      <c r="D44" s="35" t="n"/>
      <c r="E44" s="819" t="inlineStr">
        <is>
          <t>Transfer Claim Value</t>
        </is>
      </c>
      <c r="F44" s="780" t="n"/>
      <c r="G44" s="848">
        <f>G42+G43</f>
        <v/>
      </c>
      <c r="H44" s="778" t="n"/>
      <c r="I44" s="780" t="n"/>
      <c r="J44" s="791" t="n"/>
      <c r="K44" s="35" t="n"/>
      <c r="L44" s="34" t="n"/>
      <c r="M44" s="35" t="n"/>
      <c r="N44" s="817" t="n"/>
      <c r="O44" s="265" t="n"/>
      <c r="P44" s="791" t="n"/>
      <c r="Q44" s="255">
        <f>(_xlfn.XLOOKUP($C$28,Clients!D:D,Clients!AH:AH,2,0,1))</f>
        <v/>
      </c>
      <c r="R44" s="257">
        <f>(_xlfn.XLOOKUP($C$28,Clients!D:D,Clients!AI:AI,2,0,1))</f>
        <v/>
      </c>
      <c r="S44" s="791" t="n"/>
    </row>
    <row r="45" ht="19.9" customHeight="1" thickBot="1">
      <c r="B45" s="42" t="n"/>
      <c r="C45" s="41" t="n"/>
      <c r="D45" s="191" t="n"/>
      <c r="E45" s="847" t="inlineStr">
        <is>
          <t>Projected Revenue</t>
        </is>
      </c>
      <c r="F45" s="191" t="n"/>
      <c r="G45" s="849">
        <f>G44*0.2</f>
        <v/>
      </c>
      <c r="H45" s="41" t="n"/>
      <c r="I45" s="191" t="n"/>
      <c r="J45" s="790" t="n"/>
      <c r="K45" s="191" t="n"/>
      <c r="L45" s="42" t="n"/>
      <c r="M45" s="191" t="n"/>
      <c r="N45" s="824" t="n"/>
      <c r="O45" s="266" t="n"/>
      <c r="P45" s="790" t="n"/>
      <c r="Q45" s="808">
        <f>(_xlfn.XLOOKUP($C$28,Clients!D:D,Clients!AG:AG,2,0,1))</f>
        <v/>
      </c>
      <c r="R45" s="191" t="n"/>
      <c r="S45" s="790" t="n"/>
    </row>
    <row r="46">
      <c r="B46" s="593" t="n"/>
      <c r="C46" s="74" t="n"/>
      <c r="D46" s="74" t="n"/>
      <c r="E46" s="74" t="n"/>
      <c r="F46" s="74" t="n"/>
      <c r="G46" s="74" t="n"/>
      <c r="H46" s="74" t="n"/>
      <c r="I46" s="74" t="n"/>
      <c r="J46" s="74" t="n"/>
      <c r="K46" s="74" t="n"/>
      <c r="L46" s="74" t="n"/>
      <c r="M46" s="74" t="n"/>
      <c r="N46" s="74" t="n"/>
      <c r="O46" s="74" t="n"/>
      <c r="P46" s="256" t="n"/>
    </row>
    <row r="47">
      <c r="B47" s="2" t="b">
        <v>0</v>
      </c>
      <c r="G47" s="850" t="n"/>
      <c r="H47" s="851" t="n"/>
    </row>
    <row r="48">
      <c r="E48" s="21" t="n"/>
      <c r="G48" s="852" t="n"/>
      <c r="H48" s="852" t="n"/>
    </row>
    <row r="76">
      <c r="E76" s="21" t="n"/>
      <c r="G76" s="21" t="n"/>
    </row>
    <row r="77">
      <c r="E77" s="21" t="n"/>
      <c r="G77" s="21" t="n"/>
      <c r="H77" s="21" t="n"/>
    </row>
    <row r="78">
      <c r="E78" s="21" t="n"/>
      <c r="G78" s="21" t="n"/>
      <c r="H78" s="21" t="n"/>
    </row>
    <row r="79">
      <c r="E79" s="21" t="n"/>
      <c r="G79" s="21" t="n"/>
      <c r="H79" s="21" t="n"/>
    </row>
    <row r="80">
      <c r="E80" s="21" t="n"/>
      <c r="G80" s="21" t="n"/>
      <c r="H80" s="21" t="n"/>
    </row>
    <row r="81">
      <c r="E81" s="21" t="n"/>
      <c r="G81" s="21" t="n"/>
      <c r="H81" s="21" t="n"/>
    </row>
    <row r="349" ht="15.75" customHeight="1" thickBot="1"/>
    <row r="350" ht="15.75" customHeight="1" thickBot="1">
      <c r="E350" s="2" t="inlineStr">
        <is>
          <t>good</t>
        </is>
      </c>
      <c r="F350" s="6" t="inlineStr">
        <is>
          <t>Your account balance: $0.00</t>
        </is>
      </c>
      <c r="G350" s="2" t="inlineStr">
        <is>
          <t xml:space="preserve"> LESTER WILLIAMS
Year Status
2009 - 2016 You are eligible to claim the disability tax credit for yourself.
TYSON WILLIAMS (dependant 1)
Year </t>
        </is>
      </c>
      <c r="H350" s="2" t="inlineStr">
        <is>
          <t>nr</t>
        </is>
      </c>
      <c r="I350" s="2" t="inlineStr">
        <is>
          <t>nr</t>
        </is>
      </c>
      <c r="L350" s="2" t="inlineStr">
        <is>
          <t>nr</t>
        </is>
      </c>
      <c r="M350" s="2" t="inlineStr">
        <is>
          <t xml:space="preserve"> SEPARATED  -  BC</t>
        </is>
      </c>
      <c r="T350" s="2" t="inlineStr">
        <is>
          <t xml:space="preserve"> SEPARATED  -  BC</t>
        </is>
      </c>
      <c r="U350" s="853" t="n">
        <v>23684.45</v>
      </c>
      <c r="V350" s="854" t="n">
        <v>11273.19</v>
      </c>
      <c r="W350" s="2" t="inlineStr">
        <is>
          <t xml:space="preserve"> SEPARATED  -  BC</t>
        </is>
      </c>
      <c r="X350" s="853" t="n">
        <v>18600.25</v>
      </c>
      <c r="Y350" s="854" t="n">
        <v>8751.780000000001</v>
      </c>
      <c r="Z350" s="2" t="inlineStr">
        <is>
          <t xml:space="preserve"> MARRIED  -  BC</t>
        </is>
      </c>
      <c r="AA350" s="853" t="n">
        <v>16718.93</v>
      </c>
      <c r="AB350" s="854" t="n">
        <v>8054.39</v>
      </c>
      <c r="AC350" s="2" t="inlineStr">
        <is>
          <t xml:space="preserve"> MARRIED  -  BC</t>
        </is>
      </c>
      <c r="AD350" s="853" t="n">
        <v>12879.44</v>
      </c>
      <c r="AE350" s="854" t="n">
        <v>5652.38</v>
      </c>
      <c r="AF350" s="2" t="inlineStr">
        <is>
          <t xml:space="preserve"> MARRIED  -  BC</t>
        </is>
      </c>
      <c r="AG350" s="853" t="n">
        <v>8341.780000000001</v>
      </c>
      <c r="AH350" s="854" t="n">
        <v>3592.62</v>
      </c>
      <c r="AI350" s="2" t="inlineStr">
        <is>
          <t xml:space="preserve"> MARRIED  -  BC</t>
        </is>
      </c>
      <c r="AJ350" s="853" t="n">
        <v>6708.42</v>
      </c>
      <c r="AK350" s="854" t="n">
        <v>2965.65</v>
      </c>
      <c r="AL350" s="2" t="inlineStr">
        <is>
          <t xml:space="preserve"> MARRIED  -  BC</t>
        </is>
      </c>
      <c r="AM350" s="853" t="n">
        <v>7110.86</v>
      </c>
      <c r="AN350" s="854" t="n">
        <v>2971.66</v>
      </c>
      <c r="AO350" s="2" t="inlineStr">
        <is>
          <t xml:space="preserve"> MARRIED  -  BC</t>
        </is>
      </c>
      <c r="AP350" s="853" t="n">
        <v>7629.8</v>
      </c>
      <c r="AQ350" s="854" t="n">
        <v>3509.3</v>
      </c>
    </row>
    <row r="351" ht="15.75" customHeight="1" thickBot="1">
      <c r="E351" s="2" t="inlineStr">
        <is>
          <t>good</t>
        </is>
      </c>
      <c r="F351" s="6" t="inlineStr">
        <is>
          <t>Your account balance: $0.00</t>
        </is>
      </c>
      <c r="G351" s="2" t="inlineStr">
        <is>
          <t>None</t>
        </is>
      </c>
      <c r="H351" s="2" t="inlineStr">
        <is>
          <t>nr</t>
        </is>
      </c>
      <c r="I351" s="2" t="inlineStr">
        <is>
          <t>nr</t>
        </is>
      </c>
      <c r="L351" s="2" t="inlineStr">
        <is>
          <t>nr</t>
        </is>
      </c>
      <c r="M351" s="2" t="inlineStr">
        <is>
          <t xml:space="preserve"> SINGLE  -  SK</t>
        </is>
      </c>
      <c r="T351" s="2" t="inlineStr">
        <is>
          <t>nr</t>
        </is>
      </c>
      <c r="U351" s="3" t="inlineStr">
        <is>
          <t>nr</t>
        </is>
      </c>
      <c r="V351" s="3" t="inlineStr">
        <is>
          <t>nr</t>
        </is>
      </c>
      <c r="W351" s="2" t="inlineStr">
        <is>
          <t xml:space="preserve"> SINGLE  -  SK</t>
        </is>
      </c>
      <c r="X351" s="3" t="n">
        <v>0</v>
      </c>
      <c r="Y351" s="3" t="n">
        <v>0</v>
      </c>
      <c r="Z351" s="2" t="inlineStr">
        <is>
          <t xml:space="preserve"> SINGLE  -  SK</t>
        </is>
      </c>
      <c r="AA351" s="3" t="n">
        <v>0</v>
      </c>
      <c r="AB351" s="3" t="n">
        <v>0</v>
      </c>
      <c r="AC351" s="2" t="inlineStr">
        <is>
          <t xml:space="preserve"> SINGLE  -  SK</t>
        </is>
      </c>
      <c r="AD351" s="853" t="n">
        <v>10009.63</v>
      </c>
      <c r="AE351" s="854" t="n">
        <v>6166.7</v>
      </c>
      <c r="AF351" s="2" t="inlineStr">
        <is>
          <t xml:space="preserve"> 
  -  SK</t>
        </is>
      </c>
      <c r="AG351" s="853" t="n">
        <v>3686.36</v>
      </c>
      <c r="AH351" s="854" t="n">
        <v>2519.97</v>
      </c>
      <c r="AI351" s="2" t="inlineStr">
        <is>
          <t xml:space="preserve"> SINGLE  -  SK</t>
        </is>
      </c>
      <c r="AJ351" s="853" t="n">
        <v>6932.82</v>
      </c>
      <c r="AK351" s="854" t="n">
        <v>4465.37</v>
      </c>
      <c r="AL351" s="2" t="inlineStr">
        <is>
          <t xml:space="preserve"> SINGLE  -  SK</t>
        </is>
      </c>
      <c r="AM351" s="853" t="n">
        <v>7811.43</v>
      </c>
      <c r="AN351" s="854" t="n">
        <v>4858.72</v>
      </c>
      <c r="AO351" s="2" t="inlineStr">
        <is>
          <t xml:space="preserve"> SINGLE  -  SK</t>
        </is>
      </c>
      <c r="AP351" s="853" t="n">
        <v>6561.31</v>
      </c>
      <c r="AQ351" s="854" t="n">
        <v>4563.73</v>
      </c>
    </row>
    <row r="352" ht="15.75" customHeight="1" thickBot="1">
      <c r="E352" s="2" t="inlineStr">
        <is>
          <t>good</t>
        </is>
      </c>
      <c r="F352" s="6" t="inlineStr">
        <is>
          <t>Your account balance: $362.29 debit</t>
        </is>
      </c>
      <c r="G352" s="2" t="inlineStr">
        <is>
          <t>None</t>
        </is>
      </c>
      <c r="H352" s="2" t="inlineStr">
        <is>
          <t>nr</t>
        </is>
      </c>
      <c r="I352" s="2" t="inlineStr">
        <is>
          <t>nr</t>
        </is>
      </c>
      <c r="L352" s="2" t="inlineStr">
        <is>
          <t>nr</t>
        </is>
      </c>
      <c r="M352" s="2" t="inlineStr">
        <is>
          <t xml:space="preserve"> MARRIED  -  ON</t>
        </is>
      </c>
      <c r="T352" s="2" t="inlineStr">
        <is>
          <t xml:space="preserve"> MARRIED  -  ON</t>
        </is>
      </c>
      <c r="U352" s="853" t="n">
        <v>965.89</v>
      </c>
      <c r="V352" s="854" t="n">
        <v>487.82</v>
      </c>
      <c r="W352" s="2" t="inlineStr">
        <is>
          <t xml:space="preserve"> MARRIED  -  ON</t>
        </is>
      </c>
      <c r="X352" s="853" t="n">
        <v>1060.41</v>
      </c>
      <c r="Y352" s="854" t="n">
        <v>519.55</v>
      </c>
      <c r="Z352" s="2" t="inlineStr">
        <is>
          <t xml:space="preserve"> MARRIED  -  ON</t>
        </is>
      </c>
      <c r="AA352" s="853" t="n">
        <v>1702.26</v>
      </c>
      <c r="AB352" s="854" t="n">
        <v>999.67</v>
      </c>
      <c r="AC352" s="2" t="inlineStr">
        <is>
          <t xml:space="preserve"> MARRIED  -  ON</t>
        </is>
      </c>
      <c r="AD352" s="853" t="n">
        <v>1166.15</v>
      </c>
      <c r="AE352" s="854" t="n">
        <v>553.2</v>
      </c>
      <c r="AF352" s="2" t="inlineStr">
        <is>
          <t xml:space="preserve"> MARRIED  -  ON</t>
        </is>
      </c>
      <c r="AG352" s="853" t="n">
        <v>2056.91</v>
      </c>
      <c r="AH352" s="854" t="n">
        <v>1116.68</v>
      </c>
      <c r="AI352" s="2" t="inlineStr">
        <is>
          <t xml:space="preserve"> MARRIED  -  ON</t>
        </is>
      </c>
      <c r="AJ352" s="3" t="n">
        <v>0</v>
      </c>
      <c r="AK352" s="3" t="n">
        <v>0</v>
      </c>
      <c r="AL352" s="2" t="inlineStr">
        <is>
          <t xml:space="preserve"> MARRIED  -  ON</t>
        </is>
      </c>
      <c r="AM352" s="853" t="n">
        <v>604.15</v>
      </c>
      <c r="AN352" s="854" t="n">
        <v>484.05</v>
      </c>
      <c r="AO352" s="2" t="inlineStr">
        <is>
          <t xml:space="preserve"> MARRIED  -  ON</t>
        </is>
      </c>
      <c r="AP352" s="853" t="n">
        <v>835.52</v>
      </c>
      <c r="AQ352" s="854" t="n">
        <v>461.62</v>
      </c>
    </row>
    <row r="353" ht="15.75" customHeight="1" thickBot="1">
      <c r="E353" s="2" t="inlineStr">
        <is>
          <t>good</t>
        </is>
      </c>
      <c r="F353" s="6" t="inlineStr">
        <is>
          <t>Your account balance: $0.00</t>
        </is>
      </c>
      <c r="G353" s="2" t="inlineStr">
        <is>
          <t>None</t>
        </is>
      </c>
      <c r="H353" s="2" t="inlineStr">
        <is>
          <t>nr</t>
        </is>
      </c>
      <c r="I353" s="2" t="inlineStr">
        <is>
          <t>nr</t>
        </is>
      </c>
      <c r="L353" s="2" t="inlineStr">
        <is>
          <t>nr</t>
        </is>
      </c>
      <c r="M353" s="2" t="inlineStr">
        <is>
          <t xml:space="preserve"> MARRIED  -  ON</t>
        </is>
      </c>
      <c r="T353" s="2" t="inlineStr">
        <is>
          <t xml:space="preserve"> MARRIED  -  ON</t>
        </is>
      </c>
      <c r="U353" s="853" t="n">
        <v>6925.15</v>
      </c>
      <c r="V353" s="854" t="n">
        <v>3413.49</v>
      </c>
      <c r="W353" s="2" t="inlineStr">
        <is>
          <t xml:space="preserve"> MARRIED  -  ON</t>
        </is>
      </c>
      <c r="X353" s="853" t="n">
        <v>11285.65</v>
      </c>
      <c r="Y353" s="853" t="n">
        <v>5471.83</v>
      </c>
      <c r="Z353" s="2" t="inlineStr">
        <is>
          <t xml:space="preserve"> MARRIED  -  ON</t>
        </is>
      </c>
      <c r="AA353" s="853" t="n">
        <v>11823.26</v>
      </c>
      <c r="AB353" s="853" t="n">
        <v>5755.81</v>
      </c>
      <c r="AC353" s="2" t="inlineStr">
        <is>
          <t xml:space="preserve"> MARRIED  -  ON</t>
        </is>
      </c>
      <c r="AD353" s="853" t="n">
        <v>8028.4</v>
      </c>
      <c r="AE353" s="853" t="n">
        <v>3901.17</v>
      </c>
      <c r="AF353" s="2" t="inlineStr">
        <is>
          <t xml:space="preserve"> MARRIED  -  ON</t>
        </is>
      </c>
      <c r="AG353" s="853" t="n">
        <v>9509.889999999999</v>
      </c>
      <c r="AH353" s="853" t="n">
        <v>4527.57</v>
      </c>
      <c r="AI353" s="2" t="inlineStr">
        <is>
          <t xml:space="preserve"> MARRIED  -  ON</t>
        </is>
      </c>
      <c r="AJ353" s="853" t="n">
        <v>7108.86</v>
      </c>
      <c r="AK353" s="853" t="n">
        <v>3779.38</v>
      </c>
      <c r="AL353" s="2" t="inlineStr">
        <is>
          <t xml:space="preserve"> MARRIED  -  ON</t>
        </is>
      </c>
      <c r="AM353" s="853" t="n">
        <v>10329.39</v>
      </c>
      <c r="AN353" s="853" t="n">
        <v>5081.21</v>
      </c>
      <c r="AO353" s="2" t="inlineStr">
        <is>
          <t xml:space="preserve"> MARRIED  -  ON</t>
        </is>
      </c>
      <c r="AP353" s="853" t="n">
        <v>10716.3</v>
      </c>
      <c r="AQ353" s="853" t="n">
        <v>5292.7</v>
      </c>
    </row>
    <row r="354" ht="15.75" customHeight="1" thickBot="1">
      <c r="E354" s="2" t="inlineStr">
        <is>
          <t>good</t>
        </is>
      </c>
      <c r="F354" s="6" t="inlineStr">
        <is>
          <t>Your account balance: $785.48 debit</t>
        </is>
      </c>
      <c r="G354" s="2" t="inlineStr">
        <is>
          <t>None</t>
        </is>
      </c>
      <c r="H354" s="2" t="inlineStr">
        <is>
          <t>nr</t>
        </is>
      </c>
      <c r="I354" s="2" t="inlineStr">
        <is>
          <t>nr</t>
        </is>
      </c>
      <c r="L354" s="2" t="inlineStr">
        <is>
          <t>nr</t>
        </is>
      </c>
      <c r="M354" s="2" t="inlineStr">
        <is>
          <t xml:space="preserve"> SINGLE  -  BC</t>
        </is>
      </c>
      <c r="T354" s="2" t="inlineStr">
        <is>
          <t xml:space="preserve"> SINGLE  -  BC</t>
        </is>
      </c>
      <c r="U354" s="853" t="n">
        <v>1920.71</v>
      </c>
      <c r="V354" s="853" t="n">
        <v>524.46</v>
      </c>
      <c r="W354" s="2" t="inlineStr">
        <is>
          <t xml:space="preserve"> SINGLE  -  BC</t>
        </is>
      </c>
      <c r="X354" s="853" t="n">
        <v>2845.44</v>
      </c>
      <c r="Y354" s="853" t="n">
        <v>999.0599999999999</v>
      </c>
      <c r="Z354" s="2" t="inlineStr">
        <is>
          <t xml:space="preserve"> SINGLE  -  BC</t>
        </is>
      </c>
      <c r="AA354" s="853" t="n">
        <v>4445.49</v>
      </c>
      <c r="AB354" s="853" t="n">
        <v>1617.33</v>
      </c>
      <c r="AC354" s="2" t="inlineStr">
        <is>
          <t xml:space="preserve"> SINGLE  -  BC</t>
        </is>
      </c>
      <c r="AD354" s="853" t="n">
        <v>4573.6</v>
      </c>
      <c r="AE354" s="853" t="n">
        <v>1660.09</v>
      </c>
      <c r="AF354" s="2" t="inlineStr">
        <is>
          <t xml:space="preserve"> SINGLE  -  BC</t>
        </is>
      </c>
      <c r="AG354" s="853" t="n">
        <v>5867.92</v>
      </c>
      <c r="AH354" s="853" t="n">
        <v>2103.44</v>
      </c>
      <c r="AI354" s="2" t="inlineStr">
        <is>
          <t xml:space="preserve"> SINGLE  -  BC</t>
        </is>
      </c>
      <c r="AJ354" s="853" t="n">
        <v>3092.55</v>
      </c>
      <c r="AK354" s="853" t="n">
        <v>1085.57</v>
      </c>
      <c r="AL354" s="2" t="inlineStr">
        <is>
          <t>nr</t>
        </is>
      </c>
      <c r="AM354" s="3" t="inlineStr">
        <is>
          <t>nr</t>
        </is>
      </c>
      <c r="AN354" s="3" t="inlineStr">
        <is>
          <t>nr</t>
        </is>
      </c>
      <c r="AO354" s="2" t="inlineStr">
        <is>
          <t>nr</t>
        </is>
      </c>
      <c r="AP354" s="3" t="inlineStr">
        <is>
          <t>nr</t>
        </is>
      </c>
      <c r="AQ354" s="3" t="inlineStr">
        <is>
          <t>nr</t>
        </is>
      </c>
    </row>
    <row r="355" ht="15.75" customHeight="1" thickBot="1">
      <c r="E355" s="2" t="inlineStr">
        <is>
          <t>good</t>
        </is>
      </c>
      <c r="F355" s="6" t="inlineStr">
        <is>
          <t>Your account balance: $0.00</t>
        </is>
      </c>
      <c r="G355" s="2" t="inlineStr">
        <is>
          <t>None</t>
        </is>
      </c>
      <c r="H355" s="2" t="inlineStr">
        <is>
          <t>nr</t>
        </is>
      </c>
      <c r="I355" s="2" t="inlineStr">
        <is>
          <t>nr</t>
        </is>
      </c>
      <c r="L355" s="2" t="inlineStr">
        <is>
          <t>nr</t>
        </is>
      </c>
      <c r="M355" s="2" t="inlineStr">
        <is>
          <t xml:space="preserve"> MARRIED  -  BC</t>
        </is>
      </c>
      <c r="T355" s="2" t="inlineStr">
        <is>
          <t xml:space="preserve"> MARRIED  -  BC</t>
        </is>
      </c>
      <c r="U355" s="853" t="n">
        <v>3252.27</v>
      </c>
      <c r="V355" s="854" t="n">
        <v>1471.76</v>
      </c>
      <c r="W355" s="2" t="inlineStr">
        <is>
          <t xml:space="preserve"> MARRIED  -  BC</t>
        </is>
      </c>
      <c r="X355" s="853" t="n">
        <v>1951.36</v>
      </c>
      <c r="Y355" s="854" t="n">
        <v>863.17</v>
      </c>
      <c r="Z355" s="2" t="inlineStr">
        <is>
          <t xml:space="preserve"> MARRIED  -  BC</t>
        </is>
      </c>
      <c r="AA355" s="853" t="n">
        <v>1653.19</v>
      </c>
      <c r="AB355" s="854" t="n">
        <v>688.38</v>
      </c>
      <c r="AC355" s="2" t="inlineStr">
        <is>
          <t xml:space="preserve"> MARRIED  -  BC</t>
        </is>
      </c>
      <c r="AD355" s="853" t="n">
        <v>1891.47</v>
      </c>
      <c r="AE355" s="854" t="n">
        <v>799.62</v>
      </c>
      <c r="AF355" s="2" t="inlineStr">
        <is>
          <t xml:space="preserve"> MARRIED  -  BC</t>
        </is>
      </c>
      <c r="AG355" s="853" t="n">
        <v>2853.32</v>
      </c>
      <c r="AH355" s="854" t="n">
        <v>1180.61</v>
      </c>
      <c r="AI355" s="2" t="inlineStr">
        <is>
          <t xml:space="preserve"> MARRIED  -  BC</t>
        </is>
      </c>
      <c r="AJ355" s="853" t="n">
        <v>2363.04</v>
      </c>
      <c r="AK355" s="854" t="n">
        <v>1017.19</v>
      </c>
      <c r="AL355" s="2" t="inlineStr">
        <is>
          <t xml:space="preserve"> MARRIED  -  BC</t>
        </is>
      </c>
      <c r="AM355" s="853" t="n">
        <v>2571.39</v>
      </c>
      <c r="AN355" s="854" t="n">
        <v>997.02</v>
      </c>
      <c r="AO355" s="2" t="inlineStr">
        <is>
          <t xml:space="preserve"> MARRIED  -  BC</t>
        </is>
      </c>
      <c r="AP355" s="853" t="n">
        <v>2466.09</v>
      </c>
      <c r="AQ355" s="854" t="n">
        <v>1101.4</v>
      </c>
    </row>
    <row r="356" ht="15.75" customHeight="1" thickBot="1">
      <c r="E356" s="2" t="inlineStr">
        <is>
          <t>good</t>
        </is>
      </c>
      <c r="F356" s="6" t="inlineStr">
        <is>
          <t>Your account balance: $0.00</t>
        </is>
      </c>
      <c r="G356" s="2" t="inlineStr">
        <is>
          <t>None</t>
        </is>
      </c>
      <c r="H356" s="2" t="inlineStr">
        <is>
          <t>nr</t>
        </is>
      </c>
      <c r="I356" s="2" t="inlineStr">
        <is>
          <t>nr</t>
        </is>
      </c>
      <c r="L356" s="2" t="inlineStr">
        <is>
          <t>nr</t>
        </is>
      </c>
      <c r="M356" s="2" t="inlineStr">
        <is>
          <t xml:space="preserve"> WIDOWED  -  AB</t>
        </is>
      </c>
      <c r="T356" s="2" t="inlineStr">
        <is>
          <t xml:space="preserve"> WIDOWED  -  AB</t>
        </is>
      </c>
      <c r="U356" s="853" t="n">
        <v>2347.6</v>
      </c>
      <c r="V356" s="854" t="n">
        <v>301.8</v>
      </c>
      <c r="W356" s="2" t="inlineStr">
        <is>
          <t xml:space="preserve"> MARRIED  -  MB</t>
        </is>
      </c>
      <c r="X356" s="3" t="n">
        <v>0</v>
      </c>
      <c r="Y356" s="3" t="n">
        <v>0</v>
      </c>
      <c r="Z356" s="2" t="inlineStr">
        <is>
          <t xml:space="preserve"> MARRIED  -  MB</t>
        </is>
      </c>
      <c r="AA356" s="3" t="n">
        <v>0</v>
      </c>
      <c r="AB356" s="3" t="n">
        <v>0</v>
      </c>
      <c r="AC356" s="2" t="inlineStr">
        <is>
          <t xml:space="preserve"> MARRIED  -  MB</t>
        </is>
      </c>
      <c r="AD356" s="3" t="n">
        <v>0</v>
      </c>
      <c r="AE356" s="3" t="n">
        <v>0</v>
      </c>
      <c r="AF356" s="2" t="inlineStr">
        <is>
          <t xml:space="preserve"> MARRIED  -  MB</t>
        </is>
      </c>
      <c r="AG356" s="3" t="n">
        <v>0</v>
      </c>
      <c r="AH356" s="853" t="n">
        <v>405.5</v>
      </c>
      <c r="AI356" s="2" t="inlineStr">
        <is>
          <t xml:space="preserve"> MARRIED  -  MB</t>
        </is>
      </c>
      <c r="AJ356" s="3" t="n">
        <v>0</v>
      </c>
      <c r="AK356" s="853" t="n">
        <v>195.73</v>
      </c>
      <c r="AL356" s="2" t="inlineStr">
        <is>
          <t xml:space="preserve"> MARRIED  -  MB</t>
        </is>
      </c>
      <c r="AM356" s="853" t="n">
        <v>104.46</v>
      </c>
      <c r="AN356" s="854" t="n">
        <v>518.13</v>
      </c>
      <c r="AO356" s="2" t="inlineStr">
        <is>
          <t xml:space="preserve"> MARRIED  -  MB</t>
        </is>
      </c>
      <c r="AP356" s="853" t="n">
        <v>65</v>
      </c>
      <c r="AQ356" s="854" t="n">
        <v>523.77</v>
      </c>
    </row>
    <row r="357" ht="15.75" customHeight="1" thickBot="1">
      <c r="E357" s="2" t="inlineStr">
        <is>
          <t>good</t>
        </is>
      </c>
      <c r="F357" s="6" t="inlineStr">
        <is>
          <t>Your account balance: $0.00</t>
        </is>
      </c>
      <c r="G357" s="2" t="inlineStr">
        <is>
          <t>None</t>
        </is>
      </c>
      <c r="H357" s="2" t="inlineStr">
        <is>
          <t xml:space="preserve"> MARRIED  -  ON</t>
        </is>
      </c>
      <c r="I357" s="853" t="n">
        <v>8014.58</v>
      </c>
      <c r="J357" s="853" t="n"/>
      <c r="K357" s="853" t="n"/>
      <c r="L357" s="854" t="n">
        <v>4091.47</v>
      </c>
      <c r="M357" s="2" t="inlineStr">
        <is>
          <t xml:space="preserve"> MARRIED  -  ON</t>
        </is>
      </c>
      <c r="T357" s="2" t="inlineStr">
        <is>
          <t xml:space="preserve"> MARRIED  -  ON</t>
        </is>
      </c>
      <c r="U357" s="853" t="n">
        <v>10029.83</v>
      </c>
      <c r="V357" s="854" t="n">
        <v>4723.31</v>
      </c>
      <c r="W357" s="2" t="inlineStr">
        <is>
          <t xml:space="preserve"> MARRIED  -  ON</t>
        </is>
      </c>
      <c r="X357" s="853" t="n">
        <v>9511.9</v>
      </c>
      <c r="Y357" s="854" t="n">
        <v>4509.34</v>
      </c>
      <c r="Z357" s="2" t="inlineStr">
        <is>
          <t xml:space="preserve"> MARRIED  -  ON</t>
        </is>
      </c>
      <c r="AA357" s="853" t="n">
        <v>9615.440000000001</v>
      </c>
      <c r="AB357" s="854" t="n">
        <v>4549.65</v>
      </c>
      <c r="AC357" s="2" t="inlineStr">
        <is>
          <t xml:space="preserve"> MARRIED  -  ON</t>
        </is>
      </c>
      <c r="AD357" s="853" t="n">
        <v>9086.98</v>
      </c>
      <c r="AE357" s="854" t="n">
        <v>4358.54</v>
      </c>
      <c r="AF357" s="2" t="inlineStr">
        <is>
          <t xml:space="preserve"> MARRIED  -  ON</t>
        </is>
      </c>
      <c r="AG357" s="853" t="n">
        <v>9163.469999999999</v>
      </c>
      <c r="AH357" s="854" t="n">
        <v>4393.63</v>
      </c>
      <c r="AI357" s="2" t="inlineStr">
        <is>
          <t xml:space="preserve"> MARRIED  -  ON</t>
        </is>
      </c>
      <c r="AJ357" s="853" t="n">
        <v>8641.049999999999</v>
      </c>
      <c r="AK357" s="854" t="n">
        <v>4773.98</v>
      </c>
      <c r="AL357" s="2" t="inlineStr">
        <is>
          <t xml:space="preserve"> MARRIED  -  ON</t>
        </is>
      </c>
      <c r="AM357" s="853" t="n">
        <v>9549.16</v>
      </c>
      <c r="AN357" s="854" t="n">
        <v>4694.64</v>
      </c>
      <c r="AO357" s="2" t="inlineStr">
        <is>
          <t xml:space="preserve"> MARRIED  -  ON</t>
        </is>
      </c>
      <c r="AP357" s="853" t="n">
        <v>6975.69</v>
      </c>
      <c r="AQ357" s="854" t="n">
        <v>3660.07</v>
      </c>
    </row>
    <row r="358" ht="15.75" customHeight="1" thickBot="1">
      <c r="E358" s="2" t="inlineStr">
        <is>
          <t>good</t>
        </is>
      </c>
      <c r="F358" s="6" t="inlineStr">
        <is>
          <t>Your account balance: $0.00</t>
        </is>
      </c>
      <c r="G358" s="2" t="inlineStr">
        <is>
          <t>None</t>
        </is>
      </c>
      <c r="H358" s="2" t="inlineStr">
        <is>
          <t>nr</t>
        </is>
      </c>
      <c r="I358" s="3" t="inlineStr">
        <is>
          <t>nr</t>
        </is>
      </c>
      <c r="J358" s="3" t="n"/>
      <c r="K358" s="3" t="n"/>
      <c r="L358" s="3" t="inlineStr">
        <is>
          <t>nr</t>
        </is>
      </c>
      <c r="M358" s="2" t="inlineStr">
        <is>
          <t xml:space="preserve"> MARRIED  -  NL</t>
        </is>
      </c>
      <c r="T358" s="2" t="inlineStr">
        <is>
          <t xml:space="preserve"> MARRIED  -  NL</t>
        </is>
      </c>
      <c r="U358" s="853" t="n">
        <v>37268.37</v>
      </c>
      <c r="V358" s="854" t="n">
        <v>20009.87</v>
      </c>
      <c r="W358" s="2" t="inlineStr">
        <is>
          <t xml:space="preserve"> MARRIED  -  NL</t>
        </is>
      </c>
      <c r="X358" s="853" t="n">
        <v>33077.8</v>
      </c>
      <c r="Y358" s="854" t="n">
        <v>18457.74</v>
      </c>
      <c r="Z358" s="2" t="inlineStr">
        <is>
          <t xml:space="preserve"> MARRIED  -  NL</t>
        </is>
      </c>
      <c r="AA358" s="853" t="n">
        <v>26199.47</v>
      </c>
      <c r="AB358" s="854" t="n">
        <v>15324.73</v>
      </c>
      <c r="AC358" s="2" t="inlineStr">
        <is>
          <t xml:space="preserve"> MARRIED  -  NL</t>
        </is>
      </c>
      <c r="AD358" s="853" t="n">
        <v>24790.56</v>
      </c>
      <c r="AE358" s="854" t="n">
        <v>14452.4</v>
      </c>
      <c r="AF358" s="2" t="inlineStr">
        <is>
          <t xml:space="preserve"> MARRIED  -  NL</t>
        </is>
      </c>
      <c r="AG358" s="853" t="n">
        <v>25219.3</v>
      </c>
      <c r="AH358" s="854" t="n">
        <v>15376.57</v>
      </c>
      <c r="AI358" s="2" t="inlineStr">
        <is>
          <t xml:space="preserve"> MARRIED  -  NL</t>
        </is>
      </c>
      <c r="AJ358" s="853" t="n">
        <v>22407.71</v>
      </c>
      <c r="AK358" s="854" t="n">
        <v>15295.38</v>
      </c>
      <c r="AL358" s="2" t="inlineStr">
        <is>
          <t xml:space="preserve"> MARRIED  -  NL</t>
        </is>
      </c>
      <c r="AM358" s="853" t="n">
        <v>22202.9</v>
      </c>
      <c r="AN358" s="854" t="n">
        <v>14753.64</v>
      </c>
      <c r="AO358" s="2" t="inlineStr">
        <is>
          <t xml:space="preserve"> MARRIED  -  NL</t>
        </is>
      </c>
      <c r="AP358" s="853" t="n">
        <v>21695</v>
      </c>
      <c r="AQ358" s="854" t="n">
        <v>16293</v>
      </c>
    </row>
    <row r="359" ht="15.75" customHeight="1" thickBot="1">
      <c r="E359" s="2" t="inlineStr">
        <is>
          <t>good</t>
        </is>
      </c>
      <c r="F359" s="6" t="inlineStr">
        <is>
          <t>Your account balance: $0.00</t>
        </is>
      </c>
      <c r="G359" s="2" t="inlineStr">
        <is>
          <t>None</t>
        </is>
      </c>
      <c r="H359" s="2" t="inlineStr">
        <is>
          <t>nr</t>
        </is>
      </c>
      <c r="I359" s="2" t="inlineStr">
        <is>
          <t>nr</t>
        </is>
      </c>
      <c r="L359" s="2" t="inlineStr">
        <is>
          <t>nr</t>
        </is>
      </c>
      <c r="M359" s="2" t="inlineStr">
        <is>
          <t xml:space="preserve"> MARRIED  -  NS</t>
        </is>
      </c>
      <c r="T359" s="2" t="inlineStr">
        <is>
          <t xml:space="preserve"> MARRIED  -  NS</t>
        </is>
      </c>
      <c r="U359" s="3" t="n">
        <v>0</v>
      </c>
      <c r="V359" s="3" t="n">
        <v>0</v>
      </c>
      <c r="W359" s="2" t="inlineStr">
        <is>
          <t xml:space="preserve"> MARRIED  -  NS</t>
        </is>
      </c>
      <c r="X359" s="3" t="n">
        <v>0</v>
      </c>
      <c r="Y359" s="853" t="n">
        <v>364.96</v>
      </c>
      <c r="Z359" s="2" t="inlineStr">
        <is>
          <t xml:space="preserve"> MARRIED  -  NS</t>
        </is>
      </c>
      <c r="AA359" s="3" t="n">
        <v>0</v>
      </c>
      <c r="AB359" s="853" t="n">
        <v>350.95</v>
      </c>
      <c r="AC359" s="2" t="inlineStr">
        <is>
          <t xml:space="preserve"> MARRIED  -  NS</t>
        </is>
      </c>
      <c r="AD359" s="3" t="n">
        <v>0</v>
      </c>
      <c r="AE359" s="853" t="n">
        <v>337.53</v>
      </c>
      <c r="AF359" s="2" t="inlineStr">
        <is>
          <t xml:space="preserve"> MARRIED  -  NS</t>
        </is>
      </c>
      <c r="AG359" s="3" t="n">
        <v>0</v>
      </c>
      <c r="AH359" s="853" t="n">
        <v>288.19</v>
      </c>
      <c r="AI359" s="2" t="inlineStr">
        <is>
          <t xml:space="preserve"> MARRIED  -  NS</t>
        </is>
      </c>
      <c r="AJ359" s="3" t="n">
        <v>0</v>
      </c>
      <c r="AK359" s="853" t="n">
        <v>73.83</v>
      </c>
      <c r="AL359" s="2" t="inlineStr">
        <is>
          <t xml:space="preserve"> MARRIED  -  NS</t>
        </is>
      </c>
      <c r="AM359" s="3" t="n">
        <v>0</v>
      </c>
      <c r="AN359" s="3" t="n">
        <v>0</v>
      </c>
      <c r="AO359" s="2" t="inlineStr">
        <is>
          <t xml:space="preserve"> MARRIED  -  NS</t>
        </is>
      </c>
      <c r="AP359" s="3" t="n">
        <v>0</v>
      </c>
      <c r="AQ359" s="3" t="n">
        <v>0</v>
      </c>
    </row>
    <row r="360" ht="15.75" customHeight="1" thickBot="1">
      <c r="E360" s="2" t="inlineStr">
        <is>
          <t>prev debt</t>
        </is>
      </c>
      <c r="F360" s="6" t="inlineStr">
        <is>
          <t>Your account balance: $301.43 debit</t>
        </is>
      </c>
      <c r="G360" s="2" t="inlineStr">
        <is>
          <t>None</t>
        </is>
      </c>
      <c r="H360" s="2" t="inlineStr">
        <is>
          <t xml:space="preserve"> MARRIED  -  PE</t>
        </is>
      </c>
      <c r="I360" s="2" t="n">
        <v>0</v>
      </c>
      <c r="L360" s="2" t="n">
        <v>0</v>
      </c>
      <c r="M360" s="2" t="inlineStr">
        <is>
          <t xml:space="preserve"> MARRIED  -  PE</t>
        </is>
      </c>
      <c r="T360" s="2" t="inlineStr">
        <is>
          <t xml:space="preserve"> MARRIED  -  PE</t>
        </is>
      </c>
      <c r="U360" s="2" t="n">
        <v>0</v>
      </c>
      <c r="V360" s="2" t="n">
        <v>0</v>
      </c>
      <c r="W360" s="2" t="inlineStr">
        <is>
          <t xml:space="preserve"> MARRIED  -  PE</t>
        </is>
      </c>
      <c r="X360" s="2" t="n">
        <v>0</v>
      </c>
      <c r="Y360" s="3" t="n">
        <v>0</v>
      </c>
      <c r="Z360" s="2" t="inlineStr">
        <is>
          <t xml:space="preserve"> MARRIED  -  PE</t>
        </is>
      </c>
      <c r="AA360" s="853" t="n">
        <v>114.45</v>
      </c>
      <c r="AB360" s="854" t="n">
        <v>1131.89</v>
      </c>
      <c r="AC360" s="2" t="inlineStr">
        <is>
          <t xml:space="preserve"> MARRIED  -  PE</t>
        </is>
      </c>
      <c r="AD360" s="853" t="n">
        <v>63.69</v>
      </c>
      <c r="AE360" s="854" t="n">
        <v>1047.42</v>
      </c>
      <c r="AF360" s="2" t="inlineStr">
        <is>
          <t xml:space="preserve"> MARRIED  -  PE</t>
        </is>
      </c>
      <c r="AG360" s="853" t="n">
        <v>589.13</v>
      </c>
      <c r="AH360" s="854" t="n">
        <v>1366.96</v>
      </c>
      <c r="AI360" s="2" t="inlineStr">
        <is>
          <t xml:space="preserve"> MARRIED  -  PE</t>
        </is>
      </c>
      <c r="AJ360" s="2" t="n">
        <v>0</v>
      </c>
      <c r="AK360" s="853" t="n">
        <v>1134.35</v>
      </c>
      <c r="AL360" s="2" t="inlineStr">
        <is>
          <t xml:space="preserve"> MARRIED  -  PE</t>
        </is>
      </c>
      <c r="AM360" s="853" t="n">
        <v>78.78</v>
      </c>
      <c r="AN360" s="854" t="n">
        <v>1072.9</v>
      </c>
      <c r="AO360" s="2" t="inlineStr">
        <is>
          <t xml:space="preserve"> MARRIED  -  PE</t>
        </is>
      </c>
      <c r="AP360" s="853" t="n">
        <v>531.08</v>
      </c>
      <c r="AQ360" s="854" t="n">
        <v>1172.5</v>
      </c>
    </row>
    <row r="361" ht="15.75" customHeight="1" thickBot="1">
      <c r="E361" s="2" t="inlineStr">
        <is>
          <t>good</t>
        </is>
      </c>
      <c r="F361" s="6" t="inlineStr">
        <is>
          <t>Your account balance: $0.00</t>
        </is>
      </c>
      <c r="G361" s="2" t="inlineStr">
        <is>
          <t>None</t>
        </is>
      </c>
      <c r="H361" s="2" t="inlineStr">
        <is>
          <t xml:space="preserve"> MARRIED  -  ON</t>
        </is>
      </c>
      <c r="I361" s="2" t="n">
        <v>0</v>
      </c>
      <c r="L361" s="2" t="n">
        <v>0</v>
      </c>
      <c r="M361" s="2" t="inlineStr">
        <is>
          <t xml:space="preserve"> MARRIED  -  ON</t>
        </is>
      </c>
      <c r="T361" s="2" t="inlineStr">
        <is>
          <t xml:space="preserve"> MARRIED  -  ON</t>
        </is>
      </c>
      <c r="U361" s="2" t="n">
        <v>0</v>
      </c>
      <c r="V361" s="2" t="n">
        <v>0</v>
      </c>
      <c r="W361" s="2" t="inlineStr">
        <is>
          <t xml:space="preserve"> MARRIED  -  ON</t>
        </is>
      </c>
      <c r="X361" s="2" t="n">
        <v>0</v>
      </c>
      <c r="Y361" s="2" t="n">
        <v>0</v>
      </c>
      <c r="Z361" s="2" t="inlineStr">
        <is>
          <t xml:space="preserve"> MARRIED  -  ON</t>
        </is>
      </c>
      <c r="AA361" s="3" t="n">
        <v>0</v>
      </c>
      <c r="AB361" s="3" t="n">
        <v>0</v>
      </c>
      <c r="AC361" s="2" t="inlineStr">
        <is>
          <t xml:space="preserve"> MARRIED  -  ON</t>
        </is>
      </c>
      <c r="AD361" s="3" t="n">
        <v>0</v>
      </c>
      <c r="AE361" s="3" t="n">
        <v>0</v>
      </c>
      <c r="AF361" s="2" t="inlineStr">
        <is>
          <t xml:space="preserve"> MARRIED  -  ON</t>
        </is>
      </c>
      <c r="AG361" s="3" t="n">
        <v>0</v>
      </c>
      <c r="AH361" s="3" t="n">
        <v>0</v>
      </c>
      <c r="AI361" s="2" t="inlineStr">
        <is>
          <t xml:space="preserve"> MARRIED  -  ON</t>
        </is>
      </c>
      <c r="AJ361" s="2" t="n">
        <v>0</v>
      </c>
      <c r="AK361" s="3" t="n">
        <v>0</v>
      </c>
      <c r="AL361" s="2" t="inlineStr">
        <is>
          <t xml:space="preserve"> MARRIED  -  ON</t>
        </is>
      </c>
      <c r="AM361" s="853" t="n">
        <v>465.2</v>
      </c>
      <c r="AN361" s="854" t="n">
        <v>208.2</v>
      </c>
      <c r="AO361" s="2" t="inlineStr">
        <is>
          <t xml:space="preserve"> MARRIED  -  ON</t>
        </is>
      </c>
      <c r="AP361" s="3" t="n">
        <v>0</v>
      </c>
      <c r="AQ361" s="3" t="n">
        <v>0</v>
      </c>
    </row>
    <row r="362" ht="15.75" customHeight="1" thickBot="1">
      <c r="E362" s="2" t="inlineStr">
        <is>
          <t>good</t>
        </is>
      </c>
      <c r="F362" s="6" t="inlineStr">
        <is>
          <t>Your account balance: $0.00</t>
        </is>
      </c>
      <c r="G362" s="2" t="inlineStr">
        <is>
          <t>None</t>
        </is>
      </c>
      <c r="H362" s="2" t="inlineStr">
        <is>
          <t>nr</t>
        </is>
      </c>
      <c r="I362" s="2" t="inlineStr">
        <is>
          <t>nr</t>
        </is>
      </c>
      <c r="L362" s="2" t="inlineStr">
        <is>
          <t>nr</t>
        </is>
      </c>
      <c r="M362" s="2" t="inlineStr">
        <is>
          <t xml:space="preserve"> MARRIED  -  AB</t>
        </is>
      </c>
      <c r="T362" s="2" t="inlineStr">
        <is>
          <t xml:space="preserve"> MARRIED  -  AB</t>
        </is>
      </c>
      <c r="U362" s="853" t="n">
        <v>10945.42</v>
      </c>
      <c r="V362" s="854" t="n">
        <v>5296.38</v>
      </c>
      <c r="W362" s="2" t="inlineStr">
        <is>
          <t xml:space="preserve"> MARRIED  -  ON</t>
        </is>
      </c>
      <c r="X362" s="853" t="n">
        <v>4810.22</v>
      </c>
      <c r="Y362" s="854" t="n">
        <v>2971.86</v>
      </c>
      <c r="Z362" s="2" t="inlineStr">
        <is>
          <t xml:space="preserve"> MARRIED  -  ON</t>
        </is>
      </c>
      <c r="AA362" s="853" t="n">
        <v>10248.08</v>
      </c>
      <c r="AB362" s="854" t="n">
        <v>5397.79</v>
      </c>
      <c r="AC362" s="2" t="inlineStr">
        <is>
          <t xml:space="preserve"> MARRIED  -  ON</t>
        </is>
      </c>
      <c r="AD362" s="853" t="n">
        <v>2813.25</v>
      </c>
      <c r="AE362" s="854" t="n">
        <v>1273.75</v>
      </c>
      <c r="AF362" s="2" t="inlineStr">
        <is>
          <t>nr</t>
        </is>
      </c>
      <c r="AG362" s="2" t="inlineStr">
        <is>
          <t>nr</t>
        </is>
      </c>
      <c r="AH362" s="2" t="inlineStr">
        <is>
          <t>nr</t>
        </is>
      </c>
      <c r="AI362" s="2" t="inlineStr">
        <is>
          <t>nr</t>
        </is>
      </c>
      <c r="AJ362" s="2" t="inlineStr">
        <is>
          <t>nr</t>
        </is>
      </c>
      <c r="AK362" s="2" t="inlineStr">
        <is>
          <t>nr</t>
        </is>
      </c>
      <c r="AL362" s="2" t="inlineStr">
        <is>
          <t>nr</t>
        </is>
      </c>
      <c r="AM362" s="3" t="inlineStr">
        <is>
          <t>nr</t>
        </is>
      </c>
      <c r="AN362" s="3" t="inlineStr">
        <is>
          <t>nr</t>
        </is>
      </c>
      <c r="AO362" s="2" t="inlineStr">
        <is>
          <t>nr</t>
        </is>
      </c>
      <c r="AP362" s="2" t="inlineStr">
        <is>
          <t>nr</t>
        </is>
      </c>
      <c r="AQ362" s="2" t="inlineStr">
        <is>
          <t>nr</t>
        </is>
      </c>
    </row>
    <row r="363" ht="15.75" customHeight="1" thickBot="1">
      <c r="E363" s="2" t="inlineStr">
        <is>
          <t>good</t>
        </is>
      </c>
      <c r="F363" s="6" t="inlineStr">
        <is>
          <t>Your account balance: $0.00</t>
        </is>
      </c>
      <c r="G363" s="2" t="inlineStr">
        <is>
          <t>None</t>
        </is>
      </c>
      <c r="H363" s="2" t="inlineStr">
        <is>
          <t>nr</t>
        </is>
      </c>
      <c r="I363" s="2" t="inlineStr">
        <is>
          <t>nr</t>
        </is>
      </c>
      <c r="L363" s="2" t="inlineStr">
        <is>
          <t>nr</t>
        </is>
      </c>
      <c r="M363" s="2" t="inlineStr">
        <is>
          <t xml:space="preserve"> MARRIED  -  AB</t>
        </is>
      </c>
      <c r="T363" s="2" t="inlineStr">
        <is>
          <t xml:space="preserve"> MARRIED  -  AB</t>
        </is>
      </c>
      <c r="U363" s="3" t="n">
        <v>0</v>
      </c>
      <c r="V363" s="3" t="n">
        <v>0</v>
      </c>
      <c r="W363" s="2" t="inlineStr">
        <is>
          <t xml:space="preserve"> MARRIED  -  AB</t>
        </is>
      </c>
      <c r="X363" s="3" t="n">
        <v>0</v>
      </c>
      <c r="Y363" s="3" t="n">
        <v>0</v>
      </c>
      <c r="Z363" s="2" t="inlineStr">
        <is>
          <t xml:space="preserve"> MARRIED  -  AB</t>
        </is>
      </c>
      <c r="AA363" s="3" t="n">
        <v>0</v>
      </c>
      <c r="AB363" s="3" t="n">
        <v>0</v>
      </c>
      <c r="AC363" s="2" t="inlineStr">
        <is>
          <t xml:space="preserve"> COMMON  -  AB</t>
        </is>
      </c>
      <c r="AD363" s="3" t="n">
        <v>0</v>
      </c>
      <c r="AE363" s="3" t="n">
        <v>0</v>
      </c>
      <c r="AF363" s="2" t="inlineStr">
        <is>
          <t xml:space="preserve"> MARRIED  -  AB</t>
        </is>
      </c>
      <c r="AG363" s="2" t="n">
        <v>0</v>
      </c>
      <c r="AH363" s="2" t="n">
        <v>0</v>
      </c>
      <c r="AI363" s="2" t="inlineStr">
        <is>
          <t xml:space="preserve"> MARRIED  -  AB</t>
        </is>
      </c>
      <c r="AJ363" s="2" t="n">
        <v>0</v>
      </c>
      <c r="AK363" s="2" t="n">
        <v>0</v>
      </c>
      <c r="AL363" s="2" t="inlineStr">
        <is>
          <t xml:space="preserve"> MARRIED  -  AB</t>
        </is>
      </c>
      <c r="AM363" s="2" t="n">
        <v>0</v>
      </c>
      <c r="AN363" s="2" t="n">
        <v>0</v>
      </c>
      <c r="AO363" s="2" t="inlineStr">
        <is>
          <t xml:space="preserve"> MARRIED  -  AB</t>
        </is>
      </c>
      <c r="AP363" s="2" t="n">
        <v>0</v>
      </c>
      <c r="AQ363" s="2" t="n">
        <v>0</v>
      </c>
    </row>
    <row r="364">
      <c r="E364" s="2" t="inlineStr">
        <is>
          <t>good</t>
        </is>
      </c>
      <c r="F364" s="6" t="inlineStr">
        <is>
          <t>Your account balance: $0.00</t>
        </is>
      </c>
      <c r="G364" s="2" t="inlineStr">
        <is>
          <t xml:space="preserve"> MONICA E HAUTALA
Year Status
2002 - Indefinite You are eligible to claim the disability tax credit for yourself.
This page provides information concerning the disability tax credit (DTC). For more information; see your Notice of </t>
        </is>
      </c>
      <c r="H364" s="2" t="inlineStr">
        <is>
          <t>nr</t>
        </is>
      </c>
      <c r="I364" s="2" t="inlineStr">
        <is>
          <t>nr</t>
        </is>
      </c>
      <c r="L364" s="2" t="inlineStr">
        <is>
          <t>nr</t>
        </is>
      </c>
      <c r="M364" s="2" t="inlineStr">
        <is>
          <t xml:space="preserve"> MARRIED  -  BC</t>
        </is>
      </c>
      <c r="T364" s="2" t="inlineStr">
        <is>
          <t xml:space="preserve"> MARRIED  -  BC</t>
        </is>
      </c>
      <c r="U364" s="2" t="n">
        <v>0</v>
      </c>
      <c r="V364" s="2" t="n">
        <v>0</v>
      </c>
      <c r="W364" s="2" t="inlineStr">
        <is>
          <t xml:space="preserve"> MARRIED  -  BC</t>
        </is>
      </c>
      <c r="X364" s="2" t="n">
        <v>0</v>
      </c>
      <c r="Y364" s="2" t="n">
        <v>0</v>
      </c>
      <c r="Z364" s="2" t="inlineStr">
        <is>
          <t xml:space="preserve"> MARRIED  -  BC</t>
        </is>
      </c>
      <c r="AA364" s="2" t="n">
        <v>0</v>
      </c>
      <c r="AB364" s="2" t="n">
        <v>0</v>
      </c>
      <c r="AC364" s="2" t="inlineStr">
        <is>
          <t xml:space="preserve"> MARRIED  -  BC</t>
        </is>
      </c>
      <c r="AD364" s="2" t="n">
        <v>0</v>
      </c>
      <c r="AE364" s="2" t="n">
        <v>0</v>
      </c>
      <c r="AF364" s="2" t="inlineStr">
        <is>
          <t xml:space="preserve"> MARRIED  -  BC</t>
        </is>
      </c>
      <c r="AG364" s="2" t="n">
        <v>0</v>
      </c>
      <c r="AH364" s="2" t="n">
        <v>0</v>
      </c>
      <c r="AI364" s="2" t="inlineStr">
        <is>
          <t xml:space="preserve"> MARRIED  -  BC</t>
        </is>
      </c>
      <c r="AJ364" s="2" t="n">
        <v>0</v>
      </c>
      <c r="AK364" s="2" t="n">
        <v>0</v>
      </c>
      <c r="AL364" s="2" t="inlineStr">
        <is>
          <t xml:space="preserve"> MARRIED  -  BC</t>
        </is>
      </c>
      <c r="AM364" s="2" t="n">
        <v>0</v>
      </c>
      <c r="AN364" s="2" t="n">
        <v>0</v>
      </c>
      <c r="AO364" s="2" t="inlineStr">
        <is>
          <t xml:space="preserve"> MARRIED  -  BC</t>
        </is>
      </c>
      <c r="AP364" s="2" t="n">
        <v>0</v>
      </c>
      <c r="AQ364" s="2" t="n">
        <v>0</v>
      </c>
    </row>
    <row r="365" ht="15.75" customHeight="1" thickBot="1">
      <c r="E365" s="2" t="inlineStr">
        <is>
          <t>good</t>
        </is>
      </c>
      <c r="F365" s="6" t="inlineStr">
        <is>
          <t>Your account balance: $0.00</t>
        </is>
      </c>
      <c r="G365" s="2" t="inlineStr">
        <is>
          <t>None</t>
        </is>
      </c>
      <c r="H365" s="2" t="inlineStr">
        <is>
          <t>nr</t>
        </is>
      </c>
      <c r="I365" s="2" t="inlineStr">
        <is>
          <t>nr</t>
        </is>
      </c>
      <c r="L365" s="2" t="inlineStr">
        <is>
          <t>nr</t>
        </is>
      </c>
      <c r="M365" s="2" t="inlineStr">
        <is>
          <t xml:space="preserve"> DIVORCED  -  NL</t>
        </is>
      </c>
      <c r="T365" s="2" t="inlineStr">
        <is>
          <t xml:space="preserve"> DIVORCED  -  NL</t>
        </is>
      </c>
      <c r="U365" s="2" t="n">
        <v>0</v>
      </c>
      <c r="V365" s="2" t="n">
        <v>0</v>
      </c>
      <c r="W365" s="2" t="inlineStr">
        <is>
          <t xml:space="preserve"> DIVORCED  -  NL</t>
        </is>
      </c>
      <c r="X365" s="2" t="n">
        <v>0</v>
      </c>
      <c r="Y365" s="2" t="n">
        <v>0</v>
      </c>
      <c r="Z365" s="2" t="inlineStr">
        <is>
          <t xml:space="preserve"> DIVORCED  -  NL</t>
        </is>
      </c>
      <c r="AA365" s="2" t="n">
        <v>0</v>
      </c>
      <c r="AB365" s="2" t="n">
        <v>0</v>
      </c>
      <c r="AC365" s="2" t="inlineStr">
        <is>
          <t xml:space="preserve"> DIVORCED  -  NL</t>
        </is>
      </c>
      <c r="AD365" s="2" t="n">
        <v>0</v>
      </c>
      <c r="AE365" s="2" t="n">
        <v>0</v>
      </c>
      <c r="AF365" s="2" t="inlineStr">
        <is>
          <t xml:space="preserve"> DIVORCED  -  NL</t>
        </is>
      </c>
      <c r="AG365" s="2" t="n">
        <v>0</v>
      </c>
      <c r="AH365" s="2" t="n">
        <v>0</v>
      </c>
      <c r="AI365" s="2" t="inlineStr">
        <is>
          <t xml:space="preserve"> DIVORCED  -  NL</t>
        </is>
      </c>
      <c r="AJ365" s="2" t="n">
        <v>0</v>
      </c>
      <c r="AK365" s="2" t="n">
        <v>0</v>
      </c>
      <c r="AL365" s="2" t="inlineStr">
        <is>
          <t xml:space="preserve"> DIVORCED  -  NL</t>
        </is>
      </c>
      <c r="AM365" s="2" t="n">
        <v>0</v>
      </c>
      <c r="AN365" s="2" t="n">
        <v>0</v>
      </c>
      <c r="AO365" s="2" t="inlineStr">
        <is>
          <t xml:space="preserve"> DIVORCED  -  NL</t>
        </is>
      </c>
      <c r="AP365" s="2" t="n">
        <v>0</v>
      </c>
      <c r="AQ365" s="2" t="n">
        <v>0</v>
      </c>
    </row>
    <row r="366" ht="15.75" customHeight="1" thickBot="1">
      <c r="E366" s="2" t="inlineStr">
        <is>
          <t>good</t>
        </is>
      </c>
      <c r="F366" s="6" t="inlineStr">
        <is>
          <t>Your account balance: $0.00</t>
        </is>
      </c>
      <c r="G366" s="2" t="inlineStr">
        <is>
          <t>None</t>
        </is>
      </c>
      <c r="H366" s="2" t="inlineStr">
        <is>
          <t xml:space="preserve"> MARRIED  -  ON</t>
        </is>
      </c>
      <c r="I366" s="853" t="n">
        <v>4341.72</v>
      </c>
      <c r="J366" s="853" t="n"/>
      <c r="K366" s="853" t="n"/>
      <c r="L366" s="854" t="n">
        <v>2423.43</v>
      </c>
      <c r="M366" s="2" t="inlineStr">
        <is>
          <t xml:space="preserve"> MARRIED  -  ON</t>
        </is>
      </c>
      <c r="T366" s="2" t="inlineStr">
        <is>
          <t xml:space="preserve"> MARRIED  -  ON</t>
        </is>
      </c>
      <c r="U366" s="853" t="n">
        <v>200.32</v>
      </c>
      <c r="V366" s="2" t="n">
        <v>0</v>
      </c>
      <c r="W366" s="2" t="inlineStr">
        <is>
          <t xml:space="preserve"> MARRIED  -  ON</t>
        </is>
      </c>
      <c r="X366" s="853" t="n">
        <v>1913.86</v>
      </c>
      <c r="Y366" s="853" t="n">
        <v>435.39</v>
      </c>
      <c r="Z366" s="2" t="inlineStr">
        <is>
          <t xml:space="preserve"> MARRIED  -  ON</t>
        </is>
      </c>
      <c r="AA366" s="853" t="n">
        <v>3704.33</v>
      </c>
      <c r="AB366" s="854" t="n">
        <v>3348</v>
      </c>
      <c r="AC366" s="2" t="inlineStr">
        <is>
          <t xml:space="preserve"> MARRIED  -  ON</t>
        </is>
      </c>
      <c r="AD366" s="2" t="n">
        <v>0</v>
      </c>
      <c r="AE366" s="853" t="n">
        <v>300</v>
      </c>
      <c r="AF366" s="2" t="inlineStr">
        <is>
          <t xml:space="preserve"> MARRIED  -  ON</t>
        </is>
      </c>
      <c r="AG366" s="2" t="n">
        <v>0</v>
      </c>
      <c r="AH366" s="2" t="n">
        <v>0</v>
      </c>
      <c r="AI366" s="2" t="inlineStr">
        <is>
          <t xml:space="preserve"> MARRIED  -  ON</t>
        </is>
      </c>
      <c r="AJ366" s="853" t="n">
        <v>1164.98</v>
      </c>
      <c r="AK366" s="854" t="n">
        <v>353.28</v>
      </c>
      <c r="AL366" s="2" t="inlineStr">
        <is>
          <t xml:space="preserve"> MARRIED  -  ON</t>
        </is>
      </c>
      <c r="AM366" s="853" t="n">
        <v>1196.92</v>
      </c>
      <c r="AN366" s="854" t="n">
        <v>77.11</v>
      </c>
      <c r="AO366" s="2" t="inlineStr">
        <is>
          <t xml:space="preserve"> MARRIED  -  ON</t>
        </is>
      </c>
      <c r="AP366" s="853" t="n">
        <v>3643.55</v>
      </c>
      <c r="AQ366" s="854" t="n">
        <v>2344.61</v>
      </c>
    </row>
    <row r="367" ht="15.75" customHeight="1" thickBot="1">
      <c r="E367" s="2" t="inlineStr">
        <is>
          <t>good</t>
        </is>
      </c>
      <c r="F367" s="6" t="inlineStr">
        <is>
          <t>Your account balance: $0.00</t>
        </is>
      </c>
      <c r="G367" s="2" t="inlineStr">
        <is>
          <t>None</t>
        </is>
      </c>
      <c r="H367" s="2" t="inlineStr">
        <is>
          <t>nr</t>
        </is>
      </c>
      <c r="I367" s="3" t="inlineStr">
        <is>
          <t>nr</t>
        </is>
      </c>
      <c r="J367" s="3" t="n"/>
      <c r="K367" s="3" t="n"/>
      <c r="L367" s="3" t="inlineStr">
        <is>
          <t>nr</t>
        </is>
      </c>
      <c r="M367" s="2" t="inlineStr">
        <is>
          <t xml:space="preserve"> MARRIED  -  BC</t>
        </is>
      </c>
      <c r="T367" s="2" t="inlineStr">
        <is>
          <t xml:space="preserve"> MARRIED  -  BC</t>
        </is>
      </c>
      <c r="U367" s="853" t="n">
        <v>1752.04</v>
      </c>
      <c r="V367" s="854" t="n">
        <v>846.61</v>
      </c>
      <c r="W367" s="2" t="inlineStr">
        <is>
          <t xml:space="preserve"> MARRIED  -  BC</t>
        </is>
      </c>
      <c r="X367" s="853" t="n">
        <v>1660.08</v>
      </c>
      <c r="Y367" s="854" t="n">
        <v>840.8</v>
      </c>
      <c r="Z367" s="2" t="inlineStr">
        <is>
          <t xml:space="preserve"> MARRIED  -  BC</t>
        </is>
      </c>
      <c r="AA367" s="853" t="n">
        <v>1719.46</v>
      </c>
      <c r="AB367" s="854" t="n">
        <v>733.42</v>
      </c>
      <c r="AC367" s="2" t="inlineStr">
        <is>
          <t xml:space="preserve"> MARRIED  -  BC</t>
        </is>
      </c>
      <c r="AD367" s="853" t="n">
        <v>2497.65</v>
      </c>
      <c r="AE367" s="854" t="n">
        <v>894.72</v>
      </c>
      <c r="AF367" s="2" t="inlineStr">
        <is>
          <t xml:space="preserve"> MARRIED  -  BC</t>
        </is>
      </c>
      <c r="AG367" s="853" t="n">
        <v>2861.27</v>
      </c>
      <c r="AH367" s="854" t="n">
        <v>1029.14</v>
      </c>
      <c r="AI367" s="2" t="inlineStr">
        <is>
          <t xml:space="preserve"> MARRIED  -  BC</t>
        </is>
      </c>
      <c r="AJ367" s="853" t="n">
        <v>2118.12</v>
      </c>
      <c r="AK367" s="854" t="n">
        <v>865.99</v>
      </c>
      <c r="AL367" s="2" t="inlineStr">
        <is>
          <t xml:space="preserve"> MARRIED  -  BC</t>
        </is>
      </c>
      <c r="AM367" s="853" t="n">
        <v>2587.37</v>
      </c>
      <c r="AN367" s="854" t="n">
        <v>977.17</v>
      </c>
      <c r="AO367" s="2" t="inlineStr">
        <is>
          <t xml:space="preserve"> MARRIED  -  BC</t>
        </is>
      </c>
      <c r="AP367" s="853" t="n">
        <v>576.51</v>
      </c>
      <c r="AQ367" s="854" t="n">
        <v>9.9</v>
      </c>
    </row>
    <row r="368" ht="15.75" customHeight="1" thickBot="1">
      <c r="E368" s="2" t="inlineStr">
        <is>
          <t>good</t>
        </is>
      </c>
      <c r="F368" s="6" t="inlineStr">
        <is>
          <t>Your account balance: $0.00</t>
        </is>
      </c>
      <c r="G368" s="2" t="inlineStr">
        <is>
          <t>None</t>
        </is>
      </c>
      <c r="H368" s="2" t="inlineStr">
        <is>
          <t>nr</t>
        </is>
      </c>
      <c r="I368" s="2" t="inlineStr">
        <is>
          <t>nr</t>
        </is>
      </c>
      <c r="L368" s="2" t="inlineStr">
        <is>
          <t>nr</t>
        </is>
      </c>
      <c r="M368" s="2" t="inlineStr">
        <is>
          <t xml:space="preserve"> SINGLE  -  ON</t>
        </is>
      </c>
      <c r="T368" s="2" t="inlineStr">
        <is>
          <t xml:space="preserve"> SINGLE  -  ON</t>
        </is>
      </c>
      <c r="U368" s="3" t="n">
        <v>0</v>
      </c>
      <c r="V368" s="3" t="n">
        <v>0</v>
      </c>
      <c r="W368" s="2" t="inlineStr">
        <is>
          <t xml:space="preserve"> SINGLE  -  ON</t>
        </is>
      </c>
      <c r="X368" s="3" t="n">
        <v>0</v>
      </c>
      <c r="Y368" s="3" t="n">
        <v>0</v>
      </c>
      <c r="Z368" s="2" t="inlineStr">
        <is>
          <t xml:space="preserve"> SINGLE  -  ON</t>
        </is>
      </c>
      <c r="AA368" s="3" t="n">
        <v>0</v>
      </c>
      <c r="AB368" s="3" t="n">
        <v>0</v>
      </c>
      <c r="AC368" s="2" t="inlineStr">
        <is>
          <t xml:space="preserve"> SINGLE  -  ON</t>
        </is>
      </c>
      <c r="AD368" s="3" t="n">
        <v>0</v>
      </c>
      <c r="AE368" s="3" t="n">
        <v>0</v>
      </c>
      <c r="AF368" s="2" t="inlineStr">
        <is>
          <t>nr</t>
        </is>
      </c>
      <c r="AG368" s="3" t="inlineStr">
        <is>
          <t>nr</t>
        </is>
      </c>
      <c r="AH368" s="3" t="inlineStr">
        <is>
          <t>nr</t>
        </is>
      </c>
      <c r="AI368" s="2" t="inlineStr">
        <is>
          <t>nr</t>
        </is>
      </c>
      <c r="AJ368" s="3" t="inlineStr">
        <is>
          <t>nr</t>
        </is>
      </c>
      <c r="AK368" s="3" t="inlineStr">
        <is>
          <t>nr</t>
        </is>
      </c>
      <c r="AL368" s="2" t="inlineStr">
        <is>
          <t>nr</t>
        </is>
      </c>
      <c r="AM368" s="3" t="inlineStr">
        <is>
          <t>nr</t>
        </is>
      </c>
      <c r="AN368" s="3" t="inlineStr">
        <is>
          <t>nr</t>
        </is>
      </c>
      <c r="AO368" s="2" t="inlineStr">
        <is>
          <t>nr</t>
        </is>
      </c>
      <c r="AP368" s="3" t="inlineStr">
        <is>
          <t>nr</t>
        </is>
      </c>
      <c r="AQ368" s="3" t="inlineStr">
        <is>
          <t>nr</t>
        </is>
      </c>
    </row>
    <row r="369" ht="15.75" customHeight="1" thickBot="1">
      <c r="E369" s="2" t="inlineStr">
        <is>
          <t>good</t>
        </is>
      </c>
      <c r="F369" s="6" t="inlineStr">
        <is>
          <t>Your account balance: $0.00</t>
        </is>
      </c>
      <c r="G369" s="2" t="inlineStr">
        <is>
          <t>None</t>
        </is>
      </c>
      <c r="H369" s="2" t="inlineStr">
        <is>
          <t>nr</t>
        </is>
      </c>
      <c r="I369" s="2" t="inlineStr">
        <is>
          <t>nr</t>
        </is>
      </c>
      <c r="L369" s="2" t="inlineStr">
        <is>
          <t>nr</t>
        </is>
      </c>
      <c r="M369" s="2" t="inlineStr">
        <is>
          <t xml:space="preserve"> SINGLE  -  MB</t>
        </is>
      </c>
      <c r="T369" s="2" t="inlineStr">
        <is>
          <t xml:space="preserve"> SINGLE  -  MB</t>
        </is>
      </c>
      <c r="U369" s="853" t="n">
        <v>16888.12</v>
      </c>
      <c r="V369" s="854" t="n">
        <v>11626.62</v>
      </c>
      <c r="W369" s="2" t="inlineStr">
        <is>
          <t xml:space="preserve"> SINGLE  -  MB</t>
        </is>
      </c>
      <c r="X369" s="853" t="n">
        <v>15377.29</v>
      </c>
      <c r="Y369" s="854" t="n">
        <v>10571.37</v>
      </c>
      <c r="Z369" s="2" t="inlineStr">
        <is>
          <t xml:space="preserve"> SINGLE  -  MB</t>
        </is>
      </c>
      <c r="AA369" s="853" t="n">
        <v>13351.9</v>
      </c>
      <c r="AB369" s="854" t="n">
        <v>9112.99</v>
      </c>
      <c r="AC369" s="2" t="inlineStr">
        <is>
          <t xml:space="preserve"> SINGLE  -  MB</t>
        </is>
      </c>
      <c r="AD369" s="853" t="n">
        <v>12330.66</v>
      </c>
      <c r="AE369" s="854" t="n">
        <v>8309.98</v>
      </c>
      <c r="AF369" s="2" t="inlineStr">
        <is>
          <t xml:space="preserve"> SINGLE  -  MB</t>
        </is>
      </c>
      <c r="AG369" s="853" t="n">
        <v>14926.47</v>
      </c>
      <c r="AH369" s="854" t="n">
        <v>10629.18</v>
      </c>
      <c r="AI369" s="2" t="inlineStr">
        <is>
          <t xml:space="preserve"> SINGLE  -  MB</t>
        </is>
      </c>
      <c r="AJ369" s="853" t="n">
        <v>10673.26</v>
      </c>
      <c r="AK369" s="854" t="n">
        <v>7508.52</v>
      </c>
      <c r="AL369" s="2" t="inlineStr">
        <is>
          <t xml:space="preserve"> SINGLE  -  MB</t>
        </is>
      </c>
      <c r="AM369" s="853" t="n">
        <v>12107.04</v>
      </c>
      <c r="AN369" s="854" t="n">
        <v>8430.49</v>
      </c>
      <c r="AO369" s="2" t="inlineStr">
        <is>
          <t xml:space="preserve"> SINGLE  -  MB</t>
        </is>
      </c>
      <c r="AP369" s="853" t="n">
        <v>10214.55</v>
      </c>
      <c r="AQ369" s="854" t="n">
        <v>7065.85</v>
      </c>
    </row>
    <row r="370" ht="15.75" customHeight="1" thickBot="1">
      <c r="E370" s="2" t="inlineStr">
        <is>
          <t>good</t>
        </is>
      </c>
      <c r="F370" s="6" t="inlineStr">
        <is>
          <t>Your account balance: $3,272.08 debit</t>
        </is>
      </c>
      <c r="G370" s="2" t="inlineStr">
        <is>
          <t>None</t>
        </is>
      </c>
      <c r="H370" s="2" t="inlineStr">
        <is>
          <t>nr</t>
        </is>
      </c>
      <c r="I370" s="2" t="inlineStr">
        <is>
          <t>nr</t>
        </is>
      </c>
      <c r="L370" s="2" t="inlineStr">
        <is>
          <t>nr</t>
        </is>
      </c>
      <c r="M370" s="2" t="inlineStr">
        <is>
          <t xml:space="preserve"> MARRIED  -  MB</t>
        </is>
      </c>
      <c r="T370" s="2" t="inlineStr">
        <is>
          <t xml:space="preserve"> MARRIED  -  MB</t>
        </is>
      </c>
      <c r="U370" s="853" t="n">
        <v>3746.85</v>
      </c>
      <c r="V370" s="853" t="n">
        <v>2803.17</v>
      </c>
      <c r="W370" s="2" t="inlineStr">
        <is>
          <t xml:space="preserve"> MARRIED  -  MB</t>
        </is>
      </c>
      <c r="X370" s="853" t="n">
        <v>2893.2</v>
      </c>
      <c r="Y370" s="853" t="n">
        <v>3061.22</v>
      </c>
      <c r="Z370" s="2" t="inlineStr">
        <is>
          <t xml:space="preserve"> MARRIED  -  MB</t>
        </is>
      </c>
      <c r="AA370" s="853" t="n">
        <v>1934.42</v>
      </c>
      <c r="AB370" s="854" t="n">
        <v>1768.96</v>
      </c>
      <c r="AC370" s="2" t="inlineStr">
        <is>
          <t xml:space="preserve"> MARRIED  -  MB</t>
        </is>
      </c>
      <c r="AD370" s="853" t="n">
        <v>3353.05</v>
      </c>
      <c r="AE370" s="854" t="n">
        <v>2350.89</v>
      </c>
      <c r="AF370" s="2" t="inlineStr">
        <is>
          <t xml:space="preserve"> MARRIED  -  MB</t>
        </is>
      </c>
      <c r="AG370" s="853" t="n">
        <v>6748.3</v>
      </c>
      <c r="AH370" s="854" t="n">
        <v>5114.45</v>
      </c>
      <c r="AI370" s="2" t="inlineStr">
        <is>
          <t xml:space="preserve"> MARRIED  -  MB</t>
        </is>
      </c>
      <c r="AJ370" s="853" t="n">
        <v>7091.51</v>
      </c>
      <c r="AK370" s="854" t="n">
        <v>5470.52</v>
      </c>
      <c r="AL370" s="2" t="inlineStr">
        <is>
          <t xml:space="preserve"> MARRIED  -  MB</t>
        </is>
      </c>
      <c r="AM370" s="853" t="n">
        <v>6658.2</v>
      </c>
      <c r="AN370" s="854" t="n">
        <v>4874.85</v>
      </c>
      <c r="AO370" s="2" t="inlineStr">
        <is>
          <t xml:space="preserve"> MARRIED  -  MB</t>
        </is>
      </c>
      <c r="AP370" s="853" t="n">
        <v>6301.07</v>
      </c>
      <c r="AQ370" s="854" t="n">
        <v>4727.72</v>
      </c>
    </row>
    <row r="371" ht="15.75" customHeight="1" thickBot="1">
      <c r="E371" s="2" t="inlineStr">
        <is>
          <t>good</t>
        </is>
      </c>
      <c r="F371" s="6" t="inlineStr">
        <is>
          <t>Your account balance: $0.00</t>
        </is>
      </c>
      <c r="G371" s="2" t="inlineStr">
        <is>
          <t>None</t>
        </is>
      </c>
      <c r="H371" s="2" t="inlineStr">
        <is>
          <t>nr</t>
        </is>
      </c>
      <c r="I371" s="2" t="inlineStr">
        <is>
          <t>nr</t>
        </is>
      </c>
      <c r="L371" s="2" t="inlineStr">
        <is>
          <t>nr</t>
        </is>
      </c>
      <c r="M371" s="2" t="inlineStr">
        <is>
          <t xml:space="preserve"> MARRIED  -  ON</t>
        </is>
      </c>
      <c r="T371" s="2" t="inlineStr">
        <is>
          <t xml:space="preserve"> MARRIED  -  ON</t>
        </is>
      </c>
      <c r="U371" s="853" t="n">
        <v>4689.74</v>
      </c>
      <c r="V371" s="854" t="n">
        <v>2514.9</v>
      </c>
      <c r="W371" s="2" t="inlineStr">
        <is>
          <t xml:space="preserve"> MARRIED  -  ON</t>
        </is>
      </c>
      <c r="X371" s="853" t="n">
        <v>4708.48</v>
      </c>
      <c r="Y371" s="854" t="n">
        <v>2561.1</v>
      </c>
      <c r="Z371" s="2" t="inlineStr">
        <is>
          <t xml:space="preserve"> MARRIED  -  ON</t>
        </is>
      </c>
      <c r="AA371" s="853" t="n">
        <v>3367.96</v>
      </c>
      <c r="AB371" s="854" t="n">
        <v>1654.23</v>
      </c>
      <c r="AC371" s="2" t="inlineStr">
        <is>
          <t xml:space="preserve"> MARRIED  -  ON</t>
        </is>
      </c>
      <c r="AD371" s="853" t="n">
        <v>4999.78</v>
      </c>
      <c r="AE371" s="854" t="n">
        <v>2892.4</v>
      </c>
      <c r="AF371" s="2" t="inlineStr">
        <is>
          <t xml:space="preserve"> MARRIED  -  ON</t>
        </is>
      </c>
      <c r="AG371" s="853" t="n">
        <v>5599.43</v>
      </c>
      <c r="AH371" s="854" t="n">
        <v>3360.24</v>
      </c>
      <c r="AI371" s="2" t="inlineStr">
        <is>
          <t xml:space="preserve"> MARRIED  -  ON</t>
        </is>
      </c>
      <c r="AJ371" s="853" t="n">
        <v>3364.56</v>
      </c>
      <c r="AK371" s="854" t="n">
        <v>1917.19</v>
      </c>
      <c r="AL371" s="2" t="inlineStr">
        <is>
          <t xml:space="preserve"> MARRIED  -  ON</t>
        </is>
      </c>
      <c r="AM371" s="853" t="n">
        <v>5492.37</v>
      </c>
      <c r="AN371" s="854" t="n">
        <v>3339.88</v>
      </c>
      <c r="AO371" s="2" t="inlineStr">
        <is>
          <t xml:space="preserve"> MARRIED  -  ON</t>
        </is>
      </c>
      <c r="AP371" s="853" t="n">
        <v>3554.14</v>
      </c>
      <c r="AQ371" s="854" t="n">
        <v>2375.13</v>
      </c>
    </row>
    <row r="372" ht="15.75" customHeight="1" thickBot="1">
      <c r="E372" s="2" t="inlineStr">
        <is>
          <t>good</t>
        </is>
      </c>
      <c r="F372" s="6" t="inlineStr">
        <is>
          <t>Your account balance: $0.00</t>
        </is>
      </c>
      <c r="G372" s="2" t="inlineStr">
        <is>
          <t>None</t>
        </is>
      </c>
      <c r="H372" s="2" t="inlineStr">
        <is>
          <t>nr</t>
        </is>
      </c>
      <c r="I372" s="2" t="inlineStr">
        <is>
          <t>nr</t>
        </is>
      </c>
      <c r="L372" s="2" t="inlineStr">
        <is>
          <t>nr</t>
        </is>
      </c>
      <c r="M372" s="2" t="inlineStr">
        <is>
          <t xml:space="preserve"> MARRIED  -  ON</t>
        </is>
      </c>
      <c r="T372" s="2" t="inlineStr">
        <is>
          <t xml:space="preserve"> SINGLE  -  ON</t>
        </is>
      </c>
      <c r="U372" s="3" t="n">
        <v>0</v>
      </c>
      <c r="V372" s="3" t="n">
        <v>0</v>
      </c>
      <c r="W372" s="2" t="inlineStr">
        <is>
          <t xml:space="preserve"> SINGLE  -  ON</t>
        </is>
      </c>
      <c r="X372" s="3" t="n">
        <v>0</v>
      </c>
      <c r="Y372" s="3" t="n">
        <v>0</v>
      </c>
      <c r="Z372" s="2" t="inlineStr">
        <is>
          <t xml:space="preserve"> SINGLE  -  ON</t>
        </is>
      </c>
      <c r="AA372" s="853" t="n">
        <v>404.76</v>
      </c>
      <c r="AB372" s="854" t="n">
        <v>93.17</v>
      </c>
      <c r="AC372" s="2" t="inlineStr">
        <is>
          <t xml:space="preserve"> SINGLE  -  ON</t>
        </is>
      </c>
      <c r="AD372" s="853" t="n">
        <v>674.4</v>
      </c>
      <c r="AE372" s="854" t="n">
        <v>626.4</v>
      </c>
      <c r="AF372" s="2" t="inlineStr">
        <is>
          <t xml:space="preserve"> SINGLE  -  ON</t>
        </is>
      </c>
      <c r="AG372" s="3" t="n">
        <v>0</v>
      </c>
      <c r="AH372" s="3" t="n">
        <v>0</v>
      </c>
      <c r="AI372" s="2" t="inlineStr">
        <is>
          <t xml:space="preserve"> SINGLE  -  ON</t>
        </is>
      </c>
      <c r="AJ372" s="3" t="n">
        <v>0</v>
      </c>
      <c r="AK372" s="3" t="n">
        <v>0</v>
      </c>
      <c r="AL372" s="2" t="inlineStr">
        <is>
          <t xml:space="preserve"> SINGLE  -  ON</t>
        </is>
      </c>
      <c r="AM372" s="3" t="n">
        <v>0</v>
      </c>
      <c r="AN372" s="3" t="n">
        <v>0</v>
      </c>
      <c r="AO372" s="2" t="inlineStr">
        <is>
          <t xml:space="preserve"> SINGLE  -  ON</t>
        </is>
      </c>
      <c r="AP372" s="853" t="n">
        <v>41.48</v>
      </c>
      <c r="AQ372" s="3" t="n">
        <v>0</v>
      </c>
    </row>
    <row r="12519">
      <c r="B12519" s="2" t="inlineStr">
        <is>
          <t>TNDS38116XX</t>
        </is>
      </c>
    </row>
    <row r="12736">
      <c r="B12736" s="2" t="inlineStr">
        <is>
          <t>TNDS38481XX</t>
        </is>
      </c>
    </row>
    <row r="12799">
      <c r="B12799" s="2" t="inlineStr">
        <is>
          <t>TNDS38450XX</t>
        </is>
      </c>
    </row>
    <row r="12804">
      <c r="B12804" s="2" t="inlineStr">
        <is>
          <t>TNDS38605XX</t>
        </is>
      </c>
    </row>
    <row r="12851">
      <c r="B12851" s="2" t="inlineStr">
        <is>
          <t>TNDS38059XX</t>
        </is>
      </c>
    </row>
  </sheetData>
  <mergeCells count="90">
    <mergeCell ref="Q13:R13"/>
    <mergeCell ref="Q7:R7"/>
    <mergeCell ref="J10:K10"/>
    <mergeCell ref="J19:K19"/>
    <mergeCell ref="R28:R29"/>
    <mergeCell ref="J9:K9"/>
    <mergeCell ref="P31:P45"/>
    <mergeCell ref="P8:P22"/>
    <mergeCell ref="K42:K45"/>
    <mergeCell ref="D4:E4"/>
    <mergeCell ref="Q30:R30"/>
    <mergeCell ref="G42:I42"/>
    <mergeCell ref="B25:S25"/>
    <mergeCell ref="Q11:R11"/>
    <mergeCell ref="B3:S3"/>
    <mergeCell ref="G21:G22"/>
    <mergeCell ref="B29:H29"/>
    <mergeCell ref="O5:O6"/>
    <mergeCell ref="Q5:Q6"/>
    <mergeCell ref="L7:M7"/>
    <mergeCell ref="S28:S45"/>
    <mergeCell ref="I28:K28"/>
    <mergeCell ref="B6:H6"/>
    <mergeCell ref="Q39:R39"/>
    <mergeCell ref="S5:S22"/>
    <mergeCell ref="F5:G5"/>
    <mergeCell ref="I4:K4"/>
    <mergeCell ref="I20:K22"/>
    <mergeCell ref="Q31:R31"/>
    <mergeCell ref="L30:M30"/>
    <mergeCell ref="J11:K11"/>
    <mergeCell ref="B42:D45"/>
    <mergeCell ref="H20:H22"/>
    <mergeCell ref="L5:N6"/>
    <mergeCell ref="H19:I19"/>
    <mergeCell ref="F28:G28"/>
    <mergeCell ref="G43:I43"/>
    <mergeCell ref="B26:S26"/>
    <mergeCell ref="J12:K12"/>
    <mergeCell ref="I27:K27"/>
    <mergeCell ref="E19:F20"/>
    <mergeCell ref="J42:J45"/>
    <mergeCell ref="F4:G4"/>
    <mergeCell ref="B2:S2"/>
    <mergeCell ref="Q42:R42"/>
    <mergeCell ref="L4:N4"/>
    <mergeCell ref="B46:O46"/>
    <mergeCell ref="E44:F44"/>
    <mergeCell ref="I5:K5"/>
    <mergeCell ref="G45:I45"/>
    <mergeCell ref="D27:E27"/>
    <mergeCell ref="L18:M18"/>
    <mergeCell ref="I29:K29"/>
    <mergeCell ref="E21:F22"/>
    <mergeCell ref="P28:P29"/>
    <mergeCell ref="G44:I44"/>
    <mergeCell ref="J16:K16"/>
    <mergeCell ref="L27:N27"/>
    <mergeCell ref="D28:E28"/>
    <mergeCell ref="P5:P6"/>
    <mergeCell ref="R5:R6"/>
    <mergeCell ref="Q45:R45"/>
    <mergeCell ref="B19:D22"/>
    <mergeCell ref="D5:E5"/>
    <mergeCell ref="L19:M22"/>
    <mergeCell ref="L41:M45"/>
    <mergeCell ref="E43:F43"/>
    <mergeCell ref="Q16:R16"/>
    <mergeCell ref="J14:K14"/>
    <mergeCell ref="E42:F42"/>
    <mergeCell ref="Q33:R33"/>
    <mergeCell ref="J13:K13"/>
    <mergeCell ref="G19:G20"/>
    <mergeCell ref="Q8:R8"/>
    <mergeCell ref="J15:K15"/>
    <mergeCell ref="Q10:R10"/>
    <mergeCell ref="Q19:R19"/>
    <mergeCell ref="L28:N29"/>
    <mergeCell ref="Q34:R34"/>
    <mergeCell ref="J7:K7"/>
    <mergeCell ref="E45:F45"/>
    <mergeCell ref="Q22:R22"/>
    <mergeCell ref="Q36:R36"/>
    <mergeCell ref="F27:G27"/>
    <mergeCell ref="I6:K6"/>
    <mergeCell ref="J18:K18"/>
    <mergeCell ref="O28:O29"/>
    <mergeCell ref="Q28:Q29"/>
    <mergeCell ref="J8:K8"/>
    <mergeCell ref="J17:K17"/>
  </mergeCells>
  <pageMargins left="0.7" right="0.7" top="0.75" bottom="0.75" header="0.3" footer="0.3"/>
  <pageSetup orientation="portrait" horizontalDpi="360" verticalDpi="360"/>
  <legacyDrawing r:id="anysvml"/>
</worksheet>
</file>

<file path=xl/worksheets/sheet7.xml><?xml version="1.0" encoding="utf-8"?>
<worksheet xmlns="http://schemas.openxmlformats.org/spreadsheetml/2006/main">
  <sheetPr codeName="Sheet4">
    <outlinePr summaryBelow="1" summaryRight="1"/>
    <pageSetUpPr/>
  </sheetPr>
  <dimension ref="B3:K158"/>
  <sheetViews>
    <sheetView topLeftCell="A125" workbookViewId="0">
      <selection activeCell="J141" sqref="J141"/>
    </sheetView>
  </sheetViews>
  <sheetFormatPr baseColWidth="8" defaultRowHeight="15"/>
  <cols>
    <col width="5.5703125" customWidth="1" min="1" max="1"/>
    <col width="9.5703125" bestFit="1" customWidth="1" min="2" max="2"/>
    <col width="9.140625" customWidth="1" style="492" min="11" max="11"/>
  </cols>
  <sheetData>
    <row r="3">
      <c r="F3">
        <f>Calculator!$D$5</f>
        <v/>
      </c>
      <c r="I3">
        <f>TransferName</f>
        <v/>
      </c>
    </row>
    <row r="4" ht="26.25" customHeight="1">
      <c r="B4" s="93" t="n">
        <v>2023</v>
      </c>
    </row>
    <row r="5">
      <c r="B5" t="inlineStr">
        <is>
          <t>Current Line 30300</t>
        </is>
      </c>
      <c r="J5">
        <f>IF(TransferName="NONE",0,_xlfn.XLOOKUP(TransferNumber,Clients!D:D,Clients!FF:FF,2,0,1))</f>
        <v/>
      </c>
    </row>
    <row r="6">
      <c r="B6" t="inlineStr">
        <is>
          <t>Current Line 51090</t>
        </is>
      </c>
      <c r="J6">
        <f>IF(TransferName="NONE",0,(_xlfn.XLOOKUP(TransferNumber,Clients!D:D,Clients!JY:JY,2,0,1)))</f>
        <v/>
      </c>
    </row>
    <row r="7">
      <c r="B7" s="91" t="inlineStr">
        <is>
          <t>Your basic personal amount (line 30000 of your return)</t>
        </is>
      </c>
      <c r="C7" s="91" t="n"/>
      <c r="D7" s="91" t="n"/>
      <c r="E7" s="91" t="n"/>
      <c r="F7" s="91" t="n"/>
      <c r="G7" s="91" t="n"/>
      <c r="H7" s="91" t="n"/>
      <c r="I7" s="91" t="n">
        <v>300000</v>
      </c>
      <c r="J7" s="90">
        <f>IF(TransferName="NONE",0,(_xlfn.XLOOKUP(TransferNumber,Clients!D:D,Clients!FD:FD,2,0,1)))</f>
        <v/>
      </c>
      <c r="K7" s="90" t="n">
        <v>1</v>
      </c>
    </row>
    <row r="8">
      <c r="B8" s="855" t="inlineStr">
        <is>
          <t>If you are entitled to the Canada caregiver amount for your spouse or common-law partner, enter $2,499. (See the "Canada caregiver amount" in Step 5 of the guide and at line 30425 below.)</t>
        </is>
      </c>
      <c r="C8" s="279" t="n"/>
      <c r="D8" s="279" t="n"/>
      <c r="E8" s="279" t="n"/>
      <c r="F8" s="279" t="n"/>
      <c r="G8" s="279" t="n"/>
      <c r="H8" s="856" t="n">
        <v>51090</v>
      </c>
      <c r="I8" s="90" t="n"/>
      <c r="J8" s="90">
        <f>IF(TransferName="NONE",0,IF((_xlfn.XLOOKUP(TransferNumber,Clients!D:D,Clients!JY:JY,2,0,1))=0,2499,(_xlfn.XLOOKUP(TransferNumber,Clients!D:D,Clients!JY:JY,2,0,1))))</f>
        <v/>
      </c>
      <c r="K8" s="478" t="n">
        <v>2</v>
      </c>
    </row>
    <row r="9"/>
    <row r="10"/>
    <row r="11">
      <c r="B11" s="39" t="n"/>
      <c r="C11" s="39" t="n"/>
      <c r="D11" s="39" t="n"/>
      <c r="E11" s="39" t="n"/>
      <c r="F11" s="39" t="n"/>
      <c r="G11" s="39" t="n"/>
      <c r="H11" s="39" t="n"/>
      <c r="I11" s="39" t="n"/>
      <c r="J11" s="39" t="n"/>
      <c r="K11" s="39" t="n"/>
    </row>
    <row r="12">
      <c r="B12" s="91" t="inlineStr">
        <is>
          <t>Add lines 1 and 2.</t>
        </is>
      </c>
      <c r="C12" s="91" t="n"/>
      <c r="D12" s="91" t="n"/>
      <c r="E12" s="91" t="n"/>
      <c r="F12" s="91" t="n"/>
      <c r="G12" s="91" t="n"/>
      <c r="H12" s="91" t="n"/>
      <c r="I12" s="91" t="n"/>
      <c r="J12" s="92">
        <f>IF(AND(J5&gt;0,J6&gt;0),0,J7+J8)</f>
        <v/>
      </c>
      <c r="K12" s="90" t="n">
        <v>3</v>
      </c>
    </row>
    <row r="13">
      <c r="B13" s="91" t="inlineStr">
        <is>
          <t>Spouse's or common-law partner's net income from page 1 of your return</t>
        </is>
      </c>
      <c r="C13" s="91" t="n"/>
      <c r="D13" s="91" t="n"/>
      <c r="E13" s="91" t="n"/>
      <c r="F13" s="91" t="n"/>
      <c r="G13" s="91" t="n"/>
      <c r="H13" s="91" t="n"/>
      <c r="I13" s="91" t="n"/>
      <c r="J13" s="90">
        <f>IF(TransferName="NONE",0,(_xlfn.XLOOKUP(MainClient,Clients!D:D,Clients!EI:EI,2,0,1)))</f>
        <v/>
      </c>
      <c r="K13" s="90" t="n">
        <v>4</v>
      </c>
    </row>
    <row r="14">
      <c r="B14" s="855" t="inlineStr">
        <is>
          <t>Line 3 minus line 4 (if negative, enter "0"). Enter this amount on line 30300 of your return.</t>
        </is>
      </c>
      <c r="C14" s="279" t="n"/>
      <c r="D14" s="279" t="n"/>
      <c r="E14" s="279" t="n"/>
      <c r="F14" s="279" t="n"/>
      <c r="G14" s="279" t="n"/>
      <c r="H14" s="478" t="n"/>
      <c r="I14" s="478" t="n"/>
      <c r="J14" s="94">
        <f>IF((AND(J5&gt;0,J6=0)),2295,IF(J12-J13&gt;0,J12-J13,0))</f>
        <v/>
      </c>
      <c r="K14" s="478" t="n">
        <v>5</v>
      </c>
    </row>
    <row r="15">
      <c r="B15" s="39" t="n"/>
      <c r="C15" s="39" t="n"/>
      <c r="D15" s="39" t="n"/>
      <c r="E15" s="39" t="n"/>
      <c r="F15" s="39" t="n"/>
      <c r="G15" s="39" t="n"/>
      <c r="H15" s="39" t="n"/>
      <c r="I15" s="39" t="n"/>
      <c r="J15">
        <f>J14*0.15</f>
        <v/>
      </c>
      <c r="K15" s="39" t="n"/>
    </row>
    <row r="17" ht="26.25" customHeight="1">
      <c r="B17" s="93" t="n">
        <v>2022</v>
      </c>
      <c r="F17">
        <f>Calculator!$D$5</f>
        <v/>
      </c>
      <c r="I17">
        <f>TransferName</f>
        <v/>
      </c>
    </row>
    <row r="18">
      <c r="B18" t="inlineStr">
        <is>
          <t>Current Line 30300</t>
        </is>
      </c>
      <c r="J18">
        <f>IF(TransferName="NONE",0,_xlfn.XLOOKUP(TransferNumber,Clients!D:D,Clients!AGA:AGA,2,0,1))</f>
        <v/>
      </c>
    </row>
    <row r="19">
      <c r="B19" t="inlineStr">
        <is>
          <t>Current Line 51090</t>
        </is>
      </c>
      <c r="J19">
        <f>IF(TransferName="NONE",0,(_xlfn.XLOOKUP(TransferNumber,Clients!D:D,Clients!AKT:AKT,2,0,1)))</f>
        <v/>
      </c>
    </row>
    <row r="20">
      <c r="B20" s="91" t="inlineStr">
        <is>
          <t>Your basic personal amount (line 30000 of your return)</t>
        </is>
      </c>
      <c r="C20" s="91" t="n"/>
      <c r="D20" s="91" t="n"/>
      <c r="E20" s="91" t="n"/>
      <c r="F20" s="91" t="n"/>
      <c r="G20" s="91" t="n"/>
      <c r="H20" s="91" t="n"/>
      <c r="I20" s="91" t="n">
        <v>300000</v>
      </c>
      <c r="J20" s="90">
        <f>IF(TransferName="NONE",0,(_xlfn.XLOOKUP(TransferNumber,Clients!D:D,Clients!AFY:AFY,2,0,1)))</f>
        <v/>
      </c>
      <c r="K20" s="90" t="n">
        <v>1</v>
      </c>
    </row>
    <row r="21">
      <c r="B21" s="855" t="inlineStr">
        <is>
          <t>If you are entitled to the Canada caregiver amount for your spouse or common-law partner, enter $2,350. (See the "Canada caregiver amount" in Step 5 of the guide and at line 30425 below.)</t>
        </is>
      </c>
      <c r="C21" s="279" t="n"/>
      <c r="D21" s="279" t="n"/>
      <c r="E21" s="279" t="n"/>
      <c r="F21" s="279" t="n"/>
      <c r="G21" s="279" t="n"/>
      <c r="H21" s="856" t="n">
        <v>51090</v>
      </c>
      <c r="I21" s="90" t="n"/>
      <c r="J21" s="90">
        <f>IF(TransferName="NONE",0,IF((_xlfn.XLOOKUP(TransferNumber,Clients!D:D,Clients!AKT:AKT,2,0,1))=0,2350,(_xlfn.XLOOKUP(TransferNumber,Clients!D:D,Clients!AKT:AKT,2,0,1))))</f>
        <v/>
      </c>
      <c r="K21" s="478" t="n">
        <v>2</v>
      </c>
    </row>
    <row r="22"/>
    <row r="23"/>
    <row r="24">
      <c r="B24" s="39" t="n"/>
      <c r="C24" s="39" t="n"/>
      <c r="D24" s="39" t="n"/>
      <c r="E24" s="39" t="n"/>
      <c r="F24" s="39" t="n"/>
      <c r="G24" s="39" t="n"/>
      <c r="H24" s="39" t="n"/>
      <c r="I24" s="39" t="n"/>
      <c r="J24" s="39" t="n"/>
      <c r="K24" s="39" t="n"/>
    </row>
    <row r="25">
      <c r="B25" s="91" t="inlineStr">
        <is>
          <t>Add lines 1 and 2.</t>
        </is>
      </c>
      <c r="C25" s="91" t="n"/>
      <c r="D25" s="91" t="n"/>
      <c r="E25" s="91" t="n"/>
      <c r="F25" s="91" t="n"/>
      <c r="G25" s="91" t="n"/>
      <c r="H25" s="91" t="n"/>
      <c r="I25" s="91" t="n"/>
      <c r="J25" s="92">
        <f>IF(AND(J18&gt;0,J19&gt;0),0,J20+J21)</f>
        <v/>
      </c>
      <c r="K25" s="90" t="n">
        <v>3</v>
      </c>
    </row>
    <row r="26">
      <c r="B26" s="91" t="inlineStr">
        <is>
          <t>Spouse's or common-law partner's net income from page 1 of your return</t>
        </is>
      </c>
      <c r="C26" s="91" t="n"/>
      <c r="D26" s="91" t="n"/>
      <c r="E26" s="91" t="n"/>
      <c r="F26" s="91" t="n"/>
      <c r="G26" s="91" t="n"/>
      <c r="H26" s="91" t="n"/>
      <c r="I26" s="91" t="n"/>
      <c r="J26" s="90">
        <f>IF(TransferName="NONE",0,(_xlfn.XLOOKUP(MainClient,Clients!D:D,Clients!AFD:AFD,2,0,1)))</f>
        <v/>
      </c>
      <c r="K26" s="90" t="n">
        <v>4</v>
      </c>
    </row>
    <row r="27">
      <c r="B27" s="855" t="inlineStr">
        <is>
          <t>Line 3 minus line 4 (if negative, enter "0"). Enter this amount on line 30300 of your return.</t>
        </is>
      </c>
      <c r="C27" s="279" t="n"/>
      <c r="D27" s="279" t="n"/>
      <c r="E27" s="279" t="n"/>
      <c r="F27" s="279" t="n"/>
      <c r="G27" s="279" t="n"/>
      <c r="H27" s="478" t="n"/>
      <c r="I27" s="478" t="n"/>
      <c r="J27" s="94">
        <f>IF((AND(J18&gt;0,J19=0)),2295,IF(J25-J26&gt;0,J25-J26,0))</f>
        <v/>
      </c>
      <c r="K27" s="478" t="n">
        <v>5</v>
      </c>
    </row>
    <row r="28">
      <c r="B28" s="39" t="n"/>
      <c r="C28" s="39" t="n"/>
      <c r="D28" s="39" t="n"/>
      <c r="E28" s="39" t="n"/>
      <c r="F28" s="39" t="n"/>
      <c r="G28" s="39" t="n"/>
      <c r="H28" s="39" t="n"/>
      <c r="I28" s="39" t="n"/>
      <c r="J28">
        <f>J27*0.15</f>
        <v/>
      </c>
      <c r="K28" s="39" t="n"/>
    </row>
    <row r="29">
      <c r="B29" s="659" t="n"/>
      <c r="C29" s="659" t="n"/>
      <c r="D29" s="659" t="n"/>
      <c r="E29" s="659" t="n"/>
      <c r="F29" s="659" t="n"/>
      <c r="G29" s="659" t="n"/>
      <c r="H29" s="449" t="n"/>
      <c r="I29" s="449" t="n"/>
      <c r="K29" s="449" t="n"/>
    </row>
    <row r="30" ht="26.25" customHeight="1">
      <c r="B30" s="93" t="n">
        <v>2021</v>
      </c>
    </row>
    <row r="31">
      <c r="B31" t="inlineStr">
        <is>
          <t>Current Line 30300</t>
        </is>
      </c>
      <c r="J31">
        <f>IF(TransferName="NONE",0,_xlfn.XLOOKUP(TransferNumber,Clients!D:D,Clients!BGV:BGV,2,0,1))</f>
        <v/>
      </c>
    </row>
    <row r="32">
      <c r="B32" t="inlineStr">
        <is>
          <t>Current Line 51090</t>
        </is>
      </c>
      <c r="J32">
        <f>IF(TransferName="NONE",0,(_xlfn.XLOOKUP(TransferNumber,Clients!D:D,Clients!BLO:BLO,2,0,1)))</f>
        <v/>
      </c>
    </row>
    <row r="33">
      <c r="B33" s="91" t="inlineStr">
        <is>
          <t>Your basic personal amount (line 30000 of your return)</t>
        </is>
      </c>
      <c r="C33" s="91" t="n"/>
      <c r="D33" s="91" t="n"/>
      <c r="E33" s="91" t="n"/>
      <c r="F33" s="91" t="n"/>
      <c r="G33" s="91" t="n"/>
      <c r="H33" s="91" t="n"/>
      <c r="I33" s="91" t="n">
        <v>300000</v>
      </c>
      <c r="J33" s="90">
        <f>IF(TransferName="NONE",0,(_xlfn.XLOOKUP(TransferNumber,Clients!D:D,Clients!BGT:BGT,2,0,1)))</f>
        <v/>
      </c>
      <c r="K33" s="90" t="n">
        <v>1</v>
      </c>
    </row>
    <row r="34">
      <c r="B34" s="855" t="inlineStr">
        <is>
          <t>If you are entitled to the Canada caregiver amount for your spouse or common-law partner, enter $2,273. (See the "Canada caregiver amount" in Step 5 of the guide and at line 30425 below.)</t>
        </is>
      </c>
      <c r="C34" s="279" t="n"/>
      <c r="D34" s="279" t="n"/>
      <c r="E34" s="279" t="n"/>
      <c r="F34" s="279" t="n"/>
      <c r="G34" s="279" t="n"/>
      <c r="H34" s="856" t="n">
        <v>51090</v>
      </c>
      <c r="I34" s="90" t="n"/>
      <c r="J34" s="90">
        <f>IF(TransferName="NONE",0,IF((_xlfn.XLOOKUP(TransferNumber,Clients!D:D,Clients!BLO:BLO,2,0,1))=0,2295,(_xlfn.XLOOKUP(TransferNumber,Clients!D:D,Clients!BLO:BLO,2,0,1))))</f>
        <v/>
      </c>
      <c r="K34" s="478" t="n">
        <v>2</v>
      </c>
    </row>
    <row r="35"/>
    <row r="36"/>
    <row r="37">
      <c r="B37" s="39" t="n"/>
      <c r="C37" s="39" t="n"/>
      <c r="D37" s="39" t="n"/>
      <c r="E37" s="39" t="n"/>
      <c r="F37" s="39" t="n"/>
      <c r="G37" s="39" t="n"/>
      <c r="H37" s="39" t="n"/>
      <c r="I37" s="39" t="n"/>
      <c r="J37" s="39" t="n"/>
      <c r="K37" s="39" t="n"/>
    </row>
    <row r="38">
      <c r="B38" s="91" t="inlineStr">
        <is>
          <t>Add lines 1 and 2.</t>
        </is>
      </c>
      <c r="C38" s="91" t="n"/>
      <c r="D38" s="91" t="n"/>
      <c r="E38" s="91" t="n"/>
      <c r="F38" s="91" t="n"/>
      <c r="G38" s="91" t="n"/>
      <c r="H38" s="91" t="n"/>
      <c r="I38" s="91" t="n"/>
      <c r="J38" s="92">
        <f>IF(AND(J31&gt;0,J32&gt;0),0,J33+J34)</f>
        <v/>
      </c>
      <c r="K38" s="90" t="n">
        <v>3</v>
      </c>
    </row>
    <row r="39">
      <c r="B39" s="91" t="inlineStr">
        <is>
          <t>Spouse's or common-law partner's net income from page 1 of your return</t>
        </is>
      </c>
      <c r="C39" s="91" t="n"/>
      <c r="D39" s="91" t="n"/>
      <c r="E39" s="91" t="n"/>
      <c r="F39" s="91" t="n"/>
      <c r="G39" s="91" t="n"/>
      <c r="H39" s="91" t="n"/>
      <c r="I39" s="91" t="n"/>
      <c r="J39" s="90">
        <f>IF(TransferName="NONE",0,(_xlfn.XLOOKUP(MainClient,Clients!D:D,Clients!BFY:BFY,2,0,1)))</f>
        <v/>
      </c>
      <c r="K39" s="90" t="n">
        <v>4</v>
      </c>
    </row>
    <row r="40">
      <c r="B40" s="855" t="inlineStr">
        <is>
          <t>Line 3 minus line 4 (if negative, enter "0"). Enter this amount on line 30300 of your return.</t>
        </is>
      </c>
      <c r="C40" s="279" t="n"/>
      <c r="D40" s="279" t="n"/>
      <c r="E40" s="279" t="n"/>
      <c r="F40" s="279" t="n"/>
      <c r="G40" s="279" t="n"/>
      <c r="H40" s="478" t="n"/>
      <c r="I40" s="478" t="n"/>
      <c r="J40" s="94">
        <f>IF((AND(J31&gt;0,J32=0)),2295,IF(J38-J39&gt;0,J38-J39,0))</f>
        <v/>
      </c>
      <c r="K40" s="478" t="n">
        <v>5</v>
      </c>
    </row>
    <row r="41">
      <c r="B41" s="39" t="n"/>
      <c r="C41" s="39" t="n"/>
      <c r="D41" s="39" t="n"/>
      <c r="E41" s="39" t="n"/>
      <c r="F41" s="39" t="n"/>
      <c r="G41" s="39" t="n"/>
      <c r="H41" s="39" t="n"/>
      <c r="I41" s="39" t="n"/>
      <c r="J41">
        <f>J40*0.15</f>
        <v/>
      </c>
      <c r="K41" s="39" t="n"/>
    </row>
    <row r="43" ht="26.25" customHeight="1">
      <c r="B43" s="93" t="n">
        <v>2020</v>
      </c>
    </row>
    <row r="44">
      <c r="B44" t="inlineStr">
        <is>
          <t>Current Line 30300</t>
        </is>
      </c>
      <c r="J44">
        <f>IF(TransferName="NONE",0,_xlfn.XLOOKUP(TransferNumber,Clients!D:D,Clients!CHQ:CHQ,2,0,1))</f>
        <v/>
      </c>
    </row>
    <row r="45">
      <c r="B45" t="inlineStr">
        <is>
          <t>Current Line 51090</t>
        </is>
      </c>
      <c r="J45">
        <f>IF(TransferName="NONE",0,(_xlfn.XLOOKUP(TransferNumber,Clients!D:D,Clients!CMJ:CMJ,2,0,1)))</f>
        <v/>
      </c>
    </row>
    <row r="46">
      <c r="B46" s="91" t="inlineStr">
        <is>
          <t>Your basic personal amount (line 30000 of your return)</t>
        </is>
      </c>
      <c r="C46" s="91" t="n"/>
      <c r="D46" s="91" t="n"/>
      <c r="E46" s="91" t="n"/>
      <c r="F46" s="91" t="n"/>
      <c r="G46" s="91" t="n"/>
      <c r="H46" s="91" t="n"/>
      <c r="I46" s="91" t="n">
        <v>300000</v>
      </c>
      <c r="J46" s="90">
        <f>IF(TransferName="NONE",0,(_xlfn.XLOOKUP(TransferNumber,Clients!D:D,Clients!CHO:CHO,2,0,1)))</f>
        <v/>
      </c>
      <c r="K46" s="90" t="n">
        <v>1</v>
      </c>
    </row>
    <row r="47" ht="15" customHeight="1">
      <c r="B47" s="855" t="inlineStr">
        <is>
          <t>If you are entitled to the Canada caregiver amount for your spouse or common-law partner, enter $2,273. (See the "Canada caregiver amount" in Step 5 of the guide and at line 30425 below.)</t>
        </is>
      </c>
      <c r="C47" s="279" t="n"/>
      <c r="D47" s="279" t="n"/>
      <c r="E47" s="279" t="n"/>
      <c r="F47" s="279" t="n"/>
      <c r="G47" s="279" t="n"/>
      <c r="H47" s="856" t="n">
        <v>51090</v>
      </c>
      <c r="I47" s="90" t="n"/>
      <c r="J47" s="90">
        <f>IF(TransferName="NONE",0,IF((_xlfn.XLOOKUP(TransferNumber,Clients!D:D,Clients!CMJ:CMJ,2,0,1))=0,2273,(_xlfn.XLOOKUP(TransferNumber,Clients!D:D,Clients!CMJ:CMJ,2,0,1))))</f>
        <v/>
      </c>
      <c r="K47" s="478" t="n">
        <v>2</v>
      </c>
    </row>
    <row r="48"/>
    <row r="49"/>
    <row r="50">
      <c r="B50" s="39" t="n"/>
      <c r="C50" s="39" t="n"/>
      <c r="D50" s="39" t="n"/>
      <c r="E50" s="39" t="n"/>
      <c r="F50" s="39" t="n"/>
      <c r="G50" s="39" t="n"/>
      <c r="H50" s="39" t="n"/>
      <c r="I50" s="39" t="n"/>
      <c r="J50" s="39" t="n"/>
      <c r="K50" s="39" t="n"/>
    </row>
    <row r="51">
      <c r="B51" s="91" t="inlineStr">
        <is>
          <t>Add lines 1 and 2.</t>
        </is>
      </c>
      <c r="C51" s="91" t="n"/>
      <c r="D51" s="91" t="n"/>
      <c r="E51" s="91" t="n"/>
      <c r="F51" s="91" t="n"/>
      <c r="G51" s="91" t="n"/>
      <c r="H51" s="91" t="n"/>
      <c r="I51" s="91" t="n"/>
      <c r="J51" s="92">
        <f>IF(AND(J44&gt;0,J45&gt;0),0,J46+J47)</f>
        <v/>
      </c>
      <c r="K51" s="90" t="n">
        <v>3</v>
      </c>
    </row>
    <row r="52">
      <c r="B52" s="91" t="inlineStr">
        <is>
          <t>Spouse's or common-law partner's net income from page 1 of your return</t>
        </is>
      </c>
      <c r="C52" s="91" t="n"/>
      <c r="D52" s="91" t="n"/>
      <c r="E52" s="91" t="n"/>
      <c r="F52" s="91" t="n"/>
      <c r="G52" s="91" t="n"/>
      <c r="H52" s="91" t="n"/>
      <c r="I52" s="91" t="n"/>
      <c r="J52" s="90">
        <f>IF(TransferName="NONE",0,(_xlfn.XLOOKUP(MainClient,Clients!D:D,Clients!CGT:CGT,2,0,1)))</f>
        <v/>
      </c>
      <c r="K52" s="90" t="n">
        <v>4</v>
      </c>
    </row>
    <row r="53">
      <c r="B53" s="855" t="inlineStr">
        <is>
          <t>Line 3 minus line 4 (if negative, enter "0"). Enter this amount on line 30300 of your return.</t>
        </is>
      </c>
      <c r="C53" s="279" t="n"/>
      <c r="D53" s="279" t="n"/>
      <c r="E53" s="279" t="n"/>
      <c r="F53" s="279" t="n"/>
      <c r="G53" s="279" t="n"/>
      <c r="H53" s="478" t="n"/>
      <c r="I53" s="478" t="n"/>
      <c r="J53" s="94">
        <f>IF((AND(J44&gt;0,J45=0)),2273,IF(J51-J52&gt;0,J51-J52,0))</f>
        <v/>
      </c>
      <c r="K53" s="478" t="n">
        <v>5</v>
      </c>
    </row>
    <row r="54">
      <c r="B54" s="39" t="n"/>
      <c r="C54" s="39" t="n"/>
      <c r="D54" s="39" t="n"/>
      <c r="E54" s="39" t="n"/>
      <c r="F54" s="39" t="n"/>
      <c r="G54" s="39" t="n"/>
      <c r="H54" s="39" t="n"/>
      <c r="I54" s="39" t="n"/>
      <c r="J54">
        <f>J53*0.15</f>
        <v/>
      </c>
      <c r="K54" s="39" t="n"/>
    </row>
    <row r="56">
      <c r="F56">
        <f>Calculator!$D$5</f>
        <v/>
      </c>
      <c r="I56">
        <f>TransferName</f>
        <v/>
      </c>
    </row>
    <row r="57" ht="26.25" customHeight="1">
      <c r="B57" s="93" t="n">
        <v>2019</v>
      </c>
    </row>
    <row r="58">
      <c r="B58" t="inlineStr">
        <is>
          <t>Current Line 30300</t>
        </is>
      </c>
      <c r="J58">
        <f>IF(TransferName="NONE",0,_xlfn.XLOOKUP(TransferNumber,Clients!D:D,Clients!DIL:DIL,2,0,1))</f>
        <v/>
      </c>
    </row>
    <row r="59">
      <c r="B59" t="inlineStr">
        <is>
          <t>Current Line 51090</t>
        </is>
      </c>
      <c r="J59">
        <f>(_xlfn.XLOOKUP(TransferNumber,Clients!D:D,Clients!DNE:DNE,2,0,1))</f>
        <v/>
      </c>
    </row>
    <row r="60">
      <c r="B60" s="91" t="inlineStr">
        <is>
          <t>Base amount</t>
        </is>
      </c>
      <c r="C60" s="91" t="n"/>
      <c r="D60" s="91" t="n"/>
      <c r="E60" s="91" t="n"/>
      <c r="F60" s="91" t="n"/>
      <c r="G60" s="91" t="n"/>
      <c r="H60" s="91" t="n"/>
      <c r="I60" s="91" t="n"/>
      <c r="J60" s="92" t="n">
        <v>12069</v>
      </c>
      <c r="K60" s="90" t="n">
        <v>1</v>
      </c>
    </row>
    <row r="61">
      <c r="B61" s="855" t="inlineStr">
        <is>
          <t>If you are entitled to the Canada caregiver amount for your spouse or common-law partner, enter $2,230. (See the "Canada caregiver amount" in Step 5 of the guide and at line 30425 below.)</t>
        </is>
      </c>
      <c r="C61" s="279" t="n"/>
      <c r="D61" s="279" t="n"/>
      <c r="E61" s="279" t="n"/>
      <c r="F61" s="279" t="n"/>
      <c r="G61" s="279" t="n"/>
      <c r="H61" s="856" t="n">
        <v>51090</v>
      </c>
      <c r="I61" s="90" t="n"/>
      <c r="J61" s="90">
        <f>IF(TransferName="NONE",0,IF((_xlfn.XLOOKUP(TransferNumber,Clients!D:D,Clients!DNE:DNE,2,0,1))=0,2230,(_xlfn.XLOOKUP(TransferNumber,Clients!D:D,Clients!DNE:DNE,2,0,1))))</f>
        <v/>
      </c>
      <c r="K61" s="478" t="n">
        <v>2</v>
      </c>
    </row>
    <row r="62"/>
    <row r="63"/>
    <row r="64">
      <c r="B64" s="39" t="n"/>
      <c r="C64" s="39" t="n"/>
      <c r="D64" s="39" t="n"/>
      <c r="E64" s="39" t="n"/>
      <c r="F64" s="39" t="n"/>
      <c r="G64" s="39" t="n"/>
      <c r="H64" s="39" t="n"/>
      <c r="I64" s="39" t="n"/>
      <c r="J64" s="39" t="n"/>
      <c r="K64" s="39" t="n"/>
    </row>
    <row r="65">
      <c r="B65" s="91" t="inlineStr">
        <is>
          <t>Add lines 1 and 2.</t>
        </is>
      </c>
      <c r="C65" s="91" t="n"/>
      <c r="D65" s="91" t="n"/>
      <c r="E65" s="91" t="n"/>
      <c r="F65" s="91" t="n"/>
      <c r="G65" s="91" t="n"/>
      <c r="H65" s="91" t="n"/>
      <c r="I65" s="91" t="n"/>
      <c r="J65" s="92">
        <f>IF(AND(J58&gt;0,J59&gt;0),0,J60+J61)</f>
        <v/>
      </c>
      <c r="K65" s="90" t="n">
        <v>3</v>
      </c>
    </row>
    <row r="66">
      <c r="B66" s="91" t="inlineStr">
        <is>
          <t>Spouse's or common-law partner's net income from page 1 of your return</t>
        </is>
      </c>
      <c r="C66" s="91" t="n"/>
      <c r="D66" s="91" t="n"/>
      <c r="E66" s="91" t="n"/>
      <c r="F66" s="91" t="n"/>
      <c r="G66" s="91" t="n"/>
      <c r="H66" s="91" t="n"/>
      <c r="I66" s="91" t="n"/>
      <c r="J66" s="91">
        <f>IF(TransferName="NONE",0,(_xlfn.XLOOKUP(MainClient,Clients!D:D,Clients!DHO:DHO,2,0,1)))</f>
        <v/>
      </c>
      <c r="K66" s="90" t="n">
        <v>4</v>
      </c>
    </row>
    <row r="67">
      <c r="B67" s="855" t="inlineStr">
        <is>
          <t>Line 3 minus line 4 (if negative, enter "0"). Enter this amount on line 30300 of your return.</t>
        </is>
      </c>
      <c r="C67" s="279" t="n"/>
      <c r="D67" s="279" t="n"/>
      <c r="E67" s="279" t="n"/>
      <c r="F67" s="279" t="n"/>
      <c r="G67" s="279" t="n"/>
      <c r="H67" s="478" t="n"/>
      <c r="I67" s="478" t="n"/>
      <c r="J67" s="94">
        <f>IF((AND(J58&gt;0,J59=0)),2230,IF(J65-J66&gt;0,J65-J66,0))</f>
        <v/>
      </c>
      <c r="K67" s="452" t="n">
        <v>5</v>
      </c>
    </row>
    <row r="68">
      <c r="B68" s="39" t="n"/>
      <c r="C68" s="39" t="n"/>
      <c r="D68" s="39" t="n"/>
      <c r="E68" s="39" t="n"/>
      <c r="F68" s="39" t="n"/>
      <c r="G68" s="39" t="n"/>
      <c r="H68" s="39" t="n"/>
      <c r="I68" s="39" t="n"/>
      <c r="J68" s="95">
        <f>J67*0.15</f>
        <v/>
      </c>
      <c r="K68" s="95" t="n"/>
    </row>
    <row r="71">
      <c r="F71">
        <f>Calculator!$D$5</f>
        <v/>
      </c>
      <c r="I71">
        <f>TransferName</f>
        <v/>
      </c>
    </row>
    <row r="72" ht="26.25" customHeight="1">
      <c r="B72" s="93" t="n">
        <v>2018</v>
      </c>
    </row>
    <row r="73" ht="16.5" customHeight="1">
      <c r="B73" t="inlineStr">
        <is>
          <t>Current Line 303</t>
        </is>
      </c>
      <c r="J73">
        <f>_xlfn.XLOOKUP(TransferNumber,Clients!D:D,Clients!EJG:EJG,2,0,1)</f>
        <v/>
      </c>
    </row>
    <row r="74">
      <c r="B74" t="inlineStr">
        <is>
          <t>Current Line 5109</t>
        </is>
      </c>
      <c r="J74">
        <f>(_xlfn.XLOOKUP(TransferNumber,Clients!D:D,Clients!EOC:EOC,2,0,1))</f>
        <v/>
      </c>
    </row>
    <row r="75">
      <c r="B75" s="91" t="inlineStr">
        <is>
          <t>Base amount</t>
        </is>
      </c>
      <c r="C75" s="91" t="n"/>
      <c r="D75" s="91" t="n"/>
      <c r="E75" s="91" t="n"/>
      <c r="F75" s="91" t="n"/>
      <c r="G75" s="91" t="n"/>
      <c r="H75" s="91" t="n"/>
      <c r="I75" s="91" t="n"/>
      <c r="J75" s="92" t="n">
        <v>11809</v>
      </c>
      <c r="K75" s="90" t="n">
        <v>1</v>
      </c>
    </row>
    <row r="76">
      <c r="B76" s="855" t="inlineStr">
        <is>
          <t>If you are entitled to the Canada caregiver amount for your spouse or common-law partner, enter $2,182. (See the "Canada caregiver amount" in Step 5 of the guide and at line 304 below.)</t>
        </is>
      </c>
      <c r="C76" s="279" t="n"/>
      <c r="D76" s="279" t="n"/>
      <c r="E76" s="279" t="n"/>
      <c r="F76" s="279" t="n"/>
      <c r="G76" s="279" t="n"/>
      <c r="H76" s="856" t="n">
        <v>5109</v>
      </c>
      <c r="I76" s="90" t="n"/>
      <c r="J76" s="90">
        <f>IF(TransferName="NONE",0,IF((_xlfn.XLOOKUP(TransferNumber,Clients!D:D,Clients!EOC:EOC,2,0,1))=0,2182,(_xlfn.XLOOKUP(TransferNumber,Clients!D:D,Clients!EOC:EOC,2,0,1))))</f>
        <v/>
      </c>
      <c r="K76" s="478" t="n">
        <v>2</v>
      </c>
    </row>
    <row r="77"/>
    <row r="78"/>
    <row r="79">
      <c r="B79" s="39" t="n"/>
      <c r="C79" s="39" t="n"/>
      <c r="D79" s="39" t="n"/>
      <c r="E79" s="39" t="n"/>
      <c r="F79" s="39" t="n"/>
      <c r="G79" s="39" t="n"/>
      <c r="H79" s="39" t="n"/>
      <c r="I79" s="39" t="n"/>
      <c r="J79" s="39" t="n"/>
      <c r="K79" s="39" t="n"/>
    </row>
    <row r="80">
      <c r="B80" s="91" t="inlineStr">
        <is>
          <t>Add lines 1 and 2.</t>
        </is>
      </c>
      <c r="C80" s="91" t="n"/>
      <c r="D80" s="91" t="n"/>
      <c r="E80" s="91" t="n"/>
      <c r="F80" s="91" t="n"/>
      <c r="G80" s="91" t="n"/>
      <c r="H80" s="91" t="n"/>
      <c r="I80" s="91" t="n"/>
      <c r="J80" s="92">
        <f>IF(AND(J73&gt;0,J74&gt;0),0,J75+J76)</f>
        <v/>
      </c>
      <c r="K80" s="90" t="n">
        <v>3</v>
      </c>
    </row>
    <row r="81">
      <c r="B81" s="91" t="inlineStr">
        <is>
          <t>Spouse's or common-law partner's net income from page 1 of your return</t>
        </is>
      </c>
      <c r="C81" s="91" t="n"/>
      <c r="D81" s="91" t="n"/>
      <c r="E81" s="91" t="n"/>
      <c r="F81" s="91" t="n"/>
      <c r="G81" s="91" t="n"/>
      <c r="H81" s="91" t="n"/>
      <c r="I81" s="91" t="n"/>
      <c r="J81" s="91">
        <f>IF(TransferName="NONE",0,(_xlfn.XLOOKUP(MainClient,Clients!D:D,Clients!EIJ:EIJ,2,0,1)))</f>
        <v/>
      </c>
      <c r="K81" s="90" t="n">
        <v>4</v>
      </c>
    </row>
    <row r="82">
      <c r="B82" s="855" t="inlineStr">
        <is>
          <t>Line 3 minus line 4 (if negative, enter "0"). Enter this amount on line 303 of your return.</t>
        </is>
      </c>
      <c r="C82" s="279" t="n"/>
      <c r="D82" s="279" t="n"/>
      <c r="E82" s="279" t="n"/>
      <c r="F82" s="279" t="n"/>
      <c r="G82" s="279" t="n"/>
      <c r="H82" s="478" t="n"/>
      <c r="I82" s="478" t="n"/>
      <c r="J82" s="94">
        <f>IF((AND(J73&gt;0,J74=0)),2182,IF(J80-J81&gt;0,J80-J81,0))</f>
        <v/>
      </c>
      <c r="K82" s="478" t="n">
        <v>5</v>
      </c>
    </row>
    <row r="83">
      <c r="B83" s="39" t="n"/>
      <c r="C83" s="39" t="n"/>
      <c r="D83" s="39" t="n"/>
      <c r="E83" s="39" t="n"/>
      <c r="F83" s="39" t="n"/>
      <c r="G83" s="39" t="n"/>
      <c r="H83" s="39" t="n"/>
      <c r="I83" s="39" t="n"/>
      <c r="J83" s="95">
        <f>J82*0.15</f>
        <v/>
      </c>
      <c r="K83" s="39" t="n"/>
    </row>
    <row r="86">
      <c r="F86">
        <f>Calculator!$D$5</f>
        <v/>
      </c>
      <c r="I86">
        <f>TransferName</f>
        <v/>
      </c>
    </row>
    <row r="87" ht="26.25" customHeight="1">
      <c r="B87" s="93" t="n">
        <v>2017</v>
      </c>
    </row>
    <row r="88">
      <c r="B88" t="inlineStr">
        <is>
          <t>Current Line 303</t>
        </is>
      </c>
      <c r="J88">
        <f>_xlfn.XLOOKUP(TransferNumber,Clients!D:D,Clients!FJI:FJI,2,0,1)</f>
        <v/>
      </c>
    </row>
    <row r="89">
      <c r="B89" t="inlineStr">
        <is>
          <t>Current Line 5109</t>
        </is>
      </c>
      <c r="J89">
        <f>(_xlfn.XLOOKUP(TransferNumber,Clients!D:D,Clients!FOE:FOE,2,0,1))</f>
        <v/>
      </c>
    </row>
    <row r="90">
      <c r="B90" s="91" t="inlineStr">
        <is>
          <t>Base amount</t>
        </is>
      </c>
      <c r="C90" s="91" t="n"/>
      <c r="D90" s="91" t="n"/>
      <c r="E90" s="91" t="n"/>
      <c r="F90" s="91" t="n"/>
      <c r="G90" s="91" t="n"/>
      <c r="H90" s="91" t="n"/>
      <c r="I90" s="91" t="n"/>
      <c r="J90" s="92" t="n">
        <v>11635</v>
      </c>
      <c r="K90" s="90" t="n">
        <v>1</v>
      </c>
    </row>
    <row r="91">
      <c r="B91" s="857" t="inlineStr">
        <is>
          <t>If you are entitled to the Canada caregiver amount for your spouse or common-law partner, enter $2,150. (See page 44 in the guide and line 304 below.)</t>
        </is>
      </c>
      <c r="C91" s="279" t="n"/>
      <c r="D91" s="279" t="n"/>
      <c r="E91" s="279" t="n"/>
      <c r="F91" s="279" t="n"/>
      <c r="G91" s="279" t="n"/>
      <c r="H91" s="856" t="n">
        <v>5109</v>
      </c>
      <c r="I91" s="90" t="n"/>
      <c r="J91" s="90">
        <f>IF(TransferName="NONE",0,IF((_xlfn.XLOOKUP(TransferNumber,Clients!D:D,Clients!FOE:FOE,2,0,1))=0,2150,(_xlfn.XLOOKUP(TransferNumber,Clients!D:D,Clients!FOE:FOE,2,0,1))))</f>
        <v/>
      </c>
      <c r="K91" s="478" t="n">
        <v>2</v>
      </c>
    </row>
    <row r="92"/>
    <row r="93"/>
    <row r="94">
      <c r="B94" s="39" t="n"/>
      <c r="C94" s="39" t="n"/>
      <c r="D94" s="39" t="n"/>
      <c r="E94" s="39" t="n"/>
      <c r="F94" s="39" t="n"/>
      <c r="G94" s="39" t="n"/>
      <c r="H94" s="39" t="n"/>
      <c r="I94" s="39" t="n"/>
      <c r="J94" s="39" t="n"/>
      <c r="K94" s="39" t="n"/>
    </row>
    <row r="95">
      <c r="B95" s="91" t="inlineStr">
        <is>
          <t>Add lines 1 and 2.</t>
        </is>
      </c>
      <c r="C95" s="91" t="n"/>
      <c r="D95" s="91" t="n"/>
      <c r="E95" s="91" t="n"/>
      <c r="F95" s="91" t="n"/>
      <c r="G95" s="91" t="n"/>
      <c r="H95" s="91" t="n"/>
      <c r="I95" s="91" t="n"/>
      <c r="J95" s="92">
        <f>IF(AND(J88&gt;0,J89&gt;0),0,J90+J91)</f>
        <v/>
      </c>
      <c r="K95" s="90" t="n">
        <v>3</v>
      </c>
    </row>
    <row r="96">
      <c r="B96" s="91" t="inlineStr">
        <is>
          <t>Spouse's or common-law partner's net income from page 1 of your return</t>
        </is>
      </c>
      <c r="C96" s="91" t="n"/>
      <c r="D96" s="91" t="n"/>
      <c r="E96" s="91" t="n"/>
      <c r="F96" s="91" t="n"/>
      <c r="G96" s="91" t="n"/>
      <c r="H96" s="91" t="n"/>
      <c r="I96" s="91" t="n"/>
      <c r="J96" s="91">
        <f>IF(TransferName="NONE",0,(_xlfn.XLOOKUP(MainClient,Clients!D:D,Clients!FIL:FIL,2,0,1)))</f>
        <v/>
      </c>
      <c r="K96" s="90" t="n">
        <v>4</v>
      </c>
    </row>
    <row r="97">
      <c r="B97" s="855" t="inlineStr">
        <is>
          <t>Line 3 minus line 4 (if negative, enter "0"). Enter this amount on line 303 of your schedule 1.</t>
        </is>
      </c>
      <c r="C97" s="279" t="n"/>
      <c r="D97" s="279" t="n"/>
      <c r="E97" s="279" t="n"/>
      <c r="F97" s="279" t="n"/>
      <c r="G97" s="279" t="n"/>
      <c r="H97" s="478" t="n"/>
      <c r="I97" s="478" t="n"/>
      <c r="J97" s="94">
        <f>IF((AND(J88&gt;0,J89=0)),2150,IF(J95-J96&gt;0,J95-J96,0))</f>
        <v/>
      </c>
      <c r="K97" s="478" t="n">
        <v>5</v>
      </c>
    </row>
    <row r="98">
      <c r="B98" s="39" t="n"/>
      <c r="C98" s="39" t="n"/>
      <c r="D98" s="39" t="n"/>
      <c r="E98" s="39" t="n"/>
      <c r="F98" s="39" t="n"/>
      <c r="G98" s="39" t="n"/>
      <c r="H98" s="39" t="n"/>
      <c r="I98" s="39" t="n"/>
      <c r="J98" s="95">
        <f>J97*0.15</f>
        <v/>
      </c>
      <c r="K98" s="39" t="n"/>
    </row>
    <row r="101">
      <c r="F101">
        <f>Calculator!$D$5</f>
        <v/>
      </c>
      <c r="I101">
        <f>TransferName</f>
        <v/>
      </c>
    </row>
    <row r="102" ht="26.25" customHeight="1">
      <c r="B102" s="93" t="n">
        <v>2016</v>
      </c>
    </row>
    <row r="103">
      <c r="B103" t="inlineStr">
        <is>
          <t>Current Line 303</t>
        </is>
      </c>
      <c r="J103">
        <f>_xlfn.XLOOKUP(TransferNumber,Clients!D:D,Clients!GJK:GJK,2,0,1)</f>
        <v/>
      </c>
    </row>
    <row r="104">
      <c r="B104" t="inlineStr">
        <is>
          <t>Current Line 5109</t>
        </is>
      </c>
      <c r="J104">
        <f>(_xlfn.XLOOKUP(TransferNumber,Clients!D:D,Clients!GOG:GOG,2,0,1))</f>
        <v/>
      </c>
    </row>
    <row r="105">
      <c r="B105" s="91" t="inlineStr">
        <is>
          <t>Base amount</t>
        </is>
      </c>
      <c r="C105" s="91" t="n"/>
      <c r="D105" s="91" t="n"/>
      <c r="E105" s="91" t="n"/>
      <c r="F105" s="91" t="n"/>
      <c r="G105" s="91" t="n"/>
      <c r="H105" s="91" t="n"/>
      <c r="I105" s="91" t="n"/>
      <c r="J105" s="92" t="n">
        <v>11474</v>
      </c>
      <c r="K105" s="90" t="n">
        <v>1</v>
      </c>
    </row>
    <row r="106">
      <c r="B106" s="857" t="inlineStr">
        <is>
          <t>If you are entitled to the Family caregiver amount, enter $2,121. (See page 45 in the guide.)</t>
        </is>
      </c>
      <c r="C106" s="279" t="n"/>
      <c r="D106" s="279" t="n"/>
      <c r="E106" s="279" t="n"/>
      <c r="F106" s="279" t="n"/>
      <c r="G106" s="279" t="n"/>
      <c r="H106" s="856" t="n">
        <v>5109</v>
      </c>
      <c r="I106" s="90" t="n"/>
      <c r="J106" s="90">
        <f>IF(TransferName="NONE",0,IF((_xlfn.XLOOKUP(TransferNumber,Clients!D:D,Clients!GOG:GOG,2,0,1))=0,2121,(_xlfn.XLOOKUP(TransferNumber,Clients!D:D,Clients!GOG:GOG,2,0,1))))</f>
        <v/>
      </c>
      <c r="K106" s="478" t="n">
        <v>2</v>
      </c>
    </row>
    <row r="107"/>
    <row r="108"/>
    <row r="109">
      <c r="B109" s="39" t="n"/>
      <c r="C109" s="39" t="n"/>
      <c r="D109" s="39" t="n"/>
      <c r="E109" s="39" t="n"/>
      <c r="F109" s="39" t="n"/>
      <c r="G109" s="39" t="n"/>
      <c r="H109" s="39" t="n"/>
      <c r="I109" s="39" t="n"/>
      <c r="J109" s="39" t="n"/>
      <c r="K109" s="39" t="n"/>
    </row>
    <row r="110">
      <c r="B110" s="91" t="inlineStr">
        <is>
          <t>Add lines 1 and 2.</t>
        </is>
      </c>
      <c r="C110" s="91" t="n"/>
      <c r="D110" s="91" t="n"/>
      <c r="E110" s="91" t="n"/>
      <c r="F110" s="91" t="n"/>
      <c r="G110" s="91" t="n"/>
      <c r="H110" s="91" t="n"/>
      <c r="I110" s="91" t="n"/>
      <c r="J110" s="92">
        <f>IF(AND(J103&gt;0,J104&gt;0),0,J105+J106)</f>
        <v/>
      </c>
      <c r="K110" s="90" t="n">
        <v>3</v>
      </c>
    </row>
    <row r="111">
      <c r="B111" s="91" t="inlineStr">
        <is>
          <t>Spouse's or common-law partner's net income from page 1 of your return</t>
        </is>
      </c>
      <c r="C111" s="91" t="n"/>
      <c r="D111" s="91" t="n"/>
      <c r="E111" s="91" t="n"/>
      <c r="F111" s="91" t="n"/>
      <c r="G111" s="91" t="n"/>
      <c r="H111" s="91" t="n"/>
      <c r="I111" s="91" t="n"/>
      <c r="J111" s="91">
        <f>IF(TransferName="NONE",0,(_xlfn.XLOOKUP(MainClient,Clients!D:D,Clients!GIN:GIN,2,0,1)))</f>
        <v/>
      </c>
      <c r="K111" s="90" t="n">
        <v>4</v>
      </c>
    </row>
    <row r="112">
      <c r="B112" s="855" t="inlineStr">
        <is>
          <t>Line 3 minus line 4 (if negative, enter "0"). Enter this amount on line 303 of your schedule 1.</t>
        </is>
      </c>
      <c r="C112" s="279" t="n"/>
      <c r="D112" s="279" t="n"/>
      <c r="E112" s="279" t="n"/>
      <c r="F112" s="279" t="n"/>
      <c r="G112" s="279" t="n"/>
      <c r="H112" s="478" t="n"/>
      <c r="I112" s="478" t="n"/>
      <c r="J112" s="94">
        <f>IF((AND(J103&gt;0,J104=0)),2121,IF(J110-J111&gt;0,J110-J111,0))</f>
        <v/>
      </c>
      <c r="K112" s="478" t="n">
        <v>5</v>
      </c>
    </row>
    <row r="113">
      <c r="B113" s="39" t="n"/>
      <c r="C113" s="39" t="n"/>
      <c r="D113" s="39" t="n"/>
      <c r="E113" s="39" t="n"/>
      <c r="F113" s="39" t="n"/>
      <c r="G113" s="39" t="n"/>
      <c r="H113" s="39" t="n"/>
      <c r="I113" s="39" t="n"/>
      <c r="J113" s="95">
        <f>J112*0.15</f>
        <v/>
      </c>
      <c r="K113" s="39" t="n"/>
    </row>
    <row r="116">
      <c r="F116">
        <f>Calculator!$D$5</f>
        <v/>
      </c>
      <c r="I116">
        <f>TransferName</f>
        <v/>
      </c>
    </row>
    <row r="117" ht="26.25" customHeight="1">
      <c r="B117" s="93" t="n">
        <v>2015</v>
      </c>
    </row>
    <row r="118">
      <c r="B118" t="inlineStr">
        <is>
          <t>Current Line 303</t>
        </is>
      </c>
      <c r="J118">
        <f>_xlfn.XLOOKUP(TransferNumber,Clients!D:D,Clients!HJM:HJM,2,0,1)</f>
        <v/>
      </c>
    </row>
    <row r="119">
      <c r="B119" t="inlineStr">
        <is>
          <t>Current Line 5109</t>
        </is>
      </c>
      <c r="J119">
        <f>(_xlfn.XLOOKUP(TransferNumber,Clients!D:D,Clients!HOI:HOI,2,0,1))</f>
        <v/>
      </c>
    </row>
    <row r="120">
      <c r="B120" s="91" t="inlineStr">
        <is>
          <t>Base amount</t>
        </is>
      </c>
      <c r="C120" s="91" t="n"/>
      <c r="D120" s="91" t="n"/>
      <c r="E120" s="91" t="n"/>
      <c r="F120" s="91" t="n"/>
      <c r="G120" s="91" t="n"/>
      <c r="H120" s="91" t="n"/>
      <c r="I120" s="91" t="n"/>
      <c r="J120" s="92" t="n">
        <v>11327</v>
      </c>
      <c r="K120" s="90" t="n">
        <v>1</v>
      </c>
    </row>
    <row r="121">
      <c r="B121" s="857" t="inlineStr">
        <is>
          <t>If you are entitled to the Family caregiver amount, enter $2,093. (See page 43 in the guide.)</t>
        </is>
      </c>
      <c r="C121" s="279" t="n"/>
      <c r="D121" s="279" t="n"/>
      <c r="E121" s="279" t="n"/>
      <c r="F121" s="279" t="n"/>
      <c r="G121" s="279" t="n"/>
      <c r="H121" s="856" t="n">
        <v>5109</v>
      </c>
      <c r="I121" s="90" t="n"/>
      <c r="J121" s="90">
        <f>IF(TransferName="NONE",0,IF((_xlfn.XLOOKUP(TransferNumber,Clients!D:D,Clients!HOI:HOI,2,0,1))=0,2093,(_xlfn.XLOOKUP(TransferNumber,Clients!D:D,Clients!HOI:HOI,2,0,1))))</f>
        <v/>
      </c>
      <c r="K121" s="478" t="n">
        <v>2</v>
      </c>
    </row>
    <row r="122"/>
    <row r="123"/>
    <row r="124">
      <c r="B124" s="39" t="n"/>
      <c r="C124" s="39" t="n"/>
      <c r="D124" s="39" t="n"/>
      <c r="E124" s="39" t="n"/>
      <c r="F124" s="39" t="n"/>
      <c r="G124" s="39" t="n"/>
      <c r="H124" s="39" t="n"/>
      <c r="I124" s="39" t="n"/>
      <c r="J124" s="39" t="n"/>
      <c r="K124" s="39" t="n"/>
    </row>
    <row r="125">
      <c r="B125" s="91" t="inlineStr">
        <is>
          <t>Add lines 1 and 2.</t>
        </is>
      </c>
      <c r="C125" s="91" t="n"/>
      <c r="D125" s="91" t="n"/>
      <c r="E125" s="91" t="n"/>
      <c r="F125" s="91" t="n"/>
      <c r="G125" s="91" t="n"/>
      <c r="H125" s="91" t="n"/>
      <c r="I125" s="91" t="n"/>
      <c r="J125" s="92">
        <f>IF(AND(J118&gt;0,J119&gt;0),0,J120+J121)</f>
        <v/>
      </c>
      <c r="K125" s="90" t="n">
        <v>3</v>
      </c>
    </row>
    <row r="126">
      <c r="B126" s="91" t="inlineStr">
        <is>
          <t>Spouse's or common-law partner's net income from page 1 of your return</t>
        </is>
      </c>
      <c r="C126" s="91" t="n"/>
      <c r="D126" s="91" t="n"/>
      <c r="E126" s="91" t="n"/>
      <c r="F126" s="91" t="n"/>
      <c r="G126" s="91" t="n"/>
      <c r="H126" s="91" t="n"/>
      <c r="I126" s="91" t="n"/>
      <c r="J126" s="91">
        <f>IF(TransferName="NONE",0,(_xlfn.XLOOKUP(MainClient,Clients!D:D,Clients!HIP:HIP,2,0,1)))</f>
        <v/>
      </c>
      <c r="K126" s="90" t="n">
        <v>4</v>
      </c>
    </row>
    <row r="127">
      <c r="B127" s="855" t="inlineStr">
        <is>
          <t>Line 3 minus line 4 (if negative, enter "0"). Enter this amount on line 303 of your schedule 1.</t>
        </is>
      </c>
      <c r="C127" s="279" t="n"/>
      <c r="D127" s="279" t="n"/>
      <c r="E127" s="279" t="n"/>
      <c r="F127" s="279" t="n"/>
      <c r="G127" s="279" t="n"/>
      <c r="H127" s="478" t="n"/>
      <c r="I127" s="478" t="n"/>
      <c r="J127" s="94">
        <f>IF((AND(J118&gt;0,J119=0)),2093,IF(J125-J126&gt;0,J125-J126,0))</f>
        <v/>
      </c>
      <c r="K127" s="478" t="n">
        <v>5</v>
      </c>
    </row>
    <row r="128">
      <c r="B128" s="39" t="n"/>
      <c r="C128" s="39" t="n"/>
      <c r="D128" s="39" t="n"/>
      <c r="E128" s="39" t="n"/>
      <c r="F128" s="39" t="n"/>
      <c r="G128" s="39" t="n"/>
      <c r="H128" s="39" t="n"/>
      <c r="I128" s="39" t="n"/>
      <c r="J128" s="95">
        <f>J127*0.15</f>
        <v/>
      </c>
      <c r="K128" s="39" t="n"/>
    </row>
    <row r="131">
      <c r="F131">
        <f>Calculator!$D$5</f>
        <v/>
      </c>
      <c r="I131">
        <f>TransferName</f>
        <v/>
      </c>
    </row>
    <row r="132" ht="26.25" customHeight="1">
      <c r="B132" s="93" t="n">
        <v>2014</v>
      </c>
    </row>
    <row r="133">
      <c r="B133" t="inlineStr">
        <is>
          <t>Current Line 303</t>
        </is>
      </c>
      <c r="J133">
        <f>_xlfn.XLOOKUP(TransferNumber,Clients!D:D,Clients!IJO:IJO,2,0,1)</f>
        <v/>
      </c>
    </row>
    <row r="134">
      <c r="B134" t="inlineStr">
        <is>
          <t>Current Line 5109</t>
        </is>
      </c>
      <c r="J134">
        <f>(_xlfn.XLOOKUP(TransferNumber,Clients!D:D,Clients!IOK:IOK,2,0,1))</f>
        <v/>
      </c>
    </row>
    <row r="135">
      <c r="B135" s="91" t="inlineStr">
        <is>
          <t>Base amount</t>
        </is>
      </c>
      <c r="C135" s="91" t="n"/>
      <c r="D135" s="91" t="n"/>
      <c r="E135" s="91" t="n"/>
      <c r="F135" s="91" t="n"/>
      <c r="G135" s="91" t="n"/>
      <c r="H135" s="91" t="n"/>
      <c r="I135" s="91" t="n"/>
      <c r="J135" s="92" t="n">
        <v>11138</v>
      </c>
      <c r="K135" s="90" t="n">
        <v>1</v>
      </c>
    </row>
    <row r="136">
      <c r="B136" s="857" t="inlineStr">
        <is>
          <t>If you are entitled to the Family caregiver amount, enter $2,058. (See page 35 in the guide.)</t>
        </is>
      </c>
      <c r="C136" s="279" t="n"/>
      <c r="D136" s="279" t="n"/>
      <c r="E136" s="279" t="n"/>
      <c r="F136" s="279" t="n"/>
      <c r="G136" s="279" t="n"/>
      <c r="H136" s="856" t="n">
        <v>5109</v>
      </c>
      <c r="I136" s="90" t="n"/>
      <c r="J136" s="90">
        <f>IF(TransferName="NONE",0,IF((_xlfn.XLOOKUP(TransferNumber,Clients!D:D,Clients!IOK:IOK,2,0,1))=0,2058,(_xlfn.XLOOKUP(TransferNumber,Clients!D:D,Clients!IOK:IOK,2,0,1))))</f>
        <v/>
      </c>
      <c r="K136" s="478" t="n">
        <v>2</v>
      </c>
    </row>
    <row r="137"/>
    <row r="138"/>
    <row r="139">
      <c r="B139" s="39" t="n"/>
      <c r="C139" s="39" t="n"/>
      <c r="D139" s="39" t="n"/>
      <c r="E139" s="39" t="n"/>
      <c r="F139" s="39" t="n"/>
      <c r="G139" s="39" t="n"/>
      <c r="H139" s="39" t="n"/>
      <c r="I139" s="39" t="n"/>
      <c r="J139" s="39" t="n"/>
      <c r="K139" s="39" t="n"/>
    </row>
    <row r="140">
      <c r="B140" s="91" t="inlineStr">
        <is>
          <t>Add lines 1 and 2.</t>
        </is>
      </c>
      <c r="C140" s="91" t="n"/>
      <c r="D140" s="91" t="n"/>
      <c r="E140" s="91" t="n"/>
      <c r="F140" s="91" t="n"/>
      <c r="G140" s="91" t="n"/>
      <c r="H140" s="91" t="n"/>
      <c r="I140" s="91" t="n"/>
      <c r="J140" s="92">
        <f>IF(AND(J133&gt;0,J134&gt;0),0,J135+J136)</f>
        <v/>
      </c>
      <c r="K140" s="90" t="n">
        <v>3</v>
      </c>
    </row>
    <row r="141">
      <c r="B141" s="91" t="inlineStr">
        <is>
          <t>Spouse's or common-law partner's net income from page 1 of your return</t>
        </is>
      </c>
      <c r="C141" s="91" t="n"/>
      <c r="D141" s="91" t="n"/>
      <c r="E141" s="91" t="n"/>
      <c r="F141" s="91" t="n"/>
      <c r="G141" s="91" t="n"/>
      <c r="H141" s="91" t="n"/>
      <c r="I141" s="91" t="n"/>
      <c r="J141" s="91">
        <f>IF(TransferName="NONE",0,(_xlfn.XLOOKUP(MainClient,Clients!D:D,Clients!IIR:IIR,2,0,1)))</f>
        <v/>
      </c>
      <c r="K141" s="90" t="n">
        <v>4</v>
      </c>
    </row>
    <row r="142">
      <c r="B142" s="855" t="inlineStr">
        <is>
          <t>Line 3 minus line 4 (if negative, enter "0"). Enter this amount on line 303 of your schedule 1.</t>
        </is>
      </c>
      <c r="C142" s="279" t="n"/>
      <c r="D142" s="279" t="n"/>
      <c r="E142" s="279" t="n"/>
      <c r="F142" s="279" t="n"/>
      <c r="G142" s="279" t="n"/>
      <c r="H142" s="478" t="n"/>
      <c r="I142" s="478" t="n"/>
      <c r="J142" s="94">
        <f>IF((AND(J133&gt;0,J134=0)),2058,IF(J140-J141&gt;0,J140-J141,0))</f>
        <v/>
      </c>
      <c r="K142" s="478" t="n">
        <v>5</v>
      </c>
    </row>
    <row r="143">
      <c r="B143" s="39" t="n"/>
      <c r="C143" s="39" t="n"/>
      <c r="D143" s="39" t="n"/>
      <c r="E143" s="39" t="n"/>
      <c r="F143" s="39" t="n"/>
      <c r="G143" s="39" t="n"/>
      <c r="H143" s="39" t="n"/>
      <c r="I143" s="39" t="n"/>
      <c r="J143" s="95">
        <f>J142*0.15</f>
        <v/>
      </c>
      <c r="K143" s="39" t="n"/>
    </row>
    <row r="146">
      <c r="F146">
        <f>Calculator!$D$5</f>
        <v/>
      </c>
      <c r="I146">
        <f>TransferName</f>
        <v/>
      </c>
    </row>
    <row r="147" ht="26.25" customHeight="1">
      <c r="B147" s="93" t="n">
        <v>2013</v>
      </c>
    </row>
    <row r="148">
      <c r="B148" t="inlineStr">
        <is>
          <t>Current Line 303</t>
        </is>
      </c>
      <c r="J148">
        <f>_xlfn.XLOOKUP(TransferNumber,Clients!D:D,Clients!JJQ:JJQ,2,0,1)</f>
        <v/>
      </c>
    </row>
    <row r="149">
      <c r="B149" t="inlineStr">
        <is>
          <t>Current Line 5109</t>
        </is>
      </c>
      <c r="J149">
        <f>(_xlfn.XLOOKUP(TransferNumber,Clients!D:D,Clients!JOM:JOM,2,0,1))</f>
        <v/>
      </c>
    </row>
    <row r="150">
      <c r="B150" s="91" t="inlineStr">
        <is>
          <t>Base amount</t>
        </is>
      </c>
      <c r="C150" s="91" t="n"/>
      <c r="D150" s="91" t="n"/>
      <c r="E150" s="91" t="n"/>
      <c r="F150" s="91" t="n"/>
      <c r="G150" s="91" t="n"/>
      <c r="H150" s="91" t="n"/>
      <c r="I150" s="91" t="n"/>
      <c r="J150" s="92" t="n">
        <v>11038</v>
      </c>
      <c r="K150" s="90" t="n">
        <v>1</v>
      </c>
    </row>
    <row r="151">
      <c r="B151" s="857" t="inlineStr">
        <is>
          <t>If you are entitled to the Family caregiver amount, enter $2,040. (See page 35 in the guide.)</t>
        </is>
      </c>
      <c r="C151" s="279" t="n"/>
      <c r="D151" s="279" t="n"/>
      <c r="E151" s="279" t="n"/>
      <c r="F151" s="279" t="n"/>
      <c r="G151" s="279" t="n"/>
      <c r="H151" s="856" t="n">
        <v>5109</v>
      </c>
      <c r="I151" s="90" t="n"/>
      <c r="J151" s="90">
        <f>IF(TransferName="NONE",0,IF((_xlfn.XLOOKUP(TransferNumber,Clients!D:D,Clients!JOM:JOM,2,0,1))=0,2040,(_xlfn.XLOOKUP(TransferNumber,Clients!D:D,Clients!JOM:JOM,2,0,1))))</f>
        <v/>
      </c>
      <c r="K151" s="478" t="n">
        <v>2</v>
      </c>
    </row>
    <row r="152"/>
    <row r="153"/>
    <row r="154">
      <c r="B154" s="39" t="n"/>
      <c r="C154" s="39" t="n"/>
      <c r="D154" s="39" t="n"/>
      <c r="E154" s="39" t="n"/>
      <c r="F154" s="39" t="n"/>
      <c r="G154" s="39" t="n"/>
      <c r="H154" s="39" t="n"/>
      <c r="I154" s="39" t="n"/>
      <c r="J154" s="39" t="n"/>
      <c r="K154" s="39" t="n"/>
    </row>
    <row r="155">
      <c r="B155" s="91" t="inlineStr">
        <is>
          <t>Add lines 1 and 2.</t>
        </is>
      </c>
      <c r="C155" s="91" t="n"/>
      <c r="D155" s="91" t="n"/>
      <c r="E155" s="91" t="n"/>
      <c r="F155" s="91" t="n"/>
      <c r="G155" s="91" t="n"/>
      <c r="H155" s="91" t="n"/>
      <c r="I155" s="91" t="n"/>
      <c r="J155" s="92">
        <f>IF(AND(J148&gt;0,J149&gt;0),0,J150+J151)</f>
        <v/>
      </c>
      <c r="K155" s="90" t="n">
        <v>3</v>
      </c>
    </row>
    <row r="156">
      <c r="B156" s="91" t="inlineStr">
        <is>
          <t>Spouse's or common-law partner's net income from page 1 of your return</t>
        </is>
      </c>
      <c r="C156" s="91" t="n"/>
      <c r="D156" s="91" t="n"/>
      <c r="E156" s="91" t="n"/>
      <c r="F156" s="91" t="n"/>
      <c r="G156" s="91" t="n"/>
      <c r="H156" s="91" t="n"/>
      <c r="I156" s="91" t="n"/>
      <c r="J156" s="91">
        <f>IF(TransferName="NONE",0,(_xlfn.XLOOKUP(MainClient,Clients!D:D,Clients!JIT:JIT,2,0,1)))</f>
        <v/>
      </c>
      <c r="K156" s="90" t="n">
        <v>4</v>
      </c>
    </row>
    <row r="157">
      <c r="B157" s="855" t="inlineStr">
        <is>
          <t>Line 3 minus line 4 (if negative, enter "0"). Enter this amount on line 303 of your schedule 1.</t>
        </is>
      </c>
      <c r="C157" s="279" t="n"/>
      <c r="D157" s="279" t="n"/>
      <c r="E157" s="279" t="n"/>
      <c r="F157" s="279" t="n"/>
      <c r="G157" s="279" t="n"/>
      <c r="H157" s="478" t="n"/>
      <c r="I157" s="478" t="n"/>
      <c r="J157" s="94">
        <f>IF((AND(J148&gt;0,J149=0)),2040,IF(J155-J156&gt;0,J155-J156,0))</f>
        <v/>
      </c>
      <c r="K157" s="478" t="n">
        <v>5</v>
      </c>
    </row>
    <row r="158">
      <c r="B158" s="39" t="n"/>
      <c r="C158" s="39" t="n"/>
      <c r="D158" s="39" t="n"/>
      <c r="E158" s="39" t="n"/>
      <c r="F158" s="39" t="n"/>
      <c r="G158" s="39" t="n"/>
      <c r="H158" s="39" t="n"/>
      <c r="I158" s="39" t="n"/>
      <c r="J158" s="95">
        <f>J157*0.15</f>
        <v/>
      </c>
      <c r="K158" s="39" t="n"/>
    </row>
  </sheetData>
  <mergeCells count="98">
    <mergeCell ref="H82:H83"/>
    <mergeCell ref="H53:H54"/>
    <mergeCell ref="B40:G41"/>
    <mergeCell ref="I136:I139"/>
    <mergeCell ref="H127:H128"/>
    <mergeCell ref="K21:K24"/>
    <mergeCell ref="H34:H37"/>
    <mergeCell ref="J34:J37"/>
    <mergeCell ref="J151:J154"/>
    <mergeCell ref="I97:I98"/>
    <mergeCell ref="K27:K28"/>
    <mergeCell ref="B97:G98"/>
    <mergeCell ref="K91:K94"/>
    <mergeCell ref="B27:G28"/>
    <mergeCell ref="I106:I109"/>
    <mergeCell ref="K82:K83"/>
    <mergeCell ref="K106:K109"/>
    <mergeCell ref="I67:I68"/>
    <mergeCell ref="B106:G109"/>
    <mergeCell ref="B67:G68"/>
    <mergeCell ref="I82:I83"/>
    <mergeCell ref="J21:J24"/>
    <mergeCell ref="H136:H139"/>
    <mergeCell ref="K157:K158"/>
    <mergeCell ref="J47:J50"/>
    <mergeCell ref="K53:K54"/>
    <mergeCell ref="B53:G54"/>
    <mergeCell ref="K127:K128"/>
    <mergeCell ref="B127:G128"/>
    <mergeCell ref="J76:J79"/>
    <mergeCell ref="K142:K143"/>
    <mergeCell ref="I61:I64"/>
    <mergeCell ref="H121:H124"/>
    <mergeCell ref="H157:H158"/>
    <mergeCell ref="I47:I50"/>
    <mergeCell ref="K47:K50"/>
    <mergeCell ref="I112:I113"/>
    <mergeCell ref="K40:K41"/>
    <mergeCell ref="B47:G50"/>
    <mergeCell ref="K136:K139"/>
    <mergeCell ref="B82:G83"/>
    <mergeCell ref="I8:I11"/>
    <mergeCell ref="K8:K11"/>
    <mergeCell ref="B8:G11"/>
    <mergeCell ref="H151:H154"/>
    <mergeCell ref="H14:H15"/>
    <mergeCell ref="J61:J64"/>
    <mergeCell ref="I34:I37"/>
    <mergeCell ref="K121:K124"/>
    <mergeCell ref="K34:K37"/>
    <mergeCell ref="B34:G37"/>
    <mergeCell ref="H97:H98"/>
    <mergeCell ref="I91:I94"/>
    <mergeCell ref="I151:I154"/>
    <mergeCell ref="H40:H41"/>
    <mergeCell ref="B91:G94"/>
    <mergeCell ref="I53:I54"/>
    <mergeCell ref="I127:I128"/>
    <mergeCell ref="I21:I24"/>
    <mergeCell ref="I142:I143"/>
    <mergeCell ref="B21:G24"/>
    <mergeCell ref="K61:K64"/>
    <mergeCell ref="J91:J94"/>
    <mergeCell ref="B136:G139"/>
    <mergeCell ref="K151:K154"/>
    <mergeCell ref="J106:J109"/>
    <mergeCell ref="K97:K98"/>
    <mergeCell ref="B151:G154"/>
    <mergeCell ref="H67:H68"/>
    <mergeCell ref="J121:J124"/>
    <mergeCell ref="I27:I28"/>
    <mergeCell ref="H142:H143"/>
    <mergeCell ref="H112:H113"/>
    <mergeCell ref="I76:I79"/>
    <mergeCell ref="K76:K79"/>
    <mergeCell ref="J136:J139"/>
    <mergeCell ref="B76:G79"/>
    <mergeCell ref="H21:H24"/>
    <mergeCell ref="H61:H64"/>
    <mergeCell ref="I121:I124"/>
    <mergeCell ref="B121:G124"/>
    <mergeCell ref="I14:I15"/>
    <mergeCell ref="K14:K15"/>
    <mergeCell ref="H27:H28"/>
    <mergeCell ref="B14:G15"/>
    <mergeCell ref="I157:I158"/>
    <mergeCell ref="H47:H50"/>
    <mergeCell ref="B61:G64"/>
    <mergeCell ref="B157:G158"/>
    <mergeCell ref="H76:H79"/>
    <mergeCell ref="H8:H11"/>
    <mergeCell ref="J8:J11"/>
    <mergeCell ref="B142:G143"/>
    <mergeCell ref="K112:K113"/>
    <mergeCell ref="H91:H94"/>
    <mergeCell ref="B112:G113"/>
    <mergeCell ref="I40:I41"/>
    <mergeCell ref="H106:H109"/>
  </mergeCells>
  <pageMargins left="0.7" right="0.7" top="0.75" bottom="0.75" header="0.3" footer="0.3"/>
</worksheet>
</file>

<file path=xl/worksheets/sheet8.xml><?xml version="1.0" encoding="utf-8"?>
<worksheet xmlns="http://schemas.openxmlformats.org/spreadsheetml/2006/main">
  <sheetPr codeName="Sheet11">
    <outlinePr summaryBelow="1" summaryRight="1"/>
    <pageSetUpPr/>
  </sheetPr>
  <dimension ref="B2:P214"/>
  <sheetViews>
    <sheetView topLeftCell="A139" zoomScale="70" zoomScaleNormal="70" workbookViewId="0">
      <selection activeCell="N67" sqref="N67"/>
    </sheetView>
  </sheetViews>
  <sheetFormatPr baseColWidth="8" defaultRowHeight="15"/>
  <cols>
    <col width="2" customWidth="1" min="1" max="1"/>
    <col width="25" customWidth="1" min="2" max="2"/>
    <col width="12.85546875" customWidth="1" min="3" max="3"/>
    <col width="20.42578125" customWidth="1" min="4" max="4"/>
    <col width="13.7109375" customWidth="1" min="5" max="5"/>
    <col width="10.140625" bestFit="1" customWidth="1" min="6" max="6"/>
    <col width="13.7109375" customWidth="1" min="7" max="7"/>
    <col width="43.140625" customWidth="1" min="8" max="8"/>
    <col width="4" customWidth="1" min="9" max="9"/>
    <col width="23.7109375" bestFit="1" customWidth="1" min="10" max="10"/>
    <col width="10.140625" customWidth="1" min="11" max="11"/>
    <col width="18.42578125" bestFit="1" customWidth="1" min="12" max="12"/>
    <col width="14.42578125" bestFit="1" customWidth="1" min="13" max="13"/>
    <col width="10.42578125" customWidth="1" min="14" max="14"/>
    <col width="14.42578125" customWidth="1" min="15" max="15"/>
    <col width="43.28515625" customWidth="1" min="16" max="16"/>
  </cols>
  <sheetData>
    <row r="2" ht="15.75" customHeight="1" thickBot="1">
      <c r="E2">
        <f>Calculator!$D$5</f>
        <v/>
      </c>
      <c r="H2">
        <f>TransferName</f>
        <v/>
      </c>
      <c r="M2">
        <f>Calculator!$D$5</f>
        <v/>
      </c>
      <c r="P2">
        <f>TransferName</f>
        <v/>
      </c>
    </row>
    <row r="3" ht="15.75" customHeight="1" thickBot="1">
      <c r="B3" s="858" t="inlineStr">
        <is>
          <t>2024 Federal</t>
        </is>
      </c>
      <c r="C3" s="778" t="n"/>
      <c r="D3" s="778" t="n"/>
      <c r="E3" s="778" t="n"/>
      <c r="F3" s="778" t="n"/>
      <c r="G3" s="778" t="n"/>
      <c r="H3" s="780" t="n"/>
      <c r="J3" s="859" t="inlineStr">
        <is>
          <t>2023 Federal</t>
        </is>
      </c>
      <c r="K3" s="778" t="n"/>
      <c r="L3" s="778" t="n"/>
      <c r="M3" s="778" t="n"/>
      <c r="N3" s="778" t="n"/>
      <c r="O3" s="778" t="n"/>
      <c r="P3" s="780" t="n"/>
    </row>
    <row r="4" ht="15.75" customHeight="1" thickBot="1">
      <c r="B4" s="116" t="n"/>
      <c r="C4" s="115" t="n"/>
      <c r="D4" s="115" t="inlineStr">
        <is>
          <t>Line</t>
        </is>
      </c>
      <c r="E4" s="115" t="inlineStr">
        <is>
          <t>Amt</t>
        </is>
      </c>
      <c r="F4" s="117" t="n"/>
      <c r="G4" s="675" t="inlineStr">
        <is>
          <t>Spouse</t>
        </is>
      </c>
      <c r="H4" s="117" t="inlineStr">
        <is>
          <t>S2 Adjustment</t>
        </is>
      </c>
      <c r="J4" s="34" t="n"/>
      <c r="L4" t="inlineStr">
        <is>
          <t>Line</t>
        </is>
      </c>
      <c r="M4" t="inlineStr">
        <is>
          <t>Amt</t>
        </is>
      </c>
      <c r="N4" s="35" t="n"/>
      <c r="O4" s="34" t="inlineStr">
        <is>
          <t>Spouse</t>
        </is>
      </c>
      <c r="P4" s="35" t="inlineStr">
        <is>
          <t>S2 Adjustment</t>
        </is>
      </c>
    </row>
    <row r="5" ht="15.75" customHeight="1" thickBot="1">
      <c r="B5" s="675" t="inlineStr">
        <is>
          <t>Age Amount</t>
        </is>
      </c>
      <c r="D5" s="115" t="inlineStr">
        <is>
          <t>Line 30100</t>
        </is>
      </c>
      <c r="E5" s="860">
        <f>(_xlfn.XLOOKUP(ClientNumber,Clients!D:D,Clients!FE:FE,2,0,1))</f>
        <v/>
      </c>
      <c r="F5" s="133" t="inlineStr">
        <is>
          <t>Line 35200</t>
        </is>
      </c>
      <c r="G5" s="138">
        <f>IF(TransferName="NONE",0,(_xlfn.XLOOKUP(TransferNumber,Clients!D:D,Clients!GP:GP,2,0,1)))</f>
        <v/>
      </c>
      <c r="H5" s="119">
        <f>IF(AND(E5&gt;0,G5=0),"Age Amount Can Be Transferred","No Action")</f>
        <v/>
      </c>
      <c r="J5" s="667" t="inlineStr">
        <is>
          <t>Age Amount</t>
        </is>
      </c>
      <c r="L5" t="inlineStr">
        <is>
          <t>Line 30100</t>
        </is>
      </c>
      <c r="M5" s="861">
        <f>(_xlfn.XLOOKUP(ClientNumber,Clients!D:D,Clients!FE:FE,2,0,1))</f>
        <v/>
      </c>
      <c r="N5" s="37" t="inlineStr">
        <is>
          <t>Line 35200</t>
        </is>
      </c>
      <c r="O5" s="51">
        <f>IF(TransferName="NONE",0,(_xlfn.XLOOKUP(TransferNumber,Clients!D:D,Clients!GP:GP,2,0,1)))</f>
        <v/>
      </c>
      <c r="P5" s="37">
        <f>IF(AND(M5&gt;0,O5=0),"Age Amount Can Be Transferred","No Action")</f>
        <v/>
      </c>
    </row>
    <row r="6" ht="15.75" customHeight="1" thickBot="1">
      <c r="B6" s="675" t="inlineStr">
        <is>
          <t>Canada Caregiver for infirm children under 18</t>
        </is>
      </c>
      <c r="D6" s="115" t="inlineStr">
        <is>
          <t>Line 30500</t>
        </is>
      </c>
      <c r="E6" s="860">
        <f>(_xlfn.XLOOKUP(ClientNumber,Clients!D:D,Clients!GX:GX,2,0,1))</f>
        <v/>
      </c>
      <c r="F6" s="133" t="inlineStr">
        <is>
          <t>Line 35300</t>
        </is>
      </c>
      <c r="G6" s="138">
        <f>IF(TransferName="NONE",0,(_xlfn.XLOOKUP(TransferNumber,Clients!D:D,Clients!GU:GU,2,0,1)))</f>
        <v/>
      </c>
      <c r="H6" s="119">
        <f>IF(AND(E6&gt;0,G6=0),"Amount for Child Under 18 Can be Transferred","No Action")</f>
        <v/>
      </c>
      <c r="J6" s="667" t="inlineStr">
        <is>
          <t>Canada Caregiver for infirm children under 18</t>
        </is>
      </c>
      <c r="L6" t="inlineStr">
        <is>
          <t>Line 30500</t>
        </is>
      </c>
      <c r="M6" s="861">
        <f>(_xlfn.XLOOKUP(ClientNumber,Clients!D:D,Clients!GX:GX,2,0,1))</f>
        <v/>
      </c>
      <c r="N6" s="37" t="inlineStr">
        <is>
          <t>Line 35300</t>
        </is>
      </c>
      <c r="O6" s="51">
        <f>IF(TransferName="NONE",0,(_xlfn.XLOOKUP(TransferNumber,Clients!D:D,Clients!GU:GU,2,0,1)))</f>
        <v/>
      </c>
      <c r="P6" s="37">
        <f>IF(AND(M6&gt;0,O6=0),"Amount for Child Under 18 Can be Transferred","No Action")</f>
        <v/>
      </c>
    </row>
    <row r="7" ht="15.75" customHeight="1" thickBot="1">
      <c r="B7" s="675" t="inlineStr">
        <is>
          <t>Pension Income Amount</t>
        </is>
      </c>
      <c r="D7" s="115" t="inlineStr">
        <is>
          <t>Line 31400 (max 2000)</t>
        </is>
      </c>
      <c r="E7" s="860">
        <f>IF((_xlfn.XLOOKUP(ClientNumber,Clients!D:D,Clients!FN:FN,2,0,1)&lt;2000),(_xlfn.XLOOKUP(MainClient,Clients!D:D,Clients!FN:FN,2,0,1)),2000)</f>
        <v/>
      </c>
      <c r="F7" s="133" t="inlineStr">
        <is>
          <t>Line 35500</t>
        </is>
      </c>
      <c r="G7" s="138">
        <f>IF(TransferName="NONE",0,(_xlfn.XLOOKUP(TransferNumber,Clients!D:D,Clients!GR:GR,2,0,1)))</f>
        <v/>
      </c>
      <c r="H7" s="119">
        <f>IF(AND(E7&gt;0,G7=0),"Pension Income Amount Can Be Transferred","No Action")</f>
        <v/>
      </c>
      <c r="J7" s="667" t="inlineStr">
        <is>
          <t>Pension Income Amount</t>
        </is>
      </c>
      <c r="L7" t="inlineStr">
        <is>
          <t>Line 31400 (max 2000)</t>
        </is>
      </c>
      <c r="M7" s="861">
        <f>IF((_xlfn.XLOOKUP(ClientNumber,Clients!D:D,Clients!FN:FN,2,0,1)&lt;2000),(_xlfn.XLOOKUP(MainClient,Clients!D:D,Clients!FN:FN,2,0,1)),2000)</f>
        <v/>
      </c>
      <c r="N7" s="37" t="inlineStr">
        <is>
          <t>Line 35500</t>
        </is>
      </c>
      <c r="O7" s="51">
        <f>IF(TransferName="NONE",0,(_xlfn.XLOOKUP(TransferNumber,Clients!D:D,Clients!GR:GR,2,0,1)))</f>
        <v/>
      </c>
      <c r="P7" s="37">
        <f>IF(AND(M7&gt;0,O7=0),"Pension Income Amount Can Be Transferred","No Action")</f>
        <v/>
      </c>
    </row>
    <row r="8" ht="15.75" customHeight="1" thickBot="1">
      <c r="B8" s="675" t="inlineStr">
        <is>
          <t>Disability Amount</t>
        </is>
      </c>
      <c r="D8" s="115" t="inlineStr">
        <is>
          <t>Line 31600</t>
        </is>
      </c>
      <c r="E8" s="860">
        <f>IF(_xlfn.XLOOKUP(ClientNumber,Clients!D:D,Clients!FO:FO,2,0,1)=0,8870,(_xlfn.XLOOKUP(MainClient,Clients!D:D,Clients!FO:FO,2,0,1)))</f>
        <v/>
      </c>
      <c r="F8" s="133" t="inlineStr">
        <is>
          <t>Line 35700</t>
        </is>
      </c>
      <c r="G8" s="138">
        <f>IF(TransferName="NONE",0,(_xlfn.XLOOKUP(TransferNumber,Clients!D:D,Clients!GS:GS,2,0,1)))</f>
        <v/>
      </c>
      <c r="H8" s="119">
        <f>IF(AND(E8&gt;0,G8=0),"DTC Transferable Not Claimed Can Be Transferred","No Action")</f>
        <v/>
      </c>
      <c r="J8" s="667" t="inlineStr">
        <is>
          <t>Disability Amount</t>
        </is>
      </c>
      <c r="L8" t="inlineStr">
        <is>
          <t>Line 31600</t>
        </is>
      </c>
      <c r="M8" s="861">
        <f>IF(_xlfn.XLOOKUP(ClientNumber,Clients!D:D,Clients!FO:FO,2,0,1)=0,9428,(_xlfn.XLOOKUP(MainClient,Clients!D:D,Clients!FO:FO,2,0,1)))</f>
        <v/>
      </c>
      <c r="N8" s="37" t="inlineStr">
        <is>
          <t>Line 35700</t>
        </is>
      </c>
      <c r="O8" s="51">
        <f>IF(TransferName="NONE",0,(_xlfn.XLOOKUP(TransferNumber,Clients!D:D,Clients!GS:GS,2,0,1)))</f>
        <v/>
      </c>
      <c r="P8" s="37">
        <f>IF(AND(M8&gt;0,O8=0),"DTC Transferable Not Claimed Can Be Transferred","No Action")</f>
        <v/>
      </c>
    </row>
    <row r="9" ht="15.75" customHeight="1" thickBot="1">
      <c r="B9" s="675" t="inlineStr">
        <is>
          <t>Tuition Amount</t>
        </is>
      </c>
      <c r="D9" s="115" t="inlineStr">
        <is>
          <t>Line 32700</t>
        </is>
      </c>
      <c r="E9" s="862">
        <f>(_xlfn.XLOOKUP(ClientNumber,Clients!D:D,Clients!FX:FX,2,0,1))</f>
        <v/>
      </c>
      <c r="F9" s="133" t="inlineStr">
        <is>
          <t>Line 36000</t>
        </is>
      </c>
      <c r="G9" s="138">
        <f>IF(TransferName="NONE",0,(_xlfn.XLOOKUP(TransferNumber,Clients!D:D,Clients!GT:GT,2,0,1)))</f>
        <v/>
      </c>
      <c r="H9" s="119">
        <f>IF(AND(E9&gt;0,G9=0),"Tuition Can Be Transferred","No Action")</f>
        <v/>
      </c>
      <c r="J9" s="667" t="inlineStr">
        <is>
          <t>Tuition Amount</t>
        </is>
      </c>
      <c r="L9" t="inlineStr">
        <is>
          <t>Line 32700</t>
        </is>
      </c>
      <c r="M9" s="810">
        <f>(_xlfn.XLOOKUP(ClientNumber,Clients!D:D,Clients!FX:FX,2,0,1))</f>
        <v/>
      </c>
      <c r="N9" s="37" t="inlineStr">
        <is>
          <t>Line 36000</t>
        </is>
      </c>
      <c r="O9" s="51">
        <f>IF(TransferName="NONE",0,(_xlfn.XLOOKUP(TransferNumber,Clients!D:D,Clients!GT:GT,2,0,1)))</f>
        <v/>
      </c>
      <c r="P9" s="37">
        <f>IF(AND(M9&gt;0,O9=0),"Tuition Can Be Transferred","No Action")</f>
        <v/>
      </c>
    </row>
    <row r="10" ht="15.75" customHeight="1" thickBot="1">
      <c r="B10" s="116" t="n"/>
      <c r="C10" s="115" t="n"/>
      <c r="D10" s="115" t="n"/>
      <c r="E10" s="134">
        <f>SUM(E5:E9)</f>
        <v/>
      </c>
      <c r="F10" s="135" t="n"/>
      <c r="G10" s="714">
        <f>SUM(G5:G9)</f>
        <v/>
      </c>
      <c r="H10" s="117" t="n"/>
      <c r="J10" s="34" t="n"/>
      <c r="M10">
        <f>SUM(M5:M9)</f>
        <v/>
      </c>
      <c r="N10" s="35" t="n"/>
      <c r="O10" s="667">
        <f>SUM(O5:O9)</f>
        <v/>
      </c>
      <c r="P10" s="35" t="n"/>
    </row>
    <row r="11" ht="15.75" customHeight="1" thickBot="1">
      <c r="B11" s="675" t="inlineStr">
        <is>
          <t>Line 26000</t>
        </is>
      </c>
      <c r="C11" s="120">
        <f>(_xlfn.XLOOKUP(MainClient,Clients!D:D,Clients!EX:EX,2,0,1))</f>
        <v/>
      </c>
      <c r="D11" s="115" t="n"/>
      <c r="E11" s="115" t="n"/>
      <c r="F11" s="117" t="n"/>
      <c r="G11" s="116">
        <f>IF(E34&gt;E8,"other transferable credits","DTC Only")</f>
        <v/>
      </c>
      <c r="H11" s="117" t="n"/>
      <c r="J11" s="667" t="inlineStr">
        <is>
          <t>Line 26000</t>
        </is>
      </c>
      <c r="K11" s="36">
        <f>(_xlfn.XLOOKUP(MainClient,Clients!D:D,Clients!EX:EX,2,0,1))</f>
        <v/>
      </c>
      <c r="N11" s="35" t="n"/>
      <c r="O11" s="34">
        <f>IF(M34&gt;M8,"other transferable credits","DTC Only")</f>
        <v/>
      </c>
      <c r="P11" s="35" t="n"/>
    </row>
    <row r="12" ht="15.75" customHeight="1" thickBot="1">
      <c r="B12" s="116" t="n"/>
      <c r="C12" s="115" t="n"/>
      <c r="D12" s="115" t="n"/>
      <c r="E12" s="115" t="n"/>
      <c r="F12" s="117" t="n"/>
      <c r="G12" s="116" t="n"/>
      <c r="H12" s="117" t="n"/>
      <c r="J12" s="34" t="n"/>
      <c r="N12" s="35" t="n"/>
      <c r="O12" s="34" t="n"/>
      <c r="P12" s="35" t="n"/>
    </row>
    <row r="13" ht="15.75" customHeight="1" thickBot="1">
      <c r="B13" s="121" t="inlineStr">
        <is>
          <t>Line 30000</t>
        </is>
      </c>
      <c r="C13" s="120">
        <f>(_xlfn.XLOOKUP(ClientNumber,Clients!D:D,Clients!FD:FD,2,0,1))</f>
        <v/>
      </c>
      <c r="D13" s="115" t="n"/>
      <c r="E13" s="115" t="n"/>
      <c r="F13" s="117" t="n"/>
      <c r="G13" s="116" t="n"/>
      <c r="H13" s="117" t="n"/>
      <c r="J13" s="55" t="inlineStr">
        <is>
          <t>Line 30000</t>
        </is>
      </c>
      <c r="K13" s="36">
        <f>(_xlfn.XLOOKUP(ClientNumber,Clients!D:D,Clients!FD:FD,2,0,1))</f>
        <v/>
      </c>
      <c r="N13" s="35" t="n"/>
      <c r="O13" s="34" t="n"/>
      <c r="P13" s="35" t="n"/>
    </row>
    <row r="14" ht="15.75" customHeight="1" thickBot="1">
      <c r="B14" s="121" t="inlineStr">
        <is>
          <t>Line 30800</t>
        </is>
      </c>
      <c r="C14" s="120">
        <f>(_xlfn.XLOOKUP(ClientNumber,Clients!D:D,Clients!FJ:FJ,2,0,1))</f>
        <v/>
      </c>
      <c r="D14" s="115" t="n"/>
      <c r="E14" s="115" t="n"/>
      <c r="F14" s="117" t="n"/>
      <c r="G14" s="116" t="n"/>
      <c r="H14" s="117" t="n"/>
      <c r="J14" s="55" t="inlineStr">
        <is>
          <t>Line 30800</t>
        </is>
      </c>
      <c r="K14" s="36">
        <f>(_xlfn.XLOOKUP(ClientNumber,Clients!D:D,Clients!FJ:FJ,2,0,1))</f>
        <v/>
      </c>
      <c r="N14" s="35" t="n"/>
      <c r="O14" s="34" t="n"/>
      <c r="P14" s="35" t="n"/>
    </row>
    <row r="15" ht="15.75" customHeight="1" thickBot="1">
      <c r="B15" s="121" t="inlineStr">
        <is>
          <t>Line 31000</t>
        </is>
      </c>
      <c r="C15" s="120">
        <f>(_xlfn.XLOOKUP(ClientNumber,Clients!D:D,Clients!FK:FK,2,0,1))</f>
        <v/>
      </c>
      <c r="D15" s="115" t="n"/>
      <c r="E15" s="115" t="n"/>
      <c r="F15" s="117" t="n"/>
      <c r="G15" s="116" t="n"/>
      <c r="H15" s="117" t="n"/>
      <c r="J15" s="55" t="inlineStr">
        <is>
          <t>Line 31000</t>
        </is>
      </c>
      <c r="K15" s="36">
        <f>(_xlfn.XLOOKUP(ClientNumber,Clients!D:D,Clients!FK:FK,2,0,1))</f>
        <v/>
      </c>
      <c r="N15" s="35" t="n"/>
      <c r="P15" s="35" t="n"/>
    </row>
    <row r="16" ht="15.75" customHeight="1" thickBot="1">
      <c r="B16" s="121" t="inlineStr">
        <is>
          <t>Line 31200</t>
        </is>
      </c>
      <c r="C16" s="120">
        <f>(_xlfn.XLOOKUP(ClientNumber,Clients!D:D,Clients!FL:FL,2,0,1))</f>
        <v/>
      </c>
      <c r="D16" s="115" t="n"/>
      <c r="E16" s="115" t="n"/>
      <c r="F16" s="117" t="n"/>
      <c r="G16" s="116" t="inlineStr">
        <is>
          <t>THIS IS READY FOR NEXT YEAR</t>
        </is>
      </c>
      <c r="H16" s="117" t="n"/>
      <c r="J16" s="55" t="inlineStr">
        <is>
          <t>Line 31200</t>
        </is>
      </c>
      <c r="K16" s="36">
        <f>(_xlfn.XLOOKUP(ClientNumber,Clients!D:D,Clients!FL:FL,2,0,1))</f>
        <v/>
      </c>
      <c r="N16" s="35" t="n"/>
      <c r="O16" s="34" t="n"/>
      <c r="P16" s="35" t="n"/>
    </row>
    <row r="17" ht="15.75" customHeight="1" thickBot="1">
      <c r="B17" s="121" t="inlineStr">
        <is>
          <t>Line 31217</t>
        </is>
      </c>
      <c r="C17" s="120">
        <f>(_xlfn.XLOOKUP(ClientNumber,Clients!D:D,Clients!FP:FP,2,0,1))</f>
        <v/>
      </c>
      <c r="D17" s="115" t="n"/>
      <c r="E17" s="115" t="n"/>
      <c r="F17" s="117" t="n"/>
      <c r="G17" s="116" t="n"/>
      <c r="H17" s="117" t="n"/>
      <c r="J17" s="55" t="inlineStr">
        <is>
          <t>Line 31217</t>
        </is>
      </c>
      <c r="K17" s="36">
        <f>(_xlfn.XLOOKUP(ClientNumber,Clients!D:D,Clients!FP:FP,2,0,1))</f>
        <v/>
      </c>
      <c r="N17" s="35" t="n"/>
      <c r="O17" s="34" t="n"/>
      <c r="P17" s="35" t="n"/>
    </row>
    <row r="18" ht="15.75" customHeight="1" thickBot="1">
      <c r="B18" s="121" t="inlineStr">
        <is>
          <t>Line 31220</t>
        </is>
      </c>
      <c r="C18" s="120">
        <f>(_xlfn.XLOOKUP(ClientNumber,Clients!D:D,Clients!GV:GV,2,0,1))</f>
        <v/>
      </c>
      <c r="D18" s="115" t="n"/>
      <c r="E18" s="115" t="n"/>
      <c r="F18" s="117" t="n"/>
      <c r="G18" s="116" t="n"/>
      <c r="H18" s="117" t="n"/>
      <c r="J18" s="55" t="inlineStr">
        <is>
          <t>Line 31220</t>
        </is>
      </c>
      <c r="K18" s="36">
        <f>(_xlfn.XLOOKUP(ClientNumber,Clients!D:D,Clients!GV:GV,2,0,1))</f>
        <v/>
      </c>
      <c r="N18" s="35" t="n"/>
      <c r="O18" s="34" t="n"/>
      <c r="P18" s="35" t="n"/>
    </row>
    <row r="19" ht="15.75" customHeight="1" thickBot="1">
      <c r="B19" s="121" t="inlineStr">
        <is>
          <t>Line 31240</t>
        </is>
      </c>
      <c r="C19" s="120">
        <f>(_xlfn.XLOOKUP(ClientNumber,Clients!D:D,Clients!HQ:HQ,2,0,1))</f>
        <v/>
      </c>
      <c r="D19" s="115" t="n"/>
      <c r="E19" s="115" t="n"/>
      <c r="F19" s="117" t="n"/>
      <c r="G19" s="116" t="n"/>
      <c r="H19" s="117" t="n"/>
      <c r="J19" s="55" t="inlineStr">
        <is>
          <t>Line 31240</t>
        </is>
      </c>
      <c r="K19" s="36">
        <f>(_xlfn.XLOOKUP(ClientNumber,Clients!D:D,Clients!HQ:HQ,2,0,1))</f>
        <v/>
      </c>
      <c r="N19" s="35" t="n"/>
      <c r="O19" s="34" t="n"/>
      <c r="P19" s="35" t="n"/>
    </row>
    <row r="20" ht="15.75" customHeight="1" thickBot="1">
      <c r="B20" s="121" t="inlineStr">
        <is>
          <t>Line 31260</t>
        </is>
      </c>
      <c r="C20" s="120">
        <f>(_xlfn.XLOOKUP(ClientNumber,Clients!D:D,Clients!GW:GW,2,0,1))</f>
        <v/>
      </c>
      <c r="D20" s="115" t="n"/>
      <c r="E20" s="115" t="n"/>
      <c r="F20" s="117" t="n"/>
      <c r="G20" s="116" t="n"/>
      <c r="H20" s="117" t="n"/>
      <c r="J20" s="55" t="inlineStr">
        <is>
          <t>Line 31260</t>
        </is>
      </c>
      <c r="K20" s="36">
        <f>(_xlfn.XLOOKUP(ClientNumber,Clients!D:D,Clients!GW:GW,2,0,1))</f>
        <v/>
      </c>
      <c r="N20" s="35" t="n"/>
      <c r="O20" s="34" t="n"/>
      <c r="P20" s="35" t="n"/>
    </row>
    <row r="21" ht="15.75" customHeight="1" thickBot="1">
      <c r="B21" s="121" t="inlineStr">
        <is>
          <t>Line 31270</t>
        </is>
      </c>
      <c r="C21" s="120">
        <f>(_xlfn.XLOOKUP(ClientNumber,Clients!D:D,Clients!GY:GY,2,0,1))</f>
        <v/>
      </c>
      <c r="D21" s="115" t="n"/>
      <c r="E21" s="115" t="n"/>
      <c r="F21" s="117" t="n"/>
      <c r="G21" s="116" t="n"/>
      <c r="H21" s="117" t="n"/>
      <c r="J21" s="55" t="inlineStr">
        <is>
          <t>Line 31270</t>
        </is>
      </c>
      <c r="K21" s="36">
        <f>(_xlfn.XLOOKUP(ClientNumber,Clients!D:D,Clients!GY:GY,2,0,1))</f>
        <v/>
      </c>
      <c r="N21" s="35" t="n"/>
      <c r="O21" s="34" t="n"/>
      <c r="P21" s="35" t="n"/>
    </row>
    <row r="22" ht="15.75" customHeight="1" thickBot="1">
      <c r="B22" s="121" t="inlineStr">
        <is>
          <t>Line 31285</t>
        </is>
      </c>
      <c r="C22" s="120">
        <f>(_xlfn.XLOOKUP(ClientNumber,Clients!D:D,Clients!HR:HR,2,0,1))</f>
        <v/>
      </c>
      <c r="D22" s="115" t="n"/>
      <c r="E22" s="115" t="n"/>
      <c r="F22" s="117" t="n"/>
      <c r="G22" s="116" t="n"/>
      <c r="H22" s="117" t="n"/>
      <c r="J22" s="55" t="inlineStr">
        <is>
          <t>Line 31285</t>
        </is>
      </c>
      <c r="K22" s="36">
        <f>(_xlfn.XLOOKUP(ClientNumber,Clients!D:D,Clients!HR:HR,2,0,1))</f>
        <v/>
      </c>
      <c r="N22" s="35" t="n"/>
      <c r="O22" s="34" t="n"/>
      <c r="P22" s="35" t="n"/>
    </row>
    <row r="23" ht="15.75" customHeight="1" thickBot="1">
      <c r="B23" s="121" t="inlineStr">
        <is>
          <t>Line 31300</t>
        </is>
      </c>
      <c r="C23" s="120">
        <f>(_xlfn.XLOOKUP(ClientNumber,Clients!D:D,Clients!FM:FM,2,0,1))</f>
        <v/>
      </c>
      <c r="D23" s="115" t="n"/>
      <c r="E23" s="115" t="n"/>
      <c r="F23" s="117" t="n"/>
      <c r="G23" s="116" t="inlineStr">
        <is>
          <t>Line 32600</t>
        </is>
      </c>
      <c r="H23" s="117">
        <f>IF(TransferName="NONE",0,(_xlfn.XLOOKUP(TransferNumber,Clients!D:D,Clients!FW:FW,2,0,1)))</f>
        <v/>
      </c>
      <c r="I23" s="35" t="n"/>
      <c r="J23" s="55" t="inlineStr">
        <is>
          <t>Line 31300</t>
        </is>
      </c>
      <c r="K23" s="36">
        <f>(_xlfn.XLOOKUP(ClientNumber,Clients!D:D,Clients!FM:FM,2,0,1))</f>
        <v/>
      </c>
      <c r="N23" s="35" t="n"/>
      <c r="O23" s="34" t="inlineStr">
        <is>
          <t>Line 32600</t>
        </is>
      </c>
      <c r="P23" s="35">
        <f>IF(TransferName="NONE",0,(_xlfn.XLOOKUP(TransferNumber,Clients!D:D,Clients!FW:FW,2,0,1)))</f>
        <v/>
      </c>
    </row>
    <row r="24" ht="15.75" customHeight="1" thickBot="1">
      <c r="B24" s="121" t="inlineStr">
        <is>
          <t>Line 32300</t>
        </is>
      </c>
      <c r="C24" s="120">
        <f>(_xlfn.XLOOKUP(ClientNumber,Clients!D:D,Clients!FT:FT,2,0,1))</f>
        <v/>
      </c>
      <c r="D24" s="115" t="n"/>
      <c r="E24" s="115" t="n"/>
      <c r="F24" s="117" t="n"/>
      <c r="G24" s="116" t="n"/>
      <c r="H24" s="117" t="n"/>
      <c r="J24" s="55" t="inlineStr">
        <is>
          <t>Line 32300</t>
        </is>
      </c>
      <c r="K24" s="36">
        <f>(_xlfn.XLOOKUP(ClientNumber,Clients!D:D,Clients!FT:FT,2,0,1))</f>
        <v/>
      </c>
      <c r="N24" s="35" t="n"/>
      <c r="O24" s="34" t="n"/>
      <c r="P24" s="35" t="n"/>
    </row>
    <row r="25" ht="15.75" customHeight="1" thickBot="1">
      <c r="B25" s="121" t="n"/>
      <c r="C25" s="120" t="n"/>
      <c r="D25" s="115" t="n"/>
      <c r="E25" s="115" t="n"/>
      <c r="F25" s="117" t="n"/>
      <c r="G25" s="116" t="n"/>
      <c r="H25" s="117" t="n"/>
      <c r="J25" s="55" t="n"/>
      <c r="K25" s="36" t="n"/>
      <c r="N25" s="35" t="n"/>
      <c r="O25" s="34" t="n"/>
      <c r="P25" s="35" t="n"/>
    </row>
    <row r="26" ht="15.75" customHeight="1" thickBot="1">
      <c r="B26" s="121" t="n"/>
      <c r="C26" s="120" t="n"/>
      <c r="D26" s="115" t="n"/>
      <c r="E26" s="115" t="n"/>
      <c r="F26" s="117" t="n"/>
      <c r="G26" s="116" t="n"/>
      <c r="H26" s="117" t="n"/>
      <c r="J26" s="55" t="n"/>
      <c r="K26" s="36" t="n"/>
      <c r="N26" s="35" t="n"/>
      <c r="O26" s="34" t="n"/>
      <c r="P26" s="35" t="n"/>
    </row>
    <row r="27" ht="15.75" customHeight="1" thickBot="1">
      <c r="B27" s="121" t="n"/>
      <c r="C27" s="120" t="n"/>
      <c r="D27" s="115" t="n"/>
      <c r="E27" s="115" t="n"/>
      <c r="F27" s="117" t="n"/>
      <c r="G27" s="116" t="n"/>
      <c r="H27" s="117">
        <f>IF(E32&gt;0,E10-G10,0)</f>
        <v/>
      </c>
      <c r="J27" s="55" t="n"/>
      <c r="K27" s="36" t="n"/>
      <c r="N27" s="35" t="n"/>
      <c r="O27" s="34" t="n"/>
      <c r="P27" s="35">
        <f>IF(M32&gt;0,M10-O10,0)</f>
        <v/>
      </c>
    </row>
    <row r="28" ht="15.75" customHeight="1" thickBot="1">
      <c r="B28" s="121" t="n"/>
      <c r="C28" s="120" t="n"/>
      <c r="D28" s="115" t="n"/>
      <c r="E28" s="115" t="n"/>
      <c r="F28" s="117" t="n"/>
      <c r="G28" s="115" t="n"/>
      <c r="H28" s="122">
        <f>IF(TransferName="NONE",F33,IF(H27&gt;0,(E32-G10)*0.15,0))</f>
        <v/>
      </c>
      <c r="J28" s="55" t="n"/>
      <c r="K28" s="36" t="n"/>
      <c r="N28" s="35" t="n"/>
      <c r="P28" s="52">
        <f>IF(TransferName="NONE",N33,IF(P27&gt;0,(M32-O10)*0.15,0))</f>
        <v/>
      </c>
    </row>
    <row r="29">
      <c r="B29" s="675" t="n"/>
      <c r="C29" s="115" t="n"/>
      <c r="D29" s="115" t="n"/>
      <c r="E29" s="115" t="n"/>
      <c r="F29" s="117" t="n"/>
      <c r="G29" s="116" t="inlineStr">
        <is>
          <t>Transferable</t>
        </is>
      </c>
      <c r="H29" s="123">
        <f>IF(H28&gt;0,H28,0)</f>
        <v/>
      </c>
      <c r="J29" s="667" t="n"/>
      <c r="N29" s="35" t="n"/>
      <c r="O29" s="34" t="inlineStr">
        <is>
          <t>Transferable</t>
        </is>
      </c>
      <c r="P29" s="79">
        <f>IF(P28&gt;0,P28,0)</f>
        <v/>
      </c>
    </row>
    <row r="30">
      <c r="B30" s="675" t="inlineStr">
        <is>
          <t>Adjusted Taxable Income</t>
        </is>
      </c>
      <c r="C30" s="115">
        <f>C11-(SUM(C13:C28))</f>
        <v/>
      </c>
      <c r="D30" s="124" t="inlineStr">
        <is>
          <t>Line 351</t>
        </is>
      </c>
      <c r="E30" s="125">
        <f>IF(C30&gt;0,C30,0)</f>
        <v/>
      </c>
      <c r="F30" s="117" t="n"/>
      <c r="G30" s="116" t="n"/>
      <c r="H30" s="117" t="n"/>
      <c r="J30" s="667" t="inlineStr">
        <is>
          <t>Adjusted Taxable Income</t>
        </is>
      </c>
      <c r="K30">
        <f>K11-(SUM(K13:K28))</f>
        <v/>
      </c>
      <c r="L30" s="13" t="inlineStr">
        <is>
          <t>Line 351</t>
        </is>
      </c>
      <c r="M30" s="39">
        <f>IF(K30&gt;0,K30,0)</f>
        <v/>
      </c>
      <c r="N30" s="35" t="n"/>
      <c r="O30" s="34" t="n"/>
      <c r="P30" s="35" t="n"/>
    </row>
    <row r="31" ht="15.75" customHeight="1" thickBot="1">
      <c r="B31" s="116" t="n"/>
      <c r="C31" s="115" t="n"/>
      <c r="D31" s="115" t="n"/>
      <c r="E31" s="115" t="n"/>
      <c r="F31" s="117" t="n"/>
      <c r="G31" s="116" t="n"/>
      <c r="H31" s="117" t="n"/>
      <c r="J31" s="34" t="n"/>
      <c r="N31" s="35" t="n"/>
      <c r="O31" s="34" t="n"/>
      <c r="P31" s="35" t="n"/>
    </row>
    <row r="32" ht="15.75" customHeight="1" thickBot="1">
      <c r="B32" s="116" t="n"/>
      <c r="C32" s="115" t="n"/>
      <c r="D32" s="126" t="inlineStr">
        <is>
          <t>Fed Trans</t>
        </is>
      </c>
      <c r="E32" s="120">
        <f>(E10-E30)</f>
        <v/>
      </c>
      <c r="F32" s="127" t="n"/>
      <c r="G32" s="116" t="n"/>
      <c r="H32" s="122" t="n"/>
      <c r="J32" s="34" t="n"/>
      <c r="L32" s="21" t="inlineStr">
        <is>
          <t>Fed Trans</t>
        </is>
      </c>
      <c r="M32" s="36">
        <f>(M10-M30)</f>
        <v/>
      </c>
      <c r="N32" s="40" t="n"/>
      <c r="O32" s="34" t="n"/>
      <c r="P32" s="52" t="n"/>
    </row>
    <row r="33" ht="15.75" customHeight="1" thickBot="1">
      <c r="B33" s="116" t="n"/>
      <c r="C33" s="664" t="inlineStr">
        <is>
          <t>DTC Transferable ESTIMATE</t>
        </is>
      </c>
      <c r="D33" s="35" t="n"/>
      <c r="E33" s="120">
        <f>IF(E32&lt;0,0,(IF(E32&gt;E8,E8,E32)))</f>
        <v/>
      </c>
      <c r="F33" s="127">
        <f>IF(E33&gt;0,E33*0.15,"No Transfer Required")</f>
        <v/>
      </c>
      <c r="G33" s="666" t="n"/>
      <c r="H33" s="122" t="n"/>
      <c r="J33" s="34" t="n"/>
      <c r="K33" s="579" t="inlineStr">
        <is>
          <t>DTC Transferable ESTIMATE</t>
        </is>
      </c>
      <c r="L33" s="35" t="n"/>
      <c r="M33" s="36">
        <f>IF(M32&lt;0,0,(IF(M32&gt;M8,M8,M32)))</f>
        <v/>
      </c>
      <c r="N33" s="40">
        <f>IF(M33&gt;0,M33*0.15,"No Transfer Required")</f>
        <v/>
      </c>
      <c r="O33" s="58" t="n"/>
      <c r="P33" s="52" t="n"/>
    </row>
    <row r="34" ht="15.75" customHeight="1" thickBot="1">
      <c r="B34" s="128" t="n"/>
      <c r="C34" s="129" t="n"/>
      <c r="D34" s="130" t="inlineStr">
        <is>
          <t>Net Transferable</t>
        </is>
      </c>
      <c r="E34" s="120">
        <f>IF(E32&lt;0,0,(IF(E32-G5-G6-G7-G9&lt;0,E32,(E32-G5-G6-G7-G9))))</f>
        <v/>
      </c>
      <c r="F34" s="131">
        <f>IF(E34&gt;0,E34*0.15,"0")</f>
        <v/>
      </c>
      <c r="G34" s="42" t="n"/>
      <c r="H34" s="863" t="n"/>
      <c r="J34" s="42" t="n"/>
      <c r="K34" s="41" t="n"/>
      <c r="L34" s="43" t="inlineStr">
        <is>
          <t>Net Transferable</t>
        </is>
      </c>
      <c r="M34" s="36">
        <f>IF(M32&lt;0,0,(IF(M32-O5-O6-O7-O9&lt;0,M32,(M32-O5-O6-O7-O9))))</f>
        <v/>
      </c>
      <c r="N34" s="57">
        <f>IF(M34&gt;0,M34*0.15,"0")</f>
        <v/>
      </c>
      <c r="O34" s="59" t="n"/>
      <c r="P34" s="864" t="n"/>
    </row>
    <row r="36" ht="15.75" customHeight="1" thickBot="1">
      <c r="E36">
        <f>Calculator!$D$5</f>
        <v/>
      </c>
      <c r="H36">
        <f>TransferName</f>
        <v/>
      </c>
      <c r="M36">
        <f>Calculator!$D$5</f>
        <v/>
      </c>
      <c r="P36">
        <f>TransferName</f>
        <v/>
      </c>
    </row>
    <row r="37" ht="15" customHeight="1" thickBot="1">
      <c r="B37" s="859" t="inlineStr">
        <is>
          <t>2022 Federal</t>
        </is>
      </c>
      <c r="C37" s="778" t="n"/>
      <c r="D37" s="778" t="n"/>
      <c r="E37" s="778" t="n"/>
      <c r="F37" s="778" t="n"/>
      <c r="G37" s="778" t="n"/>
      <c r="H37" s="780" t="n"/>
      <c r="J37" s="859" t="inlineStr">
        <is>
          <t>2021 Federal</t>
        </is>
      </c>
      <c r="K37" s="778" t="n"/>
      <c r="L37" s="778" t="n"/>
      <c r="M37" s="778" t="n"/>
      <c r="N37" s="778" t="n"/>
      <c r="O37" s="778" t="n"/>
      <c r="P37" s="780" t="n"/>
    </row>
    <row r="38" ht="15" customHeight="1" thickBot="1">
      <c r="B38" s="34" t="n"/>
      <c r="D38" t="inlineStr">
        <is>
          <t>Line</t>
        </is>
      </c>
      <c r="E38" t="inlineStr">
        <is>
          <t>Amt</t>
        </is>
      </c>
      <c r="F38" s="35" t="n"/>
      <c r="G38" s="667" t="inlineStr">
        <is>
          <t>Spouse</t>
        </is>
      </c>
      <c r="H38" s="35" t="inlineStr">
        <is>
          <t>S2 Adjustment</t>
        </is>
      </c>
      <c r="J38" s="34" t="n"/>
      <c r="L38" t="inlineStr">
        <is>
          <t>Line</t>
        </is>
      </c>
      <c r="M38" t="inlineStr">
        <is>
          <t>Amt</t>
        </is>
      </c>
      <c r="N38" s="35" t="n"/>
      <c r="O38" s="34" t="inlineStr">
        <is>
          <t>Spouse</t>
        </is>
      </c>
      <c r="P38" s="35" t="inlineStr">
        <is>
          <t>S2 Adjustment</t>
        </is>
      </c>
    </row>
    <row r="39" ht="15" customHeight="1" thickBot="1">
      <c r="B39" s="667" t="inlineStr">
        <is>
          <t>Age Amount</t>
        </is>
      </c>
      <c r="D39" t="inlineStr">
        <is>
          <t>Line 30100</t>
        </is>
      </c>
      <c r="E39" s="861">
        <f>(_xlfn.XLOOKUP(ClientNumber,Clients!D:D,Clients!AFZ:AFZ,2,0,1))</f>
        <v/>
      </c>
      <c r="F39" s="37" t="inlineStr">
        <is>
          <t>Line 35200</t>
        </is>
      </c>
      <c r="G39" s="51">
        <f>IF(TransferName="NONE",0,(_xlfn.XLOOKUP(TransferNumber,Clients!D:D,Clients!AHK:AHK,2,0,1)))</f>
        <v/>
      </c>
      <c r="H39" s="37">
        <f>IF(AND(E39&gt;0,G39=0),"Age Amount Can Be Transferred","No Action")</f>
        <v/>
      </c>
      <c r="J39" s="667" t="inlineStr">
        <is>
          <t>Age Amount</t>
        </is>
      </c>
      <c r="L39" t="inlineStr">
        <is>
          <t>Line 30100</t>
        </is>
      </c>
      <c r="M39" s="865">
        <f>(_xlfn.XLOOKUP(MainClient,Clients!D:D,Clients!BGU:BGU,2,0,1))</f>
        <v/>
      </c>
      <c r="N39" s="37" t="inlineStr">
        <is>
          <t>Line 35200</t>
        </is>
      </c>
      <c r="O39" s="51">
        <f>IF(TransferName="NONE",0,(_xlfn.XLOOKUP(TransferNumber,Clients!D:D,Clients!BIF:BIF,2,0,1)))</f>
        <v/>
      </c>
      <c r="P39" s="37">
        <f>IF(AND(M39&gt;0,O39=0),"Age Amount Can Be Transferred","No Action")</f>
        <v/>
      </c>
    </row>
    <row r="40" ht="15" customHeight="1" thickBot="1">
      <c r="B40" s="667" t="inlineStr">
        <is>
          <t>Canada Caregiver for infirm children under 18</t>
        </is>
      </c>
      <c r="D40" t="inlineStr">
        <is>
          <t>Line 30500</t>
        </is>
      </c>
      <c r="E40" s="861">
        <f>(_xlfn.XLOOKUP(ClientNumber,Clients!D:D,Clients!AHS:AHS,2,0,1))</f>
        <v/>
      </c>
      <c r="F40" s="37" t="inlineStr">
        <is>
          <t>Line 35300</t>
        </is>
      </c>
      <c r="G40" s="51">
        <f>IF(TransferName="NONE",0,(_xlfn.XLOOKUP(TransferNumber,Clients!D:D,Clients!AHP:AHP,2,0,1)))</f>
        <v/>
      </c>
      <c r="H40" s="37">
        <f>IF(AND(E40&gt;0,G40=0),"Amount for Child Under 18 Can be Transferred","No Action")</f>
        <v/>
      </c>
      <c r="J40" s="667" t="inlineStr">
        <is>
          <t>Canada Caregiver for infirm children under 18</t>
        </is>
      </c>
      <c r="L40" t="inlineStr">
        <is>
          <t>Line 30500</t>
        </is>
      </c>
      <c r="M40" s="865">
        <f>(_xlfn.XLOOKUP(MainClient,Clients!D:D,Clients!BIN:BIN,2,0,1))</f>
        <v/>
      </c>
      <c r="N40" s="37" t="inlineStr">
        <is>
          <t>Line 35300</t>
        </is>
      </c>
      <c r="O40" s="51">
        <f>IF(TransferName="NONE",0,(_xlfn.XLOOKUP(TransferNumber,Clients!D:D,Clients!BIK:BIK,2,0,1)))</f>
        <v/>
      </c>
      <c r="P40" s="37">
        <f>IF(AND(M40&gt;0,O40=0),"Amount for Child Under 18 Can be Transferred","No Action")</f>
        <v/>
      </c>
    </row>
    <row r="41" ht="15" customHeight="1" thickBot="1">
      <c r="B41" s="667" t="inlineStr">
        <is>
          <t>Pension Income Amount</t>
        </is>
      </c>
      <c r="D41" t="inlineStr">
        <is>
          <t>Line 31400 (max 2000)</t>
        </is>
      </c>
      <c r="E41" s="861">
        <f>IF((_xlfn.XLOOKUP(ClientNumber,Clients!D:D,Clients!AGI:AGI,2,0,1)&lt;2000),(_xlfn.XLOOKUP(MainClient,Clients!D:D,Clients!AGI:AGI,2,0,1)),2000)</f>
        <v/>
      </c>
      <c r="F41" s="37" t="inlineStr">
        <is>
          <t>Line 35500</t>
        </is>
      </c>
      <c r="G41" s="51">
        <f>IF(TransferName="NONE",0,(_xlfn.XLOOKUP(TransferNumber,Clients!D:D,Clients!AHM:AHM,2,0,1)))</f>
        <v/>
      </c>
      <c r="H41" s="37">
        <f>IF(AND(E41&gt;0,G41=0),"Pension Income Amount Can Be Transferred","No Action")</f>
        <v/>
      </c>
      <c r="J41" s="667" t="inlineStr">
        <is>
          <t>Pension Income Amount</t>
        </is>
      </c>
      <c r="L41" t="inlineStr">
        <is>
          <t>Line 31400 (max 2000)</t>
        </is>
      </c>
      <c r="M41" s="865">
        <f>IF((_xlfn.XLOOKUP(MainClient,Clients!D:D,Clients!BHD:BHD,2,0,1)&lt;2000),(_xlfn.XLOOKUP(MainClient,Clients!D:D,Clients!BHD:BHD,2,0,1)),2000)</f>
        <v/>
      </c>
      <c r="N41" s="37" t="inlineStr">
        <is>
          <t>Line 35500</t>
        </is>
      </c>
      <c r="O41" s="51">
        <f>IF(TransferName="NONE",0,(_xlfn.XLOOKUP(TransferNumber,Clients!D:D,Clients!BIH:BIH,2,0,1)))</f>
        <v/>
      </c>
      <c r="P41" s="37">
        <f>IF(AND(M41&gt;0,O41=0),"Pension Income Amount Can Be Transferred","No Action")</f>
        <v/>
      </c>
    </row>
    <row r="42" ht="15" customHeight="1" thickBot="1">
      <c r="B42" s="667" t="inlineStr">
        <is>
          <t>Disability Amount</t>
        </is>
      </c>
      <c r="D42" t="inlineStr">
        <is>
          <t>Line 31600</t>
        </is>
      </c>
      <c r="E42" s="861">
        <f>IF(_xlfn.XLOOKUP(ClientNumber,Clients!D:D,Clients!AGJ:AGJ,2,0,1)=0,8870,(_xlfn.XLOOKUP(MainClient,Clients!D:D,Clients!AGJ:AGJ,2,0,1)))</f>
        <v/>
      </c>
      <c r="F42" s="37" t="inlineStr">
        <is>
          <t>Line 35700</t>
        </is>
      </c>
      <c r="G42" s="51">
        <f>IF(TransferName="NONE",0,(_xlfn.XLOOKUP(TransferNumber,Clients!D:D,Clients!AHN:AHN,2,0,1)))</f>
        <v/>
      </c>
      <c r="H42" s="37">
        <f>IF(AND(E42&gt;0,G42=0),"DTC Transferable Not Claimed Can Be Transferred","No Action")</f>
        <v/>
      </c>
      <c r="J42" s="667" t="inlineStr">
        <is>
          <t>Disability Amount</t>
        </is>
      </c>
      <c r="L42" t="inlineStr">
        <is>
          <t>Line 31600</t>
        </is>
      </c>
      <c r="M42" s="865">
        <f>IF(_xlfn.XLOOKUP(MainClient,Clients!D:D,Clients!BHE:BHE,2,0,1)=0,8662,(_xlfn.XLOOKUP(MainClient,Clients!D:D,Clients!BHE:BHE,2,0,1)))</f>
        <v/>
      </c>
      <c r="N42" s="37" t="inlineStr">
        <is>
          <t>Line 35700</t>
        </is>
      </c>
      <c r="O42" s="51">
        <f>IF(TransferName="NONE",0,(_xlfn.XLOOKUP(TransferNumber,Clients!D:D,Clients!BII:BII,2,0,1)))</f>
        <v/>
      </c>
      <c r="P42" s="37">
        <f>IF(AND(M42&gt;0,O42=0),"DTC Transferable Not Claimed Can Be Transferred","No Action")</f>
        <v/>
      </c>
    </row>
    <row r="43" ht="15" customHeight="1" thickBot="1">
      <c r="B43" s="667" t="inlineStr">
        <is>
          <t>Tuition Amount</t>
        </is>
      </c>
      <c r="D43" t="inlineStr">
        <is>
          <t>Line 32700</t>
        </is>
      </c>
      <c r="E43" s="810">
        <f>(_xlfn.XLOOKUP(ClientNumber,Clients!D:D,Clients!AGS:AGS,2,0,1))</f>
        <v/>
      </c>
      <c r="F43" s="37" t="inlineStr">
        <is>
          <t>Line 36000</t>
        </is>
      </c>
      <c r="G43" s="51">
        <f>IF(TransferName="NONE",0,(_xlfn.XLOOKUP(TransferNumber,Clients!D:D,Clients!AHO:AHO,2,0,1)))</f>
        <v/>
      </c>
      <c r="H43" s="37">
        <f>IF(AND(E43&gt;0,G43=0),"Tuition Can Be Transferred","No Action")</f>
        <v/>
      </c>
      <c r="J43" s="667" t="inlineStr">
        <is>
          <t>Tuition Amount</t>
        </is>
      </c>
      <c r="L43" t="inlineStr">
        <is>
          <t>Line 32700</t>
        </is>
      </c>
      <c r="M43" s="865">
        <f>(_xlfn.XLOOKUP(MainClient,Clients!D:D,Clients!BHN:BHN,2,0,1))</f>
        <v/>
      </c>
      <c r="N43" s="37" t="inlineStr">
        <is>
          <t>Line 36000</t>
        </is>
      </c>
      <c r="O43" s="51">
        <f>IF(TransferName="NONE",0,(_xlfn.XLOOKUP(TransferNumber,Clients!D:D,Clients!BIJ:BIJ,2,0,1)))</f>
        <v/>
      </c>
      <c r="P43" s="37">
        <f>IF(AND(M43&gt;0,O43=0),"Tuition Can Be Transferred","No Action")</f>
        <v/>
      </c>
    </row>
    <row r="44" ht="15" customHeight="1" thickBot="1">
      <c r="B44" s="34" t="n"/>
      <c r="E44">
        <f>SUM(E39:E43)</f>
        <v/>
      </c>
      <c r="F44" s="35" t="n"/>
      <c r="G44" s="667">
        <f>SUM(G39:G43)</f>
        <v/>
      </c>
      <c r="H44" s="35" t="n"/>
      <c r="J44" s="34" t="n"/>
      <c r="M44">
        <f>SUM(M39:M43)</f>
        <v/>
      </c>
      <c r="N44" s="35" t="n"/>
      <c r="O44" s="667">
        <f>SUM(O39:O43)</f>
        <v/>
      </c>
      <c r="P44" s="35" t="n"/>
    </row>
    <row r="45" ht="15" customHeight="1" thickBot="1">
      <c r="B45" s="667" t="inlineStr">
        <is>
          <t>Line 26000</t>
        </is>
      </c>
      <c r="C45" s="36">
        <f>(_xlfn.XLOOKUP(MainClient,Clients!D:D,Clients!AFS:AFS,2,0,1))</f>
        <v/>
      </c>
      <c r="F45" s="35" t="n"/>
      <c r="G45" s="34">
        <f>IF(E68&gt;E42,"other transferable credits","DTC Only")</f>
        <v/>
      </c>
      <c r="H45" s="35" t="n"/>
      <c r="J45" s="667" t="inlineStr">
        <is>
          <t>Line 26000</t>
        </is>
      </c>
      <c r="K45" s="36">
        <f>(_xlfn.XLOOKUP(MainClient,Clients!D:D,Clients!BGN:BGN,2,0,1))</f>
        <v/>
      </c>
      <c r="N45" s="35" t="n"/>
      <c r="O45" s="34">
        <f>IF(M68&gt;M42,"other transferable credits","DTC Only")</f>
        <v/>
      </c>
      <c r="P45" s="35" t="n"/>
    </row>
    <row r="46" ht="15" customHeight="1" thickBot="1">
      <c r="B46" s="34" t="n"/>
      <c r="F46" s="35" t="n"/>
      <c r="G46" s="34" t="n"/>
      <c r="H46" s="35" t="n"/>
      <c r="J46" s="34" t="n"/>
      <c r="N46" s="35" t="n"/>
      <c r="O46" s="34" t="n"/>
      <c r="P46" s="35" t="n"/>
    </row>
    <row r="47" ht="15" customHeight="1" thickBot="1">
      <c r="B47" s="55" t="inlineStr">
        <is>
          <t>Line 30000</t>
        </is>
      </c>
      <c r="C47" s="36">
        <f>(_xlfn.XLOOKUP(ClientNumber,Clients!D:D,Clients!AFY:AFY,2,0,1))</f>
        <v/>
      </c>
      <c r="F47" s="35" t="n"/>
      <c r="G47" s="34" t="n"/>
      <c r="H47" s="35" t="n"/>
      <c r="J47" s="55" t="inlineStr">
        <is>
          <t>Line 30000</t>
        </is>
      </c>
      <c r="K47" s="36">
        <f>(_xlfn.XLOOKUP(MainClient,Clients!D:D,Clients!BGT:BGT,2,0,1))</f>
        <v/>
      </c>
      <c r="N47" s="35" t="n"/>
      <c r="O47" s="34" t="n"/>
      <c r="P47" s="35" t="n"/>
    </row>
    <row r="48" ht="15" customHeight="1" thickBot="1">
      <c r="B48" s="55" t="inlineStr">
        <is>
          <t>Line 30800</t>
        </is>
      </c>
      <c r="C48" s="36">
        <f>(_xlfn.XLOOKUP(ClientNumber,Clients!D:D,Clients!AGE:AGE,2,0,1))</f>
        <v/>
      </c>
      <c r="F48" s="35" t="n"/>
      <c r="G48" s="34" t="n"/>
      <c r="H48" s="35" t="n"/>
      <c r="J48" s="55" t="inlineStr">
        <is>
          <t>Line 30800</t>
        </is>
      </c>
      <c r="K48" s="36">
        <f>(_xlfn.XLOOKUP(MainClient,Clients!D:D,Clients!BGZ:BGZ,2,0,1))</f>
        <v/>
      </c>
      <c r="N48" s="35" t="n"/>
      <c r="O48" s="34" t="n"/>
      <c r="P48" s="35" t="n"/>
    </row>
    <row r="49" ht="15" customHeight="1" thickBot="1">
      <c r="B49" s="55" t="inlineStr">
        <is>
          <t>Line 31000</t>
        </is>
      </c>
      <c r="C49" s="36">
        <f>(_xlfn.XLOOKUP(ClientNumber,Clients!D:D,Clients!AGF:AGF,2,0,1))</f>
        <v/>
      </c>
      <c r="F49" s="35" t="n"/>
      <c r="G49" s="34" t="n"/>
      <c r="H49" s="35" t="n"/>
      <c r="J49" s="55" t="inlineStr">
        <is>
          <t>Line 31000</t>
        </is>
      </c>
      <c r="K49" s="36">
        <f>(_xlfn.XLOOKUP(MainClient,Clients!D:D,Clients!BHA:BHA,2,0,1))</f>
        <v/>
      </c>
      <c r="N49" s="35" t="n"/>
      <c r="P49" s="35" t="n"/>
    </row>
    <row r="50" ht="15" customHeight="1" thickBot="1">
      <c r="B50" s="55" t="inlineStr">
        <is>
          <t>Line 31200</t>
        </is>
      </c>
      <c r="C50" s="36">
        <f>(_xlfn.XLOOKUP(ClientNumber,Clients!D:D,Clients!AGG:AGG,2,0,1))</f>
        <v/>
      </c>
      <c r="F50" s="35" t="n"/>
      <c r="G50" s="34" t="n"/>
      <c r="H50" s="35" t="n"/>
      <c r="J50" s="55" t="inlineStr">
        <is>
          <t>Line 31200</t>
        </is>
      </c>
      <c r="K50" s="36">
        <f>(_xlfn.XLOOKUP(MainClient,Clients!D:D,Clients!BHB:BHB,2,0,1))</f>
        <v/>
      </c>
      <c r="N50" s="35" t="n"/>
      <c r="O50" s="34" t="n"/>
      <c r="P50" s="35" t="n"/>
    </row>
    <row r="51" ht="15.75" customHeight="1" thickBot="1">
      <c r="B51" s="55" t="inlineStr">
        <is>
          <t>Line 31217</t>
        </is>
      </c>
      <c r="C51" s="36">
        <f>(_xlfn.XLOOKUP(ClientNumber,Clients!D:D,Clients!AGK:AGK,2,0,1))</f>
        <v/>
      </c>
      <c r="F51" s="35" t="n"/>
      <c r="G51" s="34" t="n"/>
      <c r="H51" s="35" t="n"/>
      <c r="J51" s="55" t="inlineStr">
        <is>
          <t>Line 31217</t>
        </is>
      </c>
      <c r="K51" s="36">
        <f>(_xlfn.XLOOKUP(MainClient,Clients!D:D,Clients!BHF:BHF,2,0,1))</f>
        <v/>
      </c>
      <c r="N51" s="35" t="n"/>
      <c r="O51" s="34" t="n"/>
      <c r="P51" s="35" t="n"/>
    </row>
    <row r="52" ht="15.75" customHeight="1" thickBot="1">
      <c r="B52" s="55" t="inlineStr">
        <is>
          <t>Line 31220</t>
        </is>
      </c>
      <c r="C52" s="36">
        <f>(_xlfn.XLOOKUP(ClientNumber,Clients!D:D,Clients!AHQ:AHQ,2,0,1))</f>
        <v/>
      </c>
      <c r="F52" s="35" t="n"/>
      <c r="G52" s="34" t="n"/>
      <c r="H52" s="35" t="n"/>
      <c r="J52" s="55" t="inlineStr">
        <is>
          <t>Line 31220</t>
        </is>
      </c>
      <c r="K52" s="36">
        <f>(_xlfn.XLOOKUP(MainClient,Clients!D:D,Clients!BIL:BIL,2,0,1))</f>
        <v/>
      </c>
      <c r="N52" s="35" t="n"/>
      <c r="O52" s="34" t="n"/>
      <c r="P52" s="35" t="n"/>
    </row>
    <row r="53" ht="15.75" customHeight="1" thickBot="1">
      <c r="B53" s="55" t="inlineStr">
        <is>
          <t>Line 31240</t>
        </is>
      </c>
      <c r="C53" s="36">
        <f>(_xlfn.XLOOKUP(ClientNumber,Clients!D:D,Clients!AIL:AIL,2,0,1))</f>
        <v/>
      </c>
      <c r="F53" s="35" t="n"/>
      <c r="G53" s="34" t="n"/>
      <c r="H53" s="35" t="n"/>
      <c r="J53" s="55" t="inlineStr">
        <is>
          <t>Line 31240</t>
        </is>
      </c>
      <c r="K53" s="36">
        <f>(_xlfn.XLOOKUP(MainClient,Clients!D:D,Clients!BJG:BJG,2,0,1))</f>
        <v/>
      </c>
      <c r="N53" s="35" t="n"/>
      <c r="O53" s="34" t="n"/>
      <c r="P53" s="35" t="n"/>
    </row>
    <row r="54" ht="15.75" customHeight="1" thickBot="1">
      <c r="B54" s="55" t="inlineStr">
        <is>
          <t>Line 31260</t>
        </is>
      </c>
      <c r="C54" s="36">
        <f>(_xlfn.XLOOKUP(ClientNumber,Clients!D:D,Clients!AHR:AHR,2,0,1))</f>
        <v/>
      </c>
      <c r="F54" s="35" t="n"/>
      <c r="G54" s="34" t="n"/>
      <c r="H54" s="35" t="n"/>
      <c r="J54" s="55" t="inlineStr">
        <is>
          <t>Line 31260</t>
        </is>
      </c>
      <c r="K54" s="36">
        <f>(_xlfn.XLOOKUP(MainClient,Clients!D:D,Clients!BIM:BIM,2,0,1))</f>
        <v/>
      </c>
      <c r="N54" s="35" t="n"/>
      <c r="O54" s="34" t="n"/>
      <c r="P54" s="35" t="n"/>
    </row>
    <row r="55" ht="15.75" customHeight="1" thickBot="1">
      <c r="B55" s="55" t="inlineStr">
        <is>
          <t>Line 31270</t>
        </is>
      </c>
      <c r="C55" s="36">
        <f>(_xlfn.XLOOKUP(ClientNumber,Clients!D:D,Clients!AHT:AHT,2,0,1))</f>
        <v/>
      </c>
      <c r="F55" s="35" t="n"/>
      <c r="G55" s="34" t="n"/>
      <c r="H55" s="35" t="n"/>
      <c r="J55" s="55" t="inlineStr">
        <is>
          <t>Line 31270</t>
        </is>
      </c>
      <c r="K55" s="36">
        <f>(_xlfn.XLOOKUP(MainClient,Clients!D:D,Clients!BIO:BIO,2,0,1))</f>
        <v/>
      </c>
      <c r="N55" s="35" t="n"/>
      <c r="O55" s="34" t="n"/>
      <c r="P55" s="35" t="n"/>
    </row>
    <row r="56" ht="15.75" customHeight="1" thickBot="1">
      <c r="B56" s="55" t="inlineStr">
        <is>
          <t>Line 31285</t>
        </is>
      </c>
      <c r="C56" s="36">
        <f>(_xlfn.XLOOKUP(ClientNumber,Clients!D:D,Clients!AIM:AIM,2,0,1))</f>
        <v/>
      </c>
      <c r="F56" s="35" t="n"/>
      <c r="G56" s="34" t="n"/>
      <c r="H56" s="35" t="n"/>
      <c r="J56" s="55" t="inlineStr">
        <is>
          <t>Line 31285</t>
        </is>
      </c>
      <c r="K56" s="36">
        <f>(_xlfn.XLOOKUP(MainClient,Clients!D:D,Clients!BJH:BJH,2,0,1))</f>
        <v/>
      </c>
      <c r="N56" s="35" t="n"/>
      <c r="O56" s="34" t="n"/>
      <c r="P56" s="35" t="n"/>
    </row>
    <row r="57" ht="15.75" customHeight="1" thickBot="1">
      <c r="B57" s="55" t="inlineStr">
        <is>
          <t>Line 31300</t>
        </is>
      </c>
      <c r="C57" s="36">
        <f>(_xlfn.XLOOKUP(ClientNumber,Clients!D:D,Clients!AGH:AGH,2,0,1))</f>
        <v/>
      </c>
      <c r="F57" s="35" t="n"/>
      <c r="G57" s="34" t="inlineStr">
        <is>
          <t>Line 32600</t>
        </is>
      </c>
      <c r="H57" s="35">
        <f>IF(TransferName="NONE",0,(_xlfn.XLOOKUP(TransferNumber,Clients!D:D,Clients!AGR:AGR,2,0,1)))</f>
        <v/>
      </c>
      <c r="I57" s="35" t="n"/>
      <c r="J57" s="55" t="inlineStr">
        <is>
          <t>Line 31300</t>
        </is>
      </c>
      <c r="K57" s="36">
        <f>(_xlfn.XLOOKUP(MainClient,Clients!D:D,Clients!BHC:BHC,2,0,1))</f>
        <v/>
      </c>
      <c r="N57" s="35" t="n"/>
      <c r="O57" s="34" t="inlineStr">
        <is>
          <t>Line 32600</t>
        </is>
      </c>
      <c r="P57" s="35">
        <f>IF(TransferName="NONE",0,(_xlfn.XLOOKUP(TransferNumber,Clients!D:D,Clients!BHM:BHM,2,0,1)))</f>
        <v/>
      </c>
    </row>
    <row r="58" ht="15.75" customHeight="1" thickBot="1">
      <c r="B58" s="55" t="inlineStr">
        <is>
          <t>Line 32300</t>
        </is>
      </c>
      <c r="C58" s="36">
        <f>(_xlfn.XLOOKUP(ClientNumber,Clients!D:D,Clients!AGO:AGO,2,0,1))</f>
        <v/>
      </c>
      <c r="F58" s="35" t="n"/>
      <c r="G58" s="34" t="n"/>
      <c r="H58" s="35" t="n"/>
      <c r="J58" s="55" t="inlineStr">
        <is>
          <t>Line 32300</t>
        </is>
      </c>
      <c r="K58" s="36">
        <f>(_xlfn.XLOOKUP(MainClient,Clients!D:D,Clients!BHJ:BHJ,2,0,1))</f>
        <v/>
      </c>
      <c r="N58" s="35" t="n"/>
      <c r="O58" s="34" t="n"/>
      <c r="P58" s="35" t="n"/>
    </row>
    <row r="59" ht="15.75" customHeight="1" thickBot="1">
      <c r="B59" s="55" t="n"/>
      <c r="C59" s="36" t="n"/>
      <c r="F59" s="35" t="n"/>
      <c r="G59" s="34" t="n"/>
      <c r="H59" s="35" t="n"/>
      <c r="J59" s="76" t="n"/>
      <c r="K59" s="36" t="n"/>
      <c r="N59" s="35" t="n"/>
      <c r="O59" s="34" t="n"/>
      <c r="P59" s="35" t="n"/>
    </row>
    <row r="60" ht="15.75" customHeight="1" thickBot="1">
      <c r="B60" s="55" t="n"/>
      <c r="C60" s="36" t="n"/>
      <c r="F60" s="35" t="n"/>
      <c r="G60" s="34" t="n"/>
      <c r="H60" s="35" t="n"/>
      <c r="J60" s="76" t="n"/>
      <c r="K60" s="36" t="n"/>
      <c r="N60" s="35" t="n"/>
      <c r="O60" s="34" t="n"/>
      <c r="P60" s="35" t="n"/>
    </row>
    <row r="61" ht="14.25" customHeight="1" thickBot="1">
      <c r="B61" s="55" t="n"/>
      <c r="C61" s="36" t="n"/>
      <c r="F61" s="35" t="n"/>
      <c r="G61" s="34" t="n"/>
      <c r="H61" s="35">
        <f>IF(E66&gt;0,E44-G44,0)</f>
        <v/>
      </c>
      <c r="J61" s="76" t="n"/>
      <c r="K61" s="36" t="n"/>
      <c r="N61" s="35" t="n"/>
      <c r="O61" s="34" t="n"/>
      <c r="P61" s="35">
        <f>IF(M66&gt;0,M44-O44,0)</f>
        <v/>
      </c>
    </row>
    <row r="62" ht="15.75" customHeight="1" thickBot="1">
      <c r="B62" s="55" t="n"/>
      <c r="C62" s="36" t="n"/>
      <c r="F62" s="35" t="n"/>
      <c r="H62" s="52">
        <f>IF(TransferName="NONE",F67,IF(H61&gt;0,(E66-G44)*0.15,0))</f>
        <v/>
      </c>
      <c r="J62" s="76" t="n"/>
      <c r="K62" s="36" t="n"/>
      <c r="N62" s="35" t="n"/>
      <c r="P62" s="52">
        <f>IF(TransferName="NONE",N67,IF(P61&gt;0,(M66-O44)*0.15,0))</f>
        <v/>
      </c>
    </row>
    <row r="63">
      <c r="B63" s="667" t="n"/>
      <c r="F63" s="35" t="n"/>
      <c r="G63" s="34" t="inlineStr">
        <is>
          <t>Transferable</t>
        </is>
      </c>
      <c r="H63" s="79">
        <f>IF(H62&gt;0,H62,0)</f>
        <v/>
      </c>
      <c r="J63" s="667" t="n"/>
      <c r="N63" s="35" t="n"/>
      <c r="O63" s="34" t="inlineStr">
        <is>
          <t>Transferable</t>
        </is>
      </c>
      <c r="P63" s="79">
        <f>IF(P62&gt;0,P62,0)</f>
        <v/>
      </c>
    </row>
    <row r="64">
      <c r="B64" s="667" t="inlineStr">
        <is>
          <t>Adjusted Taxable Income</t>
        </is>
      </c>
      <c r="C64">
        <f>C45-(SUM(C47:C62))</f>
        <v/>
      </c>
      <c r="D64" s="13" t="inlineStr">
        <is>
          <t>Line 351</t>
        </is>
      </c>
      <c r="E64" s="39">
        <f>IF(C64&gt;0,C64,0)</f>
        <v/>
      </c>
      <c r="F64" s="35" t="n"/>
      <c r="G64" s="34" t="n"/>
      <c r="H64" s="35" t="n"/>
      <c r="J64" s="667" t="inlineStr">
        <is>
          <t>Adjusted Taxable Income</t>
        </is>
      </c>
      <c r="K64">
        <f>K45-(SUM(K47:K62))</f>
        <v/>
      </c>
      <c r="L64" s="13" t="inlineStr">
        <is>
          <t>Line 351</t>
        </is>
      </c>
      <c r="M64" s="39">
        <f>IF(K64&gt;0,K64,0)</f>
        <v/>
      </c>
      <c r="N64" s="35" t="n"/>
      <c r="O64" s="34" t="n"/>
      <c r="P64" s="35" t="n"/>
    </row>
    <row r="65" ht="15.75" customHeight="1" thickBot="1">
      <c r="B65" s="34" t="n"/>
      <c r="F65" s="35" t="n"/>
      <c r="G65" s="34" t="n"/>
      <c r="H65" s="35" t="n"/>
      <c r="J65" s="34" t="n"/>
      <c r="N65" s="35" t="n"/>
      <c r="O65" s="34" t="n"/>
      <c r="P65" s="35" t="n"/>
    </row>
    <row r="66" ht="15.75" customHeight="1" thickBot="1">
      <c r="B66" s="34" t="n"/>
      <c r="D66" s="21" t="inlineStr">
        <is>
          <t>Fed Trans</t>
        </is>
      </c>
      <c r="E66" s="36">
        <f>(E44-E64)</f>
        <v/>
      </c>
      <c r="F66" s="40" t="n"/>
      <c r="G66" s="34" t="n"/>
      <c r="H66" s="52" t="n"/>
      <c r="J66" s="34" t="n"/>
      <c r="L66" s="21" t="inlineStr">
        <is>
          <t>Fed Trans</t>
        </is>
      </c>
      <c r="M66" s="36">
        <f>(M44-M64)</f>
        <v/>
      </c>
      <c r="N66" s="40" t="n"/>
      <c r="O66" s="34" t="n"/>
      <c r="P66" s="52" t="n"/>
    </row>
    <row r="67" ht="15.75" customHeight="1" thickBot="1">
      <c r="B67" s="34" t="n"/>
      <c r="C67" s="579" t="inlineStr">
        <is>
          <t>DTC Transferable ESTIMATE</t>
        </is>
      </c>
      <c r="D67" s="35" t="n"/>
      <c r="E67" s="36">
        <f>IF(E66&lt;0,0,(IF(E66&gt;E42,E42,E66)))</f>
        <v/>
      </c>
      <c r="F67" s="40">
        <f>IF(E67&gt;0,E67*0.15,"No Transfer Required")</f>
        <v/>
      </c>
      <c r="G67" s="678" t="n"/>
      <c r="H67" s="52" t="n"/>
      <c r="J67" s="34" t="n"/>
      <c r="K67" s="579" t="inlineStr">
        <is>
          <t>DTC Transferable ESTIMATE</t>
        </is>
      </c>
      <c r="L67" s="35" t="n"/>
      <c r="M67" s="36">
        <f>IF(M66&lt;0,0,(IF(M66&gt;M42,M42,M66)))</f>
        <v/>
      </c>
      <c r="N67" s="40">
        <f>IF(M67&gt;0,M67*0.15,"No Transfer Required")</f>
        <v/>
      </c>
      <c r="O67" s="58" t="n"/>
      <c r="P67" s="52" t="n"/>
    </row>
    <row r="68" ht="15.75" customHeight="1" thickBot="1">
      <c r="B68" s="42" t="n"/>
      <c r="C68" s="41" t="n"/>
      <c r="D68" s="43" t="inlineStr">
        <is>
          <t>Net Transferable</t>
        </is>
      </c>
      <c r="E68" s="36">
        <f>IF(E66&lt;0,0,(IF(E66-G39-G40-G41-G43&lt;0,E66,(E66-G39-G40-G41-G43))))</f>
        <v/>
      </c>
      <c r="F68" s="57">
        <f>IF(E68&gt;0,E68*0.15,"0")</f>
        <v/>
      </c>
      <c r="G68" s="42" t="n"/>
      <c r="H68" s="864" t="n"/>
      <c r="J68" s="42" t="n"/>
      <c r="K68" s="41" t="n"/>
      <c r="L68" s="43" t="inlineStr">
        <is>
          <t>Net Transferable</t>
        </is>
      </c>
      <c r="M68" s="36">
        <f>IF(M66&lt;0,0,(IF(M66-O39-O40-O41-O43&lt;0,M66,(M66-O39-O40-O41-O43))))</f>
        <v/>
      </c>
      <c r="N68" s="57">
        <f>IF(M68&gt;0,M68*0.15,"0")</f>
        <v/>
      </c>
      <c r="O68" s="59" t="n"/>
      <c r="P68" s="864" t="n"/>
    </row>
    <row r="70" ht="15.75" customHeight="1" thickBot="1">
      <c r="E70">
        <f>Calculator!$D$5</f>
        <v/>
      </c>
      <c r="H70">
        <f>TransferName</f>
        <v/>
      </c>
      <c r="M70">
        <f>Calculator!$D$5</f>
        <v/>
      </c>
      <c r="P70">
        <f>TransferName</f>
        <v/>
      </c>
    </row>
    <row r="71" ht="15.75" customHeight="1" thickBot="1">
      <c r="B71" s="859" t="inlineStr">
        <is>
          <t>2020 Federal</t>
        </is>
      </c>
      <c r="C71" s="778" t="n"/>
      <c r="D71" s="778" t="n"/>
      <c r="E71" s="778" t="n"/>
      <c r="F71" s="778" t="n"/>
      <c r="G71" s="778" t="n"/>
      <c r="H71" s="780" t="n"/>
      <c r="J71" s="859" t="inlineStr">
        <is>
          <t>2019 Federal</t>
        </is>
      </c>
      <c r="K71" s="778" t="n"/>
      <c r="L71" s="778" t="n"/>
      <c r="M71" s="778" t="n"/>
      <c r="N71" s="778" t="n"/>
      <c r="O71" s="778" t="n"/>
      <c r="P71" s="780" t="n"/>
    </row>
    <row r="72" ht="15.75" customHeight="1" thickBot="1">
      <c r="B72" s="34" t="n"/>
      <c r="D72" t="inlineStr">
        <is>
          <t>Line</t>
        </is>
      </c>
      <c r="E72" t="inlineStr">
        <is>
          <t>Amt</t>
        </is>
      </c>
      <c r="F72" s="35" t="n"/>
      <c r="G72" s="667" t="inlineStr">
        <is>
          <t>Spouse</t>
        </is>
      </c>
      <c r="H72" s="35" t="inlineStr">
        <is>
          <t>S2 Adjustment</t>
        </is>
      </c>
      <c r="J72" s="34" t="n"/>
      <c r="L72" t="inlineStr">
        <is>
          <t>Line</t>
        </is>
      </c>
      <c r="M72" t="inlineStr">
        <is>
          <t>Amt</t>
        </is>
      </c>
      <c r="N72" s="35" t="n"/>
      <c r="O72" s="34" t="inlineStr">
        <is>
          <t>Spouse</t>
        </is>
      </c>
      <c r="P72" s="35" t="inlineStr">
        <is>
          <t>S2 Adjustment</t>
        </is>
      </c>
    </row>
    <row r="73" ht="15.75" customHeight="1" thickBot="1">
      <c r="B73" s="667" t="inlineStr">
        <is>
          <t>Age Amount</t>
        </is>
      </c>
      <c r="D73" t="inlineStr">
        <is>
          <t>Line 30100</t>
        </is>
      </c>
      <c r="E73" s="861">
        <f>(_xlfn.XLOOKUP(ClientNumber,Clients!D:D,Clients!CHP:CHP,2,0,1))</f>
        <v/>
      </c>
      <c r="F73" s="37" t="inlineStr">
        <is>
          <t>Line 35200</t>
        </is>
      </c>
      <c r="G73" s="51">
        <f>IF(TransferName="NONE",0,(_xlfn.XLOOKUP(TransferNumber,Clients!D:D,Clients!CJA:CJA,2,0,1)))</f>
        <v/>
      </c>
      <c r="H73" s="37">
        <f>IF(AND(E73&gt;0,G73=0),"Age Amount Can Be Transferred","No Action")</f>
        <v/>
      </c>
      <c r="J73" s="667" t="inlineStr">
        <is>
          <t>Age Amount</t>
        </is>
      </c>
      <c r="L73" t="inlineStr">
        <is>
          <t>Line 30100</t>
        </is>
      </c>
      <c r="M73" s="865">
        <f>(_xlfn.XLOOKUP(MainClient,Clients!D:D,Clients!DIK:DIK,2,0,1))</f>
        <v/>
      </c>
      <c r="N73" s="37" t="inlineStr">
        <is>
          <t>Line 35200</t>
        </is>
      </c>
      <c r="O73" s="51">
        <f>IF(TransferName="NONE",0,(_xlfn.XLOOKUP(TransferNumber,Clients!D:D,Clients!DJV:DJV,2,0,1)))</f>
        <v/>
      </c>
      <c r="P73" s="37">
        <f>IF(AND(M73&gt;0,O73=0),"Age Amount Can Be Transferred","No Action")</f>
        <v/>
      </c>
    </row>
    <row r="74" ht="15.75" customHeight="1" thickBot="1">
      <c r="B74" s="667" t="inlineStr">
        <is>
          <t>Canada Caregiver for infirm children under 18</t>
        </is>
      </c>
      <c r="D74" t="inlineStr">
        <is>
          <t>Line 30500</t>
        </is>
      </c>
      <c r="E74" s="861">
        <f>(_xlfn.XLOOKUP(ClientNumber,Clients!D:D,Clients!CJI:CJI,2,0,1))</f>
        <v/>
      </c>
      <c r="F74" s="37" t="inlineStr">
        <is>
          <t>Line 35300</t>
        </is>
      </c>
      <c r="G74" s="51">
        <f>IF(TransferName="NONE",0,(_xlfn.XLOOKUP(TransferNumber,Clients!D:D,Clients!CJF:CJF,2,0,1)))</f>
        <v/>
      </c>
      <c r="H74" s="37">
        <f>IF(AND(E74&gt;0,G74=0),"Amount for Child Under 18 Can be Transferred","No Action")</f>
        <v/>
      </c>
      <c r="J74" s="667" t="inlineStr">
        <is>
          <t>Canada Caregiver for infirm children under 18</t>
        </is>
      </c>
      <c r="L74" t="inlineStr">
        <is>
          <t>Line 30500</t>
        </is>
      </c>
      <c r="M74" s="865">
        <f>(_xlfn.XLOOKUP(MainClient,Clients!D:D,Clients!DKD:DKD,2,0,1))</f>
        <v/>
      </c>
      <c r="N74" s="37" t="inlineStr">
        <is>
          <t>Line 35300</t>
        </is>
      </c>
      <c r="O74" s="51">
        <f>IF(TransferName="NONE",0,(_xlfn.XLOOKUP(TransferNumber,Clients!D:D,Clients!DKA:DKA,2,0,1)))</f>
        <v/>
      </c>
      <c r="P74" s="37">
        <f>IF(AND(M74&gt;0,O74=0),"Amount for Child Under 18 Can be Transferred","No Action")</f>
        <v/>
      </c>
    </row>
    <row r="75" ht="15.75" customHeight="1" thickBot="1">
      <c r="B75" s="667" t="inlineStr">
        <is>
          <t>Pension Income Amount</t>
        </is>
      </c>
      <c r="D75" t="inlineStr">
        <is>
          <t>Line 31400 (max 2000)</t>
        </is>
      </c>
      <c r="E75" s="861">
        <f>IF((_xlfn.XLOOKUP(ClientNumber,Clients!D:D,Clients!CHY:CHY,2,0,1)&lt;2000),(_xlfn.XLOOKUP(MainClient,Clients!D:D,Clients!CHY:CHY,2,0,1)),2000)</f>
        <v/>
      </c>
      <c r="F75" s="37" t="inlineStr">
        <is>
          <t>Line 35500</t>
        </is>
      </c>
      <c r="G75" s="51">
        <f>IF(TransferName="NONE",0,(_xlfn.XLOOKUP(TransferNumber,Clients!D:D,Clients!CJC:CJC,2,0,1)))</f>
        <v/>
      </c>
      <c r="H75" s="37">
        <f>IF(AND(E75&gt;0,G75=0),"Pension Income Amount Can Be Transferred","No Action")</f>
        <v/>
      </c>
      <c r="J75" s="667" t="inlineStr">
        <is>
          <t>Pension Income Amount</t>
        </is>
      </c>
      <c r="L75" t="inlineStr">
        <is>
          <t>Line 31400 (max 2000)</t>
        </is>
      </c>
      <c r="M75" s="865">
        <f>IF((_xlfn.XLOOKUP(MainClient,Clients!D:D,Clients!DIT:DIT,2,0,1)&lt;2000),(_xlfn.XLOOKUP(MainClient,Clients!D:D,Clients!DIT:DIT,2,0,1)),2000)</f>
        <v/>
      </c>
      <c r="N75" s="37" t="inlineStr">
        <is>
          <t>Line 35500</t>
        </is>
      </c>
      <c r="O75" s="51">
        <f>IF(TransferName="NONE",0,(_xlfn.XLOOKUP(TransferNumber,Clients!D:D,Clients!DJX:DJX,2,0,1)))</f>
        <v/>
      </c>
      <c r="P75" s="37">
        <f>IF(AND(M75&gt;0,O75=0),"Pension Income Amount Can Be Transferred","No Action")</f>
        <v/>
      </c>
    </row>
    <row r="76" ht="15.75" customHeight="1" thickBot="1">
      <c r="B76" s="667" t="inlineStr">
        <is>
          <t>Disability Amount</t>
        </is>
      </c>
      <c r="D76" t="inlineStr">
        <is>
          <t>Line 31600</t>
        </is>
      </c>
      <c r="E76" s="861">
        <f>IF(_xlfn.XLOOKUP(ClientNumber,Clients!D:D,Clients!CHZ:CHZ,2,0,1)=0,8576,(_xlfn.XLOOKUP(MainClient,Clients!D:D,Clients!CHZ:CHZ,2,0,1)))</f>
        <v/>
      </c>
      <c r="F76" s="37" t="inlineStr">
        <is>
          <t>Line 35700</t>
        </is>
      </c>
      <c r="G76" s="51">
        <f>IF(TransferName="NONE",0,(_xlfn.XLOOKUP(TransferNumber,Clients!D:D,Clients!CJD:CJD,2,0,1)))</f>
        <v/>
      </c>
      <c r="H76" s="37">
        <f>IF(AND(E76&gt;0,G76=0),"DTC Transferable Not Claimed Can Be Transferred","No Action")</f>
        <v/>
      </c>
      <c r="J76" s="667" t="inlineStr">
        <is>
          <t>Disability Amount</t>
        </is>
      </c>
      <c r="L76" t="inlineStr">
        <is>
          <t>Line 31600</t>
        </is>
      </c>
      <c r="M76" s="865">
        <f>IF(_xlfn.XLOOKUP(MainClient,Clients!D:D,Clients!DIU:DIU,2,0,1)=0,8416,(_xlfn.XLOOKUP(MainClient,Clients!D:D,Clients!DIU:DIU,2,0,1)))</f>
        <v/>
      </c>
      <c r="N76" s="37" t="inlineStr">
        <is>
          <t>Line 35700</t>
        </is>
      </c>
      <c r="O76" s="51">
        <f>IF(TransferName="NONE",0,(_xlfn.XLOOKUP(TransferNumber,Clients!D:D,Clients!DJY:DJY,2,0,1)))</f>
        <v/>
      </c>
      <c r="P76" s="37">
        <f>IF(AND(M76&gt;0,O76=0),"DTC Transferable Not Claimed Can Be Transferred","No Action")</f>
        <v/>
      </c>
    </row>
    <row r="77" ht="15.75" customHeight="1" thickBot="1">
      <c r="B77" s="667" t="inlineStr">
        <is>
          <t>Tuition Amount</t>
        </is>
      </c>
      <c r="D77" t="inlineStr">
        <is>
          <t>Line 32700</t>
        </is>
      </c>
      <c r="E77" s="810">
        <f>(_xlfn.XLOOKUP(ClientNumber,Clients!D:D,Clients!CII:CII,2,0,1))</f>
        <v/>
      </c>
      <c r="F77" s="37" t="inlineStr">
        <is>
          <t>Line 36000</t>
        </is>
      </c>
      <c r="G77" s="51">
        <f>IF(TransferName="NONE",0,(_xlfn.XLOOKUP(TransferNumber,Clients!D:D,Clients!CJE:CJE,2,0,1)))</f>
        <v/>
      </c>
      <c r="H77" s="37">
        <f>IF(AND(E77&gt;0,G77=0),"Tuition Can Be Transferred","No Action")</f>
        <v/>
      </c>
      <c r="J77" s="667" t="inlineStr">
        <is>
          <t>Tuition Amount</t>
        </is>
      </c>
      <c r="L77" t="inlineStr">
        <is>
          <t>Line 32700</t>
        </is>
      </c>
      <c r="M77" s="865">
        <f>(_xlfn.XLOOKUP(MainClient,Clients!D:D,Clients!DJD:DJD,2,0,1))</f>
        <v/>
      </c>
      <c r="N77" s="37" t="inlineStr">
        <is>
          <t>Line 36000</t>
        </is>
      </c>
      <c r="O77" s="51">
        <f>IF(TransferName="NONE",0,(_xlfn.XLOOKUP(TransferNumber,Clients!D:D,Clients!DJZ:DJZ,2,0,1)))</f>
        <v/>
      </c>
      <c r="P77" s="37">
        <f>IF(AND(M77&gt;0,O77=0),"Tuition Can Be Transferred","No Action")</f>
        <v/>
      </c>
    </row>
    <row r="78" ht="15.75" customHeight="1" thickBot="1">
      <c r="B78" s="34" t="n"/>
      <c r="E78">
        <f>SUM(E73:E77)</f>
        <v/>
      </c>
      <c r="F78" s="35" t="n"/>
      <c r="G78" s="667">
        <f>SUM(G73:G77)</f>
        <v/>
      </c>
      <c r="H78" s="35" t="n"/>
      <c r="J78" s="34" t="n"/>
      <c r="M78">
        <f>SUM(M73:M77)</f>
        <v/>
      </c>
      <c r="N78" s="35" t="n"/>
      <c r="O78" s="667">
        <f>SUM(O73:O77)</f>
        <v/>
      </c>
      <c r="P78" s="35" t="n"/>
    </row>
    <row r="79" ht="15.75" customHeight="1" thickBot="1">
      <c r="B79" s="667" t="inlineStr">
        <is>
          <t>Line 26000</t>
        </is>
      </c>
      <c r="C79" s="36">
        <f>(_xlfn.XLOOKUP(MainClient,Clients!D:D,Clients!CHI:CHI,2,0,1))</f>
        <v/>
      </c>
      <c r="F79" s="35" t="n"/>
      <c r="G79" s="34">
        <f>IF(E102&gt;E76,"other transferable credits","DTC Only")</f>
        <v/>
      </c>
      <c r="H79" s="35" t="n"/>
      <c r="J79" s="667" t="inlineStr">
        <is>
          <t>Line 26000</t>
        </is>
      </c>
      <c r="K79" s="36">
        <f>(_xlfn.XLOOKUP(MainClient,Clients!D:D,Clients!DID:DID,2,0,1))</f>
        <v/>
      </c>
      <c r="N79" s="35" t="n"/>
      <c r="O79" s="34">
        <f>IF(M102&gt;M76,"other transferable credits","DTC Only")</f>
        <v/>
      </c>
      <c r="P79" s="35" t="n"/>
    </row>
    <row r="80" ht="15.75" customHeight="1" thickBot="1">
      <c r="B80" s="34" t="n"/>
      <c r="F80" s="35" t="n"/>
      <c r="G80" s="34" t="n"/>
      <c r="H80" s="35" t="n"/>
      <c r="J80" s="34" t="n"/>
      <c r="N80" s="35" t="n"/>
      <c r="O80" s="34" t="n"/>
      <c r="P80" s="35" t="n"/>
    </row>
    <row r="81" ht="15.75" customHeight="1" thickBot="1">
      <c r="B81" s="55" t="inlineStr">
        <is>
          <t>Line 30000</t>
        </is>
      </c>
      <c r="C81" s="36">
        <f>(_xlfn.XLOOKUP(ClientNumber,Clients!D:D,Clients!CHO:CHO,2,0,1))</f>
        <v/>
      </c>
      <c r="F81" s="35" t="n"/>
      <c r="G81" s="34" t="n"/>
      <c r="H81" s="35" t="n"/>
      <c r="J81" s="55" t="inlineStr">
        <is>
          <t>Line 30000</t>
        </is>
      </c>
      <c r="K81" s="36">
        <f>(_xlfn.XLOOKUP(MainClient,Clients!D:D,Clients!DIJ:DIJ,2,0,1))</f>
        <v/>
      </c>
      <c r="N81" s="35" t="n"/>
      <c r="O81" s="34" t="n"/>
      <c r="P81" s="35" t="n"/>
    </row>
    <row r="82" ht="15.75" customHeight="1" thickBot="1">
      <c r="B82" s="55" t="inlineStr">
        <is>
          <t>Line 30800</t>
        </is>
      </c>
      <c r="C82" s="36">
        <f>(_xlfn.XLOOKUP(ClientNumber,Clients!D:D,Clients!EJK:EJK,2,0,1))</f>
        <v/>
      </c>
      <c r="F82" s="35" t="n"/>
      <c r="G82" s="34" t="n"/>
      <c r="H82" s="35" t="n"/>
      <c r="J82" s="55" t="inlineStr">
        <is>
          <t>Line 30800</t>
        </is>
      </c>
      <c r="K82" s="36">
        <f>(_xlfn.XLOOKUP(MainClient,Clients!D:D,Clients!DIP:DIP,2,0,1))</f>
        <v/>
      </c>
      <c r="N82" s="35" t="n"/>
      <c r="O82" s="34" t="n"/>
      <c r="P82" s="35" t="n"/>
    </row>
    <row r="83" ht="15.75" customHeight="1" thickBot="1">
      <c r="B83" s="55" t="inlineStr">
        <is>
          <t>Line 31000</t>
        </is>
      </c>
      <c r="C83" s="36">
        <f>(_xlfn.XLOOKUP(ClientNumber,Clients!D:D,Clients!CHV:CHV,2,0,1))</f>
        <v/>
      </c>
      <c r="F83" s="35" t="n"/>
      <c r="G83" s="34" t="n"/>
      <c r="H83" s="35" t="n"/>
      <c r="J83" s="55" t="inlineStr">
        <is>
          <t>Line 31000</t>
        </is>
      </c>
      <c r="K83" s="36">
        <f>(_xlfn.XLOOKUP(MainClient,Clients!D:D,Clients!DIQ:DIQ,2,0,1))</f>
        <v/>
      </c>
      <c r="N83" s="35" t="n"/>
      <c r="P83" s="35" t="n"/>
    </row>
    <row r="84" ht="15.75" customHeight="1" thickBot="1">
      <c r="B84" s="55" t="inlineStr">
        <is>
          <t>Line 31200</t>
        </is>
      </c>
      <c r="C84" s="36">
        <f>(_xlfn.XLOOKUP(ClientNumber,Clients!D:D,Clients!CHW:CHW,2,0,1))</f>
        <v/>
      </c>
      <c r="F84" s="35" t="n"/>
      <c r="G84" s="34" t="n"/>
      <c r="H84" s="35" t="n"/>
      <c r="J84" s="55" t="inlineStr">
        <is>
          <t>Line 31200</t>
        </is>
      </c>
      <c r="K84" s="36">
        <f>(_xlfn.XLOOKUP(MainClient,Clients!D:D,Clients!DIR:DIR,2,0,1))</f>
        <v/>
      </c>
      <c r="N84" s="35" t="n"/>
      <c r="O84" s="34" t="n"/>
      <c r="P84" s="35" t="n"/>
    </row>
    <row r="85" ht="15.75" customHeight="1" thickBot="1">
      <c r="B85" s="55" t="inlineStr">
        <is>
          <t>Line 31217</t>
        </is>
      </c>
      <c r="C85" s="36">
        <f>(_xlfn.XLOOKUP(ClientNumber,Clients!D:D,Clients!CIA:CIA,2,0,1))</f>
        <v/>
      </c>
      <c r="F85" s="35" t="n"/>
      <c r="G85" s="34" t="n"/>
      <c r="H85" s="35" t="n"/>
      <c r="J85" s="55" t="inlineStr">
        <is>
          <t>Line 31217</t>
        </is>
      </c>
      <c r="K85" s="36">
        <f>(_xlfn.XLOOKUP(MainClient,Clients!D:D,Clients!DIV:DIV,2,0,1))</f>
        <v/>
      </c>
      <c r="N85" s="35" t="n"/>
      <c r="O85" s="34" t="n"/>
      <c r="P85" s="35" t="n"/>
    </row>
    <row r="86" ht="15.75" customHeight="1" thickBot="1">
      <c r="B86" s="55" t="inlineStr">
        <is>
          <t>Line 31220</t>
        </is>
      </c>
      <c r="C86" s="36">
        <f>(_xlfn.XLOOKUP(ClientNumber,Clients!D:D,Clients!CJG:CJG,2,0,1))</f>
        <v/>
      </c>
      <c r="F86" s="35" t="n"/>
      <c r="G86" s="34" t="n"/>
      <c r="H86" s="35" t="n"/>
      <c r="J86" s="55" t="inlineStr">
        <is>
          <t>Line 31220</t>
        </is>
      </c>
      <c r="K86" s="36">
        <f>(_xlfn.XLOOKUP(MainClient,Clients!D:D,Clients!DKB:DKB,2,0,1))</f>
        <v/>
      </c>
      <c r="N86" s="35" t="n"/>
      <c r="O86" s="34" t="n"/>
      <c r="P86" s="35" t="n"/>
    </row>
    <row r="87" ht="15.75" customHeight="1" thickBot="1">
      <c r="B87" s="55" t="inlineStr">
        <is>
          <t>Line 31240</t>
        </is>
      </c>
      <c r="C87" s="36">
        <f>(_xlfn.XLOOKUP(ClientNumber,Clients!D:D,Clients!CKB:CKB,2,0,1))</f>
        <v/>
      </c>
      <c r="F87" s="35" t="n"/>
      <c r="G87" s="34" t="n"/>
      <c r="H87" s="35" t="n"/>
      <c r="J87" s="55" t="inlineStr">
        <is>
          <t>Line 31240</t>
        </is>
      </c>
      <c r="K87" s="36">
        <f>(_xlfn.XLOOKUP(MainClient,Clients!D:D,Clients!DKW:DKW,2,0,1))</f>
        <v/>
      </c>
      <c r="N87" s="35" t="n"/>
      <c r="O87" s="34" t="n"/>
      <c r="P87" s="35" t="n"/>
    </row>
    <row r="88" ht="15.75" customHeight="1" thickBot="1">
      <c r="B88" s="55" t="inlineStr">
        <is>
          <t>Line 31260</t>
        </is>
      </c>
      <c r="C88" s="36">
        <f>(_xlfn.XLOOKUP(ClientNumber,Clients!D:D,Clients!CJH:CJH,2,0,1))</f>
        <v/>
      </c>
      <c r="F88" s="35" t="n"/>
      <c r="G88" s="34" t="n"/>
      <c r="H88" s="35" t="n"/>
      <c r="J88" s="55" t="inlineStr">
        <is>
          <t>Line 31260</t>
        </is>
      </c>
      <c r="K88" s="36">
        <f>(_xlfn.XLOOKUP(MainClient,Clients!D:D,Clients!DKC:DKC,2,0,1))</f>
        <v/>
      </c>
      <c r="N88" s="35" t="n"/>
      <c r="O88" s="34" t="n"/>
      <c r="P88" s="35" t="n"/>
    </row>
    <row r="89" ht="15.75" customHeight="1" thickBot="1">
      <c r="B89" s="55" t="inlineStr">
        <is>
          <t>Line 31270</t>
        </is>
      </c>
      <c r="C89" s="36">
        <f>(_xlfn.XLOOKUP(ClientNumber,Clients!D:D,Clients!CJJ:CJJ,2,0,1))</f>
        <v/>
      </c>
      <c r="F89" s="35" t="n"/>
      <c r="G89" s="34" t="n"/>
      <c r="H89" s="35" t="n"/>
      <c r="J89" s="55" t="inlineStr">
        <is>
          <t>Line 31270</t>
        </is>
      </c>
      <c r="K89" s="36">
        <f>(_xlfn.XLOOKUP(MainClient,Clients!D:D,Clients!DKE:DKE,2,0,1))</f>
        <v/>
      </c>
      <c r="N89" s="35" t="n"/>
      <c r="O89" s="34" t="n"/>
      <c r="P89" s="35" t="n"/>
    </row>
    <row r="90" ht="15.75" customHeight="1" thickBot="1">
      <c r="B90" s="55" t="inlineStr">
        <is>
          <t>Line 31285</t>
        </is>
      </c>
      <c r="C90" s="36">
        <f>(_xlfn.XLOOKUP(ClientNumber,Clients!D:D,Clients!CKC:CKC,2,0,1))</f>
        <v/>
      </c>
      <c r="F90" s="35" t="n"/>
      <c r="G90" s="34" t="n"/>
      <c r="H90" s="35" t="n"/>
      <c r="J90" s="55" t="inlineStr">
        <is>
          <t>Line 31285</t>
        </is>
      </c>
      <c r="K90" s="36">
        <f>(_xlfn.XLOOKUP(MainClient,Clients!D:D,Clients!DKX:DKX,2,0,1))</f>
        <v/>
      </c>
      <c r="N90" s="35" t="n"/>
      <c r="O90" s="34" t="n"/>
      <c r="P90" s="35" t="n"/>
    </row>
    <row r="91" ht="15.75" customHeight="1" thickBot="1">
      <c r="B91" s="55" t="inlineStr">
        <is>
          <t>Line 31300</t>
        </is>
      </c>
      <c r="C91" s="36">
        <f>(_xlfn.XLOOKUP(ClientNumber,Clients!D:D,Clients!CHX:CHX,2,0,1))</f>
        <v/>
      </c>
      <c r="F91" s="35" t="n"/>
      <c r="G91" s="34" t="inlineStr">
        <is>
          <t>Line 32600</t>
        </is>
      </c>
      <c r="H91" s="35">
        <f>IF(TransferName="NONE",0,(_xlfn.XLOOKUP(TransferNumber,Clients!D:D,Clients!CIH:CIH,2,0,1)))</f>
        <v/>
      </c>
      <c r="I91" s="35" t="n"/>
      <c r="J91" s="55" t="inlineStr">
        <is>
          <t>Line 31300</t>
        </is>
      </c>
      <c r="K91" s="36">
        <f>(_xlfn.XLOOKUP(MainClient,Clients!D:D,Clients!DIS:DIS,2,0,1))</f>
        <v/>
      </c>
      <c r="N91" s="35" t="n"/>
      <c r="O91" s="34" t="inlineStr">
        <is>
          <t>Line 32600</t>
        </is>
      </c>
      <c r="P91" s="35">
        <f>IF(TransferName="NONE",0,(_xlfn.XLOOKUP(TransferNumber,Clients!D:D,Clients!DJC:DJC,2,0,1)))</f>
        <v/>
      </c>
    </row>
    <row r="92" ht="15.75" customHeight="1" thickBot="1">
      <c r="B92" s="55" t="inlineStr">
        <is>
          <t>Line 32300</t>
        </is>
      </c>
      <c r="C92" s="36">
        <f>(_xlfn.XLOOKUP(ClientNumber,Clients!D:D,Clients!CIE:CIE,2,0,1))</f>
        <v/>
      </c>
      <c r="F92" s="35" t="n"/>
      <c r="G92" s="34" t="n"/>
      <c r="H92" s="35" t="n"/>
      <c r="J92" s="55" t="inlineStr">
        <is>
          <t>Line 32300</t>
        </is>
      </c>
      <c r="K92" s="36">
        <f>(_xlfn.XLOOKUP(MainClient,Clients!D:D,Clients!DIZ:DIZ,2,0,1))</f>
        <v/>
      </c>
      <c r="N92" s="35" t="n"/>
      <c r="O92" s="34" t="n"/>
      <c r="P92" s="35" t="n"/>
    </row>
    <row r="93" ht="15.75" customHeight="1" thickBot="1">
      <c r="B93" s="76" t="n"/>
      <c r="C93" s="36" t="n"/>
      <c r="F93" s="35" t="n"/>
      <c r="G93" s="34" t="n"/>
      <c r="H93" s="35" t="n"/>
      <c r="J93" s="76" t="n"/>
      <c r="K93" s="36" t="n"/>
      <c r="N93" s="35" t="n"/>
      <c r="O93" s="34" t="n"/>
      <c r="P93" s="35" t="n"/>
    </row>
    <row r="94" ht="15.75" customHeight="1" thickBot="1">
      <c r="B94" s="76" t="n"/>
      <c r="C94" s="36" t="n"/>
      <c r="F94" s="35" t="n"/>
      <c r="G94" s="34" t="n"/>
      <c r="H94" s="35" t="n"/>
      <c r="J94" s="76" t="n"/>
      <c r="K94" s="36" t="n"/>
      <c r="N94" s="35" t="n"/>
      <c r="O94" s="34" t="n"/>
      <c r="P94" s="35" t="n"/>
    </row>
    <row r="95" ht="15.75" customHeight="1" thickBot="1">
      <c r="B95" s="76" t="n"/>
      <c r="C95" s="36" t="n"/>
      <c r="F95" s="35" t="n"/>
      <c r="G95" s="34" t="n"/>
      <c r="H95" s="35">
        <f>IF(E100&gt;0,E78-G78,0)</f>
        <v/>
      </c>
      <c r="J95" s="76" t="n"/>
      <c r="K95" s="36" t="n"/>
      <c r="N95" s="35" t="n"/>
      <c r="O95" s="34" t="n"/>
      <c r="P95" s="35">
        <f>IF(M100&gt;0,M78-O78,0)</f>
        <v/>
      </c>
    </row>
    <row r="96" ht="15.75" customHeight="1" thickBot="1">
      <c r="B96" s="76" t="n"/>
      <c r="C96" s="36" t="n"/>
      <c r="F96" s="35" t="n"/>
      <c r="H96" s="52">
        <f>IF(TransferName="NONE",F101,IF(H95&gt;0,(E100-G78)*0.15,0))</f>
        <v/>
      </c>
      <c r="J96" s="76" t="n"/>
      <c r="K96" s="36" t="n"/>
      <c r="N96" s="35" t="n"/>
      <c r="P96" s="52">
        <f>IF(TransferName="NONE",N101,IF(P95&gt;0,(M100-O78)*0.15,0))</f>
        <v/>
      </c>
    </row>
    <row r="97">
      <c r="B97" s="667" t="n"/>
      <c r="F97" s="35" t="n"/>
      <c r="G97" s="34" t="inlineStr">
        <is>
          <t>Transferable</t>
        </is>
      </c>
      <c r="H97" s="79">
        <f>IF(H96&gt;0,H96,0)</f>
        <v/>
      </c>
      <c r="J97" s="667" t="n"/>
      <c r="N97" s="35" t="n"/>
      <c r="O97" s="34" t="inlineStr">
        <is>
          <t>Transferable</t>
        </is>
      </c>
      <c r="P97" s="79">
        <f>IF(P96&gt;0,P96,0)</f>
        <v/>
      </c>
    </row>
    <row r="98">
      <c r="B98" s="667" t="inlineStr">
        <is>
          <t>Adjusted Taxable Income</t>
        </is>
      </c>
      <c r="C98">
        <f>C79-(SUM(C81:C96))</f>
        <v/>
      </c>
      <c r="D98" s="13" t="inlineStr">
        <is>
          <t>Line 351</t>
        </is>
      </c>
      <c r="E98" s="39">
        <f>IF(C98&gt;0,C98,0)</f>
        <v/>
      </c>
      <c r="F98" s="35" t="n"/>
      <c r="G98" s="34" t="n"/>
      <c r="H98" s="35" t="n"/>
      <c r="J98" s="667" t="inlineStr">
        <is>
          <t>Adjusted Taxable Income</t>
        </is>
      </c>
      <c r="K98">
        <f>K79-(SUM(K81:K96))</f>
        <v/>
      </c>
      <c r="L98" s="13" t="inlineStr">
        <is>
          <t>Line 351</t>
        </is>
      </c>
      <c r="M98" s="39">
        <f>IF(K98&gt;0,K98,0)</f>
        <v/>
      </c>
      <c r="N98" s="35" t="n"/>
      <c r="O98" s="34" t="n"/>
      <c r="P98" s="35" t="n"/>
    </row>
    <row r="99" ht="15.75" customHeight="1" thickBot="1">
      <c r="B99" s="34" t="n"/>
      <c r="F99" s="35" t="n"/>
      <c r="G99" s="34" t="n"/>
      <c r="H99" s="35" t="n"/>
      <c r="J99" s="34" t="n"/>
      <c r="N99" s="35" t="n"/>
      <c r="O99" s="34" t="n"/>
      <c r="P99" s="35" t="n"/>
    </row>
    <row r="100" ht="15.75" customHeight="1" thickBot="1">
      <c r="B100" s="34" t="n"/>
      <c r="D100" s="21" t="inlineStr">
        <is>
          <t>Fed Trans</t>
        </is>
      </c>
      <c r="E100" s="36">
        <f>(E78-E98)</f>
        <v/>
      </c>
      <c r="F100" s="40" t="n"/>
      <c r="G100" s="34" t="n"/>
      <c r="H100" s="52" t="n"/>
      <c r="J100" s="34" t="n"/>
      <c r="L100" s="21" t="inlineStr">
        <is>
          <t>Fed Trans</t>
        </is>
      </c>
      <c r="M100" s="36">
        <f>(M78-M98)</f>
        <v/>
      </c>
      <c r="N100" s="40" t="n"/>
      <c r="O100" s="34" t="n"/>
      <c r="P100" s="52" t="n"/>
    </row>
    <row r="101" ht="15.75" customHeight="1" thickBot="1">
      <c r="B101" s="34" t="n"/>
      <c r="C101" s="579" t="inlineStr">
        <is>
          <t>DTC Transferable ESTIMATE</t>
        </is>
      </c>
      <c r="D101" s="35" t="n"/>
      <c r="E101" s="36">
        <f>IF(E100&lt;0,0,(IF(E100&gt;E76,E76,E100)))</f>
        <v/>
      </c>
      <c r="F101" s="40">
        <f>IF(E101&gt;0,E101*0.15,"No Transfer Required")</f>
        <v/>
      </c>
      <c r="G101" s="678" t="n"/>
      <c r="H101" s="52" t="n"/>
      <c r="J101" s="34" t="n"/>
      <c r="K101" s="579" t="inlineStr">
        <is>
          <t>DTC Transferable ESTIMATE</t>
        </is>
      </c>
      <c r="L101" s="35" t="n"/>
      <c r="M101" s="36">
        <f>IF(M100&lt;0,0,(IF(M100&gt;M76,M76,M100)))</f>
        <v/>
      </c>
      <c r="N101" s="40">
        <f>IF(M101&gt;0,M101*0.15,"No Transfer Required")</f>
        <v/>
      </c>
      <c r="O101" s="58" t="n"/>
      <c r="P101" s="52" t="n"/>
    </row>
    <row r="102" ht="15.75" customHeight="1" thickBot="1">
      <c r="B102" s="42" t="n"/>
      <c r="C102" s="41" t="n"/>
      <c r="D102" s="43" t="inlineStr">
        <is>
          <t>Net Transferable</t>
        </is>
      </c>
      <c r="E102" s="36">
        <f>IF(E100&lt;0,0,(IF(E100-G73-G74-G75-G77&lt;0,E100,(E100-G73-G74-G75-G77))))</f>
        <v/>
      </c>
      <c r="F102" s="57">
        <f>IF(E102&gt;0,E102*0.15,"0")</f>
        <v/>
      </c>
      <c r="G102" s="42" t="n"/>
      <c r="H102" s="864" t="n"/>
      <c r="J102" s="42" t="n"/>
      <c r="K102" s="41" t="n"/>
      <c r="L102" s="43" t="inlineStr">
        <is>
          <t>Net Transferable</t>
        </is>
      </c>
      <c r="M102" s="36">
        <f>IF(M100&lt;0,0,(IF(M100-O73-O74-O75-O77&lt;0,M100,(M100-O73-O74-O75-O77))))</f>
        <v/>
      </c>
      <c r="N102" s="57">
        <f>IF(M102&gt;0,M102*0.15,"0")</f>
        <v/>
      </c>
      <c r="O102" s="59" t="n"/>
      <c r="P102" s="864" t="n"/>
    </row>
    <row r="104" ht="33" customHeight="1" thickBot="1">
      <c r="E104">
        <f>Calculator!$D$5</f>
        <v/>
      </c>
      <c r="H104">
        <f>TransferName</f>
        <v/>
      </c>
      <c r="M104">
        <f>Calculator!$D$5</f>
        <v/>
      </c>
      <c r="P104">
        <f>TransferName</f>
        <v/>
      </c>
    </row>
    <row r="105" ht="15.75" customHeight="1" thickBot="1">
      <c r="B105" s="859" t="inlineStr">
        <is>
          <t>2018 Federal</t>
        </is>
      </c>
      <c r="C105" s="778" t="n"/>
      <c r="D105" s="778" t="n"/>
      <c r="E105" s="778" t="n"/>
      <c r="F105" s="778" t="n"/>
      <c r="G105" s="778" t="n"/>
      <c r="H105" s="780" t="n"/>
      <c r="J105" s="859" t="inlineStr">
        <is>
          <t>2017 Federal</t>
        </is>
      </c>
      <c r="K105" s="778" t="n"/>
      <c r="L105" s="778" t="n"/>
      <c r="M105" s="778" t="n"/>
      <c r="N105" s="778" t="n"/>
      <c r="O105" s="778" t="n"/>
      <c r="P105" s="780" t="n"/>
    </row>
    <row r="106" ht="15.75" customHeight="1" thickBot="1">
      <c r="B106" s="34" t="n"/>
      <c r="D106" t="inlineStr">
        <is>
          <t>Line</t>
        </is>
      </c>
      <c r="E106" t="inlineStr">
        <is>
          <t>Amt</t>
        </is>
      </c>
      <c r="F106" s="35" t="n"/>
      <c r="G106" s="667" t="inlineStr">
        <is>
          <t>Spouse</t>
        </is>
      </c>
      <c r="H106" s="35" t="inlineStr">
        <is>
          <t>S2 Adjustment</t>
        </is>
      </c>
      <c r="J106" s="34" t="n"/>
      <c r="L106" t="inlineStr">
        <is>
          <t>Line</t>
        </is>
      </c>
      <c r="M106" t="inlineStr">
        <is>
          <t>Amt</t>
        </is>
      </c>
      <c r="N106" s="35" t="n"/>
      <c r="O106" s="34" t="inlineStr">
        <is>
          <t>Spouse</t>
        </is>
      </c>
      <c r="P106" s="35" t="inlineStr">
        <is>
          <t>S2 Adjustment</t>
        </is>
      </c>
    </row>
    <row r="107" ht="15.75" customHeight="1" thickBot="1">
      <c r="B107" s="667" t="inlineStr">
        <is>
          <t>Age Amount</t>
        </is>
      </c>
      <c r="D107" t="inlineStr">
        <is>
          <t>Line 301</t>
        </is>
      </c>
      <c r="E107" s="861">
        <f>(_xlfn.XLOOKUP(ClientNumber,Clients!D:D,Clients!EJF:EJF,2,0,1))</f>
        <v/>
      </c>
      <c r="F107" s="37" t="inlineStr">
        <is>
          <t>Line 353</t>
        </is>
      </c>
      <c r="G107" s="51">
        <f>IF(TransferName="NONE",0,(_xlfn.XLOOKUP(TransferNumber,Clients!D:D,Clients!EKQ:EKQ,2,0,1)))</f>
        <v/>
      </c>
      <c r="H107" s="37">
        <f>IF(AND(E107&gt;0,G107=0),"Age Amount Can Be Transferred","No Action")</f>
        <v/>
      </c>
      <c r="J107" s="667" t="inlineStr">
        <is>
          <t>Age Amount</t>
        </is>
      </c>
      <c r="L107" t="inlineStr">
        <is>
          <t>Line 301</t>
        </is>
      </c>
      <c r="M107" s="865">
        <f>(_xlfn.XLOOKUP(MainClient,Clients!D:D,Clients!FJH:FJH,2,0,1))</f>
        <v/>
      </c>
      <c r="N107" s="37" t="inlineStr">
        <is>
          <t>Line 353</t>
        </is>
      </c>
      <c r="O107" s="51">
        <f>IF(TransferName="NONE",0,(_xlfn.XLOOKUP(TransferNumber,Clients!D:D,Clients!FKS:FKS,2,0,1)))</f>
        <v/>
      </c>
      <c r="P107" s="37">
        <f>IF(AND(M107&gt;0,O107=0),"Age Amount Can Be Transferred","No Action")</f>
        <v/>
      </c>
    </row>
    <row r="108" ht="15.75" customHeight="1" thickBot="1">
      <c r="B108" s="667" t="inlineStr">
        <is>
          <t>Amount for Child Under 18</t>
        </is>
      </c>
      <c r="D108" t="inlineStr">
        <is>
          <t>Line 367</t>
        </is>
      </c>
      <c r="E108" s="861">
        <f>(_xlfn.XLOOKUP(ClientNumber,Clients!D:D,Clients!EKY:EKY,2,0,1))</f>
        <v/>
      </c>
      <c r="F108" s="37" t="inlineStr">
        <is>
          <t>Line 361</t>
        </is>
      </c>
      <c r="G108" s="51">
        <f>IF(TransferName="NONE",0,(_xlfn.XLOOKUP(TransferNumber,Clients!D:D,Clients!EKV:EKV,2,0,1)))</f>
        <v/>
      </c>
      <c r="H108" s="37">
        <f>IF(AND(E108&gt;0,G108=0),"Amount for Child Under 18 Can be Transferred","No Action")</f>
        <v/>
      </c>
      <c r="J108" s="667" t="inlineStr">
        <is>
          <t>Amount for Child Under 18</t>
        </is>
      </c>
      <c r="L108" t="inlineStr">
        <is>
          <t>Line 367</t>
        </is>
      </c>
      <c r="M108" s="865">
        <f>(_xlfn.XLOOKUP(MainClient,Clients!D:D,Clients!FLA:FLA,2,0,1))</f>
        <v/>
      </c>
      <c r="N108" s="37" t="inlineStr">
        <is>
          <t>Line 361</t>
        </is>
      </c>
      <c r="O108" s="51">
        <f>IF(TransferName="NONE",0,(_xlfn.XLOOKUP(TransferNumber,Clients!D:D,Clients!FKX:FKX,2,0,1)))</f>
        <v/>
      </c>
      <c r="P108" s="37">
        <f>IF(AND(M108&gt;0,O108=0),"Amount for Child Under 18 Can be Transferred","No Action")</f>
        <v/>
      </c>
    </row>
    <row r="109" ht="15.75" customHeight="1" thickBot="1">
      <c r="B109" s="667" t="inlineStr">
        <is>
          <t>Pension Income Amount</t>
        </is>
      </c>
      <c r="D109" t="inlineStr">
        <is>
          <t>Line 314 (max 2000)</t>
        </is>
      </c>
      <c r="E109" s="861">
        <f>IF((_xlfn.XLOOKUP(ClientNumber,Clients!D:D,Clients!EJO:EJO,2,0,1)&lt;2000),(_xlfn.XLOOKUP(MainClient,Clients!D:D,Clients!EJO:EJO,2,0,1)),2000)</f>
        <v/>
      </c>
      <c r="F109" s="37" t="inlineStr">
        <is>
          <t>Line 355</t>
        </is>
      </c>
      <c r="G109" s="51">
        <f>IF(TransferName="NONE",0,(_xlfn.XLOOKUP(TransferNumber,Clients!D:D,Clients!EKS:EKS,2,0,1)))</f>
        <v/>
      </c>
      <c r="H109" s="37">
        <f>IF(AND(E109&gt;0,G109=0),"Pension Income Amount Can Be Transferred","No Action")</f>
        <v/>
      </c>
      <c r="J109" s="667" t="inlineStr">
        <is>
          <t>Pension Income Amount</t>
        </is>
      </c>
      <c r="L109" t="inlineStr">
        <is>
          <t>Line 314 (max 2000)</t>
        </is>
      </c>
      <c r="M109" s="865">
        <f>IF((_xlfn.XLOOKUP(MainClient,Clients!D:D,Clients!FJQ:FJQ,2,0,1)&lt;2000),(_xlfn.XLOOKUP(MainClient,Clients!D:D,Clients!FJQ:FJQ,2,0,1)),2000)</f>
        <v/>
      </c>
      <c r="N109" s="37" t="inlineStr">
        <is>
          <t>Line 355</t>
        </is>
      </c>
      <c r="O109" s="51">
        <f>IF(TransferName="NONE",0,(_xlfn.XLOOKUP(TransferNumber,Clients!D:D,Clients!FKU:FKU,2,0,1)))</f>
        <v/>
      </c>
      <c r="P109" s="37">
        <f>IF(AND(M109&gt;0,O109=0),"Pension Income Amount Can Be Transferred","No Action")</f>
        <v/>
      </c>
    </row>
    <row r="110" ht="15.75" customHeight="1" thickBot="1">
      <c r="B110" s="667" t="inlineStr">
        <is>
          <t>Disability Amount</t>
        </is>
      </c>
      <c r="D110" t="inlineStr">
        <is>
          <t>Line 316</t>
        </is>
      </c>
      <c r="E110" s="861">
        <f>IF(_xlfn.XLOOKUP(ClientNumber,Clients!D:D,Clients!EJP:EJP,2,0,1)=0,8235,(_xlfn.XLOOKUP(MainClient,Clients!D:D,Clients!EJP:EJP,2,0,1)))</f>
        <v/>
      </c>
      <c r="F110" s="37" t="inlineStr">
        <is>
          <t>Line 357</t>
        </is>
      </c>
      <c r="G110" s="51">
        <f>IF(TransferName="NONE",0,(_xlfn.XLOOKUP(TransferNumber,Clients!D:D,Clients!EKT:EKT,2,0,1)))</f>
        <v/>
      </c>
      <c r="H110" s="37">
        <f>IF(AND(E110&gt;0,G110=0),"DTC Transferable Not Claimed Can Be Transferred","No Action")</f>
        <v/>
      </c>
      <c r="J110" s="667" t="inlineStr">
        <is>
          <t>Disability Amount</t>
        </is>
      </c>
      <c r="L110" t="inlineStr">
        <is>
          <t>Line 316</t>
        </is>
      </c>
      <c r="M110" s="865">
        <f>IF(_xlfn.XLOOKUP(MainClient,Clients!D:D,Clients!FJR:FJR,2,0,1)=0,8113,(_xlfn.XLOOKUP(MainClient,Clients!D:D,Clients!FJR:FJR,2,0,1)))</f>
        <v/>
      </c>
      <c r="N110" s="37" t="inlineStr">
        <is>
          <t>Line 357</t>
        </is>
      </c>
      <c r="O110" s="51">
        <f>IF(TransferName="NONE",0,(_xlfn.XLOOKUP(TransferNumber,Clients!D:D,Clients!FKV:FKV,2,0,1)))</f>
        <v/>
      </c>
      <c r="P110" s="37">
        <f>IF(AND(M110&gt;0,O110=0),"DTC Transferable Not Claimed Can Be Transferred","No Action")</f>
        <v/>
      </c>
    </row>
    <row r="111" ht="15.75" customHeight="1" thickBot="1">
      <c r="B111" s="667" t="inlineStr">
        <is>
          <t>Tuition Amount</t>
        </is>
      </c>
      <c r="D111" t="inlineStr">
        <is>
          <t>Line 327</t>
        </is>
      </c>
      <c r="E111" s="810">
        <f>(_xlfn.XLOOKUP(ClientNumber,Clients!D:D,Clients!EJV:EJV,2,0,1))</f>
        <v/>
      </c>
      <c r="F111" s="37" t="inlineStr">
        <is>
          <t>Line 360</t>
        </is>
      </c>
      <c r="G111" s="51">
        <f>IF(TransferName="NONE",0,(_xlfn.XLOOKUP(TransferNumber,Clients!D:D,Clients!EKU:EKU,2,0,1)))</f>
        <v/>
      </c>
      <c r="H111" s="37">
        <f>IF(AND(E111&gt;0,G111=0),"Tuition Can Be Transferred","No Action")</f>
        <v/>
      </c>
      <c r="J111" s="667" t="inlineStr">
        <is>
          <t>Tuition Amount</t>
        </is>
      </c>
      <c r="L111" t="inlineStr">
        <is>
          <t>Line 327</t>
        </is>
      </c>
      <c r="M111" s="865">
        <f>(_xlfn.XLOOKUP(MainClient,Clients!D:D,Clients!FKA:FKA,2,0,1))</f>
        <v/>
      </c>
      <c r="N111" s="37" t="inlineStr">
        <is>
          <t>Line 360</t>
        </is>
      </c>
      <c r="O111" s="51">
        <f>IF(TransferName="NONE",0,(_xlfn.XLOOKUP(TransferNumber,Clients!D:D,Clients!FKW:FKW,2,0,1)))</f>
        <v/>
      </c>
      <c r="P111" s="37">
        <f>IF(AND(M111&gt;0,O111=0),"Tuition Can Be Transferred","No Action")</f>
        <v/>
      </c>
    </row>
    <row r="112" ht="15.75" customHeight="1" thickBot="1">
      <c r="B112" s="34" t="n"/>
      <c r="E112">
        <f>SUM(E107:E111)</f>
        <v/>
      </c>
      <c r="F112" s="35" t="n"/>
      <c r="G112" s="667">
        <f>SUM(G107:G111)</f>
        <v/>
      </c>
      <c r="H112" s="35" t="n"/>
      <c r="J112" s="34" t="n"/>
      <c r="M112">
        <f>SUM(M107:M111)</f>
        <v/>
      </c>
      <c r="N112" s="35" t="n"/>
      <c r="O112" s="667">
        <f>SUM(O107:O111)</f>
        <v/>
      </c>
      <c r="P112" s="35" t="n"/>
    </row>
    <row r="113" ht="15.75" customHeight="1" thickBot="1">
      <c r="B113" s="667" t="inlineStr">
        <is>
          <t>Line 260</t>
        </is>
      </c>
      <c r="C113" s="36">
        <f>(_xlfn.XLOOKUP(MainClient,Clients!D:D,Clients!EIY:EIY,2,0,1))</f>
        <v/>
      </c>
      <c r="F113" s="35" t="n"/>
      <c r="G113" s="34">
        <f>IF(E136&gt;E110,"other transferable credits","DTC Only")</f>
        <v/>
      </c>
      <c r="H113" s="35" t="n"/>
      <c r="J113" s="667" t="inlineStr">
        <is>
          <t>Line 260</t>
        </is>
      </c>
      <c r="K113" s="36">
        <f>(_xlfn.XLOOKUP(MainClient,Clients!D:D,Clients!FJA:FJA,2,0,1))</f>
        <v/>
      </c>
      <c r="N113" s="35" t="n"/>
      <c r="O113" s="34">
        <f>IF(M136&gt;M110,"other transferable credits","DTC Only")</f>
        <v/>
      </c>
      <c r="P113" s="35" t="n"/>
    </row>
    <row r="114" ht="15.75" customHeight="1" thickBot="1">
      <c r="B114" s="34" t="n"/>
      <c r="F114" s="35" t="n"/>
      <c r="G114" s="34" t="n"/>
      <c r="H114" s="35" t="n"/>
      <c r="J114" s="34" t="n"/>
      <c r="N114" s="35" t="n"/>
      <c r="O114" s="34" t="n"/>
      <c r="P114" s="35" t="n"/>
    </row>
    <row r="115" ht="15.75" customHeight="1" thickBot="1">
      <c r="B115" s="55" t="inlineStr">
        <is>
          <t>Line 300</t>
        </is>
      </c>
      <c r="C115" s="36">
        <f>(_xlfn.XLOOKUP(ClientNumber,Clients!D:D,Clients!EJE:EJE,2,0,1))</f>
        <v/>
      </c>
      <c r="F115" s="35" t="n"/>
      <c r="G115" s="34" t="n"/>
      <c r="H115" s="35" t="n"/>
      <c r="J115" s="55" t="inlineStr">
        <is>
          <t>Line 300</t>
        </is>
      </c>
      <c r="K115" s="36">
        <f>(_xlfn.XLOOKUP(MainClient,Clients!D:D,Clients!FJG:FJG,2,0,1))</f>
        <v/>
      </c>
      <c r="N115" s="35" t="n"/>
      <c r="O115" s="34" t="n"/>
      <c r="P115" s="35" t="n"/>
    </row>
    <row r="116" ht="15.75" customHeight="1" thickBot="1">
      <c r="B116" s="55" t="inlineStr">
        <is>
          <t>Line 308</t>
        </is>
      </c>
      <c r="C116" s="36">
        <f>(_xlfn.XLOOKUP(ClientNumber,Clients!D:D,Clients!EJK:EJK,2,0,1))</f>
        <v/>
      </c>
      <c r="F116" s="35" t="n"/>
      <c r="G116" s="34" t="n"/>
      <c r="H116" s="35" t="n"/>
      <c r="J116" s="55" t="inlineStr">
        <is>
          <t>Line 308</t>
        </is>
      </c>
      <c r="K116" s="36">
        <f>(_xlfn.XLOOKUP(MainClient,Clients!D:D,Clients!FJM:FJM,2,0,1))</f>
        <v/>
      </c>
      <c r="N116" s="35" t="n"/>
      <c r="O116" s="34" t="n"/>
      <c r="P116" s="35" t="n"/>
    </row>
    <row r="117" ht="15.75" customHeight="1" thickBot="1">
      <c r="B117" s="55" t="inlineStr">
        <is>
          <t>Line 310</t>
        </is>
      </c>
      <c r="C117" s="36">
        <f>(_xlfn.XLOOKUP(ClientNumber,Clients!D:D,Clients!EJL:EJL,2,0,1))</f>
        <v/>
      </c>
      <c r="F117" s="35" t="n"/>
      <c r="G117" s="34" t="n"/>
      <c r="H117" s="35" t="n"/>
      <c r="J117" s="55" t="inlineStr">
        <is>
          <t>Line 310</t>
        </is>
      </c>
      <c r="K117" s="36">
        <f>(_xlfn.XLOOKUP(MainClient,Clients!D:D,Clients!FJN:FJN,2,0,1))</f>
        <v/>
      </c>
      <c r="N117" s="35" t="n"/>
      <c r="P117" s="35" t="n"/>
    </row>
    <row r="118" ht="15.75" customHeight="1" thickBot="1">
      <c r="B118" s="55" t="inlineStr">
        <is>
          <t>Line 312</t>
        </is>
      </c>
      <c r="C118" s="36">
        <f>(_xlfn.XLOOKUP(ClientNumber,Clients!D:D,Clients!EJM:EJM,2,0,1))</f>
        <v/>
      </c>
      <c r="F118" s="35" t="n"/>
      <c r="G118" s="34" t="n"/>
      <c r="H118" s="35" t="n"/>
      <c r="J118" s="55" t="inlineStr">
        <is>
          <t>Line 312</t>
        </is>
      </c>
      <c r="K118" s="36">
        <f>(_xlfn.XLOOKUP(MainClient,Clients!D:D,Clients!FJO:FJO,2,0,1))</f>
        <v/>
      </c>
      <c r="N118" s="35" t="n"/>
      <c r="O118" s="34" t="n"/>
      <c r="P118" s="35" t="n"/>
    </row>
    <row r="119" ht="15.75" customHeight="1" thickBot="1">
      <c r="B119" s="55" t="inlineStr">
        <is>
          <t>Line 317</t>
        </is>
      </c>
      <c r="C119" s="36">
        <f>(_xlfn.XLOOKUP(ClientNumber,Clients!D:D,Clients!EJQ:EJQ,2,0,1))</f>
        <v/>
      </c>
      <c r="F119" s="35" t="n"/>
      <c r="G119" s="34" t="n"/>
      <c r="H119" s="35" t="n"/>
      <c r="J119" s="55" t="inlineStr">
        <is>
          <t>Line 317</t>
        </is>
      </c>
      <c r="K119" s="36">
        <f>(_xlfn.XLOOKUP(MainClient,Clients!D:D,Clients!FJS:FJS,2,0,1))</f>
        <v/>
      </c>
      <c r="N119" s="35" t="n"/>
      <c r="O119" s="34" t="n"/>
      <c r="P119" s="35" t="n"/>
    </row>
    <row r="120" ht="15.75" customHeight="1" thickBot="1">
      <c r="B120" s="55" t="inlineStr">
        <is>
          <t>Line 362</t>
        </is>
      </c>
      <c r="C120" s="36">
        <f>(_xlfn.XLOOKUP(ClientNumber,Clients!D:D,Clients!EKW:EKW,2,0,1))</f>
        <v/>
      </c>
      <c r="F120" s="35" t="n"/>
      <c r="G120" s="34" t="n"/>
      <c r="H120" s="35" t="n"/>
      <c r="J120" s="55" t="inlineStr">
        <is>
          <t>Line 362</t>
        </is>
      </c>
      <c r="K120" s="36">
        <f>(_xlfn.XLOOKUP(MainClient,Clients!D:D,Clients!FKY:FKY,2,0,1))</f>
        <v/>
      </c>
      <c r="N120" s="35" t="n"/>
      <c r="O120" s="34" t="n"/>
      <c r="P120" s="35" t="n"/>
    </row>
    <row r="121" ht="15.75" customHeight="1" thickBot="1">
      <c r="B121" s="55" t="inlineStr">
        <is>
          <t>Line 395</t>
        </is>
      </c>
      <c r="C121" s="36">
        <f>(_xlfn.XLOOKUP(ClientNumber,Clients!D:D,Clients!ELU:ELU,2,0,1))</f>
        <v/>
      </c>
      <c r="F121" s="35" t="n"/>
      <c r="G121" s="34" t="n"/>
      <c r="H121" s="35" t="n"/>
      <c r="J121" s="55" t="inlineStr">
        <is>
          <t>Line 395</t>
        </is>
      </c>
      <c r="K121" s="36">
        <f>(_xlfn.XLOOKUP(MainClient,Clients!D:D,Clients!FLW:FLW,2,0,1))</f>
        <v/>
      </c>
      <c r="N121" s="35" t="n"/>
      <c r="O121" s="34" t="n"/>
      <c r="P121" s="35" t="n"/>
    </row>
    <row r="122" ht="15.75" customHeight="1" thickBot="1">
      <c r="B122" s="55" t="inlineStr">
        <is>
          <t>Line 363</t>
        </is>
      </c>
      <c r="C122" s="36">
        <f>(_xlfn.XLOOKUP(ClientNumber,Clients!D:D,Clients!EKX:EKX,2,0,1))</f>
        <v/>
      </c>
      <c r="F122" s="35" t="n"/>
      <c r="G122" s="34" t="n"/>
      <c r="H122" s="35" t="n"/>
      <c r="J122" s="55" t="inlineStr">
        <is>
          <t>Line 363</t>
        </is>
      </c>
      <c r="K122" s="36">
        <f>(_xlfn.XLOOKUP(MainClient,Clients!D:D,Clients!FKZ:FKZ,2,0,1))</f>
        <v/>
      </c>
      <c r="N122" s="35" t="n"/>
      <c r="O122" s="34" t="n"/>
      <c r="P122" s="35" t="n"/>
    </row>
    <row r="123" ht="15.75" customHeight="1" thickBot="1">
      <c r="B123" s="38" t="inlineStr">
        <is>
          <t>-</t>
        </is>
      </c>
      <c r="C123" s="36" t="n"/>
      <c r="F123" s="35" t="n"/>
      <c r="G123" s="34" t="n"/>
      <c r="H123" s="35" t="n"/>
      <c r="J123" s="53" t="inlineStr">
        <is>
          <t>Line 364</t>
        </is>
      </c>
      <c r="K123" s="36" t="n"/>
      <c r="N123" s="35" t="n"/>
      <c r="O123" s="34" t="n"/>
      <c r="P123" s="35" t="n"/>
    </row>
    <row r="124" ht="15.75" customHeight="1" thickBot="1">
      <c r="B124" s="38" t="inlineStr">
        <is>
          <t>-</t>
        </is>
      </c>
      <c r="C124" s="36" t="n"/>
      <c r="F124" s="35" t="n"/>
      <c r="G124" s="34" t="n"/>
      <c r="H124" s="35" t="n"/>
      <c r="J124" s="38" t="inlineStr">
        <is>
          <t>-</t>
        </is>
      </c>
      <c r="K124" s="36" t="n"/>
      <c r="N124" s="35" t="n"/>
      <c r="O124" s="34" t="n"/>
      <c r="P124" s="35" t="n"/>
    </row>
    <row r="125" ht="15.75" customHeight="1" thickBot="1">
      <c r="B125" s="38" t="inlineStr">
        <is>
          <t>-</t>
        </is>
      </c>
      <c r="C125" s="36" t="n"/>
      <c r="F125" s="35" t="n"/>
      <c r="G125" s="34" t="inlineStr">
        <is>
          <t>Line 326</t>
        </is>
      </c>
      <c r="H125" s="35">
        <f>IF(TransferName="NONE",0,(_xlfn.XLOOKUP(TransferNumber,Clients!D:D,Clients!EJX:EJX,2,0,1)))</f>
        <v/>
      </c>
      <c r="J125" s="38" t="inlineStr">
        <is>
          <t>-</t>
        </is>
      </c>
      <c r="K125" s="36" t="n"/>
      <c r="N125" s="35" t="n"/>
      <c r="O125" s="34" t="inlineStr">
        <is>
          <t>Line 326</t>
        </is>
      </c>
      <c r="P125" s="35">
        <f>IF(TransferName="NONE",0,(_xlfn.XLOOKUP(TransferNumber,Clients!D:D,Clients!FJZ:FJZ,2,0,1)))</f>
        <v/>
      </c>
    </row>
    <row r="126" ht="15.75" customHeight="1" thickBot="1">
      <c r="B126" s="38" t="inlineStr">
        <is>
          <t>-</t>
        </is>
      </c>
      <c r="C126" s="36" t="n"/>
      <c r="F126" s="35" t="n"/>
      <c r="G126" s="34" t="n"/>
      <c r="H126" s="35" t="n"/>
      <c r="J126" s="38" t="inlineStr">
        <is>
          <t>-</t>
        </is>
      </c>
      <c r="K126" s="36" t="n"/>
      <c r="N126" s="35" t="n"/>
      <c r="O126" s="34" t="n"/>
      <c r="P126" s="35" t="n"/>
    </row>
    <row r="127" ht="15.75" customHeight="1" thickBot="1">
      <c r="B127" s="55" t="inlineStr">
        <is>
          <t>Line 398</t>
        </is>
      </c>
      <c r="C127" s="36">
        <f>(_xlfn.XLOOKUP(ClientNumber,Clients!D:D,Clients!ELV:ELV,2,0,1))</f>
        <v/>
      </c>
      <c r="F127" s="35" t="n"/>
      <c r="G127" s="34" t="n"/>
      <c r="H127" s="35" t="n"/>
      <c r="J127" s="55" t="inlineStr">
        <is>
          <t>Line 398</t>
        </is>
      </c>
      <c r="K127" s="36">
        <f>(_xlfn.XLOOKUP(MainClient,Clients!D:D,Clients!FLX:FLX,2,0,1))</f>
        <v/>
      </c>
      <c r="N127" s="35" t="n"/>
      <c r="O127" s="34" t="n"/>
      <c r="P127" s="35" t="n"/>
    </row>
    <row r="128" ht="15.75" customHeight="1" thickBot="1">
      <c r="B128" s="55" t="inlineStr">
        <is>
          <t>Line 369</t>
        </is>
      </c>
      <c r="C128" s="36">
        <f>(_xlfn.XLOOKUP(ClientNumber,Clients!D:D,Clients!EKZ:EKZ,2,0,1))</f>
        <v/>
      </c>
      <c r="F128" s="35" t="n"/>
      <c r="G128" s="34" t="n"/>
      <c r="H128" s="35" t="n"/>
      <c r="J128" s="55" t="inlineStr">
        <is>
          <t>Line 369</t>
        </is>
      </c>
      <c r="K128" s="36">
        <f>(_xlfn.XLOOKUP(MainClient,Clients!D:D,Clients!FLB:FLB,2,0,1))</f>
        <v/>
      </c>
      <c r="N128" s="35" t="n"/>
      <c r="O128" s="34" t="n"/>
      <c r="P128" s="35" t="n"/>
    </row>
    <row r="129" ht="15.75" customHeight="1" thickBot="1">
      <c r="B129" s="55" t="inlineStr">
        <is>
          <t>Line 313</t>
        </is>
      </c>
      <c r="C129" s="36">
        <f>(_xlfn.XLOOKUP(ClientNumber,Clients!D:D,Clients!EJN:EJN,2,0,1))</f>
        <v/>
      </c>
      <c r="F129" s="35" t="n"/>
      <c r="G129" s="34" t="n"/>
      <c r="H129" s="35">
        <f>IF(E134&gt;0,E112-G112,0)</f>
        <v/>
      </c>
      <c r="J129" s="55" t="inlineStr">
        <is>
          <t>Line 313</t>
        </is>
      </c>
      <c r="K129" s="36">
        <f>(_xlfn.XLOOKUP(MainClient,Clients!D:D,Clients!FJP:FJP,2,0,1))</f>
        <v/>
      </c>
      <c r="N129" s="35" t="n"/>
      <c r="O129" s="34" t="n"/>
      <c r="P129" s="35">
        <f>IF(M134&gt;0,M112-O112,0)</f>
        <v/>
      </c>
    </row>
    <row r="130" ht="15.75" customHeight="1" thickBot="1">
      <c r="B130" s="55" t="inlineStr">
        <is>
          <t>Line 323</t>
        </is>
      </c>
      <c r="C130" s="36">
        <f>(_xlfn.XLOOKUP(ClientNumber,Clients!D:D,Clients!EJU:EJU,2,0,1))</f>
        <v/>
      </c>
      <c r="F130" s="35" t="n"/>
      <c r="H130" s="52">
        <f>IF(TransferName="NONE",F135,IF(H129&gt;0,(E134-G112)*0.15,0))</f>
        <v/>
      </c>
      <c r="J130" s="55" t="inlineStr">
        <is>
          <t>Line 323</t>
        </is>
      </c>
      <c r="K130" s="36">
        <f>(_xlfn.XLOOKUP(MainClient,Clients!D:D,Clients!FJW:FJW,2,0,1))</f>
        <v/>
      </c>
      <c r="N130" s="35" t="n"/>
      <c r="P130" s="52">
        <f>IF(TransferName="NONE",N135,IF(P129&gt;0,(M134-O112)*0.15,0))</f>
        <v/>
      </c>
    </row>
    <row r="131">
      <c r="B131" s="667" t="n"/>
      <c r="F131" s="35" t="n"/>
      <c r="G131" s="34" t="inlineStr">
        <is>
          <t>Transferable</t>
        </is>
      </c>
      <c r="H131" s="79">
        <f>IF(H130&gt;0,H130,0)</f>
        <v/>
      </c>
      <c r="J131" s="667" t="n"/>
      <c r="N131" s="35" t="n"/>
      <c r="O131" s="34" t="inlineStr">
        <is>
          <t>Transferable</t>
        </is>
      </c>
      <c r="P131" s="79">
        <f>IF(P130&gt;0,P130,0)</f>
        <v/>
      </c>
    </row>
    <row r="132">
      <c r="B132" s="667" t="inlineStr">
        <is>
          <t>Adjusted Taxable Income</t>
        </is>
      </c>
      <c r="C132">
        <f>C113-(SUM(C115:C130))</f>
        <v/>
      </c>
      <c r="D132" s="13" t="inlineStr">
        <is>
          <t>Line 351</t>
        </is>
      </c>
      <c r="E132" s="39">
        <f>IF(C132&gt;0,C132,0)</f>
        <v/>
      </c>
      <c r="F132" s="35" t="n"/>
      <c r="G132" s="34" t="n"/>
      <c r="H132" s="35" t="n"/>
      <c r="J132" s="667" t="inlineStr">
        <is>
          <t>Adjusted Taxable Income</t>
        </is>
      </c>
      <c r="K132">
        <f>K113-(SUM(K115:K130))</f>
        <v/>
      </c>
      <c r="L132" s="13" t="inlineStr">
        <is>
          <t>Line 351</t>
        </is>
      </c>
      <c r="M132" s="39">
        <f>IF(K132&gt;0,K132,0)</f>
        <v/>
      </c>
      <c r="N132" s="35" t="n"/>
      <c r="O132" s="34" t="n"/>
      <c r="P132" s="35" t="n"/>
    </row>
    <row r="133" ht="15.75" customHeight="1" thickBot="1">
      <c r="B133" s="34" t="n"/>
      <c r="F133" s="35" t="n"/>
      <c r="G133" s="34" t="n"/>
      <c r="H133" s="35" t="n"/>
      <c r="J133" s="34" t="n"/>
      <c r="N133" s="35" t="n"/>
      <c r="O133" s="34" t="n"/>
      <c r="P133" s="35" t="n"/>
    </row>
    <row r="134" ht="15.75" customHeight="1" thickBot="1">
      <c r="B134" s="34" t="n"/>
      <c r="D134" s="21" t="inlineStr">
        <is>
          <t>Fed Trans</t>
        </is>
      </c>
      <c r="E134" s="36">
        <f>(E112-E132)</f>
        <v/>
      </c>
      <c r="F134" s="40" t="n"/>
      <c r="G134" s="34" t="n"/>
      <c r="H134" s="52" t="n"/>
      <c r="J134" s="34" t="n"/>
      <c r="L134" s="21" t="inlineStr">
        <is>
          <t>Fed Trans</t>
        </is>
      </c>
      <c r="M134" s="36">
        <f>(M112-M132)</f>
        <v/>
      </c>
      <c r="N134" s="40" t="n"/>
      <c r="O134" s="34" t="n"/>
      <c r="P134" s="52" t="n"/>
    </row>
    <row r="135" ht="15.75" customHeight="1" thickBot="1">
      <c r="B135" s="34" t="n"/>
      <c r="C135" s="579" t="inlineStr">
        <is>
          <t>DTC Transferable ESTIMATE</t>
        </is>
      </c>
      <c r="D135" s="35" t="n"/>
      <c r="E135" s="36">
        <f>IF(E134&lt;0,0,(IF(E134&gt;E110,E110,E134)))</f>
        <v/>
      </c>
      <c r="F135" s="40">
        <f>IF(E135&gt;0,E135*0.15,"No Transfer Required")</f>
        <v/>
      </c>
      <c r="G135" s="678" t="n"/>
      <c r="H135" s="52" t="n"/>
      <c r="J135" s="34" t="n"/>
      <c r="K135" s="579" t="inlineStr">
        <is>
          <t>DTC Transferable ESTIMATE</t>
        </is>
      </c>
      <c r="L135" s="35" t="n"/>
      <c r="M135" s="36">
        <f>IF(M134&lt;0,0,(IF(M134&gt;M110,M110,M134)))</f>
        <v/>
      </c>
      <c r="N135" s="40">
        <f>IF(M135&gt;0,M135*0.15,"No Transfer Required")</f>
        <v/>
      </c>
      <c r="O135" s="58" t="n"/>
      <c r="P135" s="52" t="n"/>
    </row>
    <row r="136" ht="15.75" customHeight="1" thickBot="1">
      <c r="B136" s="42" t="n"/>
      <c r="C136" s="41" t="n"/>
      <c r="D136" s="43" t="inlineStr">
        <is>
          <t>Net Transferable</t>
        </is>
      </c>
      <c r="E136" s="36">
        <f>IF(E134&lt;0,0,(IF(E134-G107-G108-G109-G111&lt;0,E134,(E134-G107-G108-G109-G111))))</f>
        <v/>
      </c>
      <c r="F136" s="57">
        <f>IF(E136&gt;0,E136*0.15,"0")</f>
        <v/>
      </c>
      <c r="G136" s="42" t="n"/>
      <c r="H136" s="864" t="n"/>
      <c r="J136" s="42" t="n"/>
      <c r="K136" s="41" t="n"/>
      <c r="L136" s="43" t="inlineStr">
        <is>
          <t>Net Transferable</t>
        </is>
      </c>
      <c r="M136" s="36">
        <f>IF(M134&lt;0,0,(IF(M134-O107-O108-O109-O111&lt;0,M134,(M134-O107-O108-O109-O111))))</f>
        <v/>
      </c>
      <c r="N136" s="57">
        <f>IF(M136&gt;0,M136*0.15,"0")</f>
        <v/>
      </c>
      <c r="O136" s="59" t="n"/>
      <c r="P136" s="864" t="n"/>
    </row>
    <row r="138" ht="15.75" customHeight="1" thickBot="1">
      <c r="E138">
        <f>Calculator!$D$5</f>
        <v/>
      </c>
      <c r="H138">
        <f>TransferName</f>
        <v/>
      </c>
      <c r="M138">
        <f>Calculator!$D$5</f>
        <v/>
      </c>
      <c r="P138">
        <f>TransferName</f>
        <v/>
      </c>
    </row>
    <row r="139" ht="15.75" customHeight="1" thickBot="1">
      <c r="B139" s="859" t="inlineStr">
        <is>
          <t>2016 Federal</t>
        </is>
      </c>
      <c r="C139" s="778" t="n"/>
      <c r="D139" s="778" t="n"/>
      <c r="E139" s="778" t="n"/>
      <c r="F139" s="778" t="n"/>
      <c r="G139" s="778" t="n"/>
      <c r="H139" s="780" t="n"/>
      <c r="J139" s="859" t="inlineStr">
        <is>
          <t>2015 Federal</t>
        </is>
      </c>
      <c r="K139" s="778" t="n"/>
      <c r="L139" s="778" t="n"/>
      <c r="M139" s="778" t="n"/>
      <c r="N139" s="778" t="n"/>
      <c r="O139" s="778" t="n"/>
      <c r="P139" s="780" t="n"/>
    </row>
    <row r="140" ht="15.75" customHeight="1" thickBot="1">
      <c r="B140" s="34" t="n"/>
      <c r="D140" t="inlineStr">
        <is>
          <t>Line</t>
        </is>
      </c>
      <c r="E140" t="inlineStr">
        <is>
          <t>Amt</t>
        </is>
      </c>
      <c r="F140" s="35" t="n"/>
      <c r="G140" s="667" t="inlineStr">
        <is>
          <t>Spouse</t>
        </is>
      </c>
      <c r="H140" s="35" t="inlineStr">
        <is>
          <t>S2 Adjustment</t>
        </is>
      </c>
      <c r="J140" s="34" t="n"/>
      <c r="L140" t="inlineStr">
        <is>
          <t>Line</t>
        </is>
      </c>
      <c r="M140" t="inlineStr">
        <is>
          <t>Amt</t>
        </is>
      </c>
      <c r="N140" s="35" t="n"/>
      <c r="O140" s="34" t="inlineStr">
        <is>
          <t>Spouse</t>
        </is>
      </c>
      <c r="P140" s="35" t="inlineStr">
        <is>
          <t>S2 Adjustment</t>
        </is>
      </c>
    </row>
    <row r="141" ht="15.75" customHeight="1" thickBot="1">
      <c r="B141" s="667" t="inlineStr">
        <is>
          <t>Age Amount</t>
        </is>
      </c>
      <c r="D141" t="inlineStr">
        <is>
          <t>Line 301</t>
        </is>
      </c>
      <c r="E141" s="861">
        <f>(_xlfn.XLOOKUP(ClientNumber,Clients!D:D,Clients!GJJ:GJJ,2,0,1))</f>
        <v/>
      </c>
      <c r="F141" s="37" t="inlineStr">
        <is>
          <t>Line 353</t>
        </is>
      </c>
      <c r="G141" s="51">
        <f>IF(TransferName="NONE",0,(_xlfn.XLOOKUP(TransferNumber,Clients!D:D,Clients!GKU:GKU,2,0,1)))</f>
        <v/>
      </c>
      <c r="H141" s="37">
        <f>IF(AND(E141&gt;0,G141=0),"Age Amount Can Be Transferred","No Action")</f>
        <v/>
      </c>
      <c r="J141" s="667" t="inlineStr">
        <is>
          <t>Age Amount</t>
        </is>
      </c>
      <c r="L141" t="inlineStr">
        <is>
          <t>Line 301</t>
        </is>
      </c>
      <c r="M141" s="865">
        <f>(_xlfn.XLOOKUP(MainClient,Clients!D:D,Clients!HJL:HJL,2,0,1))</f>
        <v/>
      </c>
      <c r="N141" s="37" t="inlineStr">
        <is>
          <t>Line 353</t>
        </is>
      </c>
      <c r="O141" s="51">
        <f>IF(TransferName="NONE",0,(_xlfn.XLOOKUP(TransferNumber,Clients!D:D,Clients!HKW:HKW,2,0,1)))</f>
        <v/>
      </c>
      <c r="P141" s="37">
        <f>IF(AND(M141&gt;0,O141=0),"Age Amount Can Be Transferred","No Action")</f>
        <v/>
      </c>
    </row>
    <row r="142" ht="15.75" customHeight="1" thickBot="1">
      <c r="B142" s="667" t="inlineStr">
        <is>
          <t>Amount for Child Under 18</t>
        </is>
      </c>
      <c r="D142" t="inlineStr">
        <is>
          <t>Line 367</t>
        </is>
      </c>
      <c r="E142" s="861">
        <f>(_xlfn.XLOOKUP(ClientNumber,Clients!D:D,Clients!GLC:GLC,2,0,1))</f>
        <v/>
      </c>
      <c r="F142" s="37" t="inlineStr">
        <is>
          <t>Line 361</t>
        </is>
      </c>
      <c r="G142" s="51">
        <f>IF(TransferName="NONE",0,(_xlfn.XLOOKUP(TransferNumber,Clients!D:D,Clients!GKZ:GKZ,2,0,1)))</f>
        <v/>
      </c>
      <c r="H142" s="37">
        <f>IF(AND(E142&gt;0,G142=0),"Amount for Child Under 18 Can be Transferred","No Action")</f>
        <v/>
      </c>
      <c r="J142" s="667" t="inlineStr">
        <is>
          <t>Amount for Child Under 18</t>
        </is>
      </c>
      <c r="L142" t="inlineStr">
        <is>
          <t>Line 367</t>
        </is>
      </c>
      <c r="M142" s="865">
        <f>(_xlfn.XLOOKUP(MainClient,Clients!D:D,Clients!HLE:HLE,2,0,1))</f>
        <v/>
      </c>
      <c r="N142" s="37" t="inlineStr">
        <is>
          <t>Line 361</t>
        </is>
      </c>
      <c r="O142" s="51">
        <f>IF(TransferName="NONE",0,(_xlfn.XLOOKUP(TransferNumber,Clients!D:D,Clients!HLB:HLB,2,0,1)))</f>
        <v/>
      </c>
      <c r="P142" s="37">
        <f>IF(AND(M142&gt;0,O142=0),"Amount for Child Under 18 Can be Transferred","No Action")</f>
        <v/>
      </c>
    </row>
    <row r="143" ht="15.75" customHeight="1" thickBot="1">
      <c r="B143" s="667" t="inlineStr">
        <is>
          <t>Pension Income Amount</t>
        </is>
      </c>
      <c r="D143" t="inlineStr">
        <is>
          <t>Line 314 (max 2000)</t>
        </is>
      </c>
      <c r="E143" s="861">
        <f>IF((_xlfn.XLOOKUP(ClientNumber,Clients!D:D,Clients!GJS:GJS,2,0,1)&lt;2000),(_xlfn.XLOOKUP(MainClient,Clients!D:D,Clients!GJS:GJS,2,0,1)),2000)</f>
        <v/>
      </c>
      <c r="F143" s="37" t="inlineStr">
        <is>
          <t>Line 355</t>
        </is>
      </c>
      <c r="G143" s="51">
        <f>IF(TransferName="NONE",0,(_xlfn.XLOOKUP(TransferNumber,Clients!D:D,Clients!GKW:GKW,2,0,1)))</f>
        <v/>
      </c>
      <c r="H143" s="37">
        <f>IF(AND(E143&gt;0,G143=0),"Pension Income Amount Can Be Transferred","No Action")</f>
        <v/>
      </c>
      <c r="J143" s="667" t="inlineStr">
        <is>
          <t>Pension Income Amount</t>
        </is>
      </c>
      <c r="L143" t="inlineStr">
        <is>
          <t>Line 314 (max 2000)</t>
        </is>
      </c>
      <c r="M143" s="865">
        <f>IF((_xlfn.XLOOKUP(MainClient,Clients!D:D,Clients!HJU:HJU,2,0,1)&lt;2000),(_xlfn.XLOOKUP(MainClient,Clients!D:D,Clients!HJU:HJU,2,0,1)),2000)</f>
        <v/>
      </c>
      <c r="N143" s="37" t="inlineStr">
        <is>
          <t>Line 355</t>
        </is>
      </c>
      <c r="O143" s="51">
        <f>IF(TransferName="NONE",0,(_xlfn.XLOOKUP(TransferNumber,Clients!D:D,Clients!HKY:HKY,2,0,1)))</f>
        <v/>
      </c>
      <c r="P143" s="37">
        <f>IF(AND(M143&gt;0,O143=0),"Pension Income Amount Can Be Transferred","No Action")</f>
        <v/>
      </c>
    </row>
    <row r="144" ht="15.75" customHeight="1" thickBot="1">
      <c r="B144" s="667" t="inlineStr">
        <is>
          <t>Disability Amount</t>
        </is>
      </c>
      <c r="D144" t="inlineStr">
        <is>
          <t>Line 316</t>
        </is>
      </c>
      <c r="E144" s="861">
        <f>IF(_xlfn.XLOOKUP(ClientNumber,Clients!D:D,Clients!GJT:GJT,2,0,1)=0,8001,(_xlfn.XLOOKUP(MainClient,Clients!D:D,Clients!GJT:GJT,2,0,1)))</f>
        <v/>
      </c>
      <c r="F144" s="37" t="inlineStr">
        <is>
          <t>Line 357</t>
        </is>
      </c>
      <c r="G144" s="51">
        <f>IF(TransferName="NONE",0,(_xlfn.XLOOKUP(TransferNumber,Clients!D:D,Clients!GKX:GKX,2,0,1)))</f>
        <v/>
      </c>
      <c r="H144" s="37">
        <f>IF(AND(E144&gt;0,G144=0),"DTC Transferable Not Claimed Can Be Transferred","No Action")</f>
        <v/>
      </c>
      <c r="J144" s="667" t="inlineStr">
        <is>
          <t>Disability Amount</t>
        </is>
      </c>
      <c r="L144" t="inlineStr">
        <is>
          <t>Line 316</t>
        </is>
      </c>
      <c r="M144" s="865">
        <f>IF(_xlfn.XLOOKUP(MainClient,Clients!D:D,Clients!HJV:HJV,2,0,1)=0,7899,(_xlfn.XLOOKUP(MainClient,Clients!D:D,Clients!HJV:HJV,2,0,1)))</f>
        <v/>
      </c>
      <c r="N144" s="37" t="inlineStr">
        <is>
          <t>Line 357</t>
        </is>
      </c>
      <c r="O144" s="51">
        <f>IF(TransferName="NONE",0,(_xlfn.XLOOKUP(TransferNumber,Clients!D:D,Clients!HKZ:HKZ,2,0,1)))</f>
        <v/>
      </c>
      <c r="P144" s="37">
        <f>IF(AND(M144&gt;0,O144=0),"DTC Transferable Not Claimed Can Be Transferred","No Action")</f>
        <v/>
      </c>
    </row>
    <row r="145" ht="15.75" customHeight="1" thickBot="1">
      <c r="B145" s="667" t="inlineStr">
        <is>
          <t>Tuition Amount</t>
        </is>
      </c>
      <c r="D145" t="inlineStr">
        <is>
          <t>Line 327</t>
        </is>
      </c>
      <c r="E145" s="810">
        <f>(_xlfn.XLOOKUP(ClientNumber,Clients!D:D,Clients!GKC:GKC,2,0,1))</f>
        <v/>
      </c>
      <c r="F145" s="37" t="inlineStr">
        <is>
          <t>Line 360</t>
        </is>
      </c>
      <c r="G145" s="51">
        <f>IF(TransferName="NONE",0,(_xlfn.XLOOKUP(TransferNumber,Clients!D:D,Clients!GKY:GKY,2,0,1)))</f>
        <v/>
      </c>
      <c r="H145" s="37">
        <f>IF(AND(E145&gt;0,G145=0),"Tuition Can Be Transferred","No Action")</f>
        <v/>
      </c>
      <c r="J145" s="667" t="inlineStr">
        <is>
          <t>Tuition Amount</t>
        </is>
      </c>
      <c r="L145" t="inlineStr">
        <is>
          <t>Line 327</t>
        </is>
      </c>
      <c r="M145" s="865">
        <f>(_xlfn.XLOOKUP(MainClient,Clients!D:D,Clients!HKE:HKE,2,0,1))</f>
        <v/>
      </c>
      <c r="N145" s="37" t="inlineStr">
        <is>
          <t>Line 360</t>
        </is>
      </c>
      <c r="O145" s="51">
        <f>IF(TransferName="NONE",0,(_xlfn.XLOOKUP(TransferNumber,Clients!D:D,Clients!HLA:HLA,2,0,1)))</f>
        <v/>
      </c>
      <c r="P145" s="37">
        <f>IF(AND(M145&gt;0,O145=0),"Tuition Can Be Transferred","No Action")</f>
        <v/>
      </c>
    </row>
    <row r="146" ht="15.75" customHeight="1" thickBot="1">
      <c r="B146" s="34" t="n"/>
      <c r="E146">
        <f>SUM(E141:E145)</f>
        <v/>
      </c>
      <c r="F146" s="35" t="n"/>
      <c r="G146" s="667">
        <f>SUM(G141:G145)</f>
        <v/>
      </c>
      <c r="H146" s="35" t="n"/>
      <c r="J146" s="34" t="n"/>
      <c r="M146">
        <f>SUM(M141:M145)</f>
        <v/>
      </c>
      <c r="N146" s="35" t="n"/>
      <c r="O146" s="667">
        <f>SUM(O141:O145)</f>
        <v/>
      </c>
      <c r="P146" s="35" t="n"/>
    </row>
    <row r="147" ht="15.75" customHeight="1" thickBot="1">
      <c r="B147" s="667" t="inlineStr">
        <is>
          <t>Line 260</t>
        </is>
      </c>
      <c r="C147" s="36">
        <f>(_xlfn.XLOOKUP(MainClient,Clients!D:D,Clients!GJC:GJC,2,0,1))</f>
        <v/>
      </c>
      <c r="F147" s="35" t="n"/>
      <c r="G147" s="34">
        <f>IF(E170&gt;E144,"other transferable credits","DTC Only")</f>
        <v/>
      </c>
      <c r="H147" s="35" t="n"/>
      <c r="J147" s="667" t="inlineStr">
        <is>
          <t>Line 260</t>
        </is>
      </c>
      <c r="K147" s="36">
        <f>(_xlfn.XLOOKUP(MainClient,Clients!D:D,Clients!HJE:HJE,2,0,1))</f>
        <v/>
      </c>
      <c r="N147" s="35" t="n"/>
      <c r="O147" s="34">
        <f>IF(M170&gt;M144,"other transferable credits","DTC Only")</f>
        <v/>
      </c>
      <c r="P147" s="35" t="n"/>
    </row>
    <row r="148" ht="15.75" customHeight="1" thickBot="1">
      <c r="B148" s="34" t="n"/>
      <c r="F148" s="35" t="n"/>
      <c r="G148" s="34" t="n"/>
      <c r="H148" s="35" t="n"/>
      <c r="J148" s="34" t="n"/>
      <c r="N148" s="35" t="n"/>
      <c r="O148" s="34" t="n"/>
      <c r="P148" s="35" t="n"/>
    </row>
    <row r="149" ht="15.75" customHeight="1" thickBot="1">
      <c r="B149" s="55" t="inlineStr">
        <is>
          <t>Line 300</t>
        </is>
      </c>
      <c r="C149" s="36">
        <f>(_xlfn.XLOOKUP(ClientNumber,Clients!D:D,Clients!GJI:GJI,2,0,1))</f>
        <v/>
      </c>
      <c r="F149" s="35" t="n"/>
      <c r="G149" s="34" t="n"/>
      <c r="H149" s="35" t="n"/>
      <c r="J149" s="55" t="inlineStr">
        <is>
          <t>Line 300</t>
        </is>
      </c>
      <c r="K149" s="36">
        <f>(_xlfn.XLOOKUP(MainClient,Clients!D:D,Clients!HJK:HJK,2,0,1))</f>
        <v/>
      </c>
      <c r="N149" s="35" t="n"/>
      <c r="O149" s="34" t="n"/>
      <c r="P149" s="35" t="n"/>
    </row>
    <row r="150" ht="15.75" customHeight="1" thickBot="1">
      <c r="B150" s="55" t="inlineStr">
        <is>
          <t>Line 308</t>
        </is>
      </c>
      <c r="C150" s="36">
        <f>(_xlfn.XLOOKUP(ClientNumber,Clients!D:D,Clients!GJO:GJO,2,0,1))</f>
        <v/>
      </c>
      <c r="F150" s="35" t="n"/>
      <c r="G150" s="34" t="n"/>
      <c r="H150" s="35" t="n"/>
      <c r="J150" s="55" t="inlineStr">
        <is>
          <t>Line 308</t>
        </is>
      </c>
      <c r="K150" s="36">
        <f>(_xlfn.XLOOKUP(MainClient,Clients!D:D,Clients!HJQ:HJQ,2,0,1))</f>
        <v/>
      </c>
      <c r="N150" s="35" t="n"/>
      <c r="O150" s="34" t="n"/>
      <c r="P150" s="35" t="n"/>
    </row>
    <row r="151" ht="15.75" customHeight="1" thickBot="1">
      <c r="B151" s="55" t="inlineStr">
        <is>
          <t>Line 310</t>
        </is>
      </c>
      <c r="C151" s="36">
        <f>(_xlfn.XLOOKUP(ClientNumber,Clients!D:D,Clients!GJP:GJP,2,0,1))</f>
        <v/>
      </c>
      <c r="F151" s="35" t="n"/>
      <c r="G151" s="34" t="n"/>
      <c r="H151" s="35" t="n"/>
      <c r="J151" s="55" t="inlineStr">
        <is>
          <t>Line 310</t>
        </is>
      </c>
      <c r="K151" s="36">
        <f>(_xlfn.XLOOKUP(MainClient,Clients!D:D,Clients!HJR:HJR,2,0,1))</f>
        <v/>
      </c>
      <c r="N151" s="35" t="n"/>
      <c r="P151" s="35" t="n"/>
    </row>
    <row r="152" ht="15.75" customHeight="1" thickBot="1">
      <c r="B152" s="55" t="inlineStr">
        <is>
          <t>Line 312</t>
        </is>
      </c>
      <c r="C152" s="36">
        <f>(_xlfn.XLOOKUP(ClientNumber,Clients!D:D,Clients!GJQ:GJQ,2,0,1))</f>
        <v/>
      </c>
      <c r="F152" s="35" t="n"/>
      <c r="G152" s="34" t="n"/>
      <c r="H152" s="35" t="n"/>
      <c r="J152" s="55" t="inlineStr">
        <is>
          <t>Line 312</t>
        </is>
      </c>
      <c r="K152" s="36">
        <f>(_xlfn.XLOOKUP(MainClient,Clients!D:D,Clients!HJS:HJS,2,0,1))</f>
        <v/>
      </c>
      <c r="N152" s="35" t="n"/>
      <c r="O152" s="34" t="n"/>
      <c r="P152" s="35" t="n"/>
    </row>
    <row r="153" ht="15.75" customHeight="1" thickBot="1">
      <c r="B153" s="55" t="inlineStr">
        <is>
          <t>Line 317</t>
        </is>
      </c>
      <c r="C153" s="36">
        <f>(_xlfn.XLOOKUP(ClientNumber,Clients!D:D,Clients!GJU:GJU,2,0,1))</f>
        <v/>
      </c>
      <c r="F153" s="35" t="n"/>
      <c r="G153" s="34" t="n"/>
      <c r="H153" s="35" t="n"/>
      <c r="J153" s="55" t="inlineStr">
        <is>
          <t>Line 317</t>
        </is>
      </c>
      <c r="K153" s="36">
        <f>(_xlfn.XLOOKUP(MainClient,Clients!D:D,Clients!HJW:HJW,2,0,1))</f>
        <v/>
      </c>
      <c r="N153" s="35" t="n"/>
      <c r="O153" s="34" t="n"/>
      <c r="P153" s="35" t="n"/>
    </row>
    <row r="154" ht="15.75" customHeight="1" thickBot="1">
      <c r="B154" s="55" t="inlineStr">
        <is>
          <t>Line 362</t>
        </is>
      </c>
      <c r="C154" s="36">
        <f>(_xlfn.XLOOKUP(ClientNumber,Clients!D:D,Clients!GLA:GLA,2,0,1))</f>
        <v/>
      </c>
      <c r="F154" s="35" t="n"/>
      <c r="G154" s="34" t="n"/>
      <c r="H154" s="35" t="n"/>
      <c r="J154" s="55" t="inlineStr">
        <is>
          <t>Line 362</t>
        </is>
      </c>
      <c r="K154" s="36">
        <f>(_xlfn.XLOOKUP(MainClient,Clients!D:D,Clients!HLC:HLC,2,0,1))</f>
        <v/>
      </c>
      <c r="N154" s="35" t="n"/>
      <c r="O154" s="34" t="n"/>
      <c r="P154" s="35" t="n"/>
    </row>
    <row r="155" ht="15.75" customHeight="1" thickBot="1">
      <c r="B155" s="55" t="inlineStr">
        <is>
          <t>Line 395</t>
        </is>
      </c>
      <c r="C155" s="36">
        <f>(_xlfn.XLOOKUP(ClientNumber,Clients!D:D,Clients!GLY:GLY,2,0,1))</f>
        <v/>
      </c>
      <c r="F155" s="35" t="n"/>
      <c r="G155" s="34" t="n"/>
      <c r="H155" s="35" t="n"/>
      <c r="J155" s="55" t="inlineStr">
        <is>
          <t>Line 395</t>
        </is>
      </c>
      <c r="K155" s="36">
        <f>(_xlfn.XLOOKUP(MainClient,Clients!D:D,Clients!HMA:HMA,2,0,1))</f>
        <v/>
      </c>
      <c r="N155" s="35" t="n"/>
      <c r="O155" s="34" t="n"/>
      <c r="P155" s="35" t="n"/>
    </row>
    <row r="156" ht="15.75" customHeight="1" thickBot="1">
      <c r="B156" s="55" t="inlineStr">
        <is>
          <t>Line 363</t>
        </is>
      </c>
      <c r="C156" s="36">
        <f>(_xlfn.XLOOKUP(ClientNumber,Clients!D:D,Clients!GLB:GLB,2,0,1))</f>
        <v/>
      </c>
      <c r="F156" s="35" t="n"/>
      <c r="G156" s="34" t="n"/>
      <c r="H156" s="35" t="n"/>
      <c r="J156" s="55" t="inlineStr">
        <is>
          <t>Line 363</t>
        </is>
      </c>
      <c r="K156" s="36">
        <f>(_xlfn.XLOOKUP(MainClient,Clients!D:D,Clients!HLD:HLD,2,0,1))</f>
        <v/>
      </c>
      <c r="N156" s="35" t="n"/>
      <c r="O156" s="34" t="n"/>
      <c r="P156" s="35" t="n"/>
    </row>
    <row r="157" ht="15.75" customHeight="1" thickBot="1">
      <c r="B157" s="53" t="inlineStr">
        <is>
          <t>Line 364</t>
        </is>
      </c>
      <c r="C157" s="36" t="n"/>
      <c r="F157" s="35" t="n"/>
      <c r="G157" s="34" t="n"/>
      <c r="H157" s="35" t="n"/>
      <c r="J157" s="53" t="inlineStr">
        <is>
          <t>Line 364</t>
        </is>
      </c>
      <c r="K157" s="36" t="n"/>
      <c r="N157" s="35" t="n"/>
      <c r="O157" s="34" t="n"/>
      <c r="P157" s="35" t="n"/>
    </row>
    <row r="158" ht="15.75" customHeight="1" thickBot="1">
      <c r="B158" s="38" t="inlineStr">
        <is>
          <t>-</t>
        </is>
      </c>
      <c r="C158" s="36" t="n"/>
      <c r="F158" s="35" t="n"/>
      <c r="G158" s="34" t="n"/>
      <c r="H158" s="35" t="n"/>
      <c r="J158" s="38" t="inlineStr">
        <is>
          <t>-</t>
        </is>
      </c>
      <c r="K158" s="36" t="n"/>
      <c r="N158" s="35" t="n"/>
      <c r="O158" s="34" t="n"/>
      <c r="P158" s="35" t="n"/>
    </row>
    <row r="159" ht="15.75" customHeight="1" thickBot="1">
      <c r="B159" s="38" t="inlineStr">
        <is>
          <t>-</t>
        </is>
      </c>
      <c r="C159" s="36" t="n"/>
      <c r="F159" s="35" t="n"/>
      <c r="G159" s="34" t="inlineStr">
        <is>
          <t>Line 326</t>
        </is>
      </c>
      <c r="H159" s="35">
        <f>IF(TransferName="NONE",0,(_xlfn.XLOOKUP(TransferNumber,Clients!D:D,Clients!GKB:GKB,2,0,1)))</f>
        <v/>
      </c>
      <c r="J159" s="38" t="inlineStr">
        <is>
          <t>-</t>
        </is>
      </c>
      <c r="K159" s="36" t="n"/>
      <c r="N159" s="35" t="n"/>
      <c r="O159" s="34" t="inlineStr">
        <is>
          <t>Line 326</t>
        </is>
      </c>
      <c r="P159" s="35">
        <f>IF(TransferName="NONE",0,(_xlfn.XLOOKUP(TransferNumber,Clients!D:D,Clients!HKD:HKD,2,0,1)))</f>
        <v/>
      </c>
    </row>
    <row r="160" ht="15.75" customHeight="1" thickBot="1">
      <c r="B160" s="53" t="inlineStr">
        <is>
          <t>Line 370</t>
        </is>
      </c>
      <c r="C160" s="36" t="n"/>
      <c r="F160" s="35" t="n"/>
      <c r="G160" s="34" t="n"/>
      <c r="H160" s="35" t="n"/>
      <c r="J160" s="53" t="inlineStr">
        <is>
          <t>Line 370</t>
        </is>
      </c>
      <c r="K160" s="36" t="n"/>
      <c r="N160" s="35" t="n"/>
      <c r="O160" s="34" t="n"/>
      <c r="P160" s="35" t="n"/>
    </row>
    <row r="161" ht="15.75" customHeight="1" thickBot="1">
      <c r="B161" s="55" t="inlineStr">
        <is>
          <t>Line 398</t>
        </is>
      </c>
      <c r="C161" s="36">
        <f>(_xlfn.XLOOKUP(ClientNumber,Clients!D:D,Clients!GLZ:GLZ,2,0,1))</f>
        <v/>
      </c>
      <c r="F161" s="35" t="n"/>
      <c r="G161" s="34" t="n"/>
      <c r="H161" s="35" t="n"/>
      <c r="J161" s="38" t="inlineStr">
        <is>
          <t>-</t>
        </is>
      </c>
      <c r="K161" s="36" t="n"/>
      <c r="N161" s="35" t="n"/>
      <c r="O161" s="34" t="n"/>
      <c r="P161" s="35" t="n"/>
    </row>
    <row r="162" ht="15.75" customHeight="1" thickBot="1">
      <c r="B162" s="55" t="inlineStr">
        <is>
          <t>Line 369</t>
        </is>
      </c>
      <c r="C162" s="36">
        <f>(_xlfn.XLOOKUP(ClientNumber,Clients!D:D,Clients!GLD:GLD,2,0,1))</f>
        <v/>
      </c>
      <c r="F162" s="35" t="n"/>
      <c r="G162" s="34" t="n"/>
      <c r="H162" s="35" t="n"/>
      <c r="J162" s="55" t="inlineStr">
        <is>
          <t>Line 369</t>
        </is>
      </c>
      <c r="K162" s="36">
        <f>(_xlfn.XLOOKUP(MainClient,Clients!D:D,Clients!HLF:HLF,2,0,1))</f>
        <v/>
      </c>
      <c r="N162" s="35" t="n"/>
      <c r="O162" s="34" t="n"/>
      <c r="P162" s="35" t="n"/>
    </row>
    <row r="163" ht="15.75" customHeight="1" thickBot="1">
      <c r="B163" s="55" t="inlineStr">
        <is>
          <t>Line 313</t>
        </is>
      </c>
      <c r="C163" s="36">
        <f>(_xlfn.XLOOKUP(ClientNumber,Clients!D:D,Clients!GJR:GJR,2,0,1))</f>
        <v/>
      </c>
      <c r="F163" s="35" t="n"/>
      <c r="G163" s="34" t="n"/>
      <c r="H163" s="35">
        <f>IF(E168&gt;0,E146-G146,0)</f>
        <v/>
      </c>
      <c r="J163" s="55" t="inlineStr">
        <is>
          <t>Line 313</t>
        </is>
      </c>
      <c r="K163" s="36">
        <f>(_xlfn.XLOOKUP(MainClient,Clients!D:D,Clients!HJT:HJT,2,0,1))</f>
        <v/>
      </c>
      <c r="N163" s="35" t="n"/>
      <c r="O163" s="34" t="n"/>
      <c r="P163" s="35">
        <f>IF(M168&gt;0,M146-O146,0)</f>
        <v/>
      </c>
    </row>
    <row r="164" ht="15.75" customHeight="1" thickBot="1">
      <c r="B164" s="55" t="inlineStr">
        <is>
          <t>Line 323</t>
        </is>
      </c>
      <c r="C164" s="36">
        <f>(_xlfn.XLOOKUP(ClientNumber,Clients!D:D,Clients!GJY:GJY,2,0,1))</f>
        <v/>
      </c>
      <c r="F164" s="35" t="n"/>
      <c r="H164" s="65">
        <f>IF(TransferName="NONE",F169,IF(H163&gt;0,(E168-G146)*0.15,0))</f>
        <v/>
      </c>
      <c r="J164" s="55" t="inlineStr">
        <is>
          <t>Line 323</t>
        </is>
      </c>
      <c r="K164" s="36">
        <f>(_xlfn.XLOOKUP(MainClient,Clients!D:D,Clients!HKA:HKA,2,0,1))</f>
        <v/>
      </c>
      <c r="N164" s="35" t="n"/>
      <c r="P164" s="65">
        <f>IF(TransferName="NONE",N169,IF(P163&gt;0,(M168-O146)*0.15,0))</f>
        <v/>
      </c>
    </row>
    <row r="165">
      <c r="B165" s="667" t="n"/>
      <c r="F165" s="35" t="n"/>
      <c r="G165" s="34" t="inlineStr">
        <is>
          <t>Transferable</t>
        </is>
      </c>
      <c r="H165" s="79">
        <f>IF(H164&gt;0,H164,0)</f>
        <v/>
      </c>
      <c r="J165" s="667" t="n"/>
      <c r="N165" s="35" t="n"/>
      <c r="O165" s="34" t="inlineStr">
        <is>
          <t>Transferable</t>
        </is>
      </c>
      <c r="P165" s="79">
        <f>IF(P164&gt;0,P164,0)</f>
        <v/>
      </c>
    </row>
    <row r="166">
      <c r="B166" s="667" t="inlineStr">
        <is>
          <t>Adjusted Taxable Income</t>
        </is>
      </c>
      <c r="C166">
        <f>C147-(SUM(C149:C164))</f>
        <v/>
      </c>
      <c r="D166" s="13" t="inlineStr">
        <is>
          <t>Line 351</t>
        </is>
      </c>
      <c r="E166" s="39">
        <f>IF(C166&gt;0,C166,0)</f>
        <v/>
      </c>
      <c r="F166" s="35" t="n"/>
      <c r="G166" s="34" t="n"/>
      <c r="H166" s="35" t="n"/>
      <c r="J166" s="667" t="inlineStr">
        <is>
          <t>Adjusted Taxable Income</t>
        </is>
      </c>
      <c r="K166">
        <f>K147-(SUM(K149:K164))</f>
        <v/>
      </c>
      <c r="L166" s="13" t="inlineStr">
        <is>
          <t>Line 351</t>
        </is>
      </c>
      <c r="M166" s="39">
        <f>IF(K166&gt;0,K166,0)</f>
        <v/>
      </c>
      <c r="N166" s="35" t="n"/>
      <c r="O166" s="34" t="n"/>
      <c r="P166" s="35" t="n"/>
    </row>
    <row r="167" ht="15.75" customHeight="1" thickBot="1">
      <c r="B167" s="34" t="n"/>
      <c r="F167" s="35" t="n"/>
      <c r="G167" s="34" t="n"/>
      <c r="H167" s="35" t="n"/>
      <c r="J167" s="34" t="n"/>
      <c r="N167" s="35" t="n"/>
      <c r="O167" s="34" t="n"/>
      <c r="P167" s="35" t="n"/>
    </row>
    <row r="168" ht="15.75" customHeight="1" thickBot="1">
      <c r="B168" s="34" t="n"/>
      <c r="D168" s="21" t="inlineStr">
        <is>
          <t>Fed Trans</t>
        </is>
      </c>
      <c r="E168" s="36">
        <f>(E146-E166)</f>
        <v/>
      </c>
      <c r="F168" s="40" t="n"/>
      <c r="G168" s="34" t="n"/>
      <c r="H168" s="52" t="n"/>
      <c r="J168" s="34" t="n"/>
      <c r="L168" s="21" t="inlineStr">
        <is>
          <t>Fed Trans</t>
        </is>
      </c>
      <c r="M168" s="36">
        <f>(M146-M166)</f>
        <v/>
      </c>
      <c r="N168" s="40" t="n"/>
      <c r="O168" s="34" t="n"/>
      <c r="P168" s="52" t="n"/>
    </row>
    <row r="169" ht="15.75" customHeight="1" thickBot="1">
      <c r="B169" s="34" t="n"/>
      <c r="C169" s="579" t="inlineStr">
        <is>
          <t>DTC Transferable ESTIMATE</t>
        </is>
      </c>
      <c r="D169" s="35" t="n"/>
      <c r="E169" s="36">
        <f>IF(E168&lt;0,0,(IF(E168&gt;E144,E144,E168)))</f>
        <v/>
      </c>
      <c r="F169" s="40">
        <f>IF(E169&gt;0,E169*0.15,"No Transfer Required")</f>
        <v/>
      </c>
      <c r="G169" s="58" t="n"/>
      <c r="H169" s="52" t="n"/>
      <c r="J169" s="34" t="n"/>
      <c r="K169" s="579" t="inlineStr">
        <is>
          <t>DTC Transferable ESTIMATE</t>
        </is>
      </c>
      <c r="L169" s="35" t="n"/>
      <c r="M169" s="36">
        <f>IF(M168&lt;0,0,(IF(M168&gt;M144,M144,M168)))</f>
        <v/>
      </c>
      <c r="N169" s="40">
        <f>IF(M169&gt;0,M169*0.15,"No Transfer Required")</f>
        <v/>
      </c>
      <c r="O169" s="58" t="n"/>
      <c r="P169" s="52" t="n"/>
    </row>
    <row r="170" ht="15.75" customHeight="1" thickBot="1">
      <c r="B170" s="42" t="n"/>
      <c r="C170" s="41" t="n"/>
      <c r="D170" s="43" t="inlineStr">
        <is>
          <t>Net Transferable</t>
        </is>
      </c>
      <c r="E170" s="36">
        <f>IF(E168&lt;0,0,(IF(E168-G141-G142-G143-G145&lt;0,E168,(E168-G141-G142-G143-G145))))</f>
        <v/>
      </c>
      <c r="F170" s="57">
        <f>IF(E170&gt;0,E170*0.15,"0")</f>
        <v/>
      </c>
      <c r="G170" s="59" t="n"/>
      <c r="H170" s="864" t="n"/>
      <c r="J170" s="42" t="n"/>
      <c r="K170" s="41" t="n"/>
      <c r="L170" s="43" t="inlineStr">
        <is>
          <t>Net Transferable</t>
        </is>
      </c>
      <c r="M170" s="36">
        <f>IF(M168&lt;0,0,(IF(M168-O141-O142-O143-O145&lt;0,M168,(M168-O141-O142-O143-O145))))</f>
        <v/>
      </c>
      <c r="N170" s="57">
        <f>IF(M170&gt;0,M170*0.15,"0")</f>
        <v/>
      </c>
      <c r="O170" s="59" t="n"/>
      <c r="P170" s="864" t="n"/>
    </row>
    <row r="171">
      <c r="D171" s="60" t="n"/>
      <c r="F171" s="61" t="n"/>
      <c r="G171" s="449" t="n"/>
      <c r="H171" s="866" t="n"/>
      <c r="L171" s="60" t="n"/>
      <c r="N171" s="866" t="n"/>
      <c r="O171" s="64" t="n"/>
      <c r="P171" s="866" t="n"/>
    </row>
    <row r="172">
      <c r="D172" s="60" t="n"/>
      <c r="F172" s="61" t="n"/>
      <c r="G172" s="449" t="n"/>
      <c r="H172" s="866" t="n"/>
      <c r="L172" s="60" t="n"/>
      <c r="N172" s="866" t="n"/>
      <c r="O172" s="64" t="n"/>
      <c r="P172" s="866" t="n"/>
    </row>
    <row r="173" ht="15.75" customHeight="1" thickBot="1">
      <c r="E173">
        <f>Calculator!$D$5</f>
        <v/>
      </c>
      <c r="H173">
        <f>TransferName</f>
        <v/>
      </c>
      <c r="M173">
        <f>Calculator!$D$5</f>
        <v/>
      </c>
      <c r="P173">
        <f>TransferName</f>
        <v/>
      </c>
    </row>
    <row r="174" ht="15.75" customHeight="1" thickBot="1">
      <c r="B174" s="859" t="inlineStr">
        <is>
          <t>2014 Federal</t>
        </is>
      </c>
      <c r="C174" s="778" t="n"/>
      <c r="D174" s="778" t="n"/>
      <c r="E174" s="778" t="n"/>
      <c r="F174" s="778" t="n"/>
      <c r="G174" s="778" t="n"/>
      <c r="H174" s="780" t="n"/>
      <c r="J174" s="859" t="inlineStr">
        <is>
          <t>2013 Federal</t>
        </is>
      </c>
      <c r="K174" s="778" t="n"/>
      <c r="L174" s="778" t="n"/>
      <c r="M174" s="778" t="n"/>
      <c r="N174" s="778" t="n"/>
      <c r="O174" s="778" t="n"/>
      <c r="P174" s="780" t="n"/>
    </row>
    <row r="175" ht="15.75" customHeight="1" thickBot="1">
      <c r="B175" s="34" t="n"/>
      <c r="D175" t="inlineStr">
        <is>
          <t>Line</t>
        </is>
      </c>
      <c r="E175" t="inlineStr">
        <is>
          <t>Amt</t>
        </is>
      </c>
      <c r="F175" s="35" t="n"/>
      <c r="G175" s="667" t="inlineStr">
        <is>
          <t>Spouse</t>
        </is>
      </c>
      <c r="H175" s="35" t="inlineStr">
        <is>
          <t>S2 Adjustment</t>
        </is>
      </c>
      <c r="J175" s="34" t="n"/>
      <c r="L175" t="inlineStr">
        <is>
          <t>Line</t>
        </is>
      </c>
      <c r="M175" t="inlineStr">
        <is>
          <t>Amt</t>
        </is>
      </c>
      <c r="N175" s="35" t="n"/>
      <c r="O175" s="34" t="inlineStr">
        <is>
          <t>Spouse</t>
        </is>
      </c>
      <c r="P175" s="35" t="inlineStr">
        <is>
          <t>S2 Adjustment</t>
        </is>
      </c>
    </row>
    <row r="176" ht="15.75" customHeight="1" thickBot="1">
      <c r="B176" s="667" t="inlineStr">
        <is>
          <t>Age Amount</t>
        </is>
      </c>
      <c r="D176" t="inlineStr">
        <is>
          <t>Line 301</t>
        </is>
      </c>
      <c r="E176" s="861">
        <f>(_xlfn.XLOOKUP(ClientNumber,Clients!D:D,Clients!IJN:IJN,2,0,1))</f>
        <v/>
      </c>
      <c r="F176" s="37" t="inlineStr">
        <is>
          <t>Line 353</t>
        </is>
      </c>
      <c r="G176" s="51">
        <f>IF(TransferName="NONE",0,(_xlfn.XLOOKUP(TransferNumber,Clients!D:D,Clients!IKY:IKY,2,0,1)))</f>
        <v/>
      </c>
      <c r="H176" s="37">
        <f>IF(AND(E176&gt;0,G176=0),"Age Amount Can Be Transferred","No Action")</f>
        <v/>
      </c>
      <c r="J176" s="667" t="inlineStr">
        <is>
          <t>Age Amount</t>
        </is>
      </c>
      <c r="L176" t="inlineStr">
        <is>
          <t>Line 301</t>
        </is>
      </c>
      <c r="M176" s="865">
        <f>(_xlfn.XLOOKUP(MainClient,Clients!D:D,Clients!JJP:JJP,2,0,1))</f>
        <v/>
      </c>
      <c r="N176" s="37" t="inlineStr">
        <is>
          <t>Line 353</t>
        </is>
      </c>
      <c r="O176" s="51">
        <f>IF(TransferName="NONE",0,(_xlfn.XLOOKUP(TransferNumber,Clients!D:D,Clients!JLA:JLA,2,0,1)))</f>
        <v/>
      </c>
      <c r="P176" s="37">
        <f>IF(AND(M176&gt;0,O176=0),"Age Amount Can Be Transferred","No Action")</f>
        <v/>
      </c>
    </row>
    <row r="177" ht="15.75" customHeight="1" thickBot="1">
      <c r="B177" s="667" t="inlineStr">
        <is>
          <t>Amount for Child Under 18</t>
        </is>
      </c>
      <c r="D177" t="inlineStr">
        <is>
          <t>Line 367</t>
        </is>
      </c>
      <c r="E177" s="861">
        <f>(_xlfn.XLOOKUP(ClientNumber,Clients!D:D,Clients!ILD:ILD,2,0,1))</f>
        <v/>
      </c>
      <c r="F177" s="37" t="inlineStr">
        <is>
          <t>Line 361</t>
        </is>
      </c>
      <c r="G177" s="51">
        <f>IF(TransferName="NONE",0,(_xlfn.XLOOKUP(TransferNumber,Clients!D:D,Clients!ILD:ILD,2,0,1)))</f>
        <v/>
      </c>
      <c r="H177" s="37">
        <f>IF(AND(E177&gt;0,G177=0),"Amount for Child Under 18 Can be Transferred","No Action")</f>
        <v/>
      </c>
      <c r="J177" s="667" t="inlineStr">
        <is>
          <t>Amount for Child Under 18</t>
        </is>
      </c>
      <c r="L177" t="inlineStr">
        <is>
          <t>Line 367</t>
        </is>
      </c>
      <c r="M177" s="865">
        <f>(_xlfn.XLOOKUP(MainClient,Clients!D:D,Clients!JLI:JLI,2,0,1))</f>
        <v/>
      </c>
      <c r="N177" s="37" t="inlineStr">
        <is>
          <t>Line 361</t>
        </is>
      </c>
      <c r="O177" s="51">
        <f>IF(TransferName="NONE",0,(_xlfn.XLOOKUP(TransferNumber,Clients!D:D,Clients!JLF:JLF,2,0,1)))</f>
        <v/>
      </c>
      <c r="P177" s="37">
        <f>IF(AND(M177&gt;0,O177=0),"Amount for Child Under 18 Can be Transferred","No Action")</f>
        <v/>
      </c>
    </row>
    <row r="178" ht="15.75" customHeight="1" thickBot="1">
      <c r="B178" s="667" t="inlineStr">
        <is>
          <t>Pension Income Amount</t>
        </is>
      </c>
      <c r="D178" t="inlineStr">
        <is>
          <t>Line 314 (max 2000)</t>
        </is>
      </c>
      <c r="E178" s="861">
        <f>IF((_xlfn.XLOOKUP(ClientNumber,Clients!D:D,Clients!IJW:IJW,2,0,1)&lt;2000),(_xlfn.XLOOKUP(MainClient,Clients!D:D,Clients!IJW:IJW,2,0,1)),2000)</f>
        <v/>
      </c>
      <c r="F178" s="37" t="inlineStr">
        <is>
          <t>Line 355</t>
        </is>
      </c>
      <c r="G178" s="51">
        <f>IF(TransferName="NONE",0,(_xlfn.XLOOKUP(TransferNumber,Clients!D:D,Clients!IJW:IJW,2,0,1)))</f>
        <v/>
      </c>
      <c r="H178" s="37">
        <f>IF(AND(E178&gt;0,G178=0),"Pension Income Amount Can Be Transferred","No Action")</f>
        <v/>
      </c>
      <c r="J178" s="667" t="inlineStr">
        <is>
          <t>Pension Income Amount</t>
        </is>
      </c>
      <c r="L178" t="inlineStr">
        <is>
          <t>Line 314 (max 2000)</t>
        </is>
      </c>
      <c r="M178" s="865">
        <f>IF((_xlfn.XLOOKUP(MainClient,Clients!D:D,Clients!JJY:JJY,2,0,1)&lt;2000),(_xlfn.XLOOKUP(MainClient,Clients!D:D,Clients!JJY:JJY,2,0,1)),2000)</f>
        <v/>
      </c>
      <c r="N178" s="37" t="inlineStr">
        <is>
          <t>Line 355</t>
        </is>
      </c>
      <c r="O178" s="51">
        <f>IF(TransferName="NONE",0,(_xlfn.XLOOKUP(TransferNumber,Clients!D:D,Clients!JLC:JLC,2,0,1)))</f>
        <v/>
      </c>
      <c r="P178" s="37">
        <f>IF(AND(M178&gt;0,O178=0),"Pension Income Amount Can Be Transferred","No Action")</f>
        <v/>
      </c>
    </row>
    <row r="179" ht="15.75" customHeight="1" thickBot="1">
      <c r="B179" s="667" t="inlineStr">
        <is>
          <t>Disability Amount</t>
        </is>
      </c>
      <c r="D179" t="inlineStr">
        <is>
          <t>Line 316</t>
        </is>
      </c>
      <c r="E179" s="861">
        <f>IF(_xlfn.XLOOKUP(ClientNumber,Clients!D:D,Clients!IJX:IJX,2,0,1)=0,7766,(_xlfn.XLOOKUP(MainClient,Clients!D:D,Clients!IJX:IJX,2,0,1)))</f>
        <v/>
      </c>
      <c r="F179" s="37" t="inlineStr">
        <is>
          <t>Line 357</t>
        </is>
      </c>
      <c r="G179" s="51">
        <f>IF(TransferName="NONE",0,(_xlfn.XLOOKUP(TransferNumber,Clients!D:D,Clients!ILB:ILB,2,0,1)))</f>
        <v/>
      </c>
      <c r="H179" s="37">
        <f>IF(AND(E179&gt;0,G179=0),"DTC Transferable Not Claimed Can Be Transferred","No Action")</f>
        <v/>
      </c>
      <c r="J179" s="667" t="inlineStr">
        <is>
          <t>Disability Amount</t>
        </is>
      </c>
      <c r="L179" t="inlineStr">
        <is>
          <t>Line 316</t>
        </is>
      </c>
      <c r="M179" s="865">
        <f>IF(_xlfn.XLOOKUP(MainClient,Clients!D:D,Clients!FJR:FJR,2,0,1)=0,7697,(_xlfn.XLOOKUP(MainClient,Clients!D:D,Clients!FJR:FJR,2,0,1)))</f>
        <v/>
      </c>
      <c r="N179" s="37" t="inlineStr">
        <is>
          <t>Line 357</t>
        </is>
      </c>
      <c r="O179" s="51">
        <f>IF(TransferName="NONE",0,(_xlfn.XLOOKUP(TransferNumber,Clients!D:D,Clients!JLD:JLD,2,0,1)))</f>
        <v/>
      </c>
      <c r="P179" s="37">
        <f>IF(AND(M179&gt;0,O179=0),"DTC Transferable Not Claimed Can Be Transferred","No Action")</f>
        <v/>
      </c>
    </row>
    <row r="180" ht="15.75" customHeight="1" thickBot="1">
      <c r="B180" s="667" t="inlineStr">
        <is>
          <t>Tuition Amount</t>
        </is>
      </c>
      <c r="D180" t="inlineStr">
        <is>
          <t>Line 327</t>
        </is>
      </c>
      <c r="E180" s="810">
        <f>(_xlfn.XLOOKUP(ClientNumber,Clients!D:D,Clients!IKG:IKG,2,0,1))</f>
        <v/>
      </c>
      <c r="F180" s="37" t="inlineStr">
        <is>
          <t>Line 360</t>
        </is>
      </c>
      <c r="G180" s="51">
        <f>IF(TransferName="NONE",0,(_xlfn.XLOOKUP(TransferNumber,Clients!D:D,Clients!ILC:ILC,2,0,1)))</f>
        <v/>
      </c>
      <c r="H180" s="37">
        <f>IF(AND(E180&gt;0,G180=0),"Tuition Can Be Transferred","No Action")</f>
        <v/>
      </c>
      <c r="J180" s="667" t="inlineStr">
        <is>
          <t>Tuition Amount</t>
        </is>
      </c>
      <c r="L180" t="inlineStr">
        <is>
          <t>Line 327</t>
        </is>
      </c>
      <c r="M180" s="865">
        <f>(_xlfn.XLOOKUP(MainClient,Clients!D:D,Clients!JKI:JKI,2,0,1))</f>
        <v/>
      </c>
      <c r="N180" s="37" t="inlineStr">
        <is>
          <t>Line 360</t>
        </is>
      </c>
      <c r="O180" s="51">
        <f>IF(TransferName="NONE",0,(_xlfn.XLOOKUP(TransferNumber,Clients!D:D,Clients!JLE:JLE,2,0,1)))</f>
        <v/>
      </c>
      <c r="P180" s="37">
        <f>IF(AND(M180&gt;0,O180=0),"Tuition Can Be Transferred","No Action")</f>
        <v/>
      </c>
    </row>
    <row r="181" ht="15.75" customHeight="1" thickBot="1">
      <c r="B181" s="34" t="n"/>
      <c r="E181">
        <f>SUM(E176:E180)</f>
        <v/>
      </c>
      <c r="F181" s="35" t="n"/>
      <c r="G181" s="667">
        <f>SUM(G176:G180)</f>
        <v/>
      </c>
      <c r="H181" s="35" t="n"/>
      <c r="J181" s="34" t="n"/>
      <c r="M181">
        <f>SUM(M176:M180)</f>
        <v/>
      </c>
      <c r="N181" s="35" t="n"/>
      <c r="O181" s="667">
        <f>SUM(O176:O180)</f>
        <v/>
      </c>
      <c r="P181" s="35" t="n"/>
    </row>
    <row r="182" ht="15.75" customHeight="1" thickBot="1">
      <c r="B182" s="667" t="inlineStr">
        <is>
          <t>Line 260</t>
        </is>
      </c>
      <c r="C182" s="36">
        <f>(_xlfn.XLOOKUP(MainClient,Clients!D:D,Clients!IJG:IJG,2,0,1))</f>
        <v/>
      </c>
      <c r="F182" s="35" t="n"/>
      <c r="G182" s="34">
        <f>IF(E205&gt;E179,"other transferable credits","DTC Only")</f>
        <v/>
      </c>
      <c r="H182" s="35" t="n"/>
      <c r="J182" s="667" t="inlineStr">
        <is>
          <t>Line 260</t>
        </is>
      </c>
      <c r="K182" s="36">
        <f>(_xlfn.XLOOKUP(MainClient,Clients!D:D,Clients!JJI:JJI,2,0,1))</f>
        <v/>
      </c>
      <c r="N182" s="35" t="n"/>
      <c r="O182" s="34">
        <f>IF(M205&gt;M179,"other transferable credits","DTC Only")</f>
        <v/>
      </c>
      <c r="P182" s="35" t="n"/>
    </row>
    <row r="183" ht="15.75" customHeight="1" thickBot="1">
      <c r="B183" s="34" t="n"/>
      <c r="F183" s="35" t="n"/>
      <c r="G183" s="34" t="n"/>
      <c r="H183" s="35" t="n"/>
      <c r="J183" s="34" t="n"/>
      <c r="N183" s="35" t="n"/>
      <c r="O183" s="34" t="n"/>
      <c r="P183" s="35" t="n"/>
    </row>
    <row r="184" ht="15.75" customHeight="1" thickBot="1">
      <c r="B184" s="55" t="inlineStr">
        <is>
          <t>Line 300</t>
        </is>
      </c>
      <c r="C184" s="36">
        <f>(_xlfn.XLOOKUP(ClientNumber,Clients!D:D,Clients!IJM:IJM,2,0,1))</f>
        <v/>
      </c>
      <c r="F184" s="35" t="n"/>
      <c r="G184" s="34" t="n"/>
      <c r="H184" s="35" t="n"/>
      <c r="J184" s="55" t="inlineStr">
        <is>
          <t>Line 300</t>
        </is>
      </c>
      <c r="K184" s="36">
        <f>(_xlfn.XLOOKUP(MainClient,Clients!D:D,Clients!JJO:JJO,2,0,1))</f>
        <v/>
      </c>
      <c r="N184" s="35" t="n"/>
      <c r="O184" s="34" t="n"/>
      <c r="P184" s="35" t="n"/>
    </row>
    <row r="185" ht="15.75" customHeight="1" thickBot="1">
      <c r="B185" s="55" t="inlineStr">
        <is>
          <t>Line 308</t>
        </is>
      </c>
      <c r="C185" s="36">
        <f>(_xlfn.XLOOKUP(ClientNumber,Clients!D:D,Clients!IJS:IJS,2,0,1))</f>
        <v/>
      </c>
      <c r="F185" s="35" t="n"/>
      <c r="G185" s="34" t="n"/>
      <c r="H185" s="35" t="n"/>
      <c r="J185" s="55" t="inlineStr">
        <is>
          <t>Line 308</t>
        </is>
      </c>
      <c r="K185" s="36">
        <f>(_xlfn.XLOOKUP(MainClient,Clients!D:D,Clients!JJU:JJU,2,0,1))</f>
        <v/>
      </c>
      <c r="N185" s="35" t="n"/>
      <c r="O185" s="34" t="n"/>
      <c r="P185" s="35" t="n"/>
    </row>
    <row r="186" ht="15.75" customHeight="1" thickBot="1">
      <c r="B186" s="55" t="inlineStr">
        <is>
          <t>Line 310</t>
        </is>
      </c>
      <c r="C186" s="36">
        <f>(_xlfn.XLOOKUP(ClientNumber,Clients!D:D,Clients!IJT:IJT,2,0,1))</f>
        <v/>
      </c>
      <c r="F186" s="35" t="n"/>
      <c r="G186" s="34" t="n"/>
      <c r="H186" s="35" t="n"/>
      <c r="J186" s="55" t="inlineStr">
        <is>
          <t>Line 310</t>
        </is>
      </c>
      <c r="K186" s="36">
        <f>(_xlfn.XLOOKUP(MainClient,Clients!D:D,Clients!JJV:JJV,2,0,1))</f>
        <v/>
      </c>
      <c r="N186" s="35" t="n"/>
      <c r="P186" s="35" t="n"/>
    </row>
    <row r="187" ht="15.75" customHeight="1" thickBot="1">
      <c r="B187" s="55" t="inlineStr">
        <is>
          <t>Line 312</t>
        </is>
      </c>
      <c r="C187" s="36">
        <f>(_xlfn.XLOOKUP(ClientNumber,Clients!D:D,Clients!IJU:IJU,2,0,1))</f>
        <v/>
      </c>
      <c r="F187" s="35" t="n"/>
      <c r="G187" s="34" t="n"/>
      <c r="H187" s="35" t="n"/>
      <c r="J187" s="55" t="inlineStr">
        <is>
          <t>Line 312</t>
        </is>
      </c>
      <c r="K187" s="36">
        <f>(_xlfn.XLOOKUP(MainClient,Clients!D:D,Clients!JJW:JJW,2,0,1))</f>
        <v/>
      </c>
      <c r="N187" s="35" t="n"/>
      <c r="O187" s="34" t="n"/>
      <c r="P187" s="35" t="n"/>
    </row>
    <row r="188" ht="15.75" customHeight="1" thickBot="1">
      <c r="B188" s="55" t="inlineStr">
        <is>
          <t>Line 317</t>
        </is>
      </c>
      <c r="C188" s="36">
        <f>(_xlfn.XLOOKUP(ClientNumber,Clients!D:D,Clients!IJY:IJY,2,0,1))</f>
        <v/>
      </c>
      <c r="F188" s="35" t="n"/>
      <c r="G188" s="34" t="n"/>
      <c r="H188" s="35" t="n"/>
      <c r="J188" s="55" t="inlineStr">
        <is>
          <t>Line 317</t>
        </is>
      </c>
      <c r="K188" s="36">
        <f>(_xlfn.XLOOKUP(MainClient,Clients!D:D,Clients!JKA:JKA,2,0,1))</f>
        <v/>
      </c>
      <c r="N188" s="35" t="n"/>
      <c r="O188" s="34" t="n"/>
      <c r="P188" s="35" t="n"/>
    </row>
    <row r="189" ht="15.75" customHeight="1" thickBot="1">
      <c r="B189" s="55" t="inlineStr">
        <is>
          <t>Line 362</t>
        </is>
      </c>
      <c r="C189" s="36">
        <f>(_xlfn.XLOOKUP(ClientNumber,Clients!D:D,Clients!ILE:ILE,2,0,1))</f>
        <v/>
      </c>
      <c r="F189" s="35" t="n"/>
      <c r="G189" s="34" t="n"/>
      <c r="H189" s="35" t="n"/>
      <c r="J189" s="55" t="inlineStr">
        <is>
          <t>Line 362</t>
        </is>
      </c>
      <c r="K189" s="36">
        <f>(_xlfn.XLOOKUP(MainClient,Clients!D:D,Clients!JLG:JLG,2,0,1))</f>
        <v/>
      </c>
      <c r="N189" s="35" t="n"/>
      <c r="O189" s="34" t="n"/>
      <c r="P189" s="35" t="n"/>
    </row>
    <row r="190" ht="15.75" customHeight="1" thickBot="1">
      <c r="B190" s="55" t="inlineStr">
        <is>
          <t>Line 395</t>
        </is>
      </c>
      <c r="C190" s="36">
        <f>(_xlfn.XLOOKUP(ClientNumber,Clients!D:D,Clients!IMC:IMC,2,0,1))</f>
        <v/>
      </c>
      <c r="F190" s="35" t="n"/>
      <c r="G190" s="34" t="n"/>
      <c r="H190" s="35" t="n"/>
      <c r="J190" s="38" t="inlineStr">
        <is>
          <t>-</t>
        </is>
      </c>
      <c r="K190" s="36" t="n"/>
      <c r="N190" s="35" t="n"/>
      <c r="O190" s="34" t="n"/>
      <c r="P190" s="35" t="n"/>
    </row>
    <row r="191" ht="15.75" customHeight="1" thickBot="1">
      <c r="B191" s="55" t="inlineStr">
        <is>
          <t>Line 363</t>
        </is>
      </c>
      <c r="C191" s="36">
        <f>(_xlfn.XLOOKUP(ClientNumber,Clients!D:D,Clients!ILF:ILF,2,0,1))</f>
        <v/>
      </c>
      <c r="F191" s="35" t="n"/>
      <c r="G191" s="34" t="n"/>
      <c r="H191" s="35" t="n"/>
      <c r="J191" s="55" t="inlineStr">
        <is>
          <t>Line 363</t>
        </is>
      </c>
      <c r="K191" s="36">
        <f>(_xlfn.XLOOKUP(MainClient,Clients!D:D,Clients!JLH:JLH,2,0,1))</f>
        <v/>
      </c>
      <c r="N191" s="35" t="n"/>
      <c r="O191" s="34" t="n"/>
      <c r="P191" s="35" t="n"/>
    </row>
    <row r="192" ht="15.75" customHeight="1" thickBot="1">
      <c r="B192" s="53" t="inlineStr">
        <is>
          <t>Line 364</t>
        </is>
      </c>
      <c r="C192" s="36" t="n"/>
      <c r="F192" s="35" t="n"/>
      <c r="G192" s="34" t="n"/>
      <c r="H192" s="35" t="n"/>
      <c r="J192" s="53" t="inlineStr">
        <is>
          <t>Line 364</t>
        </is>
      </c>
      <c r="K192" s="36" t="n"/>
      <c r="N192" s="35" t="n"/>
      <c r="O192" s="34" t="n"/>
      <c r="P192" s="35" t="n"/>
    </row>
    <row r="193" ht="15.75" customHeight="1" thickBot="1">
      <c r="B193" s="53" t="inlineStr">
        <is>
          <t>Line 365</t>
        </is>
      </c>
      <c r="C193" s="36" t="n"/>
      <c r="F193" s="35" t="n"/>
      <c r="G193" s="34" t="n"/>
      <c r="H193" s="35" t="n"/>
      <c r="J193" s="53" t="inlineStr">
        <is>
          <t>Line 365</t>
        </is>
      </c>
      <c r="K193" s="36" t="n"/>
      <c r="N193" s="35" t="n"/>
      <c r="O193" s="34" t="n"/>
      <c r="P193" s="35" t="n"/>
    </row>
    <row r="194" ht="15.75" customHeight="1" thickBot="1">
      <c r="B194" s="38" t="inlineStr">
        <is>
          <t>-</t>
        </is>
      </c>
      <c r="C194" s="36" t="n"/>
      <c r="F194" s="35" t="n"/>
      <c r="G194" s="34" t="inlineStr">
        <is>
          <t>Line 326</t>
        </is>
      </c>
      <c r="H194" s="35">
        <f>IF(TransferName="NONE",0,(_xlfn.XLOOKUP(TransferNumber,Clients!D:D,Clients!IKF:IKF,2,0,1)))</f>
        <v/>
      </c>
      <c r="J194" s="38" t="inlineStr">
        <is>
          <t>-</t>
        </is>
      </c>
      <c r="K194" s="36" t="n"/>
      <c r="N194" s="35" t="n"/>
      <c r="O194" s="34" t="inlineStr">
        <is>
          <t>Line 326</t>
        </is>
      </c>
      <c r="P194" s="35">
        <f>IF(TransferName="NONE",0,(_xlfn.XLOOKUP(TransferNumber,Clients!D:D,Clients!JKH:JKH,2,0,1)))</f>
        <v/>
      </c>
    </row>
    <row r="195" ht="15.75" customHeight="1" thickBot="1">
      <c r="B195" s="53" t="inlineStr">
        <is>
          <t>Line 370</t>
        </is>
      </c>
      <c r="C195" s="36" t="n"/>
      <c r="F195" s="35" t="n"/>
      <c r="G195" s="34" t="n"/>
      <c r="H195" s="35" t="n"/>
      <c r="J195" s="53" t="inlineStr">
        <is>
          <t>Line 370</t>
        </is>
      </c>
      <c r="K195" s="36" t="n"/>
      <c r="N195" s="35" t="n"/>
      <c r="O195" s="34" t="n"/>
      <c r="P195" s="35" t="n"/>
    </row>
    <row r="196" ht="15.75" customHeight="1" thickBot="1">
      <c r="B196" s="38" t="inlineStr">
        <is>
          <t>-</t>
        </is>
      </c>
      <c r="C196" s="36">
        <f>(_xlfn.XLOOKUP(ClientNumber,Clients!D:D,Clients!ELV:ELV,2,0,1))</f>
        <v/>
      </c>
      <c r="F196" s="35" t="n"/>
      <c r="G196" s="34" t="n"/>
      <c r="H196" s="35" t="n"/>
      <c r="J196" s="38" t="inlineStr">
        <is>
          <t>-</t>
        </is>
      </c>
      <c r="K196" s="36">
        <f>(_xlfn.XLOOKUP(MainClient,Clients!D:D,Clients!FLX:FLX,2,0,1))</f>
        <v/>
      </c>
      <c r="N196" s="35" t="n"/>
      <c r="O196" s="34" t="n"/>
      <c r="P196" s="35" t="n"/>
    </row>
    <row r="197" ht="15.75" customHeight="1" thickBot="1">
      <c r="B197" s="55" t="inlineStr">
        <is>
          <t>Line 369</t>
        </is>
      </c>
      <c r="C197" s="36">
        <f>(_xlfn.XLOOKUP(ClientNumber,Clients!D:D,Clients!ILH:ILH,2,0,1))</f>
        <v/>
      </c>
      <c r="F197" s="35" t="n"/>
      <c r="G197" s="34" t="n"/>
      <c r="H197" s="35" t="n"/>
      <c r="J197" s="55" t="inlineStr">
        <is>
          <t>Line 369</t>
        </is>
      </c>
      <c r="K197" s="36">
        <f>(_xlfn.XLOOKUP(MainClient,Clients!D:D,Clients!JLJ:JLJ,2,0,1))</f>
        <v/>
      </c>
      <c r="N197" s="35" t="n"/>
      <c r="O197" s="34" t="n"/>
      <c r="P197" s="35" t="n"/>
    </row>
    <row r="198" ht="15.75" customHeight="1" thickBot="1">
      <c r="B198" s="55" t="inlineStr">
        <is>
          <t>Line 313</t>
        </is>
      </c>
      <c r="C198" s="36">
        <f>(_xlfn.XLOOKUP(ClientNumber,Clients!D:D,Clients!IJV:IJV,2,0,1))</f>
        <v/>
      </c>
      <c r="F198" s="35" t="n"/>
      <c r="G198" s="34" t="n"/>
      <c r="H198" s="35">
        <f>IF(E203&gt;0,E181-G181,0)</f>
        <v/>
      </c>
      <c r="J198" s="55" t="inlineStr">
        <is>
          <t>Line 313</t>
        </is>
      </c>
      <c r="K198" s="36">
        <f>(_xlfn.XLOOKUP(MainClient,Clients!D:D,Clients!JJX:JJX,2,0,1))</f>
        <v/>
      </c>
      <c r="N198" s="35" t="n"/>
      <c r="O198" s="34" t="n"/>
      <c r="P198" s="35">
        <f>IF(M203&gt;0,M181-O181,0)</f>
        <v/>
      </c>
    </row>
    <row r="199" ht="15.75" customHeight="1" thickBot="1">
      <c r="B199" s="55" t="inlineStr">
        <is>
          <t>Line 323</t>
        </is>
      </c>
      <c r="C199" s="36">
        <f>(_xlfn.XLOOKUP(ClientNumber,Clients!D:D,Clients!IKC:IKC,2,0,1))</f>
        <v/>
      </c>
      <c r="F199" s="35" t="n"/>
      <c r="H199" s="52">
        <f>IF(TransferName="NONE",F204,IF(H198&gt;0,(E203-G181)*0.15,0))</f>
        <v/>
      </c>
      <c r="J199" s="55" t="inlineStr">
        <is>
          <t>Line 323</t>
        </is>
      </c>
      <c r="K199" s="36">
        <f>(_xlfn.XLOOKUP(MainClient,Clients!D:D,Clients!JKE:JKE,2,0,1))</f>
        <v/>
      </c>
      <c r="N199" s="35" t="n"/>
      <c r="P199" s="52">
        <f>IF(TransferName="NONE",N204,IF(P198&gt;0,(M203-O181)*0.15,0))</f>
        <v/>
      </c>
    </row>
    <row r="200">
      <c r="B200" s="667" t="n"/>
      <c r="F200" s="35" t="n"/>
      <c r="G200" s="34" t="inlineStr">
        <is>
          <t>Transferable</t>
        </is>
      </c>
      <c r="H200" s="52">
        <f>IF(H199&gt;0,H199,0)</f>
        <v/>
      </c>
      <c r="J200" s="667" t="n"/>
      <c r="N200" s="35" t="n"/>
      <c r="O200" s="34" t="inlineStr">
        <is>
          <t>Transferable</t>
        </is>
      </c>
      <c r="P200" s="52">
        <f>IF(P199&gt;0,P199,0)</f>
        <v/>
      </c>
    </row>
    <row r="201">
      <c r="B201" s="667" t="inlineStr">
        <is>
          <t>Adjusted Taxable Income</t>
        </is>
      </c>
      <c r="C201">
        <f>C182-(SUM(C184:C199))</f>
        <v/>
      </c>
      <c r="D201" s="13" t="inlineStr">
        <is>
          <t>Line 351</t>
        </is>
      </c>
      <c r="E201" s="39">
        <f>IF(C201&gt;0,C201,0)</f>
        <v/>
      </c>
      <c r="F201" s="35" t="n"/>
      <c r="G201" s="34" t="n"/>
      <c r="H201" s="35" t="n"/>
      <c r="J201" s="667" t="inlineStr">
        <is>
          <t>Adjusted Taxable Income</t>
        </is>
      </c>
      <c r="K201">
        <f>K182-(SUM(K184:K199))</f>
        <v/>
      </c>
      <c r="L201" s="13" t="inlineStr">
        <is>
          <t>Line 351</t>
        </is>
      </c>
      <c r="M201" s="39">
        <f>IF(K201&gt;0,K201,0)</f>
        <v/>
      </c>
      <c r="N201" s="35" t="n"/>
      <c r="O201" s="34" t="n"/>
      <c r="P201" s="35" t="n"/>
    </row>
    <row r="202" ht="15.75" customHeight="1" thickBot="1">
      <c r="B202" s="34" t="n"/>
      <c r="F202" s="35" t="n"/>
      <c r="G202" s="34" t="n"/>
      <c r="H202" s="35" t="n"/>
      <c r="J202" s="34" t="n"/>
      <c r="N202" s="35" t="n"/>
      <c r="O202" s="34" t="n"/>
      <c r="P202" s="35" t="n"/>
    </row>
    <row r="203" ht="15.75" customHeight="1" thickBot="1">
      <c r="B203" s="34" t="n"/>
      <c r="D203" s="21" t="inlineStr">
        <is>
          <t>Fed Trans</t>
        </is>
      </c>
      <c r="E203" s="36">
        <f>(E181-E201)</f>
        <v/>
      </c>
      <c r="F203" s="40" t="n"/>
      <c r="G203" s="34" t="n"/>
      <c r="H203" s="52" t="n"/>
      <c r="J203" s="34" t="n"/>
      <c r="L203" s="21" t="inlineStr">
        <is>
          <t>Fed Trans</t>
        </is>
      </c>
      <c r="M203" s="36">
        <f>(M181-M201)</f>
        <v/>
      </c>
      <c r="N203" s="40" t="n"/>
      <c r="O203" s="34" t="n"/>
      <c r="P203" s="52" t="n"/>
    </row>
    <row r="204" ht="15.75" customHeight="1" thickBot="1">
      <c r="B204" s="34" t="n"/>
      <c r="C204" s="579" t="inlineStr">
        <is>
          <t>DTC Transferable ESTIMATE</t>
        </is>
      </c>
      <c r="D204" s="35" t="n"/>
      <c r="E204" s="36">
        <f>IF(E203&lt;0,0,(IF(E203&gt;E179,E179,E203)))</f>
        <v/>
      </c>
      <c r="F204" s="40">
        <f>IF(E204&gt;0,E204*0.15,"No Transfer Required")</f>
        <v/>
      </c>
      <c r="G204" s="58" t="n"/>
      <c r="H204" s="52" t="n"/>
      <c r="J204" s="34" t="n"/>
      <c r="K204" s="579" t="inlineStr">
        <is>
          <t>DTC Transferable ESTIMATE</t>
        </is>
      </c>
      <c r="L204" s="35" t="n"/>
      <c r="M204" s="36">
        <f>IF(M203&lt;0,0,(IF(M203&gt;M179,M179,M203)))</f>
        <v/>
      </c>
      <c r="N204" s="40">
        <f>IF(M204&gt;0,M204*0.15,"No Transfer Required")</f>
        <v/>
      </c>
      <c r="O204" s="58" t="n"/>
      <c r="P204" s="52" t="n"/>
    </row>
    <row r="205" ht="15.75" customHeight="1" thickBot="1">
      <c r="B205" s="42" t="n"/>
      <c r="C205" s="41" t="n"/>
      <c r="D205" s="43" t="inlineStr">
        <is>
          <t>Net Transferable</t>
        </is>
      </c>
      <c r="E205" s="36">
        <f>IF(E203&lt;0,0,(IF(E203-G176-G177-G178-G180&lt;0,E203,(E203-G176-G177-G178-G180))))</f>
        <v/>
      </c>
      <c r="F205" s="57">
        <f>IF(E205&gt;0,E205*0.15,"0")</f>
        <v/>
      </c>
      <c r="G205" s="59" t="n"/>
      <c r="H205" s="864" t="n"/>
      <c r="J205" s="42" t="n"/>
      <c r="K205" s="41" t="n"/>
      <c r="L205" s="43" t="inlineStr">
        <is>
          <t>Net Transferable</t>
        </is>
      </c>
      <c r="M205" s="36">
        <f>IF(M203&lt;0,0,(IF(M203-O176-O177-O178-O180&lt;0,M203,(M203-O176-O177-O178-O180))))</f>
        <v/>
      </c>
      <c r="N205" s="57">
        <f>IF(M205&gt;0,M205*0.15,"0")</f>
        <v/>
      </c>
      <c r="O205" s="59" t="n"/>
      <c r="P205" s="864" t="n"/>
    </row>
    <row r="206">
      <c r="D206" s="60" t="n"/>
      <c r="F206" s="61" t="n"/>
      <c r="G206" s="449" t="n"/>
      <c r="H206" s="866" t="n"/>
      <c r="L206" s="60" t="n"/>
      <c r="N206" s="866" t="n"/>
      <c r="O206" s="64" t="n"/>
      <c r="P206" s="866" t="n"/>
    </row>
    <row r="207">
      <c r="C207" s="154" t="n"/>
      <c r="D207" s="154" t="n"/>
      <c r="E207" s="154" t="n"/>
      <c r="F207" s="154" t="n"/>
      <c r="G207" s="154" t="n"/>
      <c r="H207" s="866" t="n"/>
      <c r="L207" s="60" t="n"/>
      <c r="N207" s="866" t="n"/>
      <c r="O207" s="64" t="n"/>
      <c r="P207" s="866" t="n"/>
    </row>
    <row r="210">
      <c r="J210" s="154" t="n"/>
    </row>
    <row r="211">
      <c r="J211" s="154" t="n"/>
    </row>
    <row r="212">
      <c r="J212" s="154" t="n"/>
    </row>
    <row r="213">
      <c r="J213" s="154" t="n"/>
    </row>
    <row r="214">
      <c r="J214" s="154" t="n"/>
    </row>
  </sheetData>
  <mergeCells count="88">
    <mergeCell ref="J180:K180"/>
    <mergeCell ref="J141:K141"/>
    <mergeCell ref="K33:L33"/>
    <mergeCell ref="B141:C141"/>
    <mergeCell ref="J9:K9"/>
    <mergeCell ref="B77:C77"/>
    <mergeCell ref="J71:P71"/>
    <mergeCell ref="B3:H3"/>
    <mergeCell ref="J108:K108"/>
    <mergeCell ref="K67:L67"/>
    <mergeCell ref="G33:G34"/>
    <mergeCell ref="B178:C178"/>
    <mergeCell ref="B40:C40"/>
    <mergeCell ref="B177:C177"/>
    <mergeCell ref="C67:D67"/>
    <mergeCell ref="K101:L101"/>
    <mergeCell ref="B41:C41"/>
    <mergeCell ref="B37:H37"/>
    <mergeCell ref="J110:K110"/>
    <mergeCell ref="B174:H174"/>
    <mergeCell ref="G101:G102"/>
    <mergeCell ref="J73:K73"/>
    <mergeCell ref="J3:P3"/>
    <mergeCell ref="B180:C180"/>
    <mergeCell ref="K135:L135"/>
    <mergeCell ref="J77:K77"/>
    <mergeCell ref="B179:C179"/>
    <mergeCell ref="B71:H71"/>
    <mergeCell ref="B105:H105"/>
    <mergeCell ref="J75:K75"/>
    <mergeCell ref="B6:C6"/>
    <mergeCell ref="B142:C142"/>
    <mergeCell ref="J177:K177"/>
    <mergeCell ref="J145:K145"/>
    <mergeCell ref="B144:C144"/>
    <mergeCell ref="J174:P174"/>
    <mergeCell ref="G67:G68"/>
    <mergeCell ref="J111:K111"/>
    <mergeCell ref="B7:C7"/>
    <mergeCell ref="B176:C176"/>
    <mergeCell ref="J40:K40"/>
    <mergeCell ref="B43:C43"/>
    <mergeCell ref="K169:L169"/>
    <mergeCell ref="B42:C42"/>
    <mergeCell ref="B107:C107"/>
    <mergeCell ref="J74:K74"/>
    <mergeCell ref="J179:K179"/>
    <mergeCell ref="J37:P37"/>
    <mergeCell ref="B108:C108"/>
    <mergeCell ref="B9:C9"/>
    <mergeCell ref="J143:K143"/>
    <mergeCell ref="B143:C143"/>
    <mergeCell ref="B5:C5"/>
    <mergeCell ref="B76:C76"/>
    <mergeCell ref="J142:K142"/>
    <mergeCell ref="J42:K42"/>
    <mergeCell ref="B75:C75"/>
    <mergeCell ref="J39:K39"/>
    <mergeCell ref="C101:D101"/>
    <mergeCell ref="B109:C109"/>
    <mergeCell ref="J144:K144"/>
    <mergeCell ref="J5:K5"/>
    <mergeCell ref="C204:D204"/>
    <mergeCell ref="C33:D33"/>
    <mergeCell ref="J139:P139"/>
    <mergeCell ref="J105:P105"/>
    <mergeCell ref="B139:H139"/>
    <mergeCell ref="B39:C39"/>
    <mergeCell ref="J176:K176"/>
    <mergeCell ref="J6:K6"/>
    <mergeCell ref="B111:C111"/>
    <mergeCell ref="B145:C145"/>
    <mergeCell ref="J107:K107"/>
    <mergeCell ref="J178:K178"/>
    <mergeCell ref="B8:C8"/>
    <mergeCell ref="B73:C73"/>
    <mergeCell ref="K204:L204"/>
    <mergeCell ref="J7:K7"/>
    <mergeCell ref="G135:G136"/>
    <mergeCell ref="C169:D169"/>
    <mergeCell ref="J41:K41"/>
    <mergeCell ref="J109:K109"/>
    <mergeCell ref="C135:D135"/>
    <mergeCell ref="B74:C74"/>
    <mergeCell ref="J43:K43"/>
    <mergeCell ref="J76:K76"/>
    <mergeCell ref="B110:C110"/>
    <mergeCell ref="J8:K8"/>
  </mergeCells>
  <pageMargins left="0.7" right="0.7" top="0.75" bottom="0.75" header="0.3" footer="0.3"/>
  <pageSetup orientation="portrait" verticalDpi="597"/>
</worksheet>
</file>

<file path=xl/worksheets/sheet9.xml><?xml version="1.0" encoding="utf-8"?>
<worksheet xmlns="http://schemas.openxmlformats.org/spreadsheetml/2006/main">
  <sheetPr codeName="Sheet5">
    <outlinePr summaryBelow="1" summaryRight="1"/>
    <pageSetUpPr/>
  </sheetPr>
  <dimension ref="A2:I134"/>
  <sheetViews>
    <sheetView workbookViewId="0">
      <selection activeCell="B11" sqref="B11"/>
    </sheetView>
  </sheetViews>
  <sheetFormatPr baseColWidth="8" defaultRowHeight="15"/>
  <cols>
    <col width="13.7109375" bestFit="1" customWidth="1" min="1" max="1"/>
    <col width="10.140625" bestFit="1" customWidth="1" style="61" min="2" max="2"/>
    <col width="24.85546875" bestFit="1" customWidth="1" min="9" max="9"/>
  </cols>
  <sheetData>
    <row r="2">
      <c r="A2" s="21" t="inlineStr">
        <is>
          <t>Year_Province</t>
        </is>
      </c>
      <c r="B2" s="78" t="inlineStr">
        <is>
          <t>Prov Trans</t>
        </is>
      </c>
      <c r="C2" s="2" t="n"/>
    </row>
    <row r="3">
      <c r="A3" s="2" t="inlineStr">
        <is>
          <t>2023_NL</t>
        </is>
      </c>
      <c r="B3" s="61">
        <f>'NL Transfer S2'!P29</f>
        <v/>
      </c>
      <c r="C3" s="2" t="n"/>
    </row>
    <row r="4">
      <c r="A4" s="2" t="inlineStr">
        <is>
          <t>2023_PE</t>
        </is>
      </c>
      <c r="B4" s="61">
        <f>'PE Transfer S2'!P29</f>
        <v/>
      </c>
      <c r="C4" s="2" t="n"/>
    </row>
    <row r="5">
      <c r="A5" s="2" t="inlineStr">
        <is>
          <t>2023_NS</t>
        </is>
      </c>
      <c r="B5" s="61">
        <f>'NS Transfer S2'!P29</f>
        <v/>
      </c>
      <c r="C5" s="2" t="n"/>
      <c r="I5" s="2" t="n"/>
    </row>
    <row r="6">
      <c r="A6" s="2" t="inlineStr">
        <is>
          <t>2023_NB</t>
        </is>
      </c>
      <c r="B6" s="61">
        <f>'NB Transfer S2'!P29</f>
        <v/>
      </c>
      <c r="C6" s="2" t="n"/>
      <c r="I6" s="2" t="n"/>
    </row>
    <row r="7">
      <c r="A7" s="2" t="inlineStr">
        <is>
          <t>2023_ON</t>
        </is>
      </c>
      <c r="B7" s="61">
        <f>'ON Transfer S2'!P29</f>
        <v/>
      </c>
      <c r="C7" s="2" t="n"/>
      <c r="I7" s="2" t="n"/>
    </row>
    <row r="8">
      <c r="A8" s="2" t="inlineStr">
        <is>
          <t>2023_MB</t>
        </is>
      </c>
      <c r="B8" s="61">
        <f>'MB Transfer S2'!P29</f>
        <v/>
      </c>
      <c r="C8" s="2" t="n"/>
      <c r="I8" s="2" t="n"/>
    </row>
    <row r="9">
      <c r="A9" s="2" t="inlineStr">
        <is>
          <t>2023_SK</t>
        </is>
      </c>
      <c r="B9" s="61">
        <f>'SK Transfer S2'!P29</f>
        <v/>
      </c>
      <c r="C9" s="2" t="n"/>
      <c r="I9" s="2" t="n"/>
    </row>
    <row r="10">
      <c r="A10" s="2" t="inlineStr">
        <is>
          <t>2023_AB</t>
        </is>
      </c>
      <c r="B10" s="61">
        <f>'AB Transfer S2'!P29</f>
        <v/>
      </c>
      <c r="C10" s="2" t="n"/>
      <c r="I10" s="2" t="n"/>
    </row>
    <row r="11">
      <c r="A11" s="2" t="inlineStr">
        <is>
          <t>2023_BC</t>
        </is>
      </c>
      <c r="B11" s="61">
        <f>'BC Transfer S2'!P29</f>
        <v/>
      </c>
      <c r="C11" s="2" t="n"/>
      <c r="I11" s="2" t="n"/>
    </row>
    <row r="12">
      <c r="A12" s="2" t="inlineStr">
        <is>
          <t>2023_YT</t>
        </is>
      </c>
      <c r="B12" s="61">
        <f>'YT Transfer S2'!P29</f>
        <v/>
      </c>
      <c r="C12" s="2" t="n"/>
      <c r="I12" s="2" t="n"/>
    </row>
    <row r="13">
      <c r="A13" s="2" t="inlineStr">
        <is>
          <t>2023_NT</t>
        </is>
      </c>
      <c r="B13" s="61">
        <f>'NT Transfer S2'!P29</f>
        <v/>
      </c>
      <c r="C13" s="2" t="n"/>
      <c r="I13" s="2" t="n"/>
    </row>
    <row r="14">
      <c r="A14" s="2" t="inlineStr">
        <is>
          <t>2023_NU</t>
        </is>
      </c>
      <c r="B14" s="61">
        <f>'NU Transfer S2'!P64</f>
        <v/>
      </c>
      <c r="C14" s="2" t="n"/>
      <c r="I14" s="2" t="n"/>
    </row>
    <row r="15">
      <c r="A15" s="2" t="inlineStr">
        <is>
          <t>2022_NL</t>
        </is>
      </c>
      <c r="B15" s="61">
        <f>'NL Transfer S2'!H64</f>
        <v/>
      </c>
      <c r="C15" s="2" t="n"/>
      <c r="E15" s="2" t="n"/>
    </row>
    <row r="16">
      <c r="A16" s="2" t="inlineStr">
        <is>
          <t>2022_PE</t>
        </is>
      </c>
      <c r="B16" s="61">
        <f>'PE Transfer S2'!H64</f>
        <v/>
      </c>
      <c r="C16" s="2" t="n"/>
      <c r="E16" s="2" t="n"/>
    </row>
    <row r="17">
      <c r="A17" s="2" t="inlineStr">
        <is>
          <t>2022_NS</t>
        </is>
      </c>
      <c r="B17" s="61">
        <f>'NS Transfer S2'!H64</f>
        <v/>
      </c>
      <c r="C17" s="2" t="n"/>
      <c r="E17" s="2" t="n"/>
    </row>
    <row r="18">
      <c r="A18" s="2" t="inlineStr">
        <is>
          <t>2022_NB</t>
        </is>
      </c>
      <c r="B18" s="61">
        <f>'NB Transfer S2'!H64</f>
        <v/>
      </c>
      <c r="C18" s="2" t="n"/>
      <c r="E18" s="2" t="n"/>
    </row>
    <row r="19">
      <c r="A19" s="2" t="inlineStr">
        <is>
          <t>2022_ON</t>
        </is>
      </c>
      <c r="B19" s="61">
        <f>'ON Transfer S2'!H64</f>
        <v/>
      </c>
      <c r="C19" s="2" t="n"/>
      <c r="E19" s="2" t="n"/>
    </row>
    <row r="20">
      <c r="A20" s="2" t="inlineStr">
        <is>
          <t>2022_MB</t>
        </is>
      </c>
      <c r="B20" s="61">
        <f>'MB Transfer S2'!H64</f>
        <v/>
      </c>
      <c r="C20" s="2" t="n"/>
      <c r="E20" s="2" t="n"/>
    </row>
    <row r="21">
      <c r="A21" s="2" t="inlineStr">
        <is>
          <t>2022_SK</t>
        </is>
      </c>
      <c r="B21" s="61">
        <f>'SK Transfer S2'!H64</f>
        <v/>
      </c>
      <c r="C21" s="2" t="n"/>
      <c r="E21" s="2" t="n"/>
    </row>
    <row r="22">
      <c r="A22" s="2" t="inlineStr">
        <is>
          <t>2022_AB</t>
        </is>
      </c>
      <c r="B22" s="61">
        <f>'AB Transfer S2'!H64</f>
        <v/>
      </c>
      <c r="C22" s="2" t="n"/>
      <c r="E22" s="2" t="n"/>
    </row>
    <row r="23">
      <c r="A23" s="2" t="inlineStr">
        <is>
          <t>2022_BC</t>
        </is>
      </c>
      <c r="B23" s="61">
        <f>'BC Transfer S2'!H64</f>
        <v/>
      </c>
      <c r="C23" s="2" t="n"/>
      <c r="E23" s="2" t="n"/>
    </row>
    <row r="24">
      <c r="A24" s="2" t="inlineStr">
        <is>
          <t>2022_YT</t>
        </is>
      </c>
      <c r="B24" s="61">
        <f>'YT Transfer S2'!H64</f>
        <v/>
      </c>
      <c r="C24" s="2" t="n"/>
      <c r="E24" s="2" t="n"/>
    </row>
    <row r="25">
      <c r="A25" s="2" t="inlineStr">
        <is>
          <t>2022_NT</t>
        </is>
      </c>
      <c r="B25" s="61">
        <f>'NT Transfer S2'!H64</f>
        <v/>
      </c>
      <c r="C25" s="2" t="n"/>
      <c r="E25" s="2" t="n"/>
    </row>
    <row r="26">
      <c r="A26" s="2" t="inlineStr">
        <is>
          <t>2022_NU</t>
        </is>
      </c>
      <c r="B26" s="61">
        <f>'NU Transfer S2'!P52</f>
        <v/>
      </c>
      <c r="C26" s="2" t="n"/>
      <c r="E26" s="2" t="n"/>
    </row>
    <row r="27">
      <c r="A27" s="2" t="inlineStr">
        <is>
          <t>2021_NL</t>
        </is>
      </c>
      <c r="B27" s="61">
        <f>'NL Transfer S2'!P64</f>
        <v/>
      </c>
      <c r="C27" s="2" t="n"/>
      <c r="E27" s="2" t="n"/>
    </row>
    <row r="28">
      <c r="A28" s="2" t="inlineStr">
        <is>
          <t>2021_PE</t>
        </is>
      </c>
      <c r="B28" s="61">
        <f>'PE Transfer S2'!P64</f>
        <v/>
      </c>
      <c r="C28" s="2" t="n"/>
    </row>
    <row r="29">
      <c r="A29" s="2" t="inlineStr">
        <is>
          <t>2021_NS</t>
        </is>
      </c>
      <c r="B29" s="61">
        <f>'NS Transfer S2'!P64</f>
        <v/>
      </c>
      <c r="C29" s="2" t="n"/>
    </row>
    <row r="30">
      <c r="A30" s="2" t="inlineStr">
        <is>
          <t>2021_NB</t>
        </is>
      </c>
      <c r="B30" s="61">
        <f>'NB Transfer S2'!P64</f>
        <v/>
      </c>
      <c r="C30" s="2" t="n"/>
    </row>
    <row r="31">
      <c r="A31" s="2" t="inlineStr">
        <is>
          <t>2021_ON</t>
        </is>
      </c>
      <c r="B31" s="61">
        <f>'ON Transfer S2'!P64</f>
        <v/>
      </c>
      <c r="C31" s="2" t="n"/>
    </row>
    <row r="32">
      <c r="A32" s="2" t="inlineStr">
        <is>
          <t>2021_MB</t>
        </is>
      </c>
      <c r="B32" s="61">
        <f>'MB Transfer S2'!P64</f>
        <v/>
      </c>
      <c r="C32" s="2" t="n"/>
    </row>
    <row r="33">
      <c r="A33" s="2" t="inlineStr">
        <is>
          <t>2021_SK</t>
        </is>
      </c>
      <c r="B33" s="61">
        <f>'SK Transfer S2'!P64</f>
        <v/>
      </c>
      <c r="C33" s="2" t="n"/>
    </row>
    <row r="34">
      <c r="A34" s="2" t="inlineStr">
        <is>
          <t>2021_AB</t>
        </is>
      </c>
      <c r="B34" s="61">
        <f>'AB Transfer S2'!P64</f>
        <v/>
      </c>
      <c r="C34" s="2" t="n"/>
    </row>
    <row r="35">
      <c r="A35" s="2" t="inlineStr">
        <is>
          <t>2021_BC</t>
        </is>
      </c>
      <c r="B35" s="61">
        <f>'BC Transfer S2'!P64</f>
        <v/>
      </c>
      <c r="C35" s="2" t="n"/>
    </row>
    <row r="36">
      <c r="A36" s="2" t="inlineStr">
        <is>
          <t>2021_YT</t>
        </is>
      </c>
      <c r="B36" s="61">
        <f>'YT Transfer S2'!P64</f>
        <v/>
      </c>
      <c r="C36" s="2" t="n"/>
    </row>
    <row r="37">
      <c r="A37" s="2" t="inlineStr">
        <is>
          <t>2021_NT</t>
        </is>
      </c>
      <c r="B37" s="61">
        <f>'NT Transfer S2'!P64</f>
        <v/>
      </c>
      <c r="C37" s="2" t="n"/>
    </row>
    <row r="38">
      <c r="A38" s="2" t="inlineStr">
        <is>
          <t>2021_NU</t>
        </is>
      </c>
      <c r="B38" s="61">
        <f>'NU Transfer S2'!P64</f>
        <v/>
      </c>
      <c r="C38" s="2" t="n"/>
    </row>
    <row r="39">
      <c r="A39" s="2" t="inlineStr">
        <is>
          <t>2020_NL</t>
        </is>
      </c>
      <c r="B39" s="61">
        <f>'NL Transfer S2'!H99</f>
        <v/>
      </c>
      <c r="C39" s="2" t="n"/>
    </row>
    <row r="40">
      <c r="A40" s="2" t="inlineStr">
        <is>
          <t>2020_PE</t>
        </is>
      </c>
      <c r="B40" s="61">
        <f>'PE Transfer S2'!H99</f>
        <v/>
      </c>
      <c r="C40" s="2" t="n"/>
    </row>
    <row r="41">
      <c r="A41" s="2" t="inlineStr">
        <is>
          <t>2020_NS</t>
        </is>
      </c>
      <c r="B41" s="61">
        <f>'NS Transfer S2'!H99</f>
        <v/>
      </c>
      <c r="C41" s="2" t="n"/>
    </row>
    <row r="42">
      <c r="A42" s="2" t="inlineStr">
        <is>
          <t>2020_NB</t>
        </is>
      </c>
      <c r="B42" s="61">
        <f>'NB Transfer S2'!H99</f>
        <v/>
      </c>
      <c r="C42" s="2" t="n"/>
    </row>
    <row r="43">
      <c r="A43" s="2" t="inlineStr">
        <is>
          <t>2020_ON</t>
        </is>
      </c>
      <c r="B43" s="61">
        <f>'ON Transfer S2'!H99</f>
        <v/>
      </c>
      <c r="C43" s="2" t="n"/>
    </row>
    <row r="44">
      <c r="A44" s="2" t="inlineStr">
        <is>
          <t>2020_MB</t>
        </is>
      </c>
      <c r="B44" s="61">
        <f>'MB Transfer S2'!H99</f>
        <v/>
      </c>
      <c r="C44" s="2" t="n"/>
    </row>
    <row r="45">
      <c r="A45" s="2" t="inlineStr">
        <is>
          <t>2020_SK</t>
        </is>
      </c>
      <c r="B45" s="61">
        <f>'SK Transfer S2'!H99</f>
        <v/>
      </c>
      <c r="C45" s="2" t="n"/>
    </row>
    <row r="46">
      <c r="A46" s="2" t="inlineStr">
        <is>
          <t>2020_AB</t>
        </is>
      </c>
      <c r="B46" s="61">
        <f>'AB Transfer S2'!H99</f>
        <v/>
      </c>
      <c r="C46" s="2" t="n"/>
    </row>
    <row r="47">
      <c r="A47" s="2" t="inlineStr">
        <is>
          <t>2020_BC</t>
        </is>
      </c>
      <c r="B47" s="61">
        <f>'BC Transfer S2'!H99</f>
        <v/>
      </c>
      <c r="C47" s="2" t="n"/>
    </row>
    <row r="48">
      <c r="A48" s="2" t="inlineStr">
        <is>
          <t>2020_YT</t>
        </is>
      </c>
      <c r="B48" s="61">
        <f>'YT Transfer S2'!H99</f>
        <v/>
      </c>
      <c r="C48" s="2" t="n"/>
    </row>
    <row r="49">
      <c r="A49" s="2" t="inlineStr">
        <is>
          <t>2020_NT</t>
        </is>
      </c>
      <c r="B49" s="61">
        <f>'NT Transfer S2'!H99</f>
        <v/>
      </c>
      <c r="C49" s="2" t="n"/>
    </row>
    <row r="50">
      <c r="A50" s="2" t="inlineStr">
        <is>
          <t>2020_NU</t>
        </is>
      </c>
      <c r="B50" s="61">
        <f>'NU Transfer S2'!H99</f>
        <v/>
      </c>
      <c r="C50" s="2" t="n"/>
    </row>
    <row r="51">
      <c r="A51" s="2" t="inlineStr">
        <is>
          <t>2019_NL</t>
        </is>
      </c>
      <c r="B51" s="75">
        <f>'NL Transfer S2'!P99</f>
        <v/>
      </c>
    </row>
    <row r="52">
      <c r="A52" s="2" t="inlineStr">
        <is>
          <t>2019_PE</t>
        </is>
      </c>
      <c r="B52" s="75">
        <f>'PE Transfer S2'!P99</f>
        <v/>
      </c>
    </row>
    <row r="53">
      <c r="A53" s="2" t="inlineStr">
        <is>
          <t>2019_NS</t>
        </is>
      </c>
      <c r="B53" s="75">
        <f>'NS Transfer S2'!P99</f>
        <v/>
      </c>
    </row>
    <row r="54">
      <c r="A54" s="2" t="inlineStr">
        <is>
          <t>2019_NB</t>
        </is>
      </c>
      <c r="B54" s="75">
        <f>'NB Transfer S2'!P99</f>
        <v/>
      </c>
    </row>
    <row r="55">
      <c r="A55" s="2" t="inlineStr">
        <is>
          <t>2019_ON</t>
        </is>
      </c>
      <c r="B55" s="75">
        <f>'ON Transfer S2'!P99</f>
        <v/>
      </c>
    </row>
    <row r="56">
      <c r="A56" s="2" t="inlineStr">
        <is>
          <t>2019_MB</t>
        </is>
      </c>
      <c r="B56" s="75">
        <f>'MB Transfer S2'!P99</f>
        <v/>
      </c>
    </row>
    <row r="57">
      <c r="A57" s="2" t="inlineStr">
        <is>
          <t>2019_SK</t>
        </is>
      </c>
      <c r="B57" s="75">
        <f>'SK Transfer S2'!P99</f>
        <v/>
      </c>
    </row>
    <row r="58">
      <c r="A58" s="2" t="inlineStr">
        <is>
          <t>2019_AB</t>
        </is>
      </c>
      <c r="B58" s="75">
        <f>'AB Transfer S2'!P99</f>
        <v/>
      </c>
    </row>
    <row r="59">
      <c r="A59" s="2" t="inlineStr">
        <is>
          <t>2019_BC</t>
        </is>
      </c>
      <c r="B59" s="75">
        <f>'BC Transfer S2'!P99</f>
        <v/>
      </c>
    </row>
    <row r="60">
      <c r="A60" s="2" t="inlineStr">
        <is>
          <t>2019_YT</t>
        </is>
      </c>
      <c r="B60" s="75">
        <f>'YT Transfer S2'!P99</f>
        <v/>
      </c>
    </row>
    <row r="61">
      <c r="A61" s="2" t="inlineStr">
        <is>
          <t>2019_NT</t>
        </is>
      </c>
      <c r="B61" s="75">
        <f>'NT Transfer S2'!P99</f>
        <v/>
      </c>
    </row>
    <row r="62">
      <c r="A62" s="2" t="inlineStr">
        <is>
          <t>2019_NU</t>
        </is>
      </c>
      <c r="B62" s="75">
        <f>'NU Transfer S2'!P99</f>
        <v/>
      </c>
    </row>
    <row r="63">
      <c r="A63" s="2" t="inlineStr">
        <is>
          <t>2018_NL</t>
        </is>
      </c>
      <c r="B63" s="75">
        <f>'NL Transfer S2'!H134</f>
        <v/>
      </c>
    </row>
    <row r="64">
      <c r="A64" s="2" t="inlineStr">
        <is>
          <t>2018_PE</t>
        </is>
      </c>
      <c r="B64" s="75">
        <f>'PE Transfer S2'!H134</f>
        <v/>
      </c>
    </row>
    <row r="65">
      <c r="A65" s="2" t="inlineStr">
        <is>
          <t>2018_NS</t>
        </is>
      </c>
      <c r="B65" s="75">
        <f>'NS Transfer S2'!H134</f>
        <v/>
      </c>
    </row>
    <row r="66">
      <c r="A66" s="2" t="inlineStr">
        <is>
          <t>2018_NB</t>
        </is>
      </c>
      <c r="B66" s="75">
        <f>'NB Transfer S2'!H134</f>
        <v/>
      </c>
    </row>
    <row r="67">
      <c r="A67" s="2" t="inlineStr">
        <is>
          <t>2018_ON</t>
        </is>
      </c>
      <c r="B67" s="75">
        <f>'ON Transfer S2'!H134</f>
        <v/>
      </c>
    </row>
    <row r="68">
      <c r="A68" s="2" t="inlineStr">
        <is>
          <t>2018_MB</t>
        </is>
      </c>
      <c r="B68" s="75">
        <f>'MB Transfer S2'!H134</f>
        <v/>
      </c>
    </row>
    <row r="69">
      <c r="A69" s="2" t="inlineStr">
        <is>
          <t>2018_SK</t>
        </is>
      </c>
      <c r="B69" s="75">
        <f>'SK Transfer S2'!H134</f>
        <v/>
      </c>
    </row>
    <row r="70">
      <c r="A70" s="2" t="inlineStr">
        <is>
          <t>2018_AB</t>
        </is>
      </c>
      <c r="B70" s="75">
        <f>'AB Transfer S2'!H134</f>
        <v/>
      </c>
    </row>
    <row r="71">
      <c r="A71" s="2" t="inlineStr">
        <is>
          <t>2018_BC</t>
        </is>
      </c>
      <c r="B71" s="75">
        <f>'BC Transfer S2'!H134</f>
        <v/>
      </c>
    </row>
    <row r="72">
      <c r="A72" s="2" t="inlineStr">
        <is>
          <t>2018_YT</t>
        </is>
      </c>
      <c r="B72" s="75">
        <f>'YT Transfer S2'!H134</f>
        <v/>
      </c>
    </row>
    <row r="73">
      <c r="A73" s="2" t="inlineStr">
        <is>
          <t>2018_NT</t>
        </is>
      </c>
      <c r="B73" s="75">
        <f>'NT Transfer S2'!H134</f>
        <v/>
      </c>
    </row>
    <row r="74">
      <c r="A74" s="2" t="inlineStr">
        <is>
          <t>2018_NU</t>
        </is>
      </c>
      <c r="B74" s="75">
        <f>'NU Transfer S2'!H134</f>
        <v/>
      </c>
    </row>
    <row r="75">
      <c r="A75" s="2" t="inlineStr">
        <is>
          <t>2017_NL</t>
        </is>
      </c>
      <c r="B75" s="75">
        <f>'NL Transfer S2'!P134</f>
        <v/>
      </c>
    </row>
    <row r="76">
      <c r="A76" s="2" t="inlineStr">
        <is>
          <t>2017_PE</t>
        </is>
      </c>
      <c r="B76" s="75">
        <f>'PE Transfer S2'!P134</f>
        <v/>
      </c>
    </row>
    <row r="77">
      <c r="A77" s="2" t="inlineStr">
        <is>
          <t>2017_NS</t>
        </is>
      </c>
      <c r="B77" s="75">
        <f>'NS Transfer S2'!P134</f>
        <v/>
      </c>
    </row>
    <row r="78">
      <c r="A78" s="2" t="inlineStr">
        <is>
          <t>2017_NB</t>
        </is>
      </c>
      <c r="B78" s="75">
        <f>'NB Transfer S2'!P134</f>
        <v/>
      </c>
    </row>
    <row r="79">
      <c r="A79" s="2" t="inlineStr">
        <is>
          <t>2017_ON</t>
        </is>
      </c>
      <c r="B79" s="75">
        <f>'ON Transfer S2'!P134</f>
        <v/>
      </c>
    </row>
    <row r="80">
      <c r="A80" s="2" t="inlineStr">
        <is>
          <t>2017_MB</t>
        </is>
      </c>
      <c r="B80" s="75">
        <f>'MB Transfer S2'!P134</f>
        <v/>
      </c>
    </row>
    <row r="81">
      <c r="A81" s="2" t="inlineStr">
        <is>
          <t>2017_SK</t>
        </is>
      </c>
      <c r="B81" s="75">
        <f>'SK Transfer S2'!P134</f>
        <v/>
      </c>
    </row>
    <row r="82">
      <c r="A82" s="2" t="inlineStr">
        <is>
          <t>2017_AB</t>
        </is>
      </c>
      <c r="B82" s="75">
        <f>'AB Transfer S2'!P134</f>
        <v/>
      </c>
    </row>
    <row r="83">
      <c r="A83" s="2" t="inlineStr">
        <is>
          <t>2017_BC</t>
        </is>
      </c>
      <c r="B83" s="75">
        <f>'BC Transfer S2'!P134</f>
        <v/>
      </c>
    </row>
    <row r="84">
      <c r="A84" s="2" t="inlineStr">
        <is>
          <t>2017_YT</t>
        </is>
      </c>
      <c r="B84" s="75">
        <f>'YT Transfer S2'!P134</f>
        <v/>
      </c>
    </row>
    <row r="85">
      <c r="A85" s="2" t="inlineStr">
        <is>
          <t>2017_NT</t>
        </is>
      </c>
      <c r="B85" s="75">
        <f>'NT Transfer S2'!P134</f>
        <v/>
      </c>
    </row>
    <row r="86">
      <c r="A86" s="2" t="inlineStr">
        <is>
          <t>2017_NU</t>
        </is>
      </c>
      <c r="B86" s="75">
        <f>'NU Transfer S2'!P134</f>
        <v/>
      </c>
    </row>
    <row r="87">
      <c r="A87" s="2" t="inlineStr">
        <is>
          <t>2016_NL</t>
        </is>
      </c>
      <c r="B87" s="75">
        <f>'NL Transfer S2'!H168</f>
        <v/>
      </c>
    </row>
    <row r="88">
      <c r="A88" s="2" t="inlineStr">
        <is>
          <t>2016_PE</t>
        </is>
      </c>
      <c r="B88" s="75">
        <f>'PE Transfer S2'!H168</f>
        <v/>
      </c>
    </row>
    <row r="89">
      <c r="A89" s="2" t="inlineStr">
        <is>
          <t>2016_NS</t>
        </is>
      </c>
      <c r="B89" s="75">
        <f>'NS Transfer S2'!H168</f>
        <v/>
      </c>
    </row>
    <row r="90">
      <c r="A90" s="2" t="inlineStr">
        <is>
          <t>2016_NB</t>
        </is>
      </c>
      <c r="B90" s="75">
        <f>'NB Transfer S2'!H168</f>
        <v/>
      </c>
    </row>
    <row r="91">
      <c r="A91" s="2" t="inlineStr">
        <is>
          <t>2016_ON</t>
        </is>
      </c>
      <c r="B91" s="75">
        <f>'ON Transfer S2'!H168</f>
        <v/>
      </c>
    </row>
    <row r="92">
      <c r="A92" s="2" t="inlineStr">
        <is>
          <t>2016_MB</t>
        </is>
      </c>
      <c r="B92" s="75">
        <f>'MB Transfer S2'!H168</f>
        <v/>
      </c>
    </row>
    <row r="93">
      <c r="A93" s="2" t="inlineStr">
        <is>
          <t>2016_SK</t>
        </is>
      </c>
      <c r="B93" s="75">
        <f>'SK Transfer S2'!H170</f>
        <v/>
      </c>
    </row>
    <row r="94">
      <c r="A94" s="2" t="inlineStr">
        <is>
          <t>2016_AB</t>
        </is>
      </c>
      <c r="B94" s="75">
        <f>'AB Transfer S2'!H168</f>
        <v/>
      </c>
    </row>
    <row r="95">
      <c r="A95" s="2" t="inlineStr">
        <is>
          <t>2016_BC</t>
        </is>
      </c>
      <c r="B95" s="75">
        <f>'BC Transfer S2'!H168</f>
        <v/>
      </c>
    </row>
    <row r="96">
      <c r="A96" s="2" t="inlineStr">
        <is>
          <t>2016_YT</t>
        </is>
      </c>
      <c r="B96" s="75">
        <f>'YT Transfer S2'!H169</f>
        <v/>
      </c>
    </row>
    <row r="97">
      <c r="A97" s="2" t="inlineStr">
        <is>
          <t>2016_NT</t>
        </is>
      </c>
      <c r="B97" s="75">
        <f>'NT Transfer S2'!H168</f>
        <v/>
      </c>
    </row>
    <row r="98">
      <c r="A98" s="2" t="inlineStr">
        <is>
          <t>2016_NU</t>
        </is>
      </c>
      <c r="B98" s="75">
        <f>'NU Transfer S2'!H168</f>
        <v/>
      </c>
    </row>
    <row r="99">
      <c r="A99" s="2" t="inlineStr">
        <is>
          <t>2015_NL</t>
        </is>
      </c>
      <c r="B99" s="75">
        <f>'NL Transfer S2'!P168</f>
        <v/>
      </c>
    </row>
    <row r="100">
      <c r="A100" s="2" t="inlineStr">
        <is>
          <t>2015_PE</t>
        </is>
      </c>
      <c r="B100" s="75">
        <f>'PE Transfer S2'!P168</f>
        <v/>
      </c>
    </row>
    <row r="101">
      <c r="A101" s="2" t="inlineStr">
        <is>
          <t>2015_NS</t>
        </is>
      </c>
      <c r="B101" s="75">
        <f>'NS Transfer S2'!P168</f>
        <v/>
      </c>
    </row>
    <row r="102">
      <c r="A102" s="2" t="inlineStr">
        <is>
          <t>2015_NB</t>
        </is>
      </c>
      <c r="B102" s="75">
        <f>'NB Transfer S2'!P168</f>
        <v/>
      </c>
    </row>
    <row r="103">
      <c r="A103" s="2" t="inlineStr">
        <is>
          <t>2015_ON</t>
        </is>
      </c>
      <c r="B103" s="75">
        <f>'ON Transfer S2'!P168</f>
        <v/>
      </c>
    </row>
    <row r="104">
      <c r="A104" s="2" t="inlineStr">
        <is>
          <t>2015_MB</t>
        </is>
      </c>
      <c r="B104" s="75">
        <f>'MB Transfer S2'!P168</f>
        <v/>
      </c>
    </row>
    <row r="105">
      <c r="A105" s="2" t="inlineStr">
        <is>
          <t>2015_SK</t>
        </is>
      </c>
      <c r="B105" s="75">
        <f>'SK Transfer S2'!P170</f>
        <v/>
      </c>
    </row>
    <row r="106">
      <c r="A106" s="2" t="inlineStr">
        <is>
          <t>2015_AB</t>
        </is>
      </c>
      <c r="B106" s="75">
        <f>'AB Transfer S2'!P168</f>
        <v/>
      </c>
    </row>
    <row r="107">
      <c r="A107" s="2" t="inlineStr">
        <is>
          <t>2015_BC</t>
        </is>
      </c>
      <c r="B107" s="75">
        <f>'BC Transfer S2'!P168</f>
        <v/>
      </c>
    </row>
    <row r="108">
      <c r="A108" s="2" t="inlineStr">
        <is>
          <t>2015_YT</t>
        </is>
      </c>
      <c r="B108" s="75">
        <f>'YT Transfer S2'!P169</f>
        <v/>
      </c>
    </row>
    <row r="109">
      <c r="A109" s="2" t="inlineStr">
        <is>
          <t>2015_NT</t>
        </is>
      </c>
      <c r="B109" s="75">
        <f>'NT Transfer S2'!P168</f>
        <v/>
      </c>
    </row>
    <row r="110">
      <c r="A110" s="2" t="inlineStr">
        <is>
          <t>2015_NU</t>
        </is>
      </c>
      <c r="B110" s="75">
        <f>'NU Transfer S2'!P168</f>
        <v/>
      </c>
    </row>
    <row r="111">
      <c r="A111" s="2" t="inlineStr">
        <is>
          <t>2014_NL</t>
        </is>
      </c>
      <c r="B111" s="75">
        <f>'NL Transfer S2'!H202</f>
        <v/>
      </c>
    </row>
    <row r="112">
      <c r="A112" s="2" t="inlineStr">
        <is>
          <t>2014_PE</t>
        </is>
      </c>
      <c r="B112" s="75">
        <f>'PE Transfer S2'!H202</f>
        <v/>
      </c>
    </row>
    <row r="113">
      <c r="A113" s="2" t="inlineStr">
        <is>
          <t>2014_NS</t>
        </is>
      </c>
      <c r="B113" s="75">
        <f>'NS Transfer S2'!H202</f>
        <v/>
      </c>
    </row>
    <row r="114">
      <c r="A114" s="2" t="inlineStr">
        <is>
          <t>2014_NB</t>
        </is>
      </c>
      <c r="B114" s="75">
        <f>'NB Transfer S2'!H202</f>
        <v/>
      </c>
    </row>
    <row r="115">
      <c r="A115" s="2" t="inlineStr">
        <is>
          <t>2014_ON</t>
        </is>
      </c>
      <c r="B115" s="75">
        <f>'ON Transfer S2'!H202</f>
        <v/>
      </c>
    </row>
    <row r="116">
      <c r="A116" s="2" t="inlineStr">
        <is>
          <t>2014_MB</t>
        </is>
      </c>
      <c r="B116" s="75">
        <f>'MB Transfer S2'!H202</f>
        <v/>
      </c>
    </row>
    <row r="117">
      <c r="A117" s="2" t="inlineStr">
        <is>
          <t>2014_SK</t>
        </is>
      </c>
      <c r="B117" s="75">
        <f>'SK Transfer S2'!H207</f>
        <v/>
      </c>
    </row>
    <row r="118">
      <c r="A118" s="2" t="inlineStr">
        <is>
          <t>2014_AB</t>
        </is>
      </c>
      <c r="B118" s="75">
        <f>'AB Transfer S2'!H202</f>
        <v/>
      </c>
    </row>
    <row r="119">
      <c r="A119" s="2" t="inlineStr">
        <is>
          <t>2014_BC</t>
        </is>
      </c>
      <c r="B119" s="75">
        <f>'BC Transfer S2'!H202</f>
        <v/>
      </c>
    </row>
    <row r="120">
      <c r="A120" s="2" t="inlineStr">
        <is>
          <t>2014_YT</t>
        </is>
      </c>
      <c r="B120" s="75">
        <f>'YT Transfer S2'!H205</f>
        <v/>
      </c>
    </row>
    <row r="121">
      <c r="A121" s="2" t="inlineStr">
        <is>
          <t>2014_NT</t>
        </is>
      </c>
      <c r="B121" s="75">
        <f>'NT Transfer S2'!H202</f>
        <v/>
      </c>
    </row>
    <row r="122">
      <c r="A122" s="2" t="inlineStr">
        <is>
          <t>2014_NU</t>
        </is>
      </c>
      <c r="B122" s="75">
        <f>'NU Transfer S2'!H202</f>
        <v/>
      </c>
    </row>
    <row r="123">
      <c r="A123" s="2" t="inlineStr">
        <is>
          <t>2013_NL</t>
        </is>
      </c>
      <c r="B123" s="75">
        <f>'NL Transfer S2'!P202</f>
        <v/>
      </c>
    </row>
    <row r="124">
      <c r="A124" s="2" t="inlineStr">
        <is>
          <t>2013_PE</t>
        </is>
      </c>
      <c r="B124" s="75">
        <f>'PE Transfer S2'!P202</f>
        <v/>
      </c>
    </row>
    <row r="125">
      <c r="A125" s="2" t="inlineStr">
        <is>
          <t>2013_NS</t>
        </is>
      </c>
      <c r="B125" s="75">
        <f>'NS Transfer S2'!P202</f>
        <v/>
      </c>
    </row>
    <row r="126">
      <c r="A126" s="2" t="inlineStr">
        <is>
          <t>2013_NB</t>
        </is>
      </c>
      <c r="B126" s="75">
        <f>'NB Transfer S2'!P202</f>
        <v/>
      </c>
    </row>
    <row r="127">
      <c r="A127" s="2" t="inlineStr">
        <is>
          <t>2013_ON</t>
        </is>
      </c>
      <c r="B127" s="75">
        <f>'ON Transfer S2'!P202</f>
        <v/>
      </c>
    </row>
    <row r="128">
      <c r="A128" s="2" t="inlineStr">
        <is>
          <t>2013_MB</t>
        </is>
      </c>
      <c r="B128" s="75">
        <f>'MB Transfer S2'!P202</f>
        <v/>
      </c>
    </row>
    <row r="129">
      <c r="A129" s="2" t="inlineStr">
        <is>
          <t>2013_SK</t>
        </is>
      </c>
      <c r="B129" s="75">
        <f>'SK Transfer S2'!P207</f>
        <v/>
      </c>
    </row>
    <row r="130">
      <c r="A130" s="2" t="inlineStr">
        <is>
          <t>2013_AB</t>
        </is>
      </c>
      <c r="B130" s="75">
        <f>'AB Transfer S2'!P202</f>
        <v/>
      </c>
    </row>
    <row r="131">
      <c r="A131" s="2" t="inlineStr">
        <is>
          <t>2013_BC</t>
        </is>
      </c>
      <c r="B131" s="75">
        <f>'BC Transfer S2'!P202</f>
        <v/>
      </c>
    </row>
    <row r="132">
      <c r="A132" s="2" t="inlineStr">
        <is>
          <t>2013_YT</t>
        </is>
      </c>
      <c r="B132" s="75">
        <f>'YT Transfer S2'!P205</f>
        <v/>
      </c>
    </row>
    <row r="133">
      <c r="A133" s="2" t="inlineStr">
        <is>
          <t>2013_NT</t>
        </is>
      </c>
      <c r="B133" s="75">
        <f>'NT Transfer S2'!P202</f>
        <v/>
      </c>
    </row>
    <row r="134">
      <c r="A134" s="2" t="inlineStr">
        <is>
          <t>2013_NU</t>
        </is>
      </c>
      <c r="B134" s="75">
        <f>'NU Transfer S2'!P202</f>
        <v/>
      </c>
    </row>
  </sheetData>
  <autoFilter ref="A2:B134"/>
  <pageMargins left="0.7" right="0.7" top="0.75" bottom="0.75" header="0.3" footer="0.3"/>
  <pageSetup orientation="portrait"/>
</worksheet>
</file>

<file path=xl/worksheets/sheet10.xml><?xml version="1.0" encoding="utf-8"?>
<worksheet xmlns="http://schemas.openxmlformats.org/spreadsheetml/2006/main">
  <sheetPr codeName="Sheet12">
    <tabColor rgb="FF92D050"/>
    <outlinePr summaryBelow="1" summaryRight="1"/>
    <pageSetUpPr/>
  </sheetPr>
  <dimension ref="A1:P209"/>
  <sheetViews>
    <sheetView topLeftCell="A57" zoomScale="60" zoomScaleNormal="60" zoomScaleSheetLayoutView="47" zoomScalePageLayoutView="90" workbookViewId="0">
      <selection activeCell="E206" sqref="E206"/>
    </sheetView>
  </sheetViews>
  <sheetFormatPr baseColWidth="8" defaultRowHeight="15"/>
  <cols>
    <col width="1.140625" customWidth="1" min="1" max="1"/>
    <col width="23.7109375" bestFit="1" customWidth="1" min="2" max="2"/>
    <col width="16" customWidth="1" min="3" max="3"/>
    <col width="18.28515625" customWidth="1" min="4" max="4"/>
    <col width="13.5703125" bestFit="1" customWidth="1" min="5" max="5"/>
    <col width="13.42578125" customWidth="1" min="6" max="6"/>
    <col width="12.140625" bestFit="1" customWidth="1" min="7" max="7"/>
    <col width="59" customWidth="1" min="8" max="8"/>
    <col width="12.140625" customWidth="1" min="9" max="9"/>
    <col width="23.7109375" bestFit="1" customWidth="1" min="10" max="10"/>
    <col width="11.85546875" customWidth="1" min="11" max="11"/>
    <col width="18.42578125" bestFit="1" customWidth="1" min="12" max="12"/>
    <col width="19.140625" bestFit="1" customWidth="1" min="13" max="13"/>
    <col width="13.5703125" customWidth="1" min="14" max="14"/>
    <col width="12.140625" bestFit="1" customWidth="1" min="15" max="15"/>
    <col width="58.7109375" customWidth="1" min="16" max="16"/>
    <col width="40.5703125" bestFit="1" customWidth="1" min="17" max="17"/>
    <col width="8.85546875" customWidth="1" min="19" max="19"/>
  </cols>
  <sheetData>
    <row r="1" ht="15.75" customHeight="1" thickBot="1">
      <c r="E1">
        <f>Calculator!$D$5</f>
        <v/>
      </c>
      <c r="H1">
        <f>TransferName</f>
        <v/>
      </c>
      <c r="M1">
        <f>Calculator!$D$5</f>
        <v/>
      </c>
      <c r="P1">
        <f>TransferName</f>
        <v/>
      </c>
    </row>
    <row r="2" ht="15.75" customHeight="1" thickBot="1">
      <c r="B2" s="867" t="inlineStr">
        <is>
          <t>2024 ALBERTA Provincial</t>
        </is>
      </c>
      <c r="C2" s="778" t="n"/>
      <c r="D2" s="778" t="n"/>
      <c r="E2" s="778" t="n"/>
      <c r="F2" s="778" t="n"/>
      <c r="G2" s="778" t="n"/>
      <c r="H2" s="780" t="n"/>
      <c r="J2" s="868" t="inlineStr">
        <is>
          <t>2023 ALBERTA Provincial</t>
        </is>
      </c>
      <c r="K2" s="778" t="n"/>
      <c r="L2" s="778" t="n"/>
      <c r="M2" s="778" t="n"/>
      <c r="N2" s="778" t="n"/>
      <c r="O2" s="778" t="n"/>
      <c r="P2" s="780" t="n"/>
    </row>
    <row r="3" ht="15.75" customHeight="1" thickBot="1">
      <c r="B3" s="116" t="n"/>
      <c r="C3" s="115" t="n"/>
      <c r="D3" s="115" t="inlineStr">
        <is>
          <t>Line</t>
        </is>
      </c>
      <c r="E3" s="115" t="inlineStr">
        <is>
          <t>Amt</t>
        </is>
      </c>
      <c r="F3" s="117" t="n"/>
      <c r="G3" s="675" t="inlineStr">
        <is>
          <t>Spouse</t>
        </is>
      </c>
      <c r="H3" s="117" t="inlineStr">
        <is>
          <t>S2 Adjustment</t>
        </is>
      </c>
      <c r="J3" s="34" t="n"/>
      <c r="L3" t="inlineStr">
        <is>
          <t>Line</t>
        </is>
      </c>
      <c r="M3" t="inlineStr">
        <is>
          <t>Amt</t>
        </is>
      </c>
      <c r="N3" s="35" t="inlineStr">
        <is>
          <t>Line</t>
        </is>
      </c>
      <c r="O3" s="34" t="inlineStr">
        <is>
          <t>Spouse</t>
        </is>
      </c>
      <c r="P3" s="35" t="inlineStr">
        <is>
          <t>S2 Adjustment</t>
        </is>
      </c>
    </row>
    <row r="4" ht="15.75" customHeight="1" thickBot="1">
      <c r="B4" s="675" t="inlineStr">
        <is>
          <t>Age Amount</t>
        </is>
      </c>
      <c r="D4" s="115" t="inlineStr">
        <is>
          <t>Line 58080</t>
        </is>
      </c>
      <c r="E4" s="869">
        <f>(_xlfn.XLOOKUP(ClientNumber,Clients!D:D,Clients!ANR:ANR,2,0,1))</f>
        <v/>
      </c>
      <c r="F4" s="119" t="inlineStr">
        <is>
          <t>Line 59020</t>
        </is>
      </c>
      <c r="G4" s="141">
        <f>IF(TransferName="NONE",0,(_xlfn.XLOOKUP(TransferNumber,Clients!D:D,Clients!APT:APT,2,0,1)))</f>
        <v/>
      </c>
      <c r="H4" s="119">
        <f>IF(AND(E4&gt;0,G4=0),"Age Amount Can Be Transferred","No Action")</f>
        <v/>
      </c>
      <c r="J4" s="667" t="inlineStr">
        <is>
          <t>Age Amount</t>
        </is>
      </c>
      <c r="L4" t="inlineStr">
        <is>
          <t>Line 58080</t>
        </is>
      </c>
      <c r="M4" s="870">
        <f>(_xlfn.XLOOKUP(MainClient,Clients!D:D,Clients!MW:MW,2,0,1))</f>
        <v/>
      </c>
      <c r="N4" s="45" t="inlineStr">
        <is>
          <t>Line 59020</t>
        </is>
      </c>
      <c r="O4" s="51">
        <f>IF(TransferName="NONE",0,(_xlfn.XLOOKUP(TransferNumber,Clients!D:D,Clients!OY:OY,2,0,1)))</f>
        <v/>
      </c>
      <c r="P4" s="37">
        <f>IF(AND(M4&gt;0,O4=0),"Age Amount Can Be Transferred","No Action")</f>
        <v/>
      </c>
    </row>
    <row r="5" ht="15.75" customHeight="1" thickBot="1">
      <c r="B5" s="675" t="inlineStr">
        <is>
          <t>Pension Income Amount</t>
        </is>
      </c>
      <c r="D5" s="115" t="inlineStr">
        <is>
          <t>Line 58360 (mx 1526)</t>
        </is>
      </c>
      <c r="E5" s="869">
        <f>IF((_xlfn.XLOOKUP(ClientNumber,Clients!D:D,Clients!AOR:AOR,2,0,1)&lt;1526),(_xlfn.XLOOKUP(MainClient,Clients!D:D,Clients!AOR:AOR,2,0,1)),1526)</f>
        <v/>
      </c>
      <c r="F5" s="119" t="inlineStr">
        <is>
          <t>Line 59050</t>
        </is>
      </c>
      <c r="G5" s="141">
        <f>IF(TransferName="NONE",0,(_xlfn.XLOOKUP(TransferNumber,Clients!D:D,Clients!APW:APW,2,0,1)))</f>
        <v/>
      </c>
      <c r="H5" s="119">
        <f>IF(AND(E5&gt;0,G5=0),"Pension Income Amount Can Be Transferred","No Action")</f>
        <v/>
      </c>
      <c r="J5" s="667" t="inlineStr">
        <is>
          <t>Pension Income Amount</t>
        </is>
      </c>
      <c r="L5" t="inlineStr">
        <is>
          <t>Line 58360 (mx 1617)</t>
        </is>
      </c>
      <c r="M5" s="870">
        <f>IF((_xlfn.XLOOKUP(ClientNumber,Clients!D:D,Clients!NW:NW,2,0,1)&lt;1617),(_xlfn.XLOOKUP(MainClient,Clients!D:D,Clients!NW:NW,2,0,1)),1617)</f>
        <v/>
      </c>
      <c r="N5" s="45" t="inlineStr">
        <is>
          <t>Line 59050</t>
        </is>
      </c>
      <c r="O5" s="51">
        <f>IF(TransferName="NONE",0,(_xlfn.XLOOKUP(TransferNumber,Clients!D:D,Clients!PB:PB,2,0,1)))</f>
        <v/>
      </c>
      <c r="P5" s="37">
        <f>IF(AND(M5&gt;0,O5=0),"Pension Income Amount Can Be Transferred","No Action")</f>
        <v/>
      </c>
    </row>
    <row r="6" ht="15.75" customHeight="1" thickBot="1">
      <c r="B6" s="675" t="inlineStr">
        <is>
          <t>Disability Amount</t>
        </is>
      </c>
      <c r="D6" s="115" t="inlineStr">
        <is>
          <t>Line 58440</t>
        </is>
      </c>
      <c r="E6" s="869">
        <f>IF(_xlfn.XLOOKUP(ClientNumber,Clients!D:D,Clients!AOT:AOT,2,0,1)=0,15284,(_xlfn.XLOOKUP(MainClient,Clients!D:D,Clients!AOT:AOT,2,0,1)))</f>
        <v/>
      </c>
      <c r="F6" s="119" t="inlineStr">
        <is>
          <t>Line 59070</t>
        </is>
      </c>
      <c r="G6" s="141">
        <f>IF(TransferName="NONE",0,(_xlfn.XLOOKUP(TransferNumber,Clients!D:D,Clients!APX:APX,2,0,1)))</f>
        <v/>
      </c>
      <c r="H6" s="119">
        <f>IF(AND(E6&gt;0,G6=0),"DTC Transferable Not Claimed Can Be Transferred","No Action")</f>
        <v/>
      </c>
      <c r="J6" s="667" t="inlineStr">
        <is>
          <t>Disability Amount</t>
        </is>
      </c>
      <c r="L6" t="inlineStr">
        <is>
          <t>Line 58440</t>
        </is>
      </c>
      <c r="M6" s="870">
        <f>IF(_xlfn.XLOOKUP(ClientNumber,Clients!D:D,Clients!NY:NY,2,0,1)=0,16201,(_xlfn.XLOOKUP(MainClient,Clients!D:D,Clients!NY:NY,2,0,1)))</f>
        <v/>
      </c>
      <c r="N6" s="45" t="inlineStr">
        <is>
          <t>Line 59070</t>
        </is>
      </c>
      <c r="O6" s="51">
        <f>IF(TransferName="NONE",0,(_xlfn.XLOOKUP(TransferNumber,Clients!D:D,Clients!PC:PC,2,0,1)))</f>
        <v/>
      </c>
      <c r="P6" s="37">
        <f>IF(AND(M6&gt;0,O6=0),"DTC Transferable Not Claimed Can Be Transferred","No Action")</f>
        <v/>
      </c>
    </row>
    <row r="7" ht="15.75" customHeight="1" thickBot="1">
      <c r="B7" s="675" t="n"/>
      <c r="D7" s="115" t="n"/>
      <c r="E7" s="869" t="n"/>
      <c r="F7" s="119" t="n"/>
      <c r="G7" s="141" t="n"/>
      <c r="H7" s="119" t="n"/>
      <c r="J7" s="667" t="n"/>
      <c r="M7" s="870" t="n"/>
      <c r="N7" s="45" t="n"/>
      <c r="O7" s="51" t="n"/>
      <c r="P7" s="37" t="n"/>
    </row>
    <row r="8">
      <c r="B8" s="675" t="n"/>
      <c r="D8" s="115" t="n"/>
      <c r="E8" s="871">
        <f>SUM(E4:E6)</f>
        <v/>
      </c>
      <c r="F8" s="119" t="n"/>
      <c r="G8" s="675">
        <f>SUM(G4:G7)</f>
        <v/>
      </c>
      <c r="H8" s="119" t="n"/>
      <c r="J8" s="667" t="n"/>
      <c r="M8" s="872">
        <f>SUM(M4:M7)</f>
        <v/>
      </c>
      <c r="N8" s="37" t="n"/>
      <c r="O8" s="667">
        <f>SUM(O4:O7)</f>
        <v/>
      </c>
      <c r="P8" s="37" t="n"/>
    </row>
    <row r="9">
      <c r="B9" s="675" t="n"/>
      <c r="C9" s="676" t="n"/>
      <c r="D9" s="115" t="n"/>
      <c r="E9" s="871" t="n"/>
      <c r="F9" s="119" t="n"/>
      <c r="G9" s="676" t="n"/>
      <c r="H9" s="119" t="n"/>
      <c r="J9" s="667" t="n"/>
      <c r="K9" s="668" t="n"/>
      <c r="M9" s="872" t="n"/>
      <c r="N9" s="37" t="n"/>
      <c r="O9" s="668" t="n"/>
      <c r="P9" s="37" t="n"/>
    </row>
    <row r="10" ht="15.75" customHeight="1" thickBot="1">
      <c r="B10" s="116" t="n"/>
      <c r="C10" s="115" t="n"/>
      <c r="D10" s="115" t="n"/>
      <c r="E10" s="115" t="n"/>
      <c r="F10" s="117" t="n"/>
      <c r="G10" s="115" t="n"/>
      <c r="H10" s="117" t="n"/>
      <c r="J10" s="34" t="n"/>
      <c r="N10" s="35" t="n"/>
      <c r="P10" s="35" t="n"/>
    </row>
    <row r="11" ht="15.75" customHeight="1" thickBot="1">
      <c r="B11" s="675" t="inlineStr">
        <is>
          <t>Line 26000</t>
        </is>
      </c>
      <c r="C11" s="120">
        <f>(_xlfn.XLOOKUP(MainClient,Clients!D:D,Clients!AFS:AFS,2,0,1))</f>
        <v/>
      </c>
      <c r="D11" s="115" t="n"/>
      <c r="E11" s="115" t="n"/>
      <c r="F11" s="117" t="n"/>
      <c r="G11" s="116">
        <f>IF(E34&gt;E6,"other transferable credits","DTC Only")</f>
        <v/>
      </c>
      <c r="H11" s="117" t="n"/>
      <c r="J11" s="667" t="inlineStr">
        <is>
          <t>Line 26000</t>
        </is>
      </c>
      <c r="K11" s="36">
        <f>(_xlfn.XLOOKUP(MainClient,Clients!D:D,Clients!EX:EX,2,0,1))</f>
        <v/>
      </c>
      <c r="N11" s="35" t="n"/>
      <c r="O11" s="34">
        <f>IF(M34&gt;M6,"other transferable credits","DTC Only")</f>
        <v/>
      </c>
      <c r="P11" s="35" t="n"/>
    </row>
    <row r="12" ht="15.75" customHeight="1" thickBot="1">
      <c r="B12" s="116" t="n"/>
      <c r="C12" s="115" t="n"/>
      <c r="D12" s="115" t="n"/>
      <c r="E12" s="115" t="n"/>
      <c r="F12" s="117" t="n"/>
      <c r="G12" s="116" t="n"/>
      <c r="H12" s="117" t="n"/>
      <c r="J12" s="34" t="n"/>
      <c r="N12" s="35" t="n"/>
      <c r="O12" s="34" t="n"/>
      <c r="P12" s="35" t="n"/>
    </row>
    <row r="13" ht="15.75" customHeight="1" thickBot="1">
      <c r="B13" s="121" t="inlineStr">
        <is>
          <t>Line 58040</t>
        </is>
      </c>
      <c r="C13" s="120">
        <f>(_xlfn.XLOOKUP(ClientNumber,Clients!D:D,Clients!ANQ:ANQ,2,0,1))</f>
        <v/>
      </c>
      <c r="D13" s="116" t="n"/>
      <c r="E13" s="115" t="n"/>
      <c r="F13" s="115" t="n"/>
      <c r="G13" s="116" t="n"/>
      <c r="H13" s="117" t="n"/>
      <c r="J13" s="55" t="inlineStr">
        <is>
          <t>Line 58040</t>
        </is>
      </c>
      <c r="K13" s="36">
        <f>(_xlfn.XLOOKUP(MainClient,Clients!D:D,Clients!MV:MV,2,0,1))</f>
        <v/>
      </c>
      <c r="L13" s="34" t="n"/>
      <c r="N13" s="35" t="n"/>
      <c r="O13" s="34" t="n"/>
      <c r="P13" s="35" t="n"/>
    </row>
    <row r="14" ht="15.75" customHeight="1" thickBot="1">
      <c r="B14" s="121" t="inlineStr">
        <is>
          <t>Line 58240</t>
        </is>
      </c>
      <c r="C14" s="120">
        <f>(_xlfn.XLOOKUP(ClientNumber,Clients!D:D,Clients!AOF:AOF,2,0,1))</f>
        <v/>
      </c>
      <c r="D14" s="116" t="n"/>
      <c r="E14" s="115" t="n"/>
      <c r="F14" s="115" t="n"/>
      <c r="G14" s="116" t="n"/>
      <c r="H14" s="117" t="n"/>
      <c r="J14" s="55" t="inlineStr">
        <is>
          <t>Line 58240</t>
        </is>
      </c>
      <c r="K14" s="36">
        <f>(_xlfn.XLOOKUP(MainClient,Clients!D:D,Clients!NK:NK,2,0,1))</f>
        <v/>
      </c>
      <c r="L14" s="34" t="n"/>
      <c r="N14" s="35" t="n"/>
      <c r="O14" s="34" t="n"/>
      <c r="P14" s="35" t="n"/>
    </row>
    <row r="15" ht="15.75" customHeight="1" thickBot="1">
      <c r="B15" s="121" t="inlineStr">
        <is>
          <t>Line 58280</t>
        </is>
      </c>
      <c r="C15" s="120">
        <f>(_xlfn.XLOOKUP(ClientNumber,Clients!D:D,Clients!AOG:AOG,2,0,1))</f>
        <v/>
      </c>
      <c r="D15" s="116" t="n"/>
      <c r="E15" s="115" t="n"/>
      <c r="F15" s="115" t="n"/>
      <c r="G15" s="116" t="n"/>
      <c r="H15" s="117" t="n"/>
      <c r="J15" s="55" t="inlineStr">
        <is>
          <t>Line 58280</t>
        </is>
      </c>
      <c r="K15" s="36">
        <f>(_xlfn.XLOOKUP(MainClient,Clients!D:D,Clients!NL:NL,2,0,1))</f>
        <v/>
      </c>
      <c r="L15" s="34" t="n"/>
      <c r="N15" s="35" t="n"/>
      <c r="P15" s="35" t="n"/>
    </row>
    <row r="16" ht="15.75" customHeight="1" thickBot="1">
      <c r="B16" s="121" t="inlineStr">
        <is>
          <t>Line 58300</t>
        </is>
      </c>
      <c r="C16" s="120">
        <f>(_xlfn.XLOOKUP(ClientNumber,Clients!D:D,Clients!AOH:AOH,2,0,1))</f>
        <v/>
      </c>
      <c r="D16" s="116" t="n"/>
      <c r="E16" s="115" t="n"/>
      <c r="F16" s="115" t="n"/>
      <c r="G16" s="116" t="n"/>
      <c r="H16" s="117" t="n"/>
      <c r="J16" s="55" t="inlineStr">
        <is>
          <t>Line 58300</t>
        </is>
      </c>
      <c r="K16" s="36">
        <f>(_xlfn.XLOOKUP(MainClient,Clients!D:D,Clients!NM:NM,2,0,1))</f>
        <v/>
      </c>
      <c r="L16" s="34" t="n"/>
      <c r="N16" s="35" t="n"/>
      <c r="O16" s="34" t="n"/>
      <c r="P16" s="35" t="n"/>
    </row>
    <row r="17" ht="15.75" customHeight="1" thickBot="1">
      <c r="B17" s="121" t="inlineStr">
        <is>
          <t>Line 58305</t>
        </is>
      </c>
      <c r="C17" s="120">
        <f>(_xlfn.XLOOKUP(ClientNumber,Clients!D:D,Clients!AOI:AOI,2,0,1))</f>
        <v/>
      </c>
      <c r="D17" s="116" t="n"/>
      <c r="E17" s="115" t="n"/>
      <c r="F17" s="115" t="n"/>
      <c r="G17" s="116" t="n"/>
      <c r="H17" s="117" t="n"/>
      <c r="J17" s="55" t="inlineStr">
        <is>
          <t>Line 58305</t>
        </is>
      </c>
      <c r="K17" s="36">
        <f>(_xlfn.XLOOKUP(MainClient,Clients!D:D,Clients!NN:NN,2,0,1))</f>
        <v/>
      </c>
      <c r="L17" s="34" t="n"/>
      <c r="N17" s="35" t="n"/>
      <c r="O17" s="34" t="n"/>
      <c r="P17" s="35" t="n"/>
    </row>
    <row r="18" ht="15.75" customHeight="1" thickBot="1">
      <c r="B18" s="121" t="inlineStr">
        <is>
          <t>Line 58330</t>
        </is>
      </c>
      <c r="C18" s="120">
        <f>(_xlfn.XLOOKUP(ClientNumber,Clients!D:D,Clients!AOP:AOP,2,0,1))</f>
        <v/>
      </c>
      <c r="D18" s="116" t="n"/>
      <c r="E18" s="115" t="n"/>
      <c r="F18" s="115" t="n"/>
      <c r="G18" s="116" t="n"/>
      <c r="H18" s="117" t="n"/>
      <c r="J18" s="55" t="inlineStr">
        <is>
          <t>Line 58330</t>
        </is>
      </c>
      <c r="K18" s="36">
        <f>(_xlfn.XLOOKUP(MainClient,Clients!D:D,Clients!NU:NU,2,0,1))</f>
        <v/>
      </c>
      <c r="L18" s="34" t="n"/>
      <c r="N18" s="35" t="n"/>
      <c r="O18" s="34" t="n"/>
      <c r="P18" s="35" t="n"/>
    </row>
    <row r="19" ht="15.75" customHeight="1" thickBot="1">
      <c r="B19" s="121" t="inlineStr">
        <is>
          <t>Line 58560</t>
        </is>
      </c>
      <c r="C19" s="120">
        <f>(_xlfn.XLOOKUP(ClientNumber,Clients!D:D,Clients!AOX:AOX,2,0,1))</f>
        <v/>
      </c>
      <c r="D19" s="116" t="n"/>
      <c r="E19" s="115" t="n"/>
      <c r="F19" s="115" t="n"/>
      <c r="G19" s="116" t="n"/>
      <c r="H19" s="117" t="n"/>
      <c r="J19" s="55" t="inlineStr">
        <is>
          <t>Line 58560</t>
        </is>
      </c>
      <c r="K19" s="36">
        <f>(_xlfn.XLOOKUP(MainClient,Clients!D:D,Clients!OC:OC,2,0,1))</f>
        <v/>
      </c>
      <c r="L19" s="34" t="n"/>
      <c r="N19" s="35" t="n"/>
      <c r="O19" s="34" t="n"/>
      <c r="P19" s="35" t="n"/>
    </row>
    <row r="20" ht="15.75" customHeight="1" thickBot="1">
      <c r="B20" s="121" t="n"/>
      <c r="C20" s="120" t="n"/>
      <c r="D20" s="115" t="n"/>
      <c r="E20" s="115" t="n"/>
      <c r="F20" s="117" t="n"/>
      <c r="G20" s="116" t="n"/>
      <c r="H20" s="117" t="n"/>
      <c r="J20" s="55" t="n"/>
      <c r="K20" s="36" t="n"/>
      <c r="N20" s="35" t="n"/>
      <c r="O20" s="34" t="n"/>
      <c r="P20" s="35" t="n"/>
    </row>
    <row r="21" ht="15.75" customHeight="1" thickBot="1">
      <c r="B21" s="121" t="n"/>
      <c r="C21" s="120" t="n"/>
      <c r="D21" s="115" t="n"/>
      <c r="E21" s="115" t="n"/>
      <c r="F21" s="117" t="n"/>
      <c r="G21" s="116" t="n"/>
      <c r="H21" s="117" t="n"/>
      <c r="J21" s="98" t="n"/>
      <c r="K21" s="36" t="n"/>
      <c r="N21" s="35" t="n"/>
      <c r="O21" s="34" t="n"/>
      <c r="P21" s="35" t="n"/>
    </row>
    <row r="22" ht="15.75" customHeight="1" thickBot="1">
      <c r="B22" s="121" t="n"/>
      <c r="C22" s="120" t="n"/>
      <c r="D22" s="115" t="n"/>
      <c r="E22" s="115" t="n"/>
      <c r="F22" s="117" t="n"/>
      <c r="G22" s="116" t="n"/>
      <c r="H22" s="117" t="n"/>
      <c r="J22" s="55" t="n"/>
      <c r="K22" s="36" t="n"/>
      <c r="N22" s="35" t="n"/>
      <c r="O22" s="34" t="n"/>
      <c r="P22" s="35" t="n"/>
    </row>
    <row r="23" ht="15.75" customHeight="1" thickBot="1">
      <c r="B23" s="121" t="n"/>
      <c r="C23" s="120" t="n"/>
      <c r="D23" s="115" t="n"/>
      <c r="E23" s="115" t="n"/>
      <c r="F23" s="117" t="n"/>
      <c r="G23" s="116" t="inlineStr">
        <is>
          <t>Line 326</t>
        </is>
      </c>
      <c r="H23" s="117">
        <f>IF(TransferName="NONE",0,(_xlfn.XLOOKUP(TransferNumber,Clients!D:D,Clients!AGR:AGR,2,0,1)))</f>
        <v/>
      </c>
      <c r="J23" s="55" t="n"/>
      <c r="K23" s="36" t="n"/>
      <c r="N23" s="35" t="n"/>
      <c r="O23" s="34" t="inlineStr">
        <is>
          <t>Line 58640</t>
        </is>
      </c>
      <c r="P23" s="35">
        <f>IFERROR(_xlfn.XLOOKUP(TransferNumber,Clients!D:D,Clients!OI:OI,2,0,1),0)</f>
        <v/>
      </c>
    </row>
    <row r="24" ht="15.75" customHeight="1" thickBot="1">
      <c r="B24" s="121" t="n"/>
      <c r="C24" s="120" t="n"/>
      <c r="D24" s="115" t="n"/>
      <c r="E24" s="115" t="n"/>
      <c r="F24" s="117" t="n"/>
      <c r="G24" s="116" t="n"/>
      <c r="H24" s="117" t="n"/>
      <c r="J24" s="55" t="n"/>
      <c r="K24" s="36" t="n"/>
      <c r="N24" s="35" t="n"/>
      <c r="O24" s="34" t="n"/>
      <c r="P24" s="35" t="n"/>
    </row>
    <row r="25" ht="15.75" customHeight="1" thickBot="1">
      <c r="B25" s="121" t="n"/>
      <c r="C25" s="120" t="n"/>
      <c r="D25" s="115" t="n"/>
      <c r="E25" s="115" t="n"/>
      <c r="F25" s="117" t="n"/>
      <c r="G25" s="116" t="n"/>
      <c r="H25" s="117" t="n"/>
      <c r="J25" s="55" t="n"/>
      <c r="K25" s="36" t="n"/>
      <c r="N25" s="35" t="n"/>
      <c r="O25" s="34" t="n"/>
      <c r="P25" s="35" t="n"/>
    </row>
    <row r="26" ht="15.75" customHeight="1" thickBot="1">
      <c r="B26" s="121" t="n"/>
      <c r="C26" s="120" t="n"/>
      <c r="D26" s="115" t="n"/>
      <c r="E26" s="115" t="n"/>
      <c r="F26" s="117" t="n"/>
      <c r="G26" s="116" t="n"/>
      <c r="H26" s="117" t="n"/>
      <c r="J26" s="55" t="n"/>
      <c r="K26" s="36" t="n"/>
      <c r="N26" s="35" t="n"/>
      <c r="O26" s="34" t="n"/>
      <c r="P26" s="35" t="n"/>
    </row>
    <row r="27" ht="15.75" customHeight="1" thickBot="1">
      <c r="B27" s="121" t="n"/>
      <c r="C27" s="120" t="n"/>
      <c r="D27" s="115" t="n"/>
      <c r="E27" s="115" t="n"/>
      <c r="F27" s="117" t="n"/>
      <c r="G27" s="116" t="n"/>
      <c r="H27" s="117">
        <f>IF(E32&gt;0,E8-G8,0)</f>
        <v/>
      </c>
      <c r="J27" s="55" t="n"/>
      <c r="K27" s="36" t="n"/>
      <c r="N27" s="35" t="n"/>
      <c r="O27" s="34" t="n"/>
      <c r="P27" s="35">
        <f>IF(M32&gt;0,M8-O8,0)</f>
        <v/>
      </c>
    </row>
    <row r="28" ht="15.75" customHeight="1" thickBot="1">
      <c r="B28" s="121" t="n"/>
      <c r="C28" s="120" t="n"/>
      <c r="D28" s="115" t="n"/>
      <c r="E28" s="115" t="n"/>
      <c r="F28" s="117" t="n"/>
      <c r="G28" s="115" t="n"/>
      <c r="H28" s="122">
        <f>IF(TransferName="NONE",F33,IF(H27&gt;0,(E32-G8)*0.1,0))</f>
        <v/>
      </c>
      <c r="J28" s="55" t="n"/>
      <c r="K28" s="36" t="n"/>
      <c r="N28" s="35" t="n"/>
      <c r="P28" s="52">
        <f>IF(TransferName="NONE",N33,IF(P27&gt;0,(M32-O8)*0.1,0))</f>
        <v/>
      </c>
    </row>
    <row r="29">
      <c r="B29" s="675" t="n"/>
      <c r="C29" s="115" t="n"/>
      <c r="D29" s="115" t="n"/>
      <c r="E29" s="115" t="n"/>
      <c r="F29" s="117" t="n"/>
      <c r="G29" s="116" t="inlineStr">
        <is>
          <t>Transferable</t>
        </is>
      </c>
      <c r="H29" s="122">
        <f>IF(H28&gt;0,H28,0)</f>
        <v/>
      </c>
      <c r="J29" s="667" t="n"/>
      <c r="N29" s="35" t="n"/>
      <c r="O29" s="34" t="inlineStr">
        <is>
          <t>Transferable</t>
        </is>
      </c>
      <c r="P29" s="52">
        <f>IF(P28&gt;0,P28,0)</f>
        <v/>
      </c>
    </row>
    <row r="30">
      <c r="B30" s="675" t="inlineStr">
        <is>
          <t>Adjusted Taxable Income</t>
        </is>
      </c>
      <c r="C30" s="115">
        <f>C11-(SUM(C13:C28))</f>
        <v/>
      </c>
      <c r="D30" s="124" t="inlineStr">
        <is>
          <t>Line 58640</t>
        </is>
      </c>
      <c r="E30" s="125">
        <f>IF(C30&gt;0,C30,0)</f>
        <v/>
      </c>
      <c r="F30" s="117" t="n"/>
      <c r="G30" s="116" t="n"/>
      <c r="H30" s="117" t="n"/>
      <c r="J30" s="667" t="inlineStr">
        <is>
          <t>Adjusted Taxable Income</t>
        </is>
      </c>
      <c r="K30">
        <f>K11-(SUM(K13:K28))</f>
        <v/>
      </c>
      <c r="L30" s="13" t="inlineStr">
        <is>
          <t>Line 5864</t>
        </is>
      </c>
      <c r="M30" s="39">
        <f>IF(K30&gt;0,K30,0)</f>
        <v/>
      </c>
      <c r="N30" s="35" t="n"/>
      <c r="O30" s="34" t="n"/>
      <c r="P30" s="35" t="n"/>
    </row>
    <row r="31" ht="15.75" customHeight="1" thickBot="1">
      <c r="B31" s="116" t="n"/>
      <c r="C31" s="115" t="n"/>
      <c r="D31" s="115" t="n"/>
      <c r="E31" s="115" t="n"/>
      <c r="F31" s="117" t="n"/>
      <c r="G31" s="116" t="n"/>
      <c r="H31" s="117" t="n"/>
      <c r="J31" s="34" t="n"/>
      <c r="N31" s="35" t="n"/>
      <c r="O31" s="34" t="n"/>
      <c r="P31" s="35" t="n"/>
    </row>
    <row r="32" ht="15.75" customHeight="1" thickBot="1">
      <c r="B32" s="116" t="n"/>
      <c r="C32" s="115" t="n"/>
      <c r="D32" s="126" t="inlineStr">
        <is>
          <t>Prov Trans</t>
        </is>
      </c>
      <c r="E32" s="120">
        <f>(E8-E30)</f>
        <v/>
      </c>
      <c r="F32" s="127" t="n"/>
      <c r="G32" s="116" t="n"/>
      <c r="H32" s="122" t="n"/>
      <c r="J32" s="34" t="n"/>
      <c r="L32" s="21" t="inlineStr">
        <is>
          <t>Prov Trans</t>
        </is>
      </c>
      <c r="M32" s="36">
        <f>(M8-M30)</f>
        <v/>
      </c>
      <c r="N32" s="40" t="n"/>
      <c r="O32" s="34" t="n"/>
      <c r="P32" s="52" t="n"/>
    </row>
    <row r="33" ht="15.75" customHeight="1" thickBot="1">
      <c r="B33" s="116" t="n"/>
      <c r="C33" s="664" t="inlineStr">
        <is>
          <t>DTC Transferable ESTIMATE</t>
        </is>
      </c>
      <c r="D33" s="35" t="n"/>
      <c r="E33" s="120">
        <f>IF(E32&lt;0,0,(IF(E32&gt;E6,E6,E32)))</f>
        <v/>
      </c>
      <c r="F33" s="127">
        <f>IF(E33&gt;0,E33*0.1,"No Transfer Required")</f>
        <v/>
      </c>
      <c r="G33" s="666" t="n"/>
      <c r="H33" s="122" t="n"/>
      <c r="J33" s="34" t="n"/>
      <c r="K33" s="579" t="inlineStr">
        <is>
          <t>DTC Transferable ESTIMATE</t>
        </is>
      </c>
      <c r="L33" s="35" t="n"/>
      <c r="M33" s="36">
        <f>IF(M32&lt;0,0,(IF(M32&gt;M6,M6,M32)))</f>
        <v/>
      </c>
      <c r="N33" s="40">
        <f>IF(M33&gt;0,M33*0.1,"No Transfer Required")</f>
        <v/>
      </c>
      <c r="O33" s="58" t="n"/>
      <c r="P33" s="52" t="n"/>
    </row>
    <row r="34" ht="15.75" customHeight="1" thickBot="1">
      <c r="B34" s="128" t="n"/>
      <c r="C34" s="129" t="n"/>
      <c r="D34" s="130" t="inlineStr">
        <is>
          <t>Net Transferable</t>
        </is>
      </c>
      <c r="E34" s="120">
        <f>IF(E32&lt;0,0,(IF(E32-G4-G5-G7&lt;0,E32,(E32-G4-G5-G7))))</f>
        <v/>
      </c>
      <c r="F34" s="131">
        <f>IF(E34&gt;0,E34*0.1,"0")</f>
        <v/>
      </c>
      <c r="G34" s="42" t="n"/>
      <c r="H34" s="863" t="n"/>
      <c r="J34" s="42" t="n"/>
      <c r="K34" s="41" t="n"/>
      <c r="L34" s="43" t="inlineStr">
        <is>
          <t>Net Transferable</t>
        </is>
      </c>
      <c r="M34" s="36">
        <f>IF(M32&lt;0,0,(IF(M32-O4-O5-O7&lt;0,M32,(M32-O4-O5-O7))))</f>
        <v/>
      </c>
      <c r="N34" s="57">
        <f>IF(M34&gt;0,M34*0.1,"0")</f>
        <v/>
      </c>
      <c r="O34" s="59" t="n"/>
      <c r="P34" s="864" t="n"/>
    </row>
    <row r="36" ht="15.75" customHeight="1" thickBot="1">
      <c r="E36">
        <f>Calculator!$D$5</f>
        <v/>
      </c>
      <c r="H36">
        <f>TransferName</f>
        <v/>
      </c>
      <c r="M36">
        <f>Calculator!$D$5</f>
        <v/>
      </c>
      <c r="P36">
        <f>TransferName</f>
        <v/>
      </c>
    </row>
    <row r="37" ht="15.75" customHeight="1" thickBot="1">
      <c r="B37" s="868" t="inlineStr">
        <is>
          <t>2022 ALBERTA Provincial</t>
        </is>
      </c>
      <c r="C37" s="778" t="n"/>
      <c r="D37" s="778" t="n"/>
      <c r="E37" s="778" t="n"/>
      <c r="F37" s="778" t="n"/>
      <c r="G37" s="778" t="n"/>
      <c r="H37" s="780" t="n"/>
      <c r="J37" s="868" t="inlineStr">
        <is>
          <t>2021 ALBERTA Provincial</t>
        </is>
      </c>
      <c r="K37" s="778" t="n"/>
      <c r="L37" s="778" t="n"/>
      <c r="M37" s="778" t="n"/>
      <c r="N37" s="778" t="n"/>
      <c r="O37" s="778" t="n"/>
      <c r="P37" s="780" t="n"/>
    </row>
    <row r="38" ht="15.75" customHeight="1" thickBot="1">
      <c r="B38" s="34" t="n"/>
      <c r="D38" t="inlineStr">
        <is>
          <t>Line</t>
        </is>
      </c>
      <c r="E38" t="inlineStr">
        <is>
          <t>Amt</t>
        </is>
      </c>
      <c r="F38" s="35" t="n"/>
      <c r="G38" s="667" t="inlineStr">
        <is>
          <t>Spouse</t>
        </is>
      </c>
      <c r="H38" s="35" t="inlineStr">
        <is>
          <t>S2 Adjustment</t>
        </is>
      </c>
      <c r="J38" s="34" t="n"/>
      <c r="L38" t="inlineStr">
        <is>
          <t>Line</t>
        </is>
      </c>
      <c r="M38" t="inlineStr">
        <is>
          <t>Amt</t>
        </is>
      </c>
      <c r="N38" s="35" t="n"/>
      <c r="O38" s="34" t="inlineStr">
        <is>
          <t>Spouse</t>
        </is>
      </c>
      <c r="P38" s="35" t="inlineStr">
        <is>
          <t>S2 Adjustment</t>
        </is>
      </c>
    </row>
    <row r="39" ht="15.75" customHeight="1" thickBot="1">
      <c r="B39" s="667" t="inlineStr">
        <is>
          <t>Age Amount</t>
        </is>
      </c>
      <c r="D39" t="inlineStr">
        <is>
          <t>Line 58080</t>
        </is>
      </c>
      <c r="E39" s="861">
        <f>(_xlfn.XLOOKUP(ClientNumber,Clients!D:D,Clients!ANR:ANR,2,0,1))</f>
        <v/>
      </c>
      <c r="F39" s="37" t="inlineStr">
        <is>
          <t>Line 59020</t>
        </is>
      </c>
      <c r="G39" s="51">
        <f>IF(TransferName="NONE",0,(_xlfn.XLOOKUP(TransferNumber,Clients!D:D,Clients!APT:APT,2,0,1)))</f>
        <v/>
      </c>
      <c r="H39" s="37">
        <f>IF(AND(E39&gt;0,G39=0),"Age Amount Can Be Transferred","No Action")</f>
        <v/>
      </c>
      <c r="J39" s="667" t="inlineStr">
        <is>
          <t>Age Amount</t>
        </is>
      </c>
      <c r="L39" t="inlineStr">
        <is>
          <t>Line 58080</t>
        </is>
      </c>
      <c r="M39" s="865">
        <f>(_xlfn.XLOOKUP(MainClient,Clients!D:D,Clients!BOM:BOM,2,0,1))</f>
        <v/>
      </c>
      <c r="N39" s="45" t="inlineStr">
        <is>
          <t>Line 59020</t>
        </is>
      </c>
      <c r="O39" s="51">
        <f>IF(TransferName="NONE",0,(_xlfn.XLOOKUP(TransferNumber,Clients!D:D,Clients!BQO:BQO,2,0,1)))</f>
        <v/>
      </c>
      <c r="P39" s="37">
        <f>IF(AND(M39&gt;0,O39=0),"Age Amount Can Be Transferred","No Action")</f>
        <v/>
      </c>
    </row>
    <row r="40" ht="15.75" customHeight="1" thickBot="1">
      <c r="B40" s="667" t="inlineStr">
        <is>
          <t>Pension Income Amount</t>
        </is>
      </c>
      <c r="D40" t="inlineStr">
        <is>
          <t>Line 58360 (mx 1526)</t>
        </is>
      </c>
      <c r="E40" s="861">
        <f>IF((_xlfn.XLOOKUP(ClientNumber,Clients!D:D,Clients!AOR:AOR,2,0,1)&lt;1526),(_xlfn.XLOOKUP(MainClient,Clients!D:D,Clients!AOR:AOR,2,0,1)),1526)</f>
        <v/>
      </c>
      <c r="F40" s="37" t="inlineStr">
        <is>
          <t>Line 59050</t>
        </is>
      </c>
      <c r="G40" s="51">
        <f>IF(TransferName="NONE",0,(_xlfn.XLOOKUP(TransferNumber,Clients!D:D,Clients!APW:APW,2,0,1)))</f>
        <v/>
      </c>
      <c r="H40" s="37">
        <f>IF(AND(E40&gt;0,G40=0),"Pension Income Amount Can Be Transferred","No Action")</f>
        <v/>
      </c>
      <c r="J40" s="667" t="inlineStr">
        <is>
          <t>Pension Income Amount</t>
        </is>
      </c>
      <c r="L40" t="inlineStr">
        <is>
          <t>Line 58360 (mx 1491)</t>
        </is>
      </c>
      <c r="M40" s="865">
        <f>IF((_xlfn.XLOOKUP(ClientNumber,Clients!D:D,Clients!BPM:BPM,2,0,1)&lt;1491),(_xlfn.XLOOKUP(MainClient,Clients!D:D,Clients!BPM:BPM,2,0,1)),1491)</f>
        <v/>
      </c>
      <c r="N40" s="45" t="inlineStr">
        <is>
          <t>Line 59050</t>
        </is>
      </c>
      <c r="O40" s="51">
        <f>IF(TransferName="NONE",0,(_xlfn.XLOOKUP(TransferNumber,Clients!D:D,Clients!BQR:BQR,2,0,1)))</f>
        <v/>
      </c>
      <c r="P40" s="37">
        <f>IF(AND(M40&gt;0,O40=0),"Pension Income Amount Can Be Transferred","No Action")</f>
        <v/>
      </c>
    </row>
    <row r="41" ht="15.75" customHeight="1" thickBot="1">
      <c r="B41" s="667" t="inlineStr">
        <is>
          <t>Disability Amount</t>
        </is>
      </c>
      <c r="D41" t="inlineStr">
        <is>
          <t>Line 58440</t>
        </is>
      </c>
      <c r="E41" s="861">
        <f>IF(_xlfn.XLOOKUP(ClientNumber,Clients!D:D,Clients!AOT:AOT,2,0,1)=0,15284,(_xlfn.XLOOKUP(MainClient,Clients!D:D,Clients!AOT:AOT,2,0,1)))</f>
        <v/>
      </c>
      <c r="F41" s="37" t="inlineStr">
        <is>
          <t>Line 59070</t>
        </is>
      </c>
      <c r="G41" s="51">
        <f>IF(TransferName="NONE",0,(_xlfn.XLOOKUP(TransferNumber,Clients!D:D,Clients!APX:APX,2,0,1)))</f>
        <v/>
      </c>
      <c r="H41" s="37">
        <f>IF(AND(E41&gt;0,G41=0),"DTC Transferable Not Claimed Can Be Transferred","No Action")</f>
        <v/>
      </c>
      <c r="J41" s="667" t="inlineStr">
        <is>
          <t>Disability Amount</t>
        </is>
      </c>
      <c r="L41" t="inlineStr">
        <is>
          <t>Line 58440</t>
        </is>
      </c>
      <c r="M41" s="865">
        <f>IF(_xlfn.XLOOKUP(ClientNumber,Clients!D:D,Clients!BPO:BPO,2,0,1)=0,14940,(_xlfn.XLOOKUP(MainClient,Clients!D:D,Clients!BPO:BPO,2,0,1)))</f>
        <v/>
      </c>
      <c r="N41" s="45" t="inlineStr">
        <is>
          <t>Line 59070</t>
        </is>
      </c>
      <c r="O41" s="51">
        <f>IF(TransferName="NONE",0,(_xlfn.XLOOKUP(TransferNumber,Clients!D:D,Clients!BQS:BQS,2,0,1)))</f>
        <v/>
      </c>
      <c r="P41" s="37">
        <f>IF(AND(M41&gt;0,O41=0),"DTC Transferable Not Claimed Can Be Transferred","No Action")</f>
        <v/>
      </c>
    </row>
    <row r="42" ht="15.75" customHeight="1" thickBot="1">
      <c r="B42" s="667" t="n"/>
      <c r="E42" s="861" t="n"/>
      <c r="F42" s="37" t="n"/>
      <c r="G42" s="51" t="n"/>
      <c r="H42" s="37" t="n"/>
      <c r="J42" s="667" t="n"/>
      <c r="M42" s="865" t="n"/>
      <c r="N42" s="45" t="n"/>
      <c r="O42" s="51" t="n"/>
      <c r="P42" s="37" t="n"/>
    </row>
    <row r="43">
      <c r="B43" s="667" t="n"/>
      <c r="E43" s="771">
        <f>SUM(E39:E41)</f>
        <v/>
      </c>
      <c r="F43" s="37" t="n"/>
      <c r="G43" s="667">
        <f>SUM(G39:G42)</f>
        <v/>
      </c>
      <c r="H43" s="37" t="n"/>
      <c r="J43" s="667" t="n"/>
      <c r="M43" s="872">
        <f>SUM(M39:M42)</f>
        <v/>
      </c>
      <c r="N43" s="37" t="n"/>
      <c r="O43" s="667">
        <f>SUM(O39:O42)</f>
        <v/>
      </c>
      <c r="P43" s="37" t="n"/>
    </row>
    <row r="44">
      <c r="A44" t="inlineStr">
        <is>
          <t>`</t>
        </is>
      </c>
      <c r="B44" s="667" t="n"/>
      <c r="C44" s="668" t="n"/>
      <c r="E44" s="771" t="n"/>
      <c r="F44" s="37" t="n"/>
      <c r="G44" s="668" t="n"/>
      <c r="H44" s="37" t="n"/>
      <c r="J44" s="667" t="n"/>
      <c r="K44" s="668" t="n"/>
      <c r="M44" s="872" t="n"/>
      <c r="N44" s="37" t="n"/>
      <c r="O44" s="668" t="n"/>
      <c r="P44" s="37" t="n"/>
    </row>
    <row r="45" ht="15.75" customHeight="1" thickBot="1">
      <c r="B45" s="34" t="n"/>
      <c r="F45" s="35" t="n"/>
      <c r="H45" s="35" t="n"/>
      <c r="J45" s="34" t="n"/>
      <c r="N45" s="35" t="n"/>
      <c r="P45" s="35" t="n"/>
    </row>
    <row r="46" ht="15.75" customHeight="1" thickBot="1">
      <c r="B46" s="667" t="inlineStr">
        <is>
          <t>Line 26000</t>
        </is>
      </c>
      <c r="C46" s="36">
        <f>(_xlfn.XLOOKUP(MainClient,Clients!D:D,Clients!AFS:AFS,2,0,1))</f>
        <v/>
      </c>
      <c r="F46" s="35" t="n"/>
      <c r="G46" s="34">
        <f>IF(E69&gt;E41,"other transferable credits","DTC Only")</f>
        <v/>
      </c>
      <c r="H46" s="35" t="n"/>
      <c r="J46" s="667" t="inlineStr">
        <is>
          <t>Line 260</t>
        </is>
      </c>
      <c r="K46" s="36">
        <f>(_xlfn.XLOOKUP(MainClient,Clients!D:D,Clients!BGN:BGN,2,0,1))</f>
        <v/>
      </c>
      <c r="N46" s="35" t="n"/>
      <c r="O46" s="34">
        <f>IF(M69&gt;M41,"other transferable credits","DTC Only")</f>
        <v/>
      </c>
      <c r="P46" s="35" t="n"/>
    </row>
    <row r="47" ht="15.75" customHeight="1" thickBot="1">
      <c r="B47" s="34" t="n"/>
      <c r="F47" s="35" t="n"/>
      <c r="G47" s="34" t="n"/>
      <c r="H47" s="35" t="n"/>
      <c r="J47" s="34" t="n"/>
      <c r="N47" s="35" t="n"/>
      <c r="O47" s="34" t="n"/>
      <c r="P47" s="35" t="n"/>
    </row>
    <row r="48" ht="15.75" customHeight="1" thickBot="1">
      <c r="B48" s="55" t="inlineStr">
        <is>
          <t>Line 58040</t>
        </is>
      </c>
      <c r="C48" s="36">
        <f>(_xlfn.XLOOKUP(ClientNumber,Clients!D:D,Clients!ANQ:ANQ,2,0,1))</f>
        <v/>
      </c>
      <c r="D48" s="34" t="n"/>
      <c r="G48" s="34" t="n"/>
      <c r="H48" s="35" t="n"/>
      <c r="J48" s="55" t="inlineStr">
        <is>
          <t>Line 58040</t>
        </is>
      </c>
      <c r="K48" s="36">
        <f>(_xlfn.XLOOKUP(MainClient,Clients!D:D,Clients!BOL:BOL,2,0,1))</f>
        <v/>
      </c>
      <c r="L48" s="34" t="n"/>
      <c r="N48" s="35" t="n"/>
      <c r="O48" s="34" t="n"/>
      <c r="P48" s="35" t="n"/>
    </row>
    <row r="49" ht="15.75" customHeight="1" thickBot="1">
      <c r="B49" s="55" t="inlineStr">
        <is>
          <t>Line 58240</t>
        </is>
      </c>
      <c r="C49" s="36">
        <f>(_xlfn.XLOOKUP(ClientNumber,Clients!D:D,Clients!AOF:AOF,2,0,1))</f>
        <v/>
      </c>
      <c r="D49" s="34" t="n"/>
      <c r="G49" s="34" t="n"/>
      <c r="H49" s="35" t="n"/>
      <c r="J49" s="55" t="inlineStr">
        <is>
          <t>Line 58240</t>
        </is>
      </c>
      <c r="K49" s="36">
        <f>(_xlfn.XLOOKUP(MainClient,Clients!D:D,Clients!BPA:BPA,2,0,1))</f>
        <v/>
      </c>
      <c r="L49" s="34" t="n"/>
      <c r="N49" s="35" t="n"/>
      <c r="O49" s="34" t="n"/>
      <c r="P49" s="35" t="n"/>
    </row>
    <row r="50" ht="15.75" customHeight="1" thickBot="1">
      <c r="B50" s="55" t="inlineStr">
        <is>
          <t>Line 58280</t>
        </is>
      </c>
      <c r="C50" s="36">
        <f>(_xlfn.XLOOKUP(ClientNumber,Clients!D:D,Clients!AOG:AOG,2,0,1))</f>
        <v/>
      </c>
      <c r="D50" s="34" t="n"/>
      <c r="G50" s="34" t="n"/>
      <c r="H50" s="35" t="n"/>
      <c r="J50" s="55" t="inlineStr">
        <is>
          <t>Line 58280</t>
        </is>
      </c>
      <c r="K50" s="36">
        <f>(_xlfn.XLOOKUP(MainClient,Clients!D:D,Clients!BPB:BPB,2,0,1))</f>
        <v/>
      </c>
      <c r="L50" s="34" t="n"/>
      <c r="N50" s="35" t="n"/>
      <c r="P50" s="35" t="n"/>
    </row>
    <row r="51" ht="15.75" customHeight="1" thickBot="1">
      <c r="B51" s="55" t="inlineStr">
        <is>
          <t>Line 58300</t>
        </is>
      </c>
      <c r="C51" s="36">
        <f>(_xlfn.XLOOKUP(ClientNumber,Clients!D:D,Clients!AOH:AOH,2,0,1))</f>
        <v/>
      </c>
      <c r="D51" s="34" t="n"/>
      <c r="G51" s="34" t="n"/>
      <c r="H51" s="35" t="n"/>
      <c r="J51" s="55" t="inlineStr">
        <is>
          <t>Line 58300</t>
        </is>
      </c>
      <c r="K51" s="36">
        <f>(_xlfn.XLOOKUP(MainClient,Clients!D:D,Clients!BPC:BPC,2,0,1))</f>
        <v/>
      </c>
      <c r="L51" s="34" t="n"/>
      <c r="N51" s="35" t="n"/>
      <c r="O51" s="34" t="n"/>
      <c r="P51" s="35" t="n"/>
    </row>
    <row r="52" ht="15.75" customHeight="1" thickBot="1">
      <c r="B52" s="55" t="inlineStr">
        <is>
          <t>Line 58305</t>
        </is>
      </c>
      <c r="C52" s="36">
        <f>(_xlfn.XLOOKUP(ClientNumber,Clients!D:D,Clients!AOI:AOI,2,0,1))</f>
        <v/>
      </c>
      <c r="D52" s="34" t="n"/>
      <c r="G52" s="34" t="n"/>
      <c r="H52" s="35" t="n"/>
      <c r="J52" s="55" t="inlineStr">
        <is>
          <t>Line 58305</t>
        </is>
      </c>
      <c r="K52" s="36">
        <f>(_xlfn.XLOOKUP(MainClient,Clients!D:D,Clients!BPD:BPD,2,0,1))</f>
        <v/>
      </c>
      <c r="L52" s="34" t="n"/>
      <c r="N52" s="35" t="n"/>
      <c r="O52" s="34" t="n"/>
      <c r="P52" s="35" t="n"/>
    </row>
    <row r="53" ht="15.75" customHeight="1" thickBot="1">
      <c r="B53" s="55" t="inlineStr">
        <is>
          <t>Line 58330</t>
        </is>
      </c>
      <c r="C53" s="36">
        <f>(_xlfn.XLOOKUP(ClientNumber,Clients!D:D,Clients!AOP:AOP,2,0,1))</f>
        <v/>
      </c>
      <c r="D53" s="34" t="n"/>
      <c r="G53" s="34" t="n"/>
      <c r="H53" s="35" t="n"/>
      <c r="J53" s="55" t="inlineStr">
        <is>
          <t>Line 58330</t>
        </is>
      </c>
      <c r="K53" s="36">
        <f>(_xlfn.XLOOKUP(MainClient,Clients!D:D,Clients!BPK:BPK,2,0,1))</f>
        <v/>
      </c>
      <c r="L53" s="34" t="n"/>
      <c r="N53" s="35" t="n"/>
      <c r="O53" s="34" t="n"/>
      <c r="P53" s="35" t="n"/>
    </row>
    <row r="54" ht="15.75" customHeight="1" thickBot="1">
      <c r="B54" s="55" t="inlineStr">
        <is>
          <t>Line 58560</t>
        </is>
      </c>
      <c r="C54" s="36">
        <f>(_xlfn.XLOOKUP(ClientNumber,Clients!D:D,Clients!AOX:AOX,2,0,1))</f>
        <v/>
      </c>
      <c r="D54" s="34" t="n"/>
      <c r="G54" s="34" t="n"/>
      <c r="H54" s="35" t="n"/>
      <c r="J54" s="55" t="inlineStr">
        <is>
          <t>Line 58560</t>
        </is>
      </c>
      <c r="K54" s="36">
        <f>(_xlfn.XLOOKUP(MainClient,Clients!D:D,Clients!BPS:BPS,2,0,1))</f>
        <v/>
      </c>
      <c r="L54" s="34" t="n"/>
      <c r="N54" s="35" t="n"/>
      <c r="O54" s="34" t="n"/>
      <c r="P54" s="35" t="n"/>
    </row>
    <row r="55" ht="15.75" customHeight="1" thickBot="1">
      <c r="B55" s="55" t="n"/>
      <c r="C55" s="36" t="n"/>
      <c r="F55" s="35" t="n"/>
      <c r="G55" s="34" t="n"/>
      <c r="H55" s="35" t="n"/>
      <c r="J55" s="55" t="n"/>
      <c r="K55" s="36" t="n"/>
      <c r="N55" s="35" t="n"/>
      <c r="O55" s="34" t="n"/>
      <c r="P55" s="35" t="n"/>
    </row>
    <row r="56" ht="15.75" customHeight="1" thickBot="1">
      <c r="B56" s="55" t="n"/>
      <c r="C56" s="36" t="n"/>
      <c r="F56" s="35" t="n"/>
      <c r="G56" s="34" t="n"/>
      <c r="H56" s="35" t="n"/>
      <c r="J56" s="98" t="n"/>
      <c r="K56" s="36" t="n"/>
      <c r="N56" s="35" t="n"/>
      <c r="O56" s="34" t="n"/>
      <c r="P56" s="35" t="n"/>
    </row>
    <row r="57" ht="15.75" customHeight="1" thickBot="1">
      <c r="B57" s="55" t="n"/>
      <c r="C57" s="36" t="n"/>
      <c r="F57" s="35" t="n"/>
      <c r="G57" s="34" t="n"/>
      <c r="H57" s="35" t="n"/>
      <c r="J57" s="55" t="n"/>
      <c r="K57" s="36" t="n"/>
      <c r="N57" s="35" t="n"/>
      <c r="O57" s="34" t="n"/>
      <c r="P57" s="35" t="n"/>
    </row>
    <row r="58" ht="15.75" customHeight="1" thickBot="1">
      <c r="B58" s="55" t="n"/>
      <c r="C58" s="36" t="n"/>
      <c r="F58" s="35" t="n"/>
      <c r="G58" s="34" t="inlineStr">
        <is>
          <t>Line 326</t>
        </is>
      </c>
      <c r="H58" s="35">
        <f>IF(TransferName="NONE",0,(_xlfn.XLOOKUP(TransferNumber,Clients!D:D,Clients!AGR:AGR,2,0,1)))</f>
        <v/>
      </c>
      <c r="J58" s="55" t="n"/>
      <c r="K58" s="36" t="n"/>
      <c r="N58" s="35" t="n"/>
      <c r="O58" s="34" t="inlineStr">
        <is>
          <t>Line 326</t>
        </is>
      </c>
      <c r="P58" s="35">
        <f>IFERROR(_xlfn.XLOOKUP(TransferNumber,Clients!D:D,Clients!BHM:BHM,2,0,1),0)</f>
        <v/>
      </c>
    </row>
    <row r="59" ht="15.75" customHeight="1" thickBot="1">
      <c r="B59" s="55" t="n"/>
      <c r="C59" s="36" t="n"/>
      <c r="F59" s="35" t="n"/>
      <c r="G59" s="34" t="n"/>
      <c r="H59" s="35" t="n"/>
      <c r="J59" s="55" t="n"/>
      <c r="K59" s="36" t="n"/>
      <c r="N59" s="35" t="n"/>
      <c r="O59" s="34" t="n"/>
      <c r="P59" s="35" t="n"/>
    </row>
    <row r="60" ht="15.75" customHeight="1" thickBot="1">
      <c r="B60" s="55" t="n"/>
      <c r="C60" s="36" t="n"/>
      <c r="F60" s="35" t="n"/>
      <c r="G60" s="34" t="n"/>
      <c r="H60" s="35" t="n"/>
      <c r="J60" s="55" t="n"/>
      <c r="K60" s="36" t="n"/>
      <c r="N60" s="35" t="n"/>
      <c r="O60" s="34" t="n"/>
      <c r="P60" s="35" t="n"/>
    </row>
    <row r="61" ht="15.75" customHeight="1" thickBot="1">
      <c r="B61" s="55" t="n"/>
      <c r="C61" s="36" t="n"/>
      <c r="F61" s="35" t="n"/>
      <c r="G61" s="34" t="n"/>
      <c r="H61" s="35" t="n"/>
      <c r="J61" s="55" t="n"/>
      <c r="K61" s="36" t="n"/>
      <c r="N61" s="35" t="n"/>
      <c r="O61" s="34" t="n"/>
      <c r="P61" s="35" t="n"/>
    </row>
    <row r="62" ht="15.75" customHeight="1" thickBot="1">
      <c r="B62" s="55" t="n"/>
      <c r="C62" s="36" t="n"/>
      <c r="F62" s="35" t="n"/>
      <c r="G62" s="34" t="n"/>
      <c r="H62" s="35">
        <f>IF(E67&gt;0,E43-G43,0)</f>
        <v/>
      </c>
      <c r="J62" s="55" t="n"/>
      <c r="K62" s="36" t="n"/>
      <c r="N62" s="35" t="n"/>
      <c r="O62" s="34" t="n"/>
      <c r="P62" s="35">
        <f>IF(M67&gt;0,M43-O43,0)</f>
        <v/>
      </c>
    </row>
    <row r="63" ht="15.75" customHeight="1" thickBot="1">
      <c r="B63" s="55" t="n"/>
      <c r="C63" s="36" t="n"/>
      <c r="F63" s="35" t="n"/>
      <c r="H63" s="52">
        <f>IF(TransferName="NONE",F68,IF(H62&gt;0,(E67-G43)*0.1,0))</f>
        <v/>
      </c>
      <c r="J63" s="55" t="n"/>
      <c r="K63" s="36" t="n"/>
      <c r="N63" s="35" t="n"/>
      <c r="P63" s="52">
        <f>IF(TransferName="NONE",N68,IF(P62&gt;0,(M67-O43)*0.1,0))</f>
        <v/>
      </c>
    </row>
    <row r="64">
      <c r="B64" s="667" t="n"/>
      <c r="F64" s="35" t="n"/>
      <c r="G64" s="34" t="inlineStr">
        <is>
          <t>Transferable</t>
        </is>
      </c>
      <c r="H64" s="52">
        <f>IF(H63&gt;0,H63,0)</f>
        <v/>
      </c>
      <c r="J64" s="667" t="n"/>
      <c r="N64" s="35" t="n"/>
      <c r="O64" s="34" t="inlineStr">
        <is>
          <t>Transferable</t>
        </is>
      </c>
      <c r="P64" s="52">
        <f>IF(P63&gt;0,P63,0)</f>
        <v/>
      </c>
    </row>
    <row r="65">
      <c r="B65" s="667" t="inlineStr">
        <is>
          <t>Adjusted Taxable Income</t>
        </is>
      </c>
      <c r="C65">
        <f>C46-(SUM(C48:C63))</f>
        <v/>
      </c>
      <c r="D65" s="13" t="inlineStr">
        <is>
          <t>Line 58640</t>
        </is>
      </c>
      <c r="E65" s="39">
        <f>IF(C65&gt;0,C65,0)</f>
        <v/>
      </c>
      <c r="F65" s="35" t="n"/>
      <c r="G65" s="34" t="n"/>
      <c r="H65" s="35" t="n"/>
      <c r="J65" s="667" t="inlineStr">
        <is>
          <t>Adjusted Taxable Income</t>
        </is>
      </c>
      <c r="K65">
        <f>K46-(SUM(K48:K63))</f>
        <v/>
      </c>
      <c r="L65" s="13" t="inlineStr">
        <is>
          <t>Line 5864</t>
        </is>
      </c>
      <c r="M65" s="39">
        <f>IF(K65&gt;0,K65,0)</f>
        <v/>
      </c>
      <c r="N65" s="35" t="n"/>
      <c r="O65" s="34" t="n"/>
      <c r="P65" s="35" t="n"/>
    </row>
    <row r="66" ht="15.75" customHeight="1" thickBot="1">
      <c r="B66" s="34" t="n"/>
      <c r="F66" s="35" t="n"/>
      <c r="G66" s="34" t="n"/>
      <c r="H66" s="35" t="n"/>
      <c r="J66" s="34" t="n"/>
      <c r="N66" s="35" t="n"/>
      <c r="O66" s="34" t="n"/>
      <c r="P66" s="35" t="n"/>
    </row>
    <row r="67" ht="15.75" customHeight="1" thickBot="1">
      <c r="B67" s="34" t="n"/>
      <c r="D67" s="21" t="inlineStr">
        <is>
          <t>Prov Trans</t>
        </is>
      </c>
      <c r="E67" s="36">
        <f>(E43-E65)</f>
        <v/>
      </c>
      <c r="F67" s="40" t="n"/>
      <c r="G67" s="34" t="n"/>
      <c r="H67" s="52" t="n"/>
      <c r="J67" s="34" t="n"/>
      <c r="L67" s="21" t="inlineStr">
        <is>
          <t>Prov Trans</t>
        </is>
      </c>
      <c r="M67" s="36">
        <f>(M43-M65)</f>
        <v/>
      </c>
      <c r="N67" s="40" t="n"/>
      <c r="O67" s="34" t="n"/>
      <c r="P67" s="52" t="n"/>
    </row>
    <row r="68" ht="15.75" customHeight="1" thickBot="1">
      <c r="B68" s="34" t="n"/>
      <c r="C68" s="579" t="inlineStr">
        <is>
          <t>DTC Transferable ESTIMATE</t>
        </is>
      </c>
      <c r="D68" s="35" t="n"/>
      <c r="E68" s="36">
        <f>IF(E67&lt;0,0,(IF(E67&gt;E41,E41,E67)))</f>
        <v/>
      </c>
      <c r="F68" s="40">
        <f>IF(E68&gt;0,E68*0.1,"No Transfer Required")</f>
        <v/>
      </c>
      <c r="G68" s="678" t="n"/>
      <c r="H68" s="52" t="n"/>
      <c r="J68" s="34" t="n"/>
      <c r="K68" s="579" t="inlineStr">
        <is>
          <t>DTC Transferable ESTIMATE</t>
        </is>
      </c>
      <c r="L68" s="35" t="n"/>
      <c r="M68" s="36">
        <f>IF(M67&lt;0,0,(IF(M67&gt;M41,M41,M67)))</f>
        <v/>
      </c>
      <c r="N68" s="40">
        <f>IF(M68&gt;0,M68*0.1,"No Transfer Required")</f>
        <v/>
      </c>
      <c r="O68" s="58" t="n"/>
      <c r="P68" s="52" t="n"/>
    </row>
    <row r="69" ht="15.75" customHeight="1" thickBot="1">
      <c r="B69" s="42" t="n"/>
      <c r="C69" s="41" t="n"/>
      <c r="D69" s="43" t="inlineStr">
        <is>
          <t>Net Transferable</t>
        </is>
      </c>
      <c r="E69" s="36">
        <f>IF(E67&lt;0,0,(IF(E67-G39-G40-G42&lt;0,E67,(E67-G39-G40-G42))))</f>
        <v/>
      </c>
      <c r="F69" s="57">
        <f>IF(E69&gt;0,E69*0.1,"0")</f>
        <v/>
      </c>
      <c r="G69" s="42" t="n"/>
      <c r="H69" s="864" t="n"/>
      <c r="J69" s="42" t="n"/>
      <c r="K69" s="41" t="n"/>
      <c r="L69" s="43" t="inlineStr">
        <is>
          <t>Net Transferable</t>
        </is>
      </c>
      <c r="M69" s="36">
        <f>IF(M67&lt;0,0,(IF(M67-O39-O40-O42&lt;0,M67,(M67-O39-O40-O42))))</f>
        <v/>
      </c>
      <c r="N69" s="57">
        <f>IF(M69&gt;0,M69*0.1,"0")</f>
        <v/>
      </c>
      <c r="O69" s="59" t="n"/>
      <c r="P69" s="864" t="n"/>
    </row>
    <row r="71" ht="15.75" customHeight="1" thickBot="1">
      <c r="E71">
        <f>Calculator!$D$5</f>
        <v/>
      </c>
      <c r="H71">
        <f>TransferName</f>
        <v/>
      </c>
      <c r="M71">
        <f>Calculator!$D$5</f>
        <v/>
      </c>
      <c r="P71">
        <f>TransferName</f>
        <v/>
      </c>
    </row>
    <row r="72" ht="15.75" customHeight="1" thickBot="1">
      <c r="B72" s="868" t="inlineStr">
        <is>
          <t>2020 ALBERTA Provincial</t>
        </is>
      </c>
      <c r="C72" s="778" t="n"/>
      <c r="D72" s="778" t="n"/>
      <c r="E72" s="778" t="n"/>
      <c r="F72" s="778" t="n"/>
      <c r="G72" s="778" t="n"/>
      <c r="H72" s="780" t="n"/>
      <c r="J72" s="868" t="inlineStr">
        <is>
          <t>2019 ALBERTA Provincial</t>
        </is>
      </c>
      <c r="K72" s="778" t="n"/>
      <c r="L72" s="778" t="n"/>
      <c r="M72" s="778" t="n"/>
      <c r="N72" s="778" t="n"/>
      <c r="O72" s="778" t="n"/>
      <c r="P72" s="780" t="n"/>
    </row>
    <row r="73" ht="28.5" customHeight="1" thickBot="1">
      <c r="B73" s="34" t="n"/>
      <c r="D73" t="inlineStr">
        <is>
          <t>Line</t>
        </is>
      </c>
      <c r="E73" t="inlineStr">
        <is>
          <t>Amt</t>
        </is>
      </c>
      <c r="F73" s="35" t="n"/>
      <c r="G73" s="667" t="inlineStr">
        <is>
          <t>Spouse</t>
        </is>
      </c>
      <c r="H73" s="35" t="inlineStr">
        <is>
          <t>S2 Adjustment</t>
        </is>
      </c>
      <c r="J73" s="34" t="n"/>
      <c r="L73" t="inlineStr">
        <is>
          <t>Line</t>
        </is>
      </c>
      <c r="M73" t="inlineStr">
        <is>
          <t>Amt</t>
        </is>
      </c>
      <c r="N73" s="35" t="n"/>
      <c r="O73" s="34" t="inlineStr">
        <is>
          <t>Spouse</t>
        </is>
      </c>
      <c r="P73" s="35" t="inlineStr">
        <is>
          <t>S2 Adjustment</t>
        </is>
      </c>
    </row>
    <row r="74" ht="15.75" customHeight="1" thickBot="1">
      <c r="B74" s="667" t="inlineStr">
        <is>
          <t>Age Amount</t>
        </is>
      </c>
      <c r="D74" t="inlineStr">
        <is>
          <t>Line 58080</t>
        </is>
      </c>
      <c r="E74" s="861">
        <f>(_xlfn.XLOOKUP(ClientNumber,Clients!D:D,Clients!CPH:CPH,2,0,1))</f>
        <v/>
      </c>
      <c r="F74" s="37" t="inlineStr">
        <is>
          <t>Line 59020</t>
        </is>
      </c>
      <c r="G74" s="51">
        <f>IF(TransferName="NONE",0,(_xlfn.XLOOKUP(TransferNumber,Clients!D:D,Clients!CRJ:CRJ,2,0,1)))</f>
        <v/>
      </c>
      <c r="H74" s="37">
        <f>IF(AND(E74&gt;0,G74=0),"Age Amount Can Be Transferred","No Action")</f>
        <v/>
      </c>
      <c r="J74" s="667" t="inlineStr">
        <is>
          <t>Age Amount</t>
        </is>
      </c>
      <c r="L74" t="inlineStr">
        <is>
          <t>Line 58080</t>
        </is>
      </c>
      <c r="M74" s="865">
        <f>(_xlfn.XLOOKUP(MainClient,Clients!D:D,Clients!DQC:DQC,2,0,1))</f>
        <v/>
      </c>
      <c r="N74" s="45" t="inlineStr">
        <is>
          <t>Line 59020</t>
        </is>
      </c>
      <c r="O74" s="51">
        <f>IF(TransferName="NONE",0,(_xlfn.XLOOKUP(TransferNumber,Clients!D:D,Clients!DSE:DSE,2,0,1)))</f>
        <v/>
      </c>
      <c r="P74" s="37">
        <f>IF(AND(M74&gt;0,O74=0),"Age Amount Can Be Transferred","No Action")</f>
        <v/>
      </c>
    </row>
    <row r="75" ht="15.75" customHeight="1" thickBot="1">
      <c r="B75" s="667" t="inlineStr">
        <is>
          <t>Pension Income Amount</t>
        </is>
      </c>
      <c r="D75" t="inlineStr">
        <is>
          <t>Line 58360 (mx 1491)</t>
        </is>
      </c>
      <c r="E75" s="861">
        <f>IF((_xlfn.XLOOKUP(ClientNumber,Clients!D:D,Clients!CQH:CQH,2,0,1)&lt;1491),(_xlfn.XLOOKUP(MainClient,Clients!D:D,Clients!CQH:CQH,2,0,1)),1491)</f>
        <v/>
      </c>
      <c r="F75" s="37" t="inlineStr">
        <is>
          <t>Line 59050</t>
        </is>
      </c>
      <c r="G75" s="51">
        <f>IF(TransferName="NONE",0,(_xlfn.XLOOKUP(TransferNumber,Clients!D:D,Clients!CRM:CRM,2,0,1)))</f>
        <v/>
      </c>
      <c r="H75" s="37">
        <f>IF(AND(E75&gt;0,G75=0),"Pension Income Amount Can Be Transferred","No Action")</f>
        <v/>
      </c>
      <c r="J75" s="667" t="inlineStr">
        <is>
          <t>Pension Income Amount</t>
        </is>
      </c>
      <c r="L75" t="inlineStr">
        <is>
          <t>Line 58360 (mx 1491)</t>
        </is>
      </c>
      <c r="M75" s="865">
        <f>IF((_xlfn.XLOOKUP(ClientNumber,Clients!D:D,Clients!DRC:DRC,2,0,1)&lt;1491),(_xlfn.XLOOKUP(MainClient,Clients!D:D,Clients!DRC:DRC,2,0,1)),1491)</f>
        <v/>
      </c>
      <c r="N75" s="45" t="inlineStr">
        <is>
          <t>Line 59050</t>
        </is>
      </c>
      <c r="O75" s="51">
        <f>IF(TransferName="NONE",0,(_xlfn.XLOOKUP(TransferNumber,Clients!D:D,Clients!DSH:DSH,2,0,1)))</f>
        <v/>
      </c>
      <c r="P75" s="37">
        <f>IF(AND(M75&gt;0,O75=0),"Pension Income Amount Can Be Transferred","No Action")</f>
        <v/>
      </c>
    </row>
    <row r="76" ht="15.75" customHeight="1" thickBot="1">
      <c r="B76" s="667" t="inlineStr">
        <is>
          <t>Disability Amount</t>
        </is>
      </c>
      <c r="D76" t="inlineStr">
        <is>
          <t>Line 58440</t>
        </is>
      </c>
      <c r="E76" s="861">
        <f>IF(_xlfn.XLOOKUP(ClientNumber,Clients!D:D,Clients!CQJ:CQJ,2,0,1)=0,14940,(_xlfn.XLOOKUP(MainClient,Clients!D:D,Clients!CQJ:CQJ,2,0,1)))</f>
        <v/>
      </c>
      <c r="F76" s="37" t="inlineStr">
        <is>
          <t>Line 59070</t>
        </is>
      </c>
      <c r="G76" s="51">
        <f>IF(TransferName="NONE",0,(_xlfn.XLOOKUP(TransferNumber,Clients!D:D,Clients!CRN:CRN,2,0,1)))</f>
        <v/>
      </c>
      <c r="H76" s="37">
        <f>IF(AND(E76&gt;0,G76=0),"DTC Transferable Not Claimed Can Be Transferred","No Action")</f>
        <v/>
      </c>
      <c r="J76" s="667" t="inlineStr">
        <is>
          <t>Disability Amount</t>
        </is>
      </c>
      <c r="L76" t="inlineStr">
        <is>
          <t>Line 58440</t>
        </is>
      </c>
      <c r="M76" s="865">
        <f>IF(_xlfn.XLOOKUP(ClientNumber,Clients!D:D,Clients!DRE:DRE,2,0,1)=0,14940,(_xlfn.XLOOKUP(MainClient,Clients!D:D,Clients!DRE:DRE,2,0,1)))</f>
        <v/>
      </c>
      <c r="N76" s="45" t="inlineStr">
        <is>
          <t>Line 59070</t>
        </is>
      </c>
      <c r="O76" s="51">
        <f>IF(TransferName="NONE",0,(_xlfn.XLOOKUP(TransferNumber,Clients!D:D,Clients!DSI:DSI,2,0,1)))</f>
        <v/>
      </c>
      <c r="P76" s="37">
        <f>IF(AND(M76&gt;0,O76=0),"DTC Transferable Not Claimed Can Be Transferred","No Action")</f>
        <v/>
      </c>
    </row>
    <row r="77" ht="15.75" customHeight="1" thickBot="1">
      <c r="B77" s="667" t="n"/>
      <c r="E77" s="861" t="n"/>
      <c r="F77" s="37" t="n"/>
      <c r="G77" s="51" t="n"/>
      <c r="H77" s="37" t="n"/>
      <c r="J77" s="667" t="inlineStr">
        <is>
          <t>Tuition Amount</t>
        </is>
      </c>
      <c r="L77" t="inlineStr">
        <is>
          <t>Line 59200</t>
        </is>
      </c>
      <c r="M77" s="865">
        <f>(_xlfn.XLOOKUP(MainClient,Clients!D:D,Clients!DST:DST,2,0,1))</f>
        <v/>
      </c>
      <c r="N77" s="45" t="inlineStr">
        <is>
          <t>Line 59090</t>
        </is>
      </c>
      <c r="O77" s="51">
        <f>IF(TransferName="NONE",0,(_xlfn.XLOOKUP(TransferNumber,Clients!D:D,Clients!DSJ:DSJ,2,0,1)))</f>
        <v/>
      </c>
      <c r="P77" s="37">
        <f>IF(AND(M77&gt;0,O77=0),"Age Amount Can Be Transferred","No Action")</f>
        <v/>
      </c>
    </row>
    <row r="78">
      <c r="B78" s="667" t="n"/>
      <c r="E78" s="771">
        <f>SUM(E74:E76)</f>
        <v/>
      </c>
      <c r="F78" s="37" t="n"/>
      <c r="G78" s="667">
        <f>SUM(G74:G77)</f>
        <v/>
      </c>
      <c r="H78" s="37" t="n"/>
      <c r="J78" s="667" t="n"/>
      <c r="M78" s="872">
        <f>SUM(M74:M77)</f>
        <v/>
      </c>
      <c r="N78" s="37" t="n"/>
      <c r="O78" s="667">
        <f>SUM(O74:O77)</f>
        <v/>
      </c>
      <c r="P78" s="37" t="n"/>
    </row>
    <row r="79">
      <c r="B79" s="667" t="n"/>
      <c r="C79" s="668" t="n"/>
      <c r="E79" s="771" t="n"/>
      <c r="F79" s="37" t="n"/>
      <c r="G79" s="668" t="n"/>
      <c r="H79" s="37" t="n"/>
      <c r="J79" s="667" t="n"/>
      <c r="K79" s="668" t="n"/>
      <c r="M79" s="872" t="n"/>
      <c r="N79" s="37" t="n"/>
      <c r="O79" s="668" t="n"/>
      <c r="P79" s="37" t="n"/>
    </row>
    <row r="80" ht="15.75" customHeight="1" thickBot="1">
      <c r="B80" s="34" t="n"/>
      <c r="F80" s="35" t="n"/>
      <c r="H80" s="35" t="n"/>
      <c r="J80" s="34" t="n"/>
      <c r="N80" s="35" t="n"/>
      <c r="P80" s="35" t="n"/>
    </row>
    <row r="81" ht="15.75" customHeight="1" thickBot="1">
      <c r="B81" s="667" t="inlineStr">
        <is>
          <t>Line 26000</t>
        </is>
      </c>
      <c r="C81" s="36">
        <f>(_xlfn.XLOOKUP(MainClient,Clients!D:D,Clients!CHI:CHI,2,0,1))</f>
        <v/>
      </c>
      <c r="F81" s="35" t="n"/>
      <c r="G81" s="34">
        <f>IF(E104&gt;E76,"other transferable credits","DTC Only")</f>
        <v/>
      </c>
      <c r="H81" s="35" t="n"/>
      <c r="J81" s="667" t="inlineStr">
        <is>
          <t>Line 260</t>
        </is>
      </c>
      <c r="K81" s="36">
        <f>(_xlfn.XLOOKUP(MainClient,Clients!D:D,Clients!DID:DID,2,0,1))</f>
        <v/>
      </c>
      <c r="N81" s="35" t="n"/>
      <c r="O81" s="34">
        <f>IF(M104&gt;M76,"other transferable credits","DTC Only")</f>
        <v/>
      </c>
      <c r="P81" s="35" t="n"/>
    </row>
    <row r="82" ht="15.75" customHeight="1" thickBot="1">
      <c r="B82" s="34" t="n"/>
      <c r="F82" s="35" t="n"/>
      <c r="G82" s="34" t="n"/>
      <c r="H82" s="35" t="n"/>
      <c r="J82" s="34" t="n"/>
      <c r="N82" s="35" t="n"/>
      <c r="O82" s="34" t="n"/>
      <c r="P82" s="35" t="n"/>
    </row>
    <row r="83" ht="15.75" customHeight="1" thickBot="1">
      <c r="B83" s="55" t="inlineStr">
        <is>
          <t>Line 58040</t>
        </is>
      </c>
      <c r="C83" s="36">
        <f>(_xlfn.XLOOKUP(ClientNumber,Clients!D:D,Clients!CPG:CPG,2,0,1))</f>
        <v/>
      </c>
      <c r="D83" s="34" t="n"/>
      <c r="G83" s="34" t="n"/>
      <c r="H83" s="35" t="n"/>
      <c r="J83" s="55" t="inlineStr">
        <is>
          <t>Line 58040</t>
        </is>
      </c>
      <c r="K83" s="36">
        <f>(_xlfn.XLOOKUP(MainClient,Clients!D:D,Clients!DQB:DQB,2,0,1))</f>
        <v/>
      </c>
      <c r="L83" s="34" t="n"/>
      <c r="N83" s="35" t="n"/>
      <c r="O83" s="34" t="n"/>
      <c r="P83" s="35" t="n"/>
    </row>
    <row r="84" ht="15.75" customHeight="1" thickBot="1">
      <c r="B84" s="55" t="inlineStr">
        <is>
          <t>Line 58240</t>
        </is>
      </c>
      <c r="C84" s="36">
        <f>(_xlfn.XLOOKUP(ClientNumber,Clients!D:D,Clients!CHU:CHU,2,0,1))</f>
        <v/>
      </c>
      <c r="D84" s="34" t="n"/>
      <c r="G84" s="34" t="n"/>
      <c r="H84" s="35" t="n"/>
      <c r="J84" s="55" t="inlineStr">
        <is>
          <t>Line 58240</t>
        </is>
      </c>
      <c r="K84" s="36">
        <f>(_xlfn.XLOOKUP(MainClient,Clients!D:D,Clients!DQQ:DQQ,2,0,1))</f>
        <v/>
      </c>
      <c r="L84" s="34" t="n"/>
      <c r="N84" s="35" t="n"/>
      <c r="O84" s="34" t="n"/>
      <c r="P84" s="35" t="n"/>
    </row>
    <row r="85" ht="15.75" customHeight="1" thickBot="1">
      <c r="B85" s="55" t="inlineStr">
        <is>
          <t>Line 58280</t>
        </is>
      </c>
      <c r="C85" s="36">
        <f>(_xlfn.XLOOKUP(ClientNumber,Clients!D:D,Clients!CHV:CHV,2,0,1))</f>
        <v/>
      </c>
      <c r="D85" s="34" t="n"/>
      <c r="G85" s="34" t="n"/>
      <c r="H85" s="35" t="n"/>
      <c r="J85" s="55" t="inlineStr">
        <is>
          <t>Line 58280</t>
        </is>
      </c>
      <c r="K85" s="36">
        <f>(_xlfn.XLOOKUP(MainClient,Clients!D:D,Clients!DQR:DQR,2,0,1))</f>
        <v/>
      </c>
      <c r="L85" s="34" t="n"/>
      <c r="N85" s="35" t="n"/>
      <c r="P85" s="35" t="n"/>
    </row>
    <row r="86" ht="15.75" customHeight="1" thickBot="1">
      <c r="B86" s="55" t="inlineStr">
        <is>
          <t>Line 58300</t>
        </is>
      </c>
      <c r="C86" s="36">
        <f>(_xlfn.XLOOKUP(ClientNumber,Clients!D:D,Clients!CHW:CHW,2,0,1))</f>
        <v/>
      </c>
      <c r="D86" s="34" t="n"/>
      <c r="G86" s="34" t="n"/>
      <c r="H86" s="35" t="n"/>
      <c r="J86" s="55" t="inlineStr">
        <is>
          <t>Line 58300</t>
        </is>
      </c>
      <c r="K86" s="36">
        <f>(_xlfn.XLOOKUP(MainClient,Clients!D:D,Clients!DQS:DQS,2,0,1))</f>
        <v/>
      </c>
      <c r="L86" s="34" t="n"/>
      <c r="N86" s="35" t="n"/>
      <c r="O86" s="34" t="n"/>
      <c r="P86" s="35" t="n"/>
    </row>
    <row r="87" ht="15.75" customHeight="1" thickBot="1">
      <c r="B87" s="55" t="inlineStr">
        <is>
          <t>Line 58305</t>
        </is>
      </c>
      <c r="C87" s="36">
        <f>(_xlfn.XLOOKUP(ClientNumber,Clients!D:D,Clients!CIA:CIA,2,0,1))</f>
        <v/>
      </c>
      <c r="D87" s="34" t="n"/>
      <c r="G87" s="34" t="n"/>
      <c r="H87" s="35" t="n"/>
      <c r="J87" s="55" t="inlineStr">
        <is>
          <t>Line 58305</t>
        </is>
      </c>
      <c r="K87" s="36">
        <f>(_xlfn.XLOOKUP(MainClient,Clients!D:D,Clients!DQT:DQT,2,0,1))</f>
        <v/>
      </c>
      <c r="L87" s="34" t="n"/>
      <c r="N87" s="35" t="n"/>
      <c r="O87" s="34" t="n"/>
      <c r="P87" s="35" t="n"/>
    </row>
    <row r="88" ht="15.75" customHeight="1" thickBot="1">
      <c r="B88" s="55" t="inlineStr">
        <is>
          <t>Line 58330</t>
        </is>
      </c>
      <c r="C88" s="36">
        <f>(_xlfn.XLOOKUP(ClientNumber,Clients!D:D,Clients!CQF:CQF,2,0,1))</f>
        <v/>
      </c>
      <c r="D88" s="34" t="n"/>
      <c r="G88" s="34" t="n"/>
      <c r="H88" s="35" t="n"/>
      <c r="J88" s="55" t="inlineStr">
        <is>
          <t>Line 58330</t>
        </is>
      </c>
      <c r="K88" s="36">
        <f>(_xlfn.XLOOKUP(MainClient,Clients!D:D,Clients!DRA:DRA,2,0,1))</f>
        <v/>
      </c>
      <c r="L88" s="34" t="n"/>
      <c r="N88" s="35" t="n"/>
      <c r="O88" s="34" t="n"/>
      <c r="P88" s="35" t="n"/>
    </row>
    <row r="89" ht="15.75" customHeight="1" thickBot="1">
      <c r="B89" s="55" t="inlineStr">
        <is>
          <t>Line 58560</t>
        </is>
      </c>
      <c r="C89" s="36">
        <f>(_xlfn.XLOOKUP(ClientNumber,Clients!D:D,Clients!CQN:CQN,2,0,1))</f>
        <v/>
      </c>
      <c r="D89" s="34" t="n"/>
      <c r="G89" s="34" t="n"/>
      <c r="H89" s="35" t="n"/>
      <c r="J89" s="55" t="inlineStr">
        <is>
          <t>Line 58560</t>
        </is>
      </c>
      <c r="K89" s="36">
        <f>(_xlfn.XLOOKUP(MainClient,Clients!D:D,Clients!DRI:DRI,2,0,1))</f>
        <v/>
      </c>
      <c r="L89" s="34" t="n"/>
      <c r="N89" s="35" t="n"/>
      <c r="O89" s="34" t="n"/>
      <c r="P89" s="35" t="n"/>
    </row>
    <row r="90" ht="15.75" customHeight="1" thickBot="1">
      <c r="B90" s="38" t="n"/>
      <c r="C90" s="36" t="n"/>
      <c r="F90" s="35" t="n"/>
      <c r="G90" s="34" t="n"/>
      <c r="H90" s="35" t="n"/>
      <c r="J90" s="38" t="n"/>
      <c r="K90" s="36" t="n"/>
      <c r="N90" s="35" t="n"/>
      <c r="O90" s="34" t="n"/>
      <c r="P90" s="35" t="n"/>
    </row>
    <row r="91" ht="15.75" customHeight="1" thickBot="1">
      <c r="B91" s="38" t="n"/>
      <c r="C91" s="36" t="n"/>
      <c r="F91" s="35" t="n"/>
      <c r="G91" s="34" t="n"/>
      <c r="H91" s="35" t="n"/>
      <c r="J91" s="68" t="n"/>
      <c r="K91" s="36" t="n"/>
      <c r="N91" s="35" t="n"/>
      <c r="O91" s="34" t="n"/>
      <c r="P91" s="35" t="n"/>
    </row>
    <row r="92" ht="15.75" customHeight="1" thickBot="1">
      <c r="B92" s="38" t="n"/>
      <c r="C92" s="36" t="n"/>
      <c r="F92" s="35" t="n"/>
      <c r="G92" s="34" t="n"/>
      <c r="H92" s="35" t="n"/>
      <c r="J92" s="38" t="n"/>
      <c r="K92" s="36" t="n"/>
      <c r="N92" s="35" t="n"/>
      <c r="O92" s="34" t="n"/>
      <c r="P92" s="35" t="n"/>
    </row>
    <row r="93" ht="15.75" customHeight="1" thickBot="1">
      <c r="B93" s="38" t="n"/>
      <c r="C93" s="36" t="n"/>
      <c r="F93" s="35" t="n"/>
      <c r="G93" s="34" t="inlineStr">
        <is>
          <t>Line 326</t>
        </is>
      </c>
      <c r="H93" s="35">
        <f>IF(TransferName="NONE",0,(_xlfn.XLOOKUP(TransferNumber,Clients!D:D,Clients!CIH:CIH,2,0,1)))</f>
        <v/>
      </c>
      <c r="J93" s="38" t="n"/>
      <c r="K93" s="36" t="n"/>
      <c r="N93" s="35" t="n"/>
      <c r="O93" s="34" t="inlineStr">
        <is>
          <t>Line 326</t>
        </is>
      </c>
      <c r="P93" s="35">
        <f>IFERROR(_xlfn.XLOOKUP(TransferNumber,Clients!D:D,Clients!FJZ:FJZ,2,0,1),0)</f>
        <v/>
      </c>
    </row>
    <row r="94" ht="15.75" customHeight="1" thickBot="1">
      <c r="B94" s="38" t="n"/>
      <c r="C94" s="36" t="n"/>
      <c r="F94" s="35" t="n"/>
      <c r="G94" s="34" t="n"/>
      <c r="H94" s="35" t="n"/>
      <c r="J94" s="38" t="n"/>
      <c r="K94" s="36" t="n"/>
      <c r="N94" s="35" t="n"/>
      <c r="O94" s="34" t="n"/>
      <c r="P94" s="35" t="n"/>
    </row>
    <row r="95" ht="15.75" customHeight="1" thickBot="1">
      <c r="B95" s="38" t="n"/>
      <c r="C95" s="36" t="n"/>
      <c r="F95" s="35" t="n"/>
      <c r="G95" s="34" t="n"/>
      <c r="H95" s="35" t="n"/>
      <c r="J95" s="38" t="n"/>
      <c r="K95" s="36" t="n"/>
      <c r="N95" s="35" t="n"/>
      <c r="O95" s="34" t="n"/>
      <c r="P95" s="35" t="n"/>
    </row>
    <row r="96" ht="15.75" customHeight="1" thickBot="1">
      <c r="B96" s="38" t="n"/>
      <c r="C96" s="36" t="n"/>
      <c r="F96" s="35" t="n"/>
      <c r="G96" s="34" t="n"/>
      <c r="H96" s="35" t="n"/>
      <c r="J96" s="38" t="n"/>
      <c r="K96" s="36" t="n"/>
      <c r="N96" s="35" t="n"/>
      <c r="O96" s="34" t="n"/>
      <c r="P96" s="35" t="n"/>
    </row>
    <row r="97" ht="15.75" customHeight="1" thickBot="1">
      <c r="B97" s="38" t="n"/>
      <c r="C97" s="36" t="n"/>
      <c r="F97" s="35" t="n"/>
      <c r="G97" s="34" t="n"/>
      <c r="H97" s="35">
        <f>IF(E102&gt;0,E78-G78,0)</f>
        <v/>
      </c>
      <c r="J97" s="38" t="n"/>
      <c r="K97" s="36" t="n"/>
      <c r="N97" s="35" t="n"/>
      <c r="O97" s="34" t="n"/>
      <c r="P97" s="35">
        <f>IF(M102&gt;0,M78-O78,0)</f>
        <v/>
      </c>
    </row>
    <row r="98" ht="15.75" customHeight="1" thickBot="1">
      <c r="B98" s="38" t="n"/>
      <c r="C98" s="36" t="n"/>
      <c r="F98" s="35" t="n"/>
      <c r="H98" s="52">
        <f>IF(TransferName="NONE",F103,IF(H97&gt;0,(E102-G78)*0.1,0))</f>
        <v/>
      </c>
      <c r="J98" s="38" t="n"/>
      <c r="K98" s="36" t="n"/>
      <c r="N98" s="35" t="n"/>
      <c r="P98" s="52">
        <f>IF(TransferName="NONE",N103,IF(P97&gt;0,(M102-O78)*0.1,0))</f>
        <v/>
      </c>
    </row>
    <row r="99">
      <c r="B99" s="667" t="n"/>
      <c r="F99" s="35" t="n"/>
      <c r="G99" s="34" t="inlineStr">
        <is>
          <t>Transferable</t>
        </is>
      </c>
      <c r="H99" s="52">
        <f>IF(H98&gt;0,H98,0)</f>
        <v/>
      </c>
      <c r="J99" s="667" t="n"/>
      <c r="N99" s="35" t="n"/>
      <c r="O99" s="34" t="inlineStr">
        <is>
          <t>Transferable</t>
        </is>
      </c>
      <c r="P99" s="52">
        <f>IF(P98&gt;0,P98,0)</f>
        <v/>
      </c>
    </row>
    <row r="100">
      <c r="B100" s="667" t="inlineStr">
        <is>
          <t>Adjusted Taxable Income</t>
        </is>
      </c>
      <c r="C100">
        <f>C81-(SUM(C83:C98))</f>
        <v/>
      </c>
      <c r="D100" s="13" t="inlineStr">
        <is>
          <t>Line 58640</t>
        </is>
      </c>
      <c r="E100" s="39">
        <f>IF(C100&gt;0,C100,0)</f>
        <v/>
      </c>
      <c r="F100" s="35" t="n"/>
      <c r="G100" s="34" t="n"/>
      <c r="H100" s="35" t="n"/>
      <c r="J100" s="667" t="inlineStr">
        <is>
          <t>Adjusted Taxable Income</t>
        </is>
      </c>
      <c r="K100">
        <f>K81-(SUM(K83:K98))</f>
        <v/>
      </c>
      <c r="L100" s="13" t="inlineStr">
        <is>
          <t>Line 5864</t>
        </is>
      </c>
      <c r="M100" s="39">
        <f>IF(K100&gt;0,K100,0)</f>
        <v/>
      </c>
      <c r="N100" s="35" t="n"/>
      <c r="O100" s="34" t="n"/>
      <c r="P100" s="35" t="n"/>
    </row>
    <row r="101" ht="15.75" customHeight="1" thickBot="1">
      <c r="B101" s="34" t="n"/>
      <c r="F101" s="35" t="n"/>
      <c r="G101" s="34" t="n"/>
      <c r="H101" s="35" t="n"/>
      <c r="J101" s="34" t="n"/>
      <c r="N101" s="35" t="n"/>
      <c r="O101" s="34" t="n"/>
      <c r="P101" s="35" t="n"/>
    </row>
    <row r="102" ht="15.75" customHeight="1" thickBot="1">
      <c r="B102" s="34" t="n"/>
      <c r="D102" s="21" t="inlineStr">
        <is>
          <t>Prov Trans</t>
        </is>
      </c>
      <c r="E102" s="36">
        <f>(E78-E100)</f>
        <v/>
      </c>
      <c r="F102" s="40" t="n"/>
      <c r="G102" s="34" t="n"/>
      <c r="H102" s="52" t="n"/>
      <c r="J102" s="34" t="n"/>
      <c r="L102" s="21" t="inlineStr">
        <is>
          <t>Prov Trans</t>
        </is>
      </c>
      <c r="M102" s="36">
        <f>(M78-M100)</f>
        <v/>
      </c>
      <c r="N102" s="40" t="n"/>
      <c r="O102" s="34" t="n"/>
      <c r="P102" s="52" t="n"/>
    </row>
    <row r="103" ht="15.75" customHeight="1" thickBot="1">
      <c r="B103" s="34" t="n"/>
      <c r="C103" s="579" t="inlineStr">
        <is>
          <t>DTC Transferable ESTIMATE</t>
        </is>
      </c>
      <c r="D103" s="35" t="n"/>
      <c r="E103" s="36">
        <f>IF(E102&lt;0,0,(IF(E102&gt;E76,E76,E102)))</f>
        <v/>
      </c>
      <c r="F103" s="40">
        <f>IF(E103&gt;0,E103*0.1,"No Transfer Required")</f>
        <v/>
      </c>
      <c r="G103" s="678" t="n"/>
      <c r="H103" s="52" t="n"/>
      <c r="J103" s="34" t="n"/>
      <c r="K103" s="579" t="inlineStr">
        <is>
          <t>DTC Transferable ESTIMATE</t>
        </is>
      </c>
      <c r="L103" s="35" t="n"/>
      <c r="M103" s="36">
        <f>IF(M102&lt;0,0,(IF(M102&gt;M76,M76,M102)))</f>
        <v/>
      </c>
      <c r="N103" s="40">
        <f>IF(M103&gt;0,M103*0.1,"No Transfer Required")</f>
        <v/>
      </c>
      <c r="O103" s="58" t="n"/>
      <c r="P103" s="52" t="n"/>
    </row>
    <row r="104" ht="15.75" customHeight="1" thickBot="1">
      <c r="B104" s="42" t="n"/>
      <c r="C104" s="41" t="n"/>
      <c r="D104" s="43" t="inlineStr">
        <is>
          <t>Net Transferable</t>
        </is>
      </c>
      <c r="E104" s="36">
        <f>IF(E102&lt;0,0,(IF(E102-G74-G75-G77&lt;0,E102,(E102-G74-G75-G77))))</f>
        <v/>
      </c>
      <c r="F104" s="57">
        <f>IF(E104&gt;0,E104*0.1,"0")</f>
        <v/>
      </c>
      <c r="G104" s="42" t="n"/>
      <c r="H104" s="864" t="n"/>
      <c r="J104" s="42" t="n"/>
      <c r="K104" s="41" t="n"/>
      <c r="L104" s="43" t="inlineStr">
        <is>
          <t>Net Transferable</t>
        </is>
      </c>
      <c r="M104" s="36">
        <f>IF(M102&lt;0,0,(IF(M102-O74-O75-O77&lt;0,M102,(M102-O74-O75-O77))))</f>
        <v/>
      </c>
      <c r="N104" s="57">
        <f>IF(M104&gt;0,M104*0.1,"0")</f>
        <v/>
      </c>
      <c r="O104" s="59" t="n"/>
      <c r="P104" s="864" t="n"/>
    </row>
    <row r="106" ht="15.75" customHeight="1" thickBot="1">
      <c r="E106">
        <f>Calculator!$D$5</f>
        <v/>
      </c>
      <c r="H106">
        <f>TransferName</f>
        <v/>
      </c>
      <c r="M106">
        <f>Calculator!$D$5</f>
        <v/>
      </c>
      <c r="P106">
        <f>TransferName</f>
        <v/>
      </c>
    </row>
    <row r="107" ht="15.75" customHeight="1" thickBot="1">
      <c r="B107" s="868" t="inlineStr">
        <is>
          <t>2018 ALBERTA Provincial</t>
        </is>
      </c>
      <c r="C107" s="778" t="n"/>
      <c r="D107" s="778" t="n"/>
      <c r="E107" s="778" t="n"/>
      <c r="F107" s="778" t="n"/>
      <c r="G107" s="778" t="n"/>
      <c r="H107" s="780" t="n"/>
      <c r="J107" s="868" t="inlineStr">
        <is>
          <t>2017 ALBERTA Provincial</t>
        </is>
      </c>
      <c r="K107" s="778" t="n"/>
      <c r="L107" s="778" t="n"/>
      <c r="M107" s="778" t="n"/>
      <c r="N107" s="778" t="n"/>
      <c r="O107" s="778" t="n"/>
      <c r="P107" s="780" t="n"/>
    </row>
    <row r="108" ht="15.75" customHeight="1" thickBot="1">
      <c r="B108" s="34" t="n"/>
      <c r="D108" t="inlineStr">
        <is>
          <t>Line</t>
        </is>
      </c>
      <c r="E108" t="inlineStr">
        <is>
          <t>Amt</t>
        </is>
      </c>
      <c r="F108" s="35" t="n"/>
      <c r="G108" s="667" t="inlineStr">
        <is>
          <t>Spouse</t>
        </is>
      </c>
      <c r="H108" s="35" t="inlineStr">
        <is>
          <t>S2 Adjustment</t>
        </is>
      </c>
      <c r="J108" s="34" t="n"/>
      <c r="L108" t="inlineStr">
        <is>
          <t>Line</t>
        </is>
      </c>
      <c r="M108" t="inlineStr">
        <is>
          <t>Amt</t>
        </is>
      </c>
      <c r="N108" s="35" t="n"/>
      <c r="O108" s="34" t="inlineStr">
        <is>
          <t>Spouse</t>
        </is>
      </c>
      <c r="P108" s="35" t="inlineStr">
        <is>
          <t>S2 Adjustment</t>
        </is>
      </c>
    </row>
    <row r="109" ht="15.75" customHeight="1" thickBot="1">
      <c r="B109" s="667" t="inlineStr">
        <is>
          <t>Age Amount</t>
        </is>
      </c>
      <c r="D109" t="inlineStr">
        <is>
          <t>Line 5808</t>
        </is>
      </c>
      <c r="E109" s="861">
        <f>(_xlfn.XLOOKUP(ClientNumber,Clients!D:D,Clients!EQZ:EQZ,2,0,1))</f>
        <v/>
      </c>
      <c r="F109" s="37" t="inlineStr">
        <is>
          <t>Line 59020</t>
        </is>
      </c>
      <c r="G109" s="51">
        <f>IF(TransferName="NONE",0,(_xlfn.XLOOKUP(TransferNumber,Clients!D:D,Clients!ETB:ETB,2,0,1)))</f>
        <v/>
      </c>
      <c r="H109" s="37">
        <f>IF(AND(E109&gt;0,G109=0),"Age Amount Can Be Transferred","No Action")</f>
        <v/>
      </c>
      <c r="J109" s="667" t="inlineStr">
        <is>
          <t>Age Amount</t>
        </is>
      </c>
      <c r="L109" t="inlineStr">
        <is>
          <t>Line 5808</t>
        </is>
      </c>
      <c r="M109" s="865">
        <f>(_xlfn.XLOOKUP(MainClient,Clients!D:D,Clients!FRB:FRB,2,0,1))</f>
        <v/>
      </c>
      <c r="N109" s="45" t="inlineStr">
        <is>
          <t>Line 59020</t>
        </is>
      </c>
      <c r="O109" s="51">
        <f>IF(TransferName="NONE",0,(_xlfn.XLOOKUP(TransferNumber,Clients!D:D,Clients!FTD:FTD,2,0,1)))</f>
        <v/>
      </c>
      <c r="P109" s="37">
        <f>IF(AND(M109&gt;0,O109=0),"Age Amount Can Be Transferred","No Action")</f>
        <v/>
      </c>
    </row>
    <row r="110" ht="15.75" customHeight="1" thickBot="1">
      <c r="B110" s="667" t="inlineStr">
        <is>
          <t>Pension Income Amount</t>
        </is>
      </c>
      <c r="D110" t="inlineStr">
        <is>
          <t>Line 5836 (mx 1456)</t>
        </is>
      </c>
      <c r="E110" s="861">
        <f>IF((_xlfn.XLOOKUP(ClientNumber,Clients!D:D,Clients!ERZ:ERZ,2,0,1)&lt;1456),(_xlfn.XLOOKUP(MainClient,Clients!D:D,Clients!ERZ:ERZ,2,0,1)),1456)</f>
        <v/>
      </c>
      <c r="F110" s="37" t="inlineStr">
        <is>
          <t>Line 59050</t>
        </is>
      </c>
      <c r="G110" s="51">
        <f>IF(TransferName="NONE",0,(_xlfn.XLOOKUP(TransferNumber,Clients!D:D,Clients!ETE:ETE,2,0,1)))</f>
        <v/>
      </c>
      <c r="H110" s="37">
        <f>IF(AND(E110&gt;0,G110=0),"Pension Income Amount Can Be Transferred","No Action")</f>
        <v/>
      </c>
      <c r="J110" s="667" t="inlineStr">
        <is>
          <t>Pension Income Amount</t>
        </is>
      </c>
      <c r="L110" t="inlineStr">
        <is>
          <t>Line 5836 (mx 1439)</t>
        </is>
      </c>
      <c r="M110" s="865">
        <f>IF((_xlfn.XLOOKUP(ClientNumber,Clients!D:D,Clients!FSB:FSB,2,0,1)&lt;1439),(_xlfn.XLOOKUP(MainClient,Clients!D:D,Clients!FSB:FSB,2,0,1)),1439)</f>
        <v/>
      </c>
      <c r="N110" s="45" t="inlineStr">
        <is>
          <t>Line 59050</t>
        </is>
      </c>
      <c r="O110" s="51">
        <f>IF(TransferName="NONE",0,(_xlfn.XLOOKUP(TransferNumber,Clients!D:D,Clients!FTG:FTG,2,0,1)))</f>
        <v/>
      </c>
      <c r="P110" s="37">
        <f>IF(AND(M110&gt;0,O110=0),"Pension Income Amount Can Be Transferred","No Action")</f>
        <v/>
      </c>
    </row>
    <row r="111" ht="15.75" customHeight="1" thickBot="1">
      <c r="B111" s="667" t="inlineStr">
        <is>
          <t>Disability Amount</t>
        </is>
      </c>
      <c r="D111" t="inlineStr">
        <is>
          <t>Line 5844</t>
        </is>
      </c>
      <c r="E111" s="861">
        <f>IF(_xlfn.XLOOKUP(ClientNumber,Clients!D:D,Clients!ESB:ESB,2,0,1)=0,14590,(_xlfn.XLOOKUP(MainClient,Clients!D:D,Clients!ESB:ESB,2,0,1)))</f>
        <v/>
      </c>
      <c r="F111" s="37" t="inlineStr">
        <is>
          <t>Line 59070</t>
        </is>
      </c>
      <c r="G111" s="51">
        <f>IF(TransferName="NONE",0,(_xlfn.XLOOKUP(TransferNumber,Clients!D:D,Clients!ETF:ETF,2,0,1)))</f>
        <v/>
      </c>
      <c r="H111" s="37">
        <f>IF(AND(E111&gt;0,G111=0),"DTC Transferable Not Claimed Can Be Transferred","No Action")</f>
        <v/>
      </c>
      <c r="J111" s="667" t="inlineStr">
        <is>
          <t>Disability Amount</t>
        </is>
      </c>
      <c r="L111" t="inlineStr">
        <is>
          <t>Line 5844</t>
        </is>
      </c>
      <c r="M111" s="865">
        <f>IF(_xlfn.XLOOKUP(ClientNumber,Clients!D:D,Clients!FSD:FSD,2,0,1)=0,14417,(_xlfn.XLOOKUP(MainClient,Clients!D:D,Clients!FSD:FSD,2,0,1)))</f>
        <v/>
      </c>
      <c r="N111" s="45" t="inlineStr">
        <is>
          <t>Line 59070</t>
        </is>
      </c>
      <c r="O111" s="51">
        <f>IF(TransferName="NONE",0,(_xlfn.XLOOKUP(TransferNumber,Clients!D:D,Clients!FTH:FTH,2,0,1)))</f>
        <v/>
      </c>
      <c r="P111" s="37">
        <f>IF(AND(M111&gt;0,O111=0),"DTC Transferable Not Claimed Can Be Transferred","No Action")</f>
        <v/>
      </c>
    </row>
    <row r="112" ht="15.75" customHeight="1" thickBot="1">
      <c r="B112" s="667" t="inlineStr">
        <is>
          <t>Tuition Amount</t>
        </is>
      </c>
      <c r="D112" t="inlineStr">
        <is>
          <t>Line 5920</t>
        </is>
      </c>
      <c r="E112" s="861">
        <f>(_xlfn.XLOOKUP(ClientNumber,Clients!D:D,Clients!ETP:ETP,2,0,1))</f>
        <v/>
      </c>
      <c r="F112" s="37" t="inlineStr">
        <is>
          <t>Line 59090</t>
        </is>
      </c>
      <c r="G112" s="51">
        <f>IF(TransferName="NONE",0,(_xlfn.XLOOKUP(TransferNumber,Clients!D:D,Clients!ETG:ETG,2,0,1)))</f>
        <v/>
      </c>
      <c r="H112" s="37">
        <f>IF(AND(E112&gt;0,G112=0),"Tuition Can Be Transferred","No Action")</f>
        <v/>
      </c>
      <c r="J112" s="667" t="inlineStr">
        <is>
          <t>Tuition Amount</t>
        </is>
      </c>
      <c r="L112" t="inlineStr">
        <is>
          <t>Line 5920</t>
        </is>
      </c>
      <c r="M112" s="865">
        <f>(_xlfn.XLOOKUP(MainClient,Clients!D:D,Clients!FTT:FTT,2,0,1))</f>
        <v/>
      </c>
      <c r="N112" s="45" t="inlineStr">
        <is>
          <t>Line 59090</t>
        </is>
      </c>
      <c r="O112" s="51">
        <f>IF(TransferName="NONE",0,(_xlfn.XLOOKUP(TransferNumber,Clients!D:D,Clients!FTI:FTI,2,0,1)))</f>
        <v/>
      </c>
      <c r="P112" s="37">
        <f>IF(AND(M112&gt;0,O112=0),"Age Amount Can Be Transferred","No Action")</f>
        <v/>
      </c>
    </row>
    <row r="113">
      <c r="B113" s="667" t="n"/>
      <c r="E113" s="771">
        <f>SUM(E109:E112)</f>
        <v/>
      </c>
      <c r="F113" s="37" t="n"/>
      <c r="G113" s="667">
        <f>SUM(G109:G112)</f>
        <v/>
      </c>
      <c r="H113" s="37" t="n"/>
      <c r="J113" s="667" t="n"/>
      <c r="M113" s="872">
        <f>SUM(M109:M112)</f>
        <v/>
      </c>
      <c r="N113" s="37" t="n"/>
      <c r="O113" s="667">
        <f>SUM(O109:O112)</f>
        <v/>
      </c>
      <c r="P113" s="37" t="n"/>
    </row>
    <row r="114">
      <c r="B114" s="667" t="n"/>
      <c r="C114" s="668" t="n"/>
      <c r="E114" s="771" t="n"/>
      <c r="F114" s="37" t="n"/>
      <c r="G114" s="668" t="n"/>
      <c r="H114" s="37" t="n"/>
      <c r="J114" s="667" t="n"/>
      <c r="K114" s="668" t="n"/>
      <c r="M114" s="872" t="n"/>
      <c r="N114" s="37" t="n"/>
      <c r="O114" s="668" t="n"/>
      <c r="P114" s="37" t="n"/>
    </row>
    <row r="115" ht="15.75" customHeight="1" thickBot="1">
      <c r="B115" s="34" t="n"/>
      <c r="F115" s="35" t="n"/>
      <c r="H115" s="35" t="n"/>
      <c r="J115" s="34" t="n"/>
      <c r="N115" s="35" t="n"/>
      <c r="P115" s="35" t="n"/>
    </row>
    <row r="116" ht="15.75" customHeight="1" thickBot="1">
      <c r="B116" s="667" t="inlineStr">
        <is>
          <t>Line 260</t>
        </is>
      </c>
      <c r="C116" s="36">
        <f>(_xlfn.XLOOKUP(MainClient,Clients!D:D,Clients!EIY:EIY,2,0,1))</f>
        <v/>
      </c>
      <c r="F116" s="35" t="n"/>
      <c r="G116" s="34">
        <f>IF(E139&gt;E111,"other transferable credits","DTC Only")</f>
        <v/>
      </c>
      <c r="H116" s="35" t="n"/>
      <c r="J116" s="667" t="inlineStr">
        <is>
          <t>Line 260</t>
        </is>
      </c>
      <c r="K116" s="36">
        <f>(_xlfn.XLOOKUP(MainClient,Clients!D:D,Clients!FJA:FJA,2,0,1))</f>
        <v/>
      </c>
      <c r="N116" s="35" t="n"/>
      <c r="O116" s="34">
        <f>IF(M139&gt;M111,"other transferable credits","DTC Only")</f>
        <v/>
      </c>
      <c r="P116" s="35" t="n"/>
    </row>
    <row r="117" ht="15.75" customHeight="1" thickBot="1">
      <c r="B117" s="34" t="n"/>
      <c r="F117" s="35" t="n"/>
      <c r="G117" s="34" t="n"/>
      <c r="H117" s="35" t="n"/>
      <c r="J117" s="34" t="n"/>
      <c r="N117" s="35" t="n"/>
      <c r="O117" s="34" t="n"/>
      <c r="P117" s="35" t="n"/>
    </row>
    <row r="118" ht="15.75" customHeight="1" thickBot="1">
      <c r="B118" s="55" t="inlineStr">
        <is>
          <t>Line 5804</t>
        </is>
      </c>
      <c r="C118" s="36">
        <f>(_xlfn.XLOOKUP(ClientNumber,Clients!D:D,Clients!EQY:EQY,2,0,1))</f>
        <v/>
      </c>
      <c r="D118" s="34" t="n"/>
      <c r="G118" s="34" t="n"/>
      <c r="H118" s="35" t="n"/>
      <c r="J118" s="55" t="inlineStr">
        <is>
          <t>Line 5804</t>
        </is>
      </c>
      <c r="K118" s="36">
        <f>(_xlfn.XLOOKUP(MainClient,Clients!D:D,Clients!FRA:FRA,2,0,1))</f>
        <v/>
      </c>
      <c r="L118" s="34" t="n"/>
      <c r="N118" s="35" t="n"/>
      <c r="O118" s="34" t="n"/>
      <c r="P118" s="35" t="n"/>
    </row>
    <row r="119" ht="15.75" customHeight="1" thickBot="1">
      <c r="B119" s="55" t="inlineStr">
        <is>
          <t>Line 5824</t>
        </is>
      </c>
      <c r="C119" s="36">
        <f>(_xlfn.XLOOKUP(ClientNumber,Clients!D:D,Clients!ERN:ERN,2,0,1))</f>
        <v/>
      </c>
      <c r="D119" s="34" t="n"/>
      <c r="G119" s="34" t="n"/>
      <c r="H119" s="35" t="n"/>
      <c r="J119" s="55" t="inlineStr">
        <is>
          <t>Line 5824</t>
        </is>
      </c>
      <c r="K119" s="36">
        <f>(_xlfn.XLOOKUP(MainClient,Clients!D:D,Clients!FRP:FRP,2,0,1))</f>
        <v/>
      </c>
      <c r="L119" s="34" t="n"/>
      <c r="N119" s="35" t="n"/>
      <c r="O119" s="34" t="n"/>
      <c r="P119" s="35" t="n"/>
    </row>
    <row r="120" ht="15.75" customHeight="1" thickBot="1">
      <c r="B120" s="55" t="inlineStr">
        <is>
          <t>Line 5828</t>
        </is>
      </c>
      <c r="C120" s="36">
        <f>(_xlfn.XLOOKUP(ClientNumber,Clients!D:D,Clients!ERO:ERO,2,0,1))</f>
        <v/>
      </c>
      <c r="D120" s="34" t="n"/>
      <c r="G120" s="34" t="n"/>
      <c r="H120" s="35" t="n"/>
      <c r="J120" s="55" t="inlineStr">
        <is>
          <t>Line 5828</t>
        </is>
      </c>
      <c r="K120" s="36">
        <f>(_xlfn.XLOOKUP(MainClient,Clients!D:D,Clients!FRQ:FRQ,2,0,1))</f>
        <v/>
      </c>
      <c r="L120" s="34" t="n"/>
      <c r="N120" s="35" t="n"/>
      <c r="P120" s="35" t="n"/>
    </row>
    <row r="121" ht="15.75" customHeight="1" thickBot="1">
      <c r="B121" s="55" t="inlineStr">
        <is>
          <t>Line 5832</t>
        </is>
      </c>
      <c r="C121" s="36">
        <f>(_xlfn.XLOOKUP(ClientNumber,Clients!D:D,Clients!ERP:ERP,2,0,1))</f>
        <v/>
      </c>
      <c r="D121" s="34" t="n"/>
      <c r="G121" s="34" t="n"/>
      <c r="H121" s="35" t="n"/>
      <c r="J121" s="55" t="inlineStr">
        <is>
          <t>Line 5832</t>
        </is>
      </c>
      <c r="K121" s="36">
        <f>(_xlfn.XLOOKUP(MainClient,Clients!D:D,Clients!FRR:FRR,2,0,1))</f>
        <v/>
      </c>
      <c r="L121" s="34" t="n"/>
      <c r="N121" s="35" t="n"/>
      <c r="O121" s="34" t="n"/>
      <c r="P121" s="35" t="n"/>
    </row>
    <row r="122" ht="15.75" customHeight="1" thickBot="1">
      <c r="B122" s="55" t="inlineStr">
        <is>
          <t>Line 5829</t>
        </is>
      </c>
      <c r="C122" s="36">
        <f>(_xlfn.XLOOKUP(ClientNumber,Clients!D:D,Clients!ERQ:ERQ,2,0,1))</f>
        <v/>
      </c>
      <c r="D122" s="34" t="n"/>
      <c r="G122" s="34" t="n"/>
      <c r="H122" s="35" t="n"/>
      <c r="J122" s="55" t="inlineStr">
        <is>
          <t>Line 5829</t>
        </is>
      </c>
      <c r="K122" s="36">
        <f>(_xlfn.XLOOKUP(MainClient,Clients!D:D,Clients!FRS:FRS,2,0,1))</f>
        <v/>
      </c>
      <c r="L122" s="34" t="n"/>
      <c r="N122" s="35" t="n"/>
      <c r="O122" s="34" t="n"/>
      <c r="P122" s="35" t="n"/>
    </row>
    <row r="123" ht="15.75" customHeight="1" thickBot="1">
      <c r="B123" s="55" t="inlineStr">
        <is>
          <t>Line 5833</t>
        </is>
      </c>
      <c r="C123" s="36">
        <f>(_xlfn.XLOOKUP(ClientNumber,Clients!D:D,Clients!ERX:ERX,2,0,1))</f>
        <v/>
      </c>
      <c r="D123" s="34" t="n"/>
      <c r="G123" s="34" t="n"/>
      <c r="H123" s="35" t="n"/>
      <c r="J123" s="55" t="inlineStr">
        <is>
          <t>Line 5833</t>
        </is>
      </c>
      <c r="K123" s="36">
        <f>(_xlfn.XLOOKUP(MainClient,Clients!D:D,Clients!FRZ:FRZ,2,0,1))</f>
        <v/>
      </c>
      <c r="L123" s="34" t="n"/>
      <c r="N123" s="35" t="n"/>
      <c r="O123" s="34" t="n"/>
      <c r="P123" s="35" t="n"/>
    </row>
    <row r="124" ht="15.75" customHeight="1" thickBot="1">
      <c r="B124" s="55" t="inlineStr">
        <is>
          <t>Line  5856</t>
        </is>
      </c>
      <c r="C124" s="36">
        <f>(_xlfn.XLOOKUP(ClientNumber,Clients!D:D,Clients!ESF:ESF,2,0,1))</f>
        <v/>
      </c>
      <c r="D124" s="34" t="n"/>
      <c r="G124" s="34" t="n"/>
      <c r="H124" s="35" t="n"/>
      <c r="J124" s="55" t="inlineStr">
        <is>
          <t>Line 5856</t>
        </is>
      </c>
      <c r="K124" s="36">
        <f>(_xlfn.XLOOKUP(MainClient,Clients!D:D,Clients!FSH:FSH,2,0,1))</f>
        <v/>
      </c>
      <c r="L124" s="34" t="n"/>
      <c r="N124" s="35" t="n"/>
      <c r="O124" s="34" t="n"/>
      <c r="P124" s="35" t="n"/>
    </row>
    <row r="125" ht="15.75" customHeight="1" thickBot="1">
      <c r="B125" s="38" t="n"/>
      <c r="C125" s="36" t="n"/>
      <c r="F125" s="35" t="n"/>
      <c r="G125" s="34" t="n"/>
      <c r="H125" s="35" t="n"/>
      <c r="J125" s="38" t="n"/>
      <c r="K125" s="36" t="n"/>
      <c r="N125" s="35" t="n"/>
      <c r="O125" s="34" t="n"/>
      <c r="P125" s="35" t="n"/>
    </row>
    <row r="126" ht="15.75" customHeight="1" thickBot="1">
      <c r="B126" s="38" t="n"/>
      <c r="C126" s="36" t="n"/>
      <c r="F126" s="35" t="n"/>
      <c r="G126" s="34" t="n"/>
      <c r="H126" s="35" t="n"/>
      <c r="J126" s="68" t="n"/>
      <c r="K126" s="36" t="n"/>
      <c r="N126" s="35" t="n"/>
      <c r="O126" s="34" t="n"/>
      <c r="P126" s="35" t="n"/>
    </row>
    <row r="127" ht="15.75" customHeight="1" thickBot="1">
      <c r="B127" s="38" t="n"/>
      <c r="C127" s="36" t="n"/>
      <c r="F127" s="35" t="n"/>
      <c r="G127" s="34" t="n"/>
      <c r="H127" s="35" t="n"/>
      <c r="J127" s="38" t="n"/>
      <c r="K127" s="36" t="n"/>
      <c r="N127" s="35" t="n"/>
      <c r="O127" s="34" t="n"/>
      <c r="P127" s="35" t="n"/>
    </row>
    <row r="128" ht="15.75" customHeight="1" thickBot="1">
      <c r="B128" s="38" t="n"/>
      <c r="C128" s="36" t="n"/>
      <c r="F128" s="35" t="n"/>
      <c r="G128" s="34" t="inlineStr">
        <is>
          <t>Line 326</t>
        </is>
      </c>
      <c r="H128" s="35">
        <f>IF(TransferName="NONE",0,(_xlfn.XLOOKUP(TransferNumber,Clients!D:D,Clients!EJX:EJX,2,0,1)))</f>
        <v/>
      </c>
      <c r="J128" s="38" t="n"/>
      <c r="K128" s="36" t="n"/>
      <c r="N128" s="35" t="n"/>
      <c r="O128" s="34" t="inlineStr">
        <is>
          <t>Line 326</t>
        </is>
      </c>
      <c r="P128" s="35">
        <f>IFERROR(_xlfn.XLOOKUP(TransferNumber,Clients!D:D,Clients!FJZ:FJZ,2,0,1),0)</f>
        <v/>
      </c>
    </row>
    <row r="129" ht="15.75" customHeight="1" thickBot="1">
      <c r="B129" s="38" t="n"/>
      <c r="C129" s="36" t="n"/>
      <c r="F129" s="35" t="n"/>
      <c r="G129" s="34" t="n"/>
      <c r="H129" s="35" t="n"/>
      <c r="J129" s="38" t="n"/>
      <c r="K129" s="36" t="n"/>
      <c r="N129" s="35" t="n"/>
      <c r="O129" s="34" t="n"/>
      <c r="P129" s="35" t="n"/>
    </row>
    <row r="130" ht="15.75" customHeight="1" thickBot="1">
      <c r="B130" s="38" t="n"/>
      <c r="C130" s="36" t="n"/>
      <c r="F130" s="35" t="n"/>
      <c r="G130" s="34" t="n"/>
      <c r="H130" s="35" t="n"/>
      <c r="J130" s="38" t="n"/>
      <c r="K130" s="36" t="n"/>
      <c r="N130" s="35" t="n"/>
      <c r="O130" s="34" t="n"/>
      <c r="P130" s="35" t="n"/>
    </row>
    <row r="131" ht="15.75" customHeight="1" thickBot="1">
      <c r="B131" s="38" t="n"/>
      <c r="C131" s="36" t="n"/>
      <c r="F131" s="35" t="n"/>
      <c r="G131" s="34" t="n"/>
      <c r="H131" s="35" t="n"/>
      <c r="J131" s="38" t="n"/>
      <c r="K131" s="36" t="n"/>
      <c r="N131" s="35" t="n"/>
      <c r="O131" s="34" t="n"/>
      <c r="P131" s="35" t="n"/>
    </row>
    <row r="132" ht="15.75" customHeight="1" thickBot="1">
      <c r="B132" s="38" t="n"/>
      <c r="C132" s="36" t="n"/>
      <c r="F132" s="35" t="n"/>
      <c r="G132" s="34" t="n"/>
      <c r="H132" s="35">
        <f>IF(E137&gt;0,E113-G113,0)</f>
        <v/>
      </c>
      <c r="J132" s="38" t="n"/>
      <c r="K132" s="36" t="n"/>
      <c r="N132" s="35" t="n"/>
      <c r="O132" s="34" t="n"/>
      <c r="P132" s="35">
        <f>IF(M137&gt;0,M113-O113,0)</f>
        <v/>
      </c>
    </row>
    <row r="133" ht="15.75" customHeight="1" thickBot="1">
      <c r="B133" s="38" t="n"/>
      <c r="C133" s="36" t="n"/>
      <c r="F133" s="35" t="n"/>
      <c r="H133" s="52">
        <f>IF(TransferName="NONE",F138,IF(H132&gt;0,(E137-G113)*0.1,0))</f>
        <v/>
      </c>
      <c r="J133" s="38" t="n"/>
      <c r="K133" s="36" t="n"/>
      <c r="N133" s="35" t="n"/>
      <c r="P133" s="52">
        <f>IF(TransferName="NONE",N138,IF(P132&gt;0,(M137-O113)*0.1,0))</f>
        <v/>
      </c>
    </row>
    <row r="134">
      <c r="B134" s="667" t="n"/>
      <c r="F134" s="35" t="n"/>
      <c r="G134" s="34" t="inlineStr">
        <is>
          <t>Transferable</t>
        </is>
      </c>
      <c r="H134" s="52">
        <f>IF(H133&gt;0,H133,0)</f>
        <v/>
      </c>
      <c r="J134" s="667" t="n"/>
      <c r="N134" s="35" t="n"/>
      <c r="O134" s="34" t="inlineStr">
        <is>
          <t>Transferable</t>
        </is>
      </c>
      <c r="P134" s="52">
        <f>IF(P133&gt;0,P133,0)</f>
        <v/>
      </c>
    </row>
    <row r="135">
      <c r="B135" s="667" t="inlineStr">
        <is>
          <t>Adjusted Taxable Income</t>
        </is>
      </c>
      <c r="C135">
        <f>C116-(SUM(C118:C133))</f>
        <v/>
      </c>
      <c r="D135" s="13" t="inlineStr">
        <is>
          <t>Line 5864</t>
        </is>
      </c>
      <c r="E135" s="39">
        <f>IF(C135&gt;0,C135,0)</f>
        <v/>
      </c>
      <c r="F135" s="35" t="n"/>
      <c r="G135" s="34" t="n"/>
      <c r="H135" s="35" t="n"/>
      <c r="J135" s="667" t="inlineStr">
        <is>
          <t>Adjusted Taxable Income</t>
        </is>
      </c>
      <c r="K135">
        <f>K116-(SUM(K118:K133))</f>
        <v/>
      </c>
      <c r="L135" s="13" t="inlineStr">
        <is>
          <t>Line 5864</t>
        </is>
      </c>
      <c r="M135" s="39">
        <f>IF(K135&gt;0,K135,0)</f>
        <v/>
      </c>
      <c r="N135" s="35" t="n"/>
      <c r="O135" s="34" t="n"/>
      <c r="P135" s="35" t="n"/>
    </row>
    <row r="136" ht="15.75" customHeight="1" thickBot="1">
      <c r="B136" s="34" t="n"/>
      <c r="F136" s="35" t="n"/>
      <c r="G136" s="34" t="n"/>
      <c r="H136" s="35" t="n"/>
      <c r="J136" s="34" t="n"/>
      <c r="N136" s="35" t="n"/>
      <c r="O136" s="34" t="n"/>
      <c r="P136" s="35" t="n"/>
    </row>
    <row r="137" ht="15.75" customHeight="1" thickBot="1">
      <c r="B137" s="34" t="n"/>
      <c r="D137" s="21" t="inlineStr">
        <is>
          <t>Prov Trans</t>
        </is>
      </c>
      <c r="E137" s="36">
        <f>(E113-E135)</f>
        <v/>
      </c>
      <c r="F137" s="40" t="n"/>
      <c r="G137" s="34" t="n"/>
      <c r="H137" s="52" t="n"/>
      <c r="J137" s="34" t="n"/>
      <c r="L137" s="21" t="inlineStr">
        <is>
          <t>Prov Trans</t>
        </is>
      </c>
      <c r="M137" s="36">
        <f>(M113-M135)</f>
        <v/>
      </c>
      <c r="N137" s="40" t="n"/>
      <c r="O137" s="34" t="n"/>
      <c r="P137" s="52" t="n"/>
    </row>
    <row r="138" ht="15.75" customHeight="1" thickBot="1">
      <c r="B138" s="34" t="n"/>
      <c r="C138" s="579" t="inlineStr">
        <is>
          <t>DTC Transferable ESTIMATE</t>
        </is>
      </c>
      <c r="D138" s="35" t="n"/>
      <c r="E138" s="36">
        <f>IF(E137&lt;0,0,(IF(E137&gt;E111,E111,E137)))</f>
        <v/>
      </c>
      <c r="F138" s="40">
        <f>IF(E138&gt;0,E138*0.1,"No Transfer Required")</f>
        <v/>
      </c>
      <c r="G138" s="678" t="n"/>
      <c r="H138" s="52" t="n"/>
      <c r="J138" s="34" t="n"/>
      <c r="K138" s="579" t="inlineStr">
        <is>
          <t>DTC Transferable ESTIMATE</t>
        </is>
      </c>
      <c r="L138" s="35" t="n"/>
      <c r="M138" s="36">
        <f>IF(M137&lt;0,0,(IF(M137&gt;M111,M111,M137)))</f>
        <v/>
      </c>
      <c r="N138" s="40">
        <f>IF(M138&gt;0,M138*0.1,"No Transfer Required")</f>
        <v/>
      </c>
      <c r="O138" s="58" t="n"/>
      <c r="P138" s="52" t="n"/>
    </row>
    <row r="139" ht="15.75" customHeight="1" thickBot="1">
      <c r="B139" s="42" t="n"/>
      <c r="C139" s="41" t="n"/>
      <c r="D139" s="43" t="inlineStr">
        <is>
          <t>Net Transferable</t>
        </is>
      </c>
      <c r="E139" s="36">
        <f>IF(E137&lt;0,0,(IF(E137-G109-G110-G112&lt;0,E137,(E137-G109-G110-G112))))</f>
        <v/>
      </c>
      <c r="F139" s="57">
        <f>IF(E139&gt;0,E139*0.1,"0")</f>
        <v/>
      </c>
      <c r="G139" s="42" t="n"/>
      <c r="H139" s="864" t="n"/>
      <c r="J139" s="42" t="n"/>
      <c r="K139" s="41" t="n"/>
      <c r="L139" s="43" t="inlineStr">
        <is>
          <t>Net Transferable</t>
        </is>
      </c>
      <c r="M139" s="36">
        <f>IF(M137&lt;0,0,(IF(M137-O109-O110-O112&lt;0,M137,(M137-O109-O110-O112))))</f>
        <v/>
      </c>
      <c r="N139" s="57">
        <f>IF(M139&gt;0,M139*0.1,"0")</f>
        <v/>
      </c>
      <c r="O139" s="59" t="n"/>
      <c r="P139" s="864" t="n"/>
    </row>
    <row r="141" ht="15.75" customHeight="1" thickBot="1">
      <c r="E141">
        <f>Calculator!$D$5</f>
        <v/>
      </c>
      <c r="H141">
        <f>TransferName</f>
        <v/>
      </c>
      <c r="M141">
        <f>Calculator!$D$5</f>
        <v/>
      </c>
      <c r="P141">
        <f>TransferName</f>
        <v/>
      </c>
    </row>
    <row r="142" ht="15.75" customHeight="1" thickBot="1">
      <c r="B142" s="868" t="inlineStr">
        <is>
          <t>2016 ALBERTA Provincial</t>
        </is>
      </c>
      <c r="C142" s="778" t="n"/>
      <c r="D142" s="778" t="n"/>
      <c r="E142" s="778" t="n"/>
      <c r="F142" s="778" t="n"/>
      <c r="G142" s="778" t="n"/>
      <c r="H142" s="780" t="n"/>
      <c r="J142" s="868" t="inlineStr">
        <is>
          <t>2015 ALBERTA Provincial</t>
        </is>
      </c>
      <c r="K142" s="778" t="n"/>
      <c r="L142" s="778" t="n"/>
      <c r="M142" s="778" t="n"/>
      <c r="N142" s="778" t="n"/>
      <c r="O142" s="778" t="n"/>
      <c r="P142" s="780" t="n"/>
    </row>
    <row r="143" ht="15.75" customHeight="1" thickBot="1">
      <c r="B143" s="34" t="n"/>
      <c r="D143" t="inlineStr">
        <is>
          <t>Line</t>
        </is>
      </c>
      <c r="E143" t="inlineStr">
        <is>
          <t>Amt</t>
        </is>
      </c>
      <c r="F143" s="35" t="n"/>
      <c r="G143" s="667" t="inlineStr">
        <is>
          <t>Spouse</t>
        </is>
      </c>
      <c r="H143" s="35" t="inlineStr">
        <is>
          <t>S2 Adjustment</t>
        </is>
      </c>
      <c r="J143" s="34" t="n"/>
      <c r="L143" t="inlineStr">
        <is>
          <t>Line</t>
        </is>
      </c>
      <c r="M143" t="inlineStr">
        <is>
          <t>Amt</t>
        </is>
      </c>
      <c r="N143" s="35" t="n"/>
      <c r="O143" s="34" t="inlineStr">
        <is>
          <t>Spouse</t>
        </is>
      </c>
      <c r="P143" s="35" t="inlineStr">
        <is>
          <t>S2 Adjustment</t>
        </is>
      </c>
    </row>
    <row r="144" ht="15.75" customHeight="1" thickBot="1">
      <c r="B144" s="667" t="inlineStr">
        <is>
          <t>Age Amount</t>
        </is>
      </c>
      <c r="D144" t="inlineStr">
        <is>
          <t>Line 5808</t>
        </is>
      </c>
      <c r="E144" s="861">
        <f>(_xlfn.XLOOKUP(ClientNumber,Clients!D:D,Clients!GRD:GRD,2,0,1))</f>
        <v/>
      </c>
      <c r="F144" s="37" t="inlineStr">
        <is>
          <t>Line 59020</t>
        </is>
      </c>
      <c r="G144" s="51">
        <f>IF(TransferName="NONE",0,(_xlfn.XLOOKUP(TransferNumber,Clients!D:D,Clients!GTF:GTF,2,0,1)))</f>
        <v/>
      </c>
      <c r="H144" s="37">
        <f>IF(AND(E144&gt;0,G144=0),"Age Amount Can Be Transferred","No Action")</f>
        <v/>
      </c>
      <c r="J144" s="667" t="inlineStr">
        <is>
          <t>Age Amount</t>
        </is>
      </c>
      <c r="L144" t="inlineStr">
        <is>
          <t>Line 5808</t>
        </is>
      </c>
      <c r="M144" s="865">
        <f>(_xlfn.XLOOKUP(MainClient,Clients!D:D,Clients!HRF:HRF,2,0,1))</f>
        <v/>
      </c>
      <c r="N144" s="45" t="inlineStr">
        <is>
          <t>Line 59020</t>
        </is>
      </c>
      <c r="O144" s="51">
        <f>IF(TransferName="NONE",0,(_xlfn.XLOOKUP(TransferNumber,Clients!D:D,Clients!HTH:HTH,2,0,1)))</f>
        <v/>
      </c>
      <c r="P144" s="37">
        <f>IF(AND(M144&gt;0,O144=0),"Age Amount Can Be Transferred","No Action")</f>
        <v/>
      </c>
    </row>
    <row r="145" ht="15.75" customHeight="1" thickBot="1">
      <c r="B145" s="667" t="inlineStr">
        <is>
          <t>Pension Income Amount</t>
        </is>
      </c>
      <c r="D145" t="inlineStr">
        <is>
          <t>Line 5836 (mx 1421)</t>
        </is>
      </c>
      <c r="E145" s="861">
        <f>IF((_xlfn.XLOOKUP(ClientNumber,Clients!D:D,Clients!GSD:GSD,2,0,1)&lt;1421),(_xlfn.XLOOKUP(MainClient,Clients!D:D,Clients!GSD:GSD,2,0,1)),1421)</f>
        <v/>
      </c>
      <c r="F145" s="37" t="inlineStr">
        <is>
          <t>Line 59050</t>
        </is>
      </c>
      <c r="G145" s="51">
        <f>IF(TransferName="NONE",0,(_xlfn.XLOOKUP(TransferNumber,Clients!D:D,Clients!GTI:GTI,2,0,1)))</f>
        <v/>
      </c>
      <c r="H145" s="37">
        <f>IF(AND(E145&gt;0,G145=0),"Pension Income Amount Can Be Transferred","No Action")</f>
        <v/>
      </c>
      <c r="J145" s="667" t="inlineStr">
        <is>
          <t>Pension Income Amount</t>
        </is>
      </c>
      <c r="L145" t="inlineStr">
        <is>
          <t>Line 5836 (mx 1402)</t>
        </is>
      </c>
      <c r="M145" s="865">
        <f>IF((_xlfn.XLOOKUP(ClientNumber,Clients!D:D,Clients!HSF:HSF,2,0,1)&lt;1402),(_xlfn.XLOOKUP(MainClient,Clients!D:D,Clients!HSF:HSF,2,0,1)),1402)</f>
        <v/>
      </c>
      <c r="N145" s="45" t="inlineStr">
        <is>
          <t>Line 59050</t>
        </is>
      </c>
      <c r="O145" s="51">
        <f>IF(TransferName="NONE",0,(_xlfn.XLOOKUP(TransferNumber,Clients!D:D,Clients!HTK:HTK,2,0,1)))</f>
        <v/>
      </c>
      <c r="P145" s="37">
        <f>IF(AND(M145&gt;0,O145=0),"Pension Income Amount Can Be Transferred","No Action")</f>
        <v/>
      </c>
    </row>
    <row r="146" ht="15.75" customHeight="1" thickBot="1">
      <c r="B146" s="667" t="inlineStr">
        <is>
          <t>Disability Amount</t>
        </is>
      </c>
      <c r="D146" t="inlineStr">
        <is>
          <t>Line 5844</t>
        </is>
      </c>
      <c r="E146" s="861">
        <f>IF(_xlfn.XLOOKUP(ClientNumber,Clients!D:D,Clients!GSF:GSF,2,0,1)=0,14232,(_xlfn.XLOOKUP(MainClient,Clients!D:D,Clients!GSF:GSF,2,0,1)))</f>
        <v/>
      </c>
      <c r="F146" s="37" t="inlineStr">
        <is>
          <t>Line 59070</t>
        </is>
      </c>
      <c r="G146" s="51">
        <f>IF(TransferName="NONE",0,(_xlfn.XLOOKUP(TransferNumber,Clients!D:D,Clients!GTJ:GTJ,2,0,1)))</f>
        <v/>
      </c>
      <c r="H146" s="37">
        <f>IF(AND(E146&gt;0,G146=0),"DTC Transferable Not Claimed Can Be Transferred","No Action")</f>
        <v/>
      </c>
      <c r="J146" s="667" t="inlineStr">
        <is>
          <t>Disability Amount</t>
        </is>
      </c>
      <c r="L146" t="inlineStr">
        <is>
          <t>Line 5844</t>
        </is>
      </c>
      <c r="M146" s="865">
        <f>IF(_xlfn.XLOOKUP(ClientNumber,Clients!D:D,Clients!HSH:HSH,2,0,1)=0,14050,(_xlfn.XLOOKUP(MainClient,Clients!D:D,Clients!HSH:HSH,2,0,1)))</f>
        <v/>
      </c>
      <c r="N146" s="45" t="inlineStr">
        <is>
          <t>Line 59070</t>
        </is>
      </c>
      <c r="O146" s="51">
        <f>IF(TransferName="NONE",0,(_xlfn.XLOOKUP(TransferNumber,Clients!D:D,Clients!HTL:HTL,2,0,1)))</f>
        <v/>
      </c>
      <c r="P146" s="37">
        <f>IF(AND(M146&gt;0,O146=0),"DTC Transferable Not Claimed Can Be Transferred","No Action")</f>
        <v/>
      </c>
    </row>
    <row r="147" ht="15.75" customHeight="1" thickBot="1">
      <c r="B147" s="667" t="inlineStr">
        <is>
          <t>Tuition Amount</t>
        </is>
      </c>
      <c r="D147" t="inlineStr">
        <is>
          <t>Line 5920</t>
        </is>
      </c>
      <c r="E147" s="861">
        <f>(_xlfn.XLOOKUP(ClientNumber,Clients!D:D,Clients!GTT:GTT,2,0,1))</f>
        <v/>
      </c>
      <c r="F147" s="37" t="inlineStr">
        <is>
          <t>Line 59090</t>
        </is>
      </c>
      <c r="G147" s="51">
        <f>IF(TransferName="NONE",0,(_xlfn.XLOOKUP(TransferNumber,Clients!D:D,Clients!GTK:GTK,2,0,1)))</f>
        <v/>
      </c>
      <c r="H147" s="37">
        <f>IF(AND(E147&gt;0,G147=0),"Tuition Can Be Transferred","No Action")</f>
        <v/>
      </c>
      <c r="J147" s="667" t="inlineStr">
        <is>
          <t>Tuition Amount</t>
        </is>
      </c>
      <c r="L147" t="inlineStr">
        <is>
          <t>Line 5920</t>
        </is>
      </c>
      <c r="M147" s="865">
        <f>(_xlfn.XLOOKUP(MainClient,Clients!D:D,Clients!HTV:HTV,2,0,1))</f>
        <v/>
      </c>
      <c r="N147" s="45" t="inlineStr">
        <is>
          <t>Line 59090</t>
        </is>
      </c>
      <c r="O147" s="51">
        <f>IF(TransferName="NONE",0,(_xlfn.XLOOKUP(TransferNumber,Clients!D:D,Clients!HTM:HTM,2,0,1)))</f>
        <v/>
      </c>
      <c r="P147" s="37">
        <f>IF(AND(M147&gt;0,O147=0),"Age Amount Can Be Transferred","No Action")</f>
        <v/>
      </c>
    </row>
    <row r="148">
      <c r="B148" s="667" t="n"/>
      <c r="E148" s="771">
        <f>SUM(E144:E147)</f>
        <v/>
      </c>
      <c r="F148" s="37" t="n"/>
      <c r="G148" s="667">
        <f>SUM(G144:G147)</f>
        <v/>
      </c>
      <c r="H148" s="37" t="n"/>
      <c r="J148" s="667" t="n"/>
      <c r="M148" s="872">
        <f>SUM(M144:M147)</f>
        <v/>
      </c>
      <c r="N148" s="37" t="n"/>
      <c r="O148" s="667">
        <f>SUM(O144:O147)</f>
        <v/>
      </c>
      <c r="P148" s="37" t="n"/>
    </row>
    <row r="149" ht="15.75" customHeight="1" thickBot="1">
      <c r="B149" s="34" t="n"/>
      <c r="F149" s="35" t="n"/>
      <c r="G149" s="667" t="n"/>
      <c r="H149" s="35" t="n"/>
      <c r="J149" s="34" t="n"/>
      <c r="N149" s="35" t="n"/>
      <c r="O149" s="667" t="n"/>
      <c r="P149" s="35" t="n"/>
    </row>
    <row r="150" ht="15.75" customHeight="1" thickBot="1">
      <c r="B150" s="667" t="inlineStr">
        <is>
          <t>Line 260</t>
        </is>
      </c>
      <c r="C150" s="36">
        <f>(_xlfn.XLOOKUP(MainClient,Clients!D:D,Clients!GJC:GJC,2,0,1))</f>
        <v/>
      </c>
      <c r="F150" s="35" t="n"/>
      <c r="G150" s="34">
        <f>IF(E173&gt;E146,"other transferable credits","DTC Only")</f>
        <v/>
      </c>
      <c r="H150" s="35" t="n"/>
      <c r="J150" s="667" t="inlineStr">
        <is>
          <t>Line 260</t>
        </is>
      </c>
      <c r="K150" s="36">
        <f>(_xlfn.XLOOKUP(MainClient,Clients!D:D,Clients!HJE:HJE,2,0,1))</f>
        <v/>
      </c>
      <c r="N150" s="35" t="n"/>
      <c r="O150" s="34">
        <f>IF(M173&gt;M146,"other transferable credits","DTC Only")</f>
        <v/>
      </c>
      <c r="P150" s="35" t="n"/>
    </row>
    <row r="151" ht="15.75" customHeight="1" thickBot="1">
      <c r="B151" s="34" t="n"/>
      <c r="F151" s="35" t="n"/>
      <c r="G151" s="34" t="n"/>
      <c r="H151" s="35" t="n"/>
      <c r="J151" s="34" t="n"/>
      <c r="N151" s="35" t="n"/>
      <c r="O151" s="34" t="n"/>
      <c r="P151" s="35" t="n"/>
    </row>
    <row r="152" ht="15" customHeight="1" thickBot="1">
      <c r="B152" s="55" t="inlineStr">
        <is>
          <t>Line 5804</t>
        </is>
      </c>
      <c r="C152" s="36">
        <f>(_xlfn.XLOOKUP(ClientNumber,Clients!D:D,Clients!GRC:GRC,2,0,1))</f>
        <v/>
      </c>
      <c r="D152" s="34" t="n"/>
      <c r="F152" s="35" t="n"/>
      <c r="G152" s="34" t="n"/>
      <c r="H152" s="35" t="n"/>
      <c r="J152" s="55" t="inlineStr">
        <is>
          <t>Line 5804</t>
        </is>
      </c>
      <c r="K152" s="36">
        <f>(_xlfn.XLOOKUP(MainClient,Clients!D:D,Clients!HRE:HRE,2,0,1))</f>
        <v/>
      </c>
      <c r="L152" s="34" t="n"/>
      <c r="N152" s="35" t="n"/>
      <c r="O152" s="34" t="n"/>
      <c r="P152" s="35" t="n"/>
    </row>
    <row r="153" ht="15.75" customHeight="1" thickBot="1">
      <c r="B153" s="55" t="inlineStr">
        <is>
          <t>Line 5824</t>
        </is>
      </c>
      <c r="C153" s="36">
        <f>(_xlfn.XLOOKUP(ClientNumber,Clients!D:D,Clients!GRR:GRR,2,0,1))</f>
        <v/>
      </c>
      <c r="D153" s="34" t="n"/>
      <c r="F153" s="35" t="n"/>
      <c r="G153" s="34" t="n"/>
      <c r="H153" s="35" t="n"/>
      <c r="J153" s="55" t="inlineStr">
        <is>
          <t>Line 5824</t>
        </is>
      </c>
      <c r="K153" s="36">
        <f>(_xlfn.XLOOKUP(MainClient,Clients!D:D,Clients!HRT:HRT,2,0,1))</f>
        <v/>
      </c>
      <c r="L153" s="34" t="n"/>
      <c r="N153" s="35" t="n"/>
      <c r="O153" s="34" t="n"/>
      <c r="P153" s="35" t="n"/>
    </row>
    <row r="154" ht="15.75" customHeight="1" thickBot="1">
      <c r="B154" s="55" t="inlineStr">
        <is>
          <t>Line 5828</t>
        </is>
      </c>
      <c r="C154" s="36">
        <f>(_xlfn.XLOOKUP(ClientNumber,Clients!D:D,Clients!GRS:GRS,2,0,1))</f>
        <v/>
      </c>
      <c r="D154" s="34" t="n"/>
      <c r="F154" s="35" t="n"/>
      <c r="G154" s="34" t="n"/>
      <c r="H154" s="35" t="n"/>
      <c r="J154" s="55" t="inlineStr">
        <is>
          <t>Line 5828</t>
        </is>
      </c>
      <c r="K154" s="36">
        <f>(_xlfn.XLOOKUP(MainClient,Clients!D:D,Clients!HRU:HRU,2,0,1))</f>
        <v/>
      </c>
      <c r="L154" s="34" t="n"/>
      <c r="N154" s="35" t="n"/>
      <c r="P154" s="35" t="n"/>
    </row>
    <row r="155" ht="15.75" customHeight="1" thickBot="1">
      <c r="B155" s="55" t="inlineStr">
        <is>
          <t>Line 5832</t>
        </is>
      </c>
      <c r="C155" s="36">
        <f>(_xlfn.XLOOKUP(ClientNumber,Clients!D:D,Clients!GRT:GRT,2,0,1))</f>
        <v/>
      </c>
      <c r="D155" s="34" t="n"/>
      <c r="F155" s="35" t="n"/>
      <c r="G155" s="34" t="n"/>
      <c r="H155" s="35" t="n"/>
      <c r="J155" s="55" t="inlineStr">
        <is>
          <t>Line 5832</t>
        </is>
      </c>
      <c r="K155" s="36">
        <f>(_xlfn.XLOOKUP(MainClient,Clients!D:D,Clients!HRV:HRV,2,0,1))</f>
        <v/>
      </c>
      <c r="L155" s="34" t="n"/>
      <c r="N155" s="35" t="n"/>
      <c r="O155" s="34" t="n"/>
      <c r="P155" s="35" t="n"/>
    </row>
    <row r="156" ht="15.75" customHeight="1" thickBot="1">
      <c r="B156" s="55" t="inlineStr">
        <is>
          <t>Line 5829</t>
        </is>
      </c>
      <c r="C156" s="36">
        <f>(_xlfn.XLOOKUP(ClientNumber,Clients!D:D,Clients!GRU:GRU,2,0,1))</f>
        <v/>
      </c>
      <c r="D156" s="34" t="n"/>
      <c r="F156" s="35" t="n"/>
      <c r="G156" s="34" t="n"/>
      <c r="H156" s="35" t="n"/>
      <c r="J156" s="55" t="inlineStr">
        <is>
          <t>Line 5829</t>
        </is>
      </c>
      <c r="K156" s="36">
        <f>(_xlfn.XLOOKUP(MainClient,Clients!D:D,Clients!HRW:HRW,2,0,1))</f>
        <v/>
      </c>
      <c r="L156" s="34" t="n"/>
      <c r="N156" s="35" t="n"/>
      <c r="O156" s="34" t="n"/>
      <c r="P156" s="35" t="n"/>
    </row>
    <row r="157" ht="15.75" customHeight="1" thickBot="1">
      <c r="B157" s="55" t="inlineStr">
        <is>
          <t>Line 5833</t>
        </is>
      </c>
      <c r="C157" s="36">
        <f>(_xlfn.XLOOKUP(ClientNumber,Clients!D:D,Clients!GSB:GSB,2,0,1))</f>
        <v/>
      </c>
      <c r="D157" s="34" t="n"/>
      <c r="F157" s="35" t="n"/>
      <c r="G157" s="34" t="n"/>
      <c r="H157" s="35" t="n"/>
      <c r="J157" s="55" t="inlineStr">
        <is>
          <t>Line 5833</t>
        </is>
      </c>
      <c r="K157" s="36">
        <f>(_xlfn.XLOOKUP(MainClient,Clients!D:D,Clients!HSD:HSD,2,0,1))</f>
        <v/>
      </c>
      <c r="L157" s="34" t="n"/>
      <c r="N157" s="35" t="n"/>
      <c r="O157" s="34" t="n"/>
      <c r="P157" s="35" t="n"/>
    </row>
    <row r="158" ht="15.75" customHeight="1" thickBot="1">
      <c r="B158" s="55" t="inlineStr">
        <is>
          <t>Line  5856</t>
        </is>
      </c>
      <c r="C158" s="36">
        <f>(_xlfn.XLOOKUP(ClientNumber,Clients!D:D,Clients!GSJ:GSJ,2,0,1))</f>
        <v/>
      </c>
      <c r="D158" s="34" t="n"/>
      <c r="F158" s="35" t="n"/>
      <c r="G158" s="34" t="n"/>
      <c r="H158" s="35" t="n"/>
      <c r="J158" s="55" t="inlineStr">
        <is>
          <t>Line  5856</t>
        </is>
      </c>
      <c r="K158" s="36">
        <f>(_xlfn.XLOOKUP(MainClient,Clients!D:D,Clients!HSL:HSL,2,0,1))</f>
        <v/>
      </c>
      <c r="L158" s="34" t="n"/>
      <c r="N158" s="35" t="n"/>
      <c r="O158" s="34" t="n"/>
      <c r="P158" s="35" t="n"/>
    </row>
    <row r="159" ht="15.75" customHeight="1" thickBot="1">
      <c r="B159" s="38" t="n"/>
      <c r="C159" s="36" t="n"/>
      <c r="F159" s="35" t="n"/>
      <c r="G159" s="34" t="n"/>
      <c r="H159" s="35" t="n"/>
      <c r="J159" s="38" t="n"/>
      <c r="K159" s="36" t="n"/>
      <c r="N159" s="35" t="n"/>
      <c r="O159" s="34" t="n"/>
      <c r="P159" s="35" t="n"/>
    </row>
    <row r="160" ht="15.75" customHeight="1" thickBot="1">
      <c r="B160" s="68" t="n"/>
      <c r="C160" s="36" t="n"/>
      <c r="F160" s="35" t="n"/>
      <c r="G160" s="34" t="n"/>
      <c r="H160" s="35" t="n"/>
      <c r="J160" s="38" t="n"/>
      <c r="K160" s="36" t="n"/>
      <c r="N160" s="35" t="n"/>
      <c r="O160" s="34" t="n"/>
      <c r="P160" s="35" t="n"/>
    </row>
    <row r="161" ht="15.75" customHeight="1" thickBot="1">
      <c r="B161" s="38" t="n"/>
      <c r="C161" s="36" t="n"/>
      <c r="F161" s="35" t="n"/>
      <c r="G161" s="34" t="n"/>
      <c r="H161" s="35" t="n"/>
      <c r="J161" s="38" t="n"/>
      <c r="K161" s="36" t="n"/>
      <c r="N161" s="35" t="n"/>
      <c r="O161" s="34" t="n"/>
      <c r="P161" s="35" t="n"/>
    </row>
    <row r="162" ht="15.75" customHeight="1" thickBot="1">
      <c r="B162" s="38" t="n"/>
      <c r="C162" s="36" t="n"/>
      <c r="F162" s="35" t="n"/>
      <c r="G162" s="34" t="inlineStr">
        <is>
          <t>Line 326</t>
        </is>
      </c>
      <c r="H162" s="35">
        <f>IF(TransferName="NONE",0,(_xlfn.XLOOKUP(TransferNumber,Clients!D:D,Clients!GKB:GKB,2,0,1)))</f>
        <v/>
      </c>
      <c r="J162" s="38" t="n"/>
      <c r="K162" s="36" t="n"/>
      <c r="N162" s="35" t="n"/>
      <c r="O162" s="34" t="inlineStr">
        <is>
          <t>Line 326</t>
        </is>
      </c>
      <c r="P162" s="35">
        <f>IFERROR(_xlfn.XLOOKUP(TransferNumber,Clients!D:D,Clients!FJZ:FJZ,2,0,1),0)</f>
        <v/>
      </c>
    </row>
    <row r="163" ht="15.75" customHeight="1" thickBot="1">
      <c r="B163" s="68" t="n"/>
      <c r="C163" s="36" t="n"/>
      <c r="F163" s="35" t="n"/>
      <c r="G163" s="34" t="n"/>
      <c r="H163" s="35" t="n"/>
      <c r="J163" s="38" t="n"/>
      <c r="K163" s="36" t="n"/>
      <c r="N163" s="35" t="n"/>
      <c r="O163" s="34" t="n"/>
      <c r="P163" s="35" t="n"/>
    </row>
    <row r="164" ht="15.75" customHeight="1" thickBot="1">
      <c r="B164" s="38" t="n"/>
      <c r="C164" s="36" t="n"/>
      <c r="F164" s="35" t="n"/>
      <c r="G164" s="34" t="n"/>
      <c r="H164" s="35" t="n"/>
      <c r="J164" s="38" t="n"/>
      <c r="K164" s="36" t="n"/>
      <c r="N164" s="35" t="n"/>
      <c r="O164" s="34" t="n"/>
      <c r="P164" s="35" t="n"/>
    </row>
    <row r="165" ht="15.75" customHeight="1" thickBot="1">
      <c r="B165" s="38" t="n"/>
      <c r="C165" s="36" t="n"/>
      <c r="F165" s="35" t="n"/>
      <c r="G165" s="34" t="n"/>
      <c r="H165" s="35" t="n"/>
      <c r="J165" s="38" t="n"/>
      <c r="K165" s="36" t="n"/>
      <c r="N165" s="35" t="n"/>
      <c r="O165" s="34" t="n"/>
      <c r="P165" s="35" t="n"/>
    </row>
    <row r="166" ht="15.75" customHeight="1" thickBot="1">
      <c r="B166" s="38" t="n"/>
      <c r="C166" s="36" t="n"/>
      <c r="F166" s="35" t="n"/>
      <c r="G166" s="34" t="n"/>
      <c r="H166" s="35">
        <f>IF(E171&gt;0,E148-G148,0)</f>
        <v/>
      </c>
      <c r="J166" s="38" t="n"/>
      <c r="K166" s="36" t="n"/>
      <c r="N166" s="35" t="n"/>
      <c r="O166" s="34" t="n"/>
      <c r="P166" s="35">
        <f>IF(M171&gt;0,M148-O148,0)</f>
        <v/>
      </c>
    </row>
    <row r="167" ht="15.75" customHeight="1" thickBot="1">
      <c r="B167" s="38" t="n"/>
      <c r="C167" s="36" t="n"/>
      <c r="F167" s="35" t="n"/>
      <c r="H167" s="65">
        <f>IF(TransferName="NONE",F172,IF(H166&gt;0,(E171-G148)*0.1,0))</f>
        <v/>
      </c>
      <c r="J167" s="38" t="n"/>
      <c r="K167" s="36" t="n"/>
      <c r="N167" s="35" t="n"/>
      <c r="P167" s="65">
        <f>IF(TransferName="NONE",N172,IF(P166&gt;0,(M171-O148)*0.1,0))</f>
        <v/>
      </c>
    </row>
    <row r="168">
      <c r="B168" s="667" t="n"/>
      <c r="F168" s="35" t="n"/>
      <c r="G168" s="34" t="inlineStr">
        <is>
          <t>Transferable</t>
        </is>
      </c>
      <c r="H168" s="65">
        <f>IF(H167&gt;0,H167,0)</f>
        <v/>
      </c>
      <c r="J168" s="667" t="n"/>
      <c r="N168" s="35" t="n"/>
      <c r="O168" s="34" t="inlineStr">
        <is>
          <t>Transferable</t>
        </is>
      </c>
      <c r="P168" s="65">
        <f>IF(P167&gt;0,P167,0)</f>
        <v/>
      </c>
    </row>
    <row r="169">
      <c r="B169" s="667" t="inlineStr">
        <is>
          <t>Adjusted Taxable Income</t>
        </is>
      </c>
      <c r="C169">
        <f>C150-(SUM(C152:C167))</f>
        <v/>
      </c>
      <c r="D169" s="13" t="inlineStr">
        <is>
          <t>Line 5864</t>
        </is>
      </c>
      <c r="E169" s="39">
        <f>IF(C169&gt;0,C169,0)</f>
        <v/>
      </c>
      <c r="F169" s="35" t="n"/>
      <c r="G169" s="34" t="n"/>
      <c r="H169" s="35" t="n"/>
      <c r="J169" s="667" t="inlineStr">
        <is>
          <t>Adjusted Taxable Income</t>
        </is>
      </c>
      <c r="K169">
        <f>K150-(SUM(K152:K167))</f>
        <v/>
      </c>
      <c r="L169" s="13" t="inlineStr">
        <is>
          <t>Line 5864</t>
        </is>
      </c>
      <c r="M169" s="39">
        <f>IF(K169&gt;0,K169,0)</f>
        <v/>
      </c>
      <c r="N169" s="35" t="n"/>
      <c r="O169" s="34" t="n"/>
      <c r="P169" s="35" t="n"/>
    </row>
    <row r="170" ht="15.75" customHeight="1" thickBot="1">
      <c r="B170" s="34" t="n"/>
      <c r="F170" s="35" t="n"/>
      <c r="G170" s="34" t="n"/>
      <c r="H170" s="35" t="n"/>
      <c r="J170" s="34" t="n"/>
      <c r="N170" s="35" t="n"/>
      <c r="O170" s="34" t="n"/>
      <c r="P170" s="35" t="n"/>
    </row>
    <row r="171" ht="15.75" customHeight="1" thickBot="1">
      <c r="B171" s="34" t="n"/>
      <c r="D171" s="21" t="inlineStr">
        <is>
          <t>Prov Trans</t>
        </is>
      </c>
      <c r="E171" s="36">
        <f>(E148-E169)</f>
        <v/>
      </c>
      <c r="F171" s="40" t="n"/>
      <c r="G171" s="34" t="n"/>
      <c r="H171" s="52" t="n"/>
      <c r="J171" s="34" t="n"/>
      <c r="L171" s="21" t="inlineStr">
        <is>
          <t>Prov Trans</t>
        </is>
      </c>
      <c r="M171" s="36">
        <f>(M148-M169)</f>
        <v/>
      </c>
      <c r="N171" s="40" t="n"/>
      <c r="O171" s="34" t="n"/>
      <c r="P171" s="52" t="n"/>
    </row>
    <row r="172" ht="15.75" customHeight="1" thickBot="1">
      <c r="B172" s="34" t="n"/>
      <c r="C172" s="579" t="inlineStr">
        <is>
          <t>DTC Transferable ESTIMATE</t>
        </is>
      </c>
      <c r="D172" s="35" t="n"/>
      <c r="E172" s="36">
        <f>IF(E171&lt;0,0,(IF(E171&gt;E146,E146,E171)))</f>
        <v/>
      </c>
      <c r="F172" s="40">
        <f>IF(E172&gt;0,E172*0.1,"No Transfer Required")</f>
        <v/>
      </c>
      <c r="G172" s="58" t="n"/>
      <c r="H172" s="52" t="n"/>
      <c r="J172" s="34" t="n"/>
      <c r="K172" s="579" t="inlineStr">
        <is>
          <t>DTC Transferable ESTIMATE</t>
        </is>
      </c>
      <c r="L172" s="35" t="n"/>
      <c r="M172" s="36">
        <f>IF(M171&lt;0,0,(IF(M171&gt;M146,M146,M171)))</f>
        <v/>
      </c>
      <c r="N172" s="40">
        <f>IF(M172&gt;0,M172*0.1,"No Transfer Required")</f>
        <v/>
      </c>
      <c r="O172" s="58" t="n"/>
      <c r="P172" s="52" t="n"/>
    </row>
    <row r="173" ht="15.75" customHeight="1" thickBot="1">
      <c r="B173" s="42" t="n"/>
      <c r="C173" s="41" t="n"/>
      <c r="D173" s="43" t="inlineStr">
        <is>
          <t>Net Transferable</t>
        </is>
      </c>
      <c r="E173" s="36">
        <f>IF(E171&lt;0,0,(IF(E171-G144-G145-G147&lt;0,E171,(E171-G144-G145-G147))))</f>
        <v/>
      </c>
      <c r="F173" s="57">
        <f>IF(E173&gt;0,E173*0.1,"0")</f>
        <v/>
      </c>
      <c r="G173" s="59" t="n"/>
      <c r="H173" s="864" t="n"/>
      <c r="J173" s="42" t="n"/>
      <c r="K173" s="41" t="n"/>
      <c r="L173" s="43" t="inlineStr">
        <is>
          <t>Net Transferable</t>
        </is>
      </c>
      <c r="M173" s="36">
        <f>IF(M171&lt;0,0,(IF(M171-O144-O145-O147&lt;0,M171,(M171-O144-O145-O147))))</f>
        <v/>
      </c>
      <c r="N173" s="57">
        <f>IF(M173&gt;0,M173*0.1,"0")</f>
        <v/>
      </c>
      <c r="O173" s="59" t="n"/>
      <c r="P173" s="864" t="n"/>
    </row>
    <row r="174">
      <c r="D174" s="60" t="n"/>
      <c r="F174" s="61" t="n"/>
      <c r="G174" s="449" t="n"/>
      <c r="H174" s="866" t="n"/>
      <c r="L174" s="60" t="n"/>
      <c r="N174" s="866" t="n"/>
      <c r="O174" s="64" t="n"/>
      <c r="P174" s="866" t="n"/>
    </row>
    <row r="175" ht="15.75" customHeight="1" thickBot="1">
      <c r="E175">
        <f>Calculator!$D$5</f>
        <v/>
      </c>
      <c r="H175">
        <f>TransferName</f>
        <v/>
      </c>
      <c r="M175">
        <f>Calculator!$D$5</f>
        <v/>
      </c>
      <c r="P175">
        <f>TransferName</f>
        <v/>
      </c>
    </row>
    <row r="176" ht="15.75" customHeight="1" thickBot="1">
      <c r="B176" s="868" t="inlineStr">
        <is>
          <t>2014 ALBERTA Provincial</t>
        </is>
      </c>
      <c r="C176" s="778" t="n"/>
      <c r="D176" s="778" t="n"/>
      <c r="E176" s="778" t="n"/>
      <c r="F176" s="778" t="n"/>
      <c r="G176" s="778" t="n"/>
      <c r="H176" s="780" t="n"/>
      <c r="J176" s="868" t="inlineStr">
        <is>
          <t>2013 ALBERTA Provincial</t>
        </is>
      </c>
      <c r="K176" s="778" t="n"/>
      <c r="L176" s="778" t="n"/>
      <c r="M176" s="778" t="n"/>
      <c r="N176" s="778" t="n"/>
      <c r="O176" s="778" t="n"/>
      <c r="P176" s="780" t="n"/>
    </row>
    <row r="177" ht="15.75" customHeight="1" thickBot="1">
      <c r="B177" s="34" t="n"/>
      <c r="D177" t="inlineStr">
        <is>
          <t>Line</t>
        </is>
      </c>
      <c r="E177" t="inlineStr">
        <is>
          <t>Amt</t>
        </is>
      </c>
      <c r="F177" s="35" t="n"/>
      <c r="G177" s="667" t="inlineStr">
        <is>
          <t>Spouse</t>
        </is>
      </c>
      <c r="H177" s="35" t="inlineStr">
        <is>
          <t>S2 Adjustment</t>
        </is>
      </c>
      <c r="J177" s="34" t="n"/>
      <c r="L177" t="inlineStr">
        <is>
          <t>Line</t>
        </is>
      </c>
      <c r="M177" t="inlineStr">
        <is>
          <t>Amt</t>
        </is>
      </c>
      <c r="N177" s="35" t="n"/>
      <c r="O177" s="34" t="inlineStr">
        <is>
          <t>Spouse</t>
        </is>
      </c>
      <c r="P177" s="35" t="inlineStr">
        <is>
          <t>S2 Adjustment</t>
        </is>
      </c>
    </row>
    <row r="178" ht="15.75" customHeight="1" thickBot="1">
      <c r="B178" s="667" t="inlineStr">
        <is>
          <t>Age Amount</t>
        </is>
      </c>
      <c r="D178" t="inlineStr">
        <is>
          <t>Line 5808</t>
        </is>
      </c>
      <c r="E178" s="861">
        <f>(_xlfn.XLOOKUP(ClientNumber,Clients!D:D,Clients!IRH:IRH,2,0,1))</f>
        <v/>
      </c>
      <c r="F178" s="37" t="inlineStr">
        <is>
          <t>Line 59020</t>
        </is>
      </c>
      <c r="G178" s="51">
        <f>IF(TransferName="NONE",0,(_xlfn.XLOOKUP(TransferNumber,Clients!D:D,Clients!ITJ:ITJ,2,0,1)))</f>
        <v/>
      </c>
      <c r="H178" s="37">
        <f>IF(AND(E178&gt;0,G178=0),"Age Amount Can Be Transferred","No Action")</f>
        <v/>
      </c>
      <c r="J178" s="667" t="inlineStr">
        <is>
          <t>Age Amount</t>
        </is>
      </c>
      <c r="L178" t="inlineStr">
        <is>
          <t>Line 5808</t>
        </is>
      </c>
      <c r="M178" s="865">
        <f>(_xlfn.XLOOKUP(MainClient,Clients!D:D,Clients!JRJ:JRJ,2,0,1))</f>
        <v/>
      </c>
      <c r="N178" s="45" t="inlineStr">
        <is>
          <t>Line 59020</t>
        </is>
      </c>
      <c r="O178" s="51">
        <f>IF(TransferName="NONE",0,(_xlfn.XLOOKUP(TransferNumber,Clients!D:D,Clients!JTL:JTL,2,0,1)))</f>
        <v/>
      </c>
      <c r="P178" s="37">
        <f>IF(AND(M178&gt;0,O178=0),"Age Amount Can Be Transferred","No Action")</f>
        <v/>
      </c>
    </row>
    <row r="179" ht="15.75" customHeight="1" thickBot="1">
      <c r="B179" s="667" t="inlineStr">
        <is>
          <t>Pension Income Amount</t>
        </is>
      </c>
      <c r="D179" t="inlineStr">
        <is>
          <t>Line 5836 (mx 1370)</t>
        </is>
      </c>
      <c r="E179" s="861">
        <f>IF((_xlfn.XLOOKUP(ClientNumber,Clients!D:D,Clients!ISH:ISH,2,0,1)&lt;1370),(_xlfn.XLOOKUP(MainClient,Clients!D:D,Clients!ISH:ISH,2,0,1)),1370)</f>
        <v/>
      </c>
      <c r="F179" s="37" t="inlineStr">
        <is>
          <t>Line 59050</t>
        </is>
      </c>
      <c r="G179" s="51">
        <f>IF(TransferName="NONE",0,(_xlfn.XLOOKUP(TransferNumber,Clients!D:D,Clients!ITM:ITM,2,0,1)))</f>
        <v/>
      </c>
      <c r="H179" s="37">
        <f>IF(AND(E179&gt;0,G179=0),"Pension Income Amount Can Be Transferred","No Action")</f>
        <v/>
      </c>
      <c r="J179" s="667" t="inlineStr">
        <is>
          <t>Pension Income Amount</t>
        </is>
      </c>
      <c r="L179" t="inlineStr">
        <is>
          <t>Line 5836 (mx 1355)</t>
        </is>
      </c>
      <c r="M179" s="865">
        <f>IF((_xlfn.XLOOKUP(ClientNumber,Clients!D:D,Clients!JSJ:JSJ,2,0,1)&lt;1355),(_xlfn.XLOOKUP(MainClient,Clients!D:D,Clients!JSJ:JSJ,2,0,1)),1355)</f>
        <v/>
      </c>
      <c r="N179" s="45" t="inlineStr">
        <is>
          <t>Line 59050</t>
        </is>
      </c>
      <c r="O179" s="51">
        <f>IF(TransferName="NONE",0,(_xlfn.XLOOKUP(TransferNumber,Clients!D:D,Clients!JTO:JTO,2,0,1)))</f>
        <v/>
      </c>
      <c r="P179" s="37">
        <f>IF(AND(M179&gt;0,O179=0),"Pension Income Amount Can Be Transferred","No Action")</f>
        <v/>
      </c>
    </row>
    <row r="180" ht="15.75" customHeight="1" thickBot="1">
      <c r="B180" s="667" t="inlineStr">
        <is>
          <t>Disability Amount</t>
        </is>
      </c>
      <c r="D180" t="inlineStr">
        <is>
          <t xml:space="preserve">Line 5844 </t>
        </is>
      </c>
      <c r="E180" s="861">
        <f>IF(_xlfn.XLOOKUP(ClientNumber,Clients!D:D,Clients!ISJ:ISJ,2,0,1)=0,13720,(_xlfn.XLOOKUP(MainClient,Clients!D:D,Clients!ISJ:ISJ,2,0,1)))</f>
        <v/>
      </c>
      <c r="F180" s="37" t="inlineStr">
        <is>
          <t>Line 59070</t>
        </is>
      </c>
      <c r="G180" s="51">
        <f>IF(TransferName="NONE",0,(_xlfn.XLOOKUP(TransferNumber,Clients!D:D,Clients!ITN:ITN,2,0,1)))</f>
        <v/>
      </c>
      <c r="H180" s="37">
        <f>IF(AND(E180&gt;0,G180=0),"DTC Transferable Not Claimed Can Be Transferred","No Action")</f>
        <v/>
      </c>
      <c r="J180" s="667" t="inlineStr">
        <is>
          <t>Disability Amount</t>
        </is>
      </c>
      <c r="L180" t="inlineStr">
        <is>
          <t xml:space="preserve">Line 5844 </t>
        </is>
      </c>
      <c r="M180" s="865">
        <f>IF(_xlfn.XLOOKUP(ClientNumber,Clients!D:D,Clients!JSL:JSL,2,0,1)=0,13571,(_xlfn.XLOOKUP(MainClient,Clients!D:D,Clients!JSL:JSL,2,0,1)))</f>
        <v/>
      </c>
      <c r="N180" s="45" t="inlineStr">
        <is>
          <t>Line 59070</t>
        </is>
      </c>
      <c r="O180" s="51">
        <f>IF(TransferName="NONE",0,(_xlfn.XLOOKUP(TransferNumber,Clients!D:D,Clients!JTP:JTP,2,0,1)))</f>
        <v/>
      </c>
      <c r="P180" s="37">
        <f>IF(AND(M180&gt;0,O180=0),"DTC Transferable Not Claimed Can Be Transferred","No Action")</f>
        <v/>
      </c>
    </row>
    <row r="181" ht="15.75" customHeight="1" thickBot="1">
      <c r="B181" s="667" t="inlineStr">
        <is>
          <t>Tuition Amount</t>
        </is>
      </c>
      <c r="D181" t="inlineStr">
        <is>
          <t>Line 5920</t>
        </is>
      </c>
      <c r="E181" s="861">
        <f>(_xlfn.XLOOKUP(ClientNumber,Clients!D:D,Clients!ITZ:ITZ,2,0,1))</f>
        <v/>
      </c>
      <c r="F181" s="37" t="inlineStr">
        <is>
          <t>Line 59090</t>
        </is>
      </c>
      <c r="G181" s="51">
        <f>IF(TransferName="NONE",0,(_xlfn.XLOOKUP(TransferNumber,Clients!D:D,Clients!ITO:ITO,2,0,1)))</f>
        <v/>
      </c>
      <c r="H181" s="37">
        <f>IF(AND(E181&gt;0,G181=0),"Tuition Can Be Transferred","No Action")</f>
        <v/>
      </c>
      <c r="J181" s="667" t="inlineStr">
        <is>
          <t>Tuition Amount</t>
        </is>
      </c>
      <c r="L181" t="inlineStr">
        <is>
          <t>Line 58920</t>
        </is>
      </c>
      <c r="M181" s="865">
        <f>(_xlfn.XLOOKUP(MainClient,Clients!D:D,Clients!JTZ:JTZ,2,0,1))</f>
        <v/>
      </c>
      <c r="N181" s="45" t="inlineStr">
        <is>
          <t>Line 59090</t>
        </is>
      </c>
      <c r="O181" s="51">
        <f>IF(TransferName="NONE",0,(_xlfn.XLOOKUP(TransferNumber,Clients!D:D,Clients!JTR:JTR,2,0,1)))</f>
        <v/>
      </c>
      <c r="P181" s="37">
        <f>IF(AND(M181&gt;0,O181=0),"Age Amount Can Be Transferred","No Action")</f>
        <v/>
      </c>
    </row>
    <row r="182">
      <c r="B182" s="667" t="n"/>
      <c r="E182" s="771">
        <f>SUM(E178:E181)</f>
        <v/>
      </c>
      <c r="F182" s="37" t="n"/>
      <c r="G182" s="667">
        <f>SUM(G178:G181)</f>
        <v/>
      </c>
      <c r="H182" s="37" t="n"/>
      <c r="J182" s="667" t="n"/>
      <c r="M182" s="872">
        <f>SUM(M178:M181)</f>
        <v/>
      </c>
      <c r="N182" s="37" t="n"/>
      <c r="O182" s="667">
        <f>SUM(O178:O181)</f>
        <v/>
      </c>
      <c r="P182" s="37" t="n"/>
    </row>
    <row r="183" ht="15.75" customHeight="1" thickBot="1">
      <c r="B183" s="34" t="n"/>
      <c r="F183" s="35" t="n"/>
      <c r="G183" s="667" t="n"/>
      <c r="H183" s="35" t="n"/>
      <c r="J183" s="34" t="n"/>
      <c r="N183" s="35" t="n"/>
      <c r="O183" s="667" t="n"/>
      <c r="P183" s="35" t="n"/>
    </row>
    <row r="184" ht="15.75" customHeight="1" thickBot="1">
      <c r="B184" s="667" t="inlineStr">
        <is>
          <t>Line 260</t>
        </is>
      </c>
      <c r="C184" s="36">
        <f>(_xlfn.XLOOKUP(MainClient,Clients!D:D,Clients!IJG:IJG,2,0,1))</f>
        <v/>
      </c>
      <c r="F184" s="35" t="n"/>
      <c r="G184" s="34">
        <f>IF(E207&gt;E180,"other transferable credits","DTC Only")</f>
        <v/>
      </c>
      <c r="H184" s="35" t="n"/>
      <c r="J184" s="667" t="inlineStr">
        <is>
          <t>Line 260</t>
        </is>
      </c>
      <c r="K184" s="36">
        <f>(_xlfn.XLOOKUP(MainClient,Clients!D:D,Clients!JJI:JJI,2,0,1))</f>
        <v/>
      </c>
      <c r="N184" s="35" t="n"/>
      <c r="O184" s="34">
        <f>IF(M207&gt;M180,"other transferable credits","DTC Only")</f>
        <v/>
      </c>
      <c r="P184" s="35" t="n"/>
    </row>
    <row r="185" ht="15.75" customHeight="1" thickBot="1">
      <c r="B185" s="34" t="n"/>
      <c r="F185" s="35" t="n"/>
      <c r="G185" s="34" t="n"/>
      <c r="H185" s="35" t="n"/>
      <c r="J185" s="34" t="n"/>
      <c r="N185" s="35" t="n"/>
      <c r="O185" s="34" t="n"/>
      <c r="P185" s="35" t="n"/>
    </row>
    <row r="186" ht="15.75" customHeight="1" thickBot="1">
      <c r="B186" s="55" t="inlineStr">
        <is>
          <t>Line 5804</t>
        </is>
      </c>
      <c r="C186" s="36">
        <f>(_xlfn.XLOOKUP(ClientNumber,Clients!D:D,Clients!IRG:IRG,2,0,1))</f>
        <v/>
      </c>
      <c r="D186" s="34" t="n"/>
      <c r="F186" s="35" t="n"/>
      <c r="G186" s="34" t="n"/>
      <c r="H186" s="35" t="n"/>
      <c r="J186" s="55" t="inlineStr">
        <is>
          <t>Line 5804</t>
        </is>
      </c>
      <c r="K186" s="36">
        <f>(_xlfn.XLOOKUP(MainClient,Clients!D:D,Clients!JRI:JRI,2,0,1))</f>
        <v/>
      </c>
      <c r="L186" s="34" t="n"/>
      <c r="N186" s="35" t="n"/>
      <c r="O186" s="34" t="n"/>
      <c r="P186" s="35" t="n"/>
    </row>
    <row r="187" ht="15.75" customHeight="1" thickBot="1">
      <c r="B187" s="55" t="inlineStr">
        <is>
          <t>Line 5824</t>
        </is>
      </c>
      <c r="C187" s="36">
        <f>(_xlfn.XLOOKUP(ClientNumber,Clients!D:D,Clients!IRV:IRV,2,0,1))</f>
        <v/>
      </c>
      <c r="D187" s="34" t="n"/>
      <c r="F187" s="35" t="n"/>
      <c r="G187" s="34" t="n"/>
      <c r="H187" s="35" t="n"/>
      <c r="J187" s="55" t="inlineStr">
        <is>
          <t>Line 5824</t>
        </is>
      </c>
      <c r="K187" s="36">
        <f>(_xlfn.XLOOKUP(MainClient,Clients!D:D,Clients!JRX:JRX,2,0,1))</f>
        <v/>
      </c>
      <c r="L187" s="34" t="n"/>
      <c r="N187" s="35" t="n"/>
      <c r="O187" s="34" t="n"/>
      <c r="P187" s="35" t="n"/>
    </row>
    <row r="188" ht="15.75" customHeight="1" thickBot="1">
      <c r="B188" s="55" t="inlineStr">
        <is>
          <t>Line 5828</t>
        </is>
      </c>
      <c r="C188" s="36">
        <f>(_xlfn.XLOOKUP(ClientNumber,Clients!D:D,Clients!IRW:IRW,2,0,1))</f>
        <v/>
      </c>
      <c r="D188" s="34" t="n"/>
      <c r="F188" s="35" t="n"/>
      <c r="G188" s="34" t="n"/>
      <c r="H188" s="35" t="n"/>
      <c r="J188" s="55" t="inlineStr">
        <is>
          <t>Line 5828</t>
        </is>
      </c>
      <c r="K188" s="36">
        <f>(_xlfn.XLOOKUP(MainClient,Clients!D:D,Clients!JRY:JRY,2,0,1))</f>
        <v/>
      </c>
      <c r="L188" s="34" t="n"/>
      <c r="N188" s="35" t="n"/>
      <c r="P188" s="35" t="n"/>
    </row>
    <row r="189" ht="15.75" customHeight="1" thickBot="1">
      <c r="B189" s="55" t="inlineStr">
        <is>
          <t>Line 5832</t>
        </is>
      </c>
      <c r="C189" s="36">
        <f>(_xlfn.XLOOKUP(ClientNumber,Clients!D:D,Clients!IRX:IRX,2,0,1))</f>
        <v/>
      </c>
      <c r="D189" s="34" t="n"/>
      <c r="F189" s="35" t="n"/>
      <c r="G189" s="34" t="n"/>
      <c r="H189" s="35" t="n"/>
      <c r="J189" s="55" t="inlineStr">
        <is>
          <t>Line 5832</t>
        </is>
      </c>
      <c r="K189" s="36">
        <f>(_xlfn.XLOOKUP(MainClient,Clients!D:D,Clients!JRZ:JRZ,2,0,1))</f>
        <v/>
      </c>
      <c r="L189" s="34" t="n"/>
      <c r="N189" s="35" t="n"/>
      <c r="O189" s="34" t="n"/>
      <c r="P189" s="35" t="n"/>
    </row>
    <row r="190" ht="15.75" customHeight="1" thickBot="1">
      <c r="B190" s="55" t="inlineStr">
        <is>
          <t>Line 5829</t>
        </is>
      </c>
      <c r="C190" s="36">
        <f>(_xlfn.XLOOKUP(ClientNumber,Clients!D:D,Clients!IRY:IRY,2,0,1))</f>
        <v/>
      </c>
      <c r="D190" s="34" t="n"/>
      <c r="F190" s="35" t="n"/>
      <c r="G190" s="34" t="n"/>
      <c r="H190" s="35" t="n"/>
      <c r="J190" s="55" t="inlineStr">
        <is>
          <t>Line 5829</t>
        </is>
      </c>
      <c r="K190" s="36">
        <f>(_xlfn.XLOOKUP(MainClient,Clients!D:D,Clients!JSA:JSA,2,0,1))</f>
        <v/>
      </c>
      <c r="L190" s="34" t="n"/>
      <c r="N190" s="35" t="n"/>
      <c r="O190" s="34" t="n"/>
      <c r="P190" s="35" t="n"/>
    </row>
    <row r="191" ht="15.75" customHeight="1" thickBot="1">
      <c r="B191" s="55" t="inlineStr">
        <is>
          <t>Line 5833</t>
        </is>
      </c>
      <c r="C191" s="36">
        <f>(_xlfn.XLOOKUP(ClientNumber,Clients!D:D,Clients!ISF:ISF,2,0,1))</f>
        <v/>
      </c>
      <c r="D191" s="34" t="n"/>
      <c r="F191" s="35" t="n"/>
      <c r="G191" s="34" t="n"/>
      <c r="H191" s="35" t="n"/>
      <c r="J191" s="55" t="inlineStr">
        <is>
          <t>Line 5833</t>
        </is>
      </c>
      <c r="K191" s="36">
        <f>(_xlfn.XLOOKUP(MainClient,Clients!D:D,Clients!JSH:JSH,2,0,1))</f>
        <v/>
      </c>
      <c r="L191" s="34" t="n"/>
      <c r="N191" s="35" t="n"/>
      <c r="O191" s="34" t="n"/>
      <c r="P191" s="35" t="n"/>
    </row>
    <row r="192" ht="15.75" customHeight="1" thickBot="1">
      <c r="B192" s="55" t="inlineStr">
        <is>
          <t>Line 5856</t>
        </is>
      </c>
      <c r="C192" s="36">
        <f>(_xlfn.XLOOKUP(ClientNumber,Clients!D:D,Clients!ISN:ISN,2,0,1))</f>
        <v/>
      </c>
      <c r="D192" s="34" t="n"/>
      <c r="F192" s="35" t="n"/>
      <c r="G192" s="34" t="n"/>
      <c r="H192" s="35" t="n"/>
      <c r="J192" s="55" t="inlineStr">
        <is>
          <t>Line 5856</t>
        </is>
      </c>
      <c r="K192" s="36">
        <f>(_xlfn.XLOOKUP(MainClient,Clients!D:D,Clients!JSQ:JSQ,2,0,1))</f>
        <v/>
      </c>
      <c r="L192" s="34" t="n"/>
      <c r="N192" s="35" t="n"/>
      <c r="O192" s="34" t="n"/>
      <c r="P192" s="35" t="n"/>
    </row>
    <row r="193" ht="15.75" customHeight="1" thickBot="1">
      <c r="B193" s="38" t="n"/>
      <c r="C193" s="36" t="n"/>
      <c r="F193" s="35" t="n"/>
      <c r="G193" s="34" t="n"/>
      <c r="H193" s="35" t="n"/>
      <c r="J193" s="38" t="n"/>
      <c r="K193" s="36" t="n"/>
      <c r="N193" s="35" t="n"/>
      <c r="O193" s="34" t="n"/>
      <c r="P193" s="35" t="n"/>
    </row>
    <row r="194" ht="15.75" customHeight="1" thickBot="1">
      <c r="B194" s="68" t="n"/>
      <c r="C194" s="36" t="n"/>
      <c r="F194" s="35" t="n"/>
      <c r="G194" s="34" t="n"/>
      <c r="H194" s="35" t="n"/>
      <c r="J194" s="68" t="n"/>
      <c r="K194" s="36" t="n"/>
      <c r="N194" s="35" t="n"/>
      <c r="O194" s="34" t="n"/>
      <c r="P194" s="35" t="n"/>
    </row>
    <row r="195" ht="15.75" customHeight="1" thickBot="1">
      <c r="B195" s="68" t="n"/>
      <c r="C195" s="36" t="n"/>
      <c r="F195" s="35" t="n"/>
      <c r="G195" s="34" t="n"/>
      <c r="H195" s="35" t="n"/>
      <c r="J195" s="68" t="n"/>
      <c r="K195" s="36" t="n"/>
      <c r="N195" s="35" t="n"/>
      <c r="O195" s="34" t="n"/>
      <c r="P195" s="35" t="n"/>
    </row>
    <row r="196" ht="15.75" customHeight="1" thickBot="1">
      <c r="B196" s="38" t="n"/>
      <c r="C196" s="36" t="n"/>
      <c r="F196" s="35" t="n"/>
      <c r="G196" s="34" t="inlineStr">
        <is>
          <t>Line 326</t>
        </is>
      </c>
      <c r="H196" s="35">
        <f>IF(TransferName="NONE",0,(_xlfn.XLOOKUP(TransferNumber,Clients!D:D,Clients!IKF:IKF,2,0,1)))</f>
        <v/>
      </c>
      <c r="J196" s="38" t="n"/>
      <c r="K196" s="36" t="n"/>
      <c r="N196" s="35" t="n"/>
      <c r="O196" s="34" t="inlineStr">
        <is>
          <t>Line 326</t>
        </is>
      </c>
      <c r="P196" s="35">
        <f>IFERROR(_xlfn.XLOOKUP(TransferNumber,Clients!D:D,Clients!JKH:JKH,2,0,1),0)</f>
        <v/>
      </c>
    </row>
    <row r="197" ht="15.75" customHeight="1" thickBot="1">
      <c r="B197" s="68" t="n"/>
      <c r="C197" s="36" t="n"/>
      <c r="F197" s="35" t="n"/>
      <c r="G197" s="34" t="n"/>
      <c r="H197" s="35" t="n"/>
      <c r="J197" s="68" t="n"/>
      <c r="K197" s="36" t="n"/>
      <c r="N197" s="35" t="n"/>
      <c r="O197" s="34" t="n"/>
      <c r="P197" s="35" t="n"/>
    </row>
    <row r="198" ht="15.75" customHeight="1" thickBot="1">
      <c r="B198" s="38" t="n"/>
      <c r="C198" s="36" t="n"/>
      <c r="F198" s="35" t="n"/>
      <c r="G198" s="34" t="n"/>
      <c r="H198" s="35" t="n"/>
      <c r="J198" s="38" t="n"/>
      <c r="K198" s="36" t="n"/>
      <c r="N198" s="35" t="n"/>
      <c r="O198" s="34" t="n"/>
      <c r="P198" s="35" t="n"/>
    </row>
    <row r="199" ht="15.75" customHeight="1" thickBot="1">
      <c r="B199" s="38" t="n"/>
      <c r="C199" s="36" t="n"/>
      <c r="F199" s="35" t="n"/>
      <c r="G199" s="34" t="n"/>
      <c r="H199" s="35" t="n"/>
      <c r="J199" s="38" t="n"/>
      <c r="K199" s="36" t="n"/>
      <c r="N199" s="35" t="n"/>
      <c r="O199" s="34" t="n"/>
      <c r="P199" s="35" t="n"/>
    </row>
    <row r="200" ht="15.75" customHeight="1" thickBot="1">
      <c r="B200" s="38" t="n"/>
      <c r="C200" s="36" t="n"/>
      <c r="F200" s="35" t="n"/>
      <c r="G200" s="34" t="n"/>
      <c r="H200" s="35">
        <f>IF(E205&gt;0,E182-G182,0)</f>
        <v/>
      </c>
      <c r="J200" s="38" t="n"/>
      <c r="K200" s="36" t="n"/>
      <c r="N200" s="35" t="n"/>
      <c r="O200" s="34" t="n"/>
      <c r="P200" s="35">
        <f>IF(M205&gt;0,M182-O182,0)</f>
        <v/>
      </c>
    </row>
    <row r="201" ht="15.75" customHeight="1" thickBot="1">
      <c r="B201" s="38" t="n"/>
      <c r="C201" s="36" t="n"/>
      <c r="F201" s="35" t="n"/>
      <c r="H201" s="52">
        <f>IF(TransferName="NONE",F206,IF(H200&gt;0,(E205-G182)*0.1,0))</f>
        <v/>
      </c>
      <c r="J201" s="38" t="n"/>
      <c r="K201" s="36" t="n"/>
      <c r="N201" s="35" t="n"/>
      <c r="P201" s="52">
        <f>IF(TransferName="NONE",N206,IF(P200&gt;0,(M205-O182)*0.1,0))</f>
        <v/>
      </c>
    </row>
    <row r="202">
      <c r="B202" s="667" t="n"/>
      <c r="F202" s="35" t="n"/>
      <c r="G202" s="34" t="inlineStr">
        <is>
          <t>Transferable</t>
        </is>
      </c>
      <c r="H202" s="52">
        <f>IF(H201&gt;0,H201,0)</f>
        <v/>
      </c>
      <c r="J202" s="667" t="n"/>
      <c r="N202" s="35" t="n"/>
      <c r="O202" s="34" t="inlineStr">
        <is>
          <t>Transferable</t>
        </is>
      </c>
      <c r="P202" s="52">
        <f>IF(P201&gt;0,P201,0)</f>
        <v/>
      </c>
    </row>
    <row r="203">
      <c r="B203" s="667" t="inlineStr">
        <is>
          <t>Adjusted Taxable Income</t>
        </is>
      </c>
      <c r="C203">
        <f>C184-(SUM(C186:C201))</f>
        <v/>
      </c>
      <c r="D203" s="13" t="inlineStr">
        <is>
          <t>Line 5864</t>
        </is>
      </c>
      <c r="E203" s="39">
        <f>IF(C203&gt;0,C203,0)</f>
        <v/>
      </c>
      <c r="F203" s="35" t="n"/>
      <c r="G203" s="34" t="n"/>
      <c r="H203" s="35" t="n"/>
      <c r="J203" s="667" t="inlineStr">
        <is>
          <t>Adjusted Taxable Income</t>
        </is>
      </c>
      <c r="K203">
        <f>K184-(SUM(K186:K201))</f>
        <v/>
      </c>
      <c r="L203" s="13" t="inlineStr">
        <is>
          <t>Line 5864</t>
        </is>
      </c>
      <c r="M203" s="39">
        <f>IF(K203&gt;0,K203,0)</f>
        <v/>
      </c>
      <c r="N203" s="35" t="n"/>
      <c r="O203" s="34" t="n"/>
      <c r="P203" s="35" t="n"/>
    </row>
    <row r="204" ht="15.75" customHeight="1" thickBot="1">
      <c r="B204" s="34" t="n"/>
      <c r="F204" s="35" t="n"/>
      <c r="G204" s="34" t="n"/>
      <c r="H204" s="35" t="n"/>
      <c r="J204" s="34" t="n"/>
      <c r="N204" s="35" t="n"/>
      <c r="O204" s="34" t="n"/>
      <c r="P204" s="35" t="n"/>
    </row>
    <row r="205" ht="15.75" customHeight="1" thickBot="1">
      <c r="B205" s="34" t="n"/>
      <c r="D205" s="21" t="inlineStr">
        <is>
          <t>Prov Trans</t>
        </is>
      </c>
      <c r="E205" s="36">
        <f>(E182-E203)</f>
        <v/>
      </c>
      <c r="F205" s="40" t="n"/>
      <c r="G205" s="34" t="n"/>
      <c r="H205" s="52" t="n"/>
      <c r="J205" s="34" t="n"/>
      <c r="L205" s="21" t="inlineStr">
        <is>
          <t>Prov Trans</t>
        </is>
      </c>
      <c r="M205" s="36">
        <f>(M182-M203)</f>
        <v/>
      </c>
      <c r="N205" s="40" t="n"/>
      <c r="O205" s="34" t="n"/>
      <c r="P205" s="52" t="n"/>
    </row>
    <row r="206" ht="15.75" customHeight="1" thickBot="1">
      <c r="B206" s="34" t="n"/>
      <c r="C206" s="579" t="inlineStr">
        <is>
          <t>DTC Transferable ESTIMATE</t>
        </is>
      </c>
      <c r="D206" s="35" t="n"/>
      <c r="E206" s="36">
        <f>IF(E205&lt;0,0,(IF(E205&gt;E180,E180,E205)))</f>
        <v/>
      </c>
      <c r="F206" s="40">
        <f>IF(E206&gt;0,E206*0.1,"No Transfer Required")</f>
        <v/>
      </c>
      <c r="G206" s="58" t="n"/>
      <c r="H206" s="52" t="n"/>
      <c r="J206" s="34" t="n"/>
      <c r="K206" s="579" t="inlineStr">
        <is>
          <t>DTC Transferable ESTIMATE</t>
        </is>
      </c>
      <c r="L206" s="35" t="n"/>
      <c r="M206" s="36">
        <f>IF(M205&lt;0,0,(IF(M205&gt;M180,M180,M205)))</f>
        <v/>
      </c>
      <c r="N206" s="40">
        <f>IF(M206&gt;0,M206*0.1,"No Transfer Required")</f>
        <v/>
      </c>
      <c r="O206" s="58" t="n"/>
      <c r="P206" s="52" t="n"/>
    </row>
    <row r="207" ht="15.75" customHeight="1" thickBot="1">
      <c r="B207" s="42" t="n"/>
      <c r="C207" s="41" t="n"/>
      <c r="D207" s="43" t="inlineStr">
        <is>
          <t>Net Transferable</t>
        </is>
      </c>
      <c r="E207" s="36">
        <f>IF(E205&lt;0,0,(IF(E205-G178-G179-G181&lt;0,E205,(E205-G178-G179-G181))))</f>
        <v/>
      </c>
      <c r="F207" s="57">
        <f>IF(E207&gt;0,E207*0.1,"0")</f>
        <v/>
      </c>
      <c r="G207" s="59" t="n"/>
      <c r="H207" s="864" t="n"/>
      <c r="J207" s="42" t="n"/>
      <c r="K207" s="41" t="n"/>
      <c r="L207" s="43" t="inlineStr">
        <is>
          <t>Net Transferable</t>
        </is>
      </c>
      <c r="M207" s="36">
        <f>IF(M205&lt;0,0,(IF(M205-O178-O179-O181&lt;0,M205,(M205-O178-O179-O181))))</f>
        <v/>
      </c>
      <c r="N207" s="57">
        <f>IF(M207&gt;0,M207*0.1,"0")</f>
        <v/>
      </c>
      <c r="O207" s="59" t="n"/>
      <c r="P207" s="864" t="n"/>
    </row>
    <row r="208">
      <c r="D208" s="60" t="n"/>
      <c r="F208" s="61" t="n"/>
      <c r="G208" s="449" t="n"/>
      <c r="H208" s="866" t="n"/>
      <c r="L208" s="60" t="n"/>
      <c r="N208" s="866" t="n"/>
      <c r="O208" s="64" t="n"/>
      <c r="P208" s="866" t="n"/>
    </row>
    <row r="209">
      <c r="D209" s="60" t="n"/>
      <c r="F209" s="61" t="n"/>
      <c r="G209" s="449" t="n"/>
      <c r="H209" s="866" t="n"/>
      <c r="L209" s="60" t="n"/>
      <c r="N209" s="866" t="n"/>
      <c r="O209" s="64" t="n"/>
      <c r="P209" s="866" t="n"/>
    </row>
  </sheetData>
  <mergeCells count="88">
    <mergeCell ref="J180:K180"/>
    <mergeCell ref="K33:L33"/>
    <mergeCell ref="J146:K146"/>
    <mergeCell ref="C172:D172"/>
    <mergeCell ref="B77:C77"/>
    <mergeCell ref="K138:L138"/>
    <mergeCell ref="G68:G69"/>
    <mergeCell ref="B182:C182"/>
    <mergeCell ref="J4:K4"/>
    <mergeCell ref="B78:C78"/>
    <mergeCell ref="G33:G34"/>
    <mergeCell ref="B112:C112"/>
    <mergeCell ref="J147:K147"/>
    <mergeCell ref="C138:D138"/>
    <mergeCell ref="B178:C178"/>
    <mergeCell ref="B2:H2"/>
    <mergeCell ref="B40:C40"/>
    <mergeCell ref="K172:L172"/>
    <mergeCell ref="B41:C41"/>
    <mergeCell ref="J110:K110"/>
    <mergeCell ref="B37:H37"/>
    <mergeCell ref="J181:K181"/>
    <mergeCell ref="B142:H142"/>
    <mergeCell ref="B180:C180"/>
    <mergeCell ref="J77:K77"/>
    <mergeCell ref="G103:G104"/>
    <mergeCell ref="B179:C179"/>
    <mergeCell ref="B72:H72"/>
    <mergeCell ref="B176:H176"/>
    <mergeCell ref="G138:G139"/>
    <mergeCell ref="J75:K75"/>
    <mergeCell ref="B107:H107"/>
    <mergeCell ref="B6:C6"/>
    <mergeCell ref="K206:L206"/>
    <mergeCell ref="J145:K145"/>
    <mergeCell ref="B144:C144"/>
    <mergeCell ref="K68:L68"/>
    <mergeCell ref="J111:K111"/>
    <mergeCell ref="B7:C7"/>
    <mergeCell ref="C68:D68"/>
    <mergeCell ref="J2:P2"/>
    <mergeCell ref="J142:P142"/>
    <mergeCell ref="J40:K40"/>
    <mergeCell ref="B43:C43"/>
    <mergeCell ref="B42:C42"/>
    <mergeCell ref="J182:K182"/>
    <mergeCell ref="J74:K74"/>
    <mergeCell ref="J179:K179"/>
    <mergeCell ref="J72:P72"/>
    <mergeCell ref="B148:C148"/>
    <mergeCell ref="J37:P37"/>
    <mergeCell ref="B146:C146"/>
    <mergeCell ref="J176:P176"/>
    <mergeCell ref="J113:K113"/>
    <mergeCell ref="J107:P107"/>
    <mergeCell ref="B5:C5"/>
    <mergeCell ref="B76:C76"/>
    <mergeCell ref="J42:K42"/>
    <mergeCell ref="B4:C4"/>
    <mergeCell ref="B75:C75"/>
    <mergeCell ref="J39:K39"/>
    <mergeCell ref="B109:C109"/>
    <mergeCell ref="J144:K144"/>
    <mergeCell ref="J5:K5"/>
    <mergeCell ref="C33:D33"/>
    <mergeCell ref="J112:K112"/>
    <mergeCell ref="C206:D206"/>
    <mergeCell ref="J78:K78"/>
    <mergeCell ref="B39:C39"/>
    <mergeCell ref="J6:K6"/>
    <mergeCell ref="C103:D103"/>
    <mergeCell ref="B111:C111"/>
    <mergeCell ref="B145:C145"/>
    <mergeCell ref="J178:K178"/>
    <mergeCell ref="B181:C181"/>
    <mergeCell ref="B8:C8"/>
    <mergeCell ref="J148:K148"/>
    <mergeCell ref="B147:C147"/>
    <mergeCell ref="J7:K7"/>
    <mergeCell ref="J41:K41"/>
    <mergeCell ref="J109:K109"/>
    <mergeCell ref="B74:C74"/>
    <mergeCell ref="J43:K43"/>
    <mergeCell ref="K103:L103"/>
    <mergeCell ref="J76:K76"/>
    <mergeCell ref="B110:C110"/>
    <mergeCell ref="J8:K8"/>
    <mergeCell ref="B113:C113"/>
  </mergeCells>
  <pageMargins left="0.7" right="0.7" top="0.75" bottom="0.75" header="0.3" footer="0.3"/>
  <pageSetup orientation="portrait" verticalDpi="597"/>
</worksheet>
</file>

<file path=xl/worksheets/sheet11.xml><?xml version="1.0" encoding="utf-8"?>
<worksheet xmlns="http://schemas.openxmlformats.org/spreadsheetml/2006/main">
  <sheetPr codeName="Sheet6">
    <tabColor rgb="FF92D050"/>
    <outlinePr summaryBelow="1" summaryRight="1"/>
    <pageSetUpPr/>
  </sheetPr>
  <dimension ref="A1:P208"/>
  <sheetViews>
    <sheetView topLeftCell="A171" zoomScale="60" zoomScaleNormal="60" workbookViewId="0">
      <selection activeCell="E206" sqref="E206"/>
    </sheetView>
  </sheetViews>
  <sheetFormatPr baseColWidth="8" defaultRowHeight="15"/>
  <cols>
    <col width="1.140625" customWidth="1" min="1" max="1"/>
    <col width="23.7109375" bestFit="1" customWidth="1" min="2" max="2"/>
    <col width="16" customWidth="1" min="3" max="3"/>
    <col width="22.5703125" customWidth="1" min="4" max="4"/>
    <col width="13.42578125" bestFit="1" customWidth="1" min="5" max="5"/>
    <col width="13.42578125" customWidth="1" min="6" max="6"/>
    <col width="12.5703125" customWidth="1" min="7" max="7"/>
    <col width="59" customWidth="1" min="8" max="8"/>
    <col width="12.140625" customWidth="1" min="9" max="9"/>
    <col width="16.5703125" customWidth="1" min="10" max="10"/>
    <col width="11.85546875" customWidth="1" min="11" max="11"/>
    <col width="18.42578125" bestFit="1" customWidth="1" min="12" max="12"/>
    <col width="13.7109375" bestFit="1" customWidth="1" min="13" max="13"/>
    <col width="13.5703125" customWidth="1" min="14" max="14"/>
    <col width="12.140625" bestFit="1" customWidth="1" min="15" max="15"/>
    <col width="58.7109375" customWidth="1" min="16" max="16"/>
  </cols>
  <sheetData>
    <row r="1" ht="15.75" customHeight="1" thickBot="1">
      <c r="E1">
        <f>Calculator!$D$5</f>
        <v/>
      </c>
      <c r="H1">
        <f>TransferName</f>
        <v/>
      </c>
      <c r="M1">
        <f>Calculator!$D$5</f>
        <v/>
      </c>
      <c r="P1">
        <f>TransferName</f>
        <v/>
      </c>
    </row>
    <row r="2" ht="15.75" customHeight="1" thickBot="1">
      <c r="B2" s="867" t="inlineStr">
        <is>
          <t>2024 BRITISH COLUMBIA Provincial</t>
        </is>
      </c>
      <c r="C2" s="778" t="n"/>
      <c r="D2" s="778" t="n"/>
      <c r="E2" s="778" t="n"/>
      <c r="F2" s="778" t="n"/>
      <c r="G2" s="778" t="n"/>
      <c r="H2" s="780" t="n"/>
      <c r="J2" s="873" t="inlineStr">
        <is>
          <t>2023 BRITISH COLUMBIA Provincial</t>
        </is>
      </c>
      <c r="K2" s="778" t="n"/>
      <c r="L2" s="778" t="n"/>
      <c r="M2" s="778" t="n"/>
      <c r="N2" s="778" t="n"/>
      <c r="O2" s="778" t="n"/>
      <c r="P2" s="780" t="n"/>
    </row>
    <row r="3" ht="15.75" customHeight="1" thickBot="1">
      <c r="B3" s="116" t="n"/>
      <c r="C3" s="115" t="n"/>
      <c r="D3" s="115" t="inlineStr">
        <is>
          <t>Line</t>
        </is>
      </c>
      <c r="E3" s="115" t="inlineStr">
        <is>
          <t>Amt</t>
        </is>
      </c>
      <c r="F3" s="117" t="n"/>
      <c r="G3" s="675" t="inlineStr">
        <is>
          <t>Spouse</t>
        </is>
      </c>
      <c r="H3" s="117" t="inlineStr">
        <is>
          <t>S2 Adjustment</t>
        </is>
      </c>
      <c r="J3" s="34" t="n"/>
      <c r="L3" t="inlineStr">
        <is>
          <t>Line</t>
        </is>
      </c>
      <c r="M3" t="inlineStr">
        <is>
          <t>Amt</t>
        </is>
      </c>
      <c r="N3" s="35" t="n"/>
      <c r="O3" s="34" t="inlineStr">
        <is>
          <t>Spouse</t>
        </is>
      </c>
      <c r="P3" s="35" t="inlineStr">
        <is>
          <t>S2 Adjustment</t>
        </is>
      </c>
    </row>
    <row r="4" ht="15.75" customHeight="1" thickBot="1">
      <c r="B4" s="675" t="inlineStr">
        <is>
          <t>Age Amount</t>
        </is>
      </c>
      <c r="D4" s="134" t="inlineStr">
        <is>
          <t>Line 58080</t>
        </is>
      </c>
      <c r="E4" s="869">
        <f>(_xlfn.XLOOKUP(ClientNumber,Clients!D:D,Clients!ANR:ANR,2,0,1))</f>
        <v/>
      </c>
      <c r="F4" s="119" t="inlineStr">
        <is>
          <t>Line 59020</t>
        </is>
      </c>
      <c r="G4" s="141">
        <f>IF(TransferName="NONE",0,(_xlfn.XLOOKUP(TransferNumber,Clients!D:D,Clients!APT:APT,2,0,1)))</f>
        <v/>
      </c>
      <c r="H4" s="119">
        <f>IF(AND(E4&gt;0,G4=0),"Age Amount Can Be Transferred","No Action")</f>
        <v/>
      </c>
      <c r="J4" s="667" t="inlineStr">
        <is>
          <t>Age Amount</t>
        </is>
      </c>
      <c r="L4" s="70" t="inlineStr">
        <is>
          <t>Line 58080</t>
        </is>
      </c>
      <c r="M4" s="865">
        <f>(_xlfn.XLOOKUP(MainClient,Clients!D:D,Clients!MW:MW,2,0,1))</f>
        <v/>
      </c>
      <c r="N4" s="45" t="inlineStr">
        <is>
          <t>Line 59020</t>
        </is>
      </c>
      <c r="O4" s="51">
        <f>IF(TransferName="NONE",0,(_xlfn.XLOOKUP(TransferNumber,Clients!D:D,Clients!OY:OY,2,0,1)))</f>
        <v/>
      </c>
      <c r="P4" s="37">
        <f>IF(AND(M4&gt;0,O4=0),"Age Amount Can Be Transferred","No Action")</f>
        <v/>
      </c>
    </row>
    <row r="5" ht="15.75" customHeight="1" thickBot="1">
      <c r="B5" s="675" t="inlineStr">
        <is>
          <t>Pension Income Amount</t>
        </is>
      </c>
      <c r="D5" s="134" t="inlineStr">
        <is>
          <t>Line 58360 (mx 1000)</t>
        </is>
      </c>
      <c r="E5" s="869">
        <f>IF((_xlfn.XLOOKUP(ClientNumber,Clients!D:D,Clients!AOR:AOR,2,0,1)&lt;1000),(_xlfn.XLOOKUP(MainClient,Clients!D:D,Clients!AOR:AOR,2,0,1)),1000)</f>
        <v/>
      </c>
      <c r="F5" s="119" t="inlineStr">
        <is>
          <t>Line 59050</t>
        </is>
      </c>
      <c r="G5" s="141">
        <f>IF(TransferName="NONE",0,(_xlfn.XLOOKUP(TransferNumber,Clients!D:D,Clients!APW:APW,2,0,1)))</f>
        <v/>
      </c>
      <c r="H5" s="119">
        <f>IF(AND(E5&gt;0,G5=0),"Pension Income Amount Can Be Transferred","No Action")</f>
        <v/>
      </c>
      <c r="J5" s="667" t="inlineStr">
        <is>
          <t>Pension Income Amount</t>
        </is>
      </c>
      <c r="L5" s="70" t="inlineStr">
        <is>
          <t>Line 58360 (mx 1000)</t>
        </is>
      </c>
      <c r="M5" s="865">
        <f>IF((_xlfn.XLOOKUP(ClientNumber,Clients!D:D,Clients!NW:NW,2,0,1)&lt;1000),(_xlfn.XLOOKUP(MainClient,Clients!D:D,Clients!NW:NW,2,0,1)),1000)</f>
        <v/>
      </c>
      <c r="N5" s="45" t="inlineStr">
        <is>
          <t>Line 59050</t>
        </is>
      </c>
      <c r="O5" s="51">
        <f>IF(TransferName="NONE",0,(_xlfn.XLOOKUP(TransferNumber,Clients!D:D,Clients!PB:PB,2,0,1)))</f>
        <v/>
      </c>
      <c r="P5" s="37">
        <f>IF(AND(M5&gt;0,O5=0),"Pension Income Amount Can Be Transferred","No Action")</f>
        <v/>
      </c>
    </row>
    <row r="6" ht="15.75" customHeight="1" thickBot="1">
      <c r="B6" s="675" t="inlineStr">
        <is>
          <t>Disability Amount</t>
        </is>
      </c>
      <c r="D6" s="134" t="inlineStr">
        <is>
          <t xml:space="preserve">Line 58440 </t>
        </is>
      </c>
      <c r="E6" s="869">
        <f>IF(_xlfn.XLOOKUP(ClientNumber,Clients!D:D,Clients!AOT:AOT,2,0,1)=0,8477,(_xlfn.XLOOKUP(MainClient,Clients!D:D,Clients!AOT:AOT,2,0,1)))</f>
        <v/>
      </c>
      <c r="F6" s="119" t="inlineStr">
        <is>
          <t>Line 59070</t>
        </is>
      </c>
      <c r="G6" s="141">
        <f>IF(TransferName="NONE",0,(_xlfn.XLOOKUP(TransferNumber,Clients!D:D,Clients!APX:APX,2,0,1)))</f>
        <v/>
      </c>
      <c r="H6" s="119">
        <f>IF(AND(E6&gt;0,G6=0),"DTC Transferable Not Claimed Can Be Transferred","No Action")</f>
        <v/>
      </c>
      <c r="J6" s="667" t="inlineStr">
        <is>
          <t>Disability Amount</t>
        </is>
      </c>
      <c r="L6" s="70" t="inlineStr">
        <is>
          <t>Line 58440</t>
        </is>
      </c>
      <c r="M6" s="865">
        <f>IF(_xlfn.XLOOKUP(ClientNumber,Clients!D:D,Clients!NY:NY,2,0,1)=0,8986,(_xlfn.XLOOKUP(MainClient,Clients!D:D,Clients!NY:NY,2,0,1)))</f>
        <v/>
      </c>
      <c r="N6" s="45" t="inlineStr">
        <is>
          <t>Line 59070</t>
        </is>
      </c>
      <c r="O6" s="51">
        <f>IF(TransferName="NONE",0,(_xlfn.XLOOKUP(TransferNumber,Clients!D:D,Clients!PC:PC,2,0,1)))</f>
        <v/>
      </c>
      <c r="P6" s="37">
        <f>IF(AND(M6&gt;0,O6=0),"DTC Transferable Not Claimed Can Be Transferred","No Action")</f>
        <v/>
      </c>
    </row>
    <row r="7" ht="15.75" customHeight="1" thickBot="1">
      <c r="B7" s="675" t="inlineStr">
        <is>
          <t>Tuition Amount</t>
        </is>
      </c>
      <c r="D7" s="134" t="inlineStr">
        <is>
          <t>Line 59200</t>
        </is>
      </c>
      <c r="E7" s="869">
        <f>(_xlfn.XLOOKUP(ClientNumber,Clients!D:D,Clients!AQI:AQI,2,0,1))</f>
        <v/>
      </c>
      <c r="F7" s="119" t="inlineStr">
        <is>
          <t>Line 59090</t>
        </is>
      </c>
      <c r="G7" s="141">
        <f>IF(TransferName="NONE",0,(_xlfn.XLOOKUP(TransferNumber,Clients!D:D,Clients!APY:APY,2,0,1)))</f>
        <v/>
      </c>
      <c r="H7" s="119">
        <f>IF(AND(E7&gt;0,G7=0),"Tuition Can Be Transferred","No Action")</f>
        <v/>
      </c>
      <c r="J7" s="667" t="inlineStr">
        <is>
          <t>Tuition Amount</t>
        </is>
      </c>
      <c r="L7" s="70" t="inlineStr">
        <is>
          <t>Line 59200</t>
        </is>
      </c>
      <c r="M7" s="865">
        <f>(_xlfn.XLOOKUP(MainClient,Clients!D:D,Clients!PN:PN,2,0,1))</f>
        <v/>
      </c>
      <c r="N7" s="45" t="inlineStr">
        <is>
          <t>Line 59090</t>
        </is>
      </c>
      <c r="O7" s="51">
        <f>IF(TransferName="NONE",0,(_xlfn.XLOOKUP(TransferNumber,Clients!D:D,Clients!PD:PD,2,0,1)))</f>
        <v/>
      </c>
      <c r="P7" s="37">
        <f>IF(AND(M7&gt;0,O7=0),"Tuition Can Be Transferred","No Action")</f>
        <v/>
      </c>
    </row>
    <row r="8">
      <c r="B8" s="675" t="n"/>
      <c r="D8" s="115" t="n"/>
      <c r="E8" s="871">
        <f>SUM(E4:E7)</f>
        <v/>
      </c>
      <c r="F8" s="119" t="n"/>
      <c r="G8" s="675">
        <f>SUM(G4:G7)</f>
        <v/>
      </c>
      <c r="H8" s="119" t="n"/>
      <c r="J8" s="667" t="n"/>
      <c r="M8" s="872">
        <f>SUM(M4:M7)</f>
        <v/>
      </c>
      <c r="N8" s="37" t="n"/>
      <c r="O8" s="667">
        <f>SUM(O4:O7)</f>
        <v/>
      </c>
      <c r="P8" s="37" t="n"/>
    </row>
    <row r="9">
      <c r="B9" s="675" t="n"/>
      <c r="C9" s="676" t="n"/>
      <c r="D9" s="115" t="n"/>
      <c r="E9" s="871" t="n"/>
      <c r="F9" s="119" t="n"/>
      <c r="G9" s="676" t="n"/>
      <c r="H9" s="119" t="n"/>
      <c r="J9" s="667" t="n"/>
      <c r="K9" s="668" t="n"/>
      <c r="M9" s="872" t="n"/>
      <c r="N9" s="37" t="n"/>
      <c r="O9" s="668" t="n"/>
      <c r="P9" s="37" t="n"/>
    </row>
    <row r="10" ht="15.75" customHeight="1" thickBot="1">
      <c r="B10" s="116" t="n"/>
      <c r="C10" s="115" t="n"/>
      <c r="D10" s="115" t="n"/>
      <c r="E10" s="115" t="n"/>
      <c r="F10" s="117" t="n"/>
      <c r="G10" s="115" t="n"/>
      <c r="H10" s="117" t="n"/>
      <c r="J10" s="34" t="n"/>
      <c r="N10" s="35" t="n"/>
      <c r="P10" s="35" t="n"/>
    </row>
    <row r="11" ht="15.75" customHeight="1" thickBot="1">
      <c r="B11" s="675" t="inlineStr">
        <is>
          <t>Line 260</t>
        </is>
      </c>
      <c r="C11" s="120">
        <f>(_xlfn.XLOOKUP(MainClient,Clients!D:D,Clients!AFS:AFS,2,0,1))</f>
        <v/>
      </c>
      <c r="D11" s="115" t="n"/>
      <c r="E11" s="115" t="n"/>
      <c r="F11" s="117" t="n"/>
      <c r="G11" s="116">
        <f>IF(E34&gt;E6,"other transferable credits","DTC Only")</f>
        <v/>
      </c>
      <c r="H11" s="117" t="n"/>
      <c r="J11" s="667" t="inlineStr">
        <is>
          <t>Line 260</t>
        </is>
      </c>
      <c r="K11" s="36">
        <f>(_xlfn.XLOOKUP(MainClient,Clients!D:D,Clients!EX:EX,2,0,1))</f>
        <v/>
      </c>
      <c r="N11" s="35" t="n"/>
      <c r="O11" s="34">
        <f>IF(M34&gt;M6,"other transferable credits","DTC Only")</f>
        <v/>
      </c>
      <c r="P11" s="35" t="n"/>
    </row>
    <row r="12" ht="15.75" customHeight="1" thickBot="1">
      <c r="B12" s="116" t="n"/>
      <c r="C12" s="115" t="n"/>
      <c r="D12" s="115" t="n"/>
      <c r="E12" s="115" t="n"/>
      <c r="F12" s="117" t="n"/>
      <c r="G12" s="116" t="n"/>
      <c r="H12" s="117" t="n"/>
      <c r="J12" s="34" t="n"/>
      <c r="N12" s="35" t="n"/>
      <c r="O12" s="34" t="n"/>
      <c r="P12" s="35" t="n"/>
    </row>
    <row r="13" ht="15.75" customHeight="1" thickBot="1">
      <c r="B13" s="121" t="inlineStr">
        <is>
          <t>Line 58040</t>
        </is>
      </c>
      <c r="C13" s="120">
        <f>(_xlfn.XLOOKUP(ClientNumber,Clients!D:D,Clients!ANQ:ANQ,2,0,1))</f>
        <v/>
      </c>
      <c r="D13" s="115" t="n"/>
      <c r="E13" s="115" t="n"/>
      <c r="F13" s="117" t="n"/>
      <c r="G13" s="116" t="n"/>
      <c r="H13" s="117" t="n"/>
      <c r="J13" s="55" t="inlineStr">
        <is>
          <t>Line 58040</t>
        </is>
      </c>
      <c r="K13" s="36">
        <f>(_xlfn.XLOOKUP(MainClient,Clients!D:D,Clients!MV:MV,2,0,1))</f>
        <v/>
      </c>
      <c r="N13" s="35" t="n"/>
      <c r="O13" s="34" t="n"/>
      <c r="P13" s="35" t="n"/>
    </row>
    <row r="14" ht="15.75" customHeight="1" thickBot="1">
      <c r="B14" s="121" t="inlineStr">
        <is>
          <t>Line 58240</t>
        </is>
      </c>
      <c r="C14" s="120">
        <f>(_xlfn.XLOOKUP(ClientNumber,Clients!D:D,Clients!AOF:AOF,2,0,1))</f>
        <v/>
      </c>
      <c r="D14" s="115" t="n"/>
      <c r="E14" s="115" t="n"/>
      <c r="F14" s="117" t="n"/>
      <c r="G14" s="116" t="n"/>
      <c r="H14" s="117" t="n"/>
      <c r="J14" s="55" t="inlineStr">
        <is>
          <t>Line 58240</t>
        </is>
      </c>
      <c r="K14" s="36">
        <f>(_xlfn.XLOOKUP(MainClient,Clients!D:D,Clients!NK:NK,2,0,1))</f>
        <v/>
      </c>
      <c r="N14" s="35" t="n"/>
      <c r="O14" s="34" t="n"/>
      <c r="P14" s="35" t="n"/>
    </row>
    <row r="15" ht="15.75" customHeight="1" thickBot="1">
      <c r="B15" s="121" t="inlineStr">
        <is>
          <t>Line 58280</t>
        </is>
      </c>
      <c r="C15" s="120">
        <f>(_xlfn.XLOOKUP(ClientNumber,Clients!D:D,Clients!AOG:AOG,2,0,1))</f>
        <v/>
      </c>
      <c r="D15" s="115" t="n"/>
      <c r="E15" s="115" t="n"/>
      <c r="F15" s="117" t="n"/>
      <c r="G15" s="116" t="n"/>
      <c r="H15" s="117" t="n"/>
      <c r="J15" s="55" t="inlineStr">
        <is>
          <t>Line 58280</t>
        </is>
      </c>
      <c r="K15" s="36">
        <f>(_xlfn.XLOOKUP(MainClient,Clients!D:D,Clients!NL:NL,2,0,1))</f>
        <v/>
      </c>
      <c r="N15" s="35" t="n"/>
      <c r="P15" s="35" t="n"/>
    </row>
    <row r="16" ht="15.75" customHeight="1" thickBot="1">
      <c r="B16" s="121" t="inlineStr">
        <is>
          <t>Line 58300</t>
        </is>
      </c>
      <c r="C16" s="120">
        <f>(_xlfn.XLOOKUP(ClientNumber,Clients!D:D,Clients!AOH:AOH,2,0,1))</f>
        <v/>
      </c>
      <c r="D16" s="115" t="n"/>
      <c r="E16" s="115" t="n"/>
      <c r="F16" s="117" t="n"/>
      <c r="G16" s="116" t="n"/>
      <c r="H16" s="117" t="n"/>
      <c r="J16" s="55" t="inlineStr">
        <is>
          <t>Line 58300</t>
        </is>
      </c>
      <c r="K16" s="36">
        <f>(_xlfn.XLOOKUP(MainClient,Clients!D:D,Clients!NM:NM,2,0,1))</f>
        <v/>
      </c>
      <c r="N16" s="35" t="n"/>
      <c r="O16" s="34" t="n"/>
      <c r="P16" s="35" t="n"/>
    </row>
    <row r="17" ht="15.75" customHeight="1" thickBot="1">
      <c r="B17" s="121" t="inlineStr">
        <is>
          <t>Line 58305</t>
        </is>
      </c>
      <c r="C17" s="120">
        <f>(_xlfn.XLOOKUP(ClientNumber,Clients!D:D,Clients!AOI:AOI,2,0,1))</f>
        <v/>
      </c>
      <c r="D17" s="115" t="n"/>
      <c r="E17" s="115" t="n"/>
      <c r="F17" s="117" t="n"/>
      <c r="G17" s="116" t="n"/>
      <c r="H17" s="117" t="n"/>
      <c r="J17" s="55" t="inlineStr">
        <is>
          <t>Line 58305</t>
        </is>
      </c>
      <c r="K17" s="36">
        <f>(_xlfn.XLOOKUP(MainClient,Clients!D:D,Clients!NN:NN,2,0,1))</f>
        <v/>
      </c>
      <c r="N17" s="35" t="n"/>
      <c r="O17" s="34" t="n"/>
      <c r="P17" s="35" t="n"/>
    </row>
    <row r="18" ht="15.75" customHeight="1" thickBot="1">
      <c r="B18" s="121" t="inlineStr">
        <is>
          <t>Line 58315</t>
        </is>
      </c>
      <c r="C18" s="120">
        <f>(_xlfn.XLOOKUP(ClientNumber,Clients!D:D,Clients!AOK:AOK,2,0,1))</f>
        <v/>
      </c>
      <c r="D18" s="115" t="n"/>
      <c r="E18" s="115" t="n"/>
      <c r="F18" s="117" t="n"/>
      <c r="G18" s="116" t="n"/>
      <c r="H18" s="117" t="n"/>
      <c r="J18" s="55" t="inlineStr">
        <is>
          <t>Line 58315</t>
        </is>
      </c>
      <c r="K18" s="36">
        <f>(_xlfn.XLOOKUP(MainClient,Clients!D:D,Clients!NP:NP,2,0,1))</f>
        <v/>
      </c>
      <c r="N18" s="35" t="n"/>
      <c r="O18" s="34" t="n"/>
      <c r="P18" s="35" t="n"/>
    </row>
    <row r="19" ht="15.75" customHeight="1" thickBot="1">
      <c r="B19" s="121" t="inlineStr">
        <is>
          <t>Line 58316</t>
        </is>
      </c>
      <c r="C19" s="120">
        <f>(_xlfn.XLOOKUP(ClientNumber,Clients!D:D,Clients!CQB:CQB,2,0,1))</f>
        <v/>
      </c>
      <c r="D19" s="115" t="n"/>
      <c r="E19" s="115" t="n"/>
      <c r="F19" s="117" t="n"/>
      <c r="G19" s="116" t="n"/>
      <c r="H19" s="117" t="n"/>
      <c r="J19" s="55" t="inlineStr">
        <is>
          <t>Line 58316</t>
        </is>
      </c>
      <c r="K19" s="36">
        <f>(_xlfn.XLOOKUP(MainClient,Clients!D:D,Clients!NQ:NQ,2,0,1))</f>
        <v/>
      </c>
      <c r="N19" s="35" t="n"/>
      <c r="O19" s="34" t="n"/>
      <c r="P19" s="35" t="n"/>
    </row>
    <row r="20" ht="15.75" customHeight="1" thickBot="1">
      <c r="B20" s="121" t="inlineStr">
        <is>
          <t>Line 58330</t>
        </is>
      </c>
      <c r="C20" s="120">
        <f>(_xlfn.XLOOKUP(ClientNumber,Clients!D:D,Clients!AOL:AOL,2,0,1))</f>
        <v/>
      </c>
      <c r="D20" s="115" t="n"/>
      <c r="E20" s="115" t="n"/>
      <c r="F20" s="117" t="n"/>
      <c r="G20" s="116" t="n"/>
      <c r="H20" s="117" t="n"/>
      <c r="J20" s="55" t="inlineStr">
        <is>
          <t>Line 58560</t>
        </is>
      </c>
      <c r="K20" s="36">
        <f>(_xlfn.XLOOKUP(MainClient,Clients!D:D,Clients!OC:OC,2,0,1))</f>
        <v/>
      </c>
      <c r="N20" s="35" t="n"/>
      <c r="O20" s="34" t="n"/>
      <c r="P20" s="35" t="n"/>
    </row>
    <row r="21" ht="15.75" customHeight="1" thickBot="1">
      <c r="B21" s="121" t="inlineStr">
        <is>
          <t>Line 58560</t>
        </is>
      </c>
      <c r="C21" s="120">
        <f>(_xlfn.XLOOKUP(ClientNumber,Clients!D:D,Clients!AOX:AOX,2,0,1))</f>
        <v/>
      </c>
      <c r="D21" s="115" t="n"/>
      <c r="E21" s="115" t="n"/>
      <c r="F21" s="117" t="n"/>
      <c r="G21" s="116" t="n"/>
      <c r="H21" s="117" t="n"/>
      <c r="J21" s="55" t="n"/>
      <c r="K21" s="36" t="n"/>
      <c r="N21" s="35" t="n"/>
      <c r="O21" s="34" t="n"/>
      <c r="P21" s="35" t="n"/>
    </row>
    <row r="22" ht="15.75" customHeight="1" thickBot="1">
      <c r="B22" s="121" t="n"/>
      <c r="C22" s="120" t="n"/>
      <c r="D22" s="115" t="n"/>
      <c r="E22" s="115" t="n"/>
      <c r="F22" s="117" t="n"/>
      <c r="G22" s="116" t="n"/>
      <c r="H22" s="117" t="n"/>
      <c r="J22" s="55" t="n"/>
      <c r="K22" s="36" t="n"/>
      <c r="N22" s="35" t="n"/>
      <c r="O22" s="34" t="n"/>
      <c r="P22" s="35" t="n"/>
    </row>
    <row r="23" ht="15.75" customHeight="1" thickBot="1">
      <c r="B23" s="121" t="n"/>
      <c r="C23" s="120" t="n"/>
      <c r="D23" s="115" t="n"/>
      <c r="E23" s="115" t="n"/>
      <c r="F23" s="117" t="n"/>
      <c r="G23" s="116" t="inlineStr">
        <is>
          <t>Line 326</t>
        </is>
      </c>
      <c r="H23" s="117">
        <f>IF(TransferName="NONE",0,(_xlfn.XLOOKUP(TransferNumber,Clients!D:D,Clients!CIH:CIH,2,0,1)))</f>
        <v/>
      </c>
      <c r="J23" s="55" t="n"/>
      <c r="K23" s="36" t="n"/>
      <c r="N23" s="35" t="n"/>
      <c r="O23" s="34" t="inlineStr">
        <is>
          <t>Line 58640</t>
        </is>
      </c>
      <c r="P23" s="35">
        <f>IFERROR(_xlfn.XLOOKUP(TransferNumber,Clients!D:D,Clients!OI:OI,2,0,1),0)</f>
        <v/>
      </c>
    </row>
    <row r="24" ht="15.75" customHeight="1" thickBot="1">
      <c r="B24" s="121" t="n"/>
      <c r="C24" s="120" t="n"/>
      <c r="D24" s="115" t="n"/>
      <c r="E24" s="115" t="n"/>
      <c r="F24" s="117" t="n"/>
      <c r="G24" s="116" t="n"/>
      <c r="H24" s="117" t="n"/>
      <c r="J24" s="55" t="n"/>
      <c r="K24" s="36" t="n"/>
      <c r="N24" s="35" t="n"/>
      <c r="O24" s="34" t="n"/>
      <c r="P24" s="35" t="n"/>
    </row>
    <row r="25" ht="15.75" customHeight="1" thickBot="1">
      <c r="B25" s="121" t="n"/>
      <c r="C25" s="120" t="n"/>
      <c r="D25" s="115" t="n"/>
      <c r="E25" s="115" t="n"/>
      <c r="F25" s="117" t="n"/>
      <c r="G25" s="116" t="n"/>
      <c r="H25" s="117" t="n"/>
      <c r="J25" s="55" t="n"/>
      <c r="K25" s="36" t="n"/>
      <c r="N25" s="35" t="n"/>
      <c r="O25" s="34" t="n"/>
      <c r="P25" s="35" t="n"/>
    </row>
    <row r="26" ht="15.75" customHeight="1" thickBot="1">
      <c r="B26" s="121" t="n"/>
      <c r="C26" s="120" t="n"/>
      <c r="D26" s="115" t="n"/>
      <c r="E26" s="115" t="n"/>
      <c r="F26" s="117" t="n"/>
      <c r="G26" s="116" t="n"/>
      <c r="H26" s="117" t="n"/>
      <c r="J26" s="55" t="n"/>
      <c r="K26" s="36" t="n"/>
      <c r="N26" s="35" t="n"/>
      <c r="O26" s="34" t="n"/>
      <c r="P26" s="35" t="n"/>
    </row>
    <row r="27" ht="15.75" customHeight="1" thickBot="1">
      <c r="B27" s="121" t="n"/>
      <c r="C27" s="120" t="n"/>
      <c r="D27" s="115" t="n"/>
      <c r="E27" s="115" t="n"/>
      <c r="F27" s="117" t="n"/>
      <c r="G27" s="116" t="n"/>
      <c r="H27" s="117">
        <f>IF(E32&gt;0,E8-G8,0)</f>
        <v/>
      </c>
      <c r="J27" s="55" t="n"/>
      <c r="K27" s="36" t="n"/>
      <c r="N27" s="35" t="n"/>
      <c r="O27" s="34" t="n"/>
      <c r="P27" s="35">
        <f>IF(M32&gt;0,M8-O8,0)</f>
        <v/>
      </c>
    </row>
    <row r="28" ht="15.75" customHeight="1" thickBot="1">
      <c r="B28" s="121" t="n"/>
      <c r="C28" s="120" t="n"/>
      <c r="D28" s="115" t="n"/>
      <c r="E28" s="115" t="n"/>
      <c r="F28" s="117" t="n"/>
      <c r="G28" s="115" t="n"/>
      <c r="H28" s="122">
        <f>IF(TransferName="NONE",F33,IF(H27&gt;0,(E32-G8)*0.0506,0))</f>
        <v/>
      </c>
      <c r="J28" s="55" t="n"/>
      <c r="K28" s="36" t="n"/>
      <c r="N28" s="35" t="n"/>
      <c r="P28" s="52">
        <f>IF(TransferName="NONE",N33,IF(P27&gt;0,(M32-O8)*0.0506,0))</f>
        <v/>
      </c>
    </row>
    <row r="29">
      <c r="B29" s="675" t="n"/>
      <c r="C29" s="115" t="n"/>
      <c r="D29" s="115" t="n"/>
      <c r="E29" s="115" t="n"/>
      <c r="F29" s="117" t="n"/>
      <c r="G29" s="116" t="inlineStr">
        <is>
          <t>Transferable</t>
        </is>
      </c>
      <c r="H29" s="122">
        <f>IF(H28&gt;0,H28,0)</f>
        <v/>
      </c>
      <c r="J29" s="667" t="n"/>
      <c r="N29" s="35" t="n"/>
      <c r="O29" s="34" t="inlineStr">
        <is>
          <t>Transferable</t>
        </is>
      </c>
      <c r="P29" s="52">
        <f>IF(P28&gt;0,P28,0)</f>
        <v/>
      </c>
    </row>
    <row r="30">
      <c r="B30" s="675" t="inlineStr">
        <is>
          <t>Adjusted Taxable Income</t>
        </is>
      </c>
      <c r="C30" s="115">
        <f>C11-(SUM(C13:C28))</f>
        <v/>
      </c>
      <c r="D30" s="124" t="inlineStr">
        <is>
          <t>Line 5864</t>
        </is>
      </c>
      <c r="E30" s="125">
        <f>IF(C30&gt;0,C30,0)</f>
        <v/>
      </c>
      <c r="F30" s="117" t="n"/>
      <c r="G30" s="116" t="n"/>
      <c r="H30" s="117" t="n"/>
      <c r="J30" s="667" t="inlineStr">
        <is>
          <t>Adjusted Taxable Income</t>
        </is>
      </c>
      <c r="K30">
        <f>K11-(SUM(K13:K28))</f>
        <v/>
      </c>
      <c r="L30" s="13" t="inlineStr">
        <is>
          <t>Line 5864</t>
        </is>
      </c>
      <c r="M30" s="39">
        <f>IF(K30&gt;0,K30,0)</f>
        <v/>
      </c>
      <c r="N30" s="35" t="n"/>
      <c r="O30" s="34" t="n"/>
      <c r="P30" s="35" t="n"/>
    </row>
    <row r="31" ht="15.75" customHeight="1" thickBot="1">
      <c r="B31" s="116" t="n"/>
      <c r="C31" s="115" t="n"/>
      <c r="D31" s="115" t="n"/>
      <c r="E31" s="115" t="n"/>
      <c r="F31" s="117" t="n"/>
      <c r="G31" s="116" t="n"/>
      <c r="H31" s="117" t="n"/>
      <c r="J31" s="34" t="n"/>
      <c r="N31" s="35" t="n"/>
      <c r="O31" s="34" t="n"/>
      <c r="P31" s="35" t="n"/>
    </row>
    <row r="32" ht="15.75" customHeight="1" thickBot="1">
      <c r="B32" s="116" t="n"/>
      <c r="C32" s="115" t="n"/>
      <c r="D32" s="126" t="inlineStr">
        <is>
          <t>Prov Trans</t>
        </is>
      </c>
      <c r="E32" s="120">
        <f>(E8-E30)</f>
        <v/>
      </c>
      <c r="F32" s="127" t="n"/>
      <c r="G32" s="116" t="n"/>
      <c r="H32" s="122" t="n"/>
      <c r="J32" s="34" t="n"/>
      <c r="L32" s="21" t="inlineStr">
        <is>
          <t>Prov Trans</t>
        </is>
      </c>
      <c r="M32" s="36">
        <f>(M8-M30)</f>
        <v/>
      </c>
      <c r="N32" s="40" t="n"/>
      <c r="O32" s="34" t="n"/>
      <c r="P32" s="52" t="n"/>
    </row>
    <row r="33" ht="15.75" customHeight="1" thickBot="1">
      <c r="B33" s="116" t="n"/>
      <c r="C33" s="664" t="inlineStr">
        <is>
          <t>DTC Transferable ESTIMATE</t>
        </is>
      </c>
      <c r="D33" s="35" t="n"/>
      <c r="E33" s="120">
        <f>IF(E32&lt;0,0,(IF(E32&gt;E6,E6,E32)))</f>
        <v/>
      </c>
      <c r="F33" s="127">
        <f>IF(E33&gt;0,E33*0.0506,"No Transfer Required")</f>
        <v/>
      </c>
      <c r="G33" s="666" t="n"/>
      <c r="H33" s="122" t="n"/>
      <c r="J33" s="34" t="n"/>
      <c r="K33" s="579" t="inlineStr">
        <is>
          <t>DTC Transferable ESTIMATE</t>
        </is>
      </c>
      <c r="L33" s="35" t="n"/>
      <c r="M33" s="36">
        <f>IF(M32&lt;0,0,(IF(M32&gt;M6,M6,M32)))</f>
        <v/>
      </c>
      <c r="N33" s="40">
        <f>IF(M33&gt;0,M33*0.0506,"No Transfer Required")</f>
        <v/>
      </c>
      <c r="O33" s="58" t="n"/>
      <c r="P33" s="52" t="n"/>
    </row>
    <row r="34" ht="15.75" customHeight="1" thickBot="1">
      <c r="B34" s="128" t="n"/>
      <c r="C34" s="129" t="n"/>
      <c r="D34" s="130" t="inlineStr">
        <is>
          <t>Net Transferable</t>
        </is>
      </c>
      <c r="E34" s="120">
        <f>IF(E32&lt;0,0,(IF(E32-G4-G5-G7&lt;0,E32,(E32-G4-G5-G7))))</f>
        <v/>
      </c>
      <c r="F34" s="131">
        <f>IF(E34&gt;0,E34*0.0506,"0")</f>
        <v/>
      </c>
      <c r="G34" s="42" t="n"/>
      <c r="H34" s="863" t="n"/>
      <c r="J34" s="42" t="n"/>
      <c r="K34" s="41" t="n"/>
      <c r="L34" s="43" t="inlineStr">
        <is>
          <t>Net Transferable</t>
        </is>
      </c>
      <c r="M34" s="36">
        <f>IF(M32&lt;0,0,(IF(M32-O4-O5-O7&lt;0,M32,(M32-O4-O5-O7))))</f>
        <v/>
      </c>
      <c r="N34" s="57">
        <f>IF(M34&gt;0,M34*0.0506,"0")</f>
        <v/>
      </c>
      <c r="O34" s="59" t="n"/>
      <c r="P34" s="864" t="n"/>
    </row>
    <row r="36" ht="15.75" customHeight="1" thickBot="1">
      <c r="E36">
        <f>Calculator!$D$5</f>
        <v/>
      </c>
      <c r="H36">
        <f>TransferName</f>
        <v/>
      </c>
      <c r="M36">
        <f>Calculator!$D$5</f>
        <v/>
      </c>
      <c r="P36">
        <f>TransferName</f>
        <v/>
      </c>
    </row>
    <row r="37" ht="15.75" customHeight="1" thickBot="1">
      <c r="B37" s="873" t="inlineStr">
        <is>
          <t>2022 BRITISH COLUMBIA Provincial</t>
        </is>
      </c>
      <c r="C37" s="778" t="n"/>
      <c r="D37" s="778" t="n"/>
      <c r="E37" s="778" t="n"/>
      <c r="F37" s="778" t="n"/>
      <c r="G37" s="778" t="n"/>
      <c r="H37" s="780" t="n"/>
      <c r="J37" s="873" t="inlineStr">
        <is>
          <t>2021 BRITISH COLUMBIA Provincial</t>
        </is>
      </c>
      <c r="K37" s="778" t="n"/>
      <c r="L37" s="778" t="n"/>
      <c r="M37" s="778" t="n"/>
      <c r="N37" s="778" t="n"/>
      <c r="O37" s="778" t="n"/>
      <c r="P37" s="780" t="n"/>
    </row>
    <row r="38" ht="15.75" customHeight="1" thickBot="1">
      <c r="B38" s="34" t="n"/>
      <c r="D38" t="inlineStr">
        <is>
          <t>Line</t>
        </is>
      </c>
      <c r="E38" t="inlineStr">
        <is>
          <t>Amt</t>
        </is>
      </c>
      <c r="F38" s="35" t="n"/>
      <c r="G38" s="667" t="inlineStr">
        <is>
          <t>Spouse</t>
        </is>
      </c>
      <c r="H38" s="35" t="inlineStr">
        <is>
          <t>S2 Adjustment</t>
        </is>
      </c>
      <c r="J38" s="34" t="n"/>
      <c r="L38" t="inlineStr">
        <is>
          <t>Line</t>
        </is>
      </c>
      <c r="M38" t="inlineStr">
        <is>
          <t>Amt</t>
        </is>
      </c>
      <c r="N38" s="35" t="n"/>
      <c r="O38" s="34" t="inlineStr">
        <is>
          <t>Spouse</t>
        </is>
      </c>
      <c r="P38" s="35" t="inlineStr">
        <is>
          <t>S2 Adjustment</t>
        </is>
      </c>
    </row>
    <row r="39" ht="15.75" customHeight="1" thickBot="1">
      <c r="B39" s="667" t="inlineStr">
        <is>
          <t>Age Amount</t>
        </is>
      </c>
      <c r="D39" s="70" t="inlineStr">
        <is>
          <t>Line 58080</t>
        </is>
      </c>
      <c r="E39" s="861">
        <f>(_xlfn.XLOOKUP(ClientNumber,Clients!D:D,Clients!ANR:ANR,2,0,1))</f>
        <v/>
      </c>
      <c r="F39" s="37" t="inlineStr">
        <is>
          <t>Line 59020</t>
        </is>
      </c>
      <c r="G39" s="51">
        <f>IF(TransferName="NONE",0,(_xlfn.XLOOKUP(TransferNumber,Clients!D:D,Clients!APT:APT,2,0,1)))</f>
        <v/>
      </c>
      <c r="H39" s="37">
        <f>IF(AND(E39&gt;0,G39=0),"Age Amount Can Be Transferred","No Action")</f>
        <v/>
      </c>
      <c r="J39" s="667" t="inlineStr">
        <is>
          <t>Age Amount</t>
        </is>
      </c>
      <c r="L39" s="70" t="inlineStr">
        <is>
          <t>Line 58080</t>
        </is>
      </c>
      <c r="M39" s="865">
        <f>(_xlfn.XLOOKUP(MainClient,Clients!D:D,Clients!BOM:BOM,2,0,1))</f>
        <v/>
      </c>
      <c r="N39" s="45" t="inlineStr">
        <is>
          <t>Line 59020</t>
        </is>
      </c>
      <c r="O39" s="51">
        <f>IF(TransferName="NONE",0,(_xlfn.XLOOKUP(TransferNumber,Clients!D:D,Clients!BQO:BQO,2,0,1)))</f>
        <v/>
      </c>
      <c r="P39" s="37">
        <f>IF(AND(M39&gt;0,O39=0),"Age Amount Can Be Transferred","No Action")</f>
        <v/>
      </c>
    </row>
    <row r="40" ht="15.75" customHeight="1" thickBot="1">
      <c r="B40" s="667" t="inlineStr">
        <is>
          <t>Pension Income Amount</t>
        </is>
      </c>
      <c r="D40" s="70" t="inlineStr">
        <is>
          <t>Line 58360 (mx 1000)</t>
        </is>
      </c>
      <c r="E40" s="861">
        <f>IF((_xlfn.XLOOKUP(ClientNumber,Clients!D:D,Clients!AOR:AOR,2,0,1)&lt;1000),(_xlfn.XLOOKUP(MainClient,Clients!D:D,Clients!AOR:AOR,2,0,1)),1000)</f>
        <v/>
      </c>
      <c r="F40" s="37" t="inlineStr">
        <is>
          <t>Line 59050</t>
        </is>
      </c>
      <c r="G40" s="51">
        <f>IF(TransferName="NONE",0,(_xlfn.XLOOKUP(TransferNumber,Clients!D:D,Clients!APW:APW,2,0,1)))</f>
        <v/>
      </c>
      <c r="H40" s="37">
        <f>IF(AND(E40&gt;0,G40=0),"Pension Income Amount Can Be Transferred","No Action")</f>
        <v/>
      </c>
      <c r="J40" s="667" t="inlineStr">
        <is>
          <t>Pension Income Amount</t>
        </is>
      </c>
      <c r="L40" s="70" t="inlineStr">
        <is>
          <t>Line 58360 (mx 1000)</t>
        </is>
      </c>
      <c r="M40" s="865">
        <f>IF((_xlfn.XLOOKUP(ClientNumber,Clients!D:D,Clients!BPM:BPM,2,0,1)&lt;1000),(_xlfn.XLOOKUP(MainClient,Clients!D:D,Clients!BPM:BPM,2,0,1)),1000)</f>
        <v/>
      </c>
      <c r="N40" s="45" t="inlineStr">
        <is>
          <t>Line 59050</t>
        </is>
      </c>
      <c r="O40" s="51">
        <f>IF(TransferName="NONE",0,(_xlfn.XLOOKUP(TransferNumber,Clients!D:D,Clients!BQR:BQR,2,0,1)))</f>
        <v/>
      </c>
      <c r="P40" s="37">
        <f>IF(AND(M40&gt;0,O40=0),"Pension Income Amount Can Be Transferred","No Action")</f>
        <v/>
      </c>
    </row>
    <row r="41" ht="15.75" customHeight="1" thickBot="1">
      <c r="B41" s="667" t="inlineStr">
        <is>
          <t>Disability Amount</t>
        </is>
      </c>
      <c r="D41" s="70" t="inlineStr">
        <is>
          <t xml:space="preserve">Line 58440 </t>
        </is>
      </c>
      <c r="E41" s="861">
        <f>IF(_xlfn.XLOOKUP(ClientNumber,Clients!D:D,Clients!AOT:AOT,2,0,1)=0,8477,(_xlfn.XLOOKUP(MainClient,Clients!D:D,Clients!AOT:AOT,2,0,1)))</f>
        <v/>
      </c>
      <c r="F41" s="37" t="inlineStr">
        <is>
          <t>Line 59070</t>
        </is>
      </c>
      <c r="G41" s="51">
        <f>IF(TransferName="NONE",0,(_xlfn.XLOOKUP(TransferNumber,Clients!D:D,Clients!APX:APX,2,0,1)))</f>
        <v/>
      </c>
      <c r="H41" s="37">
        <f>IF(AND(E41&gt;0,G41=0),"DTC Transferable Not Claimed Can Be Transferred","No Action")</f>
        <v/>
      </c>
      <c r="J41" s="667" t="inlineStr">
        <is>
          <t>Disability Amount</t>
        </is>
      </c>
      <c r="L41" s="70" t="inlineStr">
        <is>
          <t>Line 58440</t>
        </is>
      </c>
      <c r="M41" s="865">
        <f>IF(_xlfn.XLOOKUP(ClientNumber,Clients!D:D,Clients!BPO:BPO,2,0,1)=0,8303,(_xlfn.XLOOKUP(MainClient,Clients!D:D,Clients!BPO:BPO,2,0,1)))</f>
        <v/>
      </c>
      <c r="N41" s="45" t="inlineStr">
        <is>
          <t>Line 59070</t>
        </is>
      </c>
      <c r="O41" s="51">
        <f>IF(TransferName="NONE",0,(_xlfn.XLOOKUP(TransferNumber,Clients!D:D,Clients!BQS:BQS,2,0,1)))</f>
        <v/>
      </c>
      <c r="P41" s="37">
        <f>IF(AND(M41&gt;0,O41=0),"DTC Transferable Not Claimed Can Be Transferred","No Action")</f>
        <v/>
      </c>
    </row>
    <row r="42" ht="15.75" customHeight="1" thickBot="1">
      <c r="B42" s="667" t="inlineStr">
        <is>
          <t>Tuition Amount</t>
        </is>
      </c>
      <c r="D42" s="70" t="inlineStr">
        <is>
          <t>Line 59200</t>
        </is>
      </c>
      <c r="E42" s="861">
        <f>(_xlfn.XLOOKUP(ClientNumber,Clients!D:D,Clients!AQI:AQI,2,0,1))</f>
        <v/>
      </c>
      <c r="F42" s="37" t="inlineStr">
        <is>
          <t>Line 59090</t>
        </is>
      </c>
      <c r="G42" s="51">
        <f>IF(TransferName="NONE",0,(_xlfn.XLOOKUP(TransferNumber,Clients!D:D,Clients!APY:APY,2,0,1)))</f>
        <v/>
      </c>
      <c r="H42" s="37">
        <f>IF(AND(E42&gt;0,G42=0),"Tuition Can Be Transferred","No Action")</f>
        <v/>
      </c>
      <c r="J42" s="667" t="inlineStr">
        <is>
          <t>Tuition Amount</t>
        </is>
      </c>
      <c r="L42" s="70" t="inlineStr">
        <is>
          <t>Line 59200</t>
        </is>
      </c>
      <c r="M42" s="865">
        <f>(_xlfn.XLOOKUP(MainClient,Clients!D:D,Clients!BRD:BRD,2,0,1))</f>
        <v/>
      </c>
      <c r="N42" s="45" t="inlineStr">
        <is>
          <t>Line 59090</t>
        </is>
      </c>
      <c r="O42" s="51">
        <f>IF(TransferName="NONE",0,(_xlfn.XLOOKUP(TransferNumber,Clients!D:D,Clients!BQT:BQT,2,0,1)))</f>
        <v/>
      </c>
      <c r="P42" s="37">
        <f>IF(AND(M42&gt;0,O42=0),"Tuition Can Be Transferred","No Action")</f>
        <v/>
      </c>
    </row>
    <row r="43">
      <c r="B43" s="667" t="n"/>
      <c r="E43" s="771">
        <f>SUM(E39:E42)</f>
        <v/>
      </c>
      <c r="F43" s="37" t="n"/>
      <c r="G43" s="667">
        <f>SUM(G39:G42)</f>
        <v/>
      </c>
      <c r="H43" s="37" t="n"/>
      <c r="J43" s="667" t="n"/>
      <c r="M43" s="872">
        <f>SUM(M39:M42)</f>
        <v/>
      </c>
      <c r="N43" s="37" t="n"/>
      <c r="O43" s="667">
        <f>SUM(O39:O42)</f>
        <v/>
      </c>
      <c r="P43" s="37" t="n"/>
    </row>
    <row r="44">
      <c r="A44" t="inlineStr">
        <is>
          <t>`</t>
        </is>
      </c>
      <c r="B44" s="667" t="n"/>
      <c r="C44" s="668" t="n"/>
      <c r="E44" s="771" t="n"/>
      <c r="F44" s="37" t="n"/>
      <c r="G44" s="668" t="n"/>
      <c r="H44" s="37" t="n"/>
      <c r="J44" s="667" t="n"/>
      <c r="K44" s="668" t="n"/>
      <c r="M44" s="872" t="n"/>
      <c r="N44" s="37" t="n"/>
      <c r="O44" s="668" t="n"/>
      <c r="P44" s="37" t="n"/>
    </row>
    <row r="45" ht="15.75" customHeight="1" thickBot="1">
      <c r="B45" s="34" t="n"/>
      <c r="F45" s="35" t="n"/>
      <c r="H45" s="35" t="n"/>
      <c r="J45" s="34" t="n"/>
      <c r="N45" s="35" t="n"/>
      <c r="P45" s="35" t="n"/>
    </row>
    <row r="46" ht="15.75" customHeight="1" thickBot="1">
      <c r="B46" s="667" t="inlineStr">
        <is>
          <t>Line 260</t>
        </is>
      </c>
      <c r="C46" s="36">
        <f>(_xlfn.XLOOKUP(MainClient,Clients!D:D,Clients!AFS:AFS,2,0,1))</f>
        <v/>
      </c>
      <c r="F46" s="35" t="n"/>
      <c r="G46" s="34">
        <f>IF(E69&gt;E41,"other transferable credits","DTC Only")</f>
        <v/>
      </c>
      <c r="H46" s="35" t="n"/>
      <c r="J46" s="667" t="inlineStr">
        <is>
          <t>Line 260</t>
        </is>
      </c>
      <c r="K46" s="36">
        <f>(_xlfn.XLOOKUP(MainClient,Clients!D:D,Clients!BGN:BGN,2,0,1))</f>
        <v/>
      </c>
      <c r="N46" s="35" t="n"/>
      <c r="O46" s="34">
        <f>IF(M69&gt;M41,"other transferable credits","DTC Only")</f>
        <v/>
      </c>
      <c r="P46" s="35" t="n"/>
    </row>
    <row r="47" ht="15.75" customHeight="1" thickBot="1">
      <c r="B47" s="34" t="n"/>
      <c r="F47" s="35" t="n"/>
      <c r="G47" s="34" t="n"/>
      <c r="H47" s="35" t="n"/>
      <c r="J47" s="34" t="n"/>
      <c r="N47" s="35" t="n"/>
      <c r="O47" s="34" t="n"/>
      <c r="P47" s="35" t="n"/>
    </row>
    <row r="48" ht="15.75" customHeight="1" thickBot="1">
      <c r="B48" s="55" t="inlineStr">
        <is>
          <t>Line 58040</t>
        </is>
      </c>
      <c r="C48" s="36">
        <f>(_xlfn.XLOOKUP(ClientNumber,Clients!D:D,Clients!ANQ:ANQ,2,0,1))</f>
        <v/>
      </c>
      <c r="F48" s="35" t="n"/>
      <c r="G48" s="34" t="n"/>
      <c r="H48" s="35" t="n"/>
      <c r="J48" s="55" t="inlineStr">
        <is>
          <t>Line 58040</t>
        </is>
      </c>
      <c r="K48" s="36">
        <f>(_xlfn.XLOOKUP(MainClient,Clients!D:D,Clients!BOL:BOL,2,0,1))</f>
        <v/>
      </c>
      <c r="N48" s="35" t="n"/>
      <c r="O48" s="34" t="n"/>
      <c r="P48" s="35" t="n"/>
    </row>
    <row r="49" ht="15.75" customHeight="1" thickBot="1">
      <c r="B49" s="55" t="inlineStr">
        <is>
          <t>Line 58240</t>
        </is>
      </c>
      <c r="C49" s="36">
        <f>(_xlfn.XLOOKUP(ClientNumber,Clients!D:D,Clients!AOF:AOF,2,0,1))</f>
        <v/>
      </c>
      <c r="F49" s="35" t="n"/>
      <c r="G49" s="34" t="n"/>
      <c r="H49" s="35" t="n"/>
      <c r="J49" s="55" t="inlineStr">
        <is>
          <t>Line 58240</t>
        </is>
      </c>
      <c r="K49" s="36">
        <f>(_xlfn.XLOOKUP(MainClient,Clients!D:D,Clients!BPA:BPA,2,0,1))</f>
        <v/>
      </c>
      <c r="N49" s="35" t="n"/>
      <c r="O49" s="34" t="n"/>
      <c r="P49" s="35" t="n"/>
    </row>
    <row r="50" ht="15.75" customHeight="1" thickBot="1">
      <c r="B50" s="55" t="inlineStr">
        <is>
          <t>Line 58280</t>
        </is>
      </c>
      <c r="C50" s="36">
        <f>(_xlfn.XLOOKUP(ClientNumber,Clients!D:D,Clients!AOG:AOG,2,0,1))</f>
        <v/>
      </c>
      <c r="F50" s="35" t="n"/>
      <c r="G50" s="34" t="n"/>
      <c r="H50" s="35" t="n"/>
      <c r="J50" s="55" t="inlineStr">
        <is>
          <t>Line 58280</t>
        </is>
      </c>
      <c r="K50" s="36">
        <f>(_xlfn.XLOOKUP(MainClient,Clients!D:D,Clients!BPB:BPB,2,0,1))</f>
        <v/>
      </c>
      <c r="N50" s="35" t="n"/>
      <c r="P50" s="35" t="n"/>
    </row>
    <row r="51" ht="15.75" customHeight="1" thickBot="1">
      <c r="B51" s="55" t="inlineStr">
        <is>
          <t>Line 58300</t>
        </is>
      </c>
      <c r="C51" s="36">
        <f>(_xlfn.XLOOKUP(ClientNumber,Clients!D:D,Clients!AOH:AOH,2,0,1))</f>
        <v/>
      </c>
      <c r="F51" s="35" t="n"/>
      <c r="G51" s="34" t="n"/>
      <c r="H51" s="35" t="n"/>
      <c r="J51" s="55" t="inlineStr">
        <is>
          <t>Line 58300</t>
        </is>
      </c>
      <c r="K51" s="36">
        <f>(_xlfn.XLOOKUP(MainClient,Clients!D:D,Clients!BPC:BPC,2,0,1))</f>
        <v/>
      </c>
      <c r="N51" s="35" t="n"/>
      <c r="O51" s="34" t="n"/>
      <c r="P51" s="35" t="n"/>
    </row>
    <row r="52" ht="15.75" customHeight="1" thickBot="1">
      <c r="B52" s="55" t="inlineStr">
        <is>
          <t>Line 58305</t>
        </is>
      </c>
      <c r="C52" s="36">
        <f>(_xlfn.XLOOKUP(ClientNumber,Clients!D:D,Clients!AOI:AOI,2,0,1))</f>
        <v/>
      </c>
      <c r="F52" s="35" t="n"/>
      <c r="G52" s="34" t="n"/>
      <c r="H52" s="35" t="n"/>
      <c r="J52" s="55" t="inlineStr">
        <is>
          <t>Line 58305</t>
        </is>
      </c>
      <c r="K52" s="36">
        <f>(_xlfn.XLOOKUP(MainClient,Clients!D:D,Clients!BPD:BPD,2,0,1))</f>
        <v/>
      </c>
      <c r="N52" s="35" t="n"/>
      <c r="O52" s="34" t="n"/>
      <c r="P52" s="35" t="n"/>
    </row>
    <row r="53" ht="15.75" customHeight="1" thickBot="1">
      <c r="B53" s="55" t="inlineStr">
        <is>
          <t>Line 58315</t>
        </is>
      </c>
      <c r="C53" s="36">
        <f>(_xlfn.XLOOKUP(ClientNumber,Clients!D:D,Clients!AOK:AOK,2,0,1))</f>
        <v/>
      </c>
      <c r="F53" s="35" t="n"/>
      <c r="G53" s="34" t="n"/>
      <c r="H53" s="35" t="n"/>
      <c r="J53" s="55" t="inlineStr">
        <is>
          <t>Line 58315</t>
        </is>
      </c>
      <c r="K53" s="36">
        <f>(_xlfn.XLOOKUP(MainClient,Clients!D:D,Clients!BPF:BPF,2,0,1))</f>
        <v/>
      </c>
      <c r="N53" s="35" t="n"/>
      <c r="O53" s="34" t="n"/>
      <c r="P53" s="35" t="n"/>
    </row>
    <row r="54" ht="15.75" customHeight="1" thickBot="1">
      <c r="B54" s="55" t="inlineStr">
        <is>
          <t>Line 58316</t>
        </is>
      </c>
      <c r="C54" s="36">
        <f>(_xlfn.XLOOKUP(ClientNumber,Clients!D:D,Clients!CQB:CQB,2,0,1))</f>
        <v/>
      </c>
      <c r="F54" s="35" t="n"/>
      <c r="G54" s="34" t="n"/>
      <c r="H54" s="35" t="n"/>
      <c r="J54" s="55" t="inlineStr">
        <is>
          <t>Line 58316</t>
        </is>
      </c>
      <c r="K54" s="36">
        <f>(_xlfn.XLOOKUP(MainClient,Clients!D:D,Clients!BPG:BPG,2,0,1))</f>
        <v/>
      </c>
      <c r="N54" s="35" t="n"/>
      <c r="O54" s="34" t="n"/>
      <c r="P54" s="35" t="n"/>
    </row>
    <row r="55" ht="15.75" customHeight="1" thickBot="1">
      <c r="B55" s="55" t="inlineStr">
        <is>
          <t>Line 58330</t>
        </is>
      </c>
      <c r="C55" s="36">
        <f>(_xlfn.XLOOKUP(ClientNumber,Clients!D:D,Clients!AOL:AOL,2,0,1))</f>
        <v/>
      </c>
      <c r="F55" s="35" t="n"/>
      <c r="G55" s="34" t="n"/>
      <c r="H55" s="35" t="n"/>
      <c r="J55" s="55" t="inlineStr">
        <is>
          <t>Line 58560</t>
        </is>
      </c>
      <c r="K55" s="36">
        <f>(_xlfn.XLOOKUP(MainClient,Clients!D:D,Clients!BPS:BPS,2,0,1))</f>
        <v/>
      </c>
      <c r="N55" s="35" t="n"/>
      <c r="O55" s="34" t="n"/>
      <c r="P55" s="35" t="n"/>
    </row>
    <row r="56" ht="15.75" customHeight="1" thickBot="1">
      <c r="B56" s="55" t="inlineStr">
        <is>
          <t>Line 58560</t>
        </is>
      </c>
      <c r="C56" s="36">
        <f>(_xlfn.XLOOKUP(ClientNumber,Clients!D:D,Clients!AOX:AOX,2,0,1))</f>
        <v/>
      </c>
      <c r="F56" s="35" t="n"/>
      <c r="G56" s="34" t="n"/>
      <c r="H56" s="35" t="n"/>
      <c r="J56" s="55" t="n"/>
      <c r="K56" s="36" t="n"/>
      <c r="N56" s="35" t="n"/>
      <c r="O56" s="34" t="n"/>
      <c r="P56" s="35" t="n"/>
    </row>
    <row r="57" ht="15.75" customHeight="1" thickBot="1">
      <c r="B57" s="55" t="n"/>
      <c r="C57" s="36" t="n"/>
      <c r="F57" s="35" t="n"/>
      <c r="G57" s="34" t="n"/>
      <c r="H57" s="35" t="n"/>
      <c r="J57" s="55" t="n"/>
      <c r="K57" s="36" t="n"/>
      <c r="N57" s="35" t="n"/>
      <c r="O57" s="34" t="n"/>
      <c r="P57" s="35" t="n"/>
    </row>
    <row r="58" ht="15.75" customHeight="1" thickBot="1">
      <c r="B58" s="55" t="n"/>
      <c r="C58" s="36" t="n"/>
      <c r="F58" s="35" t="n"/>
      <c r="G58" s="34" t="inlineStr">
        <is>
          <t>Line 326</t>
        </is>
      </c>
      <c r="H58" s="35">
        <f>IF(TransferName="NONE",0,(_xlfn.XLOOKUP(TransferNumber,Clients!D:D,Clients!CIH:CIH,2,0,1)))</f>
        <v/>
      </c>
      <c r="J58" s="55" t="n"/>
      <c r="K58" s="36" t="n"/>
      <c r="N58" s="35" t="n"/>
      <c r="O58" s="34" t="inlineStr">
        <is>
          <t>Line 326</t>
        </is>
      </c>
      <c r="P58" s="35">
        <f>IFERROR(_xlfn.XLOOKUP(TransferNumber,Clients!D:D,Clients!FJZ:FJZ,2,0,1),0)</f>
        <v/>
      </c>
    </row>
    <row r="59" ht="15.75" customHeight="1" thickBot="1">
      <c r="B59" s="55" t="n"/>
      <c r="C59" s="36" t="n"/>
      <c r="F59" s="35" t="n"/>
      <c r="G59" s="34" t="n"/>
      <c r="H59" s="35" t="n"/>
      <c r="J59" s="55" t="n"/>
      <c r="K59" s="36" t="n"/>
      <c r="N59" s="35" t="n"/>
      <c r="O59" s="34" t="n"/>
      <c r="P59" s="35" t="n"/>
    </row>
    <row r="60" ht="15.75" customHeight="1" thickBot="1">
      <c r="B60" s="55" t="n"/>
      <c r="C60" s="36" t="n"/>
      <c r="F60" s="35" t="n"/>
      <c r="G60" s="34" t="n"/>
      <c r="H60" s="35" t="n"/>
      <c r="J60" s="55" t="n"/>
      <c r="K60" s="36" t="n"/>
      <c r="N60" s="35" t="n"/>
      <c r="O60" s="34" t="n"/>
      <c r="P60" s="35" t="n"/>
    </row>
    <row r="61" ht="15.75" customHeight="1" thickBot="1">
      <c r="B61" s="55" t="n"/>
      <c r="C61" s="36" t="n"/>
      <c r="F61" s="35" t="n"/>
      <c r="G61" s="34" t="n"/>
      <c r="H61" s="35" t="n"/>
      <c r="J61" s="55" t="n"/>
      <c r="K61" s="36" t="n"/>
      <c r="N61" s="35" t="n"/>
      <c r="O61" s="34" t="n"/>
      <c r="P61" s="35" t="n"/>
    </row>
    <row r="62" ht="15.75" customHeight="1" thickBot="1">
      <c r="B62" s="55" t="n"/>
      <c r="C62" s="36" t="n"/>
      <c r="F62" s="35" t="n"/>
      <c r="G62" s="34" t="n"/>
      <c r="H62" s="35">
        <f>IF(E67&gt;0,E43-G43,0)</f>
        <v/>
      </c>
      <c r="J62" s="55" t="n"/>
      <c r="K62" s="36" t="n"/>
      <c r="N62" s="35" t="n"/>
      <c r="O62" s="34" t="n"/>
      <c r="P62" s="35">
        <f>IF(M67&gt;0,M43-O43,0)</f>
        <v/>
      </c>
    </row>
    <row r="63" ht="15.75" customHeight="1" thickBot="1">
      <c r="B63" s="55" t="n"/>
      <c r="C63" s="36" t="n"/>
      <c r="F63" s="35" t="n"/>
      <c r="H63" s="52">
        <f>IF(TransferName="NONE",F68,IF(H62&gt;0,(E67-G43)*0.0506,0))</f>
        <v/>
      </c>
      <c r="J63" s="55" t="n"/>
      <c r="K63" s="36" t="n"/>
      <c r="N63" s="35" t="n"/>
      <c r="P63" s="52">
        <f>IF(TransferName="NONE",N68,IF(P62&gt;0,(M67-O43)*0.0506,0))</f>
        <v/>
      </c>
    </row>
    <row r="64">
      <c r="B64" s="667" t="n"/>
      <c r="F64" s="35" t="n"/>
      <c r="G64" s="34" t="inlineStr">
        <is>
          <t>Transferable</t>
        </is>
      </c>
      <c r="H64" s="52">
        <f>IF(H63&gt;0,H63,0)</f>
        <v/>
      </c>
      <c r="J64" s="667" t="n"/>
      <c r="N64" s="35" t="n"/>
      <c r="O64" s="34" t="inlineStr">
        <is>
          <t>Transferable</t>
        </is>
      </c>
      <c r="P64" s="52">
        <f>IF(P63&gt;0,P63,0)</f>
        <v/>
      </c>
    </row>
    <row r="65">
      <c r="B65" s="667" t="inlineStr">
        <is>
          <t>Adjusted Taxable Income</t>
        </is>
      </c>
      <c r="C65">
        <f>C46-(SUM(C48:C63))</f>
        <v/>
      </c>
      <c r="D65" s="13" t="inlineStr">
        <is>
          <t>Line 5864</t>
        </is>
      </c>
      <c r="E65" s="39">
        <f>IF(C65&gt;0,C65,0)</f>
        <v/>
      </c>
      <c r="F65" s="35" t="n"/>
      <c r="G65" s="34" t="n"/>
      <c r="H65" s="35" t="n"/>
      <c r="J65" s="667" t="inlineStr">
        <is>
          <t>Adjusted Taxable Income</t>
        </is>
      </c>
      <c r="K65">
        <f>K46-(SUM(K48:K63))</f>
        <v/>
      </c>
      <c r="L65" s="13" t="inlineStr">
        <is>
          <t>Line 5864</t>
        </is>
      </c>
      <c r="M65" s="39">
        <f>IF(K65&gt;0,K65,0)</f>
        <v/>
      </c>
      <c r="N65" s="35" t="n"/>
      <c r="O65" s="34" t="n"/>
      <c r="P65" s="35" t="n"/>
    </row>
    <row r="66" ht="15.75" customHeight="1" thickBot="1">
      <c r="B66" s="34" t="n"/>
      <c r="F66" s="35" t="n"/>
      <c r="G66" s="34" t="n"/>
      <c r="H66" s="35" t="n"/>
      <c r="J66" s="34" t="n"/>
      <c r="N66" s="35" t="n"/>
      <c r="O66" s="34" t="n"/>
      <c r="P66" s="35" t="n"/>
    </row>
    <row r="67" ht="15.75" customHeight="1" thickBot="1">
      <c r="B67" s="34" t="n"/>
      <c r="D67" s="21" t="inlineStr">
        <is>
          <t>Prov Trans</t>
        </is>
      </c>
      <c r="E67" s="36">
        <f>(E43-E65)</f>
        <v/>
      </c>
      <c r="F67" s="40" t="n"/>
      <c r="G67" s="34" t="n"/>
      <c r="H67" s="52" t="n"/>
      <c r="J67" s="34" t="n"/>
      <c r="L67" s="21" t="inlineStr">
        <is>
          <t>Prov Trans</t>
        </is>
      </c>
      <c r="M67" s="36">
        <f>(M43-M65)</f>
        <v/>
      </c>
      <c r="N67" s="40" t="n"/>
      <c r="O67" s="34" t="n"/>
      <c r="P67" s="52" t="n"/>
    </row>
    <row r="68" ht="15.75" customHeight="1" thickBot="1">
      <c r="B68" s="34" t="n"/>
      <c r="C68" s="579" t="inlineStr">
        <is>
          <t>DTC Transferable ESTIMATE</t>
        </is>
      </c>
      <c r="D68" s="35" t="n"/>
      <c r="E68" s="36">
        <f>IF(E67&lt;0,0,(IF(E67&gt;E41,E41,E67)))</f>
        <v/>
      </c>
      <c r="F68" s="40">
        <f>IF(E68&gt;0,E68*0.0506,"No Transfer Required")</f>
        <v/>
      </c>
      <c r="G68" s="678" t="n"/>
      <c r="H68" s="52" t="n"/>
      <c r="J68" s="34" t="n"/>
      <c r="K68" s="579" t="inlineStr">
        <is>
          <t>DTC Transferable ESTIMATE</t>
        </is>
      </c>
      <c r="L68" s="35" t="n"/>
      <c r="M68" s="36">
        <f>IF(M67&lt;0,0,(IF(M67&gt;M41,M41,M67)))</f>
        <v/>
      </c>
      <c r="N68" s="40">
        <f>IF(M68&gt;0,M68*0.0506,"No Transfer Required")</f>
        <v/>
      </c>
      <c r="O68" s="58" t="n"/>
      <c r="P68" s="52" t="n"/>
    </row>
    <row r="69" ht="15.75" customHeight="1" thickBot="1">
      <c r="B69" s="42" t="n"/>
      <c r="C69" s="41" t="n"/>
      <c r="D69" s="43" t="inlineStr">
        <is>
          <t>Net Transferable</t>
        </is>
      </c>
      <c r="E69" s="36">
        <f>IF(E67&lt;0,0,(IF(E67-G39-G40-G42&lt;0,E67,(E67-G39-G40-G42))))</f>
        <v/>
      </c>
      <c r="F69" s="57">
        <f>IF(E69&gt;0,E69*0.0506,"0")</f>
        <v/>
      </c>
      <c r="G69" s="42" t="n"/>
      <c r="H69" s="864" t="n"/>
      <c r="J69" s="42" t="n"/>
      <c r="K69" s="41" t="n"/>
      <c r="L69" s="43" t="inlineStr">
        <is>
          <t>Net Transferable</t>
        </is>
      </c>
      <c r="M69" s="36">
        <f>IF(M67&lt;0,0,(IF(M67-O39-O40-O42&lt;0,M67,(M67-O39-O40-O42))))</f>
        <v/>
      </c>
      <c r="N69" s="57">
        <f>IF(M69&gt;0,M69*0.0506,"0")</f>
        <v/>
      </c>
      <c r="O69" s="59" t="n"/>
      <c r="P69" s="864" t="n"/>
    </row>
    <row r="71" ht="15.75" customHeight="1" thickBot="1">
      <c r="E71">
        <f>Calculator!$D$5</f>
        <v/>
      </c>
      <c r="H71">
        <f>TransferName</f>
        <v/>
      </c>
      <c r="M71">
        <f>Calculator!$D$5</f>
        <v/>
      </c>
      <c r="P71">
        <f>TransferName</f>
        <v/>
      </c>
    </row>
    <row r="72" ht="15.75" customHeight="1" thickBot="1">
      <c r="B72" s="873" t="inlineStr">
        <is>
          <t>2020 BRITISH COLUMBIA Provincial</t>
        </is>
      </c>
      <c r="C72" s="778" t="n"/>
      <c r="D72" s="778" t="n"/>
      <c r="E72" s="778" t="n"/>
      <c r="F72" s="778" t="n"/>
      <c r="G72" s="778" t="n"/>
      <c r="H72" s="780" t="n"/>
      <c r="J72" s="873" t="inlineStr">
        <is>
          <t>2019 BRITISH COLUMBIA Provincial</t>
        </is>
      </c>
      <c r="K72" s="778" t="n"/>
      <c r="L72" s="778" t="n"/>
      <c r="M72" s="778" t="n"/>
      <c r="N72" s="778" t="n"/>
      <c r="O72" s="778" t="n"/>
      <c r="P72" s="780" t="n"/>
    </row>
    <row r="73" ht="28.5" customHeight="1" thickBot="1">
      <c r="B73" s="34" t="n"/>
      <c r="D73" t="inlineStr">
        <is>
          <t>Line</t>
        </is>
      </c>
      <c r="E73" t="inlineStr">
        <is>
          <t>Amt</t>
        </is>
      </c>
      <c r="F73" s="35" t="n"/>
      <c r="G73" s="667" t="inlineStr">
        <is>
          <t>Spouse</t>
        </is>
      </c>
      <c r="H73" s="35" t="inlineStr">
        <is>
          <t>S2 Adjustment</t>
        </is>
      </c>
      <c r="J73" s="34" t="n"/>
      <c r="L73" t="inlineStr">
        <is>
          <t>Line</t>
        </is>
      </c>
      <c r="M73" t="inlineStr">
        <is>
          <t>Amt</t>
        </is>
      </c>
      <c r="N73" s="35" t="n"/>
      <c r="O73" s="34" t="inlineStr">
        <is>
          <t>Spouse</t>
        </is>
      </c>
      <c r="P73" s="35" t="inlineStr">
        <is>
          <t>S2 Adjustment</t>
        </is>
      </c>
    </row>
    <row r="74" ht="15.75" customHeight="1" thickBot="1">
      <c r="B74" s="667" t="inlineStr">
        <is>
          <t>Age Amount</t>
        </is>
      </c>
      <c r="D74" s="70" t="inlineStr">
        <is>
          <t>Line 58080</t>
        </is>
      </c>
      <c r="E74" s="861">
        <f>(_xlfn.XLOOKUP(ClientNumber,Clients!D:D,Clients!CPH:CPH,2,0,1))</f>
        <v/>
      </c>
      <c r="F74" s="37" t="inlineStr">
        <is>
          <t>Line 59020</t>
        </is>
      </c>
      <c r="G74" s="51">
        <f>IF(TransferName="NONE",0,(_xlfn.XLOOKUP(TransferNumber,Clients!D:D,Clients!CRJ:CRJ,2,0,1)))</f>
        <v/>
      </c>
      <c r="H74" s="37">
        <f>IF(AND(E74&gt;0,G74=0),"Age Amount Can Be Transferred","No Action")</f>
        <v/>
      </c>
      <c r="J74" s="667" t="inlineStr">
        <is>
          <t>Age Amount</t>
        </is>
      </c>
      <c r="L74" s="70" t="inlineStr">
        <is>
          <t>Line 58080</t>
        </is>
      </c>
      <c r="M74" s="865">
        <f>(_xlfn.XLOOKUP(MainClient,Clients!D:D,Clients!DQC:DQC,2,0,1))</f>
        <v/>
      </c>
      <c r="N74" s="45" t="inlineStr">
        <is>
          <t>Line 59020</t>
        </is>
      </c>
      <c r="O74" s="51">
        <f>IF(TransferName="NONE",0,(_xlfn.XLOOKUP(TransferNumber,Clients!D:D,Clients!DSE:DSE,2,0,1)))</f>
        <v/>
      </c>
      <c r="P74" s="37">
        <f>IF(AND(M74&gt;0,O74=0),"Age Amount Can Be Transferred","No Action")</f>
        <v/>
      </c>
    </row>
    <row r="75" ht="15.75" customHeight="1" thickBot="1">
      <c r="B75" s="667" t="inlineStr">
        <is>
          <t>Pension Income Amount</t>
        </is>
      </c>
      <c r="D75" s="70" t="inlineStr">
        <is>
          <t>Line 58360 (mx 1000)</t>
        </is>
      </c>
      <c r="E75" s="861">
        <f>IF((_xlfn.XLOOKUP(ClientNumber,Clients!D:D,Clients!CQH:CQH,2,0,1)&lt;1000),(_xlfn.XLOOKUP(MainClient,Clients!D:D,Clients!CQH:CQH,2,0,1)),1000)</f>
        <v/>
      </c>
      <c r="F75" s="37" t="inlineStr">
        <is>
          <t>Line 59050</t>
        </is>
      </c>
      <c r="G75" s="51">
        <f>IF(TransferName="NONE",0,(_xlfn.XLOOKUP(TransferNumber,Clients!D:D,Clients!CRM:CRM,2,0,1)))</f>
        <v/>
      </c>
      <c r="H75" s="37">
        <f>IF(AND(E75&gt;0,G75=0),"Pension Income Amount Can Be Transferred","No Action")</f>
        <v/>
      </c>
      <c r="J75" s="667" t="inlineStr">
        <is>
          <t>Pension Income Amount</t>
        </is>
      </c>
      <c r="L75" s="70" t="inlineStr">
        <is>
          <t>Line 58360 (mx 1000)</t>
        </is>
      </c>
      <c r="M75" s="865">
        <f>IF((_xlfn.XLOOKUP(ClientNumber,Clients!D:D,Clients!DRC:DRC,2,0,1)&lt;1000),(_xlfn.XLOOKUP(MainClient,Clients!D:D,Clients!DRC:DRC,2,0,1)),1000)</f>
        <v/>
      </c>
      <c r="N75" s="45" t="inlineStr">
        <is>
          <t>Line 59050</t>
        </is>
      </c>
      <c r="O75" s="51">
        <f>IF(TransferName="NONE",0,(_xlfn.XLOOKUP(TransferNumber,Clients!D:D,Clients!DSH:DSH,2,0,1)))</f>
        <v/>
      </c>
      <c r="P75" s="37">
        <f>IF(AND(M75&gt;0,O75=0),"Pension Income Amount Can Be Transferred","No Action")</f>
        <v/>
      </c>
    </row>
    <row r="76" ht="15.75" customHeight="1" thickBot="1">
      <c r="B76" s="667" t="inlineStr">
        <is>
          <t>Disability Amount</t>
        </is>
      </c>
      <c r="D76" s="70" t="inlineStr">
        <is>
          <t xml:space="preserve">Line 58440 </t>
        </is>
      </c>
      <c r="E76" s="861">
        <f>IF(_xlfn.XLOOKUP(ClientNumber,Clients!D:D,Clients!CQJ:CQJ,2,0,1)=0,8212,(_xlfn.XLOOKUP(MainClient,Clients!D:D,Clients!CQJ:CQJ,2,0,1)))</f>
        <v/>
      </c>
      <c r="F76" s="37" t="inlineStr">
        <is>
          <t>Line 59070</t>
        </is>
      </c>
      <c r="G76" s="51">
        <f>IF(TransferName="NONE",0,(_xlfn.XLOOKUP(TransferNumber,Clients!D:D,Clients!CRN:CRN,2,0,1)))</f>
        <v/>
      </c>
      <c r="H76" s="37">
        <f>IF(AND(E76&gt;0,G76=0),"DTC Transferable Not Claimed Can Be Transferred","No Action")</f>
        <v/>
      </c>
      <c r="J76" s="667" t="inlineStr">
        <is>
          <t>Disability Amount</t>
        </is>
      </c>
      <c r="L76" s="70" t="inlineStr">
        <is>
          <t>Line 58440</t>
        </is>
      </c>
      <c r="M76" s="865">
        <f>IF(_xlfn.XLOOKUP(ClientNumber,Clients!D:D,Clients!DRE:DRE,2,0,1)=0,8012,(_xlfn.XLOOKUP(MainClient,Clients!D:D,Clients!DRE:DRE,2,0,1)))</f>
        <v/>
      </c>
      <c r="N76" s="45" t="inlineStr">
        <is>
          <t>Line 59070</t>
        </is>
      </c>
      <c r="O76" s="51">
        <f>IF(TransferName="NONE",0,(_xlfn.XLOOKUP(TransferNumber,Clients!D:D,Clients!DSI:DSI,2,0,1)))</f>
        <v/>
      </c>
      <c r="P76" s="37">
        <f>IF(AND(M76&gt;0,O76=0),"DTC Transferable Not Claimed Can Be Transferred","No Action")</f>
        <v/>
      </c>
    </row>
    <row r="77" ht="15.75" customHeight="1" thickBot="1">
      <c r="B77" s="667" t="inlineStr">
        <is>
          <t>Tuition Amount</t>
        </is>
      </c>
      <c r="D77" s="70" t="inlineStr">
        <is>
          <t>Line 59200</t>
        </is>
      </c>
      <c r="E77" s="861">
        <f>(_xlfn.XLOOKUP(ClientNumber,Clients!D:D,Clients!CRY:CRY,2,0,1))</f>
        <v/>
      </c>
      <c r="F77" s="37" t="inlineStr">
        <is>
          <t>Line 59090</t>
        </is>
      </c>
      <c r="G77" s="51">
        <f>IF(TransferName="NONE",0,(_xlfn.XLOOKUP(TransferNumber,Clients!D:D,Clients!CRO:CRO,2,0,1)))</f>
        <v/>
      </c>
      <c r="H77" s="37">
        <f>IF(AND(E77&gt;0,G77=0),"Tuition Can Be Transferred","No Action")</f>
        <v/>
      </c>
      <c r="J77" s="667" t="inlineStr">
        <is>
          <t>Tuition Amount</t>
        </is>
      </c>
      <c r="L77" s="70" t="inlineStr">
        <is>
          <t>Line 59200</t>
        </is>
      </c>
      <c r="M77" s="865">
        <f>(_xlfn.XLOOKUP(MainClient,Clients!D:D,Clients!DST:DST,2,0,1))</f>
        <v/>
      </c>
      <c r="N77" s="45" t="inlineStr">
        <is>
          <t>Line 59090</t>
        </is>
      </c>
      <c r="O77" s="51">
        <f>IF(TransferName="NONE",0,(_xlfn.XLOOKUP(TransferNumber,Clients!D:D,Clients!DSJ:DSJ,2,0,1)))</f>
        <v/>
      </c>
      <c r="P77" s="37">
        <f>IF(AND(M77&gt;0,O77=0),"Tuition Can Be Transferred","No Action")</f>
        <v/>
      </c>
    </row>
    <row r="78">
      <c r="B78" s="667" t="n"/>
      <c r="E78" s="771">
        <f>SUM(E74:E77)</f>
        <v/>
      </c>
      <c r="F78" s="37" t="n"/>
      <c r="G78" s="667">
        <f>SUM(G74:G77)</f>
        <v/>
      </c>
      <c r="H78" s="37" t="n"/>
      <c r="J78" s="667" t="n"/>
      <c r="M78" s="872">
        <f>SUM(M74:M77)</f>
        <v/>
      </c>
      <c r="N78" s="37" t="n"/>
      <c r="O78" s="667">
        <f>SUM(O74:O77)</f>
        <v/>
      </c>
      <c r="P78" s="37" t="n"/>
    </row>
    <row r="79">
      <c r="B79" s="667" t="n"/>
      <c r="C79" s="668" t="n"/>
      <c r="E79" s="771" t="n"/>
      <c r="F79" s="37" t="n"/>
      <c r="G79" s="668" t="n"/>
      <c r="H79" s="37" t="n"/>
      <c r="J79" s="667" t="n"/>
      <c r="K79" s="668" t="n"/>
      <c r="M79" s="872" t="n"/>
      <c r="N79" s="37" t="n"/>
      <c r="O79" s="668" t="n"/>
      <c r="P79" s="37" t="n"/>
    </row>
    <row r="80" ht="15.75" customHeight="1" thickBot="1">
      <c r="B80" s="34" t="n"/>
      <c r="F80" s="35" t="n"/>
      <c r="H80" s="35" t="n"/>
      <c r="J80" s="34" t="n"/>
      <c r="N80" s="35" t="n"/>
      <c r="P80" s="35" t="n"/>
    </row>
    <row r="81" ht="15.75" customHeight="1" thickBot="1">
      <c r="B81" s="667" t="inlineStr">
        <is>
          <t>Line 260</t>
        </is>
      </c>
      <c r="C81" s="36">
        <f>(_xlfn.XLOOKUP(MainClient,Clients!D:D,Clients!CHI:CHI,2,0,1))</f>
        <v/>
      </c>
      <c r="F81" s="35" t="n"/>
      <c r="G81" s="34">
        <f>IF(E104&gt;E76,"other transferable credits","DTC Only")</f>
        <v/>
      </c>
      <c r="H81" s="35" t="n"/>
      <c r="J81" s="667" t="inlineStr">
        <is>
          <t>Line 260</t>
        </is>
      </c>
      <c r="K81" s="36">
        <f>(_xlfn.XLOOKUP(MainClient,Clients!D:D,Clients!DID:DID,2,0,1))</f>
        <v/>
      </c>
      <c r="N81" s="35" t="n"/>
      <c r="O81" s="34">
        <f>IF(M104&gt;M76,"other transferable credits","DTC Only")</f>
        <v/>
      </c>
      <c r="P81" s="35" t="n"/>
    </row>
    <row r="82" ht="15.75" customHeight="1" thickBot="1">
      <c r="B82" s="34" t="n"/>
      <c r="F82" s="35" t="n"/>
      <c r="G82" s="34" t="n"/>
      <c r="H82" s="35" t="n"/>
      <c r="J82" s="34" t="n"/>
      <c r="N82" s="35" t="n"/>
      <c r="O82" s="34" t="n"/>
      <c r="P82" s="35" t="n"/>
    </row>
    <row r="83" ht="15.75" customHeight="1" thickBot="1">
      <c r="B83" s="55" t="inlineStr">
        <is>
          <t>Line 58040</t>
        </is>
      </c>
      <c r="C83" s="36">
        <f>(_xlfn.XLOOKUP(ClientNumber,Clients!D:D,Clients!CPG:CPG,2,0,1))</f>
        <v/>
      </c>
      <c r="F83" s="35" t="n"/>
      <c r="G83" s="34" t="n"/>
      <c r="H83" s="35" t="n"/>
      <c r="J83" s="55" t="inlineStr">
        <is>
          <t>Line 58040</t>
        </is>
      </c>
      <c r="K83" s="36">
        <f>(_xlfn.XLOOKUP(MainClient,Clients!D:D,Clients!DQB:DQB,2,0,1))</f>
        <v/>
      </c>
      <c r="N83" s="35" t="n"/>
      <c r="O83" s="34" t="n"/>
      <c r="P83" s="35" t="n"/>
    </row>
    <row r="84" ht="15.75" customHeight="1" thickBot="1">
      <c r="B84" s="55" t="inlineStr">
        <is>
          <t>Line 58240</t>
        </is>
      </c>
      <c r="C84" s="36">
        <f>(_xlfn.XLOOKUP(ClientNumber,Clients!D:D,Clients!CHU:CHU,2,0,1))</f>
        <v/>
      </c>
      <c r="F84" s="35" t="n"/>
      <c r="G84" s="34" t="n"/>
      <c r="H84" s="35" t="n"/>
      <c r="J84" s="55" t="inlineStr">
        <is>
          <t>Line 58240</t>
        </is>
      </c>
      <c r="K84" s="36">
        <f>(_xlfn.XLOOKUP(MainClient,Clients!D:D,Clients!DQQ:DQQ,2,0,1))</f>
        <v/>
      </c>
      <c r="N84" s="35" t="n"/>
      <c r="O84" s="34" t="n"/>
      <c r="P84" s="35" t="n"/>
    </row>
    <row r="85" ht="15.75" customHeight="1" thickBot="1">
      <c r="B85" s="55" t="inlineStr">
        <is>
          <t>Line 58280</t>
        </is>
      </c>
      <c r="C85" s="36">
        <f>(_xlfn.XLOOKUP(ClientNumber,Clients!D:D,Clients!CHV:CHV,2,0,1))</f>
        <v/>
      </c>
      <c r="F85" s="35" t="n"/>
      <c r="G85" s="34" t="n"/>
      <c r="H85" s="35" t="n"/>
      <c r="J85" s="55" t="inlineStr">
        <is>
          <t>Line 58280</t>
        </is>
      </c>
      <c r="K85" s="36">
        <f>(_xlfn.XLOOKUP(MainClient,Clients!D:D,Clients!DQR:DQR,2,0,1))</f>
        <v/>
      </c>
      <c r="N85" s="35" t="n"/>
      <c r="P85" s="35" t="n"/>
    </row>
    <row r="86" ht="15.75" customHeight="1" thickBot="1">
      <c r="B86" s="55" t="inlineStr">
        <is>
          <t>Line 58300</t>
        </is>
      </c>
      <c r="C86" s="36">
        <f>(_xlfn.XLOOKUP(ClientNumber,Clients!D:D,Clients!CHW:CHW,2,0,1))</f>
        <v/>
      </c>
      <c r="F86" s="35" t="n"/>
      <c r="G86" s="34" t="n"/>
      <c r="H86" s="35" t="n"/>
      <c r="J86" s="55" t="inlineStr">
        <is>
          <t>Line 58300</t>
        </is>
      </c>
      <c r="K86" s="36">
        <f>(_xlfn.XLOOKUP(MainClient,Clients!D:D,Clients!DQS:DQS,2,0,1))</f>
        <v/>
      </c>
      <c r="N86" s="35" t="n"/>
      <c r="O86" s="34" t="n"/>
      <c r="P86" s="35" t="n"/>
    </row>
    <row r="87" ht="15.75" customHeight="1" thickBot="1">
      <c r="B87" s="55" t="inlineStr">
        <is>
          <t>Line 58305</t>
        </is>
      </c>
      <c r="C87" s="36">
        <f>(_xlfn.XLOOKUP(ClientNumber,Clients!D:D,Clients!CIA:CIA,2,0,1))</f>
        <v/>
      </c>
      <c r="F87" s="35" t="n"/>
      <c r="G87" s="34" t="n"/>
      <c r="H87" s="35" t="n"/>
      <c r="J87" s="55" t="inlineStr">
        <is>
          <t>Line 58305</t>
        </is>
      </c>
      <c r="K87" s="36">
        <f>(_xlfn.XLOOKUP(MainClient,Clients!D:D,Clients!DQT:DQT,2,0,1))</f>
        <v/>
      </c>
      <c r="N87" s="35" t="n"/>
      <c r="O87" s="34" t="n"/>
      <c r="P87" s="35" t="n"/>
    </row>
    <row r="88" ht="15.75" customHeight="1" thickBot="1">
      <c r="B88" s="55" t="inlineStr">
        <is>
          <t>Line 58315</t>
        </is>
      </c>
      <c r="C88" s="36">
        <f>(_xlfn.XLOOKUP(ClientNumber,Clients!D:D,Clients!CQA:CQA,2,0,1))</f>
        <v/>
      </c>
      <c r="F88" s="35" t="n"/>
      <c r="G88" s="34" t="n"/>
      <c r="H88" s="35" t="n"/>
      <c r="J88" s="55" t="inlineStr">
        <is>
          <t>Line 58315</t>
        </is>
      </c>
      <c r="K88" s="36">
        <f>(_xlfn.XLOOKUP(MainClient,Clients!D:D,Clients!DQV:DQV,2,0,1))</f>
        <v/>
      </c>
      <c r="N88" s="35" t="n"/>
      <c r="O88" s="34" t="n"/>
      <c r="P88" s="35" t="n"/>
    </row>
    <row r="89" ht="15.75" customHeight="1" thickBot="1">
      <c r="B89" s="55" t="inlineStr">
        <is>
          <t>Line 58316</t>
        </is>
      </c>
      <c r="C89" s="36">
        <f>(_xlfn.XLOOKUP(ClientNumber,Clients!D:D,Clients!CQB:CQB,2,0,1))</f>
        <v/>
      </c>
      <c r="F89" s="35" t="n"/>
      <c r="G89" s="34" t="n"/>
      <c r="H89" s="35" t="n"/>
      <c r="J89" s="55" t="inlineStr">
        <is>
          <t>Line 58316</t>
        </is>
      </c>
      <c r="K89" s="36">
        <f>(_xlfn.XLOOKUP(MainClient,Clients!D:D,Clients!DQW:DQW,2,0,1))</f>
        <v/>
      </c>
      <c r="N89" s="35" t="n"/>
      <c r="O89" s="34" t="n"/>
      <c r="P89" s="35" t="n"/>
    </row>
    <row r="90" ht="15.75" customHeight="1" thickBot="1">
      <c r="B90" s="55" t="inlineStr">
        <is>
          <t>Line 58330</t>
        </is>
      </c>
      <c r="C90" s="36">
        <f>(_xlfn.XLOOKUP(ClientNumber,Clients!D:D,Clients!CQF:CQF,2,0,1))</f>
        <v/>
      </c>
      <c r="F90" s="35" t="n"/>
      <c r="G90" s="34" t="n"/>
      <c r="H90" s="35" t="n"/>
      <c r="J90" s="55" t="inlineStr">
        <is>
          <t>Line 58330</t>
        </is>
      </c>
      <c r="K90" s="36">
        <f>(_xlfn.XLOOKUP(MainClient,Clients!D:D,Clients!DRA:DRA,2,0,1))</f>
        <v/>
      </c>
      <c r="N90" s="35" t="n"/>
      <c r="O90" s="34" t="n"/>
      <c r="P90" s="35" t="n"/>
    </row>
    <row r="91" ht="15.75" customHeight="1" thickBot="1">
      <c r="B91" s="55" t="inlineStr">
        <is>
          <t>Line 58560</t>
        </is>
      </c>
      <c r="C91" s="36">
        <f>(_xlfn.XLOOKUP(ClientNumber,Clients!D:D,Clients!CQN:CQN,2,0,1))</f>
        <v/>
      </c>
      <c r="F91" s="35" t="n"/>
      <c r="G91" s="34" t="n"/>
      <c r="H91" s="35" t="n"/>
      <c r="J91" s="55" t="inlineStr">
        <is>
          <t>Line 58560</t>
        </is>
      </c>
      <c r="K91" s="36">
        <f>(_xlfn.XLOOKUP(MainClient,Clients!D:D,Clients!DRI:DRI,2,0,1))</f>
        <v/>
      </c>
      <c r="N91" s="35" t="n"/>
      <c r="O91" s="34" t="n"/>
      <c r="P91" s="35" t="n"/>
    </row>
    <row r="92" ht="15.75" customHeight="1" thickBot="1">
      <c r="B92" s="38" t="n"/>
      <c r="C92" s="36" t="n"/>
      <c r="F92" s="35" t="n"/>
      <c r="G92" s="34" t="n"/>
      <c r="H92" s="35" t="n"/>
      <c r="J92" s="38" t="n"/>
      <c r="K92" s="36" t="n"/>
      <c r="N92" s="35" t="n"/>
      <c r="O92" s="34" t="n"/>
      <c r="P92" s="35" t="n"/>
    </row>
    <row r="93" ht="15.75" customHeight="1" thickBot="1">
      <c r="B93" s="38" t="n"/>
      <c r="C93" s="36" t="n"/>
      <c r="F93" s="35" t="n"/>
      <c r="G93" s="34" t="inlineStr">
        <is>
          <t>Line 326</t>
        </is>
      </c>
      <c r="H93" s="35">
        <f>IF(TransferName="NONE",0,(_xlfn.XLOOKUP(TransferNumber,Clients!D:D,Clients!CIH:CIH,2,0,1)))</f>
        <v/>
      </c>
      <c r="J93" s="38" t="n"/>
      <c r="K93" s="36" t="n"/>
      <c r="N93" s="35" t="n"/>
      <c r="O93" s="34" t="inlineStr">
        <is>
          <t>Line 326</t>
        </is>
      </c>
      <c r="P93" s="35">
        <f>IFERROR(_xlfn.XLOOKUP(TransferNumber,Clients!D:D,Clients!FJZ:FJZ,2,0,1),0)</f>
        <v/>
      </c>
    </row>
    <row r="94" ht="15.75" customHeight="1" thickBot="1">
      <c r="B94" s="38" t="n"/>
      <c r="C94" s="36" t="n"/>
      <c r="F94" s="35" t="n"/>
      <c r="G94" s="34" t="n"/>
      <c r="H94" s="35" t="n"/>
      <c r="J94" s="38" t="n"/>
      <c r="K94" s="36" t="n"/>
      <c r="N94" s="35" t="n"/>
      <c r="O94" s="34" t="n"/>
      <c r="P94" s="35" t="n"/>
    </row>
    <row r="95" ht="15.75" customHeight="1" thickBot="1">
      <c r="B95" s="38" t="n"/>
      <c r="C95" s="36" t="n"/>
      <c r="F95" s="35" t="n"/>
      <c r="G95" s="34" t="n"/>
      <c r="H95" s="35" t="n"/>
      <c r="J95" s="38" t="n"/>
      <c r="K95" s="36" t="n"/>
      <c r="N95" s="35" t="n"/>
      <c r="O95" s="34" t="n"/>
      <c r="P95" s="35" t="n"/>
    </row>
    <row r="96" ht="15.75" customHeight="1" thickBot="1">
      <c r="B96" s="38" t="n"/>
      <c r="C96" s="36" t="n"/>
      <c r="F96" s="35" t="n"/>
      <c r="G96" s="34" t="n"/>
      <c r="H96" s="35" t="n"/>
      <c r="J96" s="38" t="n"/>
      <c r="K96" s="36" t="n"/>
      <c r="N96" s="35" t="n"/>
      <c r="O96" s="34" t="n"/>
      <c r="P96" s="35" t="n"/>
    </row>
    <row r="97" ht="15.75" customHeight="1" thickBot="1">
      <c r="B97" s="38" t="n"/>
      <c r="C97" s="36" t="n"/>
      <c r="F97" s="35" t="n"/>
      <c r="G97" s="34" t="n"/>
      <c r="H97" s="35">
        <f>IF(E102&gt;0,E78-G78,0)</f>
        <v/>
      </c>
      <c r="J97" s="38" t="n"/>
      <c r="K97" s="36" t="n"/>
      <c r="N97" s="35" t="n"/>
      <c r="O97" s="34" t="n"/>
      <c r="P97" s="35">
        <f>IF(M102&gt;0,M78-O78,0)</f>
        <v/>
      </c>
    </row>
    <row r="98" ht="15.75" customHeight="1" thickBot="1">
      <c r="B98" s="38" t="n"/>
      <c r="C98" s="36" t="n"/>
      <c r="F98" s="35" t="n"/>
      <c r="H98" s="52">
        <f>IF(TransferName="NONE",F103,IF(H97&gt;0,(E102-G78)*0.0506,0))</f>
        <v/>
      </c>
      <c r="J98" s="38" t="n"/>
      <c r="K98" s="36" t="n"/>
      <c r="N98" s="35" t="n"/>
      <c r="P98" s="52">
        <f>IF(TransferName="NONE",N103,IF(P97&gt;0,(M102-O78)*0.0506,0))</f>
        <v/>
      </c>
    </row>
    <row r="99">
      <c r="B99" s="667" t="n"/>
      <c r="F99" s="35" t="n"/>
      <c r="G99" s="34" t="inlineStr">
        <is>
          <t>Transferable</t>
        </is>
      </c>
      <c r="H99" s="52">
        <f>IF(H98&gt;0,H98,0)</f>
        <v/>
      </c>
      <c r="J99" s="667" t="n"/>
      <c r="N99" s="35" t="n"/>
      <c r="O99" s="34" t="inlineStr">
        <is>
          <t>Transferable</t>
        </is>
      </c>
      <c r="P99" s="52">
        <f>IF(P98&gt;0,P98,0)</f>
        <v/>
      </c>
    </row>
    <row r="100">
      <c r="B100" s="667" t="inlineStr">
        <is>
          <t>Adjusted Taxable Income</t>
        </is>
      </c>
      <c r="C100">
        <f>C81-(SUM(C83:C98))</f>
        <v/>
      </c>
      <c r="D100" s="13" t="inlineStr">
        <is>
          <t>Line 5864</t>
        </is>
      </c>
      <c r="E100" s="39">
        <f>IF(C100&gt;0,C100,0)</f>
        <v/>
      </c>
      <c r="F100" s="35" t="n"/>
      <c r="G100" s="34" t="n"/>
      <c r="H100" s="35" t="n"/>
      <c r="J100" s="667" t="inlineStr">
        <is>
          <t>Adjusted Taxable Income</t>
        </is>
      </c>
      <c r="K100">
        <f>K81-(SUM(K83:K98))</f>
        <v/>
      </c>
      <c r="L100" s="13" t="inlineStr">
        <is>
          <t>Line 5864</t>
        </is>
      </c>
      <c r="M100" s="39">
        <f>IF(K100&gt;0,K100,0)</f>
        <v/>
      </c>
      <c r="N100" s="35" t="n"/>
      <c r="O100" s="34" t="n"/>
      <c r="P100" s="35" t="n"/>
    </row>
    <row r="101" ht="15.75" customHeight="1" thickBot="1">
      <c r="B101" s="34" t="n"/>
      <c r="F101" s="35" t="n"/>
      <c r="G101" s="34" t="n"/>
      <c r="H101" s="35" t="n"/>
      <c r="J101" s="34" t="n"/>
      <c r="N101" s="35" t="n"/>
      <c r="O101" s="34" t="n"/>
      <c r="P101" s="35" t="n"/>
    </row>
    <row r="102" ht="15.75" customHeight="1" thickBot="1">
      <c r="B102" s="34" t="n"/>
      <c r="D102" s="21" t="inlineStr">
        <is>
          <t>Prov Trans</t>
        </is>
      </c>
      <c r="E102" s="36">
        <f>(E78-E100)</f>
        <v/>
      </c>
      <c r="F102" s="40" t="n"/>
      <c r="G102" s="34" t="n"/>
      <c r="H102" s="52" t="n"/>
      <c r="J102" s="34" t="n"/>
      <c r="L102" s="21" t="inlineStr">
        <is>
          <t>Prov Trans</t>
        </is>
      </c>
      <c r="M102" s="36">
        <f>(M78-M100)</f>
        <v/>
      </c>
      <c r="N102" s="40" t="n"/>
      <c r="O102" s="34" t="n"/>
      <c r="P102" s="52" t="n"/>
    </row>
    <row r="103" ht="15.75" customHeight="1" thickBot="1">
      <c r="B103" s="34" t="n"/>
      <c r="C103" s="579" t="inlineStr">
        <is>
          <t>DTC Transferable ESTIMATE</t>
        </is>
      </c>
      <c r="D103" s="35" t="n"/>
      <c r="E103" s="36">
        <f>IF(E102&lt;0,0,(IF(E102&gt;E76,E76,E102)))</f>
        <v/>
      </c>
      <c r="F103" s="40">
        <f>IF(E103&gt;0,E103*0.0506,"No Transfer Required")</f>
        <v/>
      </c>
      <c r="G103" s="678" t="n"/>
      <c r="H103" s="52" t="n"/>
      <c r="J103" s="34" t="n"/>
      <c r="K103" s="579" t="inlineStr">
        <is>
          <t>DTC Transferable ESTIMATE</t>
        </is>
      </c>
      <c r="L103" s="35" t="n"/>
      <c r="M103" s="36">
        <f>IF(M102&lt;0,0,(IF(M102&gt;M76,M76,M102)))</f>
        <v/>
      </c>
      <c r="N103" s="40">
        <f>IF(M103&gt;0,M103*0.0506,"No Transfer Required")</f>
        <v/>
      </c>
      <c r="O103" s="58" t="n"/>
      <c r="P103" s="52" t="n"/>
    </row>
    <row r="104" ht="15.75" customHeight="1" thickBot="1">
      <c r="B104" s="42" t="n"/>
      <c r="C104" s="41" t="n"/>
      <c r="D104" s="43" t="inlineStr">
        <is>
          <t>Net Transferable</t>
        </is>
      </c>
      <c r="E104" s="36">
        <f>IF(E102&lt;0,0,(IF(E102-G74-G75-G77&lt;0,E102,(E102-G74-G75-G77))))</f>
        <v/>
      </c>
      <c r="F104" s="57">
        <f>IF(E104&gt;0,E104*0.0506,"0")</f>
        <v/>
      </c>
      <c r="G104" s="42" t="n"/>
      <c r="H104" s="864" t="n"/>
      <c r="J104" s="42" t="n"/>
      <c r="K104" s="41" t="n"/>
      <c r="L104" s="43" t="inlineStr">
        <is>
          <t>Net Transferable</t>
        </is>
      </c>
      <c r="M104" s="36">
        <f>IF(M102&lt;0,0,(IF(M102-O74-O75-O77&lt;0,M102,(M102-O74-O75-O77))))</f>
        <v/>
      </c>
      <c r="N104" s="57">
        <f>IF(M104&gt;0,M104*0.0506,"0")</f>
        <v/>
      </c>
      <c r="O104" s="59" t="n"/>
      <c r="P104" s="864" t="n"/>
    </row>
    <row r="106" ht="15.75" customHeight="1" thickBot="1">
      <c r="E106">
        <f>Calculator!$D$5</f>
        <v/>
      </c>
      <c r="H106">
        <f>TransferName</f>
        <v/>
      </c>
      <c r="M106">
        <f>Calculator!$D$5</f>
        <v/>
      </c>
      <c r="P106">
        <f>TransferName</f>
        <v/>
      </c>
    </row>
    <row r="107" ht="15.75" customHeight="1" thickBot="1">
      <c r="B107" s="873" t="inlineStr">
        <is>
          <t>2018 BRITISH COLUMBIA Provincial</t>
        </is>
      </c>
      <c r="C107" s="778" t="n"/>
      <c r="D107" s="778" t="n"/>
      <c r="E107" s="778" t="n"/>
      <c r="F107" s="778" t="n"/>
      <c r="G107" s="778" t="n"/>
      <c r="H107" s="780" t="n"/>
      <c r="J107" s="873" t="inlineStr">
        <is>
          <t>2017 BRITISH COLUMBIA Provincial</t>
        </is>
      </c>
      <c r="K107" s="778" t="n"/>
      <c r="L107" s="778" t="n"/>
      <c r="M107" s="778" t="n"/>
      <c r="N107" s="778" t="n"/>
      <c r="O107" s="778" t="n"/>
      <c r="P107" s="780" t="n"/>
    </row>
    <row r="108" ht="15.75" customHeight="1" thickBot="1">
      <c r="B108" s="34" t="n"/>
      <c r="D108" t="inlineStr">
        <is>
          <t>Line</t>
        </is>
      </c>
      <c r="E108" t="inlineStr">
        <is>
          <t>Amt</t>
        </is>
      </c>
      <c r="F108" s="35" t="n"/>
      <c r="G108" s="667" t="inlineStr">
        <is>
          <t>Spouse</t>
        </is>
      </c>
      <c r="H108" s="35" t="inlineStr">
        <is>
          <t>S2 Adjustment</t>
        </is>
      </c>
      <c r="J108" s="34" t="n"/>
      <c r="L108" t="inlineStr">
        <is>
          <t>Line</t>
        </is>
      </c>
      <c r="M108" t="inlineStr">
        <is>
          <t>Amt</t>
        </is>
      </c>
      <c r="N108" s="35" t="n"/>
      <c r="O108" s="34" t="inlineStr">
        <is>
          <t>Spouse</t>
        </is>
      </c>
      <c r="P108" s="35" t="inlineStr">
        <is>
          <t>S2 Adjustment</t>
        </is>
      </c>
    </row>
    <row r="109" ht="15.75" customHeight="1" thickBot="1">
      <c r="B109" s="667" t="inlineStr">
        <is>
          <t>Age Amount</t>
        </is>
      </c>
      <c r="D109" s="70" t="inlineStr">
        <is>
          <t>Line 5808</t>
        </is>
      </c>
      <c r="E109" s="861">
        <f>(_xlfn.XLOOKUP(ClientNumber,Clients!D:D,Clients!EQZ:EQZ,2,0,1))</f>
        <v/>
      </c>
      <c r="F109" s="37" t="inlineStr">
        <is>
          <t>Line 59020</t>
        </is>
      </c>
      <c r="G109" s="51">
        <f>IF(TransferName="NONE",0,(_xlfn.XLOOKUP(TransferNumber,Clients!D:D,Clients!ETB:ETB,2,0,1)))</f>
        <v/>
      </c>
      <c r="H109" s="37">
        <f>IF(AND(E109&gt;0,G109=0),"Age Amount Can Be Transferred","No Action")</f>
        <v/>
      </c>
      <c r="J109" s="667" t="inlineStr">
        <is>
          <t>Age Amount</t>
        </is>
      </c>
      <c r="L109" s="70" t="inlineStr">
        <is>
          <t>Line 5808</t>
        </is>
      </c>
      <c r="M109" s="865">
        <f>(_xlfn.XLOOKUP(MainClient,Clients!D:D,Clients!FRB:FRB,2,0,1))</f>
        <v/>
      </c>
      <c r="N109" s="45" t="inlineStr">
        <is>
          <t>Line 59020</t>
        </is>
      </c>
      <c r="O109" s="51">
        <f>IF(TransferName="NONE",0,(_xlfn.XLOOKUP(TransferNumber,Clients!D:D,Clients!FTD:FTD,2,0,1)))</f>
        <v/>
      </c>
      <c r="P109" s="37">
        <f>IF(AND(M109&gt;0,O109=0),"Age Amount Can Be Transferred","No Action")</f>
        <v/>
      </c>
    </row>
    <row r="110" ht="15.75" customHeight="1" thickBot="1">
      <c r="B110" s="667" t="inlineStr">
        <is>
          <t>Pension Income Amount</t>
        </is>
      </c>
      <c r="D110" s="70" t="inlineStr">
        <is>
          <t>Line 5836 (mx 1000)</t>
        </is>
      </c>
      <c r="E110" s="861">
        <f>IF((_xlfn.XLOOKUP(ClientNumber,Clients!D:D,Clients!ERZ:ERZ,2,0,1)&lt;1000),(_xlfn.XLOOKUP(MainClient,Clients!D:D,Clients!ERZ:ERZ,2,0,1)),1000)</f>
        <v/>
      </c>
      <c r="F110" s="37" t="inlineStr">
        <is>
          <t>Line 59050</t>
        </is>
      </c>
      <c r="G110" s="51">
        <f>IF(TransferName="NONE",0,(_xlfn.XLOOKUP(TransferNumber,Clients!D:D,Clients!ETE:ETE,2,0,1)))</f>
        <v/>
      </c>
      <c r="H110" s="37">
        <f>IF(AND(E110&gt;0,G110=0),"Pension Income Amount Can Be Transferred","No Action")</f>
        <v/>
      </c>
      <c r="J110" s="667" t="inlineStr">
        <is>
          <t>Pension Income Amount</t>
        </is>
      </c>
      <c r="L110" s="70" t="inlineStr">
        <is>
          <t>Line 5836 (mx 1000)</t>
        </is>
      </c>
      <c r="M110" s="865">
        <f>IF((_xlfn.XLOOKUP(ClientNumber,Clients!D:D,Clients!FSB:FSB,2,0,1)&lt;1000),(_xlfn.XLOOKUP(MainClient,Clients!D:D,Clients!FSB:FSB,2,0,1)),1000)</f>
        <v/>
      </c>
      <c r="N110" s="45" t="inlineStr">
        <is>
          <t>Line 59050</t>
        </is>
      </c>
      <c r="O110" s="51">
        <f>IF(TransferName="NONE",0,(_xlfn.XLOOKUP(TransferNumber,Clients!D:D,Clients!FTG:FTG,2,0,1)))</f>
        <v/>
      </c>
      <c r="P110" s="37">
        <f>IF(AND(M110&gt;0,O110=0),"Pension Income Amount Can Be Transferred","No Action")</f>
        <v/>
      </c>
    </row>
    <row r="111" ht="15.75" customHeight="1" thickBot="1">
      <c r="B111" s="667" t="inlineStr">
        <is>
          <t>Disability Amount</t>
        </is>
      </c>
      <c r="D111" s="70" t="inlineStr">
        <is>
          <t xml:space="preserve">Line 5844 </t>
        </is>
      </c>
      <c r="E111" s="861">
        <f>IF(_xlfn.XLOOKUP(ClientNumber,Clients!D:D,Clients!ESB:ESB,2,0,1)=0,7809,(_xlfn.XLOOKUP(MainClient,Clients!D:D,Clients!ESB:ESB,2,0,1)))</f>
        <v/>
      </c>
      <c r="F111" s="37" t="inlineStr">
        <is>
          <t>Line 59070</t>
        </is>
      </c>
      <c r="G111" s="51">
        <f>IF(TransferName="NONE",0,(_xlfn.XLOOKUP(TransferNumber,Clients!D:D,Clients!ETF:ETF,2,0,1)))</f>
        <v/>
      </c>
      <c r="H111" s="37">
        <f>IF(AND(E111&gt;0,G111=0),"DTC Transferable Not Claimed Can Be Transferred","No Action")</f>
        <v/>
      </c>
      <c r="J111" s="667" t="inlineStr">
        <is>
          <t>Disability Amount</t>
        </is>
      </c>
      <c r="L111" s="70" t="inlineStr">
        <is>
          <t xml:space="preserve">Line 5844 </t>
        </is>
      </c>
      <c r="M111" s="865">
        <f>IF(_xlfn.XLOOKUP(ClientNumber,Clients!D:D,Clients!FSD:FSD,2,0,1)=0,7656,(_xlfn.XLOOKUP(MainClient,Clients!D:D,Clients!FSD:FSD,2,0,1)))</f>
        <v/>
      </c>
      <c r="N111" s="45" t="inlineStr">
        <is>
          <t>Line 59070</t>
        </is>
      </c>
      <c r="O111" s="51">
        <f>IF(TransferName="NONE",0,(_xlfn.XLOOKUP(TransferNumber,Clients!D:D,Clients!FTH:FTH,2,0,1)))</f>
        <v/>
      </c>
      <c r="P111" s="37">
        <f>IF(AND(M111&gt;0,O111=0),"DTC Transferable Not Claimed Can Be Transferred","No Action")</f>
        <v/>
      </c>
    </row>
    <row r="112" ht="15.75" customHeight="1" thickBot="1">
      <c r="B112" s="667" t="inlineStr">
        <is>
          <t>Tuition Amount</t>
        </is>
      </c>
      <c r="D112" s="70" t="inlineStr">
        <is>
          <t>Line 5920</t>
        </is>
      </c>
      <c r="E112" s="861">
        <f>(_xlfn.XLOOKUP(ClientNumber,Clients!D:D,Clients!ETP:ETP,2,0,1))</f>
        <v/>
      </c>
      <c r="F112" s="37" t="inlineStr">
        <is>
          <t>Line 59090</t>
        </is>
      </c>
      <c r="G112" s="51">
        <f>IF(TransferName="NONE",0,(_xlfn.XLOOKUP(TransferNumber,Clients!D:D,Clients!ETG:ETG,2,0,1)))</f>
        <v/>
      </c>
      <c r="H112" s="37">
        <f>IF(AND(E112&gt;0,G112=0),"Tuition Can Be Transferred","No Action")</f>
        <v/>
      </c>
      <c r="J112" s="667" t="inlineStr">
        <is>
          <t>Tuition Amount</t>
        </is>
      </c>
      <c r="L112" s="70" t="inlineStr">
        <is>
          <t>Line 5920</t>
        </is>
      </c>
      <c r="M112" s="865">
        <f>(_xlfn.XLOOKUP(MainClient,Clients!D:D,Clients!FTT:FTT,2,0,1))</f>
        <v/>
      </c>
      <c r="N112" s="45" t="inlineStr">
        <is>
          <t>Line 59090</t>
        </is>
      </c>
      <c r="O112" s="51">
        <f>IF(TransferName="NONE",0,(_xlfn.XLOOKUP(TransferNumber,Clients!D:D,Clients!FTI:FTI,2,0,1)))</f>
        <v/>
      </c>
      <c r="P112" s="37">
        <f>IF(AND(M112&gt;0,O112=0),"Tuition Can Be Transferred","No Action")</f>
        <v/>
      </c>
    </row>
    <row r="113">
      <c r="B113" s="667" t="n"/>
      <c r="E113" s="771">
        <f>SUM(E109:E112)</f>
        <v/>
      </c>
      <c r="F113" s="37" t="n"/>
      <c r="G113" s="667">
        <f>SUM(G109:G112)</f>
        <v/>
      </c>
      <c r="H113" s="37" t="n"/>
      <c r="J113" s="667" t="n"/>
      <c r="M113" s="872">
        <f>SUM(M109:M112)</f>
        <v/>
      </c>
      <c r="N113" s="37" t="n"/>
      <c r="O113" s="667">
        <f>SUM(O109:O112)</f>
        <v/>
      </c>
      <c r="P113" s="37" t="n"/>
    </row>
    <row r="114">
      <c r="B114" s="667" t="n"/>
      <c r="C114" s="668" t="n"/>
      <c r="E114" s="771" t="n"/>
      <c r="F114" s="37" t="n"/>
      <c r="G114" s="668" t="n"/>
      <c r="H114" s="37" t="n"/>
      <c r="J114" s="667" t="n"/>
      <c r="K114" s="668" t="n"/>
      <c r="M114" s="872" t="n"/>
      <c r="N114" s="37" t="n"/>
      <c r="O114" s="668" t="n"/>
      <c r="P114" s="37" t="n"/>
    </row>
    <row r="115" ht="15.75" customHeight="1" thickBot="1">
      <c r="B115" s="34" t="n"/>
      <c r="F115" s="35" t="n"/>
      <c r="H115" s="35" t="n"/>
      <c r="J115" s="34" t="n"/>
      <c r="N115" s="35" t="n"/>
      <c r="P115" s="35" t="n"/>
    </row>
    <row r="116" ht="15.75" customHeight="1" thickBot="1">
      <c r="B116" s="667" t="inlineStr">
        <is>
          <t>Line 260</t>
        </is>
      </c>
      <c r="C116" s="36">
        <f>(_xlfn.XLOOKUP(MainClient,Clients!D:D,Clients!EIY:EIY,2,0,1))</f>
        <v/>
      </c>
      <c r="F116" s="35" t="n"/>
      <c r="G116" s="34">
        <f>IF(E139&gt;E111,"other transferable credits","DTC Only")</f>
        <v/>
      </c>
      <c r="H116" s="35" t="n"/>
      <c r="J116" s="667" t="inlineStr">
        <is>
          <t>Line 260</t>
        </is>
      </c>
      <c r="K116" s="36">
        <f>(_xlfn.XLOOKUP(MainClient,Clients!D:D,Clients!FJA:FJA,2,0,1))</f>
        <v/>
      </c>
      <c r="N116" s="35" t="n"/>
      <c r="O116" s="34">
        <f>IF(M139&gt;M111,"other transferable credits","DTC Only")</f>
        <v/>
      </c>
      <c r="P116" s="35" t="n"/>
    </row>
    <row r="117" ht="15.75" customHeight="1" thickBot="1">
      <c r="B117" s="34" t="n"/>
      <c r="F117" s="35" t="n"/>
      <c r="G117" s="34" t="n"/>
      <c r="H117" s="35" t="n"/>
      <c r="J117" s="34" t="n"/>
      <c r="N117" s="35" t="n"/>
      <c r="O117" s="34" t="n"/>
      <c r="P117" s="35" t="n"/>
    </row>
    <row r="118" ht="15.75" customHeight="1" thickBot="1">
      <c r="B118" s="55" t="inlineStr">
        <is>
          <t>Line 5804</t>
        </is>
      </c>
      <c r="C118" s="36">
        <f>(_xlfn.XLOOKUP(ClientNumber,Clients!D:D,Clients!EQY:EQY,2,0,1))</f>
        <v/>
      </c>
      <c r="F118" s="35" t="n"/>
      <c r="G118" s="34" t="n"/>
      <c r="H118" s="35" t="n"/>
      <c r="J118" s="55" t="inlineStr">
        <is>
          <t>Line 5804</t>
        </is>
      </c>
      <c r="K118" s="36">
        <f>(_xlfn.XLOOKUP(MainClient,Clients!D:D,Clients!FRA:FRA,2,0,1))</f>
        <v/>
      </c>
      <c r="N118" s="35" t="n"/>
      <c r="O118" s="34" t="n"/>
      <c r="P118" s="35" t="n"/>
    </row>
    <row r="119" ht="15.75" customHeight="1" thickBot="1">
      <c r="B119" s="55" t="inlineStr">
        <is>
          <t>Line 5824</t>
        </is>
      </c>
      <c r="C119" s="36">
        <f>(_xlfn.XLOOKUP(ClientNumber,Clients!D:D,Clients!ERN:ERN,2,0,1))</f>
        <v/>
      </c>
      <c r="F119" s="35" t="n"/>
      <c r="G119" s="34" t="n"/>
      <c r="H119" s="35" t="n"/>
      <c r="J119" s="55" t="inlineStr">
        <is>
          <t>Line 5824</t>
        </is>
      </c>
      <c r="K119" s="36">
        <f>(_xlfn.XLOOKUP(MainClient,Clients!D:D,Clients!FRP:FRP,2,0,1))</f>
        <v/>
      </c>
      <c r="N119" s="35" t="n"/>
      <c r="O119" s="34" t="n"/>
      <c r="P119" s="35" t="n"/>
    </row>
    <row r="120" ht="15.75" customHeight="1" thickBot="1">
      <c r="B120" s="55" t="inlineStr">
        <is>
          <t>Line 5828</t>
        </is>
      </c>
      <c r="C120" s="36">
        <f>(_xlfn.XLOOKUP(ClientNumber,Clients!D:D,Clients!ERO:ERO,2,0,1))</f>
        <v/>
      </c>
      <c r="F120" s="35" t="n"/>
      <c r="G120" s="34" t="n"/>
      <c r="H120" s="35" t="n"/>
      <c r="J120" s="55" t="inlineStr">
        <is>
          <t>Line 5828</t>
        </is>
      </c>
      <c r="K120" s="36">
        <f>(_xlfn.XLOOKUP(MainClient,Clients!D:D,Clients!FRQ:FRQ,2,0,1))</f>
        <v/>
      </c>
      <c r="N120" s="35" t="n"/>
      <c r="P120" s="35" t="n"/>
    </row>
    <row r="121" ht="15.75" customHeight="1" thickBot="1">
      <c r="B121" s="55" t="inlineStr">
        <is>
          <t>Line 5832</t>
        </is>
      </c>
      <c r="C121" s="36">
        <f>(_xlfn.XLOOKUP(ClientNumber,Clients!D:D,Clients!ERP:ERP,2,0,1))</f>
        <v/>
      </c>
      <c r="F121" s="35" t="n"/>
      <c r="G121" s="34" t="n"/>
      <c r="H121" s="35" t="n"/>
      <c r="J121" s="55" t="inlineStr">
        <is>
          <t>Line 5832</t>
        </is>
      </c>
      <c r="K121" s="36">
        <f>(_xlfn.XLOOKUP(MainClient,Clients!D:D,Clients!FRR:FRR,2,0,1))</f>
        <v/>
      </c>
      <c r="N121" s="35" t="n"/>
      <c r="O121" s="34" t="n"/>
      <c r="P121" s="35" t="n"/>
    </row>
    <row r="122" ht="15.75" customHeight="1" thickBot="1">
      <c r="B122" s="55" t="inlineStr">
        <is>
          <t>Line 5829</t>
        </is>
      </c>
      <c r="C122" s="36">
        <f>(_xlfn.XLOOKUP(ClientNumber,Clients!D:D,Clients!ERQ:ERQ,2,0,1))</f>
        <v/>
      </c>
      <c r="F122" s="35" t="n"/>
      <c r="G122" s="34" t="n"/>
      <c r="H122" s="35" t="n"/>
      <c r="J122" s="55" t="inlineStr">
        <is>
          <t>Line 5829</t>
        </is>
      </c>
      <c r="K122" s="36">
        <f>(_xlfn.XLOOKUP(MainClient,Clients!D:D,Clients!FRS:FRS,2,0,1))</f>
        <v/>
      </c>
      <c r="N122" s="35" t="n"/>
      <c r="O122" s="34" t="n"/>
      <c r="P122" s="35" t="n"/>
    </row>
    <row r="123" ht="15.75" customHeight="1" thickBot="1">
      <c r="B123" s="55" t="inlineStr">
        <is>
          <t>Line 5830</t>
        </is>
      </c>
      <c r="C123" s="36">
        <f>(_xlfn.XLOOKUP(ClientNumber,Clients!D:D,Clients!ERS:ERS,2,0,1))</f>
        <v/>
      </c>
      <c r="F123" s="35" t="n"/>
      <c r="G123" s="34" t="n"/>
      <c r="H123" s="35" t="n"/>
      <c r="J123" s="55" t="inlineStr">
        <is>
          <t>Line 5830</t>
        </is>
      </c>
      <c r="K123" s="36">
        <f>(_xlfn.XLOOKUP(MainClient,Clients!D:D,Clients!FRU:FRU,2,0,1))</f>
        <v/>
      </c>
      <c r="N123" s="35" t="n"/>
      <c r="O123" s="34" t="n"/>
      <c r="P123" s="35" t="n"/>
    </row>
    <row r="124" ht="15.75" customHeight="1" thickBot="1">
      <c r="B124" s="55" t="inlineStr">
        <is>
          <t>Line 5845</t>
        </is>
      </c>
      <c r="C124" s="36">
        <f>(_xlfn.XLOOKUP(ClientNumber,Clients!D:D,Clients!ERT:ERT,2,0,1))</f>
        <v/>
      </c>
      <c r="F124" s="35" t="n"/>
      <c r="G124" s="34" t="n"/>
      <c r="H124" s="35" t="n"/>
      <c r="J124" s="55" t="inlineStr">
        <is>
          <t>Line 5845</t>
        </is>
      </c>
      <c r="K124" s="36">
        <f>(_xlfn.XLOOKUP(MainClient,Clients!D:D,Clients!FRV:FRV,2,0,1))</f>
        <v/>
      </c>
      <c r="N124" s="35" t="n"/>
      <c r="O124" s="34" t="n"/>
      <c r="P124" s="35" t="n"/>
    </row>
    <row r="125" ht="15.75" customHeight="1" thickBot="1">
      <c r="B125" s="55" t="inlineStr">
        <is>
          <t>Line 5833</t>
        </is>
      </c>
      <c r="C125" s="36">
        <f>(_xlfn.XLOOKUP(ClientNumber,Clients!D:D,Clients!ERX:ERX,2,0,1))</f>
        <v/>
      </c>
      <c r="F125" s="35" t="n"/>
      <c r="G125" s="34" t="n"/>
      <c r="H125" s="35" t="n"/>
      <c r="J125" s="55" t="inlineStr">
        <is>
          <t>Line 5833</t>
        </is>
      </c>
      <c r="K125" s="36">
        <f>(_xlfn.XLOOKUP(MainClient,Clients!D:D,Clients!FRZ:FRZ,2,0,1))</f>
        <v/>
      </c>
      <c r="N125" s="35" t="n"/>
      <c r="O125" s="34" t="n"/>
      <c r="P125" s="35" t="n"/>
    </row>
    <row r="126" ht="15.75" customHeight="1" thickBot="1">
      <c r="B126" s="55" t="inlineStr">
        <is>
          <t>Line 5856</t>
        </is>
      </c>
      <c r="C126" s="36">
        <f>(_xlfn.XLOOKUP(ClientNumber,Clients!D:D,Clients!ESF:ESF,2,0,1))</f>
        <v/>
      </c>
      <c r="F126" s="35" t="n"/>
      <c r="G126" s="34" t="n"/>
      <c r="H126" s="35" t="n"/>
      <c r="J126" s="53" t="inlineStr">
        <is>
          <t>Line 5838</t>
        </is>
      </c>
      <c r="K126" s="36" t="n"/>
      <c r="N126" s="35" t="n"/>
      <c r="O126" s="34" t="n"/>
      <c r="P126" s="35" t="n"/>
    </row>
    <row r="127" ht="15.75" customHeight="1" thickBot="1">
      <c r="B127" s="38" t="n"/>
      <c r="C127" s="36" t="n"/>
      <c r="F127" s="35" t="n"/>
      <c r="G127" s="34" t="n"/>
      <c r="H127" s="35" t="n"/>
      <c r="J127" s="53" t="inlineStr">
        <is>
          <t>Line 5842</t>
        </is>
      </c>
      <c r="K127" s="36" t="n"/>
      <c r="N127" s="35" t="n"/>
      <c r="O127" s="34" t="n"/>
      <c r="P127" s="35" t="n"/>
    </row>
    <row r="128" ht="15.75" customHeight="1" thickBot="1">
      <c r="B128" s="38" t="n"/>
      <c r="C128" s="36" t="n"/>
      <c r="F128" s="35" t="n"/>
      <c r="G128" s="34" t="inlineStr">
        <is>
          <t>Line 326</t>
        </is>
      </c>
      <c r="H128" s="35">
        <f>IF(TransferName="NONE",0,(_xlfn.XLOOKUP(TransferNumber,Clients!D:D,Clients!EJX:EJX,2,0,1)))</f>
        <v/>
      </c>
      <c r="J128" s="55" t="inlineStr">
        <is>
          <t>Line 5841</t>
        </is>
      </c>
      <c r="K128" s="36">
        <f>(_xlfn.XLOOKUP(MainClient,Clients!D:D,Clients!FRY:FRY,2,0,1))</f>
        <v/>
      </c>
      <c r="N128" s="35" t="n"/>
      <c r="O128" s="34" t="inlineStr">
        <is>
          <t>Line 326</t>
        </is>
      </c>
      <c r="P128" s="35">
        <f>IFERROR(_xlfn.XLOOKUP(TransferNumber,Clients!D:D,Clients!FJZ:FJZ,2,0,1),0)</f>
        <v/>
      </c>
    </row>
    <row r="129" ht="15.75" customHeight="1" thickBot="1">
      <c r="B129" s="38" t="n"/>
      <c r="C129" s="36" t="n"/>
      <c r="F129" s="35" t="n"/>
      <c r="G129" s="34" t="n"/>
      <c r="H129" s="35" t="n"/>
      <c r="J129" s="53" t="inlineStr">
        <is>
          <t>Line 5843</t>
        </is>
      </c>
      <c r="K129" s="36" t="n"/>
      <c r="N129" s="35" t="n"/>
      <c r="O129" s="34" t="n"/>
      <c r="P129" s="35" t="n"/>
    </row>
    <row r="130" ht="15.75" customHeight="1" thickBot="1">
      <c r="B130" s="38" t="n"/>
      <c r="C130" s="36" t="n"/>
      <c r="F130" s="35" t="n"/>
      <c r="G130" s="34" t="n"/>
      <c r="H130" s="35" t="n"/>
      <c r="J130" s="55" t="inlineStr">
        <is>
          <t>Line 5856</t>
        </is>
      </c>
      <c r="K130" s="36">
        <f>(_xlfn.XLOOKUP(MainClient,Clients!D:D,Clients!FSH:FSH,2,0,1))</f>
        <v/>
      </c>
      <c r="N130" s="35" t="n"/>
      <c r="O130" s="34" t="n"/>
      <c r="P130" s="35" t="n"/>
    </row>
    <row r="131" ht="15.75" customHeight="1" thickBot="1">
      <c r="B131" s="38" t="n"/>
      <c r="C131" s="36" t="n"/>
      <c r="F131" s="35" t="n"/>
      <c r="G131" s="34" t="n"/>
      <c r="H131" s="35" t="n"/>
      <c r="J131" s="38" t="n"/>
      <c r="K131" s="36" t="n"/>
      <c r="N131" s="35" t="n"/>
      <c r="O131" s="34" t="n"/>
      <c r="P131" s="35" t="n"/>
    </row>
    <row r="132" ht="15.75" customHeight="1" thickBot="1">
      <c r="B132" s="38" t="n"/>
      <c r="C132" s="36" t="n"/>
      <c r="F132" s="35" t="n"/>
      <c r="G132" s="34" t="n"/>
      <c r="H132" s="35">
        <f>IF(E137&gt;0,E113-G113,0)</f>
        <v/>
      </c>
      <c r="J132" s="38" t="n"/>
      <c r="K132" s="36" t="n"/>
      <c r="N132" s="35" t="n"/>
      <c r="O132" s="34" t="n"/>
      <c r="P132" s="35">
        <f>IF(M137&gt;0,M113-O113,0)</f>
        <v/>
      </c>
    </row>
    <row r="133" ht="15.75" customHeight="1" thickBot="1">
      <c r="B133" s="38" t="n"/>
      <c r="C133" s="36" t="n"/>
      <c r="F133" s="35" t="n"/>
      <c r="H133" s="52">
        <f>IF(TransferName="NONE",F138,IF(H132&gt;0,(E137-G113)*0.0506,0))</f>
        <v/>
      </c>
      <c r="J133" s="38" t="n"/>
      <c r="K133" s="36" t="n"/>
      <c r="N133" s="35" t="n"/>
      <c r="P133" s="52">
        <f>IF(TransferName="NONE",N138,IF(P132&gt;0,(M137-O113)*0.0506,0))</f>
        <v/>
      </c>
    </row>
    <row r="134">
      <c r="B134" s="667" t="n"/>
      <c r="F134" s="35" t="n"/>
      <c r="G134" s="34" t="inlineStr">
        <is>
          <t>Transferable</t>
        </is>
      </c>
      <c r="H134" s="52">
        <f>IF(H133&gt;0,H133,0)</f>
        <v/>
      </c>
      <c r="J134" s="667" t="n"/>
      <c r="N134" s="35" t="n"/>
      <c r="O134" s="34" t="inlineStr">
        <is>
          <t>Transferable</t>
        </is>
      </c>
      <c r="P134" s="52">
        <f>IF(P133&gt;0,P133,0)</f>
        <v/>
      </c>
    </row>
    <row r="135">
      <c r="B135" s="667" t="inlineStr">
        <is>
          <t>Adjusted Taxable Income</t>
        </is>
      </c>
      <c r="C135">
        <f>C116-(SUM(C118:C133))</f>
        <v/>
      </c>
      <c r="D135" s="13" t="inlineStr">
        <is>
          <t>Line 5864</t>
        </is>
      </c>
      <c r="E135" s="39">
        <f>IF(C135&gt;0,C135,0)</f>
        <v/>
      </c>
      <c r="F135" s="35" t="n"/>
      <c r="G135" s="34" t="n"/>
      <c r="H135" s="35" t="n"/>
      <c r="J135" s="667" t="inlineStr">
        <is>
          <t>Adjusted Taxable Income</t>
        </is>
      </c>
      <c r="K135">
        <f>K116-(SUM(K118:K133))</f>
        <v/>
      </c>
      <c r="L135" s="13" t="inlineStr">
        <is>
          <t>Line 5864</t>
        </is>
      </c>
      <c r="M135" s="39">
        <f>IF(K135&gt;0,K135,0)</f>
        <v/>
      </c>
      <c r="N135" s="35" t="n"/>
      <c r="O135" s="34" t="n"/>
      <c r="P135" s="35" t="n"/>
    </row>
    <row r="136" ht="15.75" customHeight="1" thickBot="1">
      <c r="B136" s="34" t="n"/>
      <c r="F136" s="35" t="n"/>
      <c r="G136" s="34" t="n"/>
      <c r="H136" s="35" t="n"/>
      <c r="J136" s="34" t="n"/>
      <c r="N136" s="35" t="n"/>
      <c r="O136" s="34" t="n"/>
      <c r="P136" s="35" t="n"/>
    </row>
    <row r="137" ht="15.75" customHeight="1" thickBot="1">
      <c r="B137" s="34" t="n"/>
      <c r="D137" s="21" t="inlineStr">
        <is>
          <t>Prov Trans</t>
        </is>
      </c>
      <c r="E137" s="36">
        <f>(E113-E135)</f>
        <v/>
      </c>
      <c r="F137" s="40" t="n"/>
      <c r="G137" s="34" t="n"/>
      <c r="H137" s="52" t="n"/>
      <c r="J137" s="34" t="n"/>
      <c r="L137" s="21" t="inlineStr">
        <is>
          <t>Prov Trans</t>
        </is>
      </c>
      <c r="M137" s="36">
        <f>(M113-M135)</f>
        <v/>
      </c>
      <c r="N137" s="40" t="n"/>
      <c r="O137" s="34" t="n"/>
      <c r="P137" s="52" t="n"/>
    </row>
    <row r="138" ht="15.75" customHeight="1" thickBot="1">
      <c r="B138" s="34" t="n"/>
      <c r="C138" s="579" t="inlineStr">
        <is>
          <t>DTC Transferable ESTIMATE</t>
        </is>
      </c>
      <c r="D138" s="35" t="n"/>
      <c r="E138" s="36">
        <f>IF(E137&lt;0,0,(IF(E137&gt;E111,E111,E137)))</f>
        <v/>
      </c>
      <c r="F138" s="40">
        <f>IF(E138&gt;0,E138*0.0506,"No Transfer Required")</f>
        <v/>
      </c>
      <c r="G138" s="678" t="n"/>
      <c r="H138" s="52" t="n"/>
      <c r="J138" s="34" t="n"/>
      <c r="K138" s="579" t="inlineStr">
        <is>
          <t>DTC Transferable ESTIMATE</t>
        </is>
      </c>
      <c r="L138" s="35" t="n"/>
      <c r="M138" s="36">
        <f>IF(M137&lt;0,0,(IF(M137&gt;M111,M111,M137)))</f>
        <v/>
      </c>
      <c r="N138" s="40">
        <f>IF(M138&gt;0,M138*0.0506,"No Transfer Required")</f>
        <v/>
      </c>
      <c r="O138" s="58" t="n"/>
      <c r="P138" s="52" t="n"/>
    </row>
    <row r="139" ht="15.75" customHeight="1" thickBot="1">
      <c r="B139" s="42" t="n"/>
      <c r="C139" s="41" t="n"/>
      <c r="D139" s="43" t="inlineStr">
        <is>
          <t>Net Transferable</t>
        </is>
      </c>
      <c r="E139" s="36">
        <f>IF(E137&lt;0,0,(IF(E137-G109-G110-G112&lt;0,E137,(E137-G109-G110-G112))))</f>
        <v/>
      </c>
      <c r="F139" s="57">
        <f>IF(E139&gt;0,E139*0.0506,"0")</f>
        <v/>
      </c>
      <c r="G139" s="42" t="n"/>
      <c r="H139" s="864" t="n"/>
      <c r="J139" s="42" t="n"/>
      <c r="K139" s="41" t="n"/>
      <c r="L139" s="43" t="inlineStr">
        <is>
          <t>Net Transferable</t>
        </is>
      </c>
      <c r="M139" s="36">
        <f>IF(M137&lt;0,0,(IF(M137-O109-O110-O112&lt;0,M137,(M137-O109-O110-O112))))</f>
        <v/>
      </c>
      <c r="N139" s="57">
        <f>IF(M139&gt;0,M139*0.0506,"0")</f>
        <v/>
      </c>
      <c r="O139" s="59" t="n"/>
      <c r="P139" s="864" t="n"/>
    </row>
    <row r="141" ht="15.75" customHeight="1" thickBot="1">
      <c r="E141">
        <f>Calculator!$D$5</f>
        <v/>
      </c>
      <c r="H141">
        <f>TransferName</f>
        <v/>
      </c>
      <c r="M141">
        <f>Calculator!$D$5</f>
        <v/>
      </c>
      <c r="P141">
        <f>TransferName</f>
        <v/>
      </c>
    </row>
    <row r="142" ht="15.75" customHeight="1" thickBot="1">
      <c r="B142" s="873" t="inlineStr">
        <is>
          <t>2016 BRITISH COLUMBIA Provincial</t>
        </is>
      </c>
      <c r="C142" s="778" t="n"/>
      <c r="D142" s="778" t="n"/>
      <c r="E142" s="778" t="n"/>
      <c r="F142" s="778" t="n"/>
      <c r="G142" s="778" t="n"/>
      <c r="H142" s="780" t="n"/>
      <c r="J142" s="873" t="inlineStr">
        <is>
          <t>2015 BRITISH COLUMBIA Provincial</t>
        </is>
      </c>
      <c r="K142" s="778" t="n"/>
      <c r="L142" s="778" t="n"/>
      <c r="M142" s="778" t="n"/>
      <c r="N142" s="778" t="n"/>
      <c r="O142" s="778" t="n"/>
      <c r="P142" s="780" t="n"/>
    </row>
    <row r="143" ht="15.75" customHeight="1" thickBot="1">
      <c r="B143" s="34" t="n"/>
      <c r="D143" t="inlineStr">
        <is>
          <t>Line</t>
        </is>
      </c>
      <c r="E143" t="inlineStr">
        <is>
          <t>Amt</t>
        </is>
      </c>
      <c r="F143" s="35" t="n"/>
      <c r="G143" s="667" t="inlineStr">
        <is>
          <t>Spouse</t>
        </is>
      </c>
      <c r="H143" s="35" t="inlineStr">
        <is>
          <t>S2 Adjustment</t>
        </is>
      </c>
      <c r="J143" s="34" t="n"/>
      <c r="L143" t="inlineStr">
        <is>
          <t>Line</t>
        </is>
      </c>
      <c r="M143" t="inlineStr">
        <is>
          <t>Amt</t>
        </is>
      </c>
      <c r="N143" s="35" t="n"/>
      <c r="O143" s="34" t="inlineStr">
        <is>
          <t>Spouse</t>
        </is>
      </c>
      <c r="P143" s="35" t="inlineStr">
        <is>
          <t>S2 Adjustment</t>
        </is>
      </c>
    </row>
    <row r="144" ht="15.75" customHeight="1" thickBot="1">
      <c r="B144" s="667" t="inlineStr">
        <is>
          <t>Age Amount</t>
        </is>
      </c>
      <c r="D144" s="70" t="inlineStr">
        <is>
          <t>Line 5808</t>
        </is>
      </c>
      <c r="E144" s="861">
        <f>(_xlfn.XLOOKUP(ClientNumber,Clients!D:D,Clients!GRD:GRD,2,0,1))</f>
        <v/>
      </c>
      <c r="F144" s="37" t="inlineStr">
        <is>
          <t>Line 59020</t>
        </is>
      </c>
      <c r="G144" s="51">
        <f>IF(TransferName="NONE",0,(_xlfn.XLOOKUP(TransferNumber,Clients!D:D,Clients!GTF:GTF,2,0,1)))</f>
        <v/>
      </c>
      <c r="H144" s="37">
        <f>IF(AND(E144&gt;0,G144=0),"Age Amount Can Be Transferred","No Action")</f>
        <v/>
      </c>
      <c r="J144" s="667" t="inlineStr">
        <is>
          <t>Age Amount</t>
        </is>
      </c>
      <c r="L144" s="72" t="inlineStr">
        <is>
          <t>Line 5808</t>
        </is>
      </c>
      <c r="M144" s="865">
        <f>(_xlfn.XLOOKUP(MainClient,Clients!D:D,Clients!HRF:HRF,2,0,1))</f>
        <v/>
      </c>
      <c r="N144" s="45" t="inlineStr">
        <is>
          <t>Line 59020</t>
        </is>
      </c>
      <c r="O144" s="51">
        <f>IF(TransferName="NONE",0,(_xlfn.XLOOKUP(TransferNumber,Clients!D:D,Clients!HTH:HTH,2,0,1)))</f>
        <v/>
      </c>
      <c r="P144" s="37">
        <f>IF(AND(M144&gt;0,O144=0),"Age Amount Can Be Transferred","No Action")</f>
        <v/>
      </c>
    </row>
    <row r="145" ht="15.75" customHeight="1" thickBot="1">
      <c r="B145" s="667" t="inlineStr">
        <is>
          <t>Pension Income Amount</t>
        </is>
      </c>
      <c r="D145" s="70" t="inlineStr">
        <is>
          <t>Line 5836 (mx 1000)</t>
        </is>
      </c>
      <c r="E145" s="861">
        <f>IF((_xlfn.XLOOKUP(ClientNumber,Clients!D:D,Clients!GSD:GSD,2,0,1)&lt;1000),(_xlfn.XLOOKUP(MainClient,Clients!D:D,Clients!GSD:GSD,2,0,1)),1000)</f>
        <v/>
      </c>
      <c r="F145" s="37" t="inlineStr">
        <is>
          <t>Line 59050</t>
        </is>
      </c>
      <c r="G145" s="51">
        <f>IF(TransferName="NONE",0,(_xlfn.XLOOKUP(TransferNumber,Clients!D:D,Clients!GTI:GTI,2,0,1)))</f>
        <v/>
      </c>
      <c r="H145" s="37">
        <f>IF(AND(E145&gt;0,G145=0),"Pension Income Amount Can Be Transferred","No Action")</f>
        <v/>
      </c>
      <c r="J145" s="667" t="inlineStr">
        <is>
          <t>Pension Income Amount</t>
        </is>
      </c>
      <c r="L145" s="72" t="inlineStr">
        <is>
          <t>Line 5836 (mx 1000)</t>
        </is>
      </c>
      <c r="M145" s="865">
        <f>IF((_xlfn.XLOOKUP(ClientNumber,Clients!D:D,Clients!HSF:HSF,2,0,1)&lt;1000),(_xlfn.XLOOKUP(MainClient,Clients!D:D,Clients!HSF:HSF,2,0,1)),1000)</f>
        <v/>
      </c>
      <c r="N145" s="45" t="inlineStr">
        <is>
          <t>Line 59050</t>
        </is>
      </c>
      <c r="O145" s="51">
        <f>IF(TransferName="NONE",0,(_xlfn.XLOOKUP(TransferNumber,Clients!D:D,Clients!HTK:HTK,2,0,1)))</f>
        <v/>
      </c>
      <c r="P145" s="37">
        <f>IF(AND(M145&gt;0,O145=0),"Pension Income Amount Can Be Transferred","No Action")</f>
        <v/>
      </c>
    </row>
    <row r="146" ht="15.75" customHeight="1" thickBot="1">
      <c r="B146" s="667" t="inlineStr">
        <is>
          <t>Disability Amount</t>
        </is>
      </c>
      <c r="D146" s="70" t="inlineStr">
        <is>
          <t xml:space="preserve">Line 5844 </t>
        </is>
      </c>
      <c r="E146" s="861">
        <f>IF(_xlfn.XLOOKUP(ClientNumber,Clients!D:D,Clients!GSF:GSF,2,0,1)=0,7521,(_xlfn.XLOOKUP(MainClient,Clients!D:D,Clients!GSF:GSF,2,0,1)))</f>
        <v/>
      </c>
      <c r="F146" s="37" t="inlineStr">
        <is>
          <t>Line 59070</t>
        </is>
      </c>
      <c r="G146" s="51">
        <f>IF(TransferName="NONE",0,(_xlfn.XLOOKUP(TransferNumber,Clients!D:D,Clients!GTJ:GTJ,2,0,1)))</f>
        <v/>
      </c>
      <c r="H146" s="37">
        <f>IF(AND(E146&gt;0,G146=0),"DTC Transferable Not Claimed Can Be Transferred","No Action")</f>
        <v/>
      </c>
      <c r="J146" s="667" t="inlineStr">
        <is>
          <t>Disability Amount</t>
        </is>
      </c>
      <c r="L146" s="72" t="inlineStr">
        <is>
          <t xml:space="preserve">Line 5844 </t>
        </is>
      </c>
      <c r="M146" s="865">
        <f>IF(_xlfn.XLOOKUP(ClientNumber,Clients!D:D,Clients!HSH:HSH,2,0,1)=0,7454,(_xlfn.XLOOKUP(MainClient,Clients!D:D,Clients!HSH:HSH,2,0,1)))</f>
        <v/>
      </c>
      <c r="N146" s="45" t="inlineStr">
        <is>
          <t>Line 59070</t>
        </is>
      </c>
      <c r="O146" s="51">
        <f>IF(TransferName="NONE",0,(_xlfn.XLOOKUP(TransferNumber,Clients!D:D,Clients!HTL:HTL,2,0,1)))</f>
        <v/>
      </c>
      <c r="P146" s="37">
        <f>IF(AND(M146&gt;0,O146=0),"DTC Transferable Not Claimed Can Be Transferred","No Action")</f>
        <v/>
      </c>
    </row>
    <row r="147" ht="15.75" customHeight="1" thickBot="1">
      <c r="B147" s="667" t="inlineStr">
        <is>
          <t>Tuition Amount</t>
        </is>
      </c>
      <c r="D147" s="70" t="inlineStr">
        <is>
          <t>Line 5920</t>
        </is>
      </c>
      <c r="E147" s="861">
        <f>(_xlfn.XLOOKUP(ClientNumber,Clients!D:D,Clients!GTT:GTT,2,0,1))</f>
        <v/>
      </c>
      <c r="F147" s="37" t="inlineStr">
        <is>
          <t>Line 59090</t>
        </is>
      </c>
      <c r="G147" s="51">
        <f>IF(TransferName="NONE",0,(_xlfn.XLOOKUP(TransferNumber,Clients!D:D,Clients!GTK:GTK,2,0,1)))</f>
        <v/>
      </c>
      <c r="H147" s="37">
        <f>IF(AND(E147&gt;0,G147=0),"Tuition Can Be Transferred","No Action")</f>
        <v/>
      </c>
      <c r="J147" s="667" t="inlineStr">
        <is>
          <t>Tuition Amount</t>
        </is>
      </c>
      <c r="L147" s="72" t="inlineStr">
        <is>
          <t>Line 5920</t>
        </is>
      </c>
      <c r="M147" s="865">
        <f>(_xlfn.XLOOKUP(MainClient,Clients!D:D,Clients!HTV:HTV,2,0,1))</f>
        <v/>
      </c>
      <c r="N147" s="45" t="inlineStr">
        <is>
          <t>Line 59090</t>
        </is>
      </c>
      <c r="O147" s="51">
        <f>IF(TransferName="NONE",0,(_xlfn.XLOOKUP(TransferNumber,Clients!D:D,Clients!HTM:HTM,2,0,1)))</f>
        <v/>
      </c>
      <c r="P147" s="37">
        <f>IF(AND(M147&gt;0,O147=0),"Tuition Can Be Transferred","No Action")</f>
        <v/>
      </c>
    </row>
    <row r="148">
      <c r="B148" s="667" t="n"/>
      <c r="E148" s="771">
        <f>SUM(E144:E147)</f>
        <v/>
      </c>
      <c r="F148" s="37" t="n"/>
      <c r="G148" s="667">
        <f>SUM(G144:G147)</f>
        <v/>
      </c>
      <c r="H148" s="37" t="n"/>
      <c r="J148" s="667" t="n"/>
      <c r="L148" s="71" t="n"/>
      <c r="M148" s="872">
        <f>SUM(M144:M147)</f>
        <v/>
      </c>
      <c r="N148" s="37" t="n"/>
      <c r="O148" s="667">
        <f>SUM(O144:O147)</f>
        <v/>
      </c>
      <c r="P148" s="37" t="n"/>
    </row>
    <row r="149" ht="15.75" customHeight="1" thickBot="1">
      <c r="B149" s="34" t="n"/>
      <c r="F149" s="35" t="n"/>
      <c r="G149" s="667" t="n"/>
      <c r="H149" s="35" t="n"/>
      <c r="J149" s="34" t="n"/>
      <c r="L149" s="71" t="n"/>
      <c r="N149" s="35" t="n"/>
      <c r="O149" s="667" t="n"/>
      <c r="P149" s="35" t="n"/>
    </row>
    <row r="150" ht="15.75" customHeight="1" thickBot="1">
      <c r="B150" s="667" t="inlineStr">
        <is>
          <t>Line 260</t>
        </is>
      </c>
      <c r="C150" s="36">
        <f>(_xlfn.XLOOKUP(MainClient,Clients!D:D,Clients!GJC:GJC,2,0,1))</f>
        <v/>
      </c>
      <c r="F150" s="35" t="n"/>
      <c r="G150" s="34">
        <f>IF(E173&gt;E146,"other transferable credits","DTC Only")</f>
        <v/>
      </c>
      <c r="H150" s="35" t="n"/>
      <c r="J150" s="667" t="inlineStr">
        <is>
          <t>Line 260</t>
        </is>
      </c>
      <c r="K150" s="36">
        <f>(_xlfn.XLOOKUP(MainClient,Clients!D:D,Clients!HJE:HJE,2,0,1))</f>
        <v/>
      </c>
      <c r="L150" s="71" t="n"/>
      <c r="N150" s="35" t="n"/>
      <c r="O150" s="34">
        <f>IF(M173&gt;M146,"other transferable credits","DTC Only")</f>
        <v/>
      </c>
      <c r="P150" s="35" t="n"/>
    </row>
    <row r="151" ht="15.75" customHeight="1" thickBot="1">
      <c r="B151" s="34" t="n"/>
      <c r="F151" s="35" t="n"/>
      <c r="G151" s="34" t="n"/>
      <c r="H151" s="35" t="n"/>
      <c r="J151" s="34" t="n"/>
      <c r="N151" s="35" t="n"/>
      <c r="O151" s="34" t="n"/>
      <c r="P151" s="35" t="n"/>
    </row>
    <row r="152" ht="15" customHeight="1" thickBot="1">
      <c r="B152" s="55" t="inlineStr">
        <is>
          <t>Line 5804</t>
        </is>
      </c>
      <c r="C152" s="36">
        <f>(_xlfn.XLOOKUP(ClientNumber,Clients!D:D,Clients!GRC:GRC,2,0,1))</f>
        <v/>
      </c>
      <c r="F152" s="35" t="n"/>
      <c r="G152" s="34" t="n"/>
      <c r="H152" s="35" t="n"/>
      <c r="J152" s="55" t="inlineStr">
        <is>
          <t>Line 5804</t>
        </is>
      </c>
      <c r="K152" s="36">
        <f>(_xlfn.XLOOKUP(MainClient,Clients!D:D,Clients!HRE:HRE,2,0,1))</f>
        <v/>
      </c>
      <c r="N152" s="35" t="n"/>
      <c r="O152" s="34" t="n"/>
      <c r="P152" s="35" t="n"/>
    </row>
    <row r="153" ht="15.75" customHeight="1" thickBot="1">
      <c r="B153" s="55" t="inlineStr">
        <is>
          <t>Line 5824</t>
        </is>
      </c>
      <c r="C153" s="36">
        <f>(_xlfn.XLOOKUP(ClientNumber,Clients!D:D,Clients!GRR:GRR,2,0,1))</f>
        <v/>
      </c>
      <c r="F153" s="35" t="n"/>
      <c r="G153" s="34" t="n"/>
      <c r="H153" s="35" t="n"/>
      <c r="J153" s="55" t="inlineStr">
        <is>
          <t>Line 5824</t>
        </is>
      </c>
      <c r="K153" s="36">
        <f>(_xlfn.XLOOKUP(MainClient,Clients!D:D,Clients!HRT:HRT,2,0,1))</f>
        <v/>
      </c>
      <c r="N153" s="35" t="n"/>
      <c r="O153" s="34" t="n"/>
      <c r="P153" s="35" t="n"/>
    </row>
    <row r="154" ht="15.75" customHeight="1" thickBot="1">
      <c r="B154" s="55" t="inlineStr">
        <is>
          <t>Line 5828</t>
        </is>
      </c>
      <c r="C154" s="36">
        <f>(_xlfn.XLOOKUP(ClientNumber,Clients!D:D,Clients!GRS:GRS,2,0,1))</f>
        <v/>
      </c>
      <c r="F154" s="35" t="n"/>
      <c r="G154" s="34" t="n"/>
      <c r="H154" s="35" t="n"/>
      <c r="J154" s="55" t="inlineStr">
        <is>
          <t>Line 5828</t>
        </is>
      </c>
      <c r="K154" s="36">
        <f>(_xlfn.XLOOKUP(MainClient,Clients!D:D,Clients!HRU:HRU,2,0,1))</f>
        <v/>
      </c>
      <c r="N154" s="35" t="n"/>
      <c r="P154" s="35" t="n"/>
    </row>
    <row r="155" ht="15.75" customHeight="1" thickBot="1">
      <c r="B155" s="55" t="inlineStr">
        <is>
          <t>Line 5832</t>
        </is>
      </c>
      <c r="C155" s="36">
        <f>(_xlfn.XLOOKUP(ClientNumber,Clients!D:D,Clients!GRT:GRT,2,0,1))</f>
        <v/>
      </c>
      <c r="F155" s="35" t="n"/>
      <c r="G155" s="34" t="n"/>
      <c r="H155" s="35" t="n"/>
      <c r="J155" s="55" t="inlineStr">
        <is>
          <t>Line 5832</t>
        </is>
      </c>
      <c r="K155" s="36">
        <f>(_xlfn.XLOOKUP(MainClient,Clients!D:D,Clients!HRV:HRV,2,0,1))</f>
        <v/>
      </c>
      <c r="N155" s="35" t="n"/>
      <c r="O155" s="34" t="n"/>
      <c r="P155" s="35" t="n"/>
    </row>
    <row r="156" ht="15.75" customHeight="1" thickBot="1">
      <c r="B156" s="55" t="inlineStr">
        <is>
          <t>Line 5829</t>
        </is>
      </c>
      <c r="C156" s="36">
        <f>(_xlfn.XLOOKUP(ClientNumber,Clients!D:D,Clients!GRU:GRU,2,0,1))</f>
        <v/>
      </c>
      <c r="F156" s="35" t="n"/>
      <c r="G156" s="34" t="n"/>
      <c r="H156" s="35" t="n"/>
      <c r="J156" s="55" t="inlineStr">
        <is>
          <t>Line 5829</t>
        </is>
      </c>
      <c r="K156" s="36">
        <f>(_xlfn.XLOOKUP(MainClient,Clients!D:D,Clients!HRW:HRW,2,0,1))</f>
        <v/>
      </c>
      <c r="N156" s="35" t="n"/>
      <c r="O156" s="34" t="n"/>
      <c r="P156" s="35" t="n"/>
    </row>
    <row r="157" ht="15.75" customHeight="1" thickBot="1">
      <c r="B157" s="55" t="inlineStr">
        <is>
          <t>Line 5833</t>
        </is>
      </c>
      <c r="C157" s="36">
        <f>(_xlfn.XLOOKUP(ClientNumber,Clients!D:D,Clients!GSB:GSB,2,0,1))</f>
        <v/>
      </c>
      <c r="F157" s="35" t="n"/>
      <c r="G157" s="34" t="n"/>
      <c r="H157" s="35" t="n"/>
      <c r="J157" s="55" t="inlineStr">
        <is>
          <t>Line 5833</t>
        </is>
      </c>
      <c r="K157" s="36">
        <f>(_xlfn.XLOOKUP(MainClient,Clients!D:D,Clients!HSD:HSD,2,0,1))</f>
        <v/>
      </c>
      <c r="N157" s="35" t="n"/>
      <c r="O157" s="34" t="n"/>
      <c r="P157" s="35" t="n"/>
    </row>
    <row r="158" ht="15.75" customHeight="1" thickBot="1">
      <c r="B158" s="53" t="inlineStr">
        <is>
          <t>Line 5838</t>
        </is>
      </c>
      <c r="C158" s="36" t="n"/>
      <c r="F158" s="35" t="n"/>
      <c r="G158" s="34" t="n"/>
      <c r="H158" s="35" t="n"/>
      <c r="J158" s="53" t="inlineStr">
        <is>
          <t>Line 5838</t>
        </is>
      </c>
      <c r="K158" s="36" t="n"/>
      <c r="N158" s="35" t="n"/>
      <c r="O158" s="34" t="n"/>
      <c r="P158" s="35" t="n"/>
    </row>
    <row r="159" ht="15.75" customHeight="1" thickBot="1">
      <c r="B159" s="53" t="inlineStr">
        <is>
          <t>Line 5842</t>
        </is>
      </c>
      <c r="C159" s="36" t="n"/>
      <c r="F159" s="35" t="n"/>
      <c r="G159" s="34" t="n"/>
      <c r="H159" s="35" t="n"/>
      <c r="J159" s="53" t="inlineStr">
        <is>
          <t>Line 5842</t>
        </is>
      </c>
      <c r="K159" s="36" t="n"/>
      <c r="N159" s="35" t="n"/>
      <c r="O159" s="34" t="n"/>
      <c r="P159" s="35" t="n"/>
    </row>
    <row r="160" ht="15.75" customHeight="1" thickBot="1">
      <c r="B160" s="55" t="inlineStr">
        <is>
          <t>Line 5841</t>
        </is>
      </c>
      <c r="C160" s="36">
        <f>(_xlfn.XLOOKUP(ClientNumber,Clients!D:D,Clients!GSA:GSA,2,0,1))</f>
        <v/>
      </c>
      <c r="F160" s="35" t="n"/>
      <c r="G160" s="34" t="n"/>
      <c r="H160" s="35" t="n"/>
      <c r="J160" s="55" t="inlineStr">
        <is>
          <t>Line 5841</t>
        </is>
      </c>
      <c r="K160" s="36">
        <f>(_xlfn.XLOOKUP(MainClient,Clients!D:D,Clients!HSC:HSC,2,0,1))</f>
        <v/>
      </c>
      <c r="N160" s="35" t="n"/>
      <c r="O160" s="34" t="n"/>
      <c r="P160" s="35" t="n"/>
    </row>
    <row r="161" ht="15.75" customHeight="1" thickBot="1">
      <c r="B161" s="53" t="inlineStr">
        <is>
          <t>Line 5846</t>
        </is>
      </c>
      <c r="C161" s="36" t="n"/>
      <c r="F161" s="35" t="n"/>
      <c r="G161" s="34" t="n"/>
      <c r="H161" s="35" t="n"/>
      <c r="J161" s="53" t="inlineStr">
        <is>
          <t>Line 5843</t>
        </is>
      </c>
      <c r="K161" s="36" t="n"/>
      <c r="N161" s="35" t="n"/>
      <c r="O161" s="34" t="n"/>
      <c r="P161" s="35" t="n"/>
    </row>
    <row r="162" ht="15.75" customHeight="1" thickBot="1">
      <c r="B162" s="53" t="inlineStr">
        <is>
          <t>Line 5843</t>
        </is>
      </c>
      <c r="C162" s="36" t="n"/>
      <c r="F162" s="35" t="n"/>
      <c r="G162" s="34" t="inlineStr">
        <is>
          <t>Line 326</t>
        </is>
      </c>
      <c r="H162" s="35">
        <f>IF(TransferName="NONE",0,(_xlfn.XLOOKUP(TransferNumber,Clients!D:D,Clients!GKB:GKB,2,0,1)))</f>
        <v/>
      </c>
      <c r="J162" s="55" t="inlineStr">
        <is>
          <t>Line 5856</t>
        </is>
      </c>
      <c r="K162" s="36">
        <f>(_xlfn.XLOOKUP(MainClient,Clients!D:D,Clients!HSL:HSL,2,0,1))</f>
        <v/>
      </c>
      <c r="N162" s="35" t="n"/>
      <c r="O162" s="34" t="inlineStr">
        <is>
          <t>Line 326</t>
        </is>
      </c>
      <c r="P162" s="35">
        <f>IFERROR(_xlfn.XLOOKUP(TransferNumber,Clients!D:D,Clients!FJZ:FJZ,2,0,1),0)</f>
        <v/>
      </c>
    </row>
    <row r="163" ht="15.75" customHeight="1" thickBot="1">
      <c r="B163" s="55" t="inlineStr">
        <is>
          <t>Line 5856</t>
        </is>
      </c>
      <c r="C163" s="36">
        <f>(_xlfn.XLOOKUP(ClientNumber,Clients!D:D,Clients!GSJ:GSJ,2,0,1))</f>
        <v/>
      </c>
      <c r="F163" s="35" t="n"/>
      <c r="G163" s="34" t="n"/>
      <c r="H163" s="35" t="n"/>
      <c r="J163" s="38" t="n"/>
      <c r="K163" s="36" t="n"/>
      <c r="N163" s="35" t="n"/>
      <c r="O163" s="34" t="n"/>
      <c r="P163" s="35" t="n"/>
    </row>
    <row r="164" ht="15.75" customHeight="1" thickBot="1">
      <c r="B164" s="38" t="n"/>
      <c r="C164" s="36" t="n"/>
      <c r="F164" s="35" t="n"/>
      <c r="G164" s="34" t="n"/>
      <c r="H164" s="35" t="n"/>
      <c r="J164" s="38" t="n"/>
      <c r="K164" s="36" t="n"/>
      <c r="N164" s="35" t="n"/>
      <c r="O164" s="34" t="n"/>
      <c r="P164" s="35" t="n"/>
    </row>
    <row r="165" ht="15.75" customHeight="1" thickBot="1">
      <c r="B165" s="38" t="n"/>
      <c r="C165" s="36" t="n"/>
      <c r="F165" s="35" t="n"/>
      <c r="G165" s="34" t="n"/>
      <c r="H165" s="35" t="n"/>
      <c r="J165" s="38" t="n"/>
      <c r="K165" s="36" t="n"/>
      <c r="N165" s="35" t="n"/>
      <c r="O165" s="34" t="n"/>
      <c r="P165" s="35" t="n"/>
    </row>
    <row r="166" ht="15.75" customHeight="1" thickBot="1">
      <c r="B166" s="38" t="n"/>
      <c r="C166" s="36" t="n"/>
      <c r="F166" s="35" t="n"/>
      <c r="G166" s="34" t="n"/>
      <c r="H166" s="35">
        <f>IF(E171&gt;0,E148-G148,0)</f>
        <v/>
      </c>
      <c r="J166" s="38" t="n"/>
      <c r="K166" s="36" t="n"/>
      <c r="N166" s="35" t="n"/>
      <c r="O166" s="34" t="n"/>
      <c r="P166" s="35">
        <f>IF(M171&gt;0,M148-O148,0)</f>
        <v/>
      </c>
    </row>
    <row r="167" ht="15.75" customHeight="1" thickBot="1">
      <c r="B167" s="38" t="n"/>
      <c r="C167" s="36" t="n"/>
      <c r="F167" s="35" t="n"/>
      <c r="H167" s="65">
        <f>IF(TransferName="NONE",F172,IF(H166&gt;0,(E171-G148)*0.0506,0))</f>
        <v/>
      </c>
      <c r="J167" s="38" t="n"/>
      <c r="K167" s="36" t="n"/>
      <c r="N167" s="35" t="n"/>
      <c r="P167" s="65">
        <f>IF(TransferName="NONE",N172,IF(P166&gt;0,(M171-O148)*0.0506,0))</f>
        <v/>
      </c>
    </row>
    <row r="168">
      <c r="B168" s="667" t="n"/>
      <c r="F168" s="35" t="n"/>
      <c r="G168" s="34" t="inlineStr">
        <is>
          <t>Transferable</t>
        </is>
      </c>
      <c r="H168" s="65">
        <f>IF(H167&gt;0,H167,0)</f>
        <v/>
      </c>
      <c r="J168" s="667" t="n"/>
      <c r="N168" s="35" t="n"/>
      <c r="O168" s="34" t="inlineStr">
        <is>
          <t>Transferable</t>
        </is>
      </c>
      <c r="P168" s="65">
        <f>IF(P167&gt;0,P167,0)</f>
        <v/>
      </c>
    </row>
    <row r="169">
      <c r="B169" s="667" t="inlineStr">
        <is>
          <t>Adjusted Taxable Income</t>
        </is>
      </c>
      <c r="C169">
        <f>C150-(SUM(C152:C167))</f>
        <v/>
      </c>
      <c r="D169" s="13" t="inlineStr">
        <is>
          <t>Line 5864</t>
        </is>
      </c>
      <c r="E169" s="39">
        <f>IF(C169&gt;0,C169,0)</f>
        <v/>
      </c>
      <c r="F169" s="35" t="n"/>
      <c r="G169" s="34" t="n"/>
      <c r="H169" s="35" t="n"/>
      <c r="J169" s="667" t="inlineStr">
        <is>
          <t>Adjusted Taxable Income</t>
        </is>
      </c>
      <c r="K169">
        <f>K150-(SUM(K152:K167))</f>
        <v/>
      </c>
      <c r="L169" s="13" t="inlineStr">
        <is>
          <t>Line 5864</t>
        </is>
      </c>
      <c r="M169" s="39">
        <f>IF(K169&gt;0,K169,0)</f>
        <v/>
      </c>
      <c r="N169" s="35" t="n"/>
      <c r="O169" s="34" t="n"/>
      <c r="P169" s="35" t="n"/>
    </row>
    <row r="170" ht="15.75" customHeight="1" thickBot="1">
      <c r="B170" s="34" t="n"/>
      <c r="F170" s="35" t="n"/>
      <c r="G170" s="34" t="n"/>
      <c r="H170" s="35" t="n"/>
      <c r="J170" s="34" t="n"/>
      <c r="N170" s="35" t="n"/>
      <c r="O170" s="34" t="n"/>
      <c r="P170" s="35" t="n"/>
    </row>
    <row r="171" ht="15.75" customHeight="1" thickBot="1">
      <c r="B171" s="34" t="n"/>
      <c r="D171" s="21" t="inlineStr">
        <is>
          <t>Prov Trans</t>
        </is>
      </c>
      <c r="E171" s="36">
        <f>(E148-E169)</f>
        <v/>
      </c>
      <c r="F171" s="40" t="n"/>
      <c r="G171" s="34" t="n"/>
      <c r="H171" s="52" t="n"/>
      <c r="J171" s="34" t="n"/>
      <c r="L171" s="21" t="inlineStr">
        <is>
          <t>Prov Trans</t>
        </is>
      </c>
      <c r="M171" s="36">
        <f>(M148-M169)</f>
        <v/>
      </c>
      <c r="N171" s="40" t="n"/>
      <c r="O171" s="34" t="n"/>
      <c r="P171" s="52" t="n"/>
    </row>
    <row r="172" ht="15.75" customHeight="1" thickBot="1">
      <c r="B172" s="34" t="n"/>
      <c r="C172" s="579" t="inlineStr">
        <is>
          <t>DTC Transferable ESTIMATE</t>
        </is>
      </c>
      <c r="D172" s="35" t="n"/>
      <c r="E172" s="36">
        <f>IF(E171&lt;0,0,(IF(E171&gt;E146,E146,E171)))</f>
        <v/>
      </c>
      <c r="F172" s="40">
        <f>IF(E172&gt;0,E172*0.0506,"No Transfer Required")</f>
        <v/>
      </c>
      <c r="G172" s="58" t="n"/>
      <c r="H172" s="52" t="n"/>
      <c r="J172" s="34" t="n"/>
      <c r="K172" s="579" t="inlineStr">
        <is>
          <t>DTC Transferable ESTIMATE</t>
        </is>
      </c>
      <c r="L172" s="35" t="n"/>
      <c r="M172" s="36">
        <f>IF(M171&lt;0,0,(IF(M171&gt;M146,M146,M171)))</f>
        <v/>
      </c>
      <c r="N172" s="40">
        <f>IF(M172&gt;0,M172*0.0506,"No Transfer Required")</f>
        <v/>
      </c>
      <c r="O172" s="58" t="n"/>
      <c r="P172" s="52" t="n"/>
    </row>
    <row r="173" ht="15.75" customHeight="1" thickBot="1">
      <c r="B173" s="42" t="n"/>
      <c r="C173" s="41" t="n"/>
      <c r="D173" s="43" t="inlineStr">
        <is>
          <t>Net Transferable</t>
        </is>
      </c>
      <c r="E173" s="36">
        <f>IF(E171&lt;0,0,(IF(E171-G144-G145-G147&lt;0,E171,(E171-G144-G145-G147))))</f>
        <v/>
      </c>
      <c r="F173" s="57">
        <f>IF(E173&gt;0,E173*0.0506,"0")</f>
        <v/>
      </c>
      <c r="G173" s="59" t="n"/>
      <c r="H173" s="864" t="n"/>
      <c r="J173" s="42" t="n"/>
      <c r="K173" s="41" t="n"/>
      <c r="L173" s="43" t="inlineStr">
        <is>
          <t>Net Transferable</t>
        </is>
      </c>
      <c r="M173" s="36">
        <f>IF(M171&lt;0,0,(IF(M171-O144-O145-O147&lt;0,M171,(M171-O144-O145-O147))))</f>
        <v/>
      </c>
      <c r="N173" s="57">
        <f>IF(M173&gt;0,M173*0.0506,"0")</f>
        <v/>
      </c>
      <c r="O173" s="59" t="n"/>
      <c r="P173" s="864" t="n"/>
    </row>
    <row r="174">
      <c r="D174" s="60" t="n"/>
      <c r="F174" s="61" t="n"/>
      <c r="G174" s="449" t="n"/>
      <c r="H174" s="866" t="n"/>
      <c r="L174" s="60" t="n"/>
      <c r="N174" s="866" t="n"/>
      <c r="O174" s="64" t="n"/>
      <c r="P174" s="866" t="n"/>
    </row>
    <row r="175" ht="15.75" customHeight="1" thickBot="1">
      <c r="E175">
        <f>Calculator!$D$5</f>
        <v/>
      </c>
      <c r="H175">
        <f>TransferName</f>
        <v/>
      </c>
      <c r="M175">
        <f>Calculator!$D$5</f>
        <v/>
      </c>
      <c r="P175">
        <f>TransferName</f>
        <v/>
      </c>
    </row>
    <row r="176" ht="15.75" customHeight="1" thickBot="1">
      <c r="B176" s="873" t="inlineStr">
        <is>
          <t>2014 BRITISH COLUMBIA Provincial</t>
        </is>
      </c>
      <c r="C176" s="778" t="n"/>
      <c r="D176" s="778" t="n"/>
      <c r="E176" s="778" t="n"/>
      <c r="F176" s="778" t="n"/>
      <c r="G176" s="778" t="n"/>
      <c r="H176" s="780" t="n"/>
      <c r="J176" s="873" t="inlineStr">
        <is>
          <t>2013 BRITISH COLUMBIA Provincial</t>
        </is>
      </c>
      <c r="K176" s="778" t="n"/>
      <c r="L176" s="778" t="n"/>
      <c r="M176" s="778" t="n"/>
      <c r="N176" s="778" t="n"/>
      <c r="O176" s="778" t="n"/>
      <c r="P176" s="780" t="n"/>
    </row>
    <row r="177" ht="15.75" customHeight="1" thickBot="1">
      <c r="B177" s="34" t="n"/>
      <c r="D177" t="inlineStr">
        <is>
          <t>Line</t>
        </is>
      </c>
      <c r="E177" t="inlineStr">
        <is>
          <t>Amt</t>
        </is>
      </c>
      <c r="F177" s="35" t="n"/>
      <c r="G177" s="667" t="inlineStr">
        <is>
          <t>Spouse</t>
        </is>
      </c>
      <c r="H177" s="35" t="inlineStr">
        <is>
          <t>S2 Adjustment</t>
        </is>
      </c>
      <c r="J177" s="34" t="n"/>
      <c r="L177" s="74" t="inlineStr">
        <is>
          <t>Line</t>
        </is>
      </c>
      <c r="M177" t="inlineStr">
        <is>
          <t>Amt</t>
        </is>
      </c>
      <c r="N177" s="35" t="n"/>
      <c r="O177" s="34" t="inlineStr">
        <is>
          <t>Spouse</t>
        </is>
      </c>
      <c r="P177" s="35" t="inlineStr">
        <is>
          <t>S2 Adjustment</t>
        </is>
      </c>
    </row>
    <row r="178" ht="15.75" customHeight="1" thickBot="1">
      <c r="B178" s="667" t="inlineStr">
        <is>
          <t>Age Amount</t>
        </is>
      </c>
      <c r="D178" s="70" t="inlineStr">
        <is>
          <t>Line 5808</t>
        </is>
      </c>
      <c r="E178" s="861">
        <f>(_xlfn.XLOOKUP(ClientNumber,Clients!D:D,Clients!IRH:IRH,2,0,1))</f>
        <v/>
      </c>
      <c r="F178" s="37" t="inlineStr">
        <is>
          <t>Line 59020</t>
        </is>
      </c>
      <c r="G178" s="51">
        <f>IF(TransferName="NONE",0,(_xlfn.XLOOKUP(TransferNumber,Clients!D:D,Clients!ITJ:ITJ,2,0,1)))</f>
        <v/>
      </c>
      <c r="H178" s="37">
        <f>IF(AND(E178&gt;0,G178=0),"Age Amount Can Be Transferred","No Action")</f>
        <v/>
      </c>
      <c r="J178" s="667" t="inlineStr">
        <is>
          <t>Age Amount</t>
        </is>
      </c>
      <c r="L178" s="73" t="inlineStr">
        <is>
          <t>Line 5808</t>
        </is>
      </c>
      <c r="M178" s="865">
        <f>(_xlfn.XLOOKUP(MainClient,Clients!D:D,Clients!JRJ:JRJ,2,0,1))</f>
        <v/>
      </c>
      <c r="N178" s="45" t="inlineStr">
        <is>
          <t>Line 59020</t>
        </is>
      </c>
      <c r="O178" s="51">
        <f>IF(TransferName="NONE",0,(_xlfn.XLOOKUP(TransferNumber,Clients!D:D,Clients!JTL:JTL,2,0,1)))</f>
        <v/>
      </c>
      <c r="P178" s="37">
        <f>IF(AND(M178&gt;0,O178=0),"Age Amount Can Be Transferred","No Action")</f>
        <v/>
      </c>
    </row>
    <row r="179" ht="15.75" customHeight="1" thickBot="1">
      <c r="B179" s="667" t="inlineStr">
        <is>
          <t>Pension Income Amount</t>
        </is>
      </c>
      <c r="D179" s="70" t="inlineStr">
        <is>
          <t>Line 5836 (mx 1000)</t>
        </is>
      </c>
      <c r="E179" s="861">
        <f>IF((_xlfn.XLOOKUP(ClientNumber,Clients!D:D,Clients!ISH:ISH,2,0,1)&lt;1000),(_xlfn.XLOOKUP(MainClient,Clients!D:D,Clients!ISH:ISH,2,0,1)),1000)</f>
        <v/>
      </c>
      <c r="F179" s="37" t="inlineStr">
        <is>
          <t>Line 59050</t>
        </is>
      </c>
      <c r="G179" s="51">
        <f>IF(TransferName="NONE",0,(_xlfn.XLOOKUP(TransferNumber,Clients!D:D,Clients!ITM:ITM,2,0,1)))</f>
        <v/>
      </c>
      <c r="H179" s="37">
        <f>IF(AND(E179&gt;0,G179=0),"Pension Income Amount Can Be Transferred","No Action")</f>
        <v/>
      </c>
      <c r="J179" s="667" t="inlineStr">
        <is>
          <t>Pension Income Amount</t>
        </is>
      </c>
      <c r="L179" s="73" t="inlineStr">
        <is>
          <t>Line 5836 (mx 1000)</t>
        </is>
      </c>
      <c r="M179" s="865">
        <f>IF((_xlfn.XLOOKUP(ClientNumber,Clients!D:D,Clients!JSJ:JSJ,2,0,1)&lt;1000),(_xlfn.XLOOKUP(MainClient,Clients!D:D,Clients!JSJ:JSJ,2,0,1)),1000)</f>
        <v/>
      </c>
      <c r="N179" s="45" t="inlineStr">
        <is>
          <t>Line 59050</t>
        </is>
      </c>
      <c r="O179" s="51">
        <f>IF(TransferName="NONE",0,(_xlfn.XLOOKUP(TransferNumber,Clients!D:D,Clients!JTO:JTO,2,0,1)))</f>
        <v/>
      </c>
      <c r="P179" s="37">
        <f>IF(AND(M179&gt;0,O179=0),"Pension Income Amount Can Be Transferred","No Action")</f>
        <v/>
      </c>
    </row>
    <row r="180" ht="15.75" customHeight="1" thickBot="1">
      <c r="B180" s="667" t="inlineStr">
        <is>
          <t>Disability Amount</t>
        </is>
      </c>
      <c r="D180" s="70" t="inlineStr">
        <is>
          <t xml:space="preserve">Line 5844 </t>
        </is>
      </c>
      <c r="E180" s="861">
        <f>IF(_xlfn.XLOOKUP(ClientNumber,Clients!D:D,Clients!ISJ:ISJ,2,0,1)=0,7402,(_xlfn.XLOOKUP(MainClient,Clients!D:D,Clients!ISJ:ISJ,2,0,1)))</f>
        <v/>
      </c>
      <c r="F180" s="37" t="inlineStr">
        <is>
          <t>Line 59070</t>
        </is>
      </c>
      <c r="G180" s="51">
        <f>IF(TransferName="NONE",0,(_xlfn.XLOOKUP(TransferNumber,Clients!D:D,Clients!ITN:ITN,2,0,1)))</f>
        <v/>
      </c>
      <c r="H180" s="37">
        <f>IF(AND(E180&gt;0,G180=0),"DTC Transferable Not Claimed Can Be Transferred","No Action")</f>
        <v/>
      </c>
      <c r="J180" s="667" t="inlineStr">
        <is>
          <t>Disability Amount</t>
        </is>
      </c>
      <c r="L180" s="73" t="inlineStr">
        <is>
          <t xml:space="preserve">Line 5844 </t>
        </is>
      </c>
      <c r="M180" s="865">
        <f>IF(_xlfn.XLOOKUP(ClientNumber,Clients!D:D,Clients!JSL:JSL,2,0,1)=0,7394,(_xlfn.XLOOKUP(MainClient,Clients!D:D,Clients!JSL:JSL,2,0,1)))</f>
        <v/>
      </c>
      <c r="N180" s="45" t="inlineStr">
        <is>
          <t>Line 59070</t>
        </is>
      </c>
      <c r="O180" s="51">
        <f>IF(TransferName="NONE",0,(_xlfn.XLOOKUP(TransferNumber,Clients!D:D,Clients!JTP:JTP,2,0,1)))</f>
        <v/>
      </c>
      <c r="P180" s="37">
        <f>IF(AND(M180&gt;0,O180=0),"DTC Transferable Not Claimed Can Be Transferred","No Action")</f>
        <v/>
      </c>
    </row>
    <row r="181" ht="15.75" customHeight="1" thickBot="1">
      <c r="B181" s="667" t="inlineStr">
        <is>
          <t>Tuition Amount</t>
        </is>
      </c>
      <c r="D181" s="70" t="inlineStr">
        <is>
          <t>Line 5920</t>
        </is>
      </c>
      <c r="E181" s="861">
        <f>(_xlfn.XLOOKUP(ClientNumber,Clients!D:D,Clients!ITZ:ITZ,2,0,1))</f>
        <v/>
      </c>
      <c r="F181" s="37" t="inlineStr">
        <is>
          <t>Line 59090</t>
        </is>
      </c>
      <c r="G181" s="51">
        <f>IF(TransferName="NONE",0,(_xlfn.XLOOKUP(TransferNumber,Clients!D:D,Clients!ITO:ITO,2,0,1)))</f>
        <v/>
      </c>
      <c r="H181" s="37">
        <f>IF(AND(E181&gt;0,G181=0),"Tuition Can Be Transferred","No Action")</f>
        <v/>
      </c>
      <c r="J181" s="667" t="inlineStr">
        <is>
          <t>Tuition Amount</t>
        </is>
      </c>
      <c r="L181" s="73" t="inlineStr">
        <is>
          <t>Line 5920</t>
        </is>
      </c>
      <c r="M181" s="865">
        <f>(_xlfn.XLOOKUP(MainClient,Clients!D:D,Clients!JTZ:JTZ,2,0,1))</f>
        <v/>
      </c>
      <c r="N181" s="45" t="inlineStr">
        <is>
          <t>Line 59090</t>
        </is>
      </c>
      <c r="O181" s="51">
        <f>IF(TransferName="NONE",0,(_xlfn.XLOOKUP(TransferNumber,Clients!D:D,Clients!JTR:JTR,2,0,1)))</f>
        <v/>
      </c>
      <c r="P181" s="37">
        <f>IF(AND(M181&gt;0,O181=0),"Tuition Can Be Transferred","No Action")</f>
        <v/>
      </c>
    </row>
    <row r="182">
      <c r="B182" s="667" t="n"/>
      <c r="E182" s="771">
        <f>SUM(E178:E181)</f>
        <v/>
      </c>
      <c r="F182" s="37" t="n"/>
      <c r="G182" s="667">
        <f>SUM(G178:G181)</f>
        <v/>
      </c>
      <c r="H182" s="37" t="n"/>
      <c r="J182" s="667" t="n"/>
      <c r="M182" s="872">
        <f>SUM(M178:M181)</f>
        <v/>
      </c>
      <c r="N182" s="37" t="n"/>
      <c r="O182" s="667">
        <f>SUM(O178:O181)</f>
        <v/>
      </c>
      <c r="P182" s="37" t="n"/>
    </row>
    <row r="183" ht="15.75" customHeight="1" thickBot="1">
      <c r="B183" s="34" t="n"/>
      <c r="F183" s="35" t="n"/>
      <c r="G183" s="667" t="n"/>
      <c r="H183" s="35" t="n"/>
      <c r="J183" s="34" t="n"/>
      <c r="N183" s="35" t="n"/>
      <c r="O183" s="667" t="n"/>
      <c r="P183" s="35" t="n"/>
    </row>
    <row r="184" ht="15.75" customHeight="1" thickBot="1">
      <c r="B184" s="667" t="inlineStr">
        <is>
          <t>Line 260</t>
        </is>
      </c>
      <c r="C184" s="36">
        <f>(_xlfn.XLOOKUP(MainClient,Clients!D:D,Clients!IJG:IJG,2,0,1))</f>
        <v/>
      </c>
      <c r="F184" s="35" t="n"/>
      <c r="G184" s="34">
        <f>IF(E207&gt;E180,"other transferable credits","DTC Only")</f>
        <v/>
      </c>
      <c r="H184" s="35" t="n"/>
      <c r="J184" s="667" t="inlineStr">
        <is>
          <t>Line 260</t>
        </is>
      </c>
      <c r="K184" s="36">
        <f>(_xlfn.XLOOKUP(MainClient,Clients!D:D,Clients!JJI:JJI,2,0,1))</f>
        <v/>
      </c>
      <c r="N184" s="35" t="n"/>
      <c r="O184" s="34">
        <f>IF(M207&gt;M180,"other transferable credits","DTC Only")</f>
        <v/>
      </c>
      <c r="P184" s="35" t="n"/>
    </row>
    <row r="185" ht="15.75" customHeight="1" thickBot="1">
      <c r="B185" s="34" t="n"/>
      <c r="F185" s="35" t="n"/>
      <c r="G185" s="34" t="n"/>
      <c r="H185" s="35" t="n"/>
      <c r="J185" s="34" t="n"/>
      <c r="N185" s="35" t="n"/>
      <c r="O185" s="34" t="n"/>
      <c r="P185" s="35" t="n"/>
    </row>
    <row r="186" ht="15.75" customHeight="1" thickBot="1">
      <c r="B186" s="55" t="inlineStr">
        <is>
          <t>Line 5804</t>
        </is>
      </c>
      <c r="C186" s="36">
        <f>(_xlfn.XLOOKUP(ClientNumber,Clients!D:D,Clients!IRG:IRG,2,0,1))</f>
        <v/>
      </c>
      <c r="F186" s="35" t="n"/>
      <c r="G186" s="34" t="n"/>
      <c r="H186" s="35" t="n"/>
      <c r="J186" s="55" t="inlineStr">
        <is>
          <t>Line 5804</t>
        </is>
      </c>
      <c r="K186" s="36">
        <f>(_xlfn.XLOOKUP(MainClient,Clients!D:D,Clients!JRI:JRI,2,0,1))</f>
        <v/>
      </c>
      <c r="N186" s="35" t="n"/>
      <c r="O186" s="34" t="n"/>
      <c r="P186" s="35" t="n"/>
    </row>
    <row r="187" ht="15.75" customHeight="1" thickBot="1">
      <c r="B187" s="55" t="inlineStr">
        <is>
          <t>Line 5824</t>
        </is>
      </c>
      <c r="C187" s="36">
        <f>(_xlfn.XLOOKUP(ClientNumber,Clients!D:D,Clients!IRV:IRV,2,0,1))</f>
        <v/>
      </c>
      <c r="F187" s="35" t="n"/>
      <c r="G187" s="34" t="n"/>
      <c r="H187" s="35" t="n"/>
      <c r="J187" s="55" t="inlineStr">
        <is>
          <t>Line 5824</t>
        </is>
      </c>
      <c r="K187" s="36">
        <f>(_xlfn.XLOOKUP(MainClient,Clients!D:D,Clients!JRX:JRX,2,0,1))</f>
        <v/>
      </c>
      <c r="N187" s="35" t="n"/>
      <c r="O187" s="34" t="n"/>
      <c r="P187" s="35" t="n"/>
    </row>
    <row r="188" ht="15.75" customHeight="1" thickBot="1">
      <c r="B188" s="55" t="inlineStr">
        <is>
          <t>Line 5828</t>
        </is>
      </c>
      <c r="C188" s="36">
        <f>(_xlfn.XLOOKUP(ClientNumber,Clients!D:D,Clients!IRW:IRW,2,0,1))</f>
        <v/>
      </c>
      <c r="F188" s="35" t="n"/>
      <c r="G188" s="34" t="n"/>
      <c r="H188" s="35" t="n"/>
      <c r="J188" s="55" t="inlineStr">
        <is>
          <t>Line 5828</t>
        </is>
      </c>
      <c r="K188" s="36">
        <f>(_xlfn.XLOOKUP(MainClient,Clients!D:D,Clients!JRY:JRY,2,0,1))</f>
        <v/>
      </c>
      <c r="N188" s="35" t="n"/>
      <c r="P188" s="35" t="n"/>
    </row>
    <row r="189" ht="15.75" customHeight="1" thickBot="1">
      <c r="B189" s="55" t="inlineStr">
        <is>
          <t>Line 5832</t>
        </is>
      </c>
      <c r="C189" s="36">
        <f>(_xlfn.XLOOKUP(ClientNumber,Clients!D:D,Clients!IRX:IRX,2,0,1))</f>
        <v/>
      </c>
      <c r="F189" s="35" t="n"/>
      <c r="G189" s="34" t="n"/>
      <c r="H189" s="35" t="n"/>
      <c r="J189" s="55" t="inlineStr">
        <is>
          <t>Line 5832</t>
        </is>
      </c>
      <c r="K189" s="36">
        <f>(_xlfn.XLOOKUP(MainClient,Clients!D:D,Clients!JRZ:JRZ,2,0,1))</f>
        <v/>
      </c>
      <c r="N189" s="35" t="n"/>
      <c r="O189" s="34" t="n"/>
      <c r="P189" s="35" t="n"/>
    </row>
    <row r="190" ht="15.75" customHeight="1" thickBot="1">
      <c r="B190" s="55" t="inlineStr">
        <is>
          <t>Line 5829</t>
        </is>
      </c>
      <c r="C190" s="36">
        <f>(_xlfn.XLOOKUP(ClientNumber,Clients!D:D,Clients!IRY:IRY,2,0,1))</f>
        <v/>
      </c>
      <c r="F190" s="35" t="n"/>
      <c r="G190" s="34" t="n"/>
      <c r="H190" s="35" t="n"/>
      <c r="J190" s="55" t="inlineStr">
        <is>
          <t>Line 5829</t>
        </is>
      </c>
      <c r="K190" s="36">
        <f>(_xlfn.XLOOKUP(MainClient,Clients!D:D,Clients!JSA:JSA,2,0,1))</f>
        <v/>
      </c>
      <c r="N190" s="35" t="n"/>
      <c r="O190" s="34" t="n"/>
      <c r="P190" s="35" t="n"/>
    </row>
    <row r="191" ht="15.75" customHeight="1" thickBot="1">
      <c r="B191" s="55" t="inlineStr">
        <is>
          <t>Line 5833</t>
        </is>
      </c>
      <c r="C191" s="36">
        <f>(_xlfn.XLOOKUP(ClientNumber,Clients!D:D,Clients!ISF:ISF,2,0,1))</f>
        <v/>
      </c>
      <c r="F191" s="35" t="n"/>
      <c r="G191" s="34" t="n"/>
      <c r="H191" s="35" t="n"/>
      <c r="J191" s="55" t="inlineStr">
        <is>
          <t>Line 5833</t>
        </is>
      </c>
      <c r="K191" s="36">
        <f>(_xlfn.XLOOKUP(MainClient,Clients!D:D,Clients!JSH:JSH,2,0,1))</f>
        <v/>
      </c>
      <c r="N191" s="35" t="n"/>
      <c r="O191" s="34" t="n"/>
      <c r="P191" s="35" t="n"/>
    </row>
    <row r="192" ht="15.75" customHeight="1" thickBot="1">
      <c r="B192" s="53" t="inlineStr">
        <is>
          <t>Line 5838</t>
        </is>
      </c>
      <c r="C192" s="36" t="n"/>
      <c r="F192" s="35" t="n"/>
      <c r="G192" s="34" t="n"/>
      <c r="H192" s="35" t="n"/>
      <c r="J192" s="53" t="inlineStr">
        <is>
          <t>Line 5838</t>
        </is>
      </c>
      <c r="K192" s="36" t="n"/>
      <c r="N192" s="35" t="n"/>
      <c r="O192" s="34" t="n"/>
      <c r="P192" s="35" t="n"/>
    </row>
    <row r="193" ht="15.75" customHeight="1" thickBot="1">
      <c r="B193" s="55" t="inlineStr">
        <is>
          <t>Line 5841</t>
        </is>
      </c>
      <c r="C193" s="36">
        <f>(_xlfn.XLOOKUP(ClientNumber,Clients!D:D,Clients!ISE:ISE,2,0,1))</f>
        <v/>
      </c>
      <c r="F193" s="35" t="n"/>
      <c r="G193" s="34" t="n"/>
      <c r="H193" s="35" t="n"/>
      <c r="J193" s="55" t="inlineStr">
        <is>
          <t>Line 5841</t>
        </is>
      </c>
      <c r="K193" s="36">
        <f>(_xlfn.XLOOKUP(MainClient,Clients!D:D,Clients!JSG:JSG,2,0,1))</f>
        <v/>
      </c>
      <c r="N193" s="35" t="n"/>
      <c r="O193" s="34" t="n"/>
      <c r="P193" s="35" t="n"/>
    </row>
    <row r="194" ht="15.75" customHeight="1" thickBot="1">
      <c r="B194" s="55" t="inlineStr">
        <is>
          <t>Line 5856</t>
        </is>
      </c>
      <c r="C194" s="36">
        <f>(_xlfn.XLOOKUP(ClientNumber,Clients!D:D,Clients!ISN:ISN,2,0,1))</f>
        <v/>
      </c>
      <c r="F194" s="35" t="n"/>
      <c r="G194" s="34" t="n"/>
      <c r="H194" s="35" t="n"/>
      <c r="J194" s="55" t="inlineStr">
        <is>
          <t>Line 5856</t>
        </is>
      </c>
      <c r="K194" s="36">
        <f>(_xlfn.XLOOKUP(MainClient,Clients!D:D,Clients!JSQ:JSQ,2,0,1))</f>
        <v/>
      </c>
      <c r="N194" s="35" t="n"/>
      <c r="O194" s="34" t="n"/>
      <c r="P194" s="35" t="n"/>
    </row>
    <row r="195" ht="15.75" customHeight="1" thickBot="1">
      <c r="B195" s="68" t="n"/>
      <c r="C195" s="36" t="n"/>
      <c r="F195" s="35" t="n"/>
      <c r="G195" s="34" t="n"/>
      <c r="H195" s="35" t="n"/>
      <c r="J195" s="68" t="n"/>
      <c r="K195" s="36" t="n"/>
      <c r="N195" s="35" t="n"/>
      <c r="O195" s="34" t="n"/>
      <c r="P195" s="35" t="n"/>
    </row>
    <row r="196" ht="15.75" customHeight="1" thickBot="1">
      <c r="B196" s="38" t="n"/>
      <c r="C196" s="36" t="n"/>
      <c r="F196" s="35" t="n"/>
      <c r="G196" s="34" t="inlineStr">
        <is>
          <t>Line 326</t>
        </is>
      </c>
      <c r="H196" s="35">
        <f>IF(TransferName="NONE",0,(_xlfn.XLOOKUP(TransferNumber,Clients!D:D,Clients!IKF:IKF,2,0,1)))</f>
        <v/>
      </c>
      <c r="J196" s="38" t="n"/>
      <c r="K196" s="36" t="n"/>
      <c r="N196" s="35" t="n"/>
      <c r="O196" s="34" t="inlineStr">
        <is>
          <t>Line 326</t>
        </is>
      </c>
      <c r="P196" s="35">
        <f>IFERROR(_xlfn.XLOOKUP(TransferNumber,Clients!D:D,Clients!JKH:JKH,2,0,1),0)</f>
        <v/>
      </c>
    </row>
    <row r="197" ht="15.75" customHeight="1" thickBot="1">
      <c r="B197" s="68" t="n"/>
      <c r="C197" s="36" t="n"/>
      <c r="F197" s="35" t="n"/>
      <c r="G197" s="34" t="n"/>
      <c r="H197" s="35" t="n"/>
      <c r="J197" s="68" t="n"/>
      <c r="K197" s="36" t="n"/>
      <c r="N197" s="35" t="n"/>
      <c r="O197" s="34" t="n"/>
      <c r="P197" s="35" t="n"/>
    </row>
    <row r="198" ht="15.75" customHeight="1" thickBot="1">
      <c r="B198" s="38" t="n"/>
      <c r="C198" s="36" t="n"/>
      <c r="F198" s="35" t="n"/>
      <c r="G198" s="34" t="n"/>
      <c r="H198" s="35" t="n"/>
      <c r="J198" s="38" t="n"/>
      <c r="K198" s="36" t="n"/>
      <c r="N198" s="35" t="n"/>
      <c r="O198" s="34" t="n"/>
      <c r="P198" s="35" t="n"/>
    </row>
    <row r="199" ht="15.75" customHeight="1" thickBot="1">
      <c r="B199" s="38" t="n"/>
      <c r="C199" s="36" t="n"/>
      <c r="F199" s="35" t="n"/>
      <c r="G199" s="34" t="n"/>
      <c r="H199" s="35" t="n"/>
      <c r="J199" s="38" t="n"/>
      <c r="K199" s="36" t="n"/>
      <c r="N199" s="35" t="n"/>
      <c r="O199" s="34" t="n"/>
      <c r="P199" s="35" t="n"/>
    </row>
    <row r="200" ht="15.75" customHeight="1" thickBot="1">
      <c r="B200" s="38" t="n"/>
      <c r="C200" s="36" t="n"/>
      <c r="F200" s="35" t="n"/>
      <c r="G200" s="34" t="n"/>
      <c r="H200" s="35">
        <f>IF(E205&gt;0,E182-G182,0)</f>
        <v/>
      </c>
      <c r="J200" s="38" t="n"/>
      <c r="K200" s="36" t="n"/>
      <c r="N200" s="35" t="n"/>
      <c r="O200" s="34" t="n"/>
      <c r="P200" s="35">
        <f>IF(M205&gt;0,M182-O182,0)</f>
        <v/>
      </c>
    </row>
    <row r="201" ht="15.75" customHeight="1" thickBot="1">
      <c r="B201" s="38" t="n"/>
      <c r="C201" s="36" t="n"/>
      <c r="F201" s="35" t="n"/>
      <c r="H201" s="52">
        <f>IF(TransferName="NONE",F206,IF(H200&gt;0,(E205-G182)*0.0506,0))</f>
        <v/>
      </c>
      <c r="J201" s="38" t="n"/>
      <c r="K201" s="36" t="n"/>
      <c r="N201" s="35" t="n"/>
      <c r="P201" s="52">
        <f>IF(TransferName="NONE",N206,IF(P200&gt;0,(M205-O182)*0.0506,0))</f>
        <v/>
      </c>
    </row>
    <row r="202">
      <c r="B202" s="667" t="n"/>
      <c r="F202" s="35" t="n"/>
      <c r="G202" s="34" t="inlineStr">
        <is>
          <t>Transferable</t>
        </is>
      </c>
      <c r="H202" s="52">
        <f>IF(H201&gt;0,H201,0)</f>
        <v/>
      </c>
      <c r="J202" s="667" t="n"/>
      <c r="N202" s="35" t="n"/>
      <c r="O202" s="34" t="inlineStr">
        <is>
          <t>Transferable</t>
        </is>
      </c>
      <c r="P202" s="52">
        <f>IF(P201&gt;0,P201,0)</f>
        <v/>
      </c>
    </row>
    <row r="203">
      <c r="B203" s="667" t="inlineStr">
        <is>
          <t>Adjusted Taxable Income</t>
        </is>
      </c>
      <c r="C203">
        <f>C184-(SUM(C186:C201))</f>
        <v/>
      </c>
      <c r="D203" s="13" t="inlineStr">
        <is>
          <t>Line 5864</t>
        </is>
      </c>
      <c r="E203" s="39">
        <f>IF(C203&gt;0,C203,0)</f>
        <v/>
      </c>
      <c r="F203" s="35" t="n"/>
      <c r="G203" s="34" t="n"/>
      <c r="H203" s="35" t="n"/>
      <c r="J203" s="667" t="inlineStr">
        <is>
          <t>Adjusted Taxable Income</t>
        </is>
      </c>
      <c r="K203">
        <f>K184-(SUM(K186:K201))</f>
        <v/>
      </c>
      <c r="L203" s="13" t="inlineStr">
        <is>
          <t>Line 5864</t>
        </is>
      </c>
      <c r="M203" s="39">
        <f>IF(K203&gt;0,K203,0)</f>
        <v/>
      </c>
      <c r="N203" s="35" t="n"/>
      <c r="O203" s="34" t="n"/>
      <c r="P203" s="35" t="n"/>
    </row>
    <row r="204" ht="15.75" customHeight="1" thickBot="1">
      <c r="B204" s="34" t="n"/>
      <c r="F204" s="35" t="n"/>
      <c r="G204" s="34" t="n"/>
      <c r="H204" s="35" t="n"/>
      <c r="J204" s="34" t="n"/>
      <c r="N204" s="35" t="n"/>
      <c r="O204" s="34" t="n"/>
      <c r="P204" s="35" t="n"/>
    </row>
    <row r="205" ht="15.75" customHeight="1" thickBot="1">
      <c r="B205" s="34" t="n"/>
      <c r="D205" s="21" t="inlineStr">
        <is>
          <t>Prov Trans</t>
        </is>
      </c>
      <c r="E205" s="36">
        <f>(E182-E203)</f>
        <v/>
      </c>
      <c r="F205" s="40" t="n"/>
      <c r="G205" s="34" t="n"/>
      <c r="H205" s="52" t="n"/>
      <c r="J205" s="34" t="n"/>
      <c r="L205" s="21" t="inlineStr">
        <is>
          <t>Prov Trans</t>
        </is>
      </c>
      <c r="M205" s="36">
        <f>(M182-M203)</f>
        <v/>
      </c>
      <c r="N205" s="40" t="n"/>
      <c r="O205" s="34" t="n"/>
      <c r="P205" s="52" t="n"/>
    </row>
    <row r="206" ht="15.75" customHeight="1" thickBot="1">
      <c r="B206" s="34" t="n"/>
      <c r="C206" s="579" t="inlineStr">
        <is>
          <t>DTC Transferable ESTIMATE</t>
        </is>
      </c>
      <c r="D206" s="35" t="n"/>
      <c r="E206" s="36">
        <f>IF(E205&lt;0,0,(IF(E205&gt;E180,E180,E205)))</f>
        <v/>
      </c>
      <c r="F206" s="40">
        <f>IF(E206&gt;0,E206*0.0506,"No Transfer Required")</f>
        <v/>
      </c>
      <c r="G206" s="58" t="n"/>
      <c r="H206" s="52" t="n"/>
      <c r="J206" s="34" t="n"/>
      <c r="K206" s="579" t="inlineStr">
        <is>
          <t>DTC Transferable ESTIMATE</t>
        </is>
      </c>
      <c r="L206" s="35" t="n"/>
      <c r="M206" s="36">
        <f>IF(M205&lt;0,0,(IF(M205&gt;M180,M180,M205)))</f>
        <v/>
      </c>
      <c r="N206" s="40">
        <f>IF(M206&gt;0,M206*0.0506,"No Transfer Required")</f>
        <v/>
      </c>
      <c r="O206" s="58" t="n"/>
      <c r="P206" s="52" t="n"/>
    </row>
    <row r="207" ht="15.75" customHeight="1" thickBot="1">
      <c r="B207" s="42" t="n"/>
      <c r="C207" s="41" t="n"/>
      <c r="D207" s="43" t="inlineStr">
        <is>
          <t>Net Transferable</t>
        </is>
      </c>
      <c r="E207" s="36">
        <f>IF(E205&lt;0,0,(IF(E205-G178-G179-G181&lt;0,E205,(E205-G178-G179-G181))))</f>
        <v/>
      </c>
      <c r="F207" s="57">
        <f>IF(E207&gt;0,E207*0.0506,"0")</f>
        <v/>
      </c>
      <c r="G207" s="59" t="n"/>
      <c r="H207" s="864" t="n"/>
      <c r="J207" s="42" t="n"/>
      <c r="K207" s="41" t="n"/>
      <c r="L207" s="43" t="inlineStr">
        <is>
          <t>Net Transferable</t>
        </is>
      </c>
      <c r="M207" s="36">
        <f>IF(M205&lt;0,0,(IF(M205-O178-O179-O181&lt;0,M205,(M205-O178-O179-O181))))</f>
        <v/>
      </c>
      <c r="N207" s="57">
        <f>IF(M207&gt;0,M207*0.0506,"0")</f>
        <v/>
      </c>
      <c r="O207" s="59" t="n"/>
      <c r="P207" s="864" t="n"/>
    </row>
    <row r="208">
      <c r="D208" s="60" t="n"/>
      <c r="F208" s="61" t="n"/>
      <c r="G208" s="449" t="n"/>
      <c r="H208" s="866" t="n"/>
      <c r="L208" s="60" t="n"/>
      <c r="N208" s="866" t="n"/>
      <c r="O208" s="64" t="n"/>
      <c r="P208" s="866" t="n"/>
    </row>
  </sheetData>
  <mergeCells count="88">
    <mergeCell ref="J180:K180"/>
    <mergeCell ref="K33:L33"/>
    <mergeCell ref="C172:D172"/>
    <mergeCell ref="J146:K146"/>
    <mergeCell ref="B77:C77"/>
    <mergeCell ref="K138:L138"/>
    <mergeCell ref="G68:G69"/>
    <mergeCell ref="B182:C182"/>
    <mergeCell ref="J4:K4"/>
    <mergeCell ref="B78:C78"/>
    <mergeCell ref="G33:G34"/>
    <mergeCell ref="J147:K147"/>
    <mergeCell ref="B112:C112"/>
    <mergeCell ref="B178:C178"/>
    <mergeCell ref="C138:D138"/>
    <mergeCell ref="B2:H2"/>
    <mergeCell ref="B40:C40"/>
    <mergeCell ref="K172:L172"/>
    <mergeCell ref="B41:C41"/>
    <mergeCell ref="J110:K110"/>
    <mergeCell ref="B37:H37"/>
    <mergeCell ref="J181:K181"/>
    <mergeCell ref="B142:H142"/>
    <mergeCell ref="B180:C180"/>
    <mergeCell ref="J77:K77"/>
    <mergeCell ref="G103:G104"/>
    <mergeCell ref="B179:C179"/>
    <mergeCell ref="B72:H72"/>
    <mergeCell ref="B176:H176"/>
    <mergeCell ref="G138:G139"/>
    <mergeCell ref="J75:K75"/>
    <mergeCell ref="B107:H107"/>
    <mergeCell ref="B6:C6"/>
    <mergeCell ref="K206:L206"/>
    <mergeCell ref="J145:K145"/>
    <mergeCell ref="B144:C144"/>
    <mergeCell ref="K68:L68"/>
    <mergeCell ref="J111:K111"/>
    <mergeCell ref="B7:C7"/>
    <mergeCell ref="C68:D68"/>
    <mergeCell ref="J2:P2"/>
    <mergeCell ref="J142:P142"/>
    <mergeCell ref="J40:K40"/>
    <mergeCell ref="B43:C43"/>
    <mergeCell ref="B42:C42"/>
    <mergeCell ref="J182:K182"/>
    <mergeCell ref="J74:K74"/>
    <mergeCell ref="J179:K179"/>
    <mergeCell ref="B148:C148"/>
    <mergeCell ref="J72:P72"/>
    <mergeCell ref="J37:P37"/>
    <mergeCell ref="B146:C146"/>
    <mergeCell ref="J176:P176"/>
    <mergeCell ref="J113:K113"/>
    <mergeCell ref="J107:P107"/>
    <mergeCell ref="B5:C5"/>
    <mergeCell ref="B76:C76"/>
    <mergeCell ref="J42:K42"/>
    <mergeCell ref="B4:C4"/>
    <mergeCell ref="B75:C75"/>
    <mergeCell ref="J39:K39"/>
    <mergeCell ref="J144:K144"/>
    <mergeCell ref="B109:C109"/>
    <mergeCell ref="J5:K5"/>
    <mergeCell ref="C33:D33"/>
    <mergeCell ref="J112:K112"/>
    <mergeCell ref="C206:D206"/>
    <mergeCell ref="J78:K78"/>
    <mergeCell ref="B39:C39"/>
    <mergeCell ref="J6:K6"/>
    <mergeCell ref="C103:D103"/>
    <mergeCell ref="B111:C111"/>
    <mergeCell ref="B145:C145"/>
    <mergeCell ref="B181:C181"/>
    <mergeCell ref="J178:K178"/>
    <mergeCell ref="B8:C8"/>
    <mergeCell ref="J148:K148"/>
    <mergeCell ref="B147:C147"/>
    <mergeCell ref="J7:K7"/>
    <mergeCell ref="J41:K41"/>
    <mergeCell ref="J109:K109"/>
    <mergeCell ref="B74:C74"/>
    <mergeCell ref="J43:K43"/>
    <mergeCell ref="K103:L103"/>
    <mergeCell ref="J76:K76"/>
    <mergeCell ref="B110:C110"/>
    <mergeCell ref="J8:K8"/>
    <mergeCell ref="B113:C113"/>
  </mergeCells>
  <pageMargins left="0.7" right="0.7" top="0.75" bottom="0.75" header="0.3" footer="0.3"/>
  <pageSetup orientation="portrait" verticalDpi="597"/>
</worksheet>
</file>

<file path=xl/worksheets/sheet12.xml><?xml version="1.0" encoding="utf-8"?>
<worksheet xmlns="http://schemas.openxmlformats.org/spreadsheetml/2006/main">
  <sheetPr codeName="Sheet7">
    <tabColor rgb="FF92D050"/>
    <outlinePr summaryBelow="1" summaryRight="1"/>
    <pageSetUpPr/>
  </sheetPr>
  <dimension ref="A1:P208"/>
  <sheetViews>
    <sheetView topLeftCell="A170" zoomScale="60" zoomScaleNormal="60" workbookViewId="0">
      <selection activeCell="E206" sqref="E206"/>
    </sheetView>
  </sheetViews>
  <sheetFormatPr baseColWidth="8" defaultRowHeight="15"/>
  <cols>
    <col width="1.140625" customWidth="1" min="1" max="1"/>
    <col width="23.7109375" bestFit="1" customWidth="1" min="2" max="2"/>
    <col width="16" customWidth="1" min="3" max="3"/>
    <col width="20.140625" bestFit="1" customWidth="1" min="4" max="4"/>
    <col width="13.5703125" bestFit="1" customWidth="1" min="5" max="5"/>
    <col width="13.42578125" customWidth="1" min="6" max="6"/>
    <col width="12.140625" bestFit="1" customWidth="1" min="7" max="7"/>
    <col width="59" customWidth="1" min="8" max="8"/>
    <col width="12.140625" customWidth="1" min="9" max="9"/>
    <col width="23.7109375" bestFit="1" customWidth="1" min="10" max="10"/>
    <col width="11.85546875" customWidth="1" min="11" max="11"/>
    <col width="18.42578125" bestFit="1" customWidth="1" min="12" max="12"/>
    <col width="13.5703125" bestFit="1" customWidth="1" min="13" max="13"/>
    <col width="13.5703125" customWidth="1" min="14" max="14"/>
    <col width="12.140625" bestFit="1" customWidth="1" min="15" max="15"/>
    <col width="58.7109375" customWidth="1" min="16" max="16"/>
  </cols>
  <sheetData>
    <row r="1" ht="15.75" customHeight="1" thickBot="1">
      <c r="E1">
        <f>Calculator!$D$5</f>
        <v/>
      </c>
      <c r="H1">
        <f>TransferName</f>
        <v/>
      </c>
      <c r="M1">
        <f>Calculator!$D$5</f>
        <v/>
      </c>
      <c r="P1">
        <f>TransferName</f>
        <v/>
      </c>
    </row>
    <row r="2" ht="15.75" customHeight="1" thickBot="1">
      <c r="B2" s="867" t="inlineStr">
        <is>
          <t>2024 MANITOBA Provincial</t>
        </is>
      </c>
      <c r="C2" s="778" t="n"/>
      <c r="D2" s="778" t="n"/>
      <c r="E2" s="778" t="n"/>
      <c r="F2" s="778" t="n"/>
      <c r="G2" s="778" t="n"/>
      <c r="H2" s="780" t="n"/>
      <c r="J2" s="874" t="inlineStr">
        <is>
          <t>2023 MANITOBA Provincial</t>
        </is>
      </c>
      <c r="K2" s="778" t="n"/>
      <c r="L2" s="778" t="n"/>
      <c r="M2" s="778" t="n"/>
      <c r="N2" s="778" t="n"/>
      <c r="O2" s="778" t="n"/>
      <c r="P2" s="780" t="n"/>
    </row>
    <row r="3" ht="15.75" customHeight="1" thickBot="1">
      <c r="B3" s="116" t="n"/>
      <c r="C3" s="115" t="n"/>
      <c r="D3" s="115" t="inlineStr">
        <is>
          <t>Line</t>
        </is>
      </c>
      <c r="E3" s="115" t="inlineStr">
        <is>
          <t>Amt</t>
        </is>
      </c>
      <c r="F3" s="117" t="n"/>
      <c r="G3" s="675" t="inlineStr">
        <is>
          <t>Spouse</t>
        </is>
      </c>
      <c r="H3" s="117" t="inlineStr">
        <is>
          <t>S2 Adjustment</t>
        </is>
      </c>
      <c r="J3" s="34" t="n"/>
      <c r="L3" t="inlineStr">
        <is>
          <t>Line</t>
        </is>
      </c>
      <c r="M3" t="inlineStr">
        <is>
          <t>Amt</t>
        </is>
      </c>
      <c r="N3" s="35" t="n"/>
      <c r="O3" s="34" t="inlineStr">
        <is>
          <t>Spouse</t>
        </is>
      </c>
      <c r="P3" s="35" t="inlineStr">
        <is>
          <t>S2 Adjustment</t>
        </is>
      </c>
    </row>
    <row r="4" ht="15.75" customHeight="1" thickBot="1">
      <c r="B4" s="675" t="inlineStr">
        <is>
          <t>Age Amount</t>
        </is>
      </c>
      <c r="D4" s="115" t="inlineStr">
        <is>
          <t>Line 58080</t>
        </is>
      </c>
      <c r="E4" s="869">
        <f>(_xlfn.XLOOKUP(ClientNumber,Clients!D:D,Clients!ANR:ANR,2,0,1))</f>
        <v/>
      </c>
      <c r="F4" s="119" t="inlineStr">
        <is>
          <t>Line 59020</t>
        </is>
      </c>
      <c r="G4" s="141">
        <f>IF(TransferName="NONE",0,(_xlfn.XLOOKUP(TransferNumber,Clients!D:D,Clients!APT:APT,2,0,1)))</f>
        <v/>
      </c>
      <c r="H4" s="119">
        <f>IF(AND(E4&gt;0,G4=0),"Age Amount Can Be Transferred","No Action")</f>
        <v/>
      </c>
      <c r="J4" s="667" t="inlineStr">
        <is>
          <t>Age Amount</t>
        </is>
      </c>
      <c r="L4" t="inlineStr">
        <is>
          <t>Line 58080</t>
        </is>
      </c>
      <c r="M4" s="865">
        <f>(_xlfn.XLOOKUP(MainClient,Clients!D:D,Clients!MW:MW,2,0,1))</f>
        <v/>
      </c>
      <c r="N4" s="37" t="inlineStr">
        <is>
          <t>Line 59020</t>
        </is>
      </c>
      <c r="O4" s="51">
        <f>IF(TransferName="NONE",0,(_xlfn.XLOOKUP(TransferNumber,Clients!D:D,Clients!OY:OY,2,0,1)))</f>
        <v/>
      </c>
      <c r="P4" s="37">
        <f>IF(AND(M4&gt;0,O4=0),"Age Amount Can Be Transferred","No Action")</f>
        <v/>
      </c>
    </row>
    <row r="5" ht="15.75" customHeight="1" thickBot="1">
      <c r="B5" s="675" t="inlineStr">
        <is>
          <t>Pension Income Amount</t>
        </is>
      </c>
      <c r="D5" s="115" t="inlineStr">
        <is>
          <t>Line 58360 (mx 1000)</t>
        </is>
      </c>
      <c r="E5" s="869">
        <f>IF((_xlfn.XLOOKUP(ClientNumber,Clients!D:D,Clients!AOR:AOR,2,0,1)&lt;1000),(_xlfn.XLOOKUP(MainClient,Clients!D:D,Clients!AOR:AOR,2,0,1)),1000)</f>
        <v/>
      </c>
      <c r="F5" s="119" t="inlineStr">
        <is>
          <t>Line 59050</t>
        </is>
      </c>
      <c r="G5" s="141">
        <f>IF(TransferName="NONE",0,(_xlfn.XLOOKUP(TransferNumber,Clients!D:D,Clients!APW:APW,2,0,1)))</f>
        <v/>
      </c>
      <c r="H5" s="119">
        <f>IF(AND(E5&gt;0,G5=0),"Pension Income Amount Can Be Transferred","No Action")</f>
        <v/>
      </c>
      <c r="J5" s="667" t="inlineStr">
        <is>
          <t>Pension Income Amount</t>
        </is>
      </c>
      <c r="L5" t="inlineStr">
        <is>
          <t>Line 58360 (mx 1000)</t>
        </is>
      </c>
      <c r="M5" s="865">
        <f>IF((_xlfn.XLOOKUP(ClientNumber,Clients!D:D,Clients!NW:NW,2,0,1)&lt;1000),(_xlfn.XLOOKUP(MainClient,Clients!D:D,Clients!NW:NW,2,0,1)),1000)</f>
        <v/>
      </c>
      <c r="N5" s="37" t="inlineStr">
        <is>
          <t>Line 59050</t>
        </is>
      </c>
      <c r="O5" s="51">
        <f>IF(TransferName="NONE",0,(_xlfn.XLOOKUP(TransferNumber,Clients!D:D,Clients!PB:PB,2,0,1)))</f>
        <v/>
      </c>
      <c r="P5" s="37">
        <f>IF(AND(M5&gt;0,O5=0),"Pension Income Amount Can Be Transferred","No Action")</f>
        <v/>
      </c>
    </row>
    <row r="6" ht="15.75" customHeight="1" thickBot="1">
      <c r="B6" s="675" t="inlineStr">
        <is>
          <t>Disability Amount</t>
        </is>
      </c>
      <c r="D6" s="115" t="inlineStr">
        <is>
          <t>Line 58440</t>
        </is>
      </c>
      <c r="E6" s="869">
        <f>IF(_xlfn.XLOOKUP(ClientNumber,Clients!D:D,Clients!AOT:AOT,2,0,1)=0,6180,(_xlfn.XLOOKUP(MainClient,Clients!D:D,Clients!AOT:AOT,2,0,1)))</f>
        <v/>
      </c>
      <c r="F6" s="119" t="inlineStr">
        <is>
          <t>Line 59070</t>
        </is>
      </c>
      <c r="G6" s="141">
        <f>IF(TransferName="NONE",0,(_xlfn.XLOOKUP(TransferNumber,Clients!D:D,Clients!APX:APX,2,0,1)))</f>
        <v/>
      </c>
      <c r="H6" s="119">
        <f>IF(AND(E6&gt;0,G6=0),"DTC Transferable Not Claimed Can Be Transferred","No Action")</f>
        <v/>
      </c>
      <c r="J6" s="667" t="inlineStr">
        <is>
          <t>Disability Amount</t>
        </is>
      </c>
      <c r="L6" t="inlineStr">
        <is>
          <t>Line 58440</t>
        </is>
      </c>
      <c r="M6" s="865">
        <f>IF(_xlfn.XLOOKUP(ClientNumber,Clients!D:D,Clients!NY:NY,2,0,1)=0,6180,(_xlfn.XLOOKUP(MainClient,Clients!D:D,Clients!NY:NY,2,0,1)))</f>
        <v/>
      </c>
      <c r="N6" s="37" t="inlineStr">
        <is>
          <t>Line 59070</t>
        </is>
      </c>
      <c r="O6" s="51">
        <f>IF(TransferName="NONE",0,(_xlfn.XLOOKUP(TransferNumber,Clients!D:D,Clients!PC:PC,2,0,1)))</f>
        <v/>
      </c>
      <c r="P6" s="37">
        <f>IF(AND(M6&gt;0,O6=0),"DTC Transferable Not Claimed Can Be Transferred","No Action")</f>
        <v/>
      </c>
    </row>
    <row r="7" ht="15.75" customHeight="1" thickBot="1">
      <c r="B7" s="675" t="inlineStr">
        <is>
          <t>Tuition Amount</t>
        </is>
      </c>
      <c r="D7" s="115" t="inlineStr">
        <is>
          <t>Line 59200</t>
        </is>
      </c>
      <c r="E7" s="869">
        <f>(_xlfn.XLOOKUP(ClientNumber,Clients!D:D,Clients!AQI:AQI,2,0,1))</f>
        <v/>
      </c>
      <c r="F7" s="119" t="inlineStr">
        <is>
          <t>Line 59090</t>
        </is>
      </c>
      <c r="G7" s="141">
        <f>IF(TransferName="NONE",0,(_xlfn.XLOOKUP(TransferNumber,Clients!D:D,Clients!APY:APY,2,0,1)))</f>
        <v/>
      </c>
      <c r="H7" s="119">
        <f>IF(AND(E7&gt;0,G7=0),"Tuition Can Be Transferred","No Action")</f>
        <v/>
      </c>
      <c r="J7" s="667" t="inlineStr">
        <is>
          <t>Tuition Amount</t>
        </is>
      </c>
      <c r="L7" t="inlineStr">
        <is>
          <t>Line 59200</t>
        </is>
      </c>
      <c r="M7" s="865">
        <f>(_xlfn.XLOOKUP(MainClient,Clients!D:D,Clients!PN:PN,2,0,1))</f>
        <v/>
      </c>
      <c r="N7" s="37" t="inlineStr">
        <is>
          <t>Line 59090</t>
        </is>
      </c>
      <c r="O7" s="51">
        <f>IF(TransferName="NONE",0,(_xlfn.XLOOKUP(TransferNumber,Clients!D:D,Clients!PD:PD,2,0,1)))</f>
        <v/>
      </c>
      <c r="P7" s="37">
        <f>IF(AND(M7&gt;0,O7=0),"Tuition Can Be Transferred","No Action")</f>
        <v/>
      </c>
    </row>
    <row r="8">
      <c r="B8" s="675" t="n"/>
      <c r="D8" s="115" t="n"/>
      <c r="E8" s="871">
        <f>SUM(E4:E7)</f>
        <v/>
      </c>
      <c r="F8" s="119" t="n"/>
      <c r="G8" s="675">
        <f>SUM(G4:G7)</f>
        <v/>
      </c>
      <c r="H8" s="119" t="n"/>
      <c r="J8" s="667" t="n"/>
      <c r="M8" s="872">
        <f>SUM(M4:M7)</f>
        <v/>
      </c>
      <c r="N8" s="37" t="n"/>
      <c r="O8" s="667">
        <f>SUM(O4:O7)</f>
        <v/>
      </c>
      <c r="P8" s="37" t="n"/>
    </row>
    <row r="9">
      <c r="B9" s="675" t="n"/>
      <c r="C9" s="676" t="n"/>
      <c r="D9" s="115" t="n"/>
      <c r="E9" s="871" t="n"/>
      <c r="F9" s="119" t="n"/>
      <c r="G9" s="676" t="n"/>
      <c r="H9" s="119" t="n"/>
      <c r="J9" s="667" t="n"/>
      <c r="K9" s="668" t="n"/>
      <c r="M9" s="872" t="n"/>
      <c r="N9" s="37" t="n"/>
      <c r="O9" s="668" t="n"/>
      <c r="P9" s="37" t="n"/>
    </row>
    <row r="10" ht="15.75" customHeight="1" thickBot="1">
      <c r="B10" s="116" t="n"/>
      <c r="C10" s="115" t="n"/>
      <c r="D10" s="115" t="n"/>
      <c r="E10" s="115" t="n"/>
      <c r="F10" s="117" t="n"/>
      <c r="G10" s="115" t="n"/>
      <c r="H10" s="117" t="n"/>
      <c r="J10" s="34" t="n"/>
      <c r="N10" s="35" t="n"/>
      <c r="P10" s="35" t="n"/>
    </row>
    <row r="11" ht="15.75" customHeight="1" thickBot="1">
      <c r="B11" s="675" t="inlineStr">
        <is>
          <t>Line 26000</t>
        </is>
      </c>
      <c r="C11" s="120">
        <f>(_xlfn.XLOOKUP(MainClient,Clients!D:D,Clients!AFS:AFS,2,0,1))</f>
        <v/>
      </c>
      <c r="D11" s="115" t="n"/>
      <c r="E11" s="115" t="n"/>
      <c r="F11" s="117" t="n"/>
      <c r="G11" s="116">
        <f>IF(E34&gt;E6,"other transferable credits","DTC Only")</f>
        <v/>
      </c>
      <c r="H11" s="117" t="n"/>
      <c r="J11" s="667" t="inlineStr">
        <is>
          <t>Line 26000</t>
        </is>
      </c>
      <c r="K11" s="36">
        <f>(_xlfn.XLOOKUP(MainClient,Clients!D:D,Clients!EX:EX,2,0,1))</f>
        <v/>
      </c>
      <c r="N11" s="35" t="n"/>
      <c r="O11" s="34">
        <f>IF(M34&gt;M6,"other transferable credits","DTC Only")</f>
        <v/>
      </c>
      <c r="P11" s="35" t="n"/>
    </row>
    <row r="12" ht="15.75" customHeight="1" thickBot="1">
      <c r="B12" s="116" t="n"/>
      <c r="C12" s="115" t="n"/>
      <c r="D12" s="115" t="n"/>
      <c r="E12" s="115" t="n"/>
      <c r="F12" s="117" t="n"/>
      <c r="G12" s="116" t="n"/>
      <c r="H12" s="117" t="n"/>
      <c r="J12" s="34" t="n"/>
      <c r="N12" s="35" t="n"/>
      <c r="O12" s="34" t="n"/>
      <c r="P12" s="35" t="n"/>
    </row>
    <row r="13" ht="15.75" customHeight="1" thickBot="1">
      <c r="B13" s="121" t="inlineStr">
        <is>
          <t>Line 58040</t>
        </is>
      </c>
      <c r="C13" s="120">
        <f>(_xlfn.XLOOKUP(ClientNumber,Clients!D:D,Clients!ANQ:ANQ,2,0,1))</f>
        <v/>
      </c>
      <c r="D13" s="115" t="n"/>
      <c r="E13" s="115" t="n"/>
      <c r="F13" s="117" t="n"/>
      <c r="G13" s="116" t="n"/>
      <c r="H13" s="117" t="n"/>
      <c r="J13" s="55" t="inlineStr">
        <is>
          <t>Line 58040</t>
        </is>
      </c>
      <c r="K13" s="36">
        <f>(_xlfn.XLOOKUP(MainClient,Clients!D:D,Clients!MV:MV,2,0,1))</f>
        <v/>
      </c>
      <c r="N13" s="35" t="n"/>
      <c r="O13" s="34" t="n"/>
      <c r="P13" s="35" t="n"/>
    </row>
    <row r="14" ht="15.75" customHeight="1" thickBot="1">
      <c r="B14" s="121" t="inlineStr">
        <is>
          <t>Line 58240</t>
        </is>
      </c>
      <c r="C14" s="120">
        <f>(_xlfn.XLOOKUP(ClientNumber,Clients!D:D,Clients!AOF:AOF,2,0,1))</f>
        <v/>
      </c>
      <c r="D14" s="115" t="n"/>
      <c r="E14" s="115" t="n"/>
      <c r="F14" s="117" t="n"/>
      <c r="G14" s="116" t="n"/>
      <c r="H14" s="117" t="n"/>
      <c r="J14" s="55" t="inlineStr">
        <is>
          <t>Line 58240</t>
        </is>
      </c>
      <c r="K14" s="36">
        <f>(_xlfn.XLOOKUP(MainClient,Clients!D:D,Clients!NK:NK,2,0,1))</f>
        <v/>
      </c>
      <c r="N14" s="35" t="n"/>
      <c r="O14" s="34" t="n"/>
      <c r="P14" s="35" t="n"/>
    </row>
    <row r="15" ht="15.75" customHeight="1" thickBot="1">
      <c r="B15" s="121" t="inlineStr">
        <is>
          <t>Line 58280</t>
        </is>
      </c>
      <c r="C15" s="120">
        <f>(_xlfn.XLOOKUP(ClientNumber,Clients!D:D,Clients!AOG:AOG,2,0,1))</f>
        <v/>
      </c>
      <c r="D15" s="115" t="n"/>
      <c r="E15" s="115" t="n"/>
      <c r="F15" s="117" t="n"/>
      <c r="G15" s="116" t="n"/>
      <c r="H15" s="117" t="n"/>
      <c r="J15" s="55" t="inlineStr">
        <is>
          <t>Line 58280</t>
        </is>
      </c>
      <c r="K15" s="36">
        <f>(_xlfn.XLOOKUP(MainClient,Clients!D:D,Clients!NL:NL,2,0,1))</f>
        <v/>
      </c>
      <c r="N15" s="35" t="n"/>
      <c r="P15" s="35" t="n"/>
    </row>
    <row r="16" ht="15.75" customHeight="1" thickBot="1">
      <c r="B16" s="121" t="inlineStr">
        <is>
          <t>Line 58300</t>
        </is>
      </c>
      <c r="C16" s="120">
        <f>(_xlfn.XLOOKUP(ClientNumber,Clients!D:D,Clients!AOH:AOH,2,0,1))</f>
        <v/>
      </c>
      <c r="D16" s="115" t="n"/>
      <c r="E16" s="115" t="n"/>
      <c r="F16" s="117" t="n"/>
      <c r="G16" s="116" t="n"/>
      <c r="H16" s="117" t="n"/>
      <c r="J16" s="55" t="inlineStr">
        <is>
          <t>Line 58300</t>
        </is>
      </c>
      <c r="K16" s="36">
        <f>(_xlfn.XLOOKUP(MainClient,Clients!D:D,Clients!NM:NM,2,0,1))</f>
        <v/>
      </c>
      <c r="N16" s="35" t="n"/>
      <c r="O16" s="34" t="n"/>
      <c r="P16" s="35" t="n"/>
    </row>
    <row r="17" ht="15.75" customHeight="1" thickBot="1">
      <c r="B17" s="121" t="inlineStr">
        <is>
          <t>Line 58305</t>
        </is>
      </c>
      <c r="C17" s="120">
        <f>(_xlfn.XLOOKUP(ClientNumber,Clients!D:D,Clients!AOI:AOI,2,0,1))</f>
        <v/>
      </c>
      <c r="D17" s="115" t="n"/>
      <c r="E17" s="115" t="n"/>
      <c r="F17" s="117" t="n"/>
      <c r="G17" s="116" t="n"/>
      <c r="H17" s="117" t="n"/>
      <c r="J17" s="55" t="inlineStr">
        <is>
          <t>Line 58305</t>
        </is>
      </c>
      <c r="K17" s="36">
        <f>(_xlfn.XLOOKUP(MainClient,Clients!D:D,Clients!NN:NN,2,0,1))</f>
        <v/>
      </c>
      <c r="N17" s="35" t="n"/>
      <c r="O17" s="34" t="n"/>
      <c r="P17" s="35" t="n"/>
    </row>
    <row r="18" ht="15.75" customHeight="1" thickBot="1">
      <c r="B18" s="121" t="inlineStr">
        <is>
          <t>Line 58315</t>
        </is>
      </c>
      <c r="C18" s="120">
        <f>(_xlfn.XLOOKUP(ClientNumber,Clients!D:D,Clients!AOK:AOK,2,0,1))</f>
        <v/>
      </c>
      <c r="D18" s="115" t="n"/>
      <c r="E18" s="115" t="n"/>
      <c r="F18" s="117" t="n"/>
      <c r="G18" s="116" t="n"/>
      <c r="H18" s="117" t="n"/>
      <c r="J18" s="55" t="inlineStr">
        <is>
          <t>Line 58315</t>
        </is>
      </c>
      <c r="K18" s="36">
        <f>(_xlfn.XLOOKUP(MainClient,Clients!D:D,Clients!NP:NP,2,0,1))</f>
        <v/>
      </c>
      <c r="N18" s="35" t="n"/>
      <c r="O18" s="34" t="n"/>
      <c r="P18" s="35" t="n"/>
    </row>
    <row r="19" ht="15.75" customHeight="1" thickBot="1">
      <c r="B19" s="121" t="inlineStr">
        <is>
          <t>Line 58316</t>
        </is>
      </c>
      <c r="C19" s="120">
        <f>(_xlfn.XLOOKUP(ClientNumber,Clients!D:D,Clients!AOL:AOL,2,0,1))</f>
        <v/>
      </c>
      <c r="D19" s="115" t="n"/>
      <c r="E19" s="115" t="n"/>
      <c r="F19" s="117" t="n"/>
      <c r="G19" s="116" t="n"/>
      <c r="H19" s="117" t="n"/>
      <c r="J19" s="55" t="inlineStr">
        <is>
          <t>Line 58316</t>
        </is>
      </c>
      <c r="K19" s="36">
        <f>(_xlfn.XLOOKUP(MainClient,Clients!D:D,Clients!NQ:NQ,2,0,1))</f>
        <v/>
      </c>
      <c r="N19" s="35" t="n"/>
      <c r="O19" s="34" t="n"/>
      <c r="P19" s="35" t="n"/>
    </row>
    <row r="20" ht="15.75" customHeight="1" thickBot="1">
      <c r="B20" s="121" t="inlineStr">
        <is>
          <t>Line 58325</t>
        </is>
      </c>
      <c r="C20" s="120">
        <f>(_xlfn.XLOOKUP(ClientNumber,Clients!D:D,Clients!AON:AON,2,0,1))</f>
        <v/>
      </c>
      <c r="D20" s="115" t="n"/>
      <c r="E20" s="115" t="n"/>
      <c r="F20" s="117" t="n"/>
      <c r="G20" s="116" t="n"/>
      <c r="H20" s="117" t="n"/>
      <c r="J20" s="55" t="inlineStr">
        <is>
          <t>Line 58325</t>
        </is>
      </c>
      <c r="K20" s="36">
        <f>(_xlfn.XLOOKUP(MainClient,Clients!D:D,Clients!NS:NS,2,0,1))</f>
        <v/>
      </c>
      <c r="N20" s="35" t="n"/>
      <c r="O20" s="34" t="n"/>
      <c r="P20" s="35" t="n"/>
    </row>
    <row r="21" ht="15.75" customHeight="1" thickBot="1">
      <c r="B21" s="121" t="inlineStr">
        <is>
          <t>Line 58326</t>
        </is>
      </c>
      <c r="C21" s="120">
        <f>(_xlfn.XLOOKUP(ClientNumber,Clients!D:D,Clients!AOO:AOO,2,0,1))</f>
        <v/>
      </c>
      <c r="D21" s="115" t="n"/>
      <c r="E21" s="115" t="n"/>
      <c r="F21" s="117" t="n"/>
      <c r="G21" s="116" t="n"/>
      <c r="H21" s="117" t="n"/>
      <c r="J21" s="55" t="inlineStr">
        <is>
          <t>Line 58326</t>
        </is>
      </c>
      <c r="K21" s="36">
        <f>(_xlfn.XLOOKUP(MainClient,Clients!D:D,Clients!NT:NT,2,0,1))</f>
        <v/>
      </c>
      <c r="N21" s="35" t="n"/>
      <c r="O21" s="34" t="n"/>
      <c r="P21" s="35" t="n"/>
    </row>
    <row r="22" ht="15.75" customHeight="1" thickBot="1">
      <c r="B22" s="121" t="inlineStr">
        <is>
          <t>Line 58330</t>
        </is>
      </c>
      <c r="C22" s="120">
        <f>(_xlfn.XLOOKUP(ClientNumber,Clients!D:D,Clients!AOP:AOP,2,0,1))</f>
        <v/>
      </c>
      <c r="D22" s="115" t="n"/>
      <c r="E22" s="115" t="n"/>
      <c r="F22" s="117" t="n"/>
      <c r="G22" s="116" t="n"/>
      <c r="H22" s="117" t="n"/>
      <c r="J22" s="55" t="inlineStr">
        <is>
          <t>Line 58330</t>
        </is>
      </c>
      <c r="K22" s="36">
        <f>(_xlfn.XLOOKUP(MainClient,Clients!D:D,Clients!NU:NU,2,0,1))</f>
        <v/>
      </c>
      <c r="N22" s="35" t="n"/>
      <c r="O22" s="34" t="n"/>
      <c r="P22" s="35" t="n"/>
    </row>
    <row r="23" ht="15.75" customHeight="1" thickBot="1">
      <c r="B23" s="121" t="inlineStr">
        <is>
          <t>Line 58560</t>
        </is>
      </c>
      <c r="C23" s="120">
        <f>(_xlfn.XLOOKUP(ClientNumber,Clients!D:D,Clients!AOX:AOX,2,0,1))</f>
        <v/>
      </c>
      <c r="D23" s="115" t="n"/>
      <c r="E23" s="115" t="n"/>
      <c r="F23" s="117" t="n"/>
      <c r="G23" s="116" t="inlineStr">
        <is>
          <t>Line 32600</t>
        </is>
      </c>
      <c r="H23" s="117">
        <f>IF(TransferName="NONE",0,(_xlfn.XLOOKUP(TransferNumber,Clients!D:D,Clients!CIH:CIH,2,0,1)))</f>
        <v/>
      </c>
      <c r="J23" s="55" t="inlineStr">
        <is>
          <t>Line 58560</t>
        </is>
      </c>
      <c r="K23" s="36">
        <f>(_xlfn.XLOOKUP(MainClient,Clients!D:D,Clients!OC:OC,2,0,1))</f>
        <v/>
      </c>
      <c r="N23" s="35" t="n"/>
      <c r="O23" s="34" t="inlineStr">
        <is>
          <t>Line 58640</t>
        </is>
      </c>
      <c r="P23" s="35">
        <f>IFERROR(_xlfn.XLOOKUP(TransferNumber,Clients!D:D,Clients!OI:OI,2,0,1),0)</f>
        <v/>
      </c>
    </row>
    <row r="24" ht="15.75" customHeight="1" thickBot="1">
      <c r="B24" s="121" t="n"/>
      <c r="C24" s="120" t="n"/>
      <c r="D24" s="115" t="n"/>
      <c r="E24" s="115" t="n"/>
      <c r="F24" s="117" t="n"/>
      <c r="G24" s="116" t="n"/>
      <c r="H24" s="117" t="n"/>
      <c r="J24" s="55" t="n"/>
      <c r="K24" s="36" t="n"/>
      <c r="N24" s="35" t="n"/>
      <c r="O24" s="34" t="n"/>
      <c r="P24" s="35" t="n"/>
    </row>
    <row r="25" ht="15.75" customHeight="1" thickBot="1">
      <c r="B25" s="121" t="n"/>
      <c r="C25" s="120" t="n"/>
      <c r="D25" s="115" t="n"/>
      <c r="E25" s="115" t="n"/>
      <c r="F25" s="117" t="n"/>
      <c r="G25" s="116" t="n"/>
      <c r="H25" s="117" t="n"/>
      <c r="J25" s="55" t="n"/>
      <c r="K25" s="36" t="n"/>
      <c r="N25" s="35" t="n"/>
      <c r="O25" s="34" t="n"/>
      <c r="P25" s="35" t="n"/>
    </row>
    <row r="26" ht="15.75" customHeight="1" thickBot="1">
      <c r="B26" s="121" t="n"/>
      <c r="C26" s="120" t="n"/>
      <c r="D26" s="115" t="n"/>
      <c r="E26" s="115" t="n"/>
      <c r="F26" s="117" t="n"/>
      <c r="G26" s="116" t="n"/>
      <c r="H26" s="117" t="n"/>
      <c r="J26" s="55" t="n"/>
      <c r="K26" s="36" t="n"/>
      <c r="N26" s="35" t="n"/>
      <c r="O26" s="34" t="n"/>
      <c r="P26" s="35" t="n"/>
    </row>
    <row r="27" ht="15.75" customHeight="1" thickBot="1">
      <c r="B27" s="121" t="n"/>
      <c r="C27" s="120" t="n"/>
      <c r="D27" s="115" t="n"/>
      <c r="E27" s="115" t="n"/>
      <c r="F27" s="117" t="n"/>
      <c r="G27" s="116" t="n"/>
      <c r="H27" s="117">
        <f>IF(E32&gt;0,E8-G8,0)</f>
        <v/>
      </c>
      <c r="J27" s="55" t="n"/>
      <c r="K27" s="36" t="n"/>
      <c r="N27" s="35" t="n"/>
      <c r="O27" s="34" t="n"/>
      <c r="P27" s="35">
        <f>IF(M32&gt;0,M8-O8,0)</f>
        <v/>
      </c>
    </row>
    <row r="28" ht="15.75" customHeight="1" thickBot="1">
      <c r="B28" s="121" t="n"/>
      <c r="C28" s="120" t="n"/>
      <c r="D28" s="115" t="n"/>
      <c r="E28" s="115" t="n"/>
      <c r="F28" s="117" t="n"/>
      <c r="G28" s="115" t="n"/>
      <c r="H28" s="122">
        <f>IF(TransferName="NONE",F33,IF(H27&gt;0,(E32-G8)*0.108,0))</f>
        <v/>
      </c>
      <c r="J28" s="55" t="n"/>
      <c r="K28" s="36" t="n"/>
      <c r="N28" s="35" t="n"/>
      <c r="P28" s="52">
        <f>IF(TransferName="NONE",N33,IF(P27&gt;0,(M32-O8)*0.108,0))</f>
        <v/>
      </c>
    </row>
    <row r="29">
      <c r="B29" s="675" t="n"/>
      <c r="C29" s="115" t="n"/>
      <c r="D29" s="115" t="n"/>
      <c r="E29" s="115" t="n"/>
      <c r="F29" s="117" t="n"/>
      <c r="G29" s="116" t="inlineStr">
        <is>
          <t>Transferable</t>
        </is>
      </c>
      <c r="H29" s="122">
        <f>IF(H28&gt;0,H28,0)</f>
        <v/>
      </c>
      <c r="J29" s="667" t="n"/>
      <c r="N29" s="35" t="n"/>
      <c r="O29" s="34" t="inlineStr">
        <is>
          <t>Transferable</t>
        </is>
      </c>
      <c r="P29" s="52">
        <f>IF(P28&gt;0,P28,0)</f>
        <v/>
      </c>
    </row>
    <row r="30">
      <c r="B30" s="675" t="inlineStr">
        <is>
          <t>Adjusted Taxable Income</t>
        </is>
      </c>
      <c r="C30" s="115">
        <f>C11-(SUM(C13:C28))</f>
        <v/>
      </c>
      <c r="D30" s="124" t="inlineStr">
        <is>
          <t>Line 5864</t>
        </is>
      </c>
      <c r="E30" s="125">
        <f>IF(C30&gt;0,C30,0)</f>
        <v/>
      </c>
      <c r="F30" s="117" t="n"/>
      <c r="G30" s="116" t="n"/>
      <c r="H30" s="117" t="n"/>
      <c r="J30" s="667" t="inlineStr">
        <is>
          <t>Adjusted Taxable Income</t>
        </is>
      </c>
      <c r="K30">
        <f>K11-(SUM(K13:K28))</f>
        <v/>
      </c>
      <c r="L30" s="13" t="inlineStr">
        <is>
          <t>Line 5864</t>
        </is>
      </c>
      <c r="M30" s="39">
        <f>IF(K30&gt;0,K30,0)</f>
        <v/>
      </c>
      <c r="N30" s="35" t="n"/>
      <c r="O30" s="34" t="n"/>
      <c r="P30" s="35" t="n"/>
    </row>
    <row r="31" ht="15.75" customHeight="1" thickBot="1">
      <c r="B31" s="116" t="n"/>
      <c r="C31" s="115" t="n"/>
      <c r="D31" s="115" t="n"/>
      <c r="E31" s="115" t="n"/>
      <c r="F31" s="117" t="n"/>
      <c r="G31" s="116" t="n"/>
      <c r="H31" s="117" t="n"/>
      <c r="J31" s="34" t="n"/>
      <c r="N31" s="35" t="n"/>
      <c r="O31" s="34" t="n"/>
      <c r="P31" s="35" t="n"/>
    </row>
    <row r="32" ht="15.75" customHeight="1" thickBot="1">
      <c r="B32" s="116" t="n"/>
      <c r="C32" s="115" t="n"/>
      <c r="D32" s="126" t="inlineStr">
        <is>
          <t>Prov Trans</t>
        </is>
      </c>
      <c r="E32" s="120">
        <f>(E8-E30)</f>
        <v/>
      </c>
      <c r="F32" s="127" t="n"/>
      <c r="G32" s="116" t="n"/>
      <c r="H32" s="122" t="n"/>
      <c r="J32" s="34" t="n"/>
      <c r="L32" s="21" t="inlineStr">
        <is>
          <t>Prov Trans</t>
        </is>
      </c>
      <c r="M32" s="36">
        <f>(M8-M30)</f>
        <v/>
      </c>
      <c r="N32" s="40" t="n"/>
      <c r="O32" s="34" t="n"/>
      <c r="P32" s="52" t="n"/>
    </row>
    <row r="33" ht="15.75" customHeight="1" thickBot="1">
      <c r="B33" s="116" t="n"/>
      <c r="C33" s="664" t="inlineStr">
        <is>
          <t>DTC Transferable ESTIMATE</t>
        </is>
      </c>
      <c r="D33" s="35" t="n"/>
      <c r="E33" s="120">
        <f>IF(E32&lt;0,0,(IF(E32&gt;E6,E6,E32)))</f>
        <v/>
      </c>
      <c r="F33" s="127">
        <f>IF(E33&gt;0,E33*0.108,"No Transfer Required")</f>
        <v/>
      </c>
      <c r="G33" s="666" t="n"/>
      <c r="H33" s="122" t="n"/>
      <c r="J33" s="34" t="n"/>
      <c r="K33" s="579" t="inlineStr">
        <is>
          <t>DTC Transferable ESTIMATE</t>
        </is>
      </c>
      <c r="L33" s="35" t="n"/>
      <c r="M33" s="36">
        <f>IF(M32&lt;0,0,(IF(M32&gt;M6,M6,M32)))</f>
        <v/>
      </c>
      <c r="N33" s="40">
        <f>IF(M33&gt;0,M33*0.108,"No Transfer Required")</f>
        <v/>
      </c>
      <c r="O33" s="58" t="n"/>
      <c r="P33" s="52" t="n"/>
    </row>
    <row r="34" ht="15.75" customHeight="1" thickBot="1">
      <c r="B34" s="128" t="n"/>
      <c r="C34" s="129" t="n"/>
      <c r="D34" s="130" t="inlineStr">
        <is>
          <t>Net Transferable</t>
        </is>
      </c>
      <c r="E34" s="120">
        <f>IF(E32&lt;0,0,(IF(E32-G4-G5-G7&lt;0,E32,(E32-G4-G5-G7))))</f>
        <v/>
      </c>
      <c r="F34" s="131">
        <f>IF(E34&gt;0,E34*0.108,"0")</f>
        <v/>
      </c>
      <c r="G34" s="42" t="n"/>
      <c r="H34" s="863" t="n"/>
      <c r="J34" s="42" t="n"/>
      <c r="K34" s="41" t="n"/>
      <c r="L34" s="43" t="inlineStr">
        <is>
          <t>Net Transferable</t>
        </is>
      </c>
      <c r="M34" s="36">
        <f>IF(M32&lt;0,0,(IF(M32-O4-O5-O7&lt;0,M32,(M32-O4-O5-O7))))</f>
        <v/>
      </c>
      <c r="N34" s="57">
        <f>IF(M34&gt;0,M34*0.108,"0")</f>
        <v/>
      </c>
      <c r="O34" s="59" t="n"/>
      <c r="P34" s="864" t="n"/>
    </row>
    <row r="36" ht="15.75" customHeight="1" thickBot="1">
      <c r="E36">
        <f>Calculator!$D$5</f>
        <v/>
      </c>
      <c r="H36">
        <f>TransferName</f>
        <v/>
      </c>
      <c r="M36">
        <f>Calculator!$D$5</f>
        <v/>
      </c>
      <c r="P36">
        <f>TransferName</f>
        <v/>
      </c>
    </row>
    <row r="37" ht="15.75" customHeight="1" thickBot="1">
      <c r="B37" s="874" t="inlineStr">
        <is>
          <t>2022 MANITOBA Provincial</t>
        </is>
      </c>
      <c r="C37" s="778" t="n"/>
      <c r="D37" s="778" t="n"/>
      <c r="E37" s="778" t="n"/>
      <c r="F37" s="778" t="n"/>
      <c r="G37" s="778" t="n"/>
      <c r="H37" s="780" t="n"/>
      <c r="J37" s="874" t="inlineStr">
        <is>
          <t>2021 MANITOBA Provincial</t>
        </is>
      </c>
      <c r="K37" s="778" t="n"/>
      <c r="L37" s="778" t="n"/>
      <c r="M37" s="778" t="n"/>
      <c r="N37" s="778" t="n"/>
      <c r="O37" s="778" t="n"/>
      <c r="P37" s="780" t="n"/>
    </row>
    <row r="38" ht="15.75" customHeight="1" thickBot="1">
      <c r="B38" s="34" t="n"/>
      <c r="D38" t="inlineStr">
        <is>
          <t>Line</t>
        </is>
      </c>
      <c r="E38" t="inlineStr">
        <is>
          <t>Amt</t>
        </is>
      </c>
      <c r="F38" s="35" t="n"/>
      <c r="G38" s="667" t="inlineStr">
        <is>
          <t>Spouse</t>
        </is>
      </c>
      <c r="H38" s="35" t="inlineStr">
        <is>
          <t>S2 Adjustment</t>
        </is>
      </c>
      <c r="J38" s="34" t="n"/>
      <c r="L38" t="inlineStr">
        <is>
          <t>Line</t>
        </is>
      </c>
      <c r="M38" t="inlineStr">
        <is>
          <t>Amt</t>
        </is>
      </c>
      <c r="N38" s="35" t="n"/>
      <c r="O38" s="34" t="inlineStr">
        <is>
          <t>Spouse</t>
        </is>
      </c>
      <c r="P38" s="35" t="inlineStr">
        <is>
          <t>S2 Adjustment</t>
        </is>
      </c>
    </row>
    <row r="39" ht="15.75" customHeight="1" thickBot="1">
      <c r="B39" s="667" t="inlineStr">
        <is>
          <t>Age Amount</t>
        </is>
      </c>
      <c r="D39" t="inlineStr">
        <is>
          <t>Line 58080</t>
        </is>
      </c>
      <c r="E39" s="861">
        <f>(_xlfn.XLOOKUP(ClientNumber,Clients!D:D,Clients!ANR:ANR,2,0,1))</f>
        <v/>
      </c>
      <c r="F39" s="37" t="inlineStr">
        <is>
          <t>Line 59020</t>
        </is>
      </c>
      <c r="G39" s="51">
        <f>IF(TransferName="NONE",0,(_xlfn.XLOOKUP(TransferNumber,Clients!D:D,Clients!APT:APT,2,0,1)))</f>
        <v/>
      </c>
      <c r="H39" s="37">
        <f>IF(AND(E39&gt;0,G39=0),"Age Amount Can Be Transferred","No Action")</f>
        <v/>
      </c>
      <c r="J39" s="667" t="inlineStr">
        <is>
          <t>Age Amount</t>
        </is>
      </c>
      <c r="L39" t="inlineStr">
        <is>
          <t>Line 58080</t>
        </is>
      </c>
      <c r="M39" s="865">
        <f>(_xlfn.XLOOKUP(MainClient,Clients!D:D,Clients!BOM:BOM,2,0,1))</f>
        <v/>
      </c>
      <c r="N39" s="37" t="inlineStr">
        <is>
          <t>Line 59020</t>
        </is>
      </c>
      <c r="O39" s="51">
        <f>IF(TransferName="NONE",0,(_xlfn.XLOOKUP(TransferNumber,Clients!D:D,Clients!BQO:BQO,2,0,1)))</f>
        <v/>
      </c>
      <c r="P39" s="37">
        <f>IF(AND(M39&gt;0,O39=0),"Age Amount Can Be Transferred","No Action")</f>
        <v/>
      </c>
    </row>
    <row r="40" ht="15.75" customHeight="1" thickBot="1">
      <c r="B40" s="667" t="inlineStr">
        <is>
          <t>Pension Income Amount</t>
        </is>
      </c>
      <c r="D40" t="inlineStr">
        <is>
          <t>Line 58360 (mx 1000)</t>
        </is>
      </c>
      <c r="E40" s="861">
        <f>IF((_xlfn.XLOOKUP(ClientNumber,Clients!D:D,Clients!AOR:AOR,2,0,1)&lt;1000),(_xlfn.XLOOKUP(MainClient,Clients!D:D,Clients!AOR:AOR,2,0,1)),1000)</f>
        <v/>
      </c>
      <c r="F40" s="37" t="inlineStr">
        <is>
          <t>Line 59050</t>
        </is>
      </c>
      <c r="G40" s="51">
        <f>IF(TransferName="NONE",0,(_xlfn.XLOOKUP(TransferNumber,Clients!D:D,Clients!APW:APW,2,0,1)))</f>
        <v/>
      </c>
      <c r="H40" s="37">
        <f>IF(AND(E40&gt;0,G40=0),"Pension Income Amount Can Be Transferred","No Action")</f>
        <v/>
      </c>
      <c r="J40" s="667" t="inlineStr">
        <is>
          <t>Pension Income Amount</t>
        </is>
      </c>
      <c r="L40" t="inlineStr">
        <is>
          <t>Line 58360 (mx 1000)</t>
        </is>
      </c>
      <c r="M40" s="865">
        <f>IF((_xlfn.XLOOKUP(ClientNumber,Clients!D:D,Clients!BPM:BPM,2,0,1)&lt;1000),(_xlfn.XLOOKUP(MainClient,Clients!D:D,Clients!BPM:BPM,2,0,1)),1000)</f>
        <v/>
      </c>
      <c r="N40" s="37" t="inlineStr">
        <is>
          <t>Line 59050</t>
        </is>
      </c>
      <c r="O40" s="51">
        <f>IF(TransferName="NONE",0,(_xlfn.XLOOKUP(TransferNumber,Clients!D:D,Clients!BQR:BQR,2,0,1)))</f>
        <v/>
      </c>
      <c r="P40" s="37">
        <f>IF(AND(M40&gt;0,O40=0),"Pension Income Amount Can Be Transferred","No Action")</f>
        <v/>
      </c>
    </row>
    <row r="41" ht="15.75" customHeight="1" thickBot="1">
      <c r="B41" s="667" t="inlineStr">
        <is>
          <t>Disability Amount</t>
        </is>
      </c>
      <c r="D41" t="inlineStr">
        <is>
          <t>Line 58440</t>
        </is>
      </c>
      <c r="E41" s="861">
        <f>IF(_xlfn.XLOOKUP(ClientNumber,Clients!D:D,Clients!AOT:AOT,2,0,1)=0,6180,(_xlfn.XLOOKUP(MainClient,Clients!D:D,Clients!AOT:AOT,2,0,1)))</f>
        <v/>
      </c>
      <c r="F41" s="37" t="inlineStr">
        <is>
          <t>Line 59070</t>
        </is>
      </c>
      <c r="G41" s="51">
        <f>IF(TransferName="NONE",0,(_xlfn.XLOOKUP(TransferNumber,Clients!D:D,Clients!APX:APX,2,0,1)))</f>
        <v/>
      </c>
      <c r="H41" s="37">
        <f>IF(AND(E41&gt;0,G41=0),"DTC Transferable Not Claimed Can Be Transferred","No Action")</f>
        <v/>
      </c>
      <c r="J41" s="667" t="inlineStr">
        <is>
          <t>Disability Amount</t>
        </is>
      </c>
      <c r="L41" t="inlineStr">
        <is>
          <t>Line 58440</t>
        </is>
      </c>
      <c r="M41" s="865">
        <f>IF(_xlfn.XLOOKUP(ClientNumber,Clients!D:D,Clients!BPO:BPO,2,0,1)=0,6180,(_xlfn.XLOOKUP(MainClient,Clients!D:D,Clients!BPO:BPO,2,0,1)))</f>
        <v/>
      </c>
      <c r="N41" s="37" t="inlineStr">
        <is>
          <t>Line 59070</t>
        </is>
      </c>
      <c r="O41" s="51">
        <f>IF(TransferName="NONE",0,(_xlfn.XLOOKUP(TransferNumber,Clients!D:D,Clients!BQS:BQS,2,0,1)))</f>
        <v/>
      </c>
      <c r="P41" s="37">
        <f>IF(AND(M41&gt;0,O41=0),"DTC Transferable Not Claimed Can Be Transferred","No Action")</f>
        <v/>
      </c>
    </row>
    <row r="42" ht="15.75" customHeight="1" thickBot="1">
      <c r="B42" s="667" t="inlineStr">
        <is>
          <t>Tuition Amount</t>
        </is>
      </c>
      <c r="D42" t="inlineStr">
        <is>
          <t>Line 59200</t>
        </is>
      </c>
      <c r="E42" s="861">
        <f>(_xlfn.XLOOKUP(ClientNumber,Clients!D:D,Clients!AQI:AQI,2,0,1))</f>
        <v/>
      </c>
      <c r="F42" s="37" t="inlineStr">
        <is>
          <t>Line 59090</t>
        </is>
      </c>
      <c r="G42" s="51">
        <f>IF(TransferName="NONE",0,(_xlfn.XLOOKUP(TransferNumber,Clients!D:D,Clients!APY:APY,2,0,1)))</f>
        <v/>
      </c>
      <c r="H42" s="37">
        <f>IF(AND(E42&gt;0,G42=0),"Tuition Can Be Transferred","No Action")</f>
        <v/>
      </c>
      <c r="J42" s="667" t="inlineStr">
        <is>
          <t>Tuition Amount</t>
        </is>
      </c>
      <c r="L42" t="inlineStr">
        <is>
          <t>Line 59200</t>
        </is>
      </c>
      <c r="M42" s="865">
        <f>(_xlfn.XLOOKUP(MainClient,Clients!D:D,Clients!BRD:BRD,2,0,1))</f>
        <v/>
      </c>
      <c r="N42" s="37" t="inlineStr">
        <is>
          <t>Line 59090</t>
        </is>
      </c>
      <c r="O42" s="51">
        <f>IF(TransferName="NONE",0,(_xlfn.XLOOKUP(TransferNumber,Clients!D:D,Clients!BQT:BQT,2,0,1)))</f>
        <v/>
      </c>
      <c r="P42" s="37">
        <f>IF(AND(M42&gt;0,O42=0),"Tuition Can Be Transferred","No Action")</f>
        <v/>
      </c>
    </row>
    <row r="43">
      <c r="B43" s="667" t="n"/>
      <c r="E43" s="771">
        <f>SUM(E39:E42)</f>
        <v/>
      </c>
      <c r="F43" s="37" t="n"/>
      <c r="G43" s="667">
        <f>SUM(G39:G42)</f>
        <v/>
      </c>
      <c r="H43" s="37" t="n"/>
      <c r="J43" s="667" t="n"/>
      <c r="M43" s="872">
        <f>SUM(M39:M42)</f>
        <v/>
      </c>
      <c r="N43" s="37" t="n"/>
      <c r="O43" s="667">
        <f>SUM(O39:O42)</f>
        <v/>
      </c>
      <c r="P43" s="37" t="n"/>
    </row>
    <row r="44">
      <c r="A44" t="inlineStr">
        <is>
          <t>`</t>
        </is>
      </c>
      <c r="B44" s="667" t="n"/>
      <c r="C44" s="668" t="n"/>
      <c r="E44" s="771" t="n"/>
      <c r="F44" s="37" t="n"/>
      <c r="G44" s="668" t="n"/>
      <c r="H44" s="37" t="n"/>
      <c r="J44" s="667" t="n"/>
      <c r="K44" s="668" t="n"/>
      <c r="M44" s="872" t="n"/>
      <c r="N44" s="37" t="n"/>
      <c r="O44" s="668" t="n"/>
      <c r="P44" s="37" t="n"/>
    </row>
    <row r="45" ht="15.75" customHeight="1" thickBot="1">
      <c r="B45" s="34" t="n"/>
      <c r="F45" s="35" t="n"/>
      <c r="H45" s="35" t="n"/>
      <c r="J45" s="34" t="n"/>
      <c r="N45" s="35" t="n"/>
      <c r="P45" s="35" t="n"/>
    </row>
    <row r="46" ht="15.75" customHeight="1" thickBot="1">
      <c r="B46" s="667" t="inlineStr">
        <is>
          <t>Line 26000</t>
        </is>
      </c>
      <c r="C46" s="36">
        <f>(_xlfn.XLOOKUP(MainClient,Clients!D:D,Clients!AFS:AFS,2,0,1))</f>
        <v/>
      </c>
      <c r="F46" s="35" t="n"/>
      <c r="G46" s="34">
        <f>IF(E69&gt;E41,"other transferable credits","DTC Only")</f>
        <v/>
      </c>
      <c r="H46" s="35" t="n"/>
      <c r="J46" s="667" t="inlineStr">
        <is>
          <t>Line 26000</t>
        </is>
      </c>
      <c r="K46" s="36">
        <f>(_xlfn.XLOOKUP(MainClient,Clients!D:D,Clients!BGN:BGN,2,0,1))</f>
        <v/>
      </c>
      <c r="N46" s="35" t="n"/>
      <c r="O46" s="34">
        <f>IF(M69&gt;M41,"other transferable credits","DTC Only")</f>
        <v/>
      </c>
      <c r="P46" s="35" t="n"/>
    </row>
    <row r="47" ht="15.75" customHeight="1" thickBot="1">
      <c r="B47" s="34" t="n"/>
      <c r="F47" s="35" t="n"/>
      <c r="G47" s="34" t="n"/>
      <c r="H47" s="35" t="n"/>
      <c r="J47" s="34" t="n"/>
      <c r="N47" s="35" t="n"/>
      <c r="O47" s="34" t="n"/>
      <c r="P47" s="35" t="n"/>
    </row>
    <row r="48" ht="15.75" customHeight="1" thickBot="1">
      <c r="B48" s="55" t="inlineStr">
        <is>
          <t>Line 58040</t>
        </is>
      </c>
      <c r="C48" s="36">
        <f>(_xlfn.XLOOKUP(ClientNumber,Clients!D:D,Clients!ANQ:ANQ,2,0,1))</f>
        <v/>
      </c>
      <c r="F48" s="35" t="n"/>
      <c r="G48" s="34" t="n"/>
      <c r="H48" s="35" t="n"/>
      <c r="J48" s="55" t="inlineStr">
        <is>
          <t>Line 58040</t>
        </is>
      </c>
      <c r="K48" s="36">
        <f>(_xlfn.XLOOKUP(MainClient,Clients!D:D,Clients!BOL:BOL,2,0,1))</f>
        <v/>
      </c>
      <c r="N48" s="35" t="n"/>
      <c r="O48" s="34" t="n"/>
      <c r="P48" s="35" t="n"/>
    </row>
    <row r="49" ht="15.75" customHeight="1" thickBot="1">
      <c r="B49" s="55" t="inlineStr">
        <is>
          <t>Line 58240</t>
        </is>
      </c>
      <c r="C49" s="36">
        <f>(_xlfn.XLOOKUP(ClientNumber,Clients!D:D,Clients!AOF:AOF,2,0,1))</f>
        <v/>
      </c>
      <c r="F49" s="35" t="n"/>
      <c r="G49" s="34" t="n"/>
      <c r="H49" s="35" t="n"/>
      <c r="J49" s="55" t="inlineStr">
        <is>
          <t>Line 58240</t>
        </is>
      </c>
      <c r="K49" s="36">
        <f>(_xlfn.XLOOKUP(MainClient,Clients!D:D,Clients!BPA:BPA,2,0,1))</f>
        <v/>
      </c>
      <c r="N49" s="35" t="n"/>
      <c r="O49" s="34" t="n"/>
      <c r="P49" s="35" t="n"/>
    </row>
    <row r="50" ht="15.75" customHeight="1" thickBot="1">
      <c r="B50" s="55" t="inlineStr">
        <is>
          <t>Line 58280</t>
        </is>
      </c>
      <c r="C50" s="36">
        <f>(_xlfn.XLOOKUP(ClientNumber,Clients!D:D,Clients!AOG:AOG,2,0,1))</f>
        <v/>
      </c>
      <c r="F50" s="35" t="n"/>
      <c r="G50" s="34" t="n"/>
      <c r="H50" s="35" t="n"/>
      <c r="J50" s="55" t="inlineStr">
        <is>
          <t>Line 58280</t>
        </is>
      </c>
      <c r="K50" s="36">
        <f>(_xlfn.XLOOKUP(MainClient,Clients!D:D,Clients!BPB:BPB,2,0,1))</f>
        <v/>
      </c>
      <c r="N50" s="35" t="n"/>
      <c r="P50" s="35" t="n"/>
    </row>
    <row r="51" ht="15.75" customHeight="1" thickBot="1">
      <c r="B51" s="55" t="inlineStr">
        <is>
          <t>Line 58300</t>
        </is>
      </c>
      <c r="C51" s="36">
        <f>(_xlfn.XLOOKUP(ClientNumber,Clients!D:D,Clients!AOH:AOH,2,0,1))</f>
        <v/>
      </c>
      <c r="F51" s="35" t="n"/>
      <c r="G51" s="34" t="n"/>
      <c r="H51" s="35" t="n"/>
      <c r="J51" s="55" t="inlineStr">
        <is>
          <t>Line 58300</t>
        </is>
      </c>
      <c r="K51" s="36">
        <f>(_xlfn.XLOOKUP(MainClient,Clients!D:D,Clients!BPC:BPC,2,0,1))</f>
        <v/>
      </c>
      <c r="N51" s="35" t="n"/>
      <c r="O51" s="34" t="n"/>
      <c r="P51" s="35" t="n"/>
    </row>
    <row r="52" ht="15.75" customHeight="1" thickBot="1">
      <c r="B52" s="55" t="inlineStr">
        <is>
          <t>Line 58305</t>
        </is>
      </c>
      <c r="C52" s="36">
        <f>(_xlfn.XLOOKUP(ClientNumber,Clients!D:D,Clients!AOI:AOI,2,0,1))</f>
        <v/>
      </c>
      <c r="F52" s="35" t="n"/>
      <c r="G52" s="34" t="n"/>
      <c r="H52" s="35" t="n"/>
      <c r="J52" s="55" t="inlineStr">
        <is>
          <t>Line 58305</t>
        </is>
      </c>
      <c r="K52" s="36">
        <f>(_xlfn.XLOOKUP(MainClient,Clients!D:D,Clients!BPD:BPD,2,0,1))</f>
        <v/>
      </c>
      <c r="N52" s="35" t="n"/>
      <c r="O52" s="34" t="n"/>
      <c r="P52" s="35" t="n"/>
    </row>
    <row r="53" ht="15.75" customHeight="1" thickBot="1">
      <c r="B53" s="55" t="inlineStr">
        <is>
          <t>Line 58315</t>
        </is>
      </c>
      <c r="C53" s="36">
        <f>(_xlfn.XLOOKUP(ClientNumber,Clients!D:D,Clients!AOK:AOK,2,0,1))</f>
        <v/>
      </c>
      <c r="F53" s="35" t="n"/>
      <c r="G53" s="34" t="n"/>
      <c r="H53" s="35" t="n"/>
      <c r="J53" s="55" t="inlineStr">
        <is>
          <t>Line 58315</t>
        </is>
      </c>
      <c r="K53" s="36">
        <f>(_xlfn.XLOOKUP(MainClient,Clients!D:D,Clients!BPF:BPF,2,0,1))</f>
        <v/>
      </c>
      <c r="N53" s="35" t="n"/>
      <c r="O53" s="34" t="n"/>
      <c r="P53" s="35" t="n"/>
    </row>
    <row r="54" ht="15.75" customHeight="1" thickBot="1">
      <c r="B54" s="55" t="inlineStr">
        <is>
          <t>Line 58316</t>
        </is>
      </c>
      <c r="C54" s="36">
        <f>(_xlfn.XLOOKUP(ClientNumber,Clients!D:D,Clients!AOL:AOL,2,0,1))</f>
        <v/>
      </c>
      <c r="F54" s="35" t="n"/>
      <c r="G54" s="34" t="n"/>
      <c r="H54" s="35" t="n"/>
      <c r="J54" s="55" t="inlineStr">
        <is>
          <t>Line 58316</t>
        </is>
      </c>
      <c r="K54" s="36">
        <f>(_xlfn.XLOOKUP(MainClient,Clients!D:D,Clients!BPG:BPG,2,0,1))</f>
        <v/>
      </c>
      <c r="N54" s="35" t="n"/>
      <c r="O54" s="34" t="n"/>
      <c r="P54" s="35" t="n"/>
    </row>
    <row r="55" ht="15.75" customHeight="1" thickBot="1">
      <c r="B55" s="55" t="inlineStr">
        <is>
          <t>Line 58325</t>
        </is>
      </c>
      <c r="C55" s="36">
        <f>(_xlfn.XLOOKUP(ClientNumber,Clients!D:D,Clients!AON:AON,2,0,1))</f>
        <v/>
      </c>
      <c r="F55" s="35" t="n"/>
      <c r="G55" s="34" t="n"/>
      <c r="H55" s="35" t="n"/>
      <c r="J55" s="55" t="inlineStr">
        <is>
          <t>Line 58325</t>
        </is>
      </c>
      <c r="K55" s="36">
        <f>(_xlfn.XLOOKUP(MainClient,Clients!D:D,Clients!BPI:BPI,2,0,1))</f>
        <v/>
      </c>
      <c r="N55" s="35" t="n"/>
      <c r="O55" s="34" t="n"/>
      <c r="P55" s="35" t="n"/>
    </row>
    <row r="56" ht="15.75" customHeight="1" thickBot="1">
      <c r="B56" s="55" t="inlineStr">
        <is>
          <t>Line 58326</t>
        </is>
      </c>
      <c r="C56" s="36">
        <f>(_xlfn.XLOOKUP(ClientNumber,Clients!D:D,Clients!AOO:AOO,2,0,1))</f>
        <v/>
      </c>
      <c r="F56" s="35" t="n"/>
      <c r="G56" s="34" t="n"/>
      <c r="H56" s="35" t="n"/>
      <c r="J56" s="55" t="inlineStr">
        <is>
          <t>Line 58326</t>
        </is>
      </c>
      <c r="K56" s="36">
        <f>(_xlfn.XLOOKUP(MainClient,Clients!D:D,Clients!BPJ:BPJ,2,0,1))</f>
        <v/>
      </c>
      <c r="N56" s="35" t="n"/>
      <c r="O56" s="34" t="n"/>
      <c r="P56" s="35" t="n"/>
    </row>
    <row r="57" ht="15.75" customHeight="1" thickBot="1">
      <c r="B57" s="55" t="inlineStr">
        <is>
          <t>Line 58330</t>
        </is>
      </c>
      <c r="C57" s="36">
        <f>(_xlfn.XLOOKUP(ClientNumber,Clients!D:D,Clients!AOP:AOP,2,0,1))</f>
        <v/>
      </c>
      <c r="F57" s="35" t="n"/>
      <c r="G57" s="34" t="n"/>
      <c r="H57" s="35" t="n"/>
      <c r="J57" s="55" t="inlineStr">
        <is>
          <t>Line 58330</t>
        </is>
      </c>
      <c r="K57" s="36">
        <f>(_xlfn.XLOOKUP(MainClient,Clients!D:D,Clients!BPK:BPK,2,0,1))</f>
        <v/>
      </c>
      <c r="N57" s="35" t="n"/>
      <c r="O57" s="34" t="n"/>
      <c r="P57" s="35" t="n"/>
    </row>
    <row r="58" ht="15.75" customHeight="1" thickBot="1">
      <c r="B58" s="55" t="inlineStr">
        <is>
          <t>Line 58560</t>
        </is>
      </c>
      <c r="C58" s="36">
        <f>(_xlfn.XLOOKUP(ClientNumber,Clients!D:D,Clients!AOX:AOX,2,0,1))</f>
        <v/>
      </c>
      <c r="F58" s="35" t="n"/>
      <c r="G58" s="34" t="inlineStr">
        <is>
          <t>Line 32600</t>
        </is>
      </c>
      <c r="H58" s="35">
        <f>IF(TransferName="NONE",0,(_xlfn.XLOOKUP(TransferNumber,Clients!D:D,Clients!CIH:CIH,2,0,1)))</f>
        <v/>
      </c>
      <c r="J58" s="55" t="inlineStr">
        <is>
          <t>Line 58560</t>
        </is>
      </c>
      <c r="K58" s="36">
        <f>(_xlfn.XLOOKUP(MainClient,Clients!D:D,Clients!BPS:BPS,2,0,1))</f>
        <v/>
      </c>
      <c r="N58" s="35" t="n"/>
      <c r="O58" s="34" t="inlineStr">
        <is>
          <t>Line 326</t>
        </is>
      </c>
      <c r="P58" s="35">
        <f>IFERROR(_xlfn.XLOOKUP(TransferNumber,Clients!D:D,Clients!FJZ:FJZ,2,0,1),0)</f>
        <v/>
      </c>
    </row>
    <row r="59" ht="15.75" customHeight="1" thickBot="1">
      <c r="B59" s="55" t="n"/>
      <c r="C59" s="36" t="n"/>
      <c r="F59" s="35" t="n"/>
      <c r="G59" s="34" t="n"/>
      <c r="H59" s="35" t="n"/>
      <c r="J59" s="55" t="n"/>
      <c r="K59" s="36" t="n"/>
      <c r="N59" s="35" t="n"/>
      <c r="O59" s="34" t="n"/>
      <c r="P59" s="35" t="n"/>
    </row>
    <row r="60" ht="15.75" customHeight="1" thickBot="1">
      <c r="B60" s="55" t="n"/>
      <c r="C60" s="36" t="n"/>
      <c r="F60" s="35" t="n"/>
      <c r="G60" s="34" t="n"/>
      <c r="H60" s="35" t="n"/>
      <c r="J60" s="55" t="n"/>
      <c r="K60" s="36" t="n"/>
      <c r="N60" s="35" t="n"/>
      <c r="O60" s="34" t="n"/>
      <c r="P60" s="35" t="n"/>
    </row>
    <row r="61" ht="15.75" customHeight="1" thickBot="1">
      <c r="B61" s="55" t="n"/>
      <c r="C61" s="36" t="n"/>
      <c r="F61" s="35" t="n"/>
      <c r="G61" s="34" t="n"/>
      <c r="H61" s="35" t="n"/>
      <c r="J61" s="55" t="n"/>
      <c r="K61" s="36" t="n"/>
      <c r="N61" s="35" t="n"/>
      <c r="O61" s="34" t="n"/>
      <c r="P61" s="35" t="n"/>
    </row>
    <row r="62" ht="15.75" customHeight="1" thickBot="1">
      <c r="B62" s="55" t="n"/>
      <c r="C62" s="36" t="n"/>
      <c r="F62" s="35" t="n"/>
      <c r="G62" s="34" t="n"/>
      <c r="H62" s="35">
        <f>IF(E67&gt;0,E43-G43,0)</f>
        <v/>
      </c>
      <c r="J62" s="55" t="n"/>
      <c r="K62" s="36" t="n"/>
      <c r="N62" s="35" t="n"/>
      <c r="O62" s="34" t="n"/>
      <c r="P62" s="35">
        <f>IF(M67&gt;0,M43-O43,0)</f>
        <v/>
      </c>
    </row>
    <row r="63" ht="15.75" customHeight="1" thickBot="1">
      <c r="B63" s="55" t="n"/>
      <c r="C63" s="36" t="n"/>
      <c r="F63" s="35" t="n"/>
      <c r="H63" s="52">
        <f>IF(TransferName="NONE",F68,IF(H62&gt;0,(E67-G43)*0.108,0))</f>
        <v/>
      </c>
      <c r="J63" s="55" t="n"/>
      <c r="K63" s="36" t="n"/>
      <c r="N63" s="35" t="n"/>
      <c r="P63" s="52">
        <f>IF(TransferName="NONE",N68,IF(P62&gt;0,(M67-O43)*0.108,0))</f>
        <v/>
      </c>
    </row>
    <row r="64">
      <c r="B64" s="667" t="n"/>
      <c r="F64" s="35" t="n"/>
      <c r="G64" s="34" t="inlineStr">
        <is>
          <t>Transferable</t>
        </is>
      </c>
      <c r="H64" s="52">
        <f>IF(H63&gt;0,H63,0)</f>
        <v/>
      </c>
      <c r="J64" s="667" t="n"/>
      <c r="N64" s="35" t="n"/>
      <c r="O64" s="34" t="inlineStr">
        <is>
          <t>Transferable</t>
        </is>
      </c>
      <c r="P64" s="52">
        <f>IF(P63&gt;0,P63,0)</f>
        <v/>
      </c>
    </row>
    <row r="65">
      <c r="B65" s="667" t="inlineStr">
        <is>
          <t>Adjusted Taxable Income</t>
        </is>
      </c>
      <c r="C65">
        <f>C46-(SUM(C48:C63))</f>
        <v/>
      </c>
      <c r="D65" s="13" t="inlineStr">
        <is>
          <t>Line 5864</t>
        </is>
      </c>
      <c r="E65" s="39">
        <f>IF(C65&gt;0,C65,0)</f>
        <v/>
      </c>
      <c r="F65" s="35" t="n"/>
      <c r="G65" s="34" t="n"/>
      <c r="H65" s="35" t="n"/>
      <c r="J65" s="667" t="inlineStr">
        <is>
          <t>Adjusted Taxable Income</t>
        </is>
      </c>
      <c r="K65">
        <f>K46-(SUM(K48:K63))</f>
        <v/>
      </c>
      <c r="L65" s="13" t="inlineStr">
        <is>
          <t>Line 5864</t>
        </is>
      </c>
      <c r="M65" s="39">
        <f>IF(K65&gt;0,K65,0)</f>
        <v/>
      </c>
      <c r="N65" s="35" t="n"/>
      <c r="O65" s="34" t="n"/>
      <c r="P65" s="35" t="n"/>
    </row>
    <row r="66" ht="15.75" customHeight="1" thickBot="1">
      <c r="B66" s="34" t="n"/>
      <c r="F66" s="35" t="n"/>
      <c r="G66" s="34" t="n"/>
      <c r="H66" s="35" t="n"/>
      <c r="J66" s="34" t="n"/>
      <c r="N66" s="35" t="n"/>
      <c r="O66" s="34" t="n"/>
      <c r="P66" s="35" t="n"/>
    </row>
    <row r="67" ht="15.75" customHeight="1" thickBot="1">
      <c r="B67" s="34" t="n"/>
      <c r="D67" s="21" t="inlineStr">
        <is>
          <t>Prov Trans</t>
        </is>
      </c>
      <c r="E67" s="36">
        <f>(E43-E65)</f>
        <v/>
      </c>
      <c r="F67" s="40" t="n"/>
      <c r="G67" s="34" t="n"/>
      <c r="H67" s="52" t="n"/>
      <c r="J67" s="34" t="n"/>
      <c r="L67" s="21" t="inlineStr">
        <is>
          <t>Prov Trans</t>
        </is>
      </c>
      <c r="M67" s="36">
        <f>(M43-M65)</f>
        <v/>
      </c>
      <c r="N67" s="40" t="n"/>
      <c r="O67" s="34" t="n"/>
      <c r="P67" s="52" t="n"/>
    </row>
    <row r="68" ht="15.75" customHeight="1" thickBot="1">
      <c r="B68" s="34" t="n"/>
      <c r="C68" s="579" t="inlineStr">
        <is>
          <t>DTC Transferable ESTIMATE</t>
        </is>
      </c>
      <c r="D68" s="35" t="n"/>
      <c r="E68" s="36">
        <f>IF(E67&lt;0,0,(IF(E67&gt;E41,E41,E67)))</f>
        <v/>
      </c>
      <c r="F68" s="40">
        <f>IF(E68&gt;0,E68*0.108,"No Transfer Required")</f>
        <v/>
      </c>
      <c r="G68" s="678" t="n"/>
      <c r="H68" s="52" t="n"/>
      <c r="J68" s="34" t="n"/>
      <c r="K68" s="579" t="inlineStr">
        <is>
          <t>DTC Transferable ESTIMATE</t>
        </is>
      </c>
      <c r="L68" s="35" t="n"/>
      <c r="M68" s="36">
        <f>IF(M67&lt;0,0,(IF(M67&gt;M41,M41,M67)))</f>
        <v/>
      </c>
      <c r="N68" s="40">
        <f>IF(M68&gt;0,M68*0.108,"No Transfer Required")</f>
        <v/>
      </c>
      <c r="O68" s="58" t="n"/>
      <c r="P68" s="52" t="n"/>
    </row>
    <row r="69" ht="15.75" customHeight="1" thickBot="1">
      <c r="B69" s="42" t="n"/>
      <c r="C69" s="41" t="n"/>
      <c r="D69" s="43" t="inlineStr">
        <is>
          <t>Net Transferable</t>
        </is>
      </c>
      <c r="E69" s="36">
        <f>IF(E67&lt;0,0,(IF(E67-G39-G40-G42&lt;0,E67,(E67-G39-G40-G42))))</f>
        <v/>
      </c>
      <c r="F69" s="57">
        <f>IF(E69&gt;0,E69*0.108,"0")</f>
        <v/>
      </c>
      <c r="G69" s="42" t="n"/>
      <c r="H69" s="864" t="n"/>
      <c r="J69" s="42" t="n"/>
      <c r="K69" s="41" t="n"/>
      <c r="L69" s="43" t="inlineStr">
        <is>
          <t>Net Transferable</t>
        </is>
      </c>
      <c r="M69" s="36">
        <f>IF(M67&lt;0,0,(IF(M67-O39-O40-O42&lt;0,M67,(M67-O39-O40-O42))))</f>
        <v/>
      </c>
      <c r="N69" s="57">
        <f>IF(M69&gt;0,M69*0.108,"0")</f>
        <v/>
      </c>
      <c r="O69" s="59" t="n"/>
      <c r="P69" s="864" t="n"/>
    </row>
    <row r="71" ht="15.75" customHeight="1" thickBot="1">
      <c r="E71">
        <f>Calculator!$D$5</f>
        <v/>
      </c>
      <c r="H71">
        <f>TransferName</f>
        <v/>
      </c>
      <c r="M71">
        <f>Calculator!$D$5</f>
        <v/>
      </c>
      <c r="P71">
        <f>TransferName</f>
        <v/>
      </c>
    </row>
    <row r="72" ht="15.75" customHeight="1" thickBot="1">
      <c r="B72" s="874" t="inlineStr">
        <is>
          <t>2020 MANITOBA Provincial</t>
        </is>
      </c>
      <c r="C72" s="778" t="n"/>
      <c r="D72" s="778" t="n"/>
      <c r="E72" s="778" t="n"/>
      <c r="F72" s="778" t="n"/>
      <c r="G72" s="778" t="n"/>
      <c r="H72" s="780" t="n"/>
      <c r="J72" s="874" t="inlineStr">
        <is>
          <t>2019 MANITOBA Provincial</t>
        </is>
      </c>
      <c r="K72" s="778" t="n"/>
      <c r="L72" s="778" t="n"/>
      <c r="M72" s="778" t="n"/>
      <c r="N72" s="778" t="n"/>
      <c r="O72" s="778" t="n"/>
      <c r="P72" s="780" t="n"/>
    </row>
    <row r="73" ht="28.5" customHeight="1" thickBot="1">
      <c r="B73" s="34" t="n"/>
      <c r="D73" t="inlineStr">
        <is>
          <t>Line</t>
        </is>
      </c>
      <c r="E73" t="inlineStr">
        <is>
          <t>Amt</t>
        </is>
      </c>
      <c r="F73" s="35" t="n"/>
      <c r="G73" s="667" t="inlineStr">
        <is>
          <t>Spouse</t>
        </is>
      </c>
      <c r="H73" s="35" t="inlineStr">
        <is>
          <t>S2 Adjustment</t>
        </is>
      </c>
      <c r="J73" s="34" t="n"/>
      <c r="L73" t="inlineStr">
        <is>
          <t>Line</t>
        </is>
      </c>
      <c r="M73" t="inlineStr">
        <is>
          <t>Amt</t>
        </is>
      </c>
      <c r="N73" s="35" t="n"/>
      <c r="O73" s="34" t="inlineStr">
        <is>
          <t>Spouse</t>
        </is>
      </c>
      <c r="P73" s="35" t="inlineStr">
        <is>
          <t>S2 Adjustment</t>
        </is>
      </c>
    </row>
    <row r="74" ht="15.75" customHeight="1" thickBot="1">
      <c r="B74" s="667" t="inlineStr">
        <is>
          <t>Age Amount</t>
        </is>
      </c>
      <c r="D74" t="inlineStr">
        <is>
          <t>Line 58080</t>
        </is>
      </c>
      <c r="E74" s="861">
        <f>(_xlfn.XLOOKUP(ClientNumber,Clients!D:D,Clients!CPH:CPH,2,0,1))</f>
        <v/>
      </c>
      <c r="F74" s="37" t="inlineStr">
        <is>
          <t>Line 59020</t>
        </is>
      </c>
      <c r="G74" s="51">
        <f>IF(TransferName="NONE",0,(_xlfn.XLOOKUP(TransferNumber,Clients!D:D,Clients!CRJ:CRJ,2,0,1)))</f>
        <v/>
      </c>
      <c r="H74" s="37">
        <f>IF(AND(E74&gt;0,G74=0),"Age Amount Can Be Transferred","No Action")</f>
        <v/>
      </c>
      <c r="J74" s="667" t="inlineStr">
        <is>
          <t>Age Amount</t>
        </is>
      </c>
      <c r="L74" t="inlineStr">
        <is>
          <t>Line 58080</t>
        </is>
      </c>
      <c r="M74" s="865">
        <f>(_xlfn.XLOOKUP(MainClient,Clients!D:D,Clients!DQC:DQC,2,0,1))</f>
        <v/>
      </c>
      <c r="N74" s="37" t="inlineStr">
        <is>
          <t>Line 59020</t>
        </is>
      </c>
      <c r="O74" s="51">
        <f>IF(TransferName="NONE",0,(_xlfn.XLOOKUP(TransferNumber,Clients!D:D,Clients!DSE:DSE,2,0,1)))</f>
        <v/>
      </c>
      <c r="P74" s="37">
        <f>IF(AND(M74&gt;0,O74=0),"Age Amount Can Be Transferred","No Action")</f>
        <v/>
      </c>
    </row>
    <row r="75" ht="15.75" customHeight="1" thickBot="1">
      <c r="B75" s="667" t="inlineStr">
        <is>
          <t>Pension Income Amount</t>
        </is>
      </c>
      <c r="D75" t="inlineStr">
        <is>
          <t>Line 58360 (mx 1000)</t>
        </is>
      </c>
      <c r="E75" s="861">
        <f>IF((_xlfn.XLOOKUP(ClientNumber,Clients!D:D,Clients!CQH:CQH,2,0,1)&lt;1000),(_xlfn.XLOOKUP(MainClient,Clients!D:D,Clients!CQH:CQH,2,0,1)),1000)</f>
        <v/>
      </c>
      <c r="F75" s="37" t="inlineStr">
        <is>
          <t>Line 59050</t>
        </is>
      </c>
      <c r="G75" s="51">
        <f>IF(TransferName="NONE",0,(_xlfn.XLOOKUP(TransferNumber,Clients!D:D,Clients!CRM:CRM,2,0,1)))</f>
        <v/>
      </c>
      <c r="H75" s="37">
        <f>IF(AND(E75&gt;0,G75=0),"Pension Income Amount Can Be Transferred","No Action")</f>
        <v/>
      </c>
      <c r="J75" s="667" t="inlineStr">
        <is>
          <t>Pension Income Amount</t>
        </is>
      </c>
      <c r="L75" t="inlineStr">
        <is>
          <t>Line 58360 (mx 1000)</t>
        </is>
      </c>
      <c r="M75" s="865">
        <f>IF((_xlfn.XLOOKUP(ClientNumber,Clients!D:D,Clients!DRC:DRC,2,0,1)&lt;1000),(_xlfn.XLOOKUP(MainClient,Clients!D:D,Clients!DRC:DRC,2,0,1)),1000)</f>
        <v/>
      </c>
      <c r="N75" s="37" t="inlineStr">
        <is>
          <t>Line 59050</t>
        </is>
      </c>
      <c r="O75" s="51">
        <f>IF(TransferName="NONE",0,(_xlfn.XLOOKUP(TransferNumber,Clients!D:D,Clients!DSH:DSH,2,0,1)))</f>
        <v/>
      </c>
      <c r="P75" s="37">
        <f>IF(AND(M75&gt;0,O75=0),"Pension Income Amount Can Be Transferred","No Action")</f>
        <v/>
      </c>
    </row>
    <row r="76" ht="15.75" customHeight="1" thickBot="1">
      <c r="B76" s="667" t="inlineStr">
        <is>
          <t>Disability Amount</t>
        </is>
      </c>
      <c r="D76" t="inlineStr">
        <is>
          <t>Line 58440</t>
        </is>
      </c>
      <c r="E76" s="861">
        <f>IF(_xlfn.XLOOKUP(ClientNumber,Clients!D:D,Clients!CQJ:CQJ,2,0,1)=0,6180,(_xlfn.XLOOKUP(MainClient,Clients!D:D,Clients!CQJ:CQJ,2,0,1)))</f>
        <v/>
      </c>
      <c r="F76" s="37" t="inlineStr">
        <is>
          <t>Line 59070</t>
        </is>
      </c>
      <c r="G76" s="51">
        <f>IF(TransferName="NONE",0,(_xlfn.XLOOKUP(TransferNumber,Clients!D:D,Clients!CRN:CRN,2,0,1)))</f>
        <v/>
      </c>
      <c r="H76" s="37">
        <f>IF(AND(E76&gt;0,G76=0),"DTC Transferable Not Claimed Can Be Transferred","No Action")</f>
        <v/>
      </c>
      <c r="J76" s="667" t="inlineStr">
        <is>
          <t>Disability Amount</t>
        </is>
      </c>
      <c r="L76" t="inlineStr">
        <is>
          <t>Line 58440</t>
        </is>
      </c>
      <c r="M76" s="865">
        <f>IF(_xlfn.XLOOKUP(ClientNumber,Clients!D:D,Clients!DRE:DRE,2,0,1)=0,6180,(_xlfn.XLOOKUP(MainClient,Clients!D:D,Clients!DRE:DRE,2,0,1)))</f>
        <v/>
      </c>
      <c r="N76" s="37" t="inlineStr">
        <is>
          <t>Line 59070</t>
        </is>
      </c>
      <c r="O76" s="51">
        <f>IF(TransferName="NONE",0,(_xlfn.XLOOKUP(TransferNumber,Clients!D:D,Clients!DSI:DSI,2,0,1)))</f>
        <v/>
      </c>
      <c r="P76" s="37">
        <f>IF(AND(M76&gt;0,O76=0),"DTC Transferable Not Claimed Can Be Transferred","No Action")</f>
        <v/>
      </c>
    </row>
    <row r="77" ht="15.75" customHeight="1" thickBot="1">
      <c r="B77" s="667" t="inlineStr">
        <is>
          <t>Tuition Amount</t>
        </is>
      </c>
      <c r="D77" t="inlineStr">
        <is>
          <t>Line 59200</t>
        </is>
      </c>
      <c r="E77" s="861">
        <f>(_xlfn.XLOOKUP(ClientNumber,Clients!D:D,Clients!CRY:CRY,2,0,1))</f>
        <v/>
      </c>
      <c r="F77" s="37" t="inlineStr">
        <is>
          <t>Line 59090</t>
        </is>
      </c>
      <c r="G77" s="51">
        <f>IF(TransferName="NONE",0,(_xlfn.XLOOKUP(TransferNumber,Clients!D:D,Clients!CRO:CRO,2,0,1)))</f>
        <v/>
      </c>
      <c r="H77" s="37">
        <f>IF(AND(E77&gt;0,G77=0),"Tuition Can Be Transferred","No Action")</f>
        <v/>
      </c>
      <c r="J77" s="667" t="inlineStr">
        <is>
          <t>Tuition Amount</t>
        </is>
      </c>
      <c r="L77" t="inlineStr">
        <is>
          <t>Line 59200</t>
        </is>
      </c>
      <c r="M77" s="865">
        <f>(_xlfn.XLOOKUP(MainClient,Clients!D:D,Clients!DST:DST,2,0,1))</f>
        <v/>
      </c>
      <c r="N77" s="37" t="inlineStr">
        <is>
          <t>Line 59090</t>
        </is>
      </c>
      <c r="O77" s="51">
        <f>IF(TransferName="NONE",0,(_xlfn.XLOOKUP(TransferNumber,Clients!D:D,Clients!DSJ:DSJ,2,0,1)))</f>
        <v/>
      </c>
      <c r="P77" s="37">
        <f>IF(AND(M77&gt;0,O77=0),"Tuition Can Be Transferred","No Action")</f>
        <v/>
      </c>
    </row>
    <row r="78">
      <c r="B78" s="667" t="n"/>
      <c r="E78" s="771">
        <f>SUM(E74:E77)</f>
        <v/>
      </c>
      <c r="F78" s="37" t="n"/>
      <c r="G78" s="667">
        <f>SUM(G74:G77)</f>
        <v/>
      </c>
      <c r="H78" s="37" t="n"/>
      <c r="J78" s="667" t="n"/>
      <c r="M78" s="872">
        <f>SUM(M74:M77)</f>
        <v/>
      </c>
      <c r="N78" s="37" t="n"/>
      <c r="O78" s="667">
        <f>SUM(O74:O77)</f>
        <v/>
      </c>
      <c r="P78" s="37" t="n"/>
    </row>
    <row r="79">
      <c r="B79" s="667" t="n"/>
      <c r="C79" s="668" t="n"/>
      <c r="E79" s="771" t="n"/>
      <c r="F79" s="37" t="n"/>
      <c r="G79" s="668" t="n"/>
      <c r="H79" s="37" t="n"/>
      <c r="J79" s="667" t="n"/>
      <c r="K79" s="668" t="n"/>
      <c r="M79" s="872" t="n"/>
      <c r="N79" s="37" t="n"/>
      <c r="O79" s="668" t="n"/>
      <c r="P79" s="37" t="n"/>
    </row>
    <row r="80" ht="15.75" customHeight="1" thickBot="1">
      <c r="B80" s="34" t="n"/>
      <c r="F80" s="35" t="n"/>
      <c r="H80" s="35" t="n"/>
      <c r="J80" s="34" t="n"/>
      <c r="N80" s="35" t="n"/>
      <c r="P80" s="35" t="n"/>
    </row>
    <row r="81" ht="15.75" customHeight="1" thickBot="1">
      <c r="B81" s="667" t="inlineStr">
        <is>
          <t>Line 26000</t>
        </is>
      </c>
      <c r="C81" s="36">
        <f>(_xlfn.XLOOKUP(MainClient,Clients!D:D,Clients!CHI:CHI,2,0,1))</f>
        <v/>
      </c>
      <c r="F81" s="35" t="n"/>
      <c r="G81" s="34">
        <f>IF(E104&gt;E76,"other transferable credits","DTC Only")</f>
        <v/>
      </c>
      <c r="H81" s="35" t="n"/>
      <c r="J81" s="667" t="inlineStr">
        <is>
          <t>Line 26000</t>
        </is>
      </c>
      <c r="K81" s="36">
        <f>(_xlfn.XLOOKUP(MainClient,Clients!D:D,Clients!DID:DID,2,0,1))</f>
        <v/>
      </c>
      <c r="N81" s="35" t="n"/>
      <c r="O81" s="34">
        <f>IF(M104&gt;M76,"other transferable credits","DTC Only")</f>
        <v/>
      </c>
      <c r="P81" s="35" t="n"/>
    </row>
    <row r="82" ht="15.75" customHeight="1" thickBot="1">
      <c r="B82" s="34" t="n"/>
      <c r="F82" s="35" t="n"/>
      <c r="G82" s="34" t="n"/>
      <c r="H82" s="35" t="n"/>
      <c r="J82" s="34" t="n"/>
      <c r="N82" s="35" t="n"/>
      <c r="O82" s="34" t="n"/>
      <c r="P82" s="35" t="n"/>
    </row>
    <row r="83" ht="15.75" customHeight="1" thickBot="1">
      <c r="B83" s="55" t="inlineStr">
        <is>
          <t>Line 58040</t>
        </is>
      </c>
      <c r="C83" s="36">
        <f>(_xlfn.XLOOKUP(ClientNumber,Clients!D:D,Clients!CPG:CPG,2,0,1))</f>
        <v/>
      </c>
      <c r="F83" s="35" t="n"/>
      <c r="G83" s="34" t="n"/>
      <c r="H83" s="35" t="n"/>
      <c r="J83" s="55" t="inlineStr">
        <is>
          <t>Line 58040</t>
        </is>
      </c>
      <c r="K83" s="36">
        <f>(_xlfn.XLOOKUP(MainClient,Clients!D:D,Clients!DQB:DQB,2,0,1))</f>
        <v/>
      </c>
      <c r="N83" s="35" t="n"/>
      <c r="O83" s="34" t="n"/>
      <c r="P83" s="35" t="n"/>
    </row>
    <row r="84" ht="15.75" customHeight="1" thickBot="1">
      <c r="B84" s="55" t="inlineStr">
        <is>
          <t>Line 58240</t>
        </is>
      </c>
      <c r="C84" s="36">
        <f>(_xlfn.XLOOKUP(ClientNumber,Clients!D:D,Clients!CHU:CHU,2,0,1))</f>
        <v/>
      </c>
      <c r="F84" s="35" t="n"/>
      <c r="G84" s="34" t="n"/>
      <c r="H84" s="35" t="n"/>
      <c r="J84" s="55" t="inlineStr">
        <is>
          <t>Line 58240</t>
        </is>
      </c>
      <c r="K84" s="36">
        <f>(_xlfn.XLOOKUP(MainClient,Clients!D:D,Clients!DQQ:DQQ,2,0,1))</f>
        <v/>
      </c>
      <c r="N84" s="35" t="n"/>
      <c r="O84" s="34" t="n"/>
      <c r="P84" s="35" t="n"/>
    </row>
    <row r="85" ht="15.75" customHeight="1" thickBot="1">
      <c r="B85" s="55" t="inlineStr">
        <is>
          <t>Line 58280</t>
        </is>
      </c>
      <c r="C85" s="36">
        <f>(_xlfn.XLOOKUP(ClientNumber,Clients!D:D,Clients!CHV:CHV,2,0,1))</f>
        <v/>
      </c>
      <c r="F85" s="35" t="n"/>
      <c r="G85" s="34" t="n"/>
      <c r="H85" s="35" t="n"/>
      <c r="J85" s="55" t="inlineStr">
        <is>
          <t>Line 58280</t>
        </is>
      </c>
      <c r="K85" s="36">
        <f>(_xlfn.XLOOKUP(MainClient,Clients!D:D,Clients!DQR:DQR,2,0,1))</f>
        <v/>
      </c>
      <c r="N85" s="35" t="n"/>
      <c r="P85" s="35" t="n"/>
    </row>
    <row r="86" ht="15.75" customHeight="1" thickBot="1">
      <c r="B86" s="55" t="inlineStr">
        <is>
          <t>Line 58300</t>
        </is>
      </c>
      <c r="C86" s="36">
        <f>(_xlfn.XLOOKUP(ClientNumber,Clients!D:D,Clients!CHW:CHW,2,0,1))</f>
        <v/>
      </c>
      <c r="F86" s="35" t="n"/>
      <c r="G86" s="34" t="n"/>
      <c r="H86" s="35" t="n"/>
      <c r="J86" s="55" t="inlineStr">
        <is>
          <t>Line 58300</t>
        </is>
      </c>
      <c r="K86" s="36">
        <f>(_xlfn.XLOOKUP(MainClient,Clients!D:D,Clients!DQS:DQS,2,0,1))</f>
        <v/>
      </c>
      <c r="N86" s="35" t="n"/>
      <c r="O86" s="34" t="n"/>
      <c r="P86" s="35" t="n"/>
    </row>
    <row r="87" ht="15.75" customHeight="1" thickBot="1">
      <c r="B87" s="55" t="inlineStr">
        <is>
          <t>Line 58305</t>
        </is>
      </c>
      <c r="C87" s="36">
        <f>(_xlfn.XLOOKUP(ClientNumber,Clients!D:D,Clients!CIA:CIA,2,0,1))</f>
        <v/>
      </c>
      <c r="F87" s="35" t="n"/>
      <c r="G87" s="34" t="n"/>
      <c r="H87" s="35" t="n"/>
      <c r="J87" s="55" t="inlineStr">
        <is>
          <t>Line 58305</t>
        </is>
      </c>
      <c r="K87" s="36">
        <f>(_xlfn.XLOOKUP(MainClient,Clients!D:D,Clients!DQT:DQT,2,0,1))</f>
        <v/>
      </c>
      <c r="N87" s="35" t="n"/>
      <c r="O87" s="34" t="n"/>
      <c r="P87" s="35" t="n"/>
    </row>
    <row r="88" ht="15.75" customHeight="1" thickBot="1">
      <c r="B88" s="55" t="inlineStr">
        <is>
          <t>Line 58315</t>
        </is>
      </c>
      <c r="C88" s="36">
        <f>(_xlfn.XLOOKUP(ClientNumber,Clients!D:D,Clients!CQA:CQA,2,0,1))</f>
        <v/>
      </c>
      <c r="F88" s="35" t="n"/>
      <c r="G88" s="34" t="n"/>
      <c r="H88" s="35" t="n"/>
      <c r="J88" s="55" t="inlineStr">
        <is>
          <t>Line 58315</t>
        </is>
      </c>
      <c r="K88" s="36">
        <f>(_xlfn.XLOOKUP(MainClient,Clients!D:D,Clients!DQV:DQV,2,0,1))</f>
        <v/>
      </c>
      <c r="N88" s="35" t="n"/>
      <c r="O88" s="34" t="n"/>
      <c r="P88" s="35" t="n"/>
    </row>
    <row r="89" ht="15.75" customHeight="1" thickBot="1">
      <c r="B89" s="55" t="inlineStr">
        <is>
          <t>Line 58316</t>
        </is>
      </c>
      <c r="C89" s="36">
        <f>(_xlfn.XLOOKUP(ClientNumber,Clients!D:D,Clients!CQB:CQB,2,0,1))</f>
        <v/>
      </c>
      <c r="F89" s="35" t="n"/>
      <c r="G89" s="34" t="n"/>
      <c r="H89" s="35" t="n"/>
      <c r="J89" s="55" t="inlineStr">
        <is>
          <t>Line 58316</t>
        </is>
      </c>
      <c r="K89" s="36">
        <f>(_xlfn.XLOOKUP(MainClient,Clients!D:D,Clients!DQW:DQW,2,0,1))</f>
        <v/>
      </c>
      <c r="N89" s="35" t="n"/>
      <c r="O89" s="34" t="n"/>
      <c r="P89" s="35" t="n"/>
    </row>
    <row r="90" ht="15.75" customHeight="1" thickBot="1">
      <c r="B90" s="55" t="inlineStr">
        <is>
          <t>Line 58325</t>
        </is>
      </c>
      <c r="C90" s="36">
        <f>(_xlfn.XLOOKUP(ClientNumber,Clients!D:D,Clients!CQD:CQD,2,0,1))</f>
        <v/>
      </c>
      <c r="F90" s="35" t="n"/>
      <c r="G90" s="34" t="n"/>
      <c r="H90" s="35" t="n"/>
      <c r="J90" s="55" t="inlineStr">
        <is>
          <t>Line 58325</t>
        </is>
      </c>
      <c r="K90" s="36">
        <f>(_xlfn.XLOOKUP(MainClient,Clients!D:D,Clients!DQY:DQY,2,0,1))</f>
        <v/>
      </c>
      <c r="N90" s="35" t="n"/>
      <c r="O90" s="34" t="n"/>
      <c r="P90" s="35" t="n"/>
    </row>
    <row r="91" ht="15.75" customHeight="1" thickBot="1">
      <c r="B91" s="55" t="inlineStr">
        <is>
          <t>Line 58326</t>
        </is>
      </c>
      <c r="C91" s="36">
        <f>(_xlfn.XLOOKUP(ClientNumber,Clients!D:D,Clients!CQE:CQE,2,0,1))</f>
        <v/>
      </c>
      <c r="F91" s="35" t="n"/>
      <c r="G91" s="34" t="n"/>
      <c r="H91" s="35" t="n"/>
      <c r="J91" s="55" t="inlineStr">
        <is>
          <t>Line 58326</t>
        </is>
      </c>
      <c r="K91" s="36">
        <f>(_xlfn.XLOOKUP(MainClient,Clients!D:D,Clients!DQZ:DQZ,2,0,1))</f>
        <v/>
      </c>
      <c r="N91" s="35" t="n"/>
      <c r="O91" s="34" t="n"/>
      <c r="P91" s="35" t="n"/>
    </row>
    <row r="92" ht="15.75" customHeight="1" thickBot="1">
      <c r="B92" s="55" t="inlineStr">
        <is>
          <t>Line 58330</t>
        </is>
      </c>
      <c r="C92" s="36">
        <f>(_xlfn.XLOOKUP(ClientNumber,Clients!D:D,Clients!CQF:CQF,2,0,1))</f>
        <v/>
      </c>
      <c r="F92" s="35" t="n"/>
      <c r="G92" s="34" t="n"/>
      <c r="H92" s="35" t="n"/>
      <c r="J92" s="55" t="inlineStr">
        <is>
          <t>Line 58330</t>
        </is>
      </c>
      <c r="K92" s="36">
        <f>(_xlfn.XLOOKUP(MainClient,Clients!D:D,Clients!DRA:DRA,2,0,1))</f>
        <v/>
      </c>
      <c r="N92" s="35" t="n"/>
      <c r="O92" s="34" t="n"/>
      <c r="P92" s="35" t="n"/>
    </row>
    <row r="93" ht="15.75" customHeight="1" thickBot="1">
      <c r="B93" s="55" t="inlineStr">
        <is>
          <t>Line 58560</t>
        </is>
      </c>
      <c r="C93" s="36">
        <f>(_xlfn.XLOOKUP(ClientNumber,Clients!D:D,Clients!CQN:CQN,2,0,1))</f>
        <v/>
      </c>
      <c r="F93" s="35" t="n"/>
      <c r="G93" s="34" t="inlineStr">
        <is>
          <t>Line 32600</t>
        </is>
      </c>
      <c r="H93" s="35">
        <f>IF(TransferName="NONE",0,(_xlfn.XLOOKUP(TransferNumber,Clients!D:D,Clients!CIH:CIH,2,0,1)))</f>
        <v/>
      </c>
      <c r="J93" s="55" t="inlineStr">
        <is>
          <t>Line 58560</t>
        </is>
      </c>
      <c r="K93" s="36">
        <f>(_xlfn.XLOOKUP(MainClient,Clients!D:D,Clients!DRI:DRI,2,0,1))</f>
        <v/>
      </c>
      <c r="N93" s="35" t="n"/>
      <c r="O93" s="34" t="inlineStr">
        <is>
          <t>Line 326</t>
        </is>
      </c>
      <c r="P93" s="35">
        <f>IFERROR(_xlfn.XLOOKUP(TransferNumber,Clients!D:D,Clients!FJZ:FJZ,2,0,1),0)</f>
        <v/>
      </c>
    </row>
    <row r="94" ht="15.75" customHeight="1" thickBot="1">
      <c r="B94" s="38" t="n"/>
      <c r="C94" s="36" t="n"/>
      <c r="F94" s="35" t="n"/>
      <c r="G94" s="34" t="n"/>
      <c r="H94" s="35" t="n"/>
      <c r="J94" s="38" t="n"/>
      <c r="K94" s="36" t="n"/>
      <c r="N94" s="35" t="n"/>
      <c r="O94" s="34" t="n"/>
      <c r="P94" s="35" t="n"/>
    </row>
    <row r="95" ht="15.75" customHeight="1" thickBot="1">
      <c r="B95" s="38" t="n"/>
      <c r="C95" s="36" t="n"/>
      <c r="F95" s="35" t="n"/>
      <c r="G95" s="34" t="n"/>
      <c r="H95" s="35" t="n"/>
      <c r="J95" s="38" t="n"/>
      <c r="K95" s="36" t="n"/>
      <c r="N95" s="35" t="n"/>
      <c r="O95" s="34" t="n"/>
      <c r="P95" s="35" t="n"/>
    </row>
    <row r="96" ht="15.75" customHeight="1" thickBot="1">
      <c r="B96" s="38" t="n"/>
      <c r="C96" s="36" t="n"/>
      <c r="F96" s="35" t="n"/>
      <c r="G96" s="34" t="n"/>
      <c r="H96" s="35" t="n"/>
      <c r="J96" s="38" t="n"/>
      <c r="K96" s="36" t="n"/>
      <c r="N96" s="35" t="n"/>
      <c r="O96" s="34" t="n"/>
      <c r="P96" s="35" t="n"/>
    </row>
    <row r="97" ht="15.75" customHeight="1" thickBot="1">
      <c r="B97" s="38" t="n"/>
      <c r="C97" s="36" t="n"/>
      <c r="F97" s="35" t="n"/>
      <c r="G97" s="34" t="n"/>
      <c r="H97" s="35">
        <f>IF(E102&gt;0,E78-G78,0)</f>
        <v/>
      </c>
      <c r="J97" s="38" t="n"/>
      <c r="K97" s="36" t="n"/>
      <c r="N97" s="35" t="n"/>
      <c r="O97" s="34" t="n"/>
      <c r="P97" s="35">
        <f>IF(M102&gt;0,M78-O78,0)</f>
        <v/>
      </c>
    </row>
    <row r="98" ht="15.75" customHeight="1" thickBot="1">
      <c r="B98" s="38" t="n"/>
      <c r="C98" s="36" t="n"/>
      <c r="F98" s="35" t="n"/>
      <c r="H98" s="52">
        <f>IF(TransferName="NONE",F103,IF(H97&gt;0,(E102-G78)*0.108,0))</f>
        <v/>
      </c>
      <c r="J98" s="38" t="n"/>
      <c r="K98" s="36" t="n"/>
      <c r="N98" s="35" t="n"/>
      <c r="P98" s="52">
        <f>IF(TransferName="NONE",N103,IF(P97&gt;0,(M102-O78)*0.108,0))</f>
        <v/>
      </c>
    </row>
    <row r="99">
      <c r="B99" s="667" t="n"/>
      <c r="F99" s="35" t="n"/>
      <c r="G99" s="34" t="inlineStr">
        <is>
          <t>Transferable</t>
        </is>
      </c>
      <c r="H99" s="52">
        <f>IF(H98&gt;0,H98,0)</f>
        <v/>
      </c>
      <c r="J99" s="667" t="n"/>
      <c r="N99" s="35" t="n"/>
      <c r="O99" s="34" t="inlineStr">
        <is>
          <t>Transferable</t>
        </is>
      </c>
      <c r="P99" s="52">
        <f>IF(P98&gt;0,P98,0)</f>
        <v/>
      </c>
    </row>
    <row r="100">
      <c r="B100" s="667" t="inlineStr">
        <is>
          <t>Adjusted Taxable Income</t>
        </is>
      </c>
      <c r="C100">
        <f>C81-(SUM(C83:C98))</f>
        <v/>
      </c>
      <c r="D100" s="13" t="inlineStr">
        <is>
          <t>Line 5864</t>
        </is>
      </c>
      <c r="E100" s="39">
        <f>IF(C100&gt;0,C100,0)</f>
        <v/>
      </c>
      <c r="F100" s="35" t="n"/>
      <c r="G100" s="34" t="n"/>
      <c r="H100" s="35" t="n"/>
      <c r="J100" s="667" t="inlineStr">
        <is>
          <t>Adjusted Taxable Income</t>
        </is>
      </c>
      <c r="K100">
        <f>K81-(SUM(K83:K98))</f>
        <v/>
      </c>
      <c r="L100" s="13" t="inlineStr">
        <is>
          <t>Line 5864</t>
        </is>
      </c>
      <c r="M100" s="39">
        <f>IF(K100&gt;0,K100,0)</f>
        <v/>
      </c>
      <c r="N100" s="35" t="n"/>
      <c r="O100" s="34" t="n"/>
      <c r="P100" s="35" t="n"/>
    </row>
    <row r="101" ht="15.75" customHeight="1" thickBot="1">
      <c r="B101" s="34" t="n"/>
      <c r="F101" s="35" t="n"/>
      <c r="G101" s="34" t="n"/>
      <c r="H101" s="35" t="n"/>
      <c r="J101" s="34" t="n"/>
      <c r="N101" s="35" t="n"/>
      <c r="O101" s="34" t="n"/>
      <c r="P101" s="35" t="n"/>
    </row>
    <row r="102" ht="15.75" customHeight="1" thickBot="1">
      <c r="B102" s="34" t="n"/>
      <c r="D102" s="21" t="inlineStr">
        <is>
          <t>Prov Trans</t>
        </is>
      </c>
      <c r="E102" s="36">
        <f>(E78-E100)</f>
        <v/>
      </c>
      <c r="F102" s="40" t="n"/>
      <c r="G102" s="34" t="n"/>
      <c r="H102" s="52" t="n"/>
      <c r="J102" s="34" t="n"/>
      <c r="L102" s="21" t="inlineStr">
        <is>
          <t>Prov Trans</t>
        </is>
      </c>
      <c r="M102" s="36">
        <f>(M78-M100)</f>
        <v/>
      </c>
      <c r="N102" s="40" t="n"/>
      <c r="O102" s="34" t="n"/>
      <c r="P102" s="52" t="n"/>
    </row>
    <row r="103" ht="15.75" customHeight="1" thickBot="1">
      <c r="B103" s="34" t="n"/>
      <c r="C103" s="579" t="inlineStr">
        <is>
          <t>DTC Transferable ESTIMATE</t>
        </is>
      </c>
      <c r="D103" s="35" t="n"/>
      <c r="E103" s="36">
        <f>IF(E102&lt;0,0,(IF(E102&gt;E76,E76,E102)))</f>
        <v/>
      </c>
      <c r="F103" s="40">
        <f>IF(E103&gt;0,E103*0.108,"No Transfer Required")</f>
        <v/>
      </c>
      <c r="G103" s="678" t="n"/>
      <c r="H103" s="52" t="n"/>
      <c r="J103" s="34" t="n"/>
      <c r="K103" s="579" t="inlineStr">
        <is>
          <t>DTC Transferable ESTIMATE</t>
        </is>
      </c>
      <c r="L103" s="35" t="n"/>
      <c r="M103" s="36">
        <f>IF(M102&lt;0,0,(IF(M102&gt;M76,M76,M102)))</f>
        <v/>
      </c>
      <c r="N103" s="40">
        <f>IF(M103&gt;0,M103*0.108,"No Transfer Required")</f>
        <v/>
      </c>
      <c r="O103" s="58" t="n"/>
      <c r="P103" s="52" t="n"/>
    </row>
    <row r="104" ht="15.75" customHeight="1" thickBot="1">
      <c r="B104" s="42" t="n"/>
      <c r="C104" s="41" t="n"/>
      <c r="D104" s="43" t="inlineStr">
        <is>
          <t>Net Transferable</t>
        </is>
      </c>
      <c r="E104" s="36">
        <f>IF(E102&lt;0,0,(IF(E102-G74-G75-G77&lt;0,E102,(E102-G74-G75-G77))))</f>
        <v/>
      </c>
      <c r="F104" s="57">
        <f>IF(E104&gt;0,E104*0.108,"0")</f>
        <v/>
      </c>
      <c r="G104" s="42" t="n"/>
      <c r="H104" s="864" t="n"/>
      <c r="J104" s="42" t="n"/>
      <c r="K104" s="41" t="n"/>
      <c r="L104" s="43" t="inlineStr">
        <is>
          <t>Net Transferable</t>
        </is>
      </c>
      <c r="M104" s="36">
        <f>IF(M102&lt;0,0,(IF(M102-O74-O75-O77&lt;0,M102,(M102-O74-O75-O77))))</f>
        <v/>
      </c>
      <c r="N104" s="57">
        <f>IF(M104&gt;0,M104*0.108,"0")</f>
        <v/>
      </c>
      <c r="O104" s="59" t="n"/>
      <c r="P104" s="864" t="n"/>
    </row>
    <row r="106" ht="15.75" customHeight="1" thickBot="1">
      <c r="E106">
        <f>Calculator!$D$5</f>
        <v/>
      </c>
      <c r="H106">
        <f>TransferName</f>
        <v/>
      </c>
      <c r="M106">
        <f>Calculator!$D$5</f>
        <v/>
      </c>
      <c r="P106">
        <f>TransferName</f>
        <v/>
      </c>
    </row>
    <row r="107" ht="15.75" customHeight="1" thickBot="1">
      <c r="B107" s="874" t="inlineStr">
        <is>
          <t>2018 MANITOBA Provincial</t>
        </is>
      </c>
      <c r="C107" s="778" t="n"/>
      <c r="D107" s="778" t="n"/>
      <c r="E107" s="778" t="n"/>
      <c r="F107" s="778" t="n"/>
      <c r="G107" s="778" t="n"/>
      <c r="H107" s="780" t="n"/>
      <c r="J107" s="874" t="inlineStr">
        <is>
          <t>2017 MANITOBA Provincial</t>
        </is>
      </c>
      <c r="K107" s="778" t="n"/>
      <c r="L107" s="778" t="n"/>
      <c r="M107" s="778" t="n"/>
      <c r="N107" s="778" t="n"/>
      <c r="O107" s="778" t="n"/>
      <c r="P107" s="780" t="n"/>
    </row>
    <row r="108" ht="15.75" customHeight="1" thickBot="1">
      <c r="B108" s="34" t="n"/>
      <c r="D108" t="inlineStr">
        <is>
          <t>Line</t>
        </is>
      </c>
      <c r="E108" t="inlineStr">
        <is>
          <t>Amt</t>
        </is>
      </c>
      <c r="F108" s="35" t="n"/>
      <c r="G108" s="667" t="inlineStr">
        <is>
          <t>Spouse</t>
        </is>
      </c>
      <c r="H108" s="35" t="inlineStr">
        <is>
          <t>S2 Adjustment</t>
        </is>
      </c>
      <c r="J108" s="34" t="n"/>
      <c r="L108" t="inlineStr">
        <is>
          <t>Line</t>
        </is>
      </c>
      <c r="M108" t="inlineStr">
        <is>
          <t>Amt</t>
        </is>
      </c>
      <c r="N108" s="35" t="n"/>
      <c r="O108" s="34" t="inlineStr">
        <is>
          <t>Spouse</t>
        </is>
      </c>
      <c r="P108" s="35" t="inlineStr">
        <is>
          <t>S2 Adjustment</t>
        </is>
      </c>
    </row>
    <row r="109" ht="15.75" customHeight="1" thickBot="1">
      <c r="B109" s="667" t="inlineStr">
        <is>
          <t>Age Amount</t>
        </is>
      </c>
      <c r="D109" t="inlineStr">
        <is>
          <t>Line 5808</t>
        </is>
      </c>
      <c r="E109" s="861">
        <f>(_xlfn.XLOOKUP(ClientNumber,Clients!D:D,Clients!EQZ:EQZ,2,0,1))</f>
        <v/>
      </c>
      <c r="F109" s="37" t="inlineStr">
        <is>
          <t>Line 59020</t>
        </is>
      </c>
      <c r="G109" s="51">
        <f>IF(TransferName="NONE",0,(_xlfn.XLOOKUP(TransferNumber,Clients!D:D,Clients!ETB:ETB,2,0,1)))</f>
        <v/>
      </c>
      <c r="H109" s="37">
        <f>IF(AND(E109&gt;0,G109=0),"Age Amount Can Be Transferred","No Action")</f>
        <v/>
      </c>
      <c r="J109" s="667" t="inlineStr">
        <is>
          <t>Age Amount</t>
        </is>
      </c>
      <c r="L109" t="inlineStr">
        <is>
          <t>Line 5808</t>
        </is>
      </c>
      <c r="M109" s="865">
        <f>(_xlfn.XLOOKUP(MainClient,Clients!D:D,Clients!FRB:FRB,2,0,1))</f>
        <v/>
      </c>
      <c r="N109" s="45" t="inlineStr">
        <is>
          <t>Line 59020</t>
        </is>
      </c>
      <c r="O109" s="51">
        <f>IF(TransferName="NONE",0,(_xlfn.XLOOKUP(TransferNumber,Clients!D:D,Clients!FTD:FTD,2,0,1)))</f>
        <v/>
      </c>
      <c r="P109" s="37">
        <f>IF(AND(M109&gt;0,O109=0),"Age Amount Can Be Transferred","No Action")</f>
        <v/>
      </c>
    </row>
    <row r="110" ht="15.75" customHeight="1" thickBot="1">
      <c r="B110" s="667" t="inlineStr">
        <is>
          <t>Pension Income Amount</t>
        </is>
      </c>
      <c r="D110" t="inlineStr">
        <is>
          <t>Line 5836 (mx 1000)</t>
        </is>
      </c>
      <c r="E110" s="861">
        <f>IF((_xlfn.XLOOKUP(ClientNumber,Clients!D:D,Clients!ERZ:ERZ,2,0,1)&lt;1000),(_xlfn.XLOOKUP(MainClient,Clients!D:D,Clients!ERZ:ERZ,2,0,1)),1000)</f>
        <v/>
      </c>
      <c r="F110" s="37" t="inlineStr">
        <is>
          <t>Line 59050</t>
        </is>
      </c>
      <c r="G110" s="51">
        <f>IF(TransferName="NONE",0,(_xlfn.XLOOKUP(TransferNumber,Clients!D:D,Clients!ETE:ETE,2,0,1)))</f>
        <v/>
      </c>
      <c r="H110" s="37">
        <f>IF(AND(E110&gt;0,G110=0),"Pension Income Amount Can Be Transferred","No Action")</f>
        <v/>
      </c>
      <c r="J110" s="667" t="inlineStr">
        <is>
          <t>Pension Income Amount</t>
        </is>
      </c>
      <c r="L110" t="inlineStr">
        <is>
          <t>Line 5836 (mx 1000)</t>
        </is>
      </c>
      <c r="M110" s="865">
        <f>IF((_xlfn.XLOOKUP(ClientNumber,Clients!D:D,Clients!FSB:FSB,2,0,1)&lt;1000),(_xlfn.XLOOKUP(MainClient,Clients!D:D,Clients!FSB:FSB,2,0,1)),1000)</f>
        <v/>
      </c>
      <c r="N110" s="45" t="inlineStr">
        <is>
          <t>Line 59050</t>
        </is>
      </c>
      <c r="O110" s="51">
        <f>IF(TransferName="NONE",0,(_xlfn.XLOOKUP(TransferNumber,Clients!D:D,Clients!FTG:FTG,2,0,1)))</f>
        <v/>
      </c>
      <c r="P110" s="37">
        <f>IF(AND(M110&gt;0,O110=0),"Pension Income Amount Can Be Transferred","No Action")</f>
        <v/>
      </c>
    </row>
    <row r="111" ht="15.75" customHeight="1" thickBot="1">
      <c r="B111" s="667" t="inlineStr">
        <is>
          <t>Disability Amount</t>
        </is>
      </c>
      <c r="D111" t="inlineStr">
        <is>
          <t xml:space="preserve">Line 5844 </t>
        </is>
      </c>
      <c r="E111" s="861">
        <f>IF(_xlfn.XLOOKUP(ClientNumber,Clients!D:D,Clients!ESB:ESB,2,0,1)=0,6180,(_xlfn.XLOOKUP(MainClient,Clients!D:D,Clients!ESB:ESB,2,0,1)))</f>
        <v/>
      </c>
      <c r="F111" s="37" t="inlineStr">
        <is>
          <t>Line 59070</t>
        </is>
      </c>
      <c r="G111" s="51">
        <f>IF(TransferName="NONE",0,(_xlfn.XLOOKUP(TransferNumber,Clients!D:D,Clients!ETF:ETF,2,0,1)))</f>
        <v/>
      </c>
      <c r="H111" s="37">
        <f>IF(AND(E111&gt;0,G111=0),"DTC Transferable Not Claimed Can Be Transferred","No Action")</f>
        <v/>
      </c>
      <c r="J111" s="667" t="inlineStr">
        <is>
          <t>Disability Amount</t>
        </is>
      </c>
      <c r="L111" t="inlineStr">
        <is>
          <t xml:space="preserve">Line 5844 </t>
        </is>
      </c>
      <c r="M111" s="865">
        <f>IF(_xlfn.XLOOKUP(ClientNumber,Clients!D:D,Clients!FSD:FSD,2,0,1)=0,6180,(_xlfn.XLOOKUP(MainClient,Clients!D:D,Clients!FSD:FSD,2,0,1)))</f>
        <v/>
      </c>
      <c r="N111" s="45" t="inlineStr">
        <is>
          <t>Line 59070</t>
        </is>
      </c>
      <c r="O111" s="51">
        <f>IF(TransferName="NONE",0,(_xlfn.XLOOKUP(TransferNumber,Clients!D:D,Clients!FTH:FTH,2,0,1)))</f>
        <v/>
      </c>
      <c r="P111" s="37">
        <f>IF(AND(M111&gt;0,O111=0),"DTC Transferable Not Claimed Can Be Transferred","No Action")</f>
        <v/>
      </c>
    </row>
    <row r="112" ht="15.75" customHeight="1" thickBot="1">
      <c r="B112" s="667" t="inlineStr">
        <is>
          <t>Tuition Amount</t>
        </is>
      </c>
      <c r="D112" t="inlineStr">
        <is>
          <t>Line 5920</t>
        </is>
      </c>
      <c r="E112" s="861">
        <f>(_xlfn.XLOOKUP(ClientNumber,Clients!D:D,Clients!ETP:ETP,2,0,1))</f>
        <v/>
      </c>
      <c r="F112" s="37" t="inlineStr">
        <is>
          <t>Line 59090</t>
        </is>
      </c>
      <c r="G112" s="51">
        <f>IF(TransferName="NONE",0,(_xlfn.XLOOKUP(TransferNumber,Clients!D:D,Clients!ETG:ETG,2,0,1)))</f>
        <v/>
      </c>
      <c r="H112" s="37">
        <f>IF(AND(E112&gt;0,G112=0),"Tuition Can Be Transferred","No Action")</f>
        <v/>
      </c>
      <c r="J112" s="667" t="inlineStr">
        <is>
          <t>Tuition Amount</t>
        </is>
      </c>
      <c r="L112" t="inlineStr">
        <is>
          <t>Line 5920</t>
        </is>
      </c>
      <c r="M112" s="865">
        <f>(_xlfn.XLOOKUP(MainClient,Clients!D:D,Clients!FTT:FTT,2,0,1))</f>
        <v/>
      </c>
      <c r="N112" s="45" t="inlineStr">
        <is>
          <t>Line 59090</t>
        </is>
      </c>
      <c r="O112" s="51">
        <f>IF(TransferName="NONE",0,(_xlfn.XLOOKUP(TransferNumber,Clients!D:D,Clients!FTI:FTI,2,0,1)))</f>
        <v/>
      </c>
      <c r="P112" s="37">
        <f>IF(AND(M112&gt;0,O112=0),"Tuition Can Be Transferred","No Action")</f>
        <v/>
      </c>
    </row>
    <row r="113">
      <c r="B113" s="667" t="n"/>
      <c r="E113" s="771">
        <f>SUM(E109:E112)</f>
        <v/>
      </c>
      <c r="F113" s="37" t="n"/>
      <c r="G113" s="667">
        <f>SUM(G109:G112)</f>
        <v/>
      </c>
      <c r="H113" s="37" t="n"/>
      <c r="J113" s="667" t="n"/>
      <c r="M113" s="872">
        <f>SUM(M109:M112)</f>
        <v/>
      </c>
      <c r="N113" s="37" t="n"/>
      <c r="O113" s="667">
        <f>SUM(O109:O112)</f>
        <v/>
      </c>
      <c r="P113" s="37" t="n"/>
    </row>
    <row r="114">
      <c r="B114" s="667" t="n"/>
      <c r="C114" s="668" t="n"/>
      <c r="E114" s="771" t="n"/>
      <c r="F114" s="37" t="n"/>
      <c r="G114" s="668" t="n"/>
      <c r="H114" s="37" t="n"/>
      <c r="J114" s="667" t="n"/>
      <c r="K114" s="668" t="n"/>
      <c r="M114" s="872" t="n"/>
      <c r="N114" s="37" t="n"/>
      <c r="O114" s="668" t="n"/>
      <c r="P114" s="37" t="n"/>
    </row>
    <row r="115" ht="15.75" customHeight="1" thickBot="1">
      <c r="B115" s="34" t="n"/>
      <c r="F115" s="35" t="n"/>
      <c r="H115" s="35" t="n"/>
      <c r="J115" s="34" t="n"/>
      <c r="N115" s="35" t="n"/>
      <c r="P115" s="35" t="n"/>
    </row>
    <row r="116" ht="15.75" customHeight="1" thickBot="1">
      <c r="B116" s="667" t="inlineStr">
        <is>
          <t>Line 260</t>
        </is>
      </c>
      <c r="C116" s="36">
        <f>(_xlfn.XLOOKUP(MainClient,Clients!D:D,Clients!EIY:EIY,2,0,1))</f>
        <v/>
      </c>
      <c r="F116" s="35" t="n"/>
      <c r="G116" s="34">
        <f>IF(E139&gt;E111,"other transferable credits","DTC Only")</f>
        <v/>
      </c>
      <c r="H116" s="35" t="n"/>
      <c r="J116" s="667" t="inlineStr">
        <is>
          <t>Line 260</t>
        </is>
      </c>
      <c r="K116" s="36">
        <f>(_xlfn.XLOOKUP(MainClient,Clients!D:D,Clients!FJA:FJA,2,0,1))</f>
        <v/>
      </c>
      <c r="N116" s="35" t="n"/>
      <c r="O116" s="34">
        <f>IF(M139&gt;M111,"other transferable credits","DTC Only")</f>
        <v/>
      </c>
      <c r="P116" s="35" t="n"/>
    </row>
    <row r="117" ht="15.75" customHeight="1" thickBot="1">
      <c r="B117" s="34" t="n"/>
      <c r="F117" s="35" t="n"/>
      <c r="G117" s="34" t="n"/>
      <c r="H117" s="35" t="n"/>
      <c r="J117" s="34" t="n"/>
      <c r="N117" s="35" t="n"/>
      <c r="O117" s="34" t="n"/>
      <c r="P117" s="35" t="n"/>
    </row>
    <row r="118" ht="15.75" customHeight="1" thickBot="1">
      <c r="B118" s="55" t="inlineStr">
        <is>
          <t>Line 5804</t>
        </is>
      </c>
      <c r="C118" s="36">
        <f>(_xlfn.XLOOKUP(ClientNumber,Clients!D:D,Clients!EQY:EQY,2,0,1))</f>
        <v/>
      </c>
      <c r="F118" s="35" t="n"/>
      <c r="G118" s="34" t="n"/>
      <c r="H118" s="35" t="n"/>
      <c r="J118" s="55" t="inlineStr">
        <is>
          <t>Line 5804</t>
        </is>
      </c>
      <c r="K118" s="36">
        <f>(_xlfn.XLOOKUP(MainClient,Clients!D:D,Clients!FRA:FRA,2,0,1))</f>
        <v/>
      </c>
      <c r="N118" s="35" t="n"/>
      <c r="O118" s="34" t="n"/>
      <c r="P118" s="35" t="n"/>
    </row>
    <row r="119" ht="15.75" customHeight="1" thickBot="1">
      <c r="B119" s="55" t="inlineStr">
        <is>
          <t>Line 5824</t>
        </is>
      </c>
      <c r="C119" s="36">
        <f>(_xlfn.XLOOKUP(ClientNumber,Clients!D:D,Clients!ERN:ERN,2,0,1))</f>
        <v/>
      </c>
      <c r="F119" s="35" t="n"/>
      <c r="G119" s="34" t="n"/>
      <c r="H119" s="35" t="n"/>
      <c r="J119" s="55" t="inlineStr">
        <is>
          <t>Line 5824</t>
        </is>
      </c>
      <c r="K119" s="36">
        <f>(_xlfn.XLOOKUP(MainClient,Clients!D:D,Clients!FRP:FRP,2,0,1))</f>
        <v/>
      </c>
      <c r="N119" s="35" t="n"/>
      <c r="O119" s="34" t="n"/>
      <c r="P119" s="35" t="n"/>
    </row>
    <row r="120" ht="15.75" customHeight="1" thickBot="1">
      <c r="B120" s="55" t="inlineStr">
        <is>
          <t>Line 5828</t>
        </is>
      </c>
      <c r="C120" s="36">
        <f>(_xlfn.XLOOKUP(ClientNumber,Clients!D:D,Clients!ERO:ERO,2,0,1))</f>
        <v/>
      </c>
      <c r="F120" s="35" t="n"/>
      <c r="G120" s="34" t="n"/>
      <c r="H120" s="35" t="n"/>
      <c r="J120" s="55" t="inlineStr">
        <is>
          <t>Line 5828</t>
        </is>
      </c>
      <c r="K120" s="36">
        <f>(_xlfn.XLOOKUP(MainClient,Clients!D:D,Clients!FRQ:FRQ,2,0,1))</f>
        <v/>
      </c>
      <c r="N120" s="35" t="n"/>
      <c r="P120" s="35" t="n"/>
    </row>
    <row r="121" ht="15.75" customHeight="1" thickBot="1">
      <c r="B121" s="55" t="inlineStr">
        <is>
          <t>Line 5832</t>
        </is>
      </c>
      <c r="C121" s="36">
        <f>(_xlfn.XLOOKUP(ClientNumber,Clients!D:D,Clients!ERP:ERP,2,0,1))</f>
        <v/>
      </c>
      <c r="F121" s="35" t="n"/>
      <c r="G121" s="34" t="n"/>
      <c r="H121" s="35" t="n"/>
      <c r="J121" s="55" t="inlineStr">
        <is>
          <t>Line 5832</t>
        </is>
      </c>
      <c r="K121" s="36">
        <f>(_xlfn.XLOOKUP(MainClient,Clients!D:D,Clients!FRR:FRR,2,0,1))</f>
        <v/>
      </c>
      <c r="N121" s="35" t="n"/>
      <c r="O121" s="34" t="n"/>
      <c r="P121" s="35" t="n"/>
    </row>
    <row r="122" ht="15.75" customHeight="1" thickBot="1">
      <c r="B122" s="55" t="inlineStr">
        <is>
          <t>Line 5829</t>
        </is>
      </c>
      <c r="C122" s="36">
        <f>(_xlfn.XLOOKUP(ClientNumber,Clients!D:D,Clients!ERQ:ERQ,2,0,1))</f>
        <v/>
      </c>
      <c r="F122" s="35" t="n"/>
      <c r="G122" s="34" t="n"/>
      <c r="H122" s="35" t="n"/>
      <c r="J122" s="55" t="inlineStr">
        <is>
          <t>Line 5829</t>
        </is>
      </c>
      <c r="K122" s="36">
        <f>(_xlfn.XLOOKUP(MainClient,Clients!D:D,Clients!FRS:FRS,2,0,1))</f>
        <v/>
      </c>
      <c r="N122" s="35" t="n"/>
      <c r="O122" s="34" t="n"/>
      <c r="P122" s="35" t="n"/>
    </row>
    <row r="123" ht="15.75" customHeight="1" thickBot="1">
      <c r="B123" s="55" t="inlineStr">
        <is>
          <t>Line 5830</t>
        </is>
      </c>
      <c r="C123" s="36">
        <f>(_xlfn.XLOOKUP(ClientNumber,Clients!D:D,Clients!ERS:ERS,2,0,1))</f>
        <v/>
      </c>
      <c r="F123" s="35" t="n"/>
      <c r="G123" s="34" t="n"/>
      <c r="H123" s="35" t="n"/>
      <c r="J123" s="55" t="inlineStr">
        <is>
          <t>Line 5830</t>
        </is>
      </c>
      <c r="K123" s="36">
        <f>(_xlfn.XLOOKUP(MainClient,Clients!D:D,Clients!FRU:FRU,2,0,1))</f>
        <v/>
      </c>
      <c r="N123" s="35" t="n"/>
      <c r="O123" s="34" t="n"/>
      <c r="P123" s="35" t="n"/>
    </row>
    <row r="124" ht="15.75" customHeight="1" thickBot="1">
      <c r="B124" s="55" t="inlineStr">
        <is>
          <t>Line 5845</t>
        </is>
      </c>
      <c r="C124" s="36">
        <f>(_xlfn.XLOOKUP(ClientNumber,Clients!D:D,Clients!ERT:ERT,2,0,1))</f>
        <v/>
      </c>
      <c r="F124" s="35" t="n"/>
      <c r="G124" s="34" t="n"/>
      <c r="H124" s="35" t="n"/>
      <c r="J124" s="55" t="inlineStr">
        <is>
          <t>Line 5845</t>
        </is>
      </c>
      <c r="K124" s="36">
        <f>(_xlfn.XLOOKUP(MainClient,Clients!D:D,Clients!FRV:FRV,2,0,1))</f>
        <v/>
      </c>
      <c r="N124" s="35" t="n"/>
      <c r="O124" s="34" t="n"/>
      <c r="P124" s="35" t="n"/>
    </row>
    <row r="125" ht="15.75" customHeight="1" thickBot="1">
      <c r="B125" s="55" t="inlineStr">
        <is>
          <t>Line 5839</t>
        </is>
      </c>
      <c r="C125" s="36">
        <f>(_xlfn.XLOOKUP(ClientNumber,Clients!D:D,Clients!ERV:ERV,2,0,1))</f>
        <v/>
      </c>
      <c r="F125" s="35" t="n"/>
      <c r="G125" s="34" t="n"/>
      <c r="H125" s="35" t="n"/>
      <c r="J125" s="55" t="inlineStr">
        <is>
          <t>Line 5839</t>
        </is>
      </c>
      <c r="K125" s="36">
        <f>(_xlfn.XLOOKUP(MainClient,Clients!D:D,Clients!FRX:FRX,2,0,1))</f>
        <v/>
      </c>
      <c r="N125" s="35" t="n"/>
      <c r="O125" s="34" t="n"/>
      <c r="P125" s="35" t="n"/>
    </row>
    <row r="126" ht="15.75" customHeight="1" thickBot="1">
      <c r="B126" s="55" t="inlineStr">
        <is>
          <t>Line 5841</t>
        </is>
      </c>
      <c r="C126" s="36">
        <f>(_xlfn.XLOOKUP(ClientNumber,Clients!D:D,Clients!ERW:ERW,2,0,1))</f>
        <v/>
      </c>
      <c r="F126" s="35" t="n"/>
      <c r="G126" s="34" t="n"/>
      <c r="H126" s="35" t="n"/>
      <c r="J126" s="55" t="inlineStr">
        <is>
          <t>Line 5841</t>
        </is>
      </c>
      <c r="K126" s="36">
        <f>(_xlfn.XLOOKUP(MainClient,Clients!D:D,Clients!FRY:FRY,2,0,1))</f>
        <v/>
      </c>
      <c r="N126" s="35" t="n"/>
      <c r="O126" s="34" t="n"/>
      <c r="P126" s="35" t="n"/>
    </row>
    <row r="127" ht="15.75" customHeight="1" thickBot="1">
      <c r="B127" s="55" t="inlineStr">
        <is>
          <t>Line 5833</t>
        </is>
      </c>
      <c r="C127" s="36">
        <f>(_xlfn.XLOOKUP(ClientNumber,Clients!D:D,Clients!ERX:ERX,2,0,1))</f>
        <v/>
      </c>
      <c r="F127" s="35" t="n"/>
      <c r="G127" s="34" t="n"/>
      <c r="H127" s="35" t="n"/>
      <c r="J127" s="55" t="inlineStr">
        <is>
          <t>Line 5833</t>
        </is>
      </c>
      <c r="K127" s="36">
        <f>(_xlfn.XLOOKUP(MainClient,Clients!D:D,Clients!FRZ:FRZ,2,0,1))</f>
        <v/>
      </c>
      <c r="N127" s="35" t="n"/>
      <c r="O127" s="34" t="n"/>
      <c r="P127" s="35" t="n"/>
    </row>
    <row r="128" ht="15.75" customHeight="1" thickBot="1">
      <c r="B128" s="55" t="inlineStr">
        <is>
          <t>Line 5856</t>
        </is>
      </c>
      <c r="C128" s="36">
        <f>(_xlfn.XLOOKUP(ClientNumber,Clients!D:D,Clients!ESF:ESF,2,0,1))</f>
        <v/>
      </c>
      <c r="F128" s="35" t="n"/>
      <c r="G128" s="34" t="inlineStr">
        <is>
          <t>Line 326</t>
        </is>
      </c>
      <c r="H128" s="35">
        <f>IF(TransferName="NONE",0,(_xlfn.XLOOKUP(TransferNumber,Clients!D:D,Clients!EJX:EJX,2,0,1)))</f>
        <v/>
      </c>
      <c r="J128" s="55" t="inlineStr">
        <is>
          <t>Line 5856</t>
        </is>
      </c>
      <c r="K128" s="36">
        <f>(_xlfn.XLOOKUP(MainClient,Clients!D:D,Clients!FSH:FSH,2,0,1))</f>
        <v/>
      </c>
      <c r="N128" s="35" t="n"/>
      <c r="O128" s="34" t="inlineStr">
        <is>
          <t>Line 326</t>
        </is>
      </c>
      <c r="P128" s="35">
        <f>IFERROR(_xlfn.XLOOKUP(TransferNumber,Clients!D:D,Clients!FJZ:FJZ,2,0,1),0)</f>
        <v/>
      </c>
    </row>
    <row r="129" ht="15.75" customHeight="1" thickBot="1">
      <c r="B129" s="38" t="n"/>
      <c r="C129" s="36" t="n"/>
      <c r="F129" s="35" t="n"/>
      <c r="G129" s="34" t="n"/>
      <c r="H129" s="35" t="n"/>
      <c r="J129" s="38" t="n"/>
      <c r="K129" s="36" t="n"/>
      <c r="N129" s="35" t="n"/>
      <c r="O129" s="34" t="n"/>
      <c r="P129" s="35" t="n"/>
    </row>
    <row r="130" ht="15.75" customHeight="1" thickBot="1">
      <c r="B130" s="38" t="n"/>
      <c r="C130" s="36" t="n"/>
      <c r="F130" s="35" t="n"/>
      <c r="G130" s="34" t="n"/>
      <c r="H130" s="35" t="n"/>
      <c r="J130" s="38" t="n"/>
      <c r="K130" s="36" t="n"/>
      <c r="N130" s="35" t="n"/>
      <c r="O130" s="34" t="n"/>
      <c r="P130" s="35" t="n"/>
    </row>
    <row r="131" ht="15.75" customHeight="1" thickBot="1">
      <c r="B131" s="38" t="n"/>
      <c r="C131" s="36" t="n"/>
      <c r="F131" s="35" t="n"/>
      <c r="G131" s="34" t="n"/>
      <c r="H131" s="35" t="n"/>
      <c r="J131" s="38" t="n"/>
      <c r="K131" s="36" t="n"/>
      <c r="N131" s="35" t="n"/>
      <c r="O131" s="34" t="n"/>
      <c r="P131" s="35" t="n"/>
    </row>
    <row r="132" ht="15.75" customHeight="1" thickBot="1">
      <c r="B132" s="38" t="n"/>
      <c r="C132" s="36" t="n"/>
      <c r="F132" s="35" t="n"/>
      <c r="G132" s="34" t="n"/>
      <c r="H132" s="35">
        <f>IF(E137&gt;0,E113-G113,0)</f>
        <v/>
      </c>
      <c r="J132" s="38" t="n"/>
      <c r="K132" s="36" t="n"/>
      <c r="N132" s="35" t="n"/>
      <c r="O132" s="34" t="n"/>
      <c r="P132" s="35">
        <f>IF(M137&gt;0,M113-O113,0)</f>
        <v/>
      </c>
    </row>
    <row r="133" ht="15.75" customHeight="1" thickBot="1">
      <c r="B133" s="38" t="n"/>
      <c r="C133" s="36" t="n"/>
      <c r="F133" s="35" t="n"/>
      <c r="H133" s="52">
        <f>IF(TransferName="NONE",F138,IF(H132&gt;0,(E137-G113)*0.108,0))</f>
        <v/>
      </c>
      <c r="J133" s="38" t="n"/>
      <c r="K133" s="36" t="n"/>
      <c r="N133" s="35" t="n"/>
      <c r="P133" s="52">
        <f>IF(TransferName="NONE",N138,IF(P132&gt;0,(M137-O113)*0.108,0))</f>
        <v/>
      </c>
    </row>
    <row r="134">
      <c r="B134" s="667" t="n"/>
      <c r="F134" s="35" t="n"/>
      <c r="G134" s="34" t="inlineStr">
        <is>
          <t>Transferable</t>
        </is>
      </c>
      <c r="H134" s="52">
        <f>IF(H133&gt;0,H133,0)</f>
        <v/>
      </c>
      <c r="J134" s="667" t="n"/>
      <c r="N134" s="35" t="n"/>
      <c r="O134" s="34" t="inlineStr">
        <is>
          <t>Transferable</t>
        </is>
      </c>
      <c r="P134" s="52">
        <f>IF(P133&gt;0,P133,0)</f>
        <v/>
      </c>
    </row>
    <row r="135">
      <c r="B135" s="667" t="inlineStr">
        <is>
          <t>Adjusted Taxable Income</t>
        </is>
      </c>
      <c r="C135">
        <f>C116-(SUM(C118:C133))</f>
        <v/>
      </c>
      <c r="D135" s="13" t="inlineStr">
        <is>
          <t>Line 5864</t>
        </is>
      </c>
      <c r="E135" s="39">
        <f>IF(C135&gt;0,C135,0)</f>
        <v/>
      </c>
      <c r="F135" s="35" t="n"/>
      <c r="G135" s="34" t="n"/>
      <c r="H135" s="35" t="n"/>
      <c r="J135" s="667" t="inlineStr">
        <is>
          <t>Adjusted Taxable Income</t>
        </is>
      </c>
      <c r="K135">
        <f>K116-(SUM(K118:K133))</f>
        <v/>
      </c>
      <c r="L135" s="13" t="inlineStr">
        <is>
          <t>Line 5864</t>
        </is>
      </c>
      <c r="M135" s="39">
        <f>IF(K135&gt;0,K135,0)</f>
        <v/>
      </c>
      <c r="N135" s="35" t="n"/>
      <c r="O135" s="34" t="n"/>
      <c r="P135" s="35" t="n"/>
    </row>
    <row r="136" ht="15.75" customHeight="1" thickBot="1">
      <c r="B136" s="34" t="n"/>
      <c r="F136" s="35" t="n"/>
      <c r="G136" s="34" t="n"/>
      <c r="H136" s="35" t="n"/>
      <c r="J136" s="34" t="n"/>
      <c r="N136" s="35" t="n"/>
      <c r="O136" s="34" t="n"/>
      <c r="P136" s="35" t="n"/>
    </row>
    <row r="137" ht="15.75" customHeight="1" thickBot="1">
      <c r="B137" s="34" t="n"/>
      <c r="D137" s="21" t="inlineStr">
        <is>
          <t>Prov Trans</t>
        </is>
      </c>
      <c r="E137" s="36">
        <f>(E113-E135)</f>
        <v/>
      </c>
      <c r="F137" s="40" t="n"/>
      <c r="G137" s="34" t="n"/>
      <c r="H137" s="52" t="n"/>
      <c r="J137" s="34" t="n"/>
      <c r="L137" s="21" t="inlineStr">
        <is>
          <t>Prov Trans</t>
        </is>
      </c>
      <c r="M137" s="36">
        <f>(M113-M135)</f>
        <v/>
      </c>
      <c r="N137" s="40" t="n"/>
      <c r="O137" s="34" t="n"/>
      <c r="P137" s="52" t="n"/>
    </row>
    <row r="138" ht="15.75" customHeight="1" thickBot="1">
      <c r="B138" s="34" t="n"/>
      <c r="C138" s="579" t="inlineStr">
        <is>
          <t>DTC Transferable ESTIMATE</t>
        </is>
      </c>
      <c r="D138" s="35" t="n"/>
      <c r="E138" s="36">
        <f>IF(E137&lt;0,0,(IF(E137&gt;E111,E111,E137)))</f>
        <v/>
      </c>
      <c r="F138" s="40">
        <f>IF(E138&gt;0,E138*0.108,"No Transfer Required")</f>
        <v/>
      </c>
      <c r="G138" s="678" t="n"/>
      <c r="H138" s="52" t="n"/>
      <c r="J138" s="34" t="n"/>
      <c r="K138" s="579" t="inlineStr">
        <is>
          <t>DTC Transferable ESTIMATE</t>
        </is>
      </c>
      <c r="L138" s="35" t="n"/>
      <c r="M138" s="36">
        <f>IF(M137&lt;0,0,(IF(M137&gt;M111,M111,M137)))</f>
        <v/>
      </c>
      <c r="N138" s="40">
        <f>IF(M138&gt;0,M138*0.108,"No Transfer Required")</f>
        <v/>
      </c>
      <c r="O138" s="58" t="n"/>
      <c r="P138" s="52" t="n"/>
    </row>
    <row r="139" ht="15.75" customHeight="1" thickBot="1">
      <c r="B139" s="42" t="n"/>
      <c r="C139" s="41" t="n"/>
      <c r="D139" s="43" t="inlineStr">
        <is>
          <t>Net Transferable</t>
        </is>
      </c>
      <c r="E139" s="36">
        <f>IF(E137&lt;0,0,(IF(E137-G109-G110-G112&lt;0,E137,(E137-G109-G110-G112))))</f>
        <v/>
      </c>
      <c r="F139" s="57">
        <f>IF(E139&gt;0,E139*0.108,"0")</f>
        <v/>
      </c>
      <c r="G139" s="42" t="n"/>
      <c r="H139" s="864" t="n"/>
      <c r="J139" s="42" t="n"/>
      <c r="K139" s="41" t="n"/>
      <c r="L139" s="43" t="inlineStr">
        <is>
          <t>Net Transferable</t>
        </is>
      </c>
      <c r="M139" s="36">
        <f>IF(M137&lt;0,0,(IF(M137-O109-O110-O112&lt;0,M137,(M137-O109-O110-O112))))</f>
        <v/>
      </c>
      <c r="N139" s="57">
        <f>IF(M139&gt;0,M139*0.108,"0")</f>
        <v/>
      </c>
      <c r="O139" s="59" t="n"/>
      <c r="P139" s="864" t="n"/>
    </row>
    <row r="141" ht="15.75" customHeight="1" thickBot="1">
      <c r="E141">
        <f>Calculator!$D$5</f>
        <v/>
      </c>
      <c r="H141">
        <f>TransferName</f>
        <v/>
      </c>
      <c r="M141">
        <f>Calculator!$D$5</f>
        <v/>
      </c>
      <c r="P141">
        <f>TransferName</f>
        <v/>
      </c>
    </row>
    <row r="142" ht="15.75" customHeight="1" thickBot="1">
      <c r="B142" s="874" t="inlineStr">
        <is>
          <t>2016 MANITOBA Provincial</t>
        </is>
      </c>
      <c r="C142" s="778" t="n"/>
      <c r="D142" s="778" t="n"/>
      <c r="E142" s="778" t="n"/>
      <c r="F142" s="778" t="n"/>
      <c r="G142" s="778" t="n"/>
      <c r="H142" s="780" t="n"/>
      <c r="J142" s="874" t="inlineStr">
        <is>
          <t>2015 MANITOBA Provincial</t>
        </is>
      </c>
      <c r="K142" s="778" t="n"/>
      <c r="L142" s="778" t="n"/>
      <c r="M142" s="778" t="n"/>
      <c r="N142" s="778" t="n"/>
      <c r="O142" s="778" t="n"/>
      <c r="P142" s="780" t="n"/>
    </row>
    <row r="143" ht="15.75" customHeight="1" thickBot="1">
      <c r="B143" s="34" t="n"/>
      <c r="D143" t="inlineStr">
        <is>
          <t>Line</t>
        </is>
      </c>
      <c r="E143" t="inlineStr">
        <is>
          <t>Amt</t>
        </is>
      </c>
      <c r="F143" s="35" t="n"/>
      <c r="G143" s="667" t="inlineStr">
        <is>
          <t>Spouse</t>
        </is>
      </c>
      <c r="H143" s="35" t="inlineStr">
        <is>
          <t>S2 Adjustment</t>
        </is>
      </c>
      <c r="J143" s="34" t="n"/>
      <c r="L143" t="inlineStr">
        <is>
          <t>Line</t>
        </is>
      </c>
      <c r="M143" t="inlineStr">
        <is>
          <t>Amt</t>
        </is>
      </c>
      <c r="N143" s="35" t="n"/>
      <c r="O143" s="34" t="inlineStr">
        <is>
          <t>Spouse</t>
        </is>
      </c>
      <c r="P143" s="35" t="inlineStr">
        <is>
          <t>S2 Adjustment</t>
        </is>
      </c>
    </row>
    <row r="144" ht="15.75" customHeight="1" thickBot="1">
      <c r="B144" s="667" t="inlineStr">
        <is>
          <t>Age Amount</t>
        </is>
      </c>
      <c r="D144" t="inlineStr">
        <is>
          <t>Line 5808</t>
        </is>
      </c>
      <c r="E144" s="861">
        <f>(_xlfn.XLOOKUP(ClientNumber,Clients!D:D,Clients!GRD:GRD,2,0,1))</f>
        <v/>
      </c>
      <c r="F144" s="37" t="inlineStr">
        <is>
          <t>Line 59020</t>
        </is>
      </c>
      <c r="G144" s="51">
        <f>IF(TransferName="NONE",0,(_xlfn.XLOOKUP(TransferNumber,Clients!D:D,Clients!GTF:GTF,2,0,1)))</f>
        <v/>
      </c>
      <c r="H144" s="37">
        <f>IF(AND(E144&gt;0,G144=0),"Age Amount Can Be Transferred","No Action")</f>
        <v/>
      </c>
      <c r="J144" s="667" t="inlineStr">
        <is>
          <t>Age Amount</t>
        </is>
      </c>
      <c r="L144" t="inlineStr">
        <is>
          <t>Line 5808</t>
        </is>
      </c>
      <c r="M144" s="865">
        <f>(_xlfn.XLOOKUP(MainClient,Clients!D:D,Clients!HRF:HRF,2,0,1))</f>
        <v/>
      </c>
      <c r="N144" s="45" t="inlineStr">
        <is>
          <t>Line 59020</t>
        </is>
      </c>
      <c r="O144" s="51">
        <f>IF(TransferName="NONE",0,(_xlfn.XLOOKUP(TransferNumber,Clients!D:D,Clients!HTH:HTH,2,0,1)))</f>
        <v/>
      </c>
      <c r="P144" s="37">
        <f>IF(AND(M144&gt;0,O144=0),"Age Amount Can Be Transferred","No Action")</f>
        <v/>
      </c>
    </row>
    <row r="145" ht="15.75" customHeight="1" thickBot="1">
      <c r="B145" s="667" t="inlineStr">
        <is>
          <t>Pension Income Amount</t>
        </is>
      </c>
      <c r="D145" t="inlineStr">
        <is>
          <t>Line 5836 (mx 1000)</t>
        </is>
      </c>
      <c r="E145" s="861">
        <f>IF((_xlfn.XLOOKUP(ClientNumber,Clients!D:D,Clients!GSD:GSD,2,0,1)&lt;1000),(_xlfn.XLOOKUP(MainClient,Clients!D:D,Clients!GSD:GSD,2,0,1)),1000)</f>
        <v/>
      </c>
      <c r="F145" s="37" t="inlineStr">
        <is>
          <t>Line 59050</t>
        </is>
      </c>
      <c r="G145" s="51">
        <f>IF(TransferName="NONE",0,(_xlfn.XLOOKUP(TransferNumber,Clients!D:D,Clients!GTI:GTI,2,0,1)))</f>
        <v/>
      </c>
      <c r="H145" s="37">
        <f>IF(AND(E145&gt;0,G145=0),"Pension Income Amount Can Be Transferred","No Action")</f>
        <v/>
      </c>
      <c r="J145" s="667" t="inlineStr">
        <is>
          <t>Pension Income Amount</t>
        </is>
      </c>
      <c r="L145" t="inlineStr">
        <is>
          <t>Line 5836 (mx 1000)</t>
        </is>
      </c>
      <c r="M145" s="865">
        <f>IF((_xlfn.XLOOKUP(ClientNumber,Clients!D:D,Clients!HSF:HSF,2,0,1)&lt;1000),(_xlfn.XLOOKUP(MainClient,Clients!D:D,Clients!HSF:HSF,2,0,1)),1000)</f>
        <v/>
      </c>
      <c r="N145" s="45" t="inlineStr">
        <is>
          <t>Line 59050</t>
        </is>
      </c>
      <c r="O145" s="51">
        <f>IF(TransferName="NONE",0,(_xlfn.XLOOKUP(TransferNumber,Clients!D:D,Clients!HTK:HTK,2,0,1)))</f>
        <v/>
      </c>
      <c r="P145" s="37">
        <f>IF(AND(M145&gt;0,O145=0),"Pension Income Amount Can Be Transferred","No Action")</f>
        <v/>
      </c>
    </row>
    <row r="146" ht="15.75" customHeight="1" thickBot="1">
      <c r="B146" s="667" t="inlineStr">
        <is>
          <t>Disability Amount</t>
        </is>
      </c>
      <c r="D146" t="inlineStr">
        <is>
          <t xml:space="preserve">Line 5844 </t>
        </is>
      </c>
      <c r="E146" s="861">
        <f>IF(_xlfn.XLOOKUP(ClientNumber,Clients!D:D,Clients!GSF:GSF,2,0,1)=0,6180,(_xlfn.XLOOKUP(MainClient,Clients!D:D,Clients!GSF:GSF,2,0,1)))</f>
        <v/>
      </c>
      <c r="F146" s="37" t="inlineStr">
        <is>
          <t>Line 59070</t>
        </is>
      </c>
      <c r="G146" s="51">
        <f>IF(TransferName="NONE",0,(_xlfn.XLOOKUP(TransferNumber,Clients!D:D,Clients!GTJ:GTJ,2,0,1)))</f>
        <v/>
      </c>
      <c r="H146" s="37">
        <f>IF(AND(E146&gt;0,G146=0),"DTC Transferable Not Claimed Can Be Transferred","No Action")</f>
        <v/>
      </c>
      <c r="J146" s="667" t="inlineStr">
        <is>
          <t>Disability Amount</t>
        </is>
      </c>
      <c r="L146" t="inlineStr">
        <is>
          <t xml:space="preserve">Line 5844 </t>
        </is>
      </c>
      <c r="M146" s="865">
        <f>IF(_xlfn.XLOOKUP(ClientNumber,Clients!D:D,Clients!HSH:HSH,2,0,1)=0,6180,(_xlfn.XLOOKUP(MainClient,Clients!D:D,Clients!HSH:HSH,2,0,1)))</f>
        <v/>
      </c>
      <c r="N146" s="45" t="inlineStr">
        <is>
          <t>Line 59070</t>
        </is>
      </c>
      <c r="O146" s="51">
        <f>IF(TransferName="NONE",0,(_xlfn.XLOOKUP(TransferNumber,Clients!D:D,Clients!HTL:HTL,2,0,1)))</f>
        <v/>
      </c>
      <c r="P146" s="37">
        <f>IF(AND(M146&gt;0,O146=0),"DTC Transferable Not Claimed Can Be Transferred","No Action")</f>
        <v/>
      </c>
    </row>
    <row r="147" ht="15.75" customHeight="1" thickBot="1">
      <c r="B147" s="667" t="inlineStr">
        <is>
          <t>Tuition Amount</t>
        </is>
      </c>
      <c r="D147" t="inlineStr">
        <is>
          <t>Line 5920</t>
        </is>
      </c>
      <c r="E147" s="861">
        <f>(_xlfn.XLOOKUP(ClientNumber,Clients!D:D,Clients!GTT:GTT,2,0,1))</f>
        <v/>
      </c>
      <c r="F147" s="37" t="inlineStr">
        <is>
          <t>Line 59090</t>
        </is>
      </c>
      <c r="G147" s="51">
        <f>IF(TransferName="NONE",0,(_xlfn.XLOOKUP(TransferNumber,Clients!D:D,Clients!GTK:GTK,2,0,1)))</f>
        <v/>
      </c>
      <c r="H147" s="37">
        <f>IF(AND(E147&gt;0,G147=0),"Tuition Can Be Transferred","No Action")</f>
        <v/>
      </c>
      <c r="J147" s="667" t="inlineStr">
        <is>
          <t>Tuition Amount</t>
        </is>
      </c>
      <c r="L147" t="inlineStr">
        <is>
          <t>Line 5920</t>
        </is>
      </c>
      <c r="M147" s="865">
        <f>(_xlfn.XLOOKUP(MainClient,Clients!D:D,Clients!HTV:HTV,2,0,1))</f>
        <v/>
      </c>
      <c r="N147" s="45" t="inlineStr">
        <is>
          <t>Line 59090</t>
        </is>
      </c>
      <c r="O147" s="51">
        <f>IF(TransferName="NONE",0,(_xlfn.XLOOKUP(TransferNumber,Clients!D:D,Clients!HTM:HTM,2,0,1)))</f>
        <v/>
      </c>
      <c r="P147" s="37">
        <f>IF(AND(M147&gt;0,O147=0),"Tuition Can Be Transferred","No Action")</f>
        <v/>
      </c>
    </row>
    <row r="148">
      <c r="B148" s="667" t="n"/>
      <c r="E148" s="771">
        <f>SUM(E144:E147)</f>
        <v/>
      </c>
      <c r="F148" s="37" t="n"/>
      <c r="G148" s="667">
        <f>SUM(G144:G147)</f>
        <v/>
      </c>
      <c r="H148" s="37" t="n"/>
      <c r="J148" s="667" t="n"/>
      <c r="M148" s="872">
        <f>SUM(M144:M147)</f>
        <v/>
      </c>
      <c r="N148" s="37" t="n"/>
      <c r="O148" s="667">
        <f>SUM(O144:O147)</f>
        <v/>
      </c>
      <c r="P148" s="37" t="n"/>
    </row>
    <row r="149" ht="15.75" customHeight="1" thickBot="1">
      <c r="B149" s="34" t="n"/>
      <c r="F149" s="35" t="n"/>
      <c r="G149" s="667" t="n"/>
      <c r="H149" s="35" t="n"/>
      <c r="J149" s="34" t="n"/>
      <c r="N149" s="35" t="n"/>
      <c r="O149" s="667" t="n"/>
      <c r="P149" s="35" t="n"/>
    </row>
    <row r="150" ht="15.75" customHeight="1" thickBot="1">
      <c r="B150" s="667" t="inlineStr">
        <is>
          <t>Line 260</t>
        </is>
      </c>
      <c r="C150" s="36">
        <f>(_xlfn.XLOOKUP(MainClient,Clients!D:D,Clients!GJC:GJC,2,0,1))</f>
        <v/>
      </c>
      <c r="F150" s="35" t="n"/>
      <c r="G150" s="34">
        <f>IF(E173&gt;E146,"other transferable credits","DTC Only")</f>
        <v/>
      </c>
      <c r="H150" s="35" t="n"/>
      <c r="J150" s="667" t="inlineStr">
        <is>
          <t>Line 260</t>
        </is>
      </c>
      <c r="K150" s="36">
        <f>(_xlfn.XLOOKUP(MainClient,Clients!D:D,Clients!HJE:HJE,2,0,1))</f>
        <v/>
      </c>
      <c r="N150" s="35" t="n"/>
      <c r="O150" s="34">
        <f>IF(M173&gt;M146,"other transferable credits","DTC Only")</f>
        <v/>
      </c>
      <c r="P150" s="35" t="n"/>
    </row>
    <row r="151" ht="15.75" customHeight="1" thickBot="1">
      <c r="B151" s="34" t="n"/>
      <c r="F151" s="35" t="n"/>
      <c r="G151" s="34" t="n"/>
      <c r="H151" s="35" t="n"/>
      <c r="J151" s="34" t="n"/>
      <c r="N151" s="35" t="n"/>
      <c r="O151" s="34" t="n"/>
      <c r="P151" s="35" t="n"/>
    </row>
    <row r="152" ht="15" customHeight="1" thickBot="1">
      <c r="B152" s="55" t="inlineStr">
        <is>
          <t>Line 5804</t>
        </is>
      </c>
      <c r="C152" s="36">
        <f>(_xlfn.XLOOKUP(ClientNumber,Clients!D:D,Clients!GRC:GRC,2,0,1))</f>
        <v/>
      </c>
      <c r="F152" s="35" t="n"/>
      <c r="G152" s="34" t="n"/>
      <c r="H152" s="35" t="n"/>
      <c r="J152" s="55" t="inlineStr">
        <is>
          <t>Line 5804</t>
        </is>
      </c>
      <c r="K152" s="36">
        <f>(_xlfn.XLOOKUP(MainClient,Clients!D:D,Clients!HRE:HRE,2,0,1))</f>
        <v/>
      </c>
      <c r="N152" s="35" t="n"/>
      <c r="O152" s="34" t="n"/>
      <c r="P152" s="35" t="n"/>
    </row>
    <row r="153" ht="15.75" customHeight="1" thickBot="1">
      <c r="B153" s="55" t="inlineStr">
        <is>
          <t>Line 5824</t>
        </is>
      </c>
      <c r="C153" s="36">
        <f>(_xlfn.XLOOKUP(ClientNumber,Clients!D:D,Clients!GRR:GRR,2,0,1))</f>
        <v/>
      </c>
      <c r="F153" s="35" t="n"/>
      <c r="G153" s="34" t="n"/>
      <c r="H153" s="35" t="n"/>
      <c r="J153" s="55" t="inlineStr">
        <is>
          <t>Line 5824</t>
        </is>
      </c>
      <c r="K153" s="36">
        <f>(_xlfn.XLOOKUP(MainClient,Clients!D:D,Clients!HRT:HRT,2,0,1))</f>
        <v/>
      </c>
      <c r="N153" s="35" t="n"/>
      <c r="O153" s="34" t="n"/>
      <c r="P153" s="35" t="n"/>
    </row>
    <row r="154" ht="15.75" customHeight="1" thickBot="1">
      <c r="B154" s="55" t="inlineStr">
        <is>
          <t>Line 5828</t>
        </is>
      </c>
      <c r="C154" s="36">
        <f>(_xlfn.XLOOKUP(ClientNumber,Clients!D:D,Clients!GRS:GRS,2,0,1))</f>
        <v/>
      </c>
      <c r="F154" s="35" t="n"/>
      <c r="G154" s="34" t="n"/>
      <c r="H154" s="35" t="n"/>
      <c r="J154" s="55" t="inlineStr">
        <is>
          <t>Line 5828</t>
        </is>
      </c>
      <c r="K154" s="36">
        <f>(_xlfn.XLOOKUP(MainClient,Clients!D:D,Clients!HRU:HRU,2,0,1))</f>
        <v/>
      </c>
      <c r="N154" s="35" t="n"/>
      <c r="P154" s="35" t="n"/>
    </row>
    <row r="155" ht="15.75" customHeight="1" thickBot="1">
      <c r="B155" s="55" t="inlineStr">
        <is>
          <t>Line 5832</t>
        </is>
      </c>
      <c r="C155" s="36">
        <f>(_xlfn.XLOOKUP(ClientNumber,Clients!D:D,Clients!GRT:GRT,2,0,1))</f>
        <v/>
      </c>
      <c r="F155" s="35" t="n"/>
      <c r="G155" s="34" t="n"/>
      <c r="H155" s="35" t="n"/>
      <c r="J155" s="55" t="inlineStr">
        <is>
          <t>Line 5832</t>
        </is>
      </c>
      <c r="K155" s="36">
        <f>(_xlfn.XLOOKUP(MainClient,Clients!D:D,Clients!HRV:HRV,2,0,1))</f>
        <v/>
      </c>
      <c r="N155" s="35" t="n"/>
      <c r="O155" s="34" t="n"/>
      <c r="P155" s="35" t="n"/>
    </row>
    <row r="156" ht="15.75" customHeight="1" thickBot="1">
      <c r="B156" s="55" t="inlineStr">
        <is>
          <t>Line 5829</t>
        </is>
      </c>
      <c r="C156" s="36">
        <f>(_xlfn.XLOOKUP(ClientNumber,Clients!D:D,Clients!GRU:GRU,2,0,1))</f>
        <v/>
      </c>
      <c r="F156" s="35" t="n"/>
      <c r="G156" s="34" t="n"/>
      <c r="H156" s="35" t="n"/>
      <c r="J156" s="55" t="inlineStr">
        <is>
          <t>Line 5829</t>
        </is>
      </c>
      <c r="K156" s="36">
        <f>(_xlfn.XLOOKUP(MainClient,Clients!D:D,Clients!HRW:HRW,2,0,1))</f>
        <v/>
      </c>
      <c r="N156" s="35" t="n"/>
      <c r="O156" s="34" t="n"/>
      <c r="P156" s="35" t="n"/>
    </row>
    <row r="157" ht="15.75" customHeight="1" thickBot="1">
      <c r="B157" s="55" t="inlineStr">
        <is>
          <t>Line 5830</t>
        </is>
      </c>
      <c r="C157" s="36">
        <f>(_xlfn.XLOOKUP(ClientNumber,Clients!D:D,Clients!GRW:GRW,2,0,1))</f>
        <v/>
      </c>
      <c r="F157" s="35" t="n"/>
      <c r="G157" s="34" t="n"/>
      <c r="H157" s="35" t="n"/>
      <c r="J157" s="55" t="inlineStr">
        <is>
          <t>Line 5830</t>
        </is>
      </c>
      <c r="K157" s="36">
        <f>(_xlfn.XLOOKUP(MainClient,Clients!D:D,Clients!HRY:HRY,2,0,1))</f>
        <v/>
      </c>
      <c r="N157" s="35" t="n"/>
      <c r="O157" s="34" t="n"/>
      <c r="P157" s="35" t="n"/>
    </row>
    <row r="158" ht="15.75" customHeight="1" thickBot="1">
      <c r="B158" s="55" t="inlineStr">
        <is>
          <t>Line 5845</t>
        </is>
      </c>
      <c r="C158" s="36">
        <f>(_xlfn.XLOOKUP(ClientNumber,Clients!D:D,Clients!GRX:GRX,2,0,1))</f>
        <v/>
      </c>
      <c r="F158" s="35" t="n"/>
      <c r="G158" s="34" t="n"/>
      <c r="H158" s="35" t="n"/>
      <c r="J158" s="55" t="inlineStr">
        <is>
          <t>Line 5845</t>
        </is>
      </c>
      <c r="K158" s="36">
        <f>(_xlfn.XLOOKUP(MainClient,Clients!D:D,Clients!HRZ:HRZ,2,0,1))</f>
        <v/>
      </c>
      <c r="N158" s="35" t="n"/>
      <c r="O158" s="34" t="n"/>
      <c r="P158" s="35" t="n"/>
    </row>
    <row r="159" ht="15.75" customHeight="1" thickBot="1">
      <c r="B159" s="55" t="inlineStr">
        <is>
          <t>Line 5839</t>
        </is>
      </c>
      <c r="C159" s="36">
        <f>(_xlfn.XLOOKUP(ClientNumber,Clients!D:D,Clients!GRZ:GRZ,2,0,1))</f>
        <v/>
      </c>
      <c r="F159" s="35" t="n"/>
      <c r="G159" s="34" t="n"/>
      <c r="H159" s="35" t="n"/>
      <c r="J159" s="55" t="inlineStr">
        <is>
          <t>Line 5839</t>
        </is>
      </c>
      <c r="K159" s="36">
        <f>(_xlfn.XLOOKUP(MainClient,Clients!D:D,Clients!HSB:HSB,2,0,1))</f>
        <v/>
      </c>
      <c r="N159" s="35" t="n"/>
      <c r="O159" s="34" t="n"/>
      <c r="P159" s="35" t="n"/>
    </row>
    <row r="160" ht="15.75" customHeight="1" thickBot="1">
      <c r="B160" s="55" t="inlineStr">
        <is>
          <t>Line 5841</t>
        </is>
      </c>
      <c r="C160" s="36">
        <f>(_xlfn.XLOOKUP(ClientNumber,Clients!D:D,Clients!GSA:GSA,2,0,1))</f>
        <v/>
      </c>
      <c r="F160" s="35" t="n"/>
      <c r="G160" s="34" t="n"/>
      <c r="H160" s="35" t="n"/>
      <c r="J160" s="55" t="inlineStr">
        <is>
          <t>Line 5841</t>
        </is>
      </c>
      <c r="K160" s="36">
        <f>(_xlfn.XLOOKUP(MainClient,Clients!D:D,Clients!HSC:HSC,2,0,1))</f>
        <v/>
      </c>
      <c r="N160" s="35" t="n"/>
      <c r="O160" s="34" t="n"/>
      <c r="P160" s="35" t="n"/>
    </row>
    <row r="161" ht="15.75" customHeight="1" thickBot="1">
      <c r="B161" s="55" t="inlineStr">
        <is>
          <t>Line 5833</t>
        </is>
      </c>
      <c r="C161" s="36">
        <f>(_xlfn.XLOOKUP(ClientNumber,Clients!D:D,Clients!GSB:GSB,2,0,1))</f>
        <v/>
      </c>
      <c r="F161" s="35" t="n"/>
      <c r="G161" s="34" t="n"/>
      <c r="H161" s="35" t="n"/>
      <c r="J161" s="55" t="inlineStr">
        <is>
          <t>Line 5833</t>
        </is>
      </c>
      <c r="K161" s="36">
        <f>(_xlfn.XLOOKUP(MainClient,Clients!D:D,Clients!HSD:HSD,2,0,1))</f>
        <v/>
      </c>
      <c r="N161" s="35" t="n"/>
      <c r="O161" s="34" t="n"/>
      <c r="P161" s="35" t="n"/>
    </row>
    <row r="162" ht="15.75" customHeight="1" thickBot="1">
      <c r="B162" s="55" t="inlineStr">
        <is>
          <t>Line  5856</t>
        </is>
      </c>
      <c r="C162" s="36">
        <f>(_xlfn.XLOOKUP(ClientNumber,Clients!D:D,Clients!GSJ:GSJ,2,0,1))</f>
        <v/>
      </c>
      <c r="F162" s="35" t="n"/>
      <c r="G162" s="34" t="inlineStr">
        <is>
          <t>Line 326</t>
        </is>
      </c>
      <c r="H162" s="35">
        <f>IF(TransferName="NONE",0,(_xlfn.XLOOKUP(TransferNumber,Clients!D:D,Clients!GKB:GKB,2,0,1)))</f>
        <v/>
      </c>
      <c r="J162" s="55" t="inlineStr">
        <is>
          <t>Line  5856</t>
        </is>
      </c>
      <c r="K162" s="36">
        <f>(_xlfn.XLOOKUP(MainClient,Clients!D:D,Clients!HSL:HSL,2,0,1))</f>
        <v/>
      </c>
      <c r="N162" s="35" t="n"/>
      <c r="O162" s="34" t="inlineStr">
        <is>
          <t>Line 326</t>
        </is>
      </c>
      <c r="P162" s="35">
        <f>IFERROR(_xlfn.XLOOKUP(TransferNumber,Clients!D:D,Clients!FJZ:FJZ,2,0,1),0)</f>
        <v/>
      </c>
    </row>
    <row r="163" ht="15.75" customHeight="1" thickBot="1">
      <c r="B163" s="68" t="n"/>
      <c r="C163" s="36" t="n"/>
      <c r="F163" s="35" t="n"/>
      <c r="G163" s="34" t="n"/>
      <c r="H163" s="35" t="n"/>
      <c r="J163" s="38" t="n"/>
      <c r="K163" s="36" t="n"/>
      <c r="N163" s="35" t="n"/>
      <c r="O163" s="34" t="n"/>
      <c r="P163" s="35" t="n"/>
    </row>
    <row r="164" ht="15.75" customHeight="1" thickBot="1">
      <c r="B164" s="38" t="n"/>
      <c r="C164" s="36" t="n"/>
      <c r="F164" s="35" t="n"/>
      <c r="G164" s="34" t="n"/>
      <c r="H164" s="35" t="n"/>
      <c r="J164" s="38" t="n"/>
      <c r="K164" s="36" t="n"/>
      <c r="N164" s="35" t="n"/>
      <c r="O164" s="34" t="n"/>
      <c r="P164" s="35" t="n"/>
    </row>
    <row r="165" ht="15.75" customHeight="1" thickBot="1">
      <c r="B165" s="38" t="n"/>
      <c r="C165" s="36" t="n"/>
      <c r="F165" s="35" t="n"/>
      <c r="G165" s="34" t="n"/>
      <c r="H165" s="35" t="n"/>
      <c r="J165" s="38" t="n"/>
      <c r="K165" s="36" t="n"/>
      <c r="N165" s="35" t="n"/>
      <c r="O165" s="34" t="n"/>
      <c r="P165" s="35" t="n"/>
    </row>
    <row r="166" ht="15.75" customHeight="1" thickBot="1">
      <c r="B166" s="38" t="n"/>
      <c r="C166" s="36" t="n"/>
      <c r="F166" s="35" t="n"/>
      <c r="G166" s="34" t="n"/>
      <c r="H166" s="35">
        <f>IF(E171&gt;0,E148-G148,0)</f>
        <v/>
      </c>
      <c r="J166" s="38" t="n"/>
      <c r="K166" s="36" t="n"/>
      <c r="N166" s="35" t="n"/>
      <c r="O166" s="34" t="n"/>
      <c r="P166" s="35">
        <f>IF(M171&gt;0,M148-O148,0)</f>
        <v/>
      </c>
    </row>
    <row r="167" ht="15.75" customHeight="1" thickBot="1">
      <c r="B167" s="38" t="n"/>
      <c r="C167" s="36" t="n"/>
      <c r="F167" s="35" t="n"/>
      <c r="H167" s="65">
        <f>IF(TransferName="NONE",F172,IF(H166&gt;0,(E171-G148)*0.108,0))</f>
        <v/>
      </c>
      <c r="J167" s="38" t="n"/>
      <c r="K167" s="36" t="n"/>
      <c r="N167" s="35" t="n"/>
      <c r="P167" s="65">
        <f>IF(TransferName="NONE",N172,IF(P166&gt;0,(M171-O148)*0.108,0))</f>
        <v/>
      </c>
    </row>
    <row r="168">
      <c r="B168" s="667" t="n"/>
      <c r="F168" s="35" t="n"/>
      <c r="G168" s="34" t="inlineStr">
        <is>
          <t>Transferable</t>
        </is>
      </c>
      <c r="H168" s="65">
        <f>IF(H167&gt;0,H167,0)</f>
        <v/>
      </c>
      <c r="J168" s="667" t="n"/>
      <c r="N168" s="35" t="n"/>
      <c r="O168" s="34" t="inlineStr">
        <is>
          <t>Transferable</t>
        </is>
      </c>
      <c r="P168" s="65">
        <f>IF(P167&gt;0,P167,0)</f>
        <v/>
      </c>
    </row>
    <row r="169">
      <c r="B169" s="667" t="inlineStr">
        <is>
          <t>Adjusted Taxable Income</t>
        </is>
      </c>
      <c r="C169">
        <f>C150-(SUM(C152:C167))</f>
        <v/>
      </c>
      <c r="D169" s="13" t="inlineStr">
        <is>
          <t>Line 5864</t>
        </is>
      </c>
      <c r="E169" s="39">
        <f>IF(C169&gt;0,C169,0)</f>
        <v/>
      </c>
      <c r="F169" s="35" t="n"/>
      <c r="G169" s="34" t="n"/>
      <c r="H169" s="35" t="n"/>
      <c r="J169" s="667" t="inlineStr">
        <is>
          <t>Adjusted Taxable Income</t>
        </is>
      </c>
      <c r="K169">
        <f>K150-(SUM(K152:K167))</f>
        <v/>
      </c>
      <c r="L169" s="13" t="inlineStr">
        <is>
          <t>Line 5864</t>
        </is>
      </c>
      <c r="M169" s="39">
        <f>IF(K169&gt;0,K169,0)</f>
        <v/>
      </c>
      <c r="N169" s="35" t="n"/>
      <c r="O169" s="34" t="n"/>
      <c r="P169" s="35" t="n"/>
    </row>
    <row r="170" ht="15.75" customHeight="1" thickBot="1">
      <c r="B170" s="34" t="n"/>
      <c r="F170" s="35" t="n"/>
      <c r="G170" s="34" t="n"/>
      <c r="H170" s="35" t="n"/>
      <c r="J170" s="34" t="n"/>
      <c r="N170" s="35" t="n"/>
      <c r="O170" s="34" t="n"/>
      <c r="P170" s="35" t="n"/>
    </row>
    <row r="171" ht="15.75" customHeight="1" thickBot="1">
      <c r="B171" s="34" t="n"/>
      <c r="D171" s="21" t="inlineStr">
        <is>
          <t>Prov Trans</t>
        </is>
      </c>
      <c r="E171" s="36">
        <f>(E148-E169)</f>
        <v/>
      </c>
      <c r="F171" s="40" t="n"/>
      <c r="G171" s="34" t="n"/>
      <c r="H171" s="52" t="n"/>
      <c r="J171" s="34" t="n"/>
      <c r="L171" s="21" t="inlineStr">
        <is>
          <t>Prov Trans</t>
        </is>
      </c>
      <c r="M171" s="36">
        <f>(M148-M169)</f>
        <v/>
      </c>
      <c r="N171" s="40" t="n"/>
      <c r="O171" s="34" t="n"/>
      <c r="P171" s="52" t="n"/>
    </row>
    <row r="172" ht="15.75" customHeight="1" thickBot="1">
      <c r="B172" s="34" t="n"/>
      <c r="C172" s="579" t="inlineStr">
        <is>
          <t>DTC Transferable ESTIMATE</t>
        </is>
      </c>
      <c r="D172" s="35" t="n"/>
      <c r="E172" s="36">
        <f>IF(E171&lt;0,0,(IF(E171&gt;E146,E146,E171)))</f>
        <v/>
      </c>
      <c r="F172" s="40">
        <f>IF(E172&gt;0,E172*0.108,"No Transfer Required")</f>
        <v/>
      </c>
      <c r="G172" s="58" t="n"/>
      <c r="H172" s="52" t="n"/>
      <c r="J172" s="34" t="n"/>
      <c r="K172" s="579" t="inlineStr">
        <is>
          <t>DTC Transferable ESTIMATE</t>
        </is>
      </c>
      <c r="L172" s="35" t="n"/>
      <c r="M172" s="36">
        <f>IF(M171&lt;0,0,(IF(M171&gt;M146,M146,M171)))</f>
        <v/>
      </c>
      <c r="N172" s="40">
        <f>IF(M172&gt;0,M172*0.108,"No Transfer Required")</f>
        <v/>
      </c>
      <c r="O172" s="58" t="n"/>
      <c r="P172" s="52" t="n"/>
    </row>
    <row r="173" ht="15.75" customHeight="1" thickBot="1">
      <c r="B173" s="42" t="n"/>
      <c r="C173" s="41" t="n"/>
      <c r="D173" s="43" t="inlineStr">
        <is>
          <t>Net Transferable</t>
        </is>
      </c>
      <c r="E173" s="36">
        <f>IF(E171&lt;0,0,(IF(E171-G144-G145-G147&lt;0,E171,(E171-G144-G145-G147))))</f>
        <v/>
      </c>
      <c r="F173" s="57">
        <f>IF(E173&gt;0,E173*0.108,"0")</f>
        <v/>
      </c>
      <c r="G173" s="59" t="n"/>
      <c r="H173" s="864" t="n"/>
      <c r="J173" s="42" t="n"/>
      <c r="K173" s="41" t="n"/>
      <c r="L173" s="43" t="inlineStr">
        <is>
          <t>Net Transferable</t>
        </is>
      </c>
      <c r="M173" s="36">
        <f>IF(M171&lt;0,0,(IF(M171-O144-O145-O147&lt;0,M171,(M171-O144-O145-O147))))</f>
        <v/>
      </c>
      <c r="N173" s="57">
        <f>IF(M173&gt;0,M173*0.108,"0")</f>
        <v/>
      </c>
      <c r="O173" s="59" t="n"/>
      <c r="P173" s="864" t="n"/>
    </row>
    <row r="174">
      <c r="D174" s="60" t="n"/>
      <c r="F174" s="61" t="n"/>
      <c r="G174" s="449" t="n"/>
      <c r="H174" s="866" t="n"/>
      <c r="L174" s="60" t="n"/>
      <c r="N174" s="866" t="n"/>
      <c r="O174" s="64" t="n"/>
      <c r="P174" s="866" t="n"/>
    </row>
    <row r="175" ht="15.75" customHeight="1" thickBot="1">
      <c r="E175">
        <f>Calculator!$D$5</f>
        <v/>
      </c>
      <c r="H175">
        <f>TransferName</f>
        <v/>
      </c>
      <c r="M175">
        <f>Calculator!$D$5</f>
        <v/>
      </c>
      <c r="P175">
        <f>TransferName</f>
        <v/>
      </c>
    </row>
    <row r="176" ht="15.75" customHeight="1" thickBot="1">
      <c r="B176" s="874" t="inlineStr">
        <is>
          <t>2014 MANITOBA Provincial</t>
        </is>
      </c>
      <c r="C176" s="778" t="n"/>
      <c r="D176" s="778" t="n"/>
      <c r="E176" s="778" t="n"/>
      <c r="F176" s="778" t="n"/>
      <c r="G176" s="778" t="n"/>
      <c r="H176" s="780" t="n"/>
      <c r="J176" s="874" t="inlineStr">
        <is>
          <t>2013 MANITOBA Provincial</t>
        </is>
      </c>
      <c r="K176" s="778" t="n"/>
      <c r="L176" s="778" t="n"/>
      <c r="M176" s="778" t="n"/>
      <c r="N176" s="778" t="n"/>
      <c r="O176" s="778" t="n"/>
      <c r="P176" s="780" t="n"/>
    </row>
    <row r="177" ht="15.75" customHeight="1" thickBot="1">
      <c r="B177" s="34" t="n"/>
      <c r="D177" t="inlineStr">
        <is>
          <t>Line</t>
        </is>
      </c>
      <c r="E177" t="inlineStr">
        <is>
          <t>Amt</t>
        </is>
      </c>
      <c r="F177" s="35" t="n"/>
      <c r="G177" s="667" t="inlineStr">
        <is>
          <t>Spouse</t>
        </is>
      </c>
      <c r="H177" s="35" t="inlineStr">
        <is>
          <t>S2 Adjustment</t>
        </is>
      </c>
      <c r="J177" s="34" t="n"/>
      <c r="L177" t="inlineStr">
        <is>
          <t>Line</t>
        </is>
      </c>
      <c r="M177" t="inlineStr">
        <is>
          <t>Amt</t>
        </is>
      </c>
      <c r="N177" s="35" t="n"/>
      <c r="O177" s="34" t="inlineStr">
        <is>
          <t>Spouse</t>
        </is>
      </c>
      <c r="P177" s="35" t="inlineStr">
        <is>
          <t>S2 Adjustment</t>
        </is>
      </c>
    </row>
    <row r="178" ht="15.75" customHeight="1" thickBot="1">
      <c r="B178" s="667" t="inlineStr">
        <is>
          <t>Age Amount</t>
        </is>
      </c>
      <c r="D178" t="inlineStr">
        <is>
          <t>Line 5808</t>
        </is>
      </c>
      <c r="E178" s="861">
        <f>(_xlfn.XLOOKUP(ClientNumber,Clients!D:D,Clients!IRH:IRH,2,0,1))</f>
        <v/>
      </c>
      <c r="F178" s="37" t="inlineStr">
        <is>
          <t>Line 59020</t>
        </is>
      </c>
      <c r="G178" s="51">
        <f>IF(TransferName="NONE",0,(_xlfn.XLOOKUP(TransferNumber,Clients!D:D,Clients!ITJ:ITJ,2,0,1)))</f>
        <v/>
      </c>
      <c r="H178" s="37">
        <f>IF(AND(E178&gt;0,G178=0),"Age Amount Can Be Transferred","No Action")</f>
        <v/>
      </c>
      <c r="J178" s="667" t="inlineStr">
        <is>
          <t>Age Amount</t>
        </is>
      </c>
      <c r="L178" t="inlineStr">
        <is>
          <t>Line 5808</t>
        </is>
      </c>
      <c r="M178" s="865">
        <f>(_xlfn.XLOOKUP(MainClient,Clients!D:D,Clients!JRJ:JRJ,2,0,1))</f>
        <v/>
      </c>
      <c r="N178" s="45" t="inlineStr">
        <is>
          <t>Line 59020</t>
        </is>
      </c>
      <c r="O178" s="51">
        <f>IF(TransferName="NONE",0,(_xlfn.XLOOKUP(TransferNumber,Clients!D:D,Clients!JTL:JTL,2,0,1)))</f>
        <v/>
      </c>
      <c r="P178" s="37">
        <f>IF(AND(M178&gt;0,O178=0),"Age Amount Can Be Transferred","No Action")</f>
        <v/>
      </c>
    </row>
    <row r="179" ht="15.75" customHeight="1" thickBot="1">
      <c r="B179" s="667" t="inlineStr">
        <is>
          <t>Pension Income Amount</t>
        </is>
      </c>
      <c r="D179" t="inlineStr">
        <is>
          <t>Line 5836 (mx 1000)</t>
        </is>
      </c>
      <c r="E179" s="861">
        <f>IF((_xlfn.XLOOKUP(ClientNumber,Clients!D:D,Clients!ISH:ISH,2,0,1)&lt;1000),(_xlfn.XLOOKUP(MainClient,Clients!D:D,Clients!ISH:ISH,2,0,1)),1000)</f>
        <v/>
      </c>
      <c r="F179" s="37" t="inlineStr">
        <is>
          <t>Line 59050</t>
        </is>
      </c>
      <c r="G179" s="51">
        <f>IF(TransferName="NONE",0,(_xlfn.XLOOKUP(TransferNumber,Clients!D:D,Clients!ITM:ITM,2,0,1)))</f>
        <v/>
      </c>
      <c r="H179" s="37">
        <f>IF(AND(E179&gt;0,G179=0),"Pension Income Amount Can Be Transferred","No Action")</f>
        <v/>
      </c>
      <c r="J179" s="667" t="inlineStr">
        <is>
          <t>Pension Income Amount</t>
        </is>
      </c>
      <c r="L179" t="inlineStr">
        <is>
          <t>Line 5836 (mx 1000)</t>
        </is>
      </c>
      <c r="M179" s="865">
        <f>IF((_xlfn.XLOOKUP(ClientNumber,Clients!D:D,Clients!JSJ:JSJ,2,0,1)&lt;1000),(_xlfn.XLOOKUP(MainClient,Clients!D:D,Clients!JSJ:JSJ,2,0,1)),1000)</f>
        <v/>
      </c>
      <c r="N179" s="45" t="inlineStr">
        <is>
          <t>Line 59050</t>
        </is>
      </c>
      <c r="O179" s="51">
        <f>IF(TransferName="NONE",0,(_xlfn.XLOOKUP(TransferNumber,Clients!D:D,Clients!JTO:JTO,2,0,1)))</f>
        <v/>
      </c>
      <c r="P179" s="37">
        <f>IF(AND(M179&gt;0,O179=0),"Pension Income Amount Can Be Transferred","No Action")</f>
        <v/>
      </c>
    </row>
    <row r="180" ht="15.75" customHeight="1" thickBot="1">
      <c r="B180" s="667" t="inlineStr">
        <is>
          <t>Disability Amount</t>
        </is>
      </c>
      <c r="D180" t="inlineStr">
        <is>
          <t xml:space="preserve">Line 5844 </t>
        </is>
      </c>
      <c r="E180" s="861">
        <f>IF(_xlfn.XLOOKUP(ClientNumber,Clients!D:D,Clients!ISJ:ISJ,2,0,1)=0,6180,(_xlfn.XLOOKUP(MainClient,Clients!D:D,Clients!ISJ:ISJ,2,0,1)))</f>
        <v/>
      </c>
      <c r="F180" s="37" t="inlineStr">
        <is>
          <t>Line 59070</t>
        </is>
      </c>
      <c r="G180" s="51">
        <f>IF(TransferName="NONE",0,(_xlfn.XLOOKUP(TransferNumber,Clients!D:D,Clients!ITN:ITN,2,0,1)))</f>
        <v/>
      </c>
      <c r="H180" s="37">
        <f>IF(AND(E180&gt;0,G180=0),"DTC Transferable Not Claimed Can Be Transferred","No Action")</f>
        <v/>
      </c>
      <c r="J180" s="667" t="inlineStr">
        <is>
          <t>Disability Amount</t>
        </is>
      </c>
      <c r="L180" t="inlineStr">
        <is>
          <t xml:space="preserve">Line 5844 </t>
        </is>
      </c>
      <c r="M180" s="865">
        <f>IF(_xlfn.XLOOKUP(ClientNumber,Clients!D:D,Clients!JSL:JSL,2,0,1)=0,6180,(_xlfn.XLOOKUP(MainClient,Clients!D:D,Clients!JSL:JSL,2,0,1)))</f>
        <v/>
      </c>
      <c r="N180" s="45" t="inlineStr">
        <is>
          <t>Line 59070</t>
        </is>
      </c>
      <c r="O180" s="51">
        <f>IF(TransferName="NONE",0,(_xlfn.XLOOKUP(TransferNumber,Clients!D:D,Clients!JTP:JTP,2,0,1)))</f>
        <v/>
      </c>
      <c r="P180" s="37">
        <f>IF(AND(M180&gt;0,O180=0),"DTC Transferable Not Claimed Can Be Transferred","No Action")</f>
        <v/>
      </c>
    </row>
    <row r="181" ht="15.75" customHeight="1" thickBot="1">
      <c r="B181" s="667" t="inlineStr">
        <is>
          <t>Tuition Amount</t>
        </is>
      </c>
      <c r="D181" t="inlineStr">
        <is>
          <t>Line 5920</t>
        </is>
      </c>
      <c r="E181" s="861">
        <f>(_xlfn.XLOOKUP(ClientNumber,Clients!D:D,Clients!ITZ:ITZ,2,0,1))</f>
        <v/>
      </c>
      <c r="F181" s="37" t="inlineStr">
        <is>
          <t>Line 59090</t>
        </is>
      </c>
      <c r="G181" s="51">
        <f>IF(TransferName="NONE",0,(_xlfn.XLOOKUP(TransferNumber,Clients!D:D,Clients!ITO:ITO,2,0,1)))</f>
        <v/>
      </c>
      <c r="H181" s="37">
        <f>IF(AND(E181&gt;0,G181=0),"Tuition Can Be Transferred","No Action")</f>
        <v/>
      </c>
      <c r="J181" s="667" t="inlineStr">
        <is>
          <t>Tuition Amount</t>
        </is>
      </c>
      <c r="L181" t="inlineStr">
        <is>
          <t>Line 5920</t>
        </is>
      </c>
      <c r="M181" s="865">
        <f>(_xlfn.XLOOKUP(MainClient,Clients!D:D,Clients!JTZ:JTZ,2,0,1))</f>
        <v/>
      </c>
      <c r="N181" s="45" t="inlineStr">
        <is>
          <t>Line 59090</t>
        </is>
      </c>
      <c r="O181" s="51">
        <f>IF(TransferName="NONE",0,(_xlfn.XLOOKUP(TransferNumber,Clients!D:D,Clients!JTR:JTR,2,0,1)))</f>
        <v/>
      </c>
      <c r="P181" s="37">
        <f>IF(AND(M181&gt;0,O181=0),"Tuition Can Be Transferred","No Action")</f>
        <v/>
      </c>
    </row>
    <row r="182">
      <c r="B182" s="667" t="n"/>
      <c r="E182" s="771">
        <f>SUM(E178:E181)</f>
        <v/>
      </c>
      <c r="F182" s="37" t="n"/>
      <c r="G182" s="667">
        <f>SUM(G178:G181)</f>
        <v/>
      </c>
      <c r="H182" s="37" t="n"/>
      <c r="J182" s="667" t="n"/>
      <c r="M182" s="872">
        <f>SUM(M178:M181)</f>
        <v/>
      </c>
      <c r="N182" s="37" t="n"/>
      <c r="O182" s="667">
        <f>SUM(O178:O181)</f>
        <v/>
      </c>
      <c r="P182" s="37" t="n"/>
    </row>
    <row r="183" ht="15.75" customHeight="1" thickBot="1">
      <c r="B183" s="34" t="n"/>
      <c r="F183" s="35" t="n"/>
      <c r="G183" s="667" t="n"/>
      <c r="H183" s="35" t="n"/>
      <c r="J183" s="34" t="n"/>
      <c r="N183" s="35" t="n"/>
      <c r="O183" s="667" t="n"/>
      <c r="P183" s="35" t="n"/>
    </row>
    <row r="184" ht="15.75" customHeight="1" thickBot="1">
      <c r="B184" s="667" t="inlineStr">
        <is>
          <t>Line 260</t>
        </is>
      </c>
      <c r="C184" s="36">
        <f>(_xlfn.XLOOKUP(MainClient,Clients!D:D,Clients!IJG:IJG,2,0,1))</f>
        <v/>
      </c>
      <c r="F184" s="35" t="n"/>
      <c r="G184" s="34">
        <f>IF(E207&gt;E180,"other transferable credits","DTC Only")</f>
        <v/>
      </c>
      <c r="H184" s="35" t="n"/>
      <c r="J184" s="667" t="inlineStr">
        <is>
          <t>Line 260</t>
        </is>
      </c>
      <c r="K184" s="36">
        <f>(_xlfn.XLOOKUP(MainClient,Clients!D:D,Clients!JJI:JJI,2,0,1))</f>
        <v/>
      </c>
      <c r="N184" s="35" t="n"/>
      <c r="O184" s="34">
        <f>IF(M207&gt;M180,"other transferable credits","DTC Only")</f>
        <v/>
      </c>
      <c r="P184" s="35" t="n"/>
    </row>
    <row r="185" ht="15.75" customHeight="1" thickBot="1">
      <c r="B185" s="34" t="n"/>
      <c r="F185" s="35" t="n"/>
      <c r="G185" s="34" t="n"/>
      <c r="H185" s="35" t="n"/>
      <c r="J185" s="34" t="n"/>
      <c r="N185" s="35" t="n"/>
      <c r="O185" s="34" t="n"/>
      <c r="P185" s="35" t="n"/>
    </row>
    <row r="186" ht="15.75" customHeight="1" thickBot="1">
      <c r="B186" s="55" t="inlineStr">
        <is>
          <t>Line 5804</t>
        </is>
      </c>
      <c r="C186" s="36">
        <f>(_xlfn.XLOOKUP(ClientNumber,Clients!D:D,Clients!IRG:IRG,2,0,1))</f>
        <v/>
      </c>
      <c r="F186" s="35" t="n"/>
      <c r="G186" s="34" t="n"/>
      <c r="H186" s="35" t="n"/>
      <c r="J186" s="55" t="inlineStr">
        <is>
          <t>Line 5804</t>
        </is>
      </c>
      <c r="K186" s="36">
        <f>(_xlfn.XLOOKUP(MainClient,Clients!D:D,Clients!JRI:JRI,2,0,1))</f>
        <v/>
      </c>
      <c r="N186" s="35" t="n"/>
      <c r="O186" s="34" t="n"/>
      <c r="P186" s="35" t="n"/>
    </row>
    <row r="187" ht="15.75" customHeight="1" thickBot="1">
      <c r="B187" s="55" t="inlineStr">
        <is>
          <t>Line 5824</t>
        </is>
      </c>
      <c r="C187" s="36">
        <f>(_xlfn.XLOOKUP(ClientNumber,Clients!D:D,Clients!IRV:IRV,2,0,1))</f>
        <v/>
      </c>
      <c r="F187" s="35" t="n"/>
      <c r="G187" s="34" t="n"/>
      <c r="H187" s="35" t="n"/>
      <c r="J187" s="55" t="inlineStr">
        <is>
          <t>Line 5824</t>
        </is>
      </c>
      <c r="K187" s="36">
        <f>(_xlfn.XLOOKUP(MainClient,Clients!D:D,Clients!JRX:JRX,2,0,1))</f>
        <v/>
      </c>
      <c r="N187" s="35" t="n"/>
      <c r="O187" s="34" t="n"/>
      <c r="P187" s="35" t="n"/>
    </row>
    <row r="188" ht="15.75" customHeight="1" thickBot="1">
      <c r="B188" s="55" t="inlineStr">
        <is>
          <t>Line 5828</t>
        </is>
      </c>
      <c r="C188" s="36">
        <f>(_xlfn.XLOOKUP(ClientNumber,Clients!D:D,Clients!IRW:IRW,2,0,1))</f>
        <v/>
      </c>
      <c r="F188" s="35" t="n"/>
      <c r="G188" s="34" t="n"/>
      <c r="H188" s="35" t="n"/>
      <c r="J188" s="55" t="inlineStr">
        <is>
          <t>Line 5828</t>
        </is>
      </c>
      <c r="K188" s="36">
        <f>(_xlfn.XLOOKUP(MainClient,Clients!D:D,Clients!JRY:JRY,2,0,1))</f>
        <v/>
      </c>
      <c r="N188" s="35" t="n"/>
      <c r="P188" s="35" t="n"/>
    </row>
    <row r="189" ht="15.75" customHeight="1" thickBot="1">
      <c r="B189" s="55" t="inlineStr">
        <is>
          <t>Line 5832</t>
        </is>
      </c>
      <c r="C189" s="36">
        <f>(_xlfn.XLOOKUP(ClientNumber,Clients!D:D,Clients!IRX:IRX,2,0,1))</f>
        <v/>
      </c>
      <c r="F189" s="35" t="n"/>
      <c r="G189" s="34" t="n"/>
      <c r="H189" s="35" t="n"/>
      <c r="J189" s="55" t="inlineStr">
        <is>
          <t>Line 5832</t>
        </is>
      </c>
      <c r="K189" s="36">
        <f>(_xlfn.XLOOKUP(MainClient,Clients!D:D,Clients!JRZ:JRZ,2,0,1))</f>
        <v/>
      </c>
      <c r="N189" s="35" t="n"/>
      <c r="O189" s="34" t="n"/>
      <c r="P189" s="35" t="n"/>
    </row>
    <row r="190" ht="15.75" customHeight="1" thickBot="1">
      <c r="B190" s="55" t="inlineStr">
        <is>
          <t>Line 5829</t>
        </is>
      </c>
      <c r="C190" s="36">
        <f>(_xlfn.XLOOKUP(ClientNumber,Clients!D:D,Clients!IRY:IRY,2,0,1))</f>
        <v/>
      </c>
      <c r="F190" s="35" t="n"/>
      <c r="G190" s="34" t="n"/>
      <c r="H190" s="35" t="n"/>
      <c r="J190" s="55" t="inlineStr">
        <is>
          <t>Line 5829</t>
        </is>
      </c>
      <c r="K190" s="36">
        <f>(_xlfn.XLOOKUP(MainClient,Clients!D:D,Clients!JSA:JSA,2,0,1))</f>
        <v/>
      </c>
      <c r="N190" s="35" t="n"/>
      <c r="O190" s="34" t="n"/>
      <c r="P190" s="35" t="n"/>
    </row>
    <row r="191" ht="15.75" customHeight="1" thickBot="1">
      <c r="B191" s="55" t="inlineStr">
        <is>
          <t>Line 5833</t>
        </is>
      </c>
      <c r="C191" s="36">
        <f>(_xlfn.XLOOKUP(ClientNumber,Clients!D:D,Clients!ISF:ISF,2,0,1))</f>
        <v/>
      </c>
      <c r="F191" s="35" t="n"/>
      <c r="G191" s="34" t="n"/>
      <c r="H191" s="35" t="n"/>
      <c r="J191" s="55" t="inlineStr">
        <is>
          <t>Line 5833</t>
        </is>
      </c>
      <c r="K191" s="36">
        <f>(_xlfn.XLOOKUP(MainClient,Clients!D:D,Clients!JSH:JSH,2,0,1))</f>
        <v/>
      </c>
      <c r="N191" s="35" t="n"/>
      <c r="O191" s="34" t="n"/>
      <c r="P191" s="35" t="n"/>
    </row>
    <row r="192" ht="15.75" customHeight="1" thickBot="1">
      <c r="B192" s="55" t="inlineStr">
        <is>
          <t>Line 5839</t>
        </is>
      </c>
      <c r="C192" s="36">
        <f>(_xlfn.XLOOKUP(ClientNumber,Clients!D:D,Clients!ISD:ISD,2,0,1))</f>
        <v/>
      </c>
      <c r="F192" s="35" t="n"/>
      <c r="G192" s="34" t="n"/>
      <c r="H192" s="35" t="n"/>
      <c r="J192" s="55" t="inlineStr">
        <is>
          <t>Line 5839</t>
        </is>
      </c>
      <c r="K192" s="36">
        <f>(_xlfn.XLOOKUP(MainClient,Clients!D:D,Clients!JSF:JSF,2,0,1))</f>
        <v/>
      </c>
      <c r="N192" s="35" t="n"/>
      <c r="O192" s="34" t="n"/>
      <c r="P192" s="35" t="n"/>
    </row>
    <row r="193" ht="15.75" customHeight="1" thickBot="1">
      <c r="B193" s="55" t="inlineStr">
        <is>
          <t>Line 5841</t>
        </is>
      </c>
      <c r="C193" s="36">
        <f>(_xlfn.XLOOKUP(ClientNumber,Clients!D:D,Clients!ISE:ISE,2,0,1))</f>
        <v/>
      </c>
      <c r="F193" s="35" t="n"/>
      <c r="G193" s="34" t="n"/>
      <c r="H193" s="35" t="n"/>
      <c r="J193" s="55" t="inlineStr">
        <is>
          <t>Line 5841</t>
        </is>
      </c>
      <c r="K193" s="36">
        <f>(_xlfn.XLOOKUP(MainClient,Clients!D:D,Clients!JSG:JSG,2,0,1))</f>
        <v/>
      </c>
      <c r="N193" s="35" t="n"/>
      <c r="O193" s="34" t="n"/>
      <c r="P193" s="35" t="n"/>
    </row>
    <row r="194" ht="15.75" customHeight="1" thickBot="1">
      <c r="B194" s="55" t="inlineStr">
        <is>
          <t>Line 5856</t>
        </is>
      </c>
      <c r="C194" s="36">
        <f>(_xlfn.XLOOKUP(ClientNumber,Clients!D:D,Clients!ISN:ISN,2,0,1))</f>
        <v/>
      </c>
      <c r="F194" s="35" t="n"/>
      <c r="G194" s="34" t="n"/>
      <c r="H194" s="35" t="n"/>
      <c r="J194" s="55" t="inlineStr">
        <is>
          <t>Line 5856</t>
        </is>
      </c>
      <c r="K194" s="36">
        <f>(_xlfn.XLOOKUP(MainClient,Clients!D:D,Clients!JSP:JSP,2,0,1))</f>
        <v/>
      </c>
      <c r="N194" s="35" t="n"/>
      <c r="O194" s="34" t="n"/>
      <c r="P194" s="35" t="n"/>
    </row>
    <row r="195" ht="15.75" customHeight="1" thickBot="1">
      <c r="B195" s="68" t="n"/>
      <c r="C195" s="36" t="n"/>
      <c r="F195" s="35" t="n"/>
      <c r="G195" s="34" t="n"/>
      <c r="H195" s="35" t="n"/>
      <c r="J195" s="68" t="n"/>
      <c r="K195" s="36" t="n"/>
      <c r="N195" s="35" t="n"/>
      <c r="O195" s="34" t="n"/>
      <c r="P195" s="35" t="n"/>
    </row>
    <row r="196" ht="15.75" customHeight="1" thickBot="1">
      <c r="B196" s="38" t="n"/>
      <c r="C196" s="36" t="n"/>
      <c r="F196" s="35" t="n"/>
      <c r="G196" s="34" t="inlineStr">
        <is>
          <t>Line 326</t>
        </is>
      </c>
      <c r="H196" s="35">
        <f>IF(TransferName="NONE",0,(_xlfn.XLOOKUP(TransferNumber,Clients!D:D,Clients!IKF:IKF,2,0,1)))</f>
        <v/>
      </c>
      <c r="J196" s="38" t="n"/>
      <c r="K196" s="36" t="n"/>
      <c r="N196" s="35" t="n"/>
      <c r="O196" s="34" t="inlineStr">
        <is>
          <t>Line 326</t>
        </is>
      </c>
      <c r="P196" s="35">
        <f>IFERROR(_xlfn.XLOOKUP(TransferNumber,Clients!D:D,Clients!JKH:JKH,2,0,1),0)</f>
        <v/>
      </c>
    </row>
    <row r="197" ht="15.75" customHeight="1" thickBot="1">
      <c r="A197" s="55" t="n"/>
      <c r="B197" s="38" t="n"/>
      <c r="C197" s="36" t="n"/>
      <c r="F197" s="35" t="n"/>
      <c r="G197" s="34" t="n"/>
      <c r="H197" s="35" t="n"/>
      <c r="J197" s="68" t="n"/>
      <c r="K197" s="36" t="n"/>
      <c r="N197" s="35" t="n"/>
      <c r="O197" s="34" t="n"/>
      <c r="P197" s="35" t="n"/>
    </row>
    <row r="198" ht="15.75" customHeight="1" thickBot="1">
      <c r="B198" s="38" t="n"/>
      <c r="C198" s="36" t="n"/>
      <c r="F198" s="35" t="n"/>
      <c r="G198" s="34" t="n"/>
      <c r="H198" s="35" t="n"/>
      <c r="J198" s="38" t="n"/>
      <c r="K198" s="36" t="n"/>
      <c r="N198" s="35" t="n"/>
      <c r="O198" s="34" t="n"/>
      <c r="P198" s="35" t="n"/>
    </row>
    <row r="199" ht="15.75" customHeight="1" thickBot="1">
      <c r="B199" s="38" t="n"/>
      <c r="C199" s="36" t="n"/>
      <c r="F199" s="35" t="n"/>
      <c r="G199" s="34" t="n"/>
      <c r="H199" s="35" t="n"/>
      <c r="J199" s="38" t="n"/>
      <c r="K199" s="36" t="n"/>
      <c r="N199" s="35" t="n"/>
      <c r="O199" s="34" t="n"/>
      <c r="P199" s="35" t="n"/>
    </row>
    <row r="200" ht="15.75" customHeight="1" thickBot="1">
      <c r="B200" s="38" t="n"/>
      <c r="C200" s="36" t="n"/>
      <c r="F200" s="35" t="n"/>
      <c r="G200" s="34" t="n"/>
      <c r="H200" s="35">
        <f>IF(E205&gt;0,E182-G182,0)</f>
        <v/>
      </c>
      <c r="J200" s="38" t="n"/>
      <c r="K200" s="36" t="n"/>
      <c r="N200" s="35" t="n"/>
      <c r="O200" s="34" t="n"/>
      <c r="P200" s="35">
        <f>IF(M205&gt;0,M182-O182,0)</f>
        <v/>
      </c>
    </row>
    <row r="201" ht="15.75" customHeight="1" thickBot="1">
      <c r="B201" s="38" t="n"/>
      <c r="C201" s="36" t="n"/>
      <c r="F201" s="35" t="n"/>
      <c r="H201" s="52">
        <f>IF(TransferName="NONE",F206,IF(H200&gt;0,(E205-G182)*0.108,0))</f>
        <v/>
      </c>
      <c r="J201" s="38" t="n"/>
      <c r="K201" s="36" t="n"/>
      <c r="N201" s="35" t="n"/>
      <c r="P201" s="52">
        <f>IF(TransferName="NONE",N206,IF(P200&gt;0,(M205-O182)*0.108,0))</f>
        <v/>
      </c>
    </row>
    <row r="202">
      <c r="B202" s="667" t="n"/>
      <c r="F202" s="35" t="n"/>
      <c r="G202" s="34" t="inlineStr">
        <is>
          <t>Transferable</t>
        </is>
      </c>
      <c r="H202" s="52">
        <f>IF(H201&gt;0,H201,0)</f>
        <v/>
      </c>
      <c r="J202" s="667" t="n"/>
      <c r="N202" s="35" t="n"/>
      <c r="O202" s="34" t="inlineStr">
        <is>
          <t>Transferable</t>
        </is>
      </c>
      <c r="P202" s="52">
        <f>IF(P201&gt;0,P201,0)</f>
        <v/>
      </c>
    </row>
    <row r="203">
      <c r="B203" s="667" t="inlineStr">
        <is>
          <t>Adjusted Taxable Income</t>
        </is>
      </c>
      <c r="C203">
        <f>C184-(SUM(C186:C201))</f>
        <v/>
      </c>
      <c r="D203" s="13" t="inlineStr">
        <is>
          <t>Line 5864</t>
        </is>
      </c>
      <c r="E203" s="39">
        <f>IF(C203&gt;0,C203,0)</f>
        <v/>
      </c>
      <c r="F203" s="35" t="n"/>
      <c r="G203" s="34" t="n"/>
      <c r="H203" s="35" t="n"/>
      <c r="J203" s="667" t="inlineStr">
        <is>
          <t>Adjusted Taxable Income</t>
        </is>
      </c>
      <c r="K203">
        <f>K184-(SUM(K186:K201))</f>
        <v/>
      </c>
      <c r="L203" s="13" t="inlineStr">
        <is>
          <t>Line 5864</t>
        </is>
      </c>
      <c r="M203" s="39">
        <f>IF(K203&gt;0,K203,0)</f>
        <v/>
      </c>
      <c r="N203" s="35" t="n"/>
      <c r="O203" s="34" t="n"/>
      <c r="P203" s="35" t="n"/>
    </row>
    <row r="204" ht="15.75" customHeight="1" thickBot="1">
      <c r="B204" s="34" t="n"/>
      <c r="F204" s="35" t="n"/>
      <c r="G204" s="34" t="n"/>
      <c r="H204" s="35" t="n"/>
      <c r="J204" s="34" t="n"/>
      <c r="N204" s="35" t="n"/>
      <c r="O204" s="34" t="n"/>
      <c r="P204" s="35" t="n"/>
    </row>
    <row r="205" ht="15.75" customHeight="1" thickBot="1">
      <c r="B205" s="34" t="n"/>
      <c r="D205" s="21" t="inlineStr">
        <is>
          <t>Prov Trans</t>
        </is>
      </c>
      <c r="E205" s="36">
        <f>(E182-E203)</f>
        <v/>
      </c>
      <c r="F205" s="40" t="n"/>
      <c r="G205" s="34" t="n"/>
      <c r="H205" s="52" t="n"/>
      <c r="J205" s="34" t="n"/>
      <c r="L205" s="21" t="inlineStr">
        <is>
          <t>Prov Trans</t>
        </is>
      </c>
      <c r="M205" s="36">
        <f>(M182-M203)</f>
        <v/>
      </c>
      <c r="N205" s="40" t="n"/>
      <c r="O205" s="34" t="n"/>
      <c r="P205" s="52" t="n"/>
    </row>
    <row r="206" ht="15.75" customHeight="1" thickBot="1">
      <c r="B206" s="34" t="n"/>
      <c r="C206" s="579" t="inlineStr">
        <is>
          <t>DTC Transferable ESTIMATE</t>
        </is>
      </c>
      <c r="D206" s="35" t="n"/>
      <c r="E206" s="36">
        <f>IF(E205&lt;0,0,(IF(E205&gt;E180,E180,E205)))</f>
        <v/>
      </c>
      <c r="F206" s="40">
        <f>IF(E206&gt;0,E206*0.108,"No Transfer Required")</f>
        <v/>
      </c>
      <c r="G206" s="58" t="n"/>
      <c r="H206" s="52" t="n"/>
      <c r="J206" s="34" t="n"/>
      <c r="K206" s="579" t="inlineStr">
        <is>
          <t>DTC Transferable ESTIMATE</t>
        </is>
      </c>
      <c r="L206" s="35" t="n"/>
      <c r="M206" s="36">
        <f>IF(M205&lt;0,0,(IF(M205&gt;M180,M180,M205)))</f>
        <v/>
      </c>
      <c r="N206" s="40">
        <f>IF(M206&gt;0,M206*0.108,"No Transfer Required")</f>
        <v/>
      </c>
      <c r="O206" s="58" t="n"/>
      <c r="P206" s="52" t="n"/>
    </row>
    <row r="207" ht="15.75" customHeight="1" thickBot="1">
      <c r="B207" s="42" t="n"/>
      <c r="C207" s="41" t="n"/>
      <c r="D207" s="43" t="inlineStr">
        <is>
          <t>Net Transferable</t>
        </is>
      </c>
      <c r="E207" s="36">
        <f>IF(E205&lt;0,0,(IF(E205-G178-G179-G181&lt;0,E205,(E205-G178-G179-G181))))</f>
        <v/>
      </c>
      <c r="F207" s="57">
        <f>IF(E207&gt;0,E207*0.108,"0")</f>
        <v/>
      </c>
      <c r="G207" s="59" t="n"/>
      <c r="H207" s="864" t="n"/>
      <c r="J207" s="42" t="n"/>
      <c r="K207" s="41" t="n"/>
      <c r="L207" s="43" t="inlineStr">
        <is>
          <t>Net Transferable</t>
        </is>
      </c>
      <c r="M207" s="36">
        <f>IF(M205&lt;0,0,(IF(M205-O178-O179-O181&lt;0,M205,(M205-O178-O179-O181))))</f>
        <v/>
      </c>
      <c r="N207" s="57">
        <f>IF(M207&gt;0,M207*0.108,"0")</f>
        <v/>
      </c>
      <c r="O207" s="59" t="n"/>
      <c r="P207" s="864" t="n"/>
    </row>
    <row r="208">
      <c r="D208" s="60" t="n"/>
      <c r="F208" s="61" t="n"/>
      <c r="G208" s="449" t="n"/>
      <c r="H208" s="866" t="n"/>
      <c r="L208" s="60" t="n"/>
      <c r="N208" s="866" t="n"/>
      <c r="O208" s="64" t="n"/>
      <c r="P208" s="866" t="n"/>
    </row>
  </sheetData>
  <mergeCells count="88">
    <mergeCell ref="J180:K180"/>
    <mergeCell ref="K33:L33"/>
    <mergeCell ref="C172:D172"/>
    <mergeCell ref="J146:K146"/>
    <mergeCell ref="B77:C77"/>
    <mergeCell ref="K138:L138"/>
    <mergeCell ref="G68:G69"/>
    <mergeCell ref="B182:C182"/>
    <mergeCell ref="J4:K4"/>
    <mergeCell ref="B78:C78"/>
    <mergeCell ref="G33:G34"/>
    <mergeCell ref="J147:K147"/>
    <mergeCell ref="B112:C112"/>
    <mergeCell ref="B178:C178"/>
    <mergeCell ref="C138:D138"/>
    <mergeCell ref="B2:H2"/>
    <mergeCell ref="B40:C40"/>
    <mergeCell ref="K172:L172"/>
    <mergeCell ref="B41:C41"/>
    <mergeCell ref="J110:K110"/>
    <mergeCell ref="B37:H37"/>
    <mergeCell ref="J181:K181"/>
    <mergeCell ref="B142:H142"/>
    <mergeCell ref="B180:C180"/>
    <mergeCell ref="J77:K77"/>
    <mergeCell ref="G103:G104"/>
    <mergeCell ref="B179:C179"/>
    <mergeCell ref="B72:H72"/>
    <mergeCell ref="B176:H176"/>
    <mergeCell ref="G138:G139"/>
    <mergeCell ref="J75:K75"/>
    <mergeCell ref="B107:H107"/>
    <mergeCell ref="B6:C6"/>
    <mergeCell ref="K206:L206"/>
    <mergeCell ref="J145:K145"/>
    <mergeCell ref="B144:C144"/>
    <mergeCell ref="K68:L68"/>
    <mergeCell ref="J111:K111"/>
    <mergeCell ref="B7:C7"/>
    <mergeCell ref="C68:D68"/>
    <mergeCell ref="J2:P2"/>
    <mergeCell ref="J142:P142"/>
    <mergeCell ref="J40:K40"/>
    <mergeCell ref="B43:C43"/>
    <mergeCell ref="B42:C42"/>
    <mergeCell ref="J182:K182"/>
    <mergeCell ref="J74:K74"/>
    <mergeCell ref="J179:K179"/>
    <mergeCell ref="B148:C148"/>
    <mergeCell ref="J72:P72"/>
    <mergeCell ref="J37:P37"/>
    <mergeCell ref="B146:C146"/>
    <mergeCell ref="J176:P176"/>
    <mergeCell ref="J113:K113"/>
    <mergeCell ref="J107:P107"/>
    <mergeCell ref="B5:C5"/>
    <mergeCell ref="B76:C76"/>
    <mergeCell ref="J42:K42"/>
    <mergeCell ref="B4:C4"/>
    <mergeCell ref="B75:C75"/>
    <mergeCell ref="J39:K39"/>
    <mergeCell ref="J144:K144"/>
    <mergeCell ref="B109:C109"/>
    <mergeCell ref="J5:K5"/>
    <mergeCell ref="C33:D33"/>
    <mergeCell ref="J112:K112"/>
    <mergeCell ref="C206:D206"/>
    <mergeCell ref="J78:K78"/>
    <mergeCell ref="B39:C39"/>
    <mergeCell ref="J6:K6"/>
    <mergeCell ref="C103:D103"/>
    <mergeCell ref="B111:C111"/>
    <mergeCell ref="B145:C145"/>
    <mergeCell ref="B181:C181"/>
    <mergeCell ref="J178:K178"/>
    <mergeCell ref="B8:C8"/>
    <mergeCell ref="J148:K148"/>
    <mergeCell ref="B147:C147"/>
    <mergeCell ref="J7:K7"/>
    <mergeCell ref="J41:K41"/>
    <mergeCell ref="J109:K109"/>
    <mergeCell ref="B74:C74"/>
    <mergeCell ref="J43:K43"/>
    <mergeCell ref="K103:L103"/>
    <mergeCell ref="J76:K76"/>
    <mergeCell ref="B110:C110"/>
    <mergeCell ref="J8:K8"/>
    <mergeCell ref="B113:C113"/>
  </mergeCells>
  <pageMargins left="0.7" right="0.7" top="0.75" bottom="0.75" header="0.3" footer="0.3"/>
  <pageSetup orientation="portrait" verticalDpi="597"/>
</worksheet>
</file>

<file path=xl/worksheets/sheet13.xml><?xml version="1.0" encoding="utf-8"?>
<worksheet xmlns="http://schemas.openxmlformats.org/spreadsheetml/2006/main">
  <sheetPr codeName="Sheet8">
    <tabColor rgb="FF92D050"/>
    <outlinePr summaryBelow="1" summaryRight="1"/>
    <pageSetUpPr/>
  </sheetPr>
  <dimension ref="A1:P208"/>
  <sheetViews>
    <sheetView topLeftCell="A177" zoomScale="60" zoomScaleNormal="60" workbookViewId="0">
      <selection activeCell="M206" sqref="M206"/>
    </sheetView>
  </sheetViews>
  <sheetFormatPr baseColWidth="8" defaultRowHeight="15"/>
  <cols>
    <col width="1.140625" customWidth="1" min="1" max="1"/>
    <col width="23.7109375" bestFit="1" customWidth="1" min="2" max="2"/>
    <col width="16" customWidth="1" min="3" max="3"/>
    <col width="18.28515625" customWidth="1" min="4" max="4"/>
    <col width="13.5703125" bestFit="1" customWidth="1" min="5" max="5"/>
    <col width="13.42578125" customWidth="1" min="6" max="6"/>
    <col width="12.140625" bestFit="1" customWidth="1" min="7" max="7"/>
    <col width="59" customWidth="1" min="8" max="8"/>
    <col width="12.140625" customWidth="1" min="9" max="9"/>
    <col width="23.7109375" bestFit="1" customWidth="1" min="10" max="10"/>
    <col width="11.85546875" customWidth="1" min="11" max="11"/>
    <col width="18.42578125" bestFit="1" customWidth="1" min="12" max="12"/>
    <col width="13.5703125" bestFit="1" customWidth="1" min="13" max="13"/>
    <col width="13.5703125" customWidth="1" min="14" max="14"/>
    <col width="12.140625" bestFit="1" customWidth="1" min="15" max="15"/>
    <col width="58.7109375" customWidth="1" min="16" max="16"/>
  </cols>
  <sheetData>
    <row r="1" ht="15.75" customHeight="1" thickBot="1">
      <c r="E1">
        <f>Calculator!$D$5</f>
        <v/>
      </c>
      <c r="H1">
        <f>TransferName</f>
        <v/>
      </c>
      <c r="M1">
        <f>Calculator!$D$5</f>
        <v/>
      </c>
      <c r="P1">
        <f>TransferName</f>
        <v/>
      </c>
    </row>
    <row r="2" ht="15.75" customHeight="1" thickBot="1">
      <c r="B2" s="867" t="inlineStr">
        <is>
          <t>2024 NEW BRUNSWICK Provincial</t>
        </is>
      </c>
      <c r="C2" s="778" t="n"/>
      <c r="D2" s="778" t="n"/>
      <c r="E2" s="778" t="n"/>
      <c r="F2" s="778" t="n"/>
      <c r="G2" s="778" t="n"/>
      <c r="H2" s="780" t="n"/>
      <c r="J2" s="875" t="inlineStr">
        <is>
          <t>2023 NEW BRUNSWICK Provincial</t>
        </is>
      </c>
      <c r="K2" s="778" t="n"/>
      <c r="L2" s="778" t="n"/>
      <c r="M2" s="778" t="n"/>
      <c r="N2" s="778" t="n"/>
      <c r="O2" s="778" t="n"/>
      <c r="P2" s="780" t="n"/>
    </row>
    <row r="3" ht="15.75" customHeight="1" thickBot="1">
      <c r="B3" s="116" t="n"/>
      <c r="C3" s="115" t="n"/>
      <c r="D3" s="115" t="inlineStr">
        <is>
          <t>Line</t>
        </is>
      </c>
      <c r="E3" s="115" t="inlineStr">
        <is>
          <t>Amt</t>
        </is>
      </c>
      <c r="F3" s="117" t="n"/>
      <c r="G3" s="675" t="inlineStr">
        <is>
          <t>Spouse</t>
        </is>
      </c>
      <c r="H3" s="117" t="inlineStr">
        <is>
          <t>S2 Adjustment</t>
        </is>
      </c>
      <c r="J3" s="34" t="n"/>
      <c r="L3" t="inlineStr">
        <is>
          <t>Line</t>
        </is>
      </c>
      <c r="M3" t="inlineStr">
        <is>
          <t>Amt</t>
        </is>
      </c>
      <c r="N3" s="35" t="n"/>
      <c r="O3" s="34" t="inlineStr">
        <is>
          <t>Spouse</t>
        </is>
      </c>
      <c r="P3" s="35" t="inlineStr">
        <is>
          <t>S2 Adjustment</t>
        </is>
      </c>
    </row>
    <row r="4" ht="15.75" customHeight="1" thickBot="1">
      <c r="B4" s="675" t="inlineStr">
        <is>
          <t>Age Amount</t>
        </is>
      </c>
      <c r="D4" s="115" t="inlineStr">
        <is>
          <t>Line 58080</t>
        </is>
      </c>
      <c r="E4" s="869">
        <f>(_xlfn.XLOOKUP(ClientNumber,Clients!D:D,Clients!ANR:ANR,2,0,1))</f>
        <v/>
      </c>
      <c r="F4" s="119" t="inlineStr">
        <is>
          <t>Line 59020</t>
        </is>
      </c>
      <c r="G4" s="141">
        <f>IF(TransferName="NONE",0,(_xlfn.XLOOKUP(TransferNumber,Clients!D:D,Clients!APT:APT,2,0,1)))</f>
        <v/>
      </c>
      <c r="H4" s="119">
        <f>IF(AND(E4&gt;0,G4=0),"Age Amount Can Be Transferred","No Action")</f>
        <v/>
      </c>
      <c r="J4" s="667" t="inlineStr">
        <is>
          <t>Age Amount</t>
        </is>
      </c>
      <c r="L4" t="inlineStr">
        <is>
          <t>Line 58080</t>
        </is>
      </c>
      <c r="M4" s="865">
        <f>(_xlfn.XLOOKUP(MainClient,Clients!D:D,Clients!MW:MW,2,0,1))</f>
        <v/>
      </c>
      <c r="N4" s="37" t="inlineStr">
        <is>
          <t>Line 59020</t>
        </is>
      </c>
      <c r="O4" s="51">
        <f>IF(TransferName="NONE",0,(_xlfn.XLOOKUP(TransferNumber,Clients!D:D,Clients!OY:OY,2,0,1)))</f>
        <v/>
      </c>
      <c r="P4" s="37">
        <f>IF(AND(M4&gt;0,O4=0),"Age Amount Can Be Transferred","No Action")</f>
        <v/>
      </c>
    </row>
    <row r="5" ht="15.75" customHeight="1" thickBot="1">
      <c r="B5" s="675" t="inlineStr">
        <is>
          <t>Pension Income Amount</t>
        </is>
      </c>
      <c r="D5" s="115" t="inlineStr">
        <is>
          <t>Line 58360 (mx 1000)</t>
        </is>
      </c>
      <c r="E5" s="869">
        <f>IF((_xlfn.XLOOKUP(ClientNumber,Clients!D:D,Clients!AOR:AOR,2,0,1)&lt;1000),(_xlfn.XLOOKUP(MainClient,Clients!D:D,Clients!AOR:AOR,2,0,1)),1000)</f>
        <v/>
      </c>
      <c r="F5" s="119" t="inlineStr">
        <is>
          <t>Line 59050</t>
        </is>
      </c>
      <c r="G5" s="141">
        <f>IF(TransferName="NONE",0,(_xlfn.XLOOKUP(TransferNumber,Clients!D:D,Clients!APW:APW,2,0,1)))</f>
        <v/>
      </c>
      <c r="H5" s="119">
        <f>IF(AND(E5&gt;0,G5=0),"Pension Income Amount Can Be Transferred","No Action")</f>
        <v/>
      </c>
      <c r="J5" s="667" t="inlineStr">
        <is>
          <t>Pension Income Amount</t>
        </is>
      </c>
      <c r="L5" t="inlineStr">
        <is>
          <t>Line 58360 (mx 1000)</t>
        </is>
      </c>
      <c r="M5" s="865">
        <f>IF((_xlfn.XLOOKUP(ClientNumber,Clients!D:D,Clients!NW:NW,2,0,1)&lt;1000),(_xlfn.XLOOKUP(MainClient,Clients!D:D,Clients!NW:NW,2,0,1)),1000)</f>
        <v/>
      </c>
      <c r="N5" s="37" t="inlineStr">
        <is>
          <t>Line 59050</t>
        </is>
      </c>
      <c r="O5" s="51">
        <f>IF(TransferName="NONE",0,(_xlfn.XLOOKUP(TransferNumber,Clients!D:D,Clients!PB:PB,2,0,1)))</f>
        <v/>
      </c>
      <c r="P5" s="37">
        <f>IF(AND(M5&gt;0,O5=0),"Pension Income Amount Can Be Transferred","No Action")</f>
        <v/>
      </c>
    </row>
    <row r="6" ht="15.75" customHeight="1" thickBot="1">
      <c r="B6" s="675" t="inlineStr">
        <is>
          <t>Disability Amount</t>
        </is>
      </c>
      <c r="D6" s="115" t="inlineStr">
        <is>
          <t>Line 58440</t>
        </is>
      </c>
      <c r="E6" s="869">
        <f>IF(_xlfn.XLOOKUP(ClientNumber,Clients!D:D,Clients!AOT:AOT,2,0,1)=0,8757,(_xlfn.XLOOKUP(MainClient,Clients!D:D,Clients!AOT:AOT,2,0,1)))</f>
        <v/>
      </c>
      <c r="F6" s="119" t="inlineStr">
        <is>
          <t>Line 59070</t>
        </is>
      </c>
      <c r="G6" s="141">
        <f>IF(TransferName="NONE",0,(_xlfn.XLOOKUP(TransferNumber,Clients!D:D,Clients!APX:APX,2,0,1)))</f>
        <v/>
      </c>
      <c r="H6" s="119">
        <f>IF(AND(E6&gt;0,G6=0),"DTC Transferable Not Claimed Can Be Transferred","No Action")</f>
        <v/>
      </c>
      <c r="J6" s="667" t="inlineStr">
        <is>
          <t>Disability Amount</t>
        </is>
      </c>
      <c r="L6" t="inlineStr">
        <is>
          <t>Line 58440</t>
        </is>
      </c>
      <c r="M6" s="865">
        <f>IF(_xlfn.XLOOKUP(ClientNumber,Clients!D:D,Clients!NY:NY,2,0,1)=0,9309,(_xlfn.XLOOKUP(MainClient,Clients!D:D,Clients!NY:NY,2,0,1)))</f>
        <v/>
      </c>
      <c r="N6" s="37" t="inlineStr">
        <is>
          <t>Line 59070</t>
        </is>
      </c>
      <c r="O6" s="51">
        <f>IF(TransferName="NONE",0,(_xlfn.XLOOKUP(TransferNumber,Clients!D:D,Clients!PC:PC,2,0,1)))</f>
        <v/>
      </c>
      <c r="P6" s="37">
        <f>IF(AND(M6&gt;0,O6=0),"DTC Transferable Not Claimed Can Be Transferred","No Action")</f>
        <v/>
      </c>
    </row>
    <row r="7" ht="15.75" customHeight="1" thickBot="1">
      <c r="B7" s="675" t="inlineStr">
        <is>
          <t>Tuition Amount</t>
        </is>
      </c>
      <c r="D7" s="115" t="inlineStr">
        <is>
          <t>Line 59200</t>
        </is>
      </c>
      <c r="E7" s="869">
        <f>(_xlfn.XLOOKUP(ClientNumber,Clients!D:D,Clients!AQI:AQI,2,0,1))</f>
        <v/>
      </c>
      <c r="F7" s="119" t="inlineStr">
        <is>
          <t>Line 59090</t>
        </is>
      </c>
      <c r="G7" s="141">
        <f>IF(TransferName="NONE",0,(_xlfn.XLOOKUP(TransferNumber,Clients!D:D,Clients!APY:APY,2,0,1)))</f>
        <v/>
      </c>
      <c r="H7" s="119">
        <f>IF(AND(E7&gt;0,G7=0),"Tuition Can Be Transferred","No Action")</f>
        <v/>
      </c>
      <c r="J7" s="667" t="inlineStr">
        <is>
          <t>Tuition Amount</t>
        </is>
      </c>
      <c r="L7" t="inlineStr">
        <is>
          <t>Line 59200</t>
        </is>
      </c>
      <c r="M7" s="865">
        <f>(_xlfn.XLOOKUP(MainClient,Clients!D:D,Clients!PN:PN,2,0,1))</f>
        <v/>
      </c>
      <c r="N7" s="37" t="inlineStr">
        <is>
          <t>Line 59090</t>
        </is>
      </c>
      <c r="O7" s="51">
        <f>IF(TransferName="NONE",0,(_xlfn.XLOOKUP(TransferNumber,Clients!D:D,Clients!PD:PD,2,0,1)))</f>
        <v/>
      </c>
      <c r="P7" s="37">
        <f>IF(AND(M7&gt;0,O7=0),"Tuition Can Be Transferred","No Action")</f>
        <v/>
      </c>
    </row>
    <row r="8">
      <c r="B8" s="675" t="n"/>
      <c r="D8" s="115" t="n"/>
      <c r="E8" s="871">
        <f>SUM(E4:E7)</f>
        <v/>
      </c>
      <c r="F8" s="119" t="n"/>
      <c r="G8" s="675">
        <f>SUM(G4:G7)</f>
        <v/>
      </c>
      <c r="H8" s="119" t="n"/>
      <c r="J8" s="667" t="n"/>
      <c r="M8" s="872">
        <f>SUM(M4:M7)</f>
        <v/>
      </c>
      <c r="N8" s="37" t="n"/>
      <c r="O8" s="667">
        <f>SUM(O4:O7)</f>
        <v/>
      </c>
      <c r="P8" s="37" t="n"/>
    </row>
    <row r="9">
      <c r="B9" s="675" t="n"/>
      <c r="C9" s="676" t="n"/>
      <c r="D9" s="115" t="n"/>
      <c r="E9" s="871" t="n"/>
      <c r="F9" s="119" t="n"/>
      <c r="G9" s="676" t="n"/>
      <c r="H9" s="119" t="n"/>
      <c r="J9" s="667" t="n"/>
      <c r="K9" s="668" t="n"/>
      <c r="M9" s="872" t="n"/>
      <c r="N9" s="37" t="n"/>
      <c r="O9" s="668" t="n"/>
      <c r="P9" s="37" t="n"/>
    </row>
    <row r="10" ht="15.75" customHeight="1" thickBot="1">
      <c r="B10" s="116" t="n"/>
      <c r="C10" s="115" t="n"/>
      <c r="D10" s="115" t="n"/>
      <c r="E10" s="115" t="n"/>
      <c r="F10" s="117" t="n"/>
      <c r="G10" s="115" t="n"/>
      <c r="H10" s="117" t="n"/>
      <c r="J10" s="34" t="n"/>
      <c r="N10" s="35" t="n"/>
      <c r="P10" s="35" t="n"/>
    </row>
    <row r="11" ht="15.75" customHeight="1" thickBot="1">
      <c r="B11" s="675" t="inlineStr">
        <is>
          <t>Line 26000</t>
        </is>
      </c>
      <c r="C11" s="120">
        <f>(_xlfn.XLOOKUP(MainClient,Clients!D:D,Clients!AFS:AFS,2,0,1))</f>
        <v/>
      </c>
      <c r="D11" s="115" t="n"/>
      <c r="E11" s="115" t="n"/>
      <c r="F11" s="117" t="n"/>
      <c r="G11" s="116">
        <f>IF(E34&gt;E6,"other transferable credits","DTC Only")</f>
        <v/>
      </c>
      <c r="H11" s="117" t="n"/>
      <c r="J11" s="667" t="inlineStr">
        <is>
          <t>Line 26000</t>
        </is>
      </c>
      <c r="K11" s="36">
        <f>(_xlfn.XLOOKUP(MainClient,Clients!D:D,Clients!EX:EX,2,0,1))</f>
        <v/>
      </c>
      <c r="N11" s="35" t="n"/>
      <c r="O11" s="34">
        <f>IF(M34&gt;M6,"other transferable credits","DTC Only")</f>
        <v/>
      </c>
      <c r="P11" s="35" t="n"/>
    </row>
    <row r="12" ht="15.75" customHeight="1" thickBot="1">
      <c r="B12" s="116" t="n"/>
      <c r="C12" s="115" t="n"/>
      <c r="D12" s="115" t="n"/>
      <c r="E12" s="115" t="n"/>
      <c r="F12" s="117" t="n"/>
      <c r="G12" s="116" t="n"/>
      <c r="H12" s="117" t="n"/>
      <c r="J12" s="34" t="n"/>
      <c r="N12" s="35" t="n"/>
      <c r="O12" s="34" t="n"/>
      <c r="P12" s="35" t="n"/>
    </row>
    <row r="13" ht="15.75" customHeight="1" thickBot="1">
      <c r="B13" s="121" t="inlineStr">
        <is>
          <t>Line 58040</t>
        </is>
      </c>
      <c r="C13" s="120">
        <f>(_xlfn.XLOOKUP(ClientNumber,Clients!D:D,Clients!ANQ:ANQ,2,0,1))</f>
        <v/>
      </c>
      <c r="D13" s="115" t="n"/>
      <c r="E13" s="115" t="n"/>
      <c r="F13" s="117" t="n"/>
      <c r="G13" s="116" t="n"/>
      <c r="H13" s="117" t="n"/>
      <c r="J13" s="55" t="inlineStr">
        <is>
          <t>Line 58040</t>
        </is>
      </c>
      <c r="K13" s="36">
        <f>(_xlfn.XLOOKUP(MainClient,Clients!D:D,Clients!MV:MV,2,0,1))</f>
        <v/>
      </c>
      <c r="N13" s="35" t="n"/>
      <c r="O13" s="34" t="n"/>
      <c r="P13" s="35" t="n"/>
    </row>
    <row r="14" ht="15.75" customHeight="1" thickBot="1">
      <c r="B14" s="121" t="inlineStr">
        <is>
          <t>Line 58240</t>
        </is>
      </c>
      <c r="C14" s="120">
        <f>(_xlfn.XLOOKUP(ClientNumber,Clients!D:D,Clients!AOF:AOF,2,0,1))</f>
        <v/>
      </c>
      <c r="D14" s="115" t="n"/>
      <c r="E14" s="115" t="n"/>
      <c r="F14" s="117" t="n"/>
      <c r="G14" s="116" t="n"/>
      <c r="H14" s="117" t="n"/>
      <c r="J14" s="55" t="inlineStr">
        <is>
          <t>Line 58240</t>
        </is>
      </c>
      <c r="K14" s="36">
        <f>(_xlfn.XLOOKUP(MainClient,Clients!D:D,Clients!NK:NK,2,0,1))</f>
        <v/>
      </c>
      <c r="N14" s="35" t="n"/>
      <c r="O14" s="34" t="n"/>
      <c r="P14" s="35" t="n"/>
    </row>
    <row r="15" ht="15.75" customHeight="1" thickBot="1">
      <c r="B15" s="121" t="inlineStr">
        <is>
          <t>Line 58280</t>
        </is>
      </c>
      <c r="C15" s="120">
        <f>(_xlfn.XLOOKUP(ClientNumber,Clients!D:D,Clients!AOG:AOG,2,0,1))</f>
        <v/>
      </c>
      <c r="D15" s="115" t="n"/>
      <c r="E15" s="115" t="n"/>
      <c r="F15" s="117" t="n"/>
      <c r="G15" s="116" t="n"/>
      <c r="H15" s="117" t="n"/>
      <c r="J15" s="55" t="inlineStr">
        <is>
          <t>Line 58280</t>
        </is>
      </c>
      <c r="K15" s="36">
        <f>(_xlfn.XLOOKUP(MainClient,Clients!D:D,Clients!NL:NL,2,0,1))</f>
        <v/>
      </c>
      <c r="N15" s="35" t="n"/>
      <c r="P15" s="35" t="n"/>
    </row>
    <row r="16" ht="15.75" customHeight="1" thickBot="1">
      <c r="B16" s="121" t="inlineStr">
        <is>
          <t>Line 58300</t>
        </is>
      </c>
      <c r="C16" s="120">
        <f>(_xlfn.XLOOKUP(ClientNumber,Clients!D:D,Clients!AOH:AOH,2,0,1))</f>
        <v/>
      </c>
      <c r="D16" s="115" t="n"/>
      <c r="E16" s="115" t="n"/>
      <c r="F16" s="117" t="n"/>
      <c r="G16" s="116" t="n"/>
      <c r="H16" s="117" t="n"/>
      <c r="J16" s="55" t="inlineStr">
        <is>
          <t>Line 58300</t>
        </is>
      </c>
      <c r="K16" s="36">
        <f>(_xlfn.XLOOKUP(MainClient,Clients!D:D,Clients!NM:NM,2,0,1))</f>
        <v/>
      </c>
      <c r="N16" s="35" t="n"/>
      <c r="O16" s="34" t="n"/>
      <c r="P16" s="35" t="n"/>
    </row>
    <row r="17" ht="15.75" customHeight="1" thickBot="1">
      <c r="B17" s="121" t="inlineStr">
        <is>
          <t>Line 58305</t>
        </is>
      </c>
      <c r="C17" s="120">
        <f>(_xlfn.XLOOKUP(ClientNumber,Clients!D:D,Clients!AOI:AOI,2,0,1))</f>
        <v/>
      </c>
      <c r="D17" s="115" t="n"/>
      <c r="E17" s="115" t="n"/>
      <c r="F17" s="117" t="n"/>
      <c r="G17" s="116" t="n"/>
      <c r="H17" s="117" t="n"/>
      <c r="J17" s="55" t="inlineStr">
        <is>
          <t>Line 58305</t>
        </is>
      </c>
      <c r="K17" s="36">
        <f>(_xlfn.XLOOKUP(MainClient,Clients!D:D,Clients!NN:NN,2,0,1))</f>
        <v/>
      </c>
      <c r="N17" s="35" t="n"/>
      <c r="O17" s="34" t="n"/>
      <c r="P17" s="35" t="n"/>
    </row>
    <row r="18" ht="15.75" customHeight="1" thickBot="1">
      <c r="B18" s="121" t="inlineStr">
        <is>
          <t>Line 58560</t>
        </is>
      </c>
      <c r="C18" s="120">
        <f>(_xlfn.XLOOKUP(ClientNumber,Clients!D:D,Clients!AOX:AOX,2,0,1))</f>
        <v/>
      </c>
      <c r="D18" s="115" t="n"/>
      <c r="E18" s="115" t="n"/>
      <c r="F18" s="117" t="n"/>
      <c r="G18" s="116" t="n"/>
      <c r="H18" s="117" t="n"/>
      <c r="J18" s="55" t="inlineStr">
        <is>
          <t>Line 58560</t>
        </is>
      </c>
      <c r="K18" s="36">
        <f>(_xlfn.XLOOKUP(MainClient,Clients!D:D,Clients!OC:OC,2,0,1))</f>
        <v/>
      </c>
      <c r="N18" s="35" t="n"/>
      <c r="O18" s="34" t="n"/>
      <c r="P18" s="35" t="n"/>
    </row>
    <row r="19" ht="15.75" customHeight="1" thickBot="1">
      <c r="B19" s="121" t="n"/>
      <c r="C19" s="120" t="n"/>
      <c r="D19" s="115" t="n"/>
      <c r="E19" s="115" t="n"/>
      <c r="F19" s="117" t="n"/>
      <c r="G19" s="116" t="n"/>
      <c r="H19" s="117" t="n"/>
      <c r="J19" s="55" t="n"/>
      <c r="K19" s="36" t="n"/>
      <c r="N19" s="35" t="n"/>
      <c r="O19" s="34" t="n"/>
      <c r="P19" s="35" t="n"/>
    </row>
    <row r="20" ht="15.75" customHeight="1" thickBot="1">
      <c r="B20" s="121" t="n"/>
      <c r="C20" s="120" t="n"/>
      <c r="D20" s="115" t="n"/>
      <c r="E20" s="115" t="n"/>
      <c r="F20" s="117" t="n"/>
      <c r="G20" s="116" t="n"/>
      <c r="H20" s="117" t="n"/>
      <c r="J20" s="55" t="n"/>
      <c r="K20" s="36" t="n"/>
      <c r="N20" s="35" t="n"/>
      <c r="O20" s="34" t="n"/>
      <c r="P20" s="35" t="n"/>
    </row>
    <row r="21" ht="15.75" customHeight="1" thickBot="1">
      <c r="B21" s="121" t="n"/>
      <c r="C21" s="120" t="n"/>
      <c r="D21" s="115" t="n"/>
      <c r="E21" s="115" t="n"/>
      <c r="F21" s="117" t="n"/>
      <c r="G21" s="116" t="n"/>
      <c r="H21" s="117" t="n"/>
      <c r="J21" s="55" t="n"/>
      <c r="K21" s="36" t="n"/>
      <c r="N21" s="35" t="n"/>
      <c r="O21" s="34" t="n"/>
      <c r="P21" s="35" t="n"/>
    </row>
    <row r="22" ht="15.75" customHeight="1" thickBot="1">
      <c r="B22" s="121" t="n"/>
      <c r="C22" s="120" t="n"/>
      <c r="D22" s="115" t="n"/>
      <c r="E22" s="115" t="n"/>
      <c r="F22" s="117" t="n"/>
      <c r="G22" s="116" t="n"/>
      <c r="H22" s="117" t="n"/>
      <c r="J22" s="55" t="n"/>
      <c r="K22" s="36" t="n"/>
      <c r="N22" s="35" t="n"/>
      <c r="O22" s="34" t="n"/>
      <c r="P22" s="35" t="n"/>
    </row>
    <row r="23" ht="15.75" customHeight="1" thickBot="1">
      <c r="B23" s="121" t="n"/>
      <c r="C23" s="120" t="n"/>
      <c r="D23" s="115" t="n"/>
      <c r="E23" s="115" t="n"/>
      <c r="F23" s="117" t="n"/>
      <c r="G23" s="116" t="inlineStr">
        <is>
          <t>Line 32600</t>
        </is>
      </c>
      <c r="H23" s="117">
        <f>IF(TransferName="NONE",0,(_xlfn.XLOOKUP(TransferNumber,Clients!D:D,Clients!CIH:CIH,2,0,1)))</f>
        <v/>
      </c>
      <c r="J23" s="55" t="n"/>
      <c r="K23" s="36" t="n"/>
      <c r="N23" s="35" t="n"/>
      <c r="O23" s="34" t="inlineStr">
        <is>
          <t>Line 58640</t>
        </is>
      </c>
      <c r="P23" s="35">
        <f>IFERROR(_xlfn.XLOOKUP(TransferNumber,Clients!D:D,Clients!OI:OI,2,0,1),0)</f>
        <v/>
      </c>
    </row>
    <row r="24" ht="15.75" customHeight="1" thickBot="1">
      <c r="B24" s="121" t="n"/>
      <c r="C24" s="120" t="n"/>
      <c r="D24" s="115" t="n"/>
      <c r="E24" s="115" t="n"/>
      <c r="F24" s="117" t="n"/>
      <c r="G24" s="116" t="n"/>
      <c r="H24" s="117" t="n"/>
      <c r="J24" s="55" t="n"/>
      <c r="K24" s="36" t="n"/>
      <c r="N24" s="35" t="n"/>
      <c r="O24" s="34" t="n"/>
      <c r="P24" s="35" t="n"/>
    </row>
    <row r="25" ht="15.75" customHeight="1" thickBot="1">
      <c r="B25" s="121" t="n"/>
      <c r="C25" s="120" t="n"/>
      <c r="D25" s="115" t="n"/>
      <c r="E25" s="115" t="n"/>
      <c r="F25" s="117" t="n"/>
      <c r="G25" s="116" t="n"/>
      <c r="H25" s="117" t="n"/>
      <c r="J25" s="55" t="n"/>
      <c r="K25" s="36" t="n"/>
      <c r="N25" s="35" t="n"/>
      <c r="O25" s="34" t="n"/>
      <c r="P25" s="35" t="n"/>
    </row>
    <row r="26" ht="15.75" customHeight="1" thickBot="1">
      <c r="B26" s="121" t="n"/>
      <c r="C26" s="120" t="n"/>
      <c r="D26" s="115" t="n"/>
      <c r="E26" s="115" t="n"/>
      <c r="F26" s="117" t="n"/>
      <c r="G26" s="116" t="n"/>
      <c r="H26" s="117" t="n"/>
      <c r="J26" s="55" t="n"/>
      <c r="K26" s="36" t="n"/>
      <c r="N26" s="35" t="n"/>
      <c r="O26" s="34" t="n"/>
      <c r="P26" s="35" t="n"/>
    </row>
    <row r="27" ht="15.75" customHeight="1" thickBot="1">
      <c r="B27" s="121" t="n"/>
      <c r="C27" s="120" t="n"/>
      <c r="D27" s="115" t="n"/>
      <c r="E27" s="115" t="n"/>
      <c r="F27" s="117" t="n"/>
      <c r="G27" s="116" t="n"/>
      <c r="H27" s="117">
        <f>IF(E32&gt;0,E8-G8,0)</f>
        <v/>
      </c>
      <c r="J27" s="55" t="n"/>
      <c r="K27" s="36" t="n"/>
      <c r="N27" s="35" t="n"/>
      <c r="O27" s="34" t="n"/>
      <c r="P27" s="35">
        <f>IF(M32&gt;0,M8-O8,0)</f>
        <v/>
      </c>
    </row>
    <row r="28" ht="15.75" customHeight="1" thickBot="1">
      <c r="B28" s="121" t="n"/>
      <c r="C28" s="120" t="n"/>
      <c r="D28" s="115" t="n"/>
      <c r="E28" s="115" t="n"/>
      <c r="F28" s="117" t="n"/>
      <c r="G28" s="115" t="n"/>
      <c r="H28" s="122">
        <f>IF(TransferName="NONE",F33,IF(H27&gt;0,(E32-G8)*0.0968,0))</f>
        <v/>
      </c>
      <c r="J28" s="55" t="n"/>
      <c r="K28" s="36" t="n"/>
      <c r="N28" s="35" t="n"/>
      <c r="P28" s="52">
        <f>IF(TransferName="NONE",N33,IF(P27&gt;0,(M32-O8)*0.0968,0))</f>
        <v/>
      </c>
    </row>
    <row r="29">
      <c r="B29" s="675" t="n"/>
      <c r="C29" s="115" t="n"/>
      <c r="D29" s="115" t="n"/>
      <c r="E29" s="115" t="n"/>
      <c r="F29" s="117" t="n"/>
      <c r="G29" s="116" t="inlineStr">
        <is>
          <t>Transferable</t>
        </is>
      </c>
      <c r="H29" s="122">
        <f>IF(H28&gt;0,H28,0)</f>
        <v/>
      </c>
      <c r="J29" s="667" t="n"/>
      <c r="N29" s="35" t="n"/>
      <c r="O29" s="34" t="inlineStr">
        <is>
          <t>Transferable</t>
        </is>
      </c>
      <c r="P29" s="52">
        <f>IF(P28&gt;0,P28,0)</f>
        <v/>
      </c>
    </row>
    <row r="30">
      <c r="B30" s="675" t="inlineStr">
        <is>
          <t>Adjusted Taxable Income</t>
        </is>
      </c>
      <c r="C30" s="115">
        <f>C11-(SUM(C13:C28))</f>
        <v/>
      </c>
      <c r="D30" s="124" t="inlineStr">
        <is>
          <t>Line 5864</t>
        </is>
      </c>
      <c r="E30" s="125">
        <f>IF(C30&gt;0,C30,0)</f>
        <v/>
      </c>
      <c r="F30" s="117" t="n"/>
      <c r="G30" s="116" t="n"/>
      <c r="H30" s="117" t="n"/>
      <c r="J30" s="667" t="inlineStr">
        <is>
          <t>Adjusted Taxable Income</t>
        </is>
      </c>
      <c r="K30">
        <f>K11-(SUM(K13:K28))</f>
        <v/>
      </c>
      <c r="L30" s="13" t="inlineStr">
        <is>
          <t>Line 5864</t>
        </is>
      </c>
      <c r="M30" s="39">
        <f>IF(K30&gt;0,K30,0)</f>
        <v/>
      </c>
      <c r="N30" s="35" t="n"/>
      <c r="O30" s="34" t="n"/>
      <c r="P30" s="35" t="n"/>
    </row>
    <row r="31" ht="15.75" customHeight="1" thickBot="1">
      <c r="B31" s="116" t="n"/>
      <c r="C31" s="115" t="n"/>
      <c r="D31" s="115" t="n"/>
      <c r="E31" s="115" t="n"/>
      <c r="F31" s="117" t="n"/>
      <c r="G31" s="116" t="n"/>
      <c r="H31" s="117" t="n"/>
      <c r="J31" s="34" t="n"/>
      <c r="N31" s="35" t="n"/>
      <c r="O31" s="34" t="n"/>
      <c r="P31" s="35" t="n"/>
    </row>
    <row r="32" ht="15.75" customHeight="1" thickBot="1">
      <c r="B32" s="116" t="n"/>
      <c r="C32" s="115" t="n"/>
      <c r="D32" s="126" t="inlineStr">
        <is>
          <t>Prov Trans</t>
        </is>
      </c>
      <c r="E32" s="120">
        <f>(E8-E30)</f>
        <v/>
      </c>
      <c r="F32" s="127" t="n"/>
      <c r="G32" s="116" t="n"/>
      <c r="H32" s="122" t="n"/>
      <c r="J32" s="34" t="n"/>
      <c r="L32" s="21" t="inlineStr">
        <is>
          <t>Prov Trans</t>
        </is>
      </c>
      <c r="M32" s="36">
        <f>(M8-M30)</f>
        <v/>
      </c>
      <c r="N32" s="40" t="n"/>
      <c r="O32" s="34" t="n"/>
      <c r="P32" s="52" t="n"/>
    </row>
    <row r="33" ht="15.75" customHeight="1" thickBot="1">
      <c r="B33" s="116" t="n"/>
      <c r="C33" s="664" t="inlineStr">
        <is>
          <t>DTC Transferable ESTIMATE</t>
        </is>
      </c>
      <c r="D33" s="35" t="n"/>
      <c r="E33" s="120">
        <f>IF(E32&lt;0,0,(IF(E32&gt;E6,E6,E32)))</f>
        <v/>
      </c>
      <c r="F33" s="127">
        <f>IF(E33&gt;0,E33*0.0968,"No Transfer Required")</f>
        <v/>
      </c>
      <c r="G33" s="666" t="n"/>
      <c r="H33" s="122" t="n"/>
      <c r="J33" s="34" t="n"/>
      <c r="K33" s="579" t="inlineStr">
        <is>
          <t>DTC Transferable ESTIMATE</t>
        </is>
      </c>
      <c r="L33" s="35" t="n"/>
      <c r="M33" s="36">
        <f>IF(M32&lt;0,0,(IF(M32&gt;M6,M6,M32)))</f>
        <v/>
      </c>
      <c r="N33" s="40">
        <f>IF(M33&gt;0,M33*0.0968,"No Transfer Required")</f>
        <v/>
      </c>
      <c r="O33" s="58" t="n"/>
      <c r="P33" s="52" t="n"/>
    </row>
    <row r="34" ht="15.75" customHeight="1" thickBot="1">
      <c r="B34" s="128" t="n"/>
      <c r="C34" s="129" t="n"/>
      <c r="D34" s="130" t="inlineStr">
        <is>
          <t>Net Transferable</t>
        </is>
      </c>
      <c r="E34" s="120">
        <f>IF(E32&lt;0,0,(IF(E32-G4-G5-G7&lt;0,E32,(E32-G4-G5-G7))))</f>
        <v/>
      </c>
      <c r="F34" s="131">
        <f>IF(E34&gt;0,E34*0.0968,"0")</f>
        <v/>
      </c>
      <c r="G34" s="42" t="n"/>
      <c r="H34" s="863" t="n"/>
      <c r="J34" s="42" t="n"/>
      <c r="K34" s="41" t="n"/>
      <c r="L34" s="43" t="inlineStr">
        <is>
          <t>Net Transferable</t>
        </is>
      </c>
      <c r="M34" s="36">
        <f>IF(M32&lt;0,0,(IF(M32-O4-O5-O7&lt;0,M32,(M32-O4-O5-O7))))</f>
        <v/>
      </c>
      <c r="N34" s="57">
        <f>IF(M34&gt;0,M34*0.0968,"0")</f>
        <v/>
      </c>
      <c r="O34" s="59" t="n"/>
      <c r="P34" s="864" t="n"/>
    </row>
    <row r="36" ht="15.75" customHeight="1" thickBot="1">
      <c r="E36">
        <f>Calculator!$D$5</f>
        <v/>
      </c>
      <c r="H36">
        <f>TransferName</f>
        <v/>
      </c>
      <c r="M36">
        <f>Calculator!$D$5</f>
        <v/>
      </c>
      <c r="P36">
        <f>TransferName</f>
        <v/>
      </c>
    </row>
    <row r="37" ht="15.75" customHeight="1" thickBot="1">
      <c r="B37" s="875" t="inlineStr">
        <is>
          <t>2022 NEW BRUNSWICK Provincial</t>
        </is>
      </c>
      <c r="C37" s="778" t="n"/>
      <c r="D37" s="778" t="n"/>
      <c r="E37" s="778" t="n"/>
      <c r="F37" s="778" t="n"/>
      <c r="G37" s="778" t="n"/>
      <c r="H37" s="780" t="n"/>
      <c r="J37" s="875" t="inlineStr">
        <is>
          <t>2021 NEW BRUNSWICK Provincial</t>
        </is>
      </c>
      <c r="K37" s="778" t="n"/>
      <c r="L37" s="778" t="n"/>
      <c r="M37" s="778" t="n"/>
      <c r="N37" s="778" t="n"/>
      <c r="O37" s="778" t="n"/>
      <c r="P37" s="780" t="n"/>
    </row>
    <row r="38" ht="15.75" customHeight="1" thickBot="1">
      <c r="B38" s="34" t="n"/>
      <c r="D38" t="inlineStr">
        <is>
          <t>Line</t>
        </is>
      </c>
      <c r="E38" t="inlineStr">
        <is>
          <t>Amt</t>
        </is>
      </c>
      <c r="F38" s="35" t="n"/>
      <c r="G38" s="667" t="inlineStr">
        <is>
          <t>Spouse</t>
        </is>
      </c>
      <c r="H38" s="35" t="inlineStr">
        <is>
          <t>S2 Adjustment</t>
        </is>
      </c>
      <c r="J38" s="34" t="n"/>
      <c r="L38" t="inlineStr">
        <is>
          <t>Line</t>
        </is>
      </c>
      <c r="M38" t="inlineStr">
        <is>
          <t>Amt</t>
        </is>
      </c>
      <c r="N38" s="35" t="n"/>
      <c r="O38" s="34" t="inlineStr">
        <is>
          <t>Spouse</t>
        </is>
      </c>
      <c r="P38" s="35" t="inlineStr">
        <is>
          <t>S2 Adjustment</t>
        </is>
      </c>
    </row>
    <row r="39" ht="15.75" customHeight="1" thickBot="1">
      <c r="B39" s="667" t="inlineStr">
        <is>
          <t>Age Amount</t>
        </is>
      </c>
      <c r="D39" t="inlineStr">
        <is>
          <t>Line 58080</t>
        </is>
      </c>
      <c r="E39" s="861">
        <f>(_xlfn.XLOOKUP(ClientNumber,Clients!D:D,Clients!ANR:ANR,2,0,1))</f>
        <v/>
      </c>
      <c r="F39" s="37" t="inlineStr">
        <is>
          <t>Line 59020</t>
        </is>
      </c>
      <c r="G39" s="51">
        <f>IF(TransferName="NONE",0,(_xlfn.XLOOKUP(TransferNumber,Clients!D:D,Clients!APT:APT,2,0,1)))</f>
        <v/>
      </c>
      <c r="H39" s="37">
        <f>IF(AND(E39&gt;0,G39=0),"Age Amount Can Be Transferred","No Action")</f>
        <v/>
      </c>
      <c r="J39" s="667" t="inlineStr">
        <is>
          <t>Age Amount</t>
        </is>
      </c>
      <c r="L39" t="inlineStr">
        <is>
          <t>Line 58080</t>
        </is>
      </c>
      <c r="M39" s="865">
        <f>(_xlfn.XLOOKUP(MainClient,Clients!D:D,Clients!BOM:BOM,2,0,1))</f>
        <v/>
      </c>
      <c r="N39" s="37" t="inlineStr">
        <is>
          <t>Line 59020</t>
        </is>
      </c>
      <c r="O39" s="51">
        <f>IF(TransferName="NONE",0,(_xlfn.XLOOKUP(TransferNumber,Clients!D:D,Clients!BQO:BQO,2,0,1)))</f>
        <v/>
      </c>
      <c r="P39" s="37">
        <f>IF(AND(M39&gt;0,O39=0),"Age Amount Can Be Transferred","No Action")</f>
        <v/>
      </c>
    </row>
    <row r="40" ht="15.75" customHeight="1" thickBot="1">
      <c r="B40" s="667" t="inlineStr">
        <is>
          <t>Pension Income Amount</t>
        </is>
      </c>
      <c r="D40" t="inlineStr">
        <is>
          <t>Line 58360 (mx 1000)</t>
        </is>
      </c>
      <c r="E40" s="861">
        <f>IF((_xlfn.XLOOKUP(ClientNumber,Clients!D:D,Clients!AOR:AOR,2,0,1)&lt;1000),(_xlfn.XLOOKUP(MainClient,Clients!D:D,Clients!AOR:AOR,2,0,1)),1000)</f>
        <v/>
      </c>
      <c r="F40" s="37" t="inlineStr">
        <is>
          <t>Line 59050</t>
        </is>
      </c>
      <c r="G40" s="51">
        <f>IF(TransferName="NONE",0,(_xlfn.XLOOKUP(TransferNumber,Clients!D:D,Clients!APW:APW,2,0,1)))</f>
        <v/>
      </c>
      <c r="H40" s="37">
        <f>IF(AND(E40&gt;0,G40=0),"Pension Income Amount Can Be Transferred","No Action")</f>
        <v/>
      </c>
      <c r="J40" s="667" t="inlineStr">
        <is>
          <t>Pension Income Amount</t>
        </is>
      </c>
      <c r="L40" t="inlineStr">
        <is>
          <t>Line 58360 (mx 1000)</t>
        </is>
      </c>
      <c r="M40" s="865">
        <f>IF((_xlfn.XLOOKUP(ClientNumber,Clients!D:D,Clients!BPM:BPM,2,0,1)&lt;1000),(_xlfn.XLOOKUP(MainClient,Clients!D:D,Clients!BPM:BPM,2,0,1)),1000)</f>
        <v/>
      </c>
      <c r="N40" s="37" t="inlineStr">
        <is>
          <t>Line 59050</t>
        </is>
      </c>
      <c r="O40" s="51">
        <f>IF(TransferName="NONE",0,(_xlfn.XLOOKUP(TransferNumber,Clients!D:D,Clients!BQR:BQR,2,0,1)))</f>
        <v/>
      </c>
      <c r="P40" s="37">
        <f>IF(AND(M40&gt;0,O40=0),"Pension Income Amount Can Be Transferred","No Action")</f>
        <v/>
      </c>
    </row>
    <row r="41" ht="15.75" customHeight="1" thickBot="1">
      <c r="B41" s="667" t="inlineStr">
        <is>
          <t>Disability Amount</t>
        </is>
      </c>
      <c r="D41" t="inlineStr">
        <is>
          <t>Line 58440</t>
        </is>
      </c>
      <c r="E41" s="861">
        <f>IF(_xlfn.XLOOKUP(ClientNumber,Clients!D:D,Clients!AOT:AOT,2,0,1)=0,8757,(_xlfn.XLOOKUP(MainClient,Clients!D:D,Clients!AOT:AOT,2,0,1)))</f>
        <v/>
      </c>
      <c r="F41" s="37" t="inlineStr">
        <is>
          <t>Line 59070</t>
        </is>
      </c>
      <c r="G41" s="51">
        <f>IF(TransferName="NONE",0,(_xlfn.XLOOKUP(TransferNumber,Clients!D:D,Clients!APX:APX,2,0,1)))</f>
        <v/>
      </c>
      <c r="H41" s="37">
        <f>IF(AND(E41&gt;0,G41=0),"DTC Transferable Not Claimed Can Be Transferred","No Action")</f>
        <v/>
      </c>
      <c r="J41" s="667" t="inlineStr">
        <is>
          <t>Disability Amount</t>
        </is>
      </c>
      <c r="L41" t="inlineStr">
        <is>
          <t>Line 58440</t>
        </is>
      </c>
      <c r="M41" s="865">
        <f>IF(_xlfn.XLOOKUP(ClientNumber,Clients!D:D,Clients!BPO:BPO,2,0,1)=0,8552,(_xlfn.XLOOKUP(MainClient,Clients!D:D,Clients!BPO:BPO,2,0,1)))</f>
        <v/>
      </c>
      <c r="N41" s="37" t="inlineStr">
        <is>
          <t>Line 59070</t>
        </is>
      </c>
      <c r="O41" s="51">
        <f>IF(TransferName="NONE",0,(_xlfn.XLOOKUP(TransferNumber,Clients!D:D,Clients!BQS:BQS,2,0,1)))</f>
        <v/>
      </c>
      <c r="P41" s="37">
        <f>IF(AND(M41&gt;0,O41=0),"DTC Transferable Not Claimed Can Be Transferred","No Action")</f>
        <v/>
      </c>
    </row>
    <row r="42" ht="15.75" customHeight="1" thickBot="1">
      <c r="B42" s="667" t="inlineStr">
        <is>
          <t>Tuition Amount</t>
        </is>
      </c>
      <c r="D42" t="inlineStr">
        <is>
          <t>Line 59200</t>
        </is>
      </c>
      <c r="E42" s="861">
        <f>(_xlfn.XLOOKUP(ClientNumber,Clients!D:D,Clients!AQI:AQI,2,0,1))</f>
        <v/>
      </c>
      <c r="F42" s="37" t="inlineStr">
        <is>
          <t>Line 59090</t>
        </is>
      </c>
      <c r="G42" s="51">
        <f>IF(TransferName="NONE",0,(_xlfn.XLOOKUP(TransferNumber,Clients!D:D,Clients!APY:APY,2,0,1)))</f>
        <v/>
      </c>
      <c r="H42" s="37">
        <f>IF(AND(E42&gt;0,G42=0),"Tuition Can Be Transferred","No Action")</f>
        <v/>
      </c>
      <c r="J42" s="667" t="inlineStr">
        <is>
          <t>Tuition Amount</t>
        </is>
      </c>
      <c r="L42" t="inlineStr">
        <is>
          <t>Line 59200</t>
        </is>
      </c>
      <c r="M42" s="865">
        <f>(_xlfn.XLOOKUP(MainClient,Clients!D:D,Clients!BRD:BRD,2,0,1))</f>
        <v/>
      </c>
      <c r="N42" s="37" t="inlineStr">
        <is>
          <t>Line 59090</t>
        </is>
      </c>
      <c r="O42" s="51">
        <f>IF(TransferName="NONE",0,(_xlfn.XLOOKUP(TransferNumber,Clients!D:D,Clients!BQT:BQT,2,0,1)))</f>
        <v/>
      </c>
      <c r="P42" s="37">
        <f>IF(AND(M42&gt;0,O42=0),"Tuition Can Be Transferred","No Action")</f>
        <v/>
      </c>
    </row>
    <row r="43">
      <c r="B43" s="667" t="n"/>
      <c r="E43" s="771">
        <f>SUM(E39:E42)</f>
        <v/>
      </c>
      <c r="F43" s="37" t="n"/>
      <c r="G43" s="667">
        <f>SUM(G39:G42)</f>
        <v/>
      </c>
      <c r="H43" s="37" t="n"/>
      <c r="J43" s="667" t="n"/>
      <c r="M43" s="872">
        <f>SUM(M39:M42)</f>
        <v/>
      </c>
      <c r="N43" s="37" t="n"/>
      <c r="O43" s="667">
        <f>SUM(O39:O42)</f>
        <v/>
      </c>
      <c r="P43" s="37" t="n"/>
    </row>
    <row r="44">
      <c r="A44" t="inlineStr">
        <is>
          <t>`</t>
        </is>
      </c>
      <c r="B44" s="667" t="n"/>
      <c r="C44" s="668" t="n"/>
      <c r="E44" s="771" t="n"/>
      <c r="F44" s="37" t="n"/>
      <c r="G44" s="668" t="n"/>
      <c r="H44" s="37" t="n"/>
      <c r="J44" s="667" t="n"/>
      <c r="K44" s="668" t="n"/>
      <c r="M44" s="872" t="n"/>
      <c r="N44" s="37" t="n"/>
      <c r="O44" s="668" t="n"/>
      <c r="P44" s="37" t="n"/>
    </row>
    <row r="45" ht="15.75" customHeight="1" thickBot="1">
      <c r="B45" s="34" t="n"/>
      <c r="F45" s="35" t="n"/>
      <c r="H45" s="35" t="n"/>
      <c r="J45" s="34" t="n"/>
      <c r="N45" s="35" t="n"/>
      <c r="P45" s="35" t="n"/>
    </row>
    <row r="46" ht="15.75" customHeight="1" thickBot="1">
      <c r="B46" s="667" t="inlineStr">
        <is>
          <t>Line 26000</t>
        </is>
      </c>
      <c r="C46" s="36">
        <f>(_xlfn.XLOOKUP(MainClient,Clients!D:D,Clients!AFS:AFS,2,0,1))</f>
        <v/>
      </c>
      <c r="F46" s="35" t="n"/>
      <c r="G46" s="34">
        <f>IF(E69&gt;E41,"other transferable credits","DTC Only")</f>
        <v/>
      </c>
      <c r="H46" s="35" t="n"/>
      <c r="J46" s="667" t="inlineStr">
        <is>
          <t>Line 26000</t>
        </is>
      </c>
      <c r="K46" s="36">
        <f>(_xlfn.XLOOKUP(MainClient,Clients!D:D,Clients!BGN:BGN,2,0,1))</f>
        <v/>
      </c>
      <c r="N46" s="35" t="n"/>
      <c r="O46" s="34">
        <f>IF(M69&gt;M41,"other transferable credits","DTC Only")</f>
        <v/>
      </c>
      <c r="P46" s="35" t="n"/>
    </row>
    <row r="47" ht="15.75" customHeight="1" thickBot="1">
      <c r="B47" s="34" t="n"/>
      <c r="F47" s="35" t="n"/>
      <c r="G47" s="34" t="n"/>
      <c r="H47" s="35" t="n"/>
      <c r="J47" s="34" t="n"/>
      <c r="N47" s="35" t="n"/>
      <c r="O47" s="34" t="n"/>
      <c r="P47" s="35" t="n"/>
    </row>
    <row r="48" ht="15.75" customHeight="1" thickBot="1">
      <c r="B48" s="55" t="inlineStr">
        <is>
          <t>Line 58040</t>
        </is>
      </c>
      <c r="C48" s="36">
        <f>(_xlfn.XLOOKUP(ClientNumber,Clients!D:D,Clients!ANQ:ANQ,2,0,1))</f>
        <v/>
      </c>
      <c r="F48" s="35" t="n"/>
      <c r="G48" s="34" t="n"/>
      <c r="H48" s="35" t="n"/>
      <c r="J48" s="55" t="inlineStr">
        <is>
          <t>Line 58040</t>
        </is>
      </c>
      <c r="K48" s="36">
        <f>(_xlfn.XLOOKUP(MainClient,Clients!D:D,Clients!BOL:BOL,2,0,1))</f>
        <v/>
      </c>
      <c r="N48" s="35" t="n"/>
      <c r="O48" s="34" t="n"/>
      <c r="P48" s="35" t="n"/>
    </row>
    <row r="49" ht="15.75" customHeight="1" thickBot="1">
      <c r="B49" s="55" t="inlineStr">
        <is>
          <t>Line 58240</t>
        </is>
      </c>
      <c r="C49" s="36">
        <f>(_xlfn.XLOOKUP(ClientNumber,Clients!D:D,Clients!AOF:AOF,2,0,1))</f>
        <v/>
      </c>
      <c r="F49" s="35" t="n"/>
      <c r="G49" s="34" t="n"/>
      <c r="H49" s="35" t="n"/>
      <c r="J49" s="55" t="inlineStr">
        <is>
          <t>Line 58240</t>
        </is>
      </c>
      <c r="K49" s="36">
        <f>(_xlfn.XLOOKUP(MainClient,Clients!D:D,Clients!BPA:BPA,2,0,1))</f>
        <v/>
      </c>
      <c r="N49" s="35" t="n"/>
      <c r="O49" s="34" t="n"/>
      <c r="P49" s="35" t="n"/>
    </row>
    <row r="50" ht="15.75" customHeight="1" thickBot="1">
      <c r="B50" s="55" t="inlineStr">
        <is>
          <t>Line 58280</t>
        </is>
      </c>
      <c r="C50" s="36">
        <f>(_xlfn.XLOOKUP(ClientNumber,Clients!D:D,Clients!AOG:AOG,2,0,1))</f>
        <v/>
      </c>
      <c r="F50" s="35" t="n"/>
      <c r="G50" s="34" t="n"/>
      <c r="H50" s="35" t="n"/>
      <c r="J50" s="55" t="inlineStr">
        <is>
          <t>Line 58280</t>
        </is>
      </c>
      <c r="K50" s="36">
        <f>(_xlfn.XLOOKUP(MainClient,Clients!D:D,Clients!BPB:BPB,2,0,1))</f>
        <v/>
      </c>
      <c r="N50" s="35" t="n"/>
      <c r="P50" s="35" t="n"/>
    </row>
    <row r="51" ht="15.75" customHeight="1" thickBot="1">
      <c r="B51" s="55" t="inlineStr">
        <is>
          <t>Line 58300</t>
        </is>
      </c>
      <c r="C51" s="36">
        <f>(_xlfn.XLOOKUP(ClientNumber,Clients!D:D,Clients!AOH:AOH,2,0,1))</f>
        <v/>
      </c>
      <c r="F51" s="35" t="n"/>
      <c r="G51" s="34" t="n"/>
      <c r="H51" s="35" t="n"/>
      <c r="J51" s="55" t="inlineStr">
        <is>
          <t>Line 58300</t>
        </is>
      </c>
      <c r="K51" s="36">
        <f>(_xlfn.XLOOKUP(MainClient,Clients!D:D,Clients!BPC:BPC,2,0,1))</f>
        <v/>
      </c>
      <c r="N51" s="35" t="n"/>
      <c r="O51" s="34" t="n"/>
      <c r="P51" s="35" t="n"/>
    </row>
    <row r="52" ht="15.75" customHeight="1" thickBot="1">
      <c r="B52" s="55" t="inlineStr">
        <is>
          <t>Line 58305</t>
        </is>
      </c>
      <c r="C52" s="36">
        <f>(_xlfn.XLOOKUP(ClientNumber,Clients!D:D,Clients!AOI:AOI,2,0,1))</f>
        <v/>
      </c>
      <c r="F52" s="35" t="n"/>
      <c r="G52" s="34" t="n"/>
      <c r="H52" s="35" t="n"/>
      <c r="J52" s="55" t="inlineStr">
        <is>
          <t>Line 58305</t>
        </is>
      </c>
      <c r="K52" s="36">
        <f>(_xlfn.XLOOKUP(MainClient,Clients!D:D,Clients!BPD:BPD,2,0,1))</f>
        <v/>
      </c>
      <c r="N52" s="35" t="n"/>
      <c r="O52" s="34" t="n"/>
      <c r="P52" s="35" t="n"/>
    </row>
    <row r="53" ht="15.75" customHeight="1" thickBot="1">
      <c r="B53" s="55" t="inlineStr">
        <is>
          <t>Line 58560</t>
        </is>
      </c>
      <c r="C53" s="36">
        <f>(_xlfn.XLOOKUP(ClientNumber,Clients!D:D,Clients!AOX:AOX,2,0,1))</f>
        <v/>
      </c>
      <c r="F53" s="35" t="n"/>
      <c r="G53" s="34" t="n"/>
      <c r="H53" s="35" t="n"/>
      <c r="J53" s="55" t="inlineStr">
        <is>
          <t>Line 58560</t>
        </is>
      </c>
      <c r="K53" s="36">
        <f>(_xlfn.XLOOKUP(MainClient,Clients!D:D,Clients!BPS:BPS,2,0,1))</f>
        <v/>
      </c>
      <c r="N53" s="35" t="n"/>
      <c r="O53" s="34" t="n"/>
      <c r="P53" s="35" t="n"/>
    </row>
    <row r="54" ht="15.75" customHeight="1" thickBot="1">
      <c r="B54" s="55" t="n"/>
      <c r="C54" s="36" t="n"/>
      <c r="F54" s="35" t="n"/>
      <c r="G54" s="34" t="n"/>
      <c r="H54" s="35" t="n"/>
      <c r="J54" s="55" t="n"/>
      <c r="K54" s="36" t="n"/>
      <c r="N54" s="35" t="n"/>
      <c r="O54" s="34" t="n"/>
      <c r="P54" s="35" t="n"/>
    </row>
    <row r="55" ht="15.75" customHeight="1" thickBot="1">
      <c r="B55" s="55" t="n"/>
      <c r="C55" s="36" t="n"/>
      <c r="F55" s="35" t="n"/>
      <c r="G55" s="34" t="n"/>
      <c r="H55" s="35" t="n"/>
      <c r="J55" s="55" t="n"/>
      <c r="K55" s="36" t="n"/>
      <c r="N55" s="35" t="n"/>
      <c r="O55" s="34" t="n"/>
      <c r="P55" s="35" t="n"/>
    </row>
    <row r="56" ht="15.75" customHeight="1" thickBot="1">
      <c r="B56" s="55" t="n"/>
      <c r="C56" s="36" t="n"/>
      <c r="F56" s="35" t="n"/>
      <c r="G56" s="34" t="n"/>
      <c r="H56" s="35" t="n"/>
      <c r="J56" s="55" t="n"/>
      <c r="K56" s="36" t="n"/>
      <c r="N56" s="35" t="n"/>
      <c r="O56" s="34" t="n"/>
      <c r="P56" s="35" t="n"/>
    </row>
    <row r="57" ht="15.75" customHeight="1" thickBot="1">
      <c r="B57" s="55" t="n"/>
      <c r="C57" s="36" t="n"/>
      <c r="F57" s="35" t="n"/>
      <c r="G57" s="34" t="n"/>
      <c r="H57" s="35" t="n"/>
      <c r="J57" s="55" t="n"/>
      <c r="K57" s="36" t="n"/>
      <c r="N57" s="35" t="n"/>
      <c r="O57" s="34" t="n"/>
      <c r="P57" s="35" t="n"/>
    </row>
    <row r="58" ht="15.75" customHeight="1" thickBot="1">
      <c r="B58" s="55" t="n"/>
      <c r="C58" s="36" t="n"/>
      <c r="F58" s="35" t="n"/>
      <c r="G58" s="34" t="inlineStr">
        <is>
          <t>Line 32600</t>
        </is>
      </c>
      <c r="H58" s="35">
        <f>IF(TransferName="NONE",0,(_xlfn.XLOOKUP(TransferNumber,Clients!D:D,Clients!CIH:CIH,2,0,1)))</f>
        <v/>
      </c>
      <c r="J58" s="55" t="n"/>
      <c r="K58" s="36" t="n"/>
      <c r="N58" s="35" t="n"/>
      <c r="O58" s="34" t="inlineStr">
        <is>
          <t>Line 326</t>
        </is>
      </c>
      <c r="P58" s="35">
        <f>IFERROR(_xlfn.XLOOKUP(TransferNumber,Clients!D:D,Clients!FJZ:FJZ,2,0,1),0)</f>
        <v/>
      </c>
    </row>
    <row r="59" ht="15.75" customHeight="1" thickBot="1">
      <c r="B59" s="55" t="n"/>
      <c r="C59" s="36" t="n"/>
      <c r="F59" s="35" t="n"/>
      <c r="G59" s="34" t="n"/>
      <c r="H59" s="35" t="n"/>
      <c r="J59" s="55" t="n"/>
      <c r="K59" s="36" t="n"/>
      <c r="N59" s="35" t="n"/>
      <c r="O59" s="34" t="n"/>
      <c r="P59" s="35" t="n"/>
    </row>
    <row r="60" ht="15.75" customHeight="1" thickBot="1">
      <c r="B60" s="55" t="n"/>
      <c r="C60" s="36" t="n"/>
      <c r="F60" s="35" t="n"/>
      <c r="G60" s="34" t="n"/>
      <c r="H60" s="35" t="n"/>
      <c r="J60" s="55" t="n"/>
      <c r="K60" s="36" t="n"/>
      <c r="N60" s="35" t="n"/>
      <c r="O60" s="34" t="n"/>
      <c r="P60" s="35" t="n"/>
    </row>
    <row r="61" ht="15.75" customHeight="1" thickBot="1">
      <c r="B61" s="55" t="n"/>
      <c r="C61" s="36" t="n"/>
      <c r="F61" s="35" t="n"/>
      <c r="G61" s="34" t="n"/>
      <c r="H61" s="35" t="n"/>
      <c r="J61" s="55" t="n"/>
      <c r="K61" s="36" t="n"/>
      <c r="N61" s="35" t="n"/>
      <c r="O61" s="34" t="n"/>
      <c r="P61" s="35" t="n"/>
    </row>
    <row r="62" ht="15.75" customHeight="1" thickBot="1">
      <c r="B62" s="55" t="n"/>
      <c r="C62" s="36" t="n"/>
      <c r="F62" s="35" t="n"/>
      <c r="G62" s="34" t="n"/>
      <c r="H62" s="35">
        <f>IF(E67&gt;0,E43-G43,0)</f>
        <v/>
      </c>
      <c r="J62" s="55" t="n"/>
      <c r="K62" s="36" t="n"/>
      <c r="N62" s="35" t="n"/>
      <c r="O62" s="34" t="n"/>
      <c r="P62" s="35">
        <f>IF(M67&gt;0,M43-O43,0)</f>
        <v/>
      </c>
    </row>
    <row r="63" ht="15.75" customHeight="1" thickBot="1">
      <c r="B63" s="55" t="n"/>
      <c r="C63" s="36" t="n"/>
      <c r="F63" s="35" t="n"/>
      <c r="H63" s="52">
        <f>IF(TransferName="NONE",F68,IF(H62&gt;0,(E67-G43)*0.0968,0))</f>
        <v/>
      </c>
      <c r="J63" s="55" t="n"/>
      <c r="K63" s="36" t="n"/>
      <c r="N63" s="35" t="n"/>
      <c r="P63" s="52">
        <f>IF(TransferName="NONE",N68,IF(P62&gt;0,(M67-O43)*0.0968,0))</f>
        <v/>
      </c>
    </row>
    <row r="64">
      <c r="B64" s="667" t="n"/>
      <c r="F64" s="35" t="n"/>
      <c r="G64" s="34" t="inlineStr">
        <is>
          <t>Transferable</t>
        </is>
      </c>
      <c r="H64" s="52">
        <f>IF(H63&gt;0,H63,0)</f>
        <v/>
      </c>
      <c r="J64" s="667" t="n"/>
      <c r="N64" s="35" t="n"/>
      <c r="O64" s="34" t="inlineStr">
        <is>
          <t>Transferable</t>
        </is>
      </c>
      <c r="P64" s="52">
        <f>IF(P63&gt;0,P63,0)</f>
        <v/>
      </c>
    </row>
    <row r="65">
      <c r="B65" s="667" t="inlineStr">
        <is>
          <t>Adjusted Taxable Income</t>
        </is>
      </c>
      <c r="C65">
        <f>C46-(SUM(C48:C63))</f>
        <v/>
      </c>
      <c r="D65" s="13" t="inlineStr">
        <is>
          <t>Line 5864</t>
        </is>
      </c>
      <c r="E65" s="39">
        <f>IF(C65&gt;0,C65,0)</f>
        <v/>
      </c>
      <c r="F65" s="35" t="n"/>
      <c r="G65" s="34" t="n"/>
      <c r="H65" s="35" t="n"/>
      <c r="J65" s="667" t="inlineStr">
        <is>
          <t>Adjusted Taxable Income</t>
        </is>
      </c>
      <c r="K65">
        <f>K46-(SUM(K48:K63))</f>
        <v/>
      </c>
      <c r="L65" s="13" t="inlineStr">
        <is>
          <t>Line 5864</t>
        </is>
      </c>
      <c r="M65" s="39">
        <f>IF(K65&gt;0,K65,0)</f>
        <v/>
      </c>
      <c r="N65" s="35" t="n"/>
      <c r="O65" s="34" t="n"/>
      <c r="P65" s="35" t="n"/>
    </row>
    <row r="66" ht="15.75" customHeight="1" thickBot="1">
      <c r="B66" s="34" t="n"/>
      <c r="F66" s="35" t="n"/>
      <c r="G66" s="34" t="n"/>
      <c r="H66" s="35" t="n"/>
      <c r="J66" s="34" t="n"/>
      <c r="N66" s="35" t="n"/>
      <c r="O66" s="34" t="n"/>
      <c r="P66" s="35" t="n"/>
    </row>
    <row r="67" ht="15.75" customHeight="1" thickBot="1">
      <c r="B67" s="34" t="n"/>
      <c r="D67" s="21" t="inlineStr">
        <is>
          <t>Prov Trans</t>
        </is>
      </c>
      <c r="E67" s="36">
        <f>(E43-E65)</f>
        <v/>
      </c>
      <c r="F67" s="40" t="n"/>
      <c r="G67" s="34" t="n"/>
      <c r="H67" s="52" t="n"/>
      <c r="J67" s="34" t="n"/>
      <c r="L67" s="21" t="inlineStr">
        <is>
          <t>Prov Trans</t>
        </is>
      </c>
      <c r="M67" s="36">
        <f>(M43-M65)</f>
        <v/>
      </c>
      <c r="N67" s="40" t="n"/>
      <c r="O67" s="34" t="n"/>
      <c r="P67" s="52" t="n"/>
    </row>
    <row r="68" ht="15.75" customHeight="1" thickBot="1">
      <c r="B68" s="34" t="n"/>
      <c r="C68" s="579" t="inlineStr">
        <is>
          <t>DTC Transferable ESTIMATE</t>
        </is>
      </c>
      <c r="D68" s="35" t="n"/>
      <c r="E68" s="36">
        <f>IF(E67&lt;0,0,(IF(E67&gt;E41,E41,E67)))</f>
        <v/>
      </c>
      <c r="F68" s="40">
        <f>IF(E68&gt;0,E68*0.0968,"No Transfer Required")</f>
        <v/>
      </c>
      <c r="G68" s="678" t="n"/>
      <c r="H68" s="52" t="n"/>
      <c r="J68" s="34" t="n"/>
      <c r="K68" s="579" t="inlineStr">
        <is>
          <t>DTC Transferable ESTIMATE</t>
        </is>
      </c>
      <c r="L68" s="35" t="n"/>
      <c r="M68" s="36">
        <f>IF(M67&lt;0,0,(IF(M67&gt;M41,M41,M67)))</f>
        <v/>
      </c>
      <c r="N68" s="40">
        <f>IF(M68&gt;0,M68*0.0968,"No Transfer Required")</f>
        <v/>
      </c>
      <c r="O68" s="58" t="n"/>
      <c r="P68" s="52" t="n"/>
    </row>
    <row r="69" ht="15.75" customHeight="1" thickBot="1">
      <c r="B69" s="42" t="n"/>
      <c r="C69" s="41" t="n"/>
      <c r="D69" s="43" t="inlineStr">
        <is>
          <t>Net Transferable</t>
        </is>
      </c>
      <c r="E69" s="36">
        <f>IF(E67&lt;0,0,(IF(E67-G39-G40-G42&lt;0,E67,(E67-G39-G40-G42))))</f>
        <v/>
      </c>
      <c r="F69" s="57">
        <f>IF(E69&gt;0,E69*0.0968,"0")</f>
        <v/>
      </c>
      <c r="G69" s="42" t="n"/>
      <c r="H69" s="864" t="n"/>
      <c r="J69" s="42" t="n"/>
      <c r="K69" s="41" t="n"/>
      <c r="L69" s="43" t="inlineStr">
        <is>
          <t>Net Transferable</t>
        </is>
      </c>
      <c r="M69" s="36">
        <f>IF(M67&lt;0,0,(IF(M67-O39-O40-O42&lt;0,M67,(M67-O39-O40-O42))))</f>
        <v/>
      </c>
      <c r="N69" s="57">
        <f>IF(M69&gt;0,M69*0.0968,"0")</f>
        <v/>
      </c>
      <c r="O69" s="59" t="n"/>
      <c r="P69" s="864" t="n"/>
    </row>
    <row r="71" ht="15.75" customHeight="1" thickBot="1">
      <c r="E71">
        <f>Calculator!$D$5</f>
        <v/>
      </c>
      <c r="H71">
        <f>TransferName</f>
        <v/>
      </c>
      <c r="M71">
        <f>Calculator!$D$5</f>
        <v/>
      </c>
      <c r="P71">
        <f>TransferName</f>
        <v/>
      </c>
    </row>
    <row r="72" ht="15.75" customHeight="1" thickBot="1">
      <c r="B72" s="875" t="inlineStr">
        <is>
          <t>2020 NEW BRUNSWICK Provincial</t>
        </is>
      </c>
      <c r="C72" s="778" t="n"/>
      <c r="D72" s="778" t="n"/>
      <c r="E72" s="778" t="n"/>
      <c r="F72" s="778" t="n"/>
      <c r="G72" s="778" t="n"/>
      <c r="H72" s="780" t="n"/>
      <c r="J72" s="875" t="inlineStr">
        <is>
          <t>2019 NEW BRUNSWICK Provincial</t>
        </is>
      </c>
      <c r="K72" s="778" t="n"/>
      <c r="L72" s="778" t="n"/>
      <c r="M72" s="778" t="n"/>
      <c r="N72" s="778" t="n"/>
      <c r="O72" s="778" t="n"/>
      <c r="P72" s="780" t="n"/>
    </row>
    <row r="73" ht="28.5" customHeight="1" thickBot="1">
      <c r="B73" s="34" t="n"/>
      <c r="D73" t="inlineStr">
        <is>
          <t>Line</t>
        </is>
      </c>
      <c r="E73" t="inlineStr">
        <is>
          <t>Amt</t>
        </is>
      </c>
      <c r="F73" s="35" t="n"/>
      <c r="G73" s="667" t="inlineStr">
        <is>
          <t>Spouse</t>
        </is>
      </c>
      <c r="H73" s="35" t="inlineStr">
        <is>
          <t>S2 Adjustment</t>
        </is>
      </c>
      <c r="J73" s="34" t="n"/>
      <c r="L73" t="inlineStr">
        <is>
          <t>Line</t>
        </is>
      </c>
      <c r="M73" t="inlineStr">
        <is>
          <t>Amt</t>
        </is>
      </c>
      <c r="N73" s="35" t="n"/>
      <c r="O73" s="34" t="inlineStr">
        <is>
          <t>Spouse</t>
        </is>
      </c>
      <c r="P73" s="35" t="inlineStr">
        <is>
          <t>S2 Adjustment</t>
        </is>
      </c>
    </row>
    <row r="74" ht="15.75" customHeight="1" thickBot="1">
      <c r="B74" s="667" t="inlineStr">
        <is>
          <t>Age Amount</t>
        </is>
      </c>
      <c r="D74" t="inlineStr">
        <is>
          <t>Line 58080</t>
        </is>
      </c>
      <c r="E74" s="861">
        <f>(_xlfn.XLOOKUP(ClientNumber,Clients!D:D,Clients!CPH:CPH,2,0,1))</f>
        <v/>
      </c>
      <c r="F74" s="37" t="inlineStr">
        <is>
          <t>Line 59020</t>
        </is>
      </c>
      <c r="G74" s="51">
        <f>IF(TransferName="NONE",0,(_xlfn.XLOOKUP(TransferNumber,Clients!D:D,Clients!CRJ:CRJ,2,0,1)))</f>
        <v/>
      </c>
      <c r="H74" s="37">
        <f>IF(AND(E74&gt;0,G74=0),"Age Amount Can Be Transferred","No Action")</f>
        <v/>
      </c>
      <c r="J74" s="667" t="inlineStr">
        <is>
          <t>Age Amount</t>
        </is>
      </c>
      <c r="L74" t="inlineStr">
        <is>
          <t>Line 58080</t>
        </is>
      </c>
      <c r="M74" s="865">
        <f>(_xlfn.XLOOKUP(MainClient,Clients!D:D,Clients!DQC:DQC,2,0,1))</f>
        <v/>
      </c>
      <c r="N74" s="37" t="inlineStr">
        <is>
          <t>Line 59020</t>
        </is>
      </c>
      <c r="O74" s="51">
        <f>IF(TransferName="NONE",0,(_xlfn.XLOOKUP(TransferNumber,Clients!D:D,Clients!DSE:DSE,2,0,1)))</f>
        <v/>
      </c>
      <c r="P74" s="37">
        <f>IF(AND(M74&gt;0,O74=0),"Age Amount Can Be Transferred","No Action")</f>
        <v/>
      </c>
    </row>
    <row r="75" ht="15.75" customHeight="1" thickBot="1">
      <c r="B75" s="667" t="inlineStr">
        <is>
          <t>Pension Income Amount</t>
        </is>
      </c>
      <c r="D75" t="inlineStr">
        <is>
          <t>Line 58360 (mx 1000)</t>
        </is>
      </c>
      <c r="E75" s="861">
        <f>IF((_xlfn.XLOOKUP(ClientNumber,Clients!D:D,Clients!CQH:CQH,2,0,1)&lt;1000),(_xlfn.XLOOKUP(MainClient,Clients!D:D,Clients!CQH:CQH,2,0,1)),1000)</f>
        <v/>
      </c>
      <c r="F75" s="37" t="inlineStr">
        <is>
          <t>Line 59050</t>
        </is>
      </c>
      <c r="G75" s="51">
        <f>IF(TransferName="NONE",0,(_xlfn.XLOOKUP(TransferNumber,Clients!D:D,Clients!CRM:CRM,2,0,1)))</f>
        <v/>
      </c>
      <c r="H75" s="37">
        <f>IF(AND(E75&gt;0,G75=0),"Pension Income Amount Can Be Transferred","No Action")</f>
        <v/>
      </c>
      <c r="J75" s="667" t="inlineStr">
        <is>
          <t>Pension Income Amount</t>
        </is>
      </c>
      <c r="L75" t="inlineStr">
        <is>
          <t>Line 58360 (mx 1000)</t>
        </is>
      </c>
      <c r="M75" s="865">
        <f>IF((_xlfn.XLOOKUP(ClientNumber,Clients!D:D,Clients!DRC:DRC,2,0,1)&lt;1000),(_xlfn.XLOOKUP(MainClient,Clients!D:D,Clients!DRC:DRC,2,0,1)),1000)</f>
        <v/>
      </c>
      <c r="N75" s="37" t="inlineStr">
        <is>
          <t>Line 59050</t>
        </is>
      </c>
      <c r="O75" s="51">
        <f>IF(TransferName="NONE",0,(_xlfn.XLOOKUP(TransferNumber,Clients!D:D,Clients!DSH:DSH,2,0,1)))</f>
        <v/>
      </c>
      <c r="P75" s="37">
        <f>IF(AND(M75&gt;0,O75=0),"Pension Income Amount Can Be Transferred","No Action")</f>
        <v/>
      </c>
    </row>
    <row r="76" ht="15.75" customHeight="1" thickBot="1">
      <c r="B76" s="667" t="inlineStr">
        <is>
          <t>Disability Amount</t>
        </is>
      </c>
      <c r="D76" t="inlineStr">
        <is>
          <t>Line 58440</t>
        </is>
      </c>
      <c r="E76" s="861">
        <f>IF(_xlfn.XLOOKUP(ClientNumber,Clients!D:D,Clients!CQJ:CQJ,2,0,1)=0,8468,(_xlfn.XLOOKUP(MainClient,Clients!D:D,Clients!CQJ:CQJ,2,0,1)))</f>
        <v/>
      </c>
      <c r="F76" s="37" t="inlineStr">
        <is>
          <t>Line 59070</t>
        </is>
      </c>
      <c r="G76" s="51">
        <f>IF(TransferName="NONE",0,(_xlfn.XLOOKUP(TransferNumber,Clients!D:D,Clients!CRN:CRN,2,0,1)))</f>
        <v/>
      </c>
      <c r="H76" s="37">
        <f>IF(AND(E76&gt;0,G76=0),"DTC Transferable Not Claimed Can Be Transferred","No Action")</f>
        <v/>
      </c>
      <c r="J76" s="667" t="inlineStr">
        <is>
          <t>Disability Amount</t>
        </is>
      </c>
      <c r="L76" t="inlineStr">
        <is>
          <t>Line 58440</t>
        </is>
      </c>
      <c r="M76" s="865">
        <f>IF(_xlfn.XLOOKUP(ClientNumber,Clients!D:D,Clients!DRE:DRE,2,0,1)=0,8310,(_xlfn.XLOOKUP(MainClient,Clients!D:D,Clients!DRE:DRE,2,0,1)))</f>
        <v/>
      </c>
      <c r="N76" s="37" t="inlineStr">
        <is>
          <t>Line 59070</t>
        </is>
      </c>
      <c r="O76" s="51">
        <f>IF(TransferName="NONE",0,(_xlfn.XLOOKUP(TransferNumber,Clients!D:D,Clients!DSI:DSI,2,0,1)))</f>
        <v/>
      </c>
      <c r="P76" s="37">
        <f>IF(AND(M76&gt;0,O76=0),"DTC Transferable Not Claimed Can Be Transferred","No Action")</f>
        <v/>
      </c>
    </row>
    <row r="77" ht="15.75" customHeight="1" thickBot="1">
      <c r="B77" s="667" t="inlineStr">
        <is>
          <t>Tuition Amount</t>
        </is>
      </c>
      <c r="D77" t="inlineStr">
        <is>
          <t>Line 59200</t>
        </is>
      </c>
      <c r="E77" s="861">
        <f>(_xlfn.XLOOKUP(ClientNumber,Clients!D:D,Clients!CRY:CRY,2,0,1))</f>
        <v/>
      </c>
      <c r="F77" s="37" t="inlineStr">
        <is>
          <t>Line 59090</t>
        </is>
      </c>
      <c r="G77" s="51">
        <f>IF(TransferName="NONE",0,(_xlfn.XLOOKUP(TransferNumber,Clients!D:D,Clients!CRO:CRO,2,0,1)))</f>
        <v/>
      </c>
      <c r="H77" s="37">
        <f>IF(AND(E77&gt;0,G77=0),"Tuition Can Be Transferred","No Action")</f>
        <v/>
      </c>
      <c r="J77" s="667" t="inlineStr">
        <is>
          <t>Tuition Amount</t>
        </is>
      </c>
      <c r="L77" t="inlineStr">
        <is>
          <t>Line 59200</t>
        </is>
      </c>
      <c r="M77" s="865">
        <f>(_xlfn.XLOOKUP(MainClient,Clients!D:D,Clients!DST:DST,2,0,1))</f>
        <v/>
      </c>
      <c r="N77" s="37" t="inlineStr">
        <is>
          <t>Line 59090</t>
        </is>
      </c>
      <c r="O77" s="51">
        <f>IF(TransferName="NONE",0,(_xlfn.XLOOKUP(TransferNumber,Clients!D:D,Clients!DSJ:DSJ,2,0,1)))</f>
        <v/>
      </c>
      <c r="P77" s="37">
        <f>IF(AND(M77&gt;0,O77=0),"Tuition Can Be Transferred","No Action")</f>
        <v/>
      </c>
    </row>
    <row r="78">
      <c r="B78" s="667" t="n"/>
      <c r="E78" s="771">
        <f>SUM(E74:E77)</f>
        <v/>
      </c>
      <c r="F78" s="37" t="n"/>
      <c r="G78" s="667">
        <f>SUM(G74:G77)</f>
        <v/>
      </c>
      <c r="H78" s="37" t="n"/>
      <c r="J78" s="667" t="n"/>
      <c r="M78" s="872">
        <f>SUM(M74:M77)</f>
        <v/>
      </c>
      <c r="N78" s="37" t="n"/>
      <c r="O78" s="667">
        <f>SUM(O74:O77)</f>
        <v/>
      </c>
      <c r="P78" s="37" t="n"/>
    </row>
    <row r="79">
      <c r="B79" s="667" t="n"/>
      <c r="C79" s="668" t="n"/>
      <c r="E79" s="771" t="n"/>
      <c r="F79" s="37" t="n"/>
      <c r="G79" s="668" t="n"/>
      <c r="H79" s="37" t="n"/>
      <c r="J79" s="667" t="n"/>
      <c r="K79" s="668" t="n"/>
      <c r="M79" s="872" t="n"/>
      <c r="N79" s="37" t="n"/>
      <c r="O79" s="668" t="n"/>
      <c r="P79" s="37" t="n"/>
    </row>
    <row r="80" ht="15.75" customHeight="1" thickBot="1">
      <c r="B80" s="34" t="n"/>
      <c r="F80" s="35" t="n"/>
      <c r="H80" s="35" t="n"/>
      <c r="J80" s="34" t="n"/>
      <c r="N80" s="35" t="n"/>
      <c r="P80" s="35" t="n"/>
    </row>
    <row r="81" ht="15.75" customHeight="1" thickBot="1">
      <c r="B81" s="667" t="inlineStr">
        <is>
          <t>Line 26000</t>
        </is>
      </c>
      <c r="C81" s="36">
        <f>(_xlfn.XLOOKUP(MainClient,Clients!D:D,Clients!CHI:CHI,2,0,1))</f>
        <v/>
      </c>
      <c r="F81" s="35" t="n"/>
      <c r="G81" s="34">
        <f>IF(E104&gt;E76,"other transferable credits","DTC Only")</f>
        <v/>
      </c>
      <c r="H81" s="35" t="n"/>
      <c r="J81" s="667" t="inlineStr">
        <is>
          <t>Line 26000</t>
        </is>
      </c>
      <c r="K81" s="36">
        <f>(_xlfn.XLOOKUP(MainClient,Clients!D:D,Clients!DID:DID,2,0,1))</f>
        <v/>
      </c>
      <c r="N81" s="35" t="n"/>
      <c r="O81" s="34">
        <f>IF(M104&gt;M76,"other transferable credits","DTC Only")</f>
        <v/>
      </c>
      <c r="P81" s="35" t="n"/>
    </row>
    <row r="82" ht="15.75" customHeight="1" thickBot="1">
      <c r="B82" s="34" t="n"/>
      <c r="F82" s="35" t="n"/>
      <c r="G82" s="34" t="n"/>
      <c r="H82" s="35" t="n"/>
      <c r="J82" s="34" t="n"/>
      <c r="N82" s="35" t="n"/>
      <c r="O82" s="34" t="n"/>
      <c r="P82" s="35" t="n"/>
    </row>
    <row r="83" ht="15.75" customHeight="1" thickBot="1">
      <c r="B83" s="55" t="inlineStr">
        <is>
          <t>Line 58040</t>
        </is>
      </c>
      <c r="C83" s="36">
        <f>(_xlfn.XLOOKUP(ClientNumber,Clients!D:D,Clients!CPG:CPG,2,0,1))</f>
        <v/>
      </c>
      <c r="F83" s="35" t="n"/>
      <c r="G83" s="34" t="n"/>
      <c r="H83" s="35" t="n"/>
      <c r="J83" s="55" t="inlineStr">
        <is>
          <t>Line 58040</t>
        </is>
      </c>
      <c r="K83" s="36">
        <f>(_xlfn.XLOOKUP(MainClient,Clients!D:D,Clients!DQB:DQB,2,0,1))</f>
        <v/>
      </c>
      <c r="N83" s="35" t="n"/>
      <c r="O83" s="34" t="n"/>
      <c r="P83" s="35" t="n"/>
    </row>
    <row r="84" ht="15.75" customHeight="1" thickBot="1">
      <c r="B84" s="55" t="inlineStr">
        <is>
          <t>Line 58240</t>
        </is>
      </c>
      <c r="C84" s="36">
        <f>(_xlfn.XLOOKUP(ClientNumber,Clients!D:D,Clients!CHU:CHU,2,0,1))</f>
        <v/>
      </c>
      <c r="F84" s="35" t="n"/>
      <c r="G84" s="34" t="n"/>
      <c r="H84" s="35" t="n"/>
      <c r="J84" s="55" t="inlineStr">
        <is>
          <t>Line 58240</t>
        </is>
      </c>
      <c r="K84" s="36">
        <f>(_xlfn.XLOOKUP(MainClient,Clients!D:D,Clients!DQQ:DQQ,2,0,1))</f>
        <v/>
      </c>
      <c r="N84" s="35" t="n"/>
      <c r="O84" s="34" t="n"/>
      <c r="P84" s="35" t="n"/>
    </row>
    <row r="85" ht="15.75" customHeight="1" thickBot="1">
      <c r="B85" s="55" t="inlineStr">
        <is>
          <t>Line 58280</t>
        </is>
      </c>
      <c r="C85" s="36">
        <f>(_xlfn.XLOOKUP(ClientNumber,Clients!D:D,Clients!CHV:CHV,2,0,1))</f>
        <v/>
      </c>
      <c r="F85" s="35" t="n"/>
      <c r="G85" s="34" t="n"/>
      <c r="H85" s="35" t="n"/>
      <c r="J85" s="55" t="inlineStr">
        <is>
          <t>Line 58280</t>
        </is>
      </c>
      <c r="K85" s="36">
        <f>(_xlfn.XLOOKUP(MainClient,Clients!D:D,Clients!DQR:DQR,2,0,1))</f>
        <v/>
      </c>
      <c r="N85" s="35" t="n"/>
      <c r="P85" s="35" t="n"/>
    </row>
    <row r="86" ht="15.75" customHeight="1" thickBot="1">
      <c r="B86" s="55" t="inlineStr">
        <is>
          <t>Line 58300</t>
        </is>
      </c>
      <c r="C86" s="36">
        <f>(_xlfn.XLOOKUP(ClientNumber,Clients!D:D,Clients!CHW:CHW,2,0,1))</f>
        <v/>
      </c>
      <c r="F86" s="35" t="n"/>
      <c r="G86" s="34" t="n"/>
      <c r="H86" s="35" t="n"/>
      <c r="J86" s="55" t="inlineStr">
        <is>
          <t>Line 58300</t>
        </is>
      </c>
      <c r="K86" s="36">
        <f>(_xlfn.XLOOKUP(MainClient,Clients!D:D,Clients!DQS:DQS,2,0,1))</f>
        <v/>
      </c>
      <c r="N86" s="35" t="n"/>
      <c r="O86" s="34" t="n"/>
      <c r="P86" s="35" t="n"/>
    </row>
    <row r="87" ht="15.75" customHeight="1" thickBot="1">
      <c r="B87" s="55" t="inlineStr">
        <is>
          <t>Line 58305</t>
        </is>
      </c>
      <c r="C87" s="36">
        <f>(_xlfn.XLOOKUP(ClientNumber,Clients!D:D,Clients!CIA:CIA,2,0,1))</f>
        <v/>
      </c>
      <c r="F87" s="35" t="n"/>
      <c r="G87" s="34" t="n"/>
      <c r="H87" s="35" t="n"/>
      <c r="J87" s="55" t="inlineStr">
        <is>
          <t>Line 58305</t>
        </is>
      </c>
      <c r="K87" s="36">
        <f>(_xlfn.XLOOKUP(MainClient,Clients!D:D,Clients!DQT:DQT,2,0,1))</f>
        <v/>
      </c>
      <c r="N87" s="35" t="n"/>
      <c r="O87" s="34" t="n"/>
      <c r="P87" s="35" t="n"/>
    </row>
    <row r="88" ht="15.75" customHeight="1" thickBot="1">
      <c r="B88" s="55" t="inlineStr">
        <is>
          <t>Line 58560</t>
        </is>
      </c>
      <c r="C88" s="36">
        <f>(_xlfn.XLOOKUP(ClientNumber,Clients!D:D,Clients!CQN:CQN,2,0,1))</f>
        <v/>
      </c>
      <c r="F88" s="35" t="n"/>
      <c r="G88" s="34" t="n"/>
      <c r="H88" s="35" t="n"/>
      <c r="J88" s="55" t="inlineStr">
        <is>
          <t>Line 58560</t>
        </is>
      </c>
      <c r="K88" s="36">
        <f>(_xlfn.XLOOKUP(MainClient,Clients!D:D,Clients!DRI:DRI,2,0,1))</f>
        <v/>
      </c>
      <c r="N88" s="35" t="n"/>
      <c r="O88" s="34" t="n"/>
      <c r="P88" s="35" t="n"/>
    </row>
    <row r="89" ht="15.75" customHeight="1" thickBot="1">
      <c r="B89" s="55" t="n"/>
      <c r="C89" s="36" t="n"/>
      <c r="F89" s="35" t="n"/>
      <c r="G89" s="34" t="n"/>
      <c r="H89" s="35" t="n"/>
      <c r="J89" s="55" t="n"/>
      <c r="K89" s="36" t="n"/>
      <c r="N89" s="35" t="n"/>
      <c r="O89" s="34" t="n"/>
      <c r="P89" s="35" t="n"/>
    </row>
    <row r="90" ht="15.75" customHeight="1" thickBot="1">
      <c r="B90" s="55" t="n"/>
      <c r="C90" s="36" t="n"/>
      <c r="F90" s="35" t="n"/>
      <c r="G90" s="34" t="n"/>
      <c r="H90" s="35" t="n"/>
      <c r="J90" s="55" t="n"/>
      <c r="K90" s="36" t="n"/>
      <c r="N90" s="35" t="n"/>
      <c r="O90" s="34" t="n"/>
      <c r="P90" s="35" t="n"/>
    </row>
    <row r="91" ht="15.75" customHeight="1" thickBot="1">
      <c r="B91" s="55" t="n"/>
      <c r="C91" s="36" t="n"/>
      <c r="F91" s="35" t="n"/>
      <c r="G91" s="34" t="n"/>
      <c r="H91" s="35" t="n"/>
      <c r="J91" s="55" t="n"/>
      <c r="K91" s="36" t="n"/>
      <c r="N91" s="35" t="n"/>
      <c r="O91" s="34" t="n"/>
      <c r="P91" s="35" t="n"/>
    </row>
    <row r="92" ht="15.75" customHeight="1" thickBot="1">
      <c r="B92" s="55" t="n"/>
      <c r="C92" s="36" t="n"/>
      <c r="F92" s="35" t="n"/>
      <c r="G92" s="34" t="n"/>
      <c r="H92" s="35" t="n"/>
      <c r="J92" s="55" t="n"/>
      <c r="K92" s="36" t="n"/>
      <c r="N92" s="35" t="n"/>
      <c r="O92" s="34" t="n"/>
      <c r="P92" s="35" t="n"/>
    </row>
    <row r="93" ht="15.75" customHeight="1" thickBot="1">
      <c r="B93" s="55" t="n"/>
      <c r="C93" s="36" t="n"/>
      <c r="F93" s="35" t="n"/>
      <c r="G93" s="34" t="inlineStr">
        <is>
          <t>Line 32600</t>
        </is>
      </c>
      <c r="H93" s="35">
        <f>IF(TransferName="NONE",0,(_xlfn.XLOOKUP(TransferNumber,Clients!D:D,Clients!CIH:CIH,2,0,1)))</f>
        <v/>
      </c>
      <c r="J93" s="55" t="n"/>
      <c r="K93" s="36" t="n"/>
      <c r="N93" s="35" t="n"/>
      <c r="O93" s="34" t="inlineStr">
        <is>
          <t>Line 326</t>
        </is>
      </c>
      <c r="P93" s="35">
        <f>IFERROR(_xlfn.XLOOKUP(TransferNumber,Clients!D:D,Clients!FJZ:FJZ,2,0,1),0)</f>
        <v/>
      </c>
    </row>
    <row r="94" ht="15.75" customHeight="1" thickBot="1">
      <c r="B94" s="38" t="n"/>
      <c r="C94" s="36" t="n"/>
      <c r="F94" s="35" t="n"/>
      <c r="G94" s="34" t="n"/>
      <c r="H94" s="35" t="n"/>
      <c r="J94" s="55" t="n"/>
      <c r="K94" s="36" t="n"/>
      <c r="N94" s="35" t="n"/>
      <c r="O94" s="34" t="n"/>
      <c r="P94" s="35" t="n"/>
    </row>
    <row r="95" ht="15.75" customHeight="1" thickBot="1">
      <c r="B95" s="38" t="n"/>
      <c r="C95" s="36" t="n"/>
      <c r="F95" s="35" t="n"/>
      <c r="G95" s="34" t="n"/>
      <c r="H95" s="35" t="n"/>
      <c r="J95" s="38" t="n"/>
      <c r="K95" s="36" t="n"/>
      <c r="N95" s="35" t="n"/>
      <c r="O95" s="34" t="n"/>
      <c r="P95" s="35" t="n"/>
    </row>
    <row r="96" ht="15.75" customHeight="1" thickBot="1">
      <c r="B96" s="38" t="n"/>
      <c r="C96" s="36" t="n"/>
      <c r="F96" s="35" t="n"/>
      <c r="G96" s="34" t="n"/>
      <c r="H96" s="35" t="n"/>
      <c r="J96" s="38" t="n"/>
      <c r="K96" s="36" t="n"/>
      <c r="N96" s="35" t="n"/>
      <c r="O96" s="34" t="n"/>
      <c r="P96" s="35" t="n"/>
    </row>
    <row r="97" ht="15.75" customHeight="1" thickBot="1">
      <c r="B97" s="38" t="n"/>
      <c r="C97" s="36" t="n"/>
      <c r="F97" s="35" t="n"/>
      <c r="G97" s="34" t="n"/>
      <c r="H97" s="35">
        <f>IF(E102&gt;0,E78-G78,0)</f>
        <v/>
      </c>
      <c r="J97" s="38" t="n"/>
      <c r="K97" s="36" t="n"/>
      <c r="N97" s="35" t="n"/>
      <c r="O97" s="34" t="n"/>
      <c r="P97" s="35">
        <f>IF(M102&gt;0,M78-O78,0)</f>
        <v/>
      </c>
    </row>
    <row r="98" ht="15.75" customHeight="1" thickBot="1">
      <c r="B98" s="38" t="n"/>
      <c r="C98" s="36" t="n"/>
      <c r="F98" s="35" t="n"/>
      <c r="H98" s="52">
        <f>IF(TransferName="NONE",F103,IF(H97&gt;0,(E102-G78)*0.0968,0))</f>
        <v/>
      </c>
      <c r="J98" s="38" t="n"/>
      <c r="K98" s="36" t="n"/>
      <c r="N98" s="35" t="n"/>
      <c r="P98" s="52">
        <f>IF(TransferName="NONE",N103,IF(P97&gt;0,(M102-O78)*0.0968,0))</f>
        <v/>
      </c>
    </row>
    <row r="99">
      <c r="B99" s="667" t="n"/>
      <c r="F99" s="35" t="n"/>
      <c r="G99" s="34" t="inlineStr">
        <is>
          <t>Transferable</t>
        </is>
      </c>
      <c r="H99" s="52">
        <f>IF(H98&gt;0,H98,0)</f>
        <v/>
      </c>
      <c r="J99" s="667" t="n"/>
      <c r="N99" s="35" t="n"/>
      <c r="O99" s="34" t="inlineStr">
        <is>
          <t>Transferable</t>
        </is>
      </c>
      <c r="P99" s="52">
        <f>IF(P98&gt;0,P98,0)</f>
        <v/>
      </c>
    </row>
    <row r="100">
      <c r="B100" s="667" t="inlineStr">
        <is>
          <t>Adjusted Taxable Income</t>
        </is>
      </c>
      <c r="C100">
        <f>C81-(SUM(C83:C98))</f>
        <v/>
      </c>
      <c r="D100" s="13" t="inlineStr">
        <is>
          <t>Line 5864</t>
        </is>
      </c>
      <c r="E100" s="39">
        <f>IF(C100&gt;0,C100,0)</f>
        <v/>
      </c>
      <c r="F100" s="35" t="n"/>
      <c r="G100" s="34" t="n"/>
      <c r="H100" s="35" t="n"/>
      <c r="J100" s="667" t="inlineStr">
        <is>
          <t>Adjusted Taxable Income</t>
        </is>
      </c>
      <c r="K100">
        <f>K81-(SUM(K83:K98))</f>
        <v/>
      </c>
      <c r="L100" s="13" t="inlineStr">
        <is>
          <t>Line 5864</t>
        </is>
      </c>
      <c r="M100" s="39">
        <f>IF(K100&gt;0,K100,0)</f>
        <v/>
      </c>
      <c r="N100" s="35" t="n"/>
      <c r="O100" s="34" t="n"/>
      <c r="P100" s="35" t="n"/>
    </row>
    <row r="101" ht="15.75" customHeight="1" thickBot="1">
      <c r="B101" s="34" t="n"/>
      <c r="F101" s="35" t="n"/>
      <c r="G101" s="34" t="n"/>
      <c r="H101" s="35" t="n"/>
      <c r="J101" s="34" t="n"/>
      <c r="N101" s="35" t="n"/>
      <c r="O101" s="34" t="n"/>
      <c r="P101" s="35" t="n"/>
    </row>
    <row r="102" ht="15.75" customHeight="1" thickBot="1">
      <c r="B102" s="34" t="n"/>
      <c r="D102" s="21" t="inlineStr">
        <is>
          <t>Prov Trans</t>
        </is>
      </c>
      <c r="E102" s="36">
        <f>(E78-E100)</f>
        <v/>
      </c>
      <c r="F102" s="40" t="n"/>
      <c r="G102" s="34" t="n"/>
      <c r="H102" s="52" t="n"/>
      <c r="J102" s="34" t="n"/>
      <c r="L102" s="21" t="inlineStr">
        <is>
          <t>Prov Trans</t>
        </is>
      </c>
      <c r="M102" s="36">
        <f>(M78-M100)</f>
        <v/>
      </c>
      <c r="N102" s="40" t="n"/>
      <c r="O102" s="34" t="n"/>
      <c r="P102" s="52" t="n"/>
    </row>
    <row r="103" ht="15.75" customHeight="1" thickBot="1">
      <c r="B103" s="34" t="n"/>
      <c r="C103" s="579" t="inlineStr">
        <is>
          <t>DTC Transferable ESTIMATE</t>
        </is>
      </c>
      <c r="D103" s="35" t="n"/>
      <c r="E103" s="36">
        <f>IF(E102&lt;0,0,(IF(E102&gt;E76,E76,E102)))</f>
        <v/>
      </c>
      <c r="F103" s="40">
        <f>IF(E103&gt;0,E103*0.0968,"No Transfer Required")</f>
        <v/>
      </c>
      <c r="G103" s="678" t="n"/>
      <c r="H103" s="52" t="n"/>
      <c r="J103" s="34" t="n"/>
      <c r="K103" s="579" t="inlineStr">
        <is>
          <t>DTC Transferable ESTIMATE</t>
        </is>
      </c>
      <c r="L103" s="35" t="n"/>
      <c r="M103" s="36">
        <f>IF(M102&lt;0,0,(IF(M102&gt;M76,M76,M102)))</f>
        <v/>
      </c>
      <c r="N103" s="40">
        <f>IF(M103&gt;0,M103*0.0968,"No Transfer Required")</f>
        <v/>
      </c>
      <c r="O103" s="58" t="n"/>
      <c r="P103" s="52" t="n"/>
    </row>
    <row r="104" ht="15.75" customHeight="1" thickBot="1">
      <c r="B104" s="42" t="n"/>
      <c r="C104" s="41" t="n"/>
      <c r="D104" s="43" t="inlineStr">
        <is>
          <t>Net Transferable</t>
        </is>
      </c>
      <c r="E104" s="36">
        <f>IF(E102&lt;0,0,(IF(E102-G74-G75-G77&lt;0,E102,(E102-G74-G75-G77))))</f>
        <v/>
      </c>
      <c r="F104" s="57">
        <f>IF(E104&gt;0,E104*0.0968,"0")</f>
        <v/>
      </c>
      <c r="G104" s="42" t="n"/>
      <c r="H104" s="864" t="n"/>
      <c r="J104" s="42" t="n"/>
      <c r="K104" s="41" t="n"/>
      <c r="L104" s="43" t="inlineStr">
        <is>
          <t>Net Transferable</t>
        </is>
      </c>
      <c r="M104" s="36">
        <f>IF(M102&lt;0,0,(IF(M102-O74-O75-O77&lt;0,M102,(M102-O74-O75-O77))))</f>
        <v/>
      </c>
      <c r="N104" s="57">
        <f>IF(M104&gt;0,M104*0.0968,"0")</f>
        <v/>
      </c>
      <c r="O104" s="59" t="n"/>
      <c r="P104" s="864" t="n"/>
    </row>
    <row r="106" ht="15.75" customHeight="1" thickBot="1">
      <c r="E106">
        <f>Calculator!$D$5</f>
        <v/>
      </c>
      <c r="H106">
        <f>TransferName</f>
        <v/>
      </c>
      <c r="M106">
        <f>Calculator!$D$5</f>
        <v/>
      </c>
      <c r="P106">
        <f>TransferName</f>
        <v/>
      </c>
    </row>
    <row r="107" ht="15.75" customHeight="1" thickBot="1">
      <c r="B107" s="875" t="inlineStr">
        <is>
          <t>2018 NEW BRUNSWICK Provincial</t>
        </is>
      </c>
      <c r="C107" s="778" t="n"/>
      <c r="D107" s="778" t="n"/>
      <c r="E107" s="778" t="n"/>
      <c r="F107" s="778" t="n"/>
      <c r="G107" s="778" t="n"/>
      <c r="H107" s="780" t="n"/>
      <c r="J107" s="875" t="inlineStr">
        <is>
          <t>2017 NEW BRUNSWICK Provincial</t>
        </is>
      </c>
      <c r="K107" s="778" t="n"/>
      <c r="L107" s="778" t="n"/>
      <c r="M107" s="778" t="n"/>
      <c r="N107" s="778" t="n"/>
      <c r="O107" s="778" t="n"/>
      <c r="P107" s="780" t="n"/>
    </row>
    <row r="108" ht="15.75" customHeight="1" thickBot="1">
      <c r="B108" s="34" t="n"/>
      <c r="D108" t="inlineStr">
        <is>
          <t>Line</t>
        </is>
      </c>
      <c r="E108" t="inlineStr">
        <is>
          <t>Amt</t>
        </is>
      </c>
      <c r="F108" s="35" t="n"/>
      <c r="G108" s="667" t="inlineStr">
        <is>
          <t>Spouse</t>
        </is>
      </c>
      <c r="H108" s="35" t="inlineStr">
        <is>
          <t>S2 Adjustment</t>
        </is>
      </c>
      <c r="J108" s="34" t="n"/>
      <c r="L108" t="inlineStr">
        <is>
          <t>Line</t>
        </is>
      </c>
      <c r="M108" t="inlineStr">
        <is>
          <t>Amt</t>
        </is>
      </c>
      <c r="N108" s="35" t="n"/>
      <c r="O108" s="34" t="inlineStr">
        <is>
          <t>Spouse</t>
        </is>
      </c>
      <c r="P108" s="35" t="inlineStr">
        <is>
          <t>S2 Adjustment</t>
        </is>
      </c>
    </row>
    <row r="109" ht="15.75" customHeight="1" thickBot="1">
      <c r="B109" s="667" t="inlineStr">
        <is>
          <t>Age Amount</t>
        </is>
      </c>
      <c r="D109" t="inlineStr">
        <is>
          <t>Line 5808</t>
        </is>
      </c>
      <c r="E109" s="861">
        <f>(_xlfn.XLOOKUP(ClientNumber,Clients!D:D,Clients!EQZ:EQZ,2,0,1))</f>
        <v/>
      </c>
      <c r="F109" s="37" t="inlineStr">
        <is>
          <t>Line 59020</t>
        </is>
      </c>
      <c r="G109" s="51">
        <f>IF(TransferName="NONE",0,(_xlfn.XLOOKUP(TransferNumber,Clients!D:D,Clients!ETB:ETB,2,0,1)))</f>
        <v/>
      </c>
      <c r="H109" s="37">
        <f>IF(AND(E109&gt;0,G109=0),"Age Amount Can Be Transferred","No Action")</f>
        <v/>
      </c>
      <c r="J109" s="667" t="inlineStr">
        <is>
          <t>Age Amount</t>
        </is>
      </c>
      <c r="L109" t="inlineStr">
        <is>
          <t>Line 5808</t>
        </is>
      </c>
      <c r="M109" s="865">
        <f>(_xlfn.XLOOKUP(MainClient,Clients!D:D,Clients!FRB:FRB,2,0,1))</f>
        <v/>
      </c>
      <c r="N109" s="45" t="inlineStr">
        <is>
          <t>Line 59020</t>
        </is>
      </c>
      <c r="O109" s="51">
        <f>IF(TransferName="NONE",0,(_xlfn.XLOOKUP(TransferNumber,Clients!D:D,Clients!FTD:FTD,2,0,1)))</f>
        <v/>
      </c>
      <c r="P109" s="37">
        <f>IF(AND(M109&gt;0,O109=0),"Age Amount Can Be Transferred","No Action")</f>
        <v/>
      </c>
    </row>
    <row r="110" ht="15.75" customHeight="1" thickBot="1">
      <c r="B110" s="667" t="inlineStr">
        <is>
          <t>Pension Income Amount</t>
        </is>
      </c>
      <c r="D110" t="inlineStr">
        <is>
          <t>Line 5836 (mx 1000)</t>
        </is>
      </c>
      <c r="E110" s="861">
        <f>IF((_xlfn.XLOOKUP(ClientNumber,Clients!D:D,Clients!ERZ:ERZ,2,0,1)&lt;1000),(_xlfn.XLOOKUP(MainClient,Clients!D:D,Clients!ERZ:ERZ,2,0,1)),1000)</f>
        <v/>
      </c>
      <c r="F110" s="37" t="inlineStr">
        <is>
          <t>Line 59050</t>
        </is>
      </c>
      <c r="G110" s="51">
        <f>IF(TransferName="NONE",0,(_xlfn.XLOOKUP(TransferNumber,Clients!D:D,Clients!ETE:ETE,2,0,1)))</f>
        <v/>
      </c>
      <c r="H110" s="37">
        <f>IF(AND(E110&gt;0,G110=0),"Pension Income Amount Can Be Transferred","No Action")</f>
        <v/>
      </c>
      <c r="J110" s="667" t="inlineStr">
        <is>
          <t>Pension Income Amount</t>
        </is>
      </c>
      <c r="L110" t="inlineStr">
        <is>
          <t>Line 5836 (mx 1000)</t>
        </is>
      </c>
      <c r="M110" s="865">
        <f>IF((_xlfn.XLOOKUP(ClientNumber,Clients!D:D,Clients!FSB:FSB,2,0,1)&lt;1000),(_xlfn.XLOOKUP(MainClient,Clients!D:D,Clients!FSB:FSB,2,0,1)),1000)</f>
        <v/>
      </c>
      <c r="N110" s="45" t="inlineStr">
        <is>
          <t>Line 59050</t>
        </is>
      </c>
      <c r="O110" s="51">
        <f>IF(TransferName="NONE",0,(_xlfn.XLOOKUP(TransferNumber,Clients!D:D,Clients!FTG:FTG,2,0,1)))</f>
        <v/>
      </c>
      <c r="P110" s="37">
        <f>IF(AND(M110&gt;0,O110=0),"Pension Income Amount Can Be Transferred","No Action")</f>
        <v/>
      </c>
    </row>
    <row r="111" ht="15.75" customHeight="1" thickBot="1">
      <c r="B111" s="667" t="inlineStr">
        <is>
          <t>Disability Amount</t>
        </is>
      </c>
      <c r="D111" t="inlineStr">
        <is>
          <t xml:space="preserve">Line 5844 </t>
        </is>
      </c>
      <c r="E111" s="861">
        <f>IF(_xlfn.XLOOKUP(ClientNumber,Clients!D:D,Clients!ESB:ESB,2,0,1)=0,8131,(_xlfn.XLOOKUP(MainClient,Clients!D:D,Clients!ESB:ESB,2,0,1)))</f>
        <v/>
      </c>
      <c r="F111" s="37" t="inlineStr">
        <is>
          <t>Line 59070</t>
        </is>
      </c>
      <c r="G111" s="51">
        <f>IF(TransferName="NONE",0,(_xlfn.XLOOKUP(TransferNumber,Clients!D:D,Clients!ETF:ETF,2,0,1)))</f>
        <v/>
      </c>
      <c r="H111" s="37">
        <f>IF(AND(E111&gt;0,G111=0),"DTC Transferable Not Claimed Can Be Transferred","No Action")</f>
        <v/>
      </c>
      <c r="J111" s="667" t="inlineStr">
        <is>
          <t>Disability Amount</t>
        </is>
      </c>
      <c r="L111" t="inlineStr">
        <is>
          <t xml:space="preserve">Line 5844 </t>
        </is>
      </c>
      <c r="M111" s="865">
        <f>IF(_xlfn.XLOOKUP(ClientNumber,Clients!D:D,Clients!FSD:FSD,2,0,1)=0,8011,(_xlfn.XLOOKUP(MainClient,Clients!D:D,Clients!FSD:FSD,2,0,1)))</f>
        <v/>
      </c>
      <c r="N111" s="45" t="inlineStr">
        <is>
          <t>Line 59070</t>
        </is>
      </c>
      <c r="O111" s="51">
        <f>IF(TransferName="NONE",0,(_xlfn.XLOOKUP(TransferNumber,Clients!D:D,Clients!FTH:FTH,2,0,1)))</f>
        <v/>
      </c>
      <c r="P111" s="37">
        <f>IF(AND(M111&gt;0,O111=0),"DTC Transferable Not Claimed Can Be Transferred","No Action")</f>
        <v/>
      </c>
    </row>
    <row r="112" ht="15.75" customHeight="1" thickBot="1">
      <c r="B112" s="667" t="inlineStr">
        <is>
          <t>Tuition Amount</t>
        </is>
      </c>
      <c r="D112" t="inlineStr">
        <is>
          <t>Line 5920</t>
        </is>
      </c>
      <c r="E112" s="861">
        <f>(_xlfn.XLOOKUP(ClientNumber,Clients!D:D,Clients!ETP:ETP,2,0,1))</f>
        <v/>
      </c>
      <c r="F112" s="37" t="inlineStr">
        <is>
          <t>Line 59090</t>
        </is>
      </c>
      <c r="G112" s="51">
        <f>IF(TransferName="NONE",0,(_xlfn.XLOOKUP(TransferNumber,Clients!D:D,Clients!ETG:ETG,2,0,1)))</f>
        <v/>
      </c>
      <c r="H112" s="37">
        <f>IF(AND(E112&gt;0,G112=0),"Tuition Can Be Transferred","No Action")</f>
        <v/>
      </c>
      <c r="J112" s="667" t="inlineStr">
        <is>
          <t>Tuition Amount</t>
        </is>
      </c>
      <c r="L112" t="inlineStr">
        <is>
          <t>Line 5920</t>
        </is>
      </c>
      <c r="M112" s="865">
        <f>(_xlfn.XLOOKUP(MainClient,Clients!D:D,Clients!FTT:FTT,2,0,1))</f>
        <v/>
      </c>
      <c r="N112" s="45" t="inlineStr">
        <is>
          <t>Line 59090</t>
        </is>
      </c>
      <c r="O112" s="51">
        <f>IF(TransferName="NONE",0,(_xlfn.XLOOKUP(TransferNumber,Clients!D:D,Clients!FTI:FTI,2,0,1)))</f>
        <v/>
      </c>
      <c r="P112" s="37">
        <f>IF(AND(M112&gt;0,O112=0),"Tuition Can Be Transferred","No Action")</f>
        <v/>
      </c>
    </row>
    <row r="113">
      <c r="B113" s="667" t="n"/>
      <c r="E113" s="771">
        <f>SUM(E109:E112)</f>
        <v/>
      </c>
      <c r="F113" s="37" t="n"/>
      <c r="G113" s="667">
        <f>SUM(G109:G112)</f>
        <v/>
      </c>
      <c r="H113" s="37" t="n"/>
      <c r="J113" s="667" t="n"/>
      <c r="M113" s="872">
        <f>SUM(M109:M112)</f>
        <v/>
      </c>
      <c r="N113" s="37" t="n"/>
      <c r="O113" s="667">
        <f>SUM(O109:O112)</f>
        <v/>
      </c>
      <c r="P113" s="37" t="n"/>
    </row>
    <row r="114">
      <c r="B114" s="667" t="n"/>
      <c r="C114" s="668" t="n"/>
      <c r="E114" s="771" t="n"/>
      <c r="F114" s="37" t="n"/>
      <c r="G114" s="668" t="n"/>
      <c r="H114" s="37" t="n"/>
      <c r="J114" s="667" t="n"/>
      <c r="K114" s="668" t="n"/>
      <c r="M114" s="872" t="n"/>
      <c r="N114" s="37" t="n"/>
      <c r="O114" s="668" t="n"/>
      <c r="P114" s="37" t="n"/>
    </row>
    <row r="115" ht="15.75" customHeight="1" thickBot="1">
      <c r="B115" s="34" t="n"/>
      <c r="F115" s="35" t="n"/>
      <c r="H115" s="35" t="n"/>
      <c r="J115" s="34" t="n"/>
      <c r="N115" s="35" t="n"/>
      <c r="P115" s="35" t="n"/>
    </row>
    <row r="116" ht="15.75" customHeight="1" thickBot="1">
      <c r="B116" s="667" t="inlineStr">
        <is>
          <t>Line 260</t>
        </is>
      </c>
      <c r="C116" s="36">
        <f>(_xlfn.XLOOKUP(MainClient,Clients!D:D,Clients!EIY:EIY,2,0,1))</f>
        <v/>
      </c>
      <c r="F116" s="35" t="n"/>
      <c r="G116" s="34">
        <f>IF(E139&gt;E111,"other transferable credits","DTC Only")</f>
        <v/>
      </c>
      <c r="H116" s="35" t="n"/>
      <c r="J116" s="667" t="inlineStr">
        <is>
          <t>Line 260</t>
        </is>
      </c>
      <c r="K116" s="36">
        <f>(_xlfn.XLOOKUP(MainClient,Clients!D:D,Clients!FJA:FJA,2,0,1))</f>
        <v/>
      </c>
      <c r="N116" s="35" t="n"/>
      <c r="O116" s="34">
        <f>IF(M139&gt;M111,"other transferable credits","DTC Only")</f>
        <v/>
      </c>
      <c r="P116" s="35" t="n"/>
    </row>
    <row r="117" ht="15.75" customHeight="1" thickBot="1">
      <c r="B117" s="34" t="n"/>
      <c r="F117" s="35" t="n"/>
      <c r="G117" s="34" t="n"/>
      <c r="H117" s="35" t="n"/>
      <c r="J117" s="34" t="n"/>
      <c r="N117" s="35" t="n"/>
      <c r="O117" s="34" t="n"/>
      <c r="P117" s="35" t="n"/>
    </row>
    <row r="118" ht="15.75" customHeight="1" thickBot="1">
      <c r="B118" s="55" t="inlineStr">
        <is>
          <t>Line 5804</t>
        </is>
      </c>
      <c r="C118" s="36">
        <f>(_xlfn.XLOOKUP(ClientNumber,Clients!D:D,Clients!EQY:EQY,2,0,1))</f>
        <v/>
      </c>
      <c r="F118" s="35" t="n"/>
      <c r="G118" s="34" t="n"/>
      <c r="H118" s="35" t="n"/>
      <c r="J118" s="55" t="inlineStr">
        <is>
          <t>Line 5804</t>
        </is>
      </c>
      <c r="K118" s="36">
        <f>(_xlfn.XLOOKUP(MainClient,Clients!D:D,Clients!FRA:FRA,2,0,1))</f>
        <v/>
      </c>
      <c r="N118" s="35" t="n"/>
      <c r="O118" s="34" t="n"/>
      <c r="P118" s="35" t="n"/>
    </row>
    <row r="119" ht="15.75" customHeight="1" thickBot="1">
      <c r="B119" s="55" t="inlineStr">
        <is>
          <t>Line 5824</t>
        </is>
      </c>
      <c r="C119" s="36">
        <f>(_xlfn.XLOOKUP(ClientNumber,Clients!D:D,Clients!ERN:ERN,2,0,1))</f>
        <v/>
      </c>
      <c r="F119" s="35" t="n"/>
      <c r="G119" s="34" t="n"/>
      <c r="H119" s="35" t="n"/>
      <c r="J119" s="55" t="inlineStr">
        <is>
          <t>Line 5824</t>
        </is>
      </c>
      <c r="K119" s="36">
        <f>(_xlfn.XLOOKUP(MainClient,Clients!D:D,Clients!FRP:FRP,2,0,1))</f>
        <v/>
      </c>
      <c r="N119" s="35" t="n"/>
      <c r="O119" s="34" t="n"/>
      <c r="P119" s="35" t="n"/>
    </row>
    <row r="120" ht="15.75" customHeight="1" thickBot="1">
      <c r="B120" s="55" t="inlineStr">
        <is>
          <t>Line 5828</t>
        </is>
      </c>
      <c r="C120" s="36">
        <f>(_xlfn.XLOOKUP(ClientNumber,Clients!D:D,Clients!ERO:ERO,2,0,1))</f>
        <v/>
      </c>
      <c r="F120" s="35" t="n"/>
      <c r="G120" s="34" t="n"/>
      <c r="H120" s="35" t="n"/>
      <c r="J120" s="55" t="inlineStr">
        <is>
          <t>Line 5828</t>
        </is>
      </c>
      <c r="K120" s="36">
        <f>(_xlfn.XLOOKUP(MainClient,Clients!D:D,Clients!FRQ:FRQ,2,0,1))</f>
        <v/>
      </c>
      <c r="N120" s="35" t="n"/>
      <c r="P120" s="35" t="n"/>
    </row>
    <row r="121" ht="15.75" customHeight="1" thickBot="1">
      <c r="B121" s="55" t="inlineStr">
        <is>
          <t>Line 5832</t>
        </is>
      </c>
      <c r="C121" s="36">
        <f>(_xlfn.XLOOKUP(ClientNumber,Clients!D:D,Clients!ERP:ERP,2,0,1))</f>
        <v/>
      </c>
      <c r="F121" s="35" t="n"/>
      <c r="G121" s="34" t="n"/>
      <c r="H121" s="35" t="n"/>
      <c r="J121" s="55" t="inlineStr">
        <is>
          <t>Line 5832</t>
        </is>
      </c>
      <c r="K121" s="36">
        <f>(_xlfn.XLOOKUP(MainClient,Clients!D:D,Clients!FRR:FRR,2,0,1))</f>
        <v/>
      </c>
      <c r="N121" s="35" t="n"/>
      <c r="O121" s="34" t="n"/>
      <c r="P121" s="35" t="n"/>
    </row>
    <row r="122" ht="15.75" customHeight="1" thickBot="1">
      <c r="B122" s="55" t="inlineStr">
        <is>
          <t>Line 5829</t>
        </is>
      </c>
      <c r="C122" s="36">
        <f>(_xlfn.XLOOKUP(ClientNumber,Clients!D:D,Clients!ERQ:ERQ,2,0,1))</f>
        <v/>
      </c>
      <c r="F122" s="35" t="n"/>
      <c r="G122" s="34" t="n"/>
      <c r="H122" s="35" t="n"/>
      <c r="J122" s="55" t="inlineStr">
        <is>
          <t>Line 5829</t>
        </is>
      </c>
      <c r="K122" s="36">
        <f>(_xlfn.XLOOKUP(MainClient,Clients!D:D,Clients!FRS:FRS,2,0,1))</f>
        <v/>
      </c>
      <c r="N122" s="35" t="n"/>
      <c r="O122" s="34" t="n"/>
      <c r="P122" s="35" t="n"/>
    </row>
    <row r="123" ht="15.75" customHeight="1" thickBot="1">
      <c r="B123" s="55" t="inlineStr">
        <is>
          <t>Line 5856</t>
        </is>
      </c>
      <c r="C123" s="36">
        <f>(_xlfn.XLOOKUP(ClientNumber,Clients!D:D,Clients!ESF:ESF,2,0,1))</f>
        <v/>
      </c>
      <c r="F123" s="35" t="n"/>
      <c r="G123" s="34" t="n"/>
      <c r="H123" s="35" t="n"/>
      <c r="J123" s="55" t="inlineStr">
        <is>
          <t>Line 5856</t>
        </is>
      </c>
      <c r="K123" s="36">
        <f>(_xlfn.XLOOKUP(MainClient,Clients!D:D,Clients!FSH:FSH,2,0,1))</f>
        <v/>
      </c>
      <c r="N123" s="35" t="n"/>
      <c r="O123" s="34" t="n"/>
      <c r="P123" s="35" t="n"/>
    </row>
    <row r="124" ht="15.75" customHeight="1" thickBot="1">
      <c r="B124" s="55" t="n"/>
      <c r="C124" s="36" t="n"/>
      <c r="F124" s="35" t="n"/>
      <c r="G124" s="34" t="n"/>
      <c r="H124" s="35" t="n"/>
      <c r="J124" s="55" t="n"/>
      <c r="K124" s="36" t="n"/>
      <c r="N124" s="35" t="n"/>
      <c r="O124" s="34" t="n"/>
      <c r="P124" s="35" t="n"/>
    </row>
    <row r="125" ht="15.75" customHeight="1" thickBot="1">
      <c r="B125" s="55" t="n"/>
      <c r="C125" s="36" t="n"/>
      <c r="F125" s="35" t="n"/>
      <c r="G125" s="34" t="n"/>
      <c r="H125" s="35" t="n"/>
      <c r="J125" s="55" t="n"/>
      <c r="K125" s="36" t="n"/>
      <c r="N125" s="35" t="n"/>
      <c r="O125" s="34" t="n"/>
      <c r="P125" s="35" t="n"/>
    </row>
    <row r="126" ht="15.75" customHeight="1" thickBot="1">
      <c r="B126" s="55" t="n"/>
      <c r="C126" s="36" t="n"/>
      <c r="F126" s="35" t="n"/>
      <c r="G126" s="34" t="n"/>
      <c r="H126" s="35" t="n"/>
      <c r="J126" s="55" t="n"/>
      <c r="K126" s="36" t="n"/>
      <c r="N126" s="35" t="n"/>
      <c r="O126" s="34" t="n"/>
      <c r="P126" s="35" t="n"/>
    </row>
    <row r="127" ht="15.75" customHeight="1" thickBot="1">
      <c r="B127" s="55" t="n"/>
      <c r="C127" s="36" t="n"/>
      <c r="F127" s="35" t="n"/>
      <c r="G127" s="34" t="n"/>
      <c r="H127" s="35" t="n"/>
      <c r="J127" s="55" t="n"/>
      <c r="K127" s="36" t="n"/>
      <c r="N127" s="35" t="n"/>
      <c r="O127" s="34" t="n"/>
      <c r="P127" s="35" t="n"/>
    </row>
    <row r="128" ht="15.75" customHeight="1" thickBot="1">
      <c r="B128" s="55" t="n"/>
      <c r="C128" s="36" t="n"/>
      <c r="F128" s="35" t="n"/>
      <c r="G128" s="34" t="inlineStr">
        <is>
          <t>Line 326</t>
        </is>
      </c>
      <c r="H128" s="35">
        <f>IF(TransferName="NONE",0,(_xlfn.XLOOKUP(TransferNumber,Clients!D:D,Clients!EJX:EJX,2,0,1)))</f>
        <v/>
      </c>
      <c r="J128" s="55" t="n"/>
      <c r="K128" s="36" t="n"/>
      <c r="N128" s="35" t="n"/>
      <c r="O128" s="34" t="inlineStr">
        <is>
          <t>Line 326</t>
        </is>
      </c>
      <c r="P128" s="35">
        <f>IFERROR(_xlfn.XLOOKUP(TransferNumber,Clients!D:D,Clients!FJZ:FJZ,2,0,1),0)</f>
        <v/>
      </c>
    </row>
    <row r="129" ht="15.75" customHeight="1" thickBot="1">
      <c r="B129" s="38" t="n"/>
      <c r="C129" s="36" t="n"/>
      <c r="F129" s="35" t="n"/>
      <c r="G129" s="34" t="n"/>
      <c r="H129" s="35" t="n"/>
      <c r="J129" s="38" t="n"/>
      <c r="K129" s="36" t="n"/>
      <c r="N129" s="35" t="n"/>
      <c r="O129" s="34" t="n"/>
      <c r="P129" s="35" t="n"/>
    </row>
    <row r="130" ht="15.75" customHeight="1" thickBot="1">
      <c r="B130" s="38" t="n"/>
      <c r="C130" s="36" t="n"/>
      <c r="F130" s="35" t="n"/>
      <c r="G130" s="34" t="n"/>
      <c r="H130" s="35" t="n"/>
      <c r="J130" s="38" t="n"/>
      <c r="K130" s="36" t="n"/>
      <c r="N130" s="35" t="n"/>
      <c r="O130" s="34" t="n"/>
      <c r="P130" s="35" t="n"/>
    </row>
    <row r="131" ht="15.75" customHeight="1" thickBot="1">
      <c r="B131" s="38" t="n"/>
      <c r="C131" s="36" t="n"/>
      <c r="F131" s="35" t="n"/>
      <c r="G131" s="34" t="n"/>
      <c r="H131" s="35" t="n"/>
      <c r="J131" s="38" t="n"/>
      <c r="K131" s="36" t="n"/>
      <c r="N131" s="35" t="n"/>
      <c r="O131" s="34" t="n"/>
      <c r="P131" s="35" t="n"/>
    </row>
    <row r="132" ht="15.75" customHeight="1" thickBot="1">
      <c r="B132" s="38" t="n"/>
      <c r="C132" s="36" t="n"/>
      <c r="F132" s="35" t="n"/>
      <c r="G132" s="34" t="n"/>
      <c r="H132" s="35">
        <f>IF(E137&gt;0,E113-G113,0)</f>
        <v/>
      </c>
      <c r="J132" s="38" t="n"/>
      <c r="K132" s="36" t="n"/>
      <c r="N132" s="35" t="n"/>
      <c r="O132" s="34" t="n"/>
      <c r="P132" s="35">
        <f>IF(M137&gt;0,M113-O113,0)</f>
        <v/>
      </c>
    </row>
    <row r="133" ht="15.75" customHeight="1" thickBot="1">
      <c r="B133" s="38" t="n"/>
      <c r="C133" s="36" t="n"/>
      <c r="F133" s="35" t="n"/>
      <c r="H133" s="52">
        <f>IF(TransferName="NONE",F138,IF(H132&gt;0,(E137-G113)*0.0968,0))</f>
        <v/>
      </c>
      <c r="J133" s="38" t="n"/>
      <c r="K133" s="36" t="n"/>
      <c r="N133" s="35" t="n"/>
      <c r="P133" s="52">
        <f>IF(TransferName="NONE",N138,IF(P132&gt;0,(M137-O113)*0.0968,0))</f>
        <v/>
      </c>
    </row>
    <row r="134">
      <c r="B134" s="667" t="n"/>
      <c r="F134" s="35" t="n"/>
      <c r="G134" s="34" t="inlineStr">
        <is>
          <t>Transferable</t>
        </is>
      </c>
      <c r="H134" s="52">
        <f>IF(H133&gt;0,H133,0)</f>
        <v/>
      </c>
      <c r="J134" s="667" t="n"/>
      <c r="N134" s="35" t="n"/>
      <c r="O134" s="34" t="inlineStr">
        <is>
          <t>Transferable</t>
        </is>
      </c>
      <c r="P134" s="52">
        <f>IF(P133&gt;0,P133,0)</f>
        <v/>
      </c>
    </row>
    <row r="135">
      <c r="B135" s="667" t="inlineStr">
        <is>
          <t>Adjusted Taxable Income</t>
        </is>
      </c>
      <c r="C135">
        <f>C116-(SUM(C118:C133))</f>
        <v/>
      </c>
      <c r="D135" s="13" t="inlineStr">
        <is>
          <t>Line 5864</t>
        </is>
      </c>
      <c r="E135" s="39">
        <f>IF(C135&gt;0,C135,0)</f>
        <v/>
      </c>
      <c r="F135" s="35" t="n"/>
      <c r="G135" s="34" t="n"/>
      <c r="H135" s="35" t="n"/>
      <c r="J135" s="667" t="inlineStr">
        <is>
          <t>Adjusted Taxable Income</t>
        </is>
      </c>
      <c r="K135">
        <f>K116-(SUM(K118:K133))</f>
        <v/>
      </c>
      <c r="L135" s="13" t="inlineStr">
        <is>
          <t>Line 5864</t>
        </is>
      </c>
      <c r="M135" s="39">
        <f>IF(K135&gt;0,K135,0)</f>
        <v/>
      </c>
      <c r="N135" s="35" t="n"/>
      <c r="O135" s="34" t="n"/>
      <c r="P135" s="35" t="n"/>
    </row>
    <row r="136" ht="15.75" customHeight="1" thickBot="1">
      <c r="B136" s="34" t="n"/>
      <c r="F136" s="35" t="n"/>
      <c r="G136" s="34" t="n"/>
      <c r="H136" s="35" t="n"/>
      <c r="J136" s="34" t="n"/>
      <c r="N136" s="35" t="n"/>
      <c r="O136" s="34" t="n"/>
      <c r="P136" s="35" t="n"/>
    </row>
    <row r="137" ht="15.75" customHeight="1" thickBot="1">
      <c r="B137" s="34" t="n"/>
      <c r="D137" s="21" t="inlineStr">
        <is>
          <t>Prov Trans</t>
        </is>
      </c>
      <c r="E137" s="36">
        <f>(E113-E135)</f>
        <v/>
      </c>
      <c r="F137" s="40" t="n"/>
      <c r="G137" s="34" t="n"/>
      <c r="H137" s="52" t="n"/>
      <c r="J137" s="34" t="n"/>
      <c r="L137" s="21" t="inlineStr">
        <is>
          <t>Prov Trans</t>
        </is>
      </c>
      <c r="M137" s="36">
        <f>(M113-M135)</f>
        <v/>
      </c>
      <c r="N137" s="40" t="n"/>
      <c r="O137" s="34" t="n"/>
      <c r="P137" s="52" t="n"/>
    </row>
    <row r="138" ht="15.75" customHeight="1" thickBot="1">
      <c r="B138" s="34" t="n"/>
      <c r="C138" s="579" t="inlineStr">
        <is>
          <t>DTC Transferable ESTIMATE</t>
        </is>
      </c>
      <c r="D138" s="35" t="n"/>
      <c r="E138" s="36">
        <f>IF(E137&lt;0,0,(IF(E137&gt;E111,E111,E137)))</f>
        <v/>
      </c>
      <c r="F138" s="40">
        <f>IF(E138&gt;0,E138*0.0968,"No Transfer Required")</f>
        <v/>
      </c>
      <c r="G138" s="678" t="n"/>
      <c r="H138" s="52" t="n"/>
      <c r="J138" s="34" t="n"/>
      <c r="K138" s="579" t="inlineStr">
        <is>
          <t>DTC Transferable ESTIMATE</t>
        </is>
      </c>
      <c r="L138" s="35" t="n"/>
      <c r="M138" s="36">
        <f>IF(M137&lt;0,0,(IF(M137&gt;M111,M111,M137)))</f>
        <v/>
      </c>
      <c r="N138" s="40">
        <f>IF(M138&gt;0,M138*0.0968,"No Transfer Required")</f>
        <v/>
      </c>
      <c r="O138" s="58" t="n"/>
      <c r="P138" s="52" t="n"/>
    </row>
    <row r="139" ht="15.75" customHeight="1" thickBot="1">
      <c r="B139" s="42" t="n"/>
      <c r="C139" s="41" t="n"/>
      <c r="D139" s="43" t="inlineStr">
        <is>
          <t>Net Transferable</t>
        </is>
      </c>
      <c r="E139" s="36">
        <f>IF(E137&lt;0,0,(IF(E137-G109-G110-G112&lt;0,E137,(E137-G109-G110-G112))))</f>
        <v/>
      </c>
      <c r="F139" s="57">
        <f>IF(E139&gt;0,E139*0.0968,"0")</f>
        <v/>
      </c>
      <c r="G139" s="42" t="n"/>
      <c r="H139" s="864" t="n"/>
      <c r="J139" s="42" t="n"/>
      <c r="K139" s="41" t="n"/>
      <c r="L139" s="43" t="inlineStr">
        <is>
          <t>Net Transferable</t>
        </is>
      </c>
      <c r="M139" s="36">
        <f>IF(M137&lt;0,0,(IF(M137-O109-O110-O112&lt;0,M137,(M137-O109-O110-O112))))</f>
        <v/>
      </c>
      <c r="N139" s="57">
        <f>IF(M139&gt;0,M139*0.0968,"0")</f>
        <v/>
      </c>
      <c r="O139" s="59" t="n"/>
      <c r="P139" s="864" t="n"/>
    </row>
    <row r="141" ht="15.75" customHeight="1" thickBot="1">
      <c r="E141">
        <f>Calculator!$D$5</f>
        <v/>
      </c>
      <c r="H141">
        <f>TransferName</f>
        <v/>
      </c>
      <c r="M141">
        <f>Calculator!$D$5</f>
        <v/>
      </c>
      <c r="P141">
        <f>TransferName</f>
        <v/>
      </c>
    </row>
    <row r="142" ht="15.75" customHeight="1" thickBot="1">
      <c r="B142" s="875" t="inlineStr">
        <is>
          <t>2016 NEW BRUNSWICK Provincial</t>
        </is>
      </c>
      <c r="C142" s="778" t="n"/>
      <c r="D142" s="778" t="n"/>
      <c r="E142" s="778" t="n"/>
      <c r="F142" s="778" t="n"/>
      <c r="G142" s="778" t="n"/>
      <c r="H142" s="780" t="n"/>
      <c r="J142" s="875" t="inlineStr">
        <is>
          <t>2015 NEW BRUNSWICK Provincial</t>
        </is>
      </c>
      <c r="K142" s="778" t="n"/>
      <c r="L142" s="778" t="n"/>
      <c r="M142" s="778" t="n"/>
      <c r="N142" s="778" t="n"/>
      <c r="O142" s="778" t="n"/>
      <c r="P142" s="780" t="n"/>
    </row>
    <row r="143" ht="15.75" customHeight="1" thickBot="1">
      <c r="B143" s="34" t="n"/>
      <c r="D143" t="inlineStr">
        <is>
          <t>Line</t>
        </is>
      </c>
      <c r="E143" t="inlineStr">
        <is>
          <t>Amt</t>
        </is>
      </c>
      <c r="F143" s="35" t="n"/>
      <c r="G143" s="667" t="inlineStr">
        <is>
          <t>Spouse</t>
        </is>
      </c>
      <c r="H143" s="35" t="inlineStr">
        <is>
          <t>S2 Adjustment</t>
        </is>
      </c>
      <c r="J143" s="34" t="n"/>
      <c r="L143" t="inlineStr">
        <is>
          <t>Line</t>
        </is>
      </c>
      <c r="M143" t="inlineStr">
        <is>
          <t>Amt</t>
        </is>
      </c>
      <c r="N143" s="35" t="n"/>
      <c r="O143" s="34" t="inlineStr">
        <is>
          <t>Spouse</t>
        </is>
      </c>
      <c r="P143" s="35" t="inlineStr">
        <is>
          <t>S2 Adjustment</t>
        </is>
      </c>
    </row>
    <row r="144" ht="15.75" customHeight="1" thickBot="1">
      <c r="B144" s="667" t="inlineStr">
        <is>
          <t>Age Amount</t>
        </is>
      </c>
      <c r="D144" t="inlineStr">
        <is>
          <t>Line 5808</t>
        </is>
      </c>
      <c r="E144" s="861">
        <f>(_xlfn.XLOOKUP(ClientNumber,Clients!D:D,Clients!GRD:GRD,2,0,1))</f>
        <v/>
      </c>
      <c r="F144" s="37" t="inlineStr">
        <is>
          <t>Line 59020</t>
        </is>
      </c>
      <c r="G144" s="51">
        <f>IF(TransferName="NONE",0,(_xlfn.XLOOKUP(TransferNumber,Clients!D:D,Clients!GTF:GTF,2,0,1)))</f>
        <v/>
      </c>
      <c r="H144" s="37">
        <f>IF(AND(E144&gt;0,G144=0),"Age Amount Can Be Transferred","No Action")</f>
        <v/>
      </c>
      <c r="J144" s="667" t="inlineStr">
        <is>
          <t>Age Amount</t>
        </is>
      </c>
      <c r="L144" t="inlineStr">
        <is>
          <t>Line 5808</t>
        </is>
      </c>
      <c r="M144" s="865">
        <f>(_xlfn.XLOOKUP(MainClient,Clients!D:D,Clients!HRF:HRF,2,0,1))</f>
        <v/>
      </c>
      <c r="N144" s="45" t="inlineStr">
        <is>
          <t>Line 59020</t>
        </is>
      </c>
      <c r="O144" s="51">
        <f>IF(TransferName="NONE",0,(_xlfn.XLOOKUP(TransferNumber,Clients!D:D,Clients!HTH:HTH,2,0,1)))</f>
        <v/>
      </c>
      <c r="P144" s="37">
        <f>IF(AND(M144&gt;0,O144=0),"Age Amount Can Be Transferred","No Action")</f>
        <v/>
      </c>
    </row>
    <row r="145" ht="15.75" customHeight="1" thickBot="1">
      <c r="B145" s="667" t="inlineStr">
        <is>
          <t>Pension Income Amount</t>
        </is>
      </c>
      <c r="D145" t="inlineStr">
        <is>
          <t>Line 5836 (mx 1000)</t>
        </is>
      </c>
      <c r="E145" s="861">
        <f>IF((_xlfn.XLOOKUP(ClientNumber,Clients!D:D,Clients!GSD:GSD,2,0,1)&lt;1000),(_xlfn.XLOOKUP(MainClient,Clients!D:D,Clients!GSD:GSD,2,0,1)),1000)</f>
        <v/>
      </c>
      <c r="F145" s="37" t="inlineStr">
        <is>
          <t>Line 59050</t>
        </is>
      </c>
      <c r="G145" s="51">
        <f>IF(TransferName="NONE",0,(_xlfn.XLOOKUP(TransferNumber,Clients!D:D,Clients!GTI:GTI,2,0,1)))</f>
        <v/>
      </c>
      <c r="H145" s="37">
        <f>IF(AND(E145&gt;0,G145=0),"Pension Income Amount Can Be Transferred","No Action")</f>
        <v/>
      </c>
      <c r="J145" s="667" t="inlineStr">
        <is>
          <t>Pension Income Amount</t>
        </is>
      </c>
      <c r="L145" t="inlineStr">
        <is>
          <t>Line 5836 (mx 1000)</t>
        </is>
      </c>
      <c r="M145" s="865">
        <f>IF((_xlfn.XLOOKUP(ClientNumber,Clients!D:D,Clients!HSF:HSF,2,0,1)&lt;1000),(_xlfn.XLOOKUP(MainClient,Clients!D:D,Clients!HSF:HSF,2,0,1)),1000)</f>
        <v/>
      </c>
      <c r="N145" s="45" t="inlineStr">
        <is>
          <t>Line 59050</t>
        </is>
      </c>
      <c r="O145" s="51">
        <f>IF(TransferName="NONE",0,(_xlfn.XLOOKUP(TransferNumber,Clients!D:D,Clients!HTK:HTK,2,0,1)))</f>
        <v/>
      </c>
      <c r="P145" s="37">
        <f>IF(AND(M145&gt;0,O145=0),"Pension Income Amount Can Be Transferred","No Action")</f>
        <v/>
      </c>
    </row>
    <row r="146" ht="15.75" customHeight="1" thickBot="1">
      <c r="B146" s="667" t="inlineStr">
        <is>
          <t>Disability Amount</t>
        </is>
      </c>
      <c r="D146" t="inlineStr">
        <is>
          <t xml:space="preserve">Line 5844 </t>
        </is>
      </c>
      <c r="E146" s="861">
        <f>IF(_xlfn.XLOOKUP(ClientNumber,Clients!D:D,Clients!GSF:GSF,2,0,1)=0,7900,(_xlfn.XLOOKUP(MainClient,Clients!D:D,Clients!GSF:GSF,2,0,1)))</f>
        <v/>
      </c>
      <c r="F146" s="37" t="inlineStr">
        <is>
          <t>Line 59070</t>
        </is>
      </c>
      <c r="G146" s="51">
        <f>IF(TransferName="NONE",0,(_xlfn.XLOOKUP(TransferNumber,Clients!D:D,Clients!GTJ:GTJ,2,0,1)))</f>
        <v/>
      </c>
      <c r="H146" s="37">
        <f>IF(AND(E146&gt;0,G146=0),"DTC Transferable Not Claimed Can Be Transferred","No Action")</f>
        <v/>
      </c>
      <c r="J146" s="667" t="inlineStr">
        <is>
          <t>Disability Amount</t>
        </is>
      </c>
      <c r="L146" t="inlineStr">
        <is>
          <t xml:space="preserve">Line 5844 </t>
        </is>
      </c>
      <c r="M146" s="865">
        <f>IF(_xlfn.XLOOKUP(ClientNumber,Clients!D:D,Clients!HSH:HSH,2,0,1)=0,7799,(_xlfn.XLOOKUP(MainClient,Clients!D:D,Clients!HSH:HSH,2,0,1)))</f>
        <v/>
      </c>
      <c r="N146" s="45" t="inlineStr">
        <is>
          <t>Line 59070</t>
        </is>
      </c>
      <c r="O146" s="51">
        <f>IF(TransferName="NONE",0,(_xlfn.XLOOKUP(TransferNumber,Clients!D:D,Clients!HTL:HTL,2,0,1)))</f>
        <v/>
      </c>
      <c r="P146" s="37">
        <f>IF(AND(M146&gt;0,O146=0),"DTC Transferable Not Claimed Can Be Transferred","No Action")</f>
        <v/>
      </c>
    </row>
    <row r="147" ht="15.75" customHeight="1" thickBot="1">
      <c r="B147" s="667" t="inlineStr">
        <is>
          <t>Tuition Amount</t>
        </is>
      </c>
      <c r="D147" t="inlineStr">
        <is>
          <t>Line 5920</t>
        </is>
      </c>
      <c r="E147" s="861">
        <f>(_xlfn.XLOOKUP(ClientNumber,Clients!D:D,Clients!GTT:GTT,2,0,1))</f>
        <v/>
      </c>
      <c r="F147" s="37" t="inlineStr">
        <is>
          <t>Line 59090</t>
        </is>
      </c>
      <c r="G147" s="51">
        <f>IF(TransferName="NONE",0,(_xlfn.XLOOKUP(TransferNumber,Clients!D:D,Clients!GTK:GTK,2,0,1)))</f>
        <v/>
      </c>
      <c r="H147" s="37">
        <f>IF(AND(E147&gt;0,G147=0),"Tuition Can Be Transferred","No Action")</f>
        <v/>
      </c>
      <c r="J147" s="667" t="inlineStr">
        <is>
          <t>Tuition Amount</t>
        </is>
      </c>
      <c r="L147" t="inlineStr">
        <is>
          <t>Line 5920</t>
        </is>
      </c>
      <c r="M147" s="865">
        <f>(_xlfn.XLOOKUP(MainClient,Clients!D:D,Clients!HTV:HTV,2,0,1))</f>
        <v/>
      </c>
      <c r="N147" s="45" t="inlineStr">
        <is>
          <t>Line 59090</t>
        </is>
      </c>
      <c r="O147" s="51">
        <f>IF(TransferName="NONE",0,(_xlfn.XLOOKUP(TransferNumber,Clients!D:D,Clients!HTM:HTM,2,0,1)))</f>
        <v/>
      </c>
      <c r="P147" s="37">
        <f>IF(AND(M147&gt;0,O147=0),"Tuition Can Be Transferred","No Action")</f>
        <v/>
      </c>
    </row>
    <row r="148">
      <c r="B148" s="667" t="n"/>
      <c r="E148" s="771">
        <f>SUM(E144:E147)</f>
        <v/>
      </c>
      <c r="F148" s="37" t="n"/>
      <c r="G148" s="667">
        <f>SUM(G144:G147)</f>
        <v/>
      </c>
      <c r="H148" s="37" t="n"/>
      <c r="J148" s="667" t="n"/>
      <c r="M148" s="872">
        <f>SUM(M144:M147)</f>
        <v/>
      </c>
      <c r="N148" s="37" t="n"/>
      <c r="O148" s="667">
        <f>SUM(O144:O147)</f>
        <v/>
      </c>
      <c r="P148" s="37" t="n"/>
    </row>
    <row r="149" ht="15.75" customHeight="1" thickBot="1">
      <c r="B149" s="34" t="n"/>
      <c r="F149" s="35" t="n"/>
      <c r="G149" s="667" t="n"/>
      <c r="H149" s="35" t="n"/>
      <c r="J149" s="34" t="n"/>
      <c r="N149" s="35" t="n"/>
      <c r="O149" s="667" t="n"/>
      <c r="P149" s="35" t="n"/>
    </row>
    <row r="150" ht="15.75" customHeight="1" thickBot="1">
      <c r="B150" s="667" t="inlineStr">
        <is>
          <t>Line 260</t>
        </is>
      </c>
      <c r="C150" s="36">
        <f>(_xlfn.XLOOKUP(MainClient,Clients!D:D,Clients!GJC:GJC,2,0,1))</f>
        <v/>
      </c>
      <c r="F150" s="35" t="n"/>
      <c r="G150" s="34">
        <f>IF(E173&gt;E146,"other transferable credits","DTC Only")</f>
        <v/>
      </c>
      <c r="H150" s="35" t="n"/>
      <c r="J150" s="667" t="inlineStr">
        <is>
          <t>Line 260</t>
        </is>
      </c>
      <c r="K150" s="36">
        <f>(_xlfn.XLOOKUP(MainClient,Clients!D:D,Clients!HJE:HJE,2,0,1))</f>
        <v/>
      </c>
      <c r="N150" s="35" t="n"/>
      <c r="O150" s="34">
        <f>IF(M173&gt;M146,"other transferable credits","DTC Only")</f>
        <v/>
      </c>
      <c r="P150" s="35" t="n"/>
    </row>
    <row r="151" ht="15.75" customHeight="1" thickBot="1">
      <c r="B151" s="34" t="n"/>
      <c r="F151" s="35" t="n"/>
      <c r="G151" s="34" t="n"/>
      <c r="H151" s="35" t="n"/>
      <c r="J151" s="34" t="n"/>
      <c r="N151" s="35" t="n"/>
      <c r="O151" s="34" t="n"/>
      <c r="P151" s="35" t="n"/>
    </row>
    <row r="152" ht="15" customHeight="1" thickBot="1">
      <c r="B152" s="55" t="inlineStr">
        <is>
          <t>Line 5804</t>
        </is>
      </c>
      <c r="C152" s="36">
        <f>(_xlfn.XLOOKUP(ClientNumber,Clients!D:D,Clients!GRC:GRC,2,0,1))</f>
        <v/>
      </c>
      <c r="F152" s="35" t="n"/>
      <c r="G152" s="34" t="n"/>
      <c r="H152" s="35" t="n"/>
      <c r="J152" s="55" t="inlineStr">
        <is>
          <t>Line 5804</t>
        </is>
      </c>
      <c r="K152" s="36">
        <f>(_xlfn.XLOOKUP(MainClient,Clients!D:D,Clients!HRE:HRE,2,0,1))</f>
        <v/>
      </c>
      <c r="N152" s="35" t="n"/>
      <c r="O152" s="34" t="n"/>
      <c r="P152" s="35" t="n"/>
    </row>
    <row r="153" ht="15.75" customHeight="1" thickBot="1">
      <c r="B153" s="55" t="inlineStr">
        <is>
          <t>Line 5824</t>
        </is>
      </c>
      <c r="C153" s="36">
        <f>(_xlfn.XLOOKUP(ClientNumber,Clients!D:D,Clients!GRR:GRR,2,0,1))</f>
        <v/>
      </c>
      <c r="F153" s="35" t="n"/>
      <c r="G153" s="34" t="n"/>
      <c r="H153" s="35" t="n"/>
      <c r="J153" s="55" t="inlineStr">
        <is>
          <t>Line 5824</t>
        </is>
      </c>
      <c r="K153" s="36">
        <f>(_xlfn.XLOOKUP(MainClient,Clients!D:D,Clients!HRT:HRT,2,0,1))</f>
        <v/>
      </c>
      <c r="N153" s="35" t="n"/>
      <c r="O153" s="34" t="n"/>
      <c r="P153" s="35" t="n"/>
    </row>
    <row r="154" ht="15.75" customHeight="1" thickBot="1">
      <c r="B154" s="55" t="inlineStr">
        <is>
          <t>Line 5828</t>
        </is>
      </c>
      <c r="C154" s="36">
        <f>(_xlfn.XLOOKUP(ClientNumber,Clients!D:D,Clients!GRS:GRS,2,0,1))</f>
        <v/>
      </c>
      <c r="F154" s="35" t="n"/>
      <c r="G154" s="34" t="n"/>
      <c r="H154" s="35" t="n"/>
      <c r="J154" s="55" t="inlineStr">
        <is>
          <t>Line 5828</t>
        </is>
      </c>
      <c r="K154" s="36">
        <f>(_xlfn.XLOOKUP(MainClient,Clients!D:D,Clients!HRU:HRU,2,0,1))</f>
        <v/>
      </c>
      <c r="N154" s="35" t="n"/>
      <c r="P154" s="35" t="n"/>
    </row>
    <row r="155" ht="15.75" customHeight="1" thickBot="1">
      <c r="B155" s="55" t="inlineStr">
        <is>
          <t>Line 5832</t>
        </is>
      </c>
      <c r="C155" s="36">
        <f>(_xlfn.XLOOKUP(ClientNumber,Clients!D:D,Clients!GRT:GRT,2,0,1))</f>
        <v/>
      </c>
      <c r="F155" s="35" t="n"/>
      <c r="G155" s="34" t="n"/>
      <c r="H155" s="35" t="n"/>
      <c r="J155" s="55" t="inlineStr">
        <is>
          <t>Line 5832</t>
        </is>
      </c>
      <c r="K155" s="36">
        <f>(_xlfn.XLOOKUP(MainClient,Clients!D:D,Clients!HRV:HRV,2,0,1))</f>
        <v/>
      </c>
      <c r="N155" s="35" t="n"/>
      <c r="O155" s="34" t="n"/>
      <c r="P155" s="35" t="n"/>
    </row>
    <row r="156" ht="15.75" customHeight="1" thickBot="1">
      <c r="B156" s="55" t="inlineStr">
        <is>
          <t>Line 5829</t>
        </is>
      </c>
      <c r="C156" s="36">
        <f>(_xlfn.XLOOKUP(ClientNumber,Clients!D:D,Clients!GRU:GRU,2,0,1))</f>
        <v/>
      </c>
      <c r="F156" s="35" t="n"/>
      <c r="G156" s="34" t="n"/>
      <c r="H156" s="35" t="n"/>
      <c r="J156" s="55" t="inlineStr">
        <is>
          <t>Line 5829</t>
        </is>
      </c>
      <c r="K156" s="36">
        <f>(_xlfn.XLOOKUP(MainClient,Clients!D:D,Clients!HRW:HRW,2,0,1))</f>
        <v/>
      </c>
      <c r="N156" s="35" t="n"/>
      <c r="O156" s="34" t="n"/>
      <c r="P156" s="35" t="n"/>
    </row>
    <row r="157" ht="15.75" customHeight="1" thickBot="1">
      <c r="B157" s="55" t="inlineStr">
        <is>
          <t>Line  5856</t>
        </is>
      </c>
      <c r="C157" s="36">
        <f>(_xlfn.XLOOKUP(ClientNumber,Clients!D:D,Clients!GSJ:GSJ,2,0,1))</f>
        <v/>
      </c>
      <c r="F157" s="35" t="n"/>
      <c r="G157" s="34" t="n"/>
      <c r="H157" s="35" t="n"/>
      <c r="J157" s="55" t="inlineStr">
        <is>
          <t>Line  5856</t>
        </is>
      </c>
      <c r="K157" s="36">
        <f>(_xlfn.XLOOKUP(MainClient,Clients!D:D,Clients!HSL:HSL,2,0,1))</f>
        <v/>
      </c>
      <c r="N157" s="35" t="n"/>
      <c r="O157" s="34" t="n"/>
      <c r="P157" s="35" t="n"/>
    </row>
    <row r="158" ht="15.75" customHeight="1" thickBot="1">
      <c r="B158" s="55" t="n"/>
      <c r="C158" s="36" t="n"/>
      <c r="F158" s="35" t="n"/>
      <c r="G158" s="34" t="n"/>
      <c r="H158" s="35" t="n"/>
      <c r="J158" s="55" t="n"/>
      <c r="K158" s="36" t="n"/>
      <c r="N158" s="35" t="n"/>
      <c r="O158" s="34" t="n"/>
      <c r="P158" s="35" t="n"/>
    </row>
    <row r="159" ht="15.75" customHeight="1" thickBot="1">
      <c r="B159" s="55" t="n"/>
      <c r="C159" s="36" t="n"/>
      <c r="F159" s="35" t="n"/>
      <c r="G159" s="34" t="n"/>
      <c r="H159" s="35" t="n"/>
      <c r="J159" s="55" t="n"/>
      <c r="K159" s="36" t="n"/>
      <c r="N159" s="35" t="n"/>
      <c r="O159" s="34" t="n"/>
      <c r="P159" s="35" t="n"/>
    </row>
    <row r="160" ht="15.75" customHeight="1" thickBot="1">
      <c r="B160" s="55" t="n"/>
      <c r="C160" s="36" t="n"/>
      <c r="F160" s="35" t="n"/>
      <c r="G160" s="34" t="n"/>
      <c r="H160" s="35" t="n"/>
      <c r="J160" s="55" t="n"/>
      <c r="K160" s="36" t="n"/>
      <c r="N160" s="35" t="n"/>
      <c r="O160" s="34" t="n"/>
      <c r="P160" s="35" t="n"/>
    </row>
    <row r="161" ht="15.75" customHeight="1" thickBot="1">
      <c r="B161" s="55" t="n"/>
      <c r="C161" s="36" t="n"/>
      <c r="F161" s="35" t="n"/>
      <c r="G161" s="34" t="n"/>
      <c r="H161" s="35" t="n"/>
      <c r="J161" s="55" t="n"/>
      <c r="K161" s="36" t="n"/>
      <c r="N161" s="35" t="n"/>
      <c r="O161" s="34" t="n"/>
      <c r="P161" s="35" t="n"/>
    </row>
    <row r="162" ht="15.75" customHeight="1" thickBot="1">
      <c r="B162" s="55" t="n"/>
      <c r="C162" s="36" t="n"/>
      <c r="F162" s="35" t="n"/>
      <c r="G162" s="34" t="inlineStr">
        <is>
          <t>Line 326</t>
        </is>
      </c>
      <c r="H162" s="35">
        <f>IF(TransferName="NONE",0,(_xlfn.XLOOKUP(TransferNumber,Clients!D:D,Clients!GKB:GKB,2,0,1)))</f>
        <v/>
      </c>
      <c r="J162" s="55" t="n"/>
      <c r="K162" s="36" t="n"/>
      <c r="N162" s="35" t="n"/>
      <c r="O162" s="34" t="inlineStr">
        <is>
          <t>Line 326</t>
        </is>
      </c>
      <c r="P162" s="35">
        <f>IFERROR(_xlfn.XLOOKUP(TransferNumber,Clients!D:D,Clients!FJZ:FJZ,2,0,1),0)</f>
        <v/>
      </c>
    </row>
    <row r="163" ht="15.75" customHeight="1" thickBot="1">
      <c r="B163" s="55" t="n"/>
      <c r="C163" s="36" t="n"/>
      <c r="F163" s="35" t="n"/>
      <c r="G163" s="34" t="n"/>
      <c r="H163" s="35" t="n"/>
      <c r="J163" s="38" t="n"/>
      <c r="K163" s="36" t="n"/>
      <c r="N163" s="35" t="n"/>
      <c r="O163" s="34" t="n"/>
      <c r="P163" s="35" t="n"/>
    </row>
    <row r="164" ht="15.75" customHeight="1" thickBot="1">
      <c r="B164" s="38" t="n"/>
      <c r="C164" s="36" t="n"/>
      <c r="F164" s="35" t="n"/>
      <c r="G164" s="34" t="n"/>
      <c r="H164" s="35" t="n"/>
      <c r="J164" s="38" t="n"/>
      <c r="K164" s="36" t="n"/>
      <c r="N164" s="35" t="n"/>
      <c r="O164" s="34" t="n"/>
      <c r="P164" s="35" t="n"/>
    </row>
    <row r="165" ht="15.75" customHeight="1" thickBot="1">
      <c r="B165" s="38" t="n"/>
      <c r="C165" s="36" t="n"/>
      <c r="F165" s="35" t="n"/>
      <c r="G165" s="34" t="n"/>
      <c r="H165" s="35" t="n"/>
      <c r="J165" s="38" t="n"/>
      <c r="K165" s="36" t="n"/>
      <c r="N165" s="35" t="n"/>
      <c r="O165" s="34" t="n"/>
      <c r="P165" s="35" t="n"/>
    </row>
    <row r="166" ht="15.75" customHeight="1" thickBot="1">
      <c r="B166" s="38" t="n"/>
      <c r="C166" s="36" t="n"/>
      <c r="F166" s="35" t="n"/>
      <c r="G166" s="34" t="n"/>
      <c r="H166" s="35">
        <f>IF(E171&gt;0,E148-G148,0)</f>
        <v/>
      </c>
      <c r="J166" s="38" t="n"/>
      <c r="K166" s="36" t="n"/>
      <c r="N166" s="35" t="n"/>
      <c r="O166" s="34" t="n"/>
      <c r="P166" s="35">
        <f>IF(M171&gt;0,M148-O148,0)</f>
        <v/>
      </c>
    </row>
    <row r="167" ht="15.75" customHeight="1" thickBot="1">
      <c r="B167" s="38" t="n"/>
      <c r="C167" s="36" t="n"/>
      <c r="F167" s="35" t="n"/>
      <c r="H167" s="65">
        <f>IF(TransferName="NONE",F172,IF(H166&gt;0,(E171-G148)*0.0968,0))</f>
        <v/>
      </c>
      <c r="J167" s="38" t="n"/>
      <c r="K167" s="36" t="n"/>
      <c r="N167" s="35" t="n"/>
      <c r="P167" s="65">
        <f>IF(TransferName="NONE",N172,IF(P166&gt;0,(M171-O148)*0.0968,0))</f>
        <v/>
      </c>
    </row>
    <row r="168">
      <c r="B168" s="667" t="n"/>
      <c r="F168" s="35" t="n"/>
      <c r="G168" s="34" t="inlineStr">
        <is>
          <t>Transferable</t>
        </is>
      </c>
      <c r="H168" s="65">
        <f>IF(H167&gt;0,H167,0)</f>
        <v/>
      </c>
      <c r="J168" s="667" t="n"/>
      <c r="N168" s="35" t="n"/>
      <c r="O168" s="34" t="inlineStr">
        <is>
          <t>Transferable</t>
        </is>
      </c>
      <c r="P168" s="65">
        <f>IF(P167&gt;0,P167,0)</f>
        <v/>
      </c>
    </row>
    <row r="169">
      <c r="B169" s="667" t="inlineStr">
        <is>
          <t>Adjusted Taxable Income</t>
        </is>
      </c>
      <c r="C169">
        <f>C150-(SUM(C152:C167))</f>
        <v/>
      </c>
      <c r="D169" s="13" t="inlineStr">
        <is>
          <t>Line 5864</t>
        </is>
      </c>
      <c r="E169" s="39">
        <f>IF(C169&gt;0,C169,0)</f>
        <v/>
      </c>
      <c r="F169" s="35" t="n"/>
      <c r="G169" s="34" t="n"/>
      <c r="H169" s="35" t="n"/>
      <c r="J169" s="667" t="inlineStr">
        <is>
          <t>Adjusted Taxable Income</t>
        </is>
      </c>
      <c r="K169">
        <f>K150-(SUM(K152:K167))</f>
        <v/>
      </c>
      <c r="L169" s="13" t="inlineStr">
        <is>
          <t>Line 5864</t>
        </is>
      </c>
      <c r="M169" s="39">
        <f>IF(K169&gt;0,K169,0)</f>
        <v/>
      </c>
      <c r="N169" s="35" t="n"/>
      <c r="O169" s="34" t="n"/>
      <c r="P169" s="35" t="n"/>
    </row>
    <row r="170" ht="15.75" customHeight="1" thickBot="1">
      <c r="B170" s="34" t="n"/>
      <c r="F170" s="35" t="n"/>
      <c r="G170" s="34" t="n"/>
      <c r="H170" s="35" t="n"/>
      <c r="J170" s="34" t="n"/>
      <c r="N170" s="35" t="n"/>
      <c r="O170" s="34" t="n"/>
      <c r="P170" s="35" t="n"/>
    </row>
    <row r="171" ht="15.75" customHeight="1" thickBot="1">
      <c r="B171" s="34" t="n"/>
      <c r="D171" s="21" t="inlineStr">
        <is>
          <t>Prov Trans</t>
        </is>
      </c>
      <c r="E171" s="36">
        <f>(E148-E169)</f>
        <v/>
      </c>
      <c r="F171" s="40" t="n"/>
      <c r="G171" s="34" t="n"/>
      <c r="H171" s="52" t="n"/>
      <c r="J171" s="34" t="n"/>
      <c r="L171" s="21" t="inlineStr">
        <is>
          <t>Prov Trans</t>
        </is>
      </c>
      <c r="M171" s="36">
        <f>(M148-M169)</f>
        <v/>
      </c>
      <c r="N171" s="40" t="n"/>
      <c r="O171" s="34" t="n"/>
      <c r="P171" s="52" t="n"/>
    </row>
    <row r="172" ht="15.75" customHeight="1" thickBot="1">
      <c r="B172" s="34" t="n"/>
      <c r="C172" s="579" t="inlineStr">
        <is>
          <t>DTC Transferable ESTIMATE</t>
        </is>
      </c>
      <c r="D172" s="35" t="n"/>
      <c r="E172" s="36">
        <f>IF(E171&lt;0,0,(IF(E171&gt;E146,E146,E171)))</f>
        <v/>
      </c>
      <c r="F172" s="40">
        <f>IF(E172&gt;0,E172*0.0968,"No Transfer Required")</f>
        <v/>
      </c>
      <c r="G172" s="58" t="n"/>
      <c r="H172" s="52" t="n"/>
      <c r="J172" s="34" t="n"/>
      <c r="K172" s="579" t="inlineStr">
        <is>
          <t>DTC Transferable ESTIMATE</t>
        </is>
      </c>
      <c r="L172" s="35" t="n"/>
      <c r="M172" s="36">
        <f>IF(M171&lt;0,0,(IF(M171&gt;M146,M146,M171)))</f>
        <v/>
      </c>
      <c r="N172" s="40">
        <f>IF(M172&gt;0,M172*0.0968,"No Transfer Required")</f>
        <v/>
      </c>
      <c r="O172" s="58" t="n"/>
      <c r="P172" s="52" t="n"/>
    </row>
    <row r="173" ht="15.75" customHeight="1" thickBot="1">
      <c r="B173" s="42" t="n"/>
      <c r="C173" s="41" t="n"/>
      <c r="D173" s="43" t="inlineStr">
        <is>
          <t>Net Transferable</t>
        </is>
      </c>
      <c r="E173" s="36">
        <f>IF(E171&lt;0,0,(IF(E171-G144-G145-G147&lt;0,E171,(E171-G144-G145-G147))))</f>
        <v/>
      </c>
      <c r="F173" s="57">
        <f>IF(E173&gt;0,E173*0.0968,"0")</f>
        <v/>
      </c>
      <c r="G173" s="59" t="n"/>
      <c r="H173" s="864" t="n"/>
      <c r="J173" s="42" t="n"/>
      <c r="K173" s="41" t="n"/>
      <c r="L173" s="43" t="inlineStr">
        <is>
          <t>Net Transferable</t>
        </is>
      </c>
      <c r="M173" s="36">
        <f>IF(M171&lt;0,0,(IF(M171-O144-O145-O147&lt;0,M171,(M171-O144-O145-O147))))</f>
        <v/>
      </c>
      <c r="N173" s="57">
        <f>IF(M173&gt;0,M173*0.0968,"0")</f>
        <v/>
      </c>
      <c r="O173" s="59" t="n"/>
      <c r="P173" s="864" t="n"/>
    </row>
    <row r="174">
      <c r="D174" s="60" t="n"/>
      <c r="F174" s="61" t="n"/>
      <c r="G174" s="449" t="n"/>
      <c r="H174" s="866" t="n"/>
      <c r="L174" s="60" t="n"/>
      <c r="N174" s="866" t="n"/>
      <c r="O174" s="64" t="n"/>
      <c r="P174" s="866" t="n"/>
    </row>
    <row r="175" ht="15.75" customHeight="1" thickBot="1">
      <c r="E175">
        <f>Calculator!$D$5</f>
        <v/>
      </c>
      <c r="H175">
        <f>TransferName</f>
        <v/>
      </c>
      <c r="M175">
        <f>Calculator!$D$5</f>
        <v/>
      </c>
      <c r="P175">
        <f>TransferName</f>
        <v/>
      </c>
    </row>
    <row r="176" ht="15.75" customHeight="1" thickBot="1">
      <c r="B176" s="875" t="inlineStr">
        <is>
          <t>2014 NEW BRUNSWICK Provincial</t>
        </is>
      </c>
      <c r="C176" s="778" t="n"/>
      <c r="D176" s="778" t="n"/>
      <c r="E176" s="778" t="n"/>
      <c r="F176" s="778" t="n"/>
      <c r="G176" s="778" t="n"/>
      <c r="H176" s="780" t="n"/>
      <c r="J176" s="875" t="inlineStr">
        <is>
          <t>2013 NEW BRUNSWICK Provincial</t>
        </is>
      </c>
      <c r="K176" s="778" t="n"/>
      <c r="L176" s="778" t="n"/>
      <c r="M176" s="778" t="n"/>
      <c r="N176" s="778" t="n"/>
      <c r="O176" s="778" t="n"/>
      <c r="P176" s="780" t="n"/>
    </row>
    <row r="177" ht="15.75" customHeight="1" thickBot="1">
      <c r="B177" s="34" t="n"/>
      <c r="D177" t="inlineStr">
        <is>
          <t>Line</t>
        </is>
      </c>
      <c r="E177" t="inlineStr">
        <is>
          <t>Amt</t>
        </is>
      </c>
      <c r="F177" s="35" t="n"/>
      <c r="G177" s="667" t="inlineStr">
        <is>
          <t>Spouse</t>
        </is>
      </c>
      <c r="H177" s="35" t="inlineStr">
        <is>
          <t>S2 Adjustment</t>
        </is>
      </c>
      <c r="J177" s="34" t="n"/>
      <c r="L177" t="inlineStr">
        <is>
          <t>Line</t>
        </is>
      </c>
      <c r="M177" t="inlineStr">
        <is>
          <t>Amt</t>
        </is>
      </c>
      <c r="N177" s="35" t="n"/>
      <c r="O177" s="34" t="inlineStr">
        <is>
          <t>Spouse</t>
        </is>
      </c>
      <c r="P177" s="35" t="inlineStr">
        <is>
          <t>S2 Adjustment</t>
        </is>
      </c>
    </row>
    <row r="178" ht="15.75" customHeight="1" thickBot="1">
      <c r="B178" s="667" t="inlineStr">
        <is>
          <t>Age Amount</t>
        </is>
      </c>
      <c r="D178" t="inlineStr">
        <is>
          <t>Line 5808</t>
        </is>
      </c>
      <c r="E178" s="861">
        <f>(_xlfn.XLOOKUP(ClientNumber,Clients!D:D,Clients!IRH:IRH,2,0,1))</f>
        <v/>
      </c>
      <c r="F178" s="37" t="inlineStr">
        <is>
          <t>Line 59020</t>
        </is>
      </c>
      <c r="G178" s="51">
        <f>IF(TransferName="NONE",0,(_xlfn.XLOOKUP(TransferNumber,Clients!D:D,Clients!ITJ:ITJ,2,0,1)))</f>
        <v/>
      </c>
      <c r="H178" s="37">
        <f>IF(AND(E178&gt;0,G178=0),"Age Amount Can Be Transferred","No Action")</f>
        <v/>
      </c>
      <c r="J178" s="667" t="inlineStr">
        <is>
          <t>Age Amount</t>
        </is>
      </c>
      <c r="L178" t="inlineStr">
        <is>
          <t>Line 5808</t>
        </is>
      </c>
      <c r="M178" s="865">
        <f>(_xlfn.XLOOKUP(MainClient,Clients!D:D,Clients!JRJ:JRJ,2,0,1))</f>
        <v/>
      </c>
      <c r="N178" s="45" t="inlineStr">
        <is>
          <t>Line 59020</t>
        </is>
      </c>
      <c r="O178" s="51">
        <f>IF(TransferName="NONE",0,(_xlfn.XLOOKUP(TransferNumber,Clients!D:D,Clients!JTL:JTL,2,0,1)))</f>
        <v/>
      </c>
      <c r="P178" s="37">
        <f>IF(AND(M178&gt;0,O178=0),"Age Amount Can Be Transferred","No Action")</f>
        <v/>
      </c>
    </row>
    <row r="179" ht="15.75" customHeight="1" thickBot="1">
      <c r="B179" s="667" t="inlineStr">
        <is>
          <t>Pension Income Amount</t>
        </is>
      </c>
      <c r="D179" t="inlineStr">
        <is>
          <t>Line 5836 (mx 1000)</t>
        </is>
      </c>
      <c r="E179" s="861">
        <f>IF((_xlfn.XLOOKUP(ClientNumber,Clients!D:D,Clients!ISH:ISH,2,0,1)&lt;1000),(_xlfn.XLOOKUP(MainClient,Clients!D:D,Clients!ISH:ISH,2,0,1)),1000)</f>
        <v/>
      </c>
      <c r="F179" s="37" t="inlineStr">
        <is>
          <t>Line 59050</t>
        </is>
      </c>
      <c r="G179" s="51">
        <f>IF(TransferName="NONE",0,(_xlfn.XLOOKUP(TransferNumber,Clients!D:D,Clients!ITM:ITM,2,0,1)))</f>
        <v/>
      </c>
      <c r="H179" s="37">
        <f>IF(AND(E179&gt;0,G179=0),"Pension Income Amount Can Be Transferred","No Action")</f>
        <v/>
      </c>
      <c r="J179" s="667" t="inlineStr">
        <is>
          <t>Pension Income Amount</t>
        </is>
      </c>
      <c r="L179" t="inlineStr">
        <is>
          <t>Line 5836 (mx 1000)</t>
        </is>
      </c>
      <c r="M179" s="865">
        <f>IF((_xlfn.XLOOKUP(ClientNumber,Clients!D:D,Clients!JSJ:JSJ,2,0,1)&lt;1000),(_xlfn.XLOOKUP(MainClient,Clients!D:D,Clients!JSJ:JSJ,2,0,1)),1000)</f>
        <v/>
      </c>
      <c r="N179" s="45" t="inlineStr">
        <is>
          <t>Line 59050</t>
        </is>
      </c>
      <c r="O179" s="51">
        <f>IF(TransferName="NONE",0,(_xlfn.XLOOKUP(TransferNumber,Clients!D:D,Clients!JTO:JTO,2,0,1)))</f>
        <v/>
      </c>
      <c r="P179" s="37">
        <f>IF(AND(M179&gt;0,O179=0),"Pension Income Amount Can Be Transferred","No Action")</f>
        <v/>
      </c>
    </row>
    <row r="180" ht="15.75" customHeight="1" thickBot="1">
      <c r="B180" s="667" t="inlineStr">
        <is>
          <t>Disability Amount</t>
        </is>
      </c>
      <c r="D180" t="inlineStr">
        <is>
          <t xml:space="preserve">Line 5844 </t>
        </is>
      </c>
      <c r="E180" s="861">
        <f>IF(_xlfn.XLOOKUP(ClientNumber,Clients!D:D,Clients!ISJ:ISJ,2,0,1)=0,7668,(_xlfn.XLOOKUP(MainClient,Clients!D:D,Clients!ISJ:ISJ,2,0,1)))</f>
        <v/>
      </c>
      <c r="F180" s="37" t="inlineStr">
        <is>
          <t>Line 59070</t>
        </is>
      </c>
      <c r="G180" s="51">
        <f>IF(TransferName="NONE",0,(_xlfn.XLOOKUP(TransferNumber,Clients!D:D,Clients!ITN:ITN,2,0,1)))</f>
        <v/>
      </c>
      <c r="H180" s="37">
        <f>IF(AND(E180&gt;0,G180=0),"DTC Transferable Not Claimed Can Be Transferred","No Action")</f>
        <v/>
      </c>
      <c r="J180" s="667" t="inlineStr">
        <is>
          <t>Disability Amount</t>
        </is>
      </c>
      <c r="L180" t="inlineStr">
        <is>
          <t xml:space="preserve">Line 5844 </t>
        </is>
      </c>
      <c r="M180" s="865">
        <f>IF(_xlfn.XLOOKUP(ClientNumber,Clients!D:D,Clients!JSL:JSL,2,0,1)=0,7600,(_xlfn.XLOOKUP(MainClient,Clients!D:D,Clients!JSL:JSL,2,0,1)))</f>
        <v/>
      </c>
      <c r="N180" s="45" t="inlineStr">
        <is>
          <t>Line 59070</t>
        </is>
      </c>
      <c r="O180" s="51">
        <f>IF(TransferName="NONE",0,(_xlfn.XLOOKUP(TransferNumber,Clients!D:D,Clients!JTP:JTP,2,0,1)))</f>
        <v/>
      </c>
      <c r="P180" s="37">
        <f>IF(AND(M180&gt;0,O180=0),"DTC Transferable Not Claimed Can Be Transferred","No Action")</f>
        <v/>
      </c>
    </row>
    <row r="181" ht="15.75" customHeight="1" thickBot="1">
      <c r="B181" s="667" t="inlineStr">
        <is>
          <t>Tuition Amount</t>
        </is>
      </c>
      <c r="D181" t="inlineStr">
        <is>
          <t>Line 5920</t>
        </is>
      </c>
      <c r="E181" s="861">
        <f>(_xlfn.XLOOKUP(ClientNumber,Clients!D:D,Clients!ITZ:ITZ,2,0,1))</f>
        <v/>
      </c>
      <c r="F181" s="37" t="inlineStr">
        <is>
          <t>Line 59090</t>
        </is>
      </c>
      <c r="G181" s="51">
        <f>IF(TransferName="NONE",0,(_xlfn.XLOOKUP(TransferNumber,Clients!D:D,Clients!ITO:ITO,2,0,1)))</f>
        <v/>
      </c>
      <c r="H181" s="37">
        <f>IF(AND(E181&gt;0,G181=0),"Tuition Can Be Transferred","No Action")</f>
        <v/>
      </c>
      <c r="J181" s="667" t="inlineStr">
        <is>
          <t>Tuition Amount</t>
        </is>
      </c>
      <c r="L181" t="inlineStr">
        <is>
          <t>Line 5920</t>
        </is>
      </c>
      <c r="M181" s="865">
        <f>(_xlfn.XLOOKUP(MainClient,Clients!D:D,Clients!JTZ:JTZ,2,0,1))</f>
        <v/>
      </c>
      <c r="N181" s="45" t="inlineStr">
        <is>
          <t>Line 59090</t>
        </is>
      </c>
      <c r="O181" s="51">
        <f>IF(TransferName="NONE",0,(_xlfn.XLOOKUP(TransferNumber,Clients!D:D,Clients!JTR:JTR,2,0,1)))</f>
        <v/>
      </c>
      <c r="P181" s="37">
        <f>IF(AND(M181&gt;0,O181=0),"Tuition Can Be Transferred","No Action")</f>
        <v/>
      </c>
    </row>
    <row r="182">
      <c r="B182" s="667" t="n"/>
      <c r="E182" s="771">
        <f>SUM(E178:E181)</f>
        <v/>
      </c>
      <c r="F182" s="37" t="n"/>
      <c r="G182" s="667">
        <f>SUM(G178:G181)</f>
        <v/>
      </c>
      <c r="H182" s="37" t="n"/>
      <c r="J182" s="667" t="n"/>
      <c r="M182" s="872">
        <f>SUM(M178:M181)</f>
        <v/>
      </c>
      <c r="N182" s="37" t="n"/>
      <c r="O182" s="667">
        <f>SUM(O178:O181)</f>
        <v/>
      </c>
      <c r="P182" s="37" t="n"/>
    </row>
    <row r="183" ht="15.75" customHeight="1" thickBot="1">
      <c r="B183" s="34" t="n"/>
      <c r="F183" s="35" t="n"/>
      <c r="G183" s="667" t="n"/>
      <c r="H183" s="35" t="n"/>
      <c r="J183" s="34" t="n"/>
      <c r="N183" s="35" t="n"/>
      <c r="O183" s="667" t="n"/>
      <c r="P183" s="35" t="n"/>
    </row>
    <row r="184" ht="15.75" customHeight="1" thickBot="1">
      <c r="B184" s="667" t="inlineStr">
        <is>
          <t>Line 260</t>
        </is>
      </c>
      <c r="C184" s="36">
        <f>(_xlfn.XLOOKUP(MainClient,Clients!D:D,Clients!IJG:IJG,2,0,1))</f>
        <v/>
      </c>
      <c r="F184" s="35" t="n"/>
      <c r="G184" s="34">
        <f>IF(E207&gt;E180,"other transferable credits","DTC Only")</f>
        <v/>
      </c>
      <c r="H184" s="35" t="n"/>
      <c r="J184" s="667" t="inlineStr">
        <is>
          <t>Line 260</t>
        </is>
      </c>
      <c r="K184" s="36">
        <f>(_xlfn.XLOOKUP(MainClient,Clients!D:D,Clients!JJI:JJI,2,0,1))</f>
        <v/>
      </c>
      <c r="N184" s="35" t="n"/>
      <c r="O184" s="34">
        <f>IF(M207&gt;M180,"other transferable credits","DTC Only")</f>
        <v/>
      </c>
      <c r="P184" s="35" t="n"/>
    </row>
    <row r="185" ht="15.75" customHeight="1" thickBot="1">
      <c r="B185" s="34" t="n"/>
      <c r="F185" s="35" t="n"/>
      <c r="G185" s="34" t="n"/>
      <c r="H185" s="35" t="n"/>
      <c r="J185" s="34" t="n"/>
      <c r="N185" s="35" t="n"/>
      <c r="O185" s="34" t="n"/>
      <c r="P185" s="35" t="n"/>
    </row>
    <row r="186" ht="15.75" customHeight="1" thickBot="1">
      <c r="B186" s="55" t="inlineStr">
        <is>
          <t>Line 5804</t>
        </is>
      </c>
      <c r="C186" s="36">
        <f>(_xlfn.XLOOKUP(ClientNumber,Clients!D:D,Clients!IRG:IRG,2,0,1))</f>
        <v/>
      </c>
      <c r="F186" s="35" t="n"/>
      <c r="G186" s="34" t="n"/>
      <c r="H186" s="35" t="n"/>
      <c r="J186" s="55" t="inlineStr">
        <is>
          <t>Line 5804</t>
        </is>
      </c>
      <c r="K186" s="36">
        <f>(_xlfn.XLOOKUP(MainClient,Clients!D:D,Clients!JRI:JRI,2,0,1))</f>
        <v/>
      </c>
      <c r="N186" s="35" t="n"/>
      <c r="O186" s="34" t="n"/>
      <c r="P186" s="35" t="n"/>
    </row>
    <row r="187" ht="15.75" customHeight="1" thickBot="1">
      <c r="B187" s="55" t="inlineStr">
        <is>
          <t>Line 5824</t>
        </is>
      </c>
      <c r="C187" s="36">
        <f>(_xlfn.XLOOKUP(ClientNumber,Clients!D:D,Clients!IRV:IRV,2,0,1))</f>
        <v/>
      </c>
      <c r="F187" s="35" t="n"/>
      <c r="G187" s="34" t="n"/>
      <c r="H187" s="35" t="n"/>
      <c r="J187" s="55" t="inlineStr">
        <is>
          <t>Line 5824</t>
        </is>
      </c>
      <c r="K187" s="36">
        <f>(_xlfn.XLOOKUP(MainClient,Clients!D:D,Clients!JRX:JRX,2,0,1))</f>
        <v/>
      </c>
      <c r="N187" s="35" t="n"/>
      <c r="O187" s="34" t="n"/>
      <c r="P187" s="35" t="n"/>
    </row>
    <row r="188" ht="15.75" customHeight="1" thickBot="1">
      <c r="B188" s="55" t="inlineStr">
        <is>
          <t>Line 5828</t>
        </is>
      </c>
      <c r="C188" s="36">
        <f>(_xlfn.XLOOKUP(ClientNumber,Clients!D:D,Clients!IRW:IRW,2,0,1))</f>
        <v/>
      </c>
      <c r="F188" s="35" t="n"/>
      <c r="G188" s="34" t="n"/>
      <c r="H188" s="35" t="n"/>
      <c r="J188" s="55" t="inlineStr">
        <is>
          <t>Line 5828</t>
        </is>
      </c>
      <c r="K188" s="36">
        <f>(_xlfn.XLOOKUP(MainClient,Clients!D:D,Clients!JRY:JRY,2,0,1))</f>
        <v/>
      </c>
      <c r="N188" s="35" t="n"/>
      <c r="P188" s="35" t="n"/>
    </row>
    <row r="189" ht="15.75" customHeight="1" thickBot="1">
      <c r="B189" s="55" t="inlineStr">
        <is>
          <t>Line 5832</t>
        </is>
      </c>
      <c r="C189" s="36">
        <f>(_xlfn.XLOOKUP(ClientNumber,Clients!D:D,Clients!IRX:IRX,2,0,1))</f>
        <v/>
      </c>
      <c r="F189" s="35" t="n"/>
      <c r="G189" s="34" t="n"/>
      <c r="H189" s="35" t="n"/>
      <c r="J189" s="55" t="inlineStr">
        <is>
          <t>Line 5832</t>
        </is>
      </c>
      <c r="K189" s="36">
        <f>(_xlfn.XLOOKUP(MainClient,Clients!D:D,Clients!JRZ:JRZ,2,0,1))</f>
        <v/>
      </c>
      <c r="N189" s="35" t="n"/>
      <c r="O189" s="34" t="n"/>
      <c r="P189" s="35" t="n"/>
    </row>
    <row r="190" ht="15.75" customHeight="1" thickBot="1">
      <c r="B190" s="55" t="inlineStr">
        <is>
          <t>Line 5829</t>
        </is>
      </c>
      <c r="C190" s="36">
        <f>(_xlfn.XLOOKUP(ClientNumber,Clients!D:D,Clients!IRY:IRY,2,0,1))</f>
        <v/>
      </c>
      <c r="F190" s="35" t="n"/>
      <c r="G190" s="34" t="n"/>
      <c r="H190" s="35" t="n"/>
      <c r="J190" s="55" t="inlineStr">
        <is>
          <t>Line 5829</t>
        </is>
      </c>
      <c r="K190" s="36">
        <f>(_xlfn.XLOOKUP(MainClient,Clients!D:D,Clients!JSA:JSA,2,0,1))</f>
        <v/>
      </c>
      <c r="N190" s="35" t="n"/>
      <c r="O190" s="34" t="n"/>
      <c r="P190" s="35" t="n"/>
    </row>
    <row r="191" ht="15.75" customHeight="1" thickBot="1">
      <c r="B191" s="55" t="inlineStr">
        <is>
          <t>Line 5856</t>
        </is>
      </c>
      <c r="C191" s="36">
        <f>(_xlfn.XLOOKUP(ClientNumber,Clients!D:D,Clients!ISN:ISN,2,0,1))</f>
        <v/>
      </c>
      <c r="F191" s="35" t="n"/>
      <c r="G191" s="34" t="n"/>
      <c r="H191" s="35" t="n"/>
      <c r="J191" s="55" t="inlineStr">
        <is>
          <t>Line 5856</t>
        </is>
      </c>
      <c r="K191" s="36">
        <f>(_xlfn.XLOOKUP(MainClient,Clients!D:D,Clients!JSP:JSP,2,0,1))</f>
        <v/>
      </c>
      <c r="N191" s="35" t="n"/>
      <c r="O191" s="34" t="n"/>
      <c r="P191" s="35" t="n"/>
    </row>
    <row r="192" ht="15.75" customHeight="1" thickBot="1">
      <c r="B192" s="55" t="n"/>
      <c r="C192" s="36" t="n"/>
      <c r="F192" s="35" t="n"/>
      <c r="G192" s="34" t="n"/>
      <c r="H192" s="35" t="n"/>
      <c r="J192" s="55" t="n"/>
      <c r="K192" s="36" t="n"/>
      <c r="N192" s="35" t="n"/>
      <c r="O192" s="34" t="n"/>
      <c r="P192" s="35" t="n"/>
    </row>
    <row r="193" ht="15.75" customHeight="1" thickBot="1">
      <c r="B193" s="55" t="n"/>
      <c r="C193" s="36" t="n"/>
      <c r="F193" s="35" t="n"/>
      <c r="G193" s="34" t="n"/>
      <c r="H193" s="35" t="n"/>
      <c r="J193" s="55" t="n"/>
      <c r="K193" s="36" t="n"/>
      <c r="N193" s="35" t="n"/>
      <c r="O193" s="34" t="n"/>
      <c r="P193" s="35" t="n"/>
    </row>
    <row r="194" ht="15.75" customHeight="1" thickBot="1">
      <c r="B194" s="55" t="n"/>
      <c r="C194" s="36" t="n"/>
      <c r="F194" s="35" t="n"/>
      <c r="G194" s="34" t="n"/>
      <c r="H194" s="35" t="n"/>
      <c r="J194" s="55" t="n"/>
      <c r="K194" s="36" t="n"/>
      <c r="N194" s="35" t="n"/>
      <c r="O194" s="34" t="n"/>
      <c r="P194" s="35" t="n"/>
    </row>
    <row r="195" ht="15.75" customHeight="1" thickBot="1">
      <c r="B195" s="55" t="n"/>
      <c r="C195" s="36" t="n"/>
      <c r="F195" s="35" t="n"/>
      <c r="G195" s="34" t="n"/>
      <c r="H195" s="35" t="n"/>
      <c r="J195" s="55" t="n"/>
      <c r="K195" s="36" t="n"/>
      <c r="N195" s="35" t="n"/>
      <c r="O195" s="34" t="n"/>
      <c r="P195" s="35" t="n"/>
    </row>
    <row r="196" ht="15.75" customHeight="1" thickBot="1">
      <c r="B196" s="38" t="n"/>
      <c r="C196" s="36" t="n"/>
      <c r="F196" s="35" t="n"/>
      <c r="G196" s="34" t="inlineStr">
        <is>
          <t>Line 326</t>
        </is>
      </c>
      <c r="H196" s="35">
        <f>IF(TransferName="NONE",0,(_xlfn.XLOOKUP(TransferNumber,Clients!D:D,Clients!IKF:IKF,2,0,1)))</f>
        <v/>
      </c>
      <c r="J196" s="38" t="n"/>
      <c r="K196" s="36" t="n"/>
      <c r="N196" s="35" t="n"/>
      <c r="O196" s="34" t="inlineStr">
        <is>
          <t>Line 326</t>
        </is>
      </c>
      <c r="P196" s="35">
        <f>IFERROR(_xlfn.XLOOKUP(TransferNumber,Clients!D:D,Clients!JKH:JKH,2,0,1),0)</f>
        <v/>
      </c>
    </row>
    <row r="197" ht="15.75" customHeight="1" thickBot="1">
      <c r="A197" s="55" t="n"/>
      <c r="B197" s="38" t="n"/>
      <c r="C197" s="36" t="n"/>
      <c r="F197" s="35" t="n"/>
      <c r="G197" s="34" t="n"/>
      <c r="H197" s="35" t="n"/>
      <c r="J197" s="68" t="n"/>
      <c r="K197" s="36" t="n"/>
      <c r="N197" s="35" t="n"/>
      <c r="O197" s="34" t="n"/>
      <c r="P197" s="35" t="n"/>
    </row>
    <row r="198" ht="15.75" customHeight="1" thickBot="1">
      <c r="B198" s="38" t="n"/>
      <c r="C198" s="36" t="n"/>
      <c r="F198" s="35" t="n"/>
      <c r="G198" s="34" t="n"/>
      <c r="H198" s="35" t="n"/>
      <c r="J198" s="38" t="n"/>
      <c r="K198" s="36" t="n"/>
      <c r="N198" s="35" t="n"/>
      <c r="O198" s="34" t="n"/>
      <c r="P198" s="35" t="n"/>
    </row>
    <row r="199" ht="15.75" customHeight="1" thickBot="1">
      <c r="B199" s="38" t="n"/>
      <c r="C199" s="36" t="n"/>
      <c r="F199" s="35" t="n"/>
      <c r="G199" s="34" t="n"/>
      <c r="H199" s="35" t="n"/>
      <c r="J199" s="38" t="n"/>
      <c r="K199" s="36" t="n"/>
      <c r="N199" s="35" t="n"/>
      <c r="O199" s="34" t="n"/>
      <c r="P199" s="35" t="n"/>
    </row>
    <row r="200" ht="15.75" customHeight="1" thickBot="1">
      <c r="B200" s="38" t="n"/>
      <c r="C200" s="36" t="n"/>
      <c r="F200" s="35" t="n"/>
      <c r="G200" s="34" t="n"/>
      <c r="H200" s="35">
        <f>IF(E205&gt;0,E182-G182,0)</f>
        <v/>
      </c>
      <c r="J200" s="38" t="n"/>
      <c r="K200" s="36" t="n"/>
      <c r="N200" s="35" t="n"/>
      <c r="O200" s="34" t="n"/>
      <c r="P200" s="35">
        <f>IF(M205&gt;0,M182-O182,0)</f>
        <v/>
      </c>
    </row>
    <row r="201" ht="15.75" customHeight="1" thickBot="1">
      <c r="B201" s="38" t="n"/>
      <c r="C201" s="36" t="n"/>
      <c r="F201" s="35" t="n"/>
      <c r="H201" s="52">
        <f>IF(TransferName="NONE",F206,IF(H200&gt;0,(E205-G182)*0.0968,0))</f>
        <v/>
      </c>
      <c r="J201" s="38" t="n"/>
      <c r="K201" s="36" t="n"/>
      <c r="N201" s="35" t="n"/>
      <c r="P201" s="52">
        <f>IF(TransferName="NONE",N206,IF(P200&gt;0,(M205-O182)*0.0968,0))</f>
        <v/>
      </c>
    </row>
    <row r="202">
      <c r="B202" s="667" t="n"/>
      <c r="F202" s="35" t="n"/>
      <c r="G202" s="34" t="inlineStr">
        <is>
          <t>Transferable</t>
        </is>
      </c>
      <c r="H202" s="52">
        <f>IF(H201&gt;0,H201,0)</f>
        <v/>
      </c>
      <c r="J202" s="667" t="n"/>
      <c r="N202" s="35" t="n"/>
      <c r="O202" s="34" t="inlineStr">
        <is>
          <t>Transferable</t>
        </is>
      </c>
      <c r="P202" s="52">
        <f>IF(P201&gt;0,P201,0)</f>
        <v/>
      </c>
    </row>
    <row r="203">
      <c r="B203" s="667" t="inlineStr">
        <is>
          <t>Adjusted Taxable Income</t>
        </is>
      </c>
      <c r="C203">
        <f>C184-(SUM(C186:C201))</f>
        <v/>
      </c>
      <c r="D203" s="13" t="inlineStr">
        <is>
          <t>Line 5864</t>
        </is>
      </c>
      <c r="E203" s="39">
        <f>IF(C203&gt;0,C203,0)</f>
        <v/>
      </c>
      <c r="F203" s="35" t="n"/>
      <c r="G203" s="34" t="n"/>
      <c r="H203" s="35" t="n"/>
      <c r="J203" s="667" t="inlineStr">
        <is>
          <t>Adjusted Taxable Income</t>
        </is>
      </c>
      <c r="K203">
        <f>K184-(SUM(K186:K201))</f>
        <v/>
      </c>
      <c r="L203" s="13" t="inlineStr">
        <is>
          <t>Line 5864</t>
        </is>
      </c>
      <c r="M203" s="39">
        <f>IF(K203&gt;0,K203,0)</f>
        <v/>
      </c>
      <c r="N203" s="35" t="n"/>
      <c r="O203" s="34" t="n"/>
      <c r="P203" s="35" t="n"/>
    </row>
    <row r="204" ht="15.75" customHeight="1" thickBot="1">
      <c r="B204" s="34" t="n"/>
      <c r="F204" s="35" t="n"/>
      <c r="G204" s="34" t="n"/>
      <c r="H204" s="35" t="n"/>
      <c r="J204" s="34" t="n"/>
      <c r="N204" s="35" t="n"/>
      <c r="O204" s="34" t="n"/>
      <c r="P204" s="35" t="n"/>
    </row>
    <row r="205" ht="15.75" customHeight="1" thickBot="1">
      <c r="B205" s="34" t="n"/>
      <c r="D205" s="21" t="inlineStr">
        <is>
          <t>Prov Trans</t>
        </is>
      </c>
      <c r="E205" s="36">
        <f>(E182-E203)</f>
        <v/>
      </c>
      <c r="F205" s="40" t="n"/>
      <c r="G205" s="34" t="n"/>
      <c r="H205" s="52" t="n"/>
      <c r="J205" s="34" t="n"/>
      <c r="L205" s="21" t="inlineStr">
        <is>
          <t>Prov Trans</t>
        </is>
      </c>
      <c r="M205" s="36">
        <f>(M182-M203)</f>
        <v/>
      </c>
      <c r="N205" s="40" t="n"/>
      <c r="O205" s="34" t="n"/>
      <c r="P205" s="52" t="n"/>
    </row>
    <row r="206" ht="15.75" customHeight="1" thickBot="1">
      <c r="B206" s="34" t="n"/>
      <c r="C206" s="579" t="inlineStr">
        <is>
          <t>DTC Transferable ESTIMATE</t>
        </is>
      </c>
      <c r="D206" s="35" t="n"/>
      <c r="E206" s="36">
        <f>IF(E205&lt;0,0,(IF(E205&gt;E180,E180,E205)))</f>
        <v/>
      </c>
      <c r="F206" s="40">
        <f>IF(E206&gt;0,E206*0.0968,"No Transfer Required")</f>
        <v/>
      </c>
      <c r="G206" s="58" t="n"/>
      <c r="H206" s="52" t="n"/>
      <c r="J206" s="34" t="n"/>
      <c r="K206" s="579" t="inlineStr">
        <is>
          <t>DTC Transferable ESTIMATE</t>
        </is>
      </c>
      <c r="L206" s="35" t="n"/>
      <c r="M206" s="36">
        <f>IF(M205&lt;0,0,(IF(M205&gt;M180,M180,M205)))</f>
        <v/>
      </c>
      <c r="N206" s="40">
        <f>IF(M206&gt;0,M206*0.0968,"No Transfer Required")</f>
        <v/>
      </c>
      <c r="O206" s="58" t="n"/>
      <c r="P206" s="52" t="n"/>
    </row>
    <row r="207" ht="15.75" customHeight="1" thickBot="1">
      <c r="B207" s="42" t="n"/>
      <c r="C207" s="41" t="n"/>
      <c r="D207" s="43" t="inlineStr">
        <is>
          <t>Net Transferable</t>
        </is>
      </c>
      <c r="E207" s="36">
        <f>IF(E205&lt;0,0,(IF(E205-G178-G179-G181&lt;0,E205,(E205-G178-G179-G181))))</f>
        <v/>
      </c>
      <c r="F207" s="57">
        <f>IF(E207&gt;0,E207*0.0968,"0")</f>
        <v/>
      </c>
      <c r="G207" s="59" t="n"/>
      <c r="H207" s="864" t="n"/>
      <c r="J207" s="42" t="n"/>
      <c r="K207" s="41" t="n"/>
      <c r="L207" s="43" t="inlineStr">
        <is>
          <t>Net Transferable</t>
        </is>
      </c>
      <c r="M207" s="36">
        <f>IF(M205&lt;0,0,(IF(M205-O178-O179-O181&lt;0,M205,(M205-O178-O179-O181))))</f>
        <v/>
      </c>
      <c r="N207" s="57">
        <f>IF(M207&gt;0,M207*0.0968,"0")</f>
        <v/>
      </c>
      <c r="O207" s="59" t="n"/>
      <c r="P207" s="864" t="n"/>
    </row>
    <row r="208">
      <c r="D208" s="60" t="n"/>
      <c r="F208" s="61" t="n"/>
      <c r="G208" s="449" t="n"/>
      <c r="H208" s="866" t="n"/>
      <c r="L208" s="60" t="n"/>
      <c r="N208" s="866" t="n"/>
      <c r="O208" s="64" t="n"/>
      <c r="P208" s="866" t="n"/>
    </row>
  </sheetData>
  <mergeCells count="88">
    <mergeCell ref="J180:K180"/>
    <mergeCell ref="K33:L33"/>
    <mergeCell ref="C172:D172"/>
    <mergeCell ref="J146:K146"/>
    <mergeCell ref="B77:C77"/>
    <mergeCell ref="K138:L138"/>
    <mergeCell ref="G68:G69"/>
    <mergeCell ref="B182:C182"/>
    <mergeCell ref="J4:K4"/>
    <mergeCell ref="B78:C78"/>
    <mergeCell ref="G33:G34"/>
    <mergeCell ref="B112:C112"/>
    <mergeCell ref="J147:K147"/>
    <mergeCell ref="C138:D138"/>
    <mergeCell ref="B178:C178"/>
    <mergeCell ref="B2:H2"/>
    <mergeCell ref="B40:C40"/>
    <mergeCell ref="K172:L172"/>
    <mergeCell ref="B41:C41"/>
    <mergeCell ref="B37:H37"/>
    <mergeCell ref="J110:K110"/>
    <mergeCell ref="J181:K181"/>
    <mergeCell ref="B142:H142"/>
    <mergeCell ref="B180:C180"/>
    <mergeCell ref="J77:K77"/>
    <mergeCell ref="G103:G104"/>
    <mergeCell ref="B179:C179"/>
    <mergeCell ref="B72:H72"/>
    <mergeCell ref="B176:H176"/>
    <mergeCell ref="G138:G139"/>
    <mergeCell ref="J75:K75"/>
    <mergeCell ref="B107:H107"/>
    <mergeCell ref="B6:C6"/>
    <mergeCell ref="K206:L206"/>
    <mergeCell ref="J145:K145"/>
    <mergeCell ref="B144:C144"/>
    <mergeCell ref="K68:L68"/>
    <mergeCell ref="J111:K111"/>
    <mergeCell ref="B7:C7"/>
    <mergeCell ref="C68:D68"/>
    <mergeCell ref="J2:P2"/>
    <mergeCell ref="J142:P142"/>
    <mergeCell ref="J40:K40"/>
    <mergeCell ref="B43:C43"/>
    <mergeCell ref="B42:C42"/>
    <mergeCell ref="J182:K182"/>
    <mergeCell ref="J74:K74"/>
    <mergeCell ref="J179:K179"/>
    <mergeCell ref="J72:P72"/>
    <mergeCell ref="B148:C148"/>
    <mergeCell ref="J37:P37"/>
    <mergeCell ref="B146:C146"/>
    <mergeCell ref="J176:P176"/>
    <mergeCell ref="J113:K113"/>
    <mergeCell ref="J107:P107"/>
    <mergeCell ref="B5:C5"/>
    <mergeCell ref="B76:C76"/>
    <mergeCell ref="J42:K42"/>
    <mergeCell ref="B4:C4"/>
    <mergeCell ref="B75:C75"/>
    <mergeCell ref="J39:K39"/>
    <mergeCell ref="B109:C109"/>
    <mergeCell ref="J144:K144"/>
    <mergeCell ref="J5:K5"/>
    <mergeCell ref="C33:D33"/>
    <mergeCell ref="J112:K112"/>
    <mergeCell ref="J78:K78"/>
    <mergeCell ref="C206:D206"/>
    <mergeCell ref="B39:C39"/>
    <mergeCell ref="J6:K6"/>
    <mergeCell ref="C103:D103"/>
    <mergeCell ref="B111:C111"/>
    <mergeCell ref="B145:C145"/>
    <mergeCell ref="J178:K178"/>
    <mergeCell ref="B181:C181"/>
    <mergeCell ref="B8:C8"/>
    <mergeCell ref="J148:K148"/>
    <mergeCell ref="B147:C147"/>
    <mergeCell ref="J7:K7"/>
    <mergeCell ref="J41:K41"/>
    <mergeCell ref="J109:K109"/>
    <mergeCell ref="B74:C74"/>
    <mergeCell ref="J43:K43"/>
    <mergeCell ref="K103:L103"/>
    <mergeCell ref="J76:K76"/>
    <mergeCell ref="B110:C110"/>
    <mergeCell ref="J8:K8"/>
    <mergeCell ref="B113:C113"/>
  </mergeCells>
  <pageMargins left="0.7" right="0.7" top="0.75" bottom="0.75" header="0.3" footer="0.3"/>
  <pageSetup orientation="portrait" verticalDpi="597"/>
</worksheet>
</file>

<file path=xl/worksheets/sheet14.xml><?xml version="1.0" encoding="utf-8"?>
<worksheet xmlns="http://schemas.openxmlformats.org/spreadsheetml/2006/main">
  <sheetPr codeName="Sheet9">
    <tabColor rgb="FF92D050"/>
    <outlinePr summaryBelow="1" summaryRight="1"/>
    <pageSetUpPr/>
  </sheetPr>
  <dimension ref="A1:P208"/>
  <sheetViews>
    <sheetView topLeftCell="A169" zoomScale="60" zoomScaleNormal="60" workbookViewId="0">
      <selection activeCell="M206" sqref="M206"/>
    </sheetView>
  </sheetViews>
  <sheetFormatPr baseColWidth="8" defaultRowHeight="15"/>
  <cols>
    <col width="1.140625" customWidth="1" min="1" max="1"/>
    <col width="23.7109375" bestFit="1" customWidth="1" min="2" max="2"/>
    <col width="16" customWidth="1" min="3" max="3"/>
    <col width="18.28515625" customWidth="1" min="4" max="4"/>
    <col width="13.5703125" bestFit="1" customWidth="1" min="5" max="5"/>
    <col width="13.42578125" customWidth="1" min="6" max="6"/>
    <col width="12.140625" bestFit="1" customWidth="1" min="7" max="7"/>
    <col width="59" customWidth="1" min="8" max="8"/>
    <col width="12.140625" customWidth="1" min="9" max="9"/>
    <col width="23.7109375" bestFit="1" customWidth="1" min="10" max="10"/>
    <col width="11.85546875" customWidth="1" min="11" max="11"/>
    <col width="18.42578125" bestFit="1" customWidth="1" min="12" max="12"/>
    <col width="13.5703125" bestFit="1" customWidth="1" min="13" max="13"/>
    <col width="13.5703125" customWidth="1" min="14" max="14"/>
    <col width="12.140625" bestFit="1" customWidth="1" min="15" max="15"/>
    <col width="58.7109375" customWidth="1" min="16" max="16"/>
  </cols>
  <sheetData>
    <row r="1" ht="15.75" customHeight="1" thickBot="1">
      <c r="E1">
        <f>Calculator!$D$5</f>
        <v/>
      </c>
      <c r="H1">
        <f>TransferName</f>
        <v/>
      </c>
      <c r="M1">
        <f>Calculator!$D$5</f>
        <v/>
      </c>
      <c r="P1">
        <f>TransferName</f>
        <v/>
      </c>
    </row>
    <row r="2" ht="15.75" customHeight="1" thickBot="1">
      <c r="B2" s="867" t="inlineStr">
        <is>
          <t>2024 NEWFOUNDLAND Provincial</t>
        </is>
      </c>
      <c r="C2" s="778" t="n"/>
      <c r="D2" s="778" t="n"/>
      <c r="E2" s="778" t="n"/>
      <c r="F2" s="778" t="n"/>
      <c r="G2" s="778" t="n"/>
      <c r="H2" s="780" t="n"/>
      <c r="J2" s="876" t="inlineStr">
        <is>
          <t>2023 NEWFOUNDLAND Provincial</t>
        </is>
      </c>
      <c r="K2" s="778" t="n"/>
      <c r="L2" s="778" t="n"/>
      <c r="M2" s="778" t="n"/>
      <c r="N2" s="778" t="n"/>
      <c r="O2" s="778" t="n"/>
      <c r="P2" s="780" t="n"/>
    </row>
    <row r="3" ht="15.75" customHeight="1" thickBot="1">
      <c r="B3" s="116" t="n"/>
      <c r="C3" s="115" t="n"/>
      <c r="D3" s="115" t="inlineStr">
        <is>
          <t>Line</t>
        </is>
      </c>
      <c r="E3" s="115" t="inlineStr">
        <is>
          <t>Amt</t>
        </is>
      </c>
      <c r="F3" s="117" t="n"/>
      <c r="G3" s="675" t="inlineStr">
        <is>
          <t>Spouse</t>
        </is>
      </c>
      <c r="H3" s="117" t="inlineStr">
        <is>
          <t>S2 Adjustment</t>
        </is>
      </c>
      <c r="J3" s="34" t="n"/>
      <c r="L3" t="inlineStr">
        <is>
          <t>Line</t>
        </is>
      </c>
      <c r="M3" t="inlineStr">
        <is>
          <t>Amt</t>
        </is>
      </c>
      <c r="N3" s="35" t="n"/>
      <c r="O3" s="34" t="inlineStr">
        <is>
          <t>Spouse</t>
        </is>
      </c>
      <c r="P3" s="35" t="inlineStr">
        <is>
          <t>S2 Adjustment</t>
        </is>
      </c>
    </row>
    <row r="4" ht="15.75" customHeight="1" thickBot="1">
      <c r="B4" s="675" t="inlineStr">
        <is>
          <t>Age Amount</t>
        </is>
      </c>
      <c r="D4" s="115" t="inlineStr">
        <is>
          <t>Line 58080</t>
        </is>
      </c>
      <c r="E4" s="869">
        <f>(_xlfn.XLOOKUP(ClientNumber,Clients!D:D,Clients!ANR:ANR,2,0,1))</f>
        <v/>
      </c>
      <c r="F4" s="119" t="inlineStr">
        <is>
          <t>Line 59020</t>
        </is>
      </c>
      <c r="G4" s="141">
        <f>IF(TransferName="NONE",0,(_xlfn.XLOOKUP(TransferNumber,Clients!D:D,Clients!APT:APT,2,0,1)))</f>
        <v/>
      </c>
      <c r="H4" s="119">
        <f>IF(AND(E4&gt;0,G4=0),"Age Amount Can Be Transferred","No Action")</f>
        <v/>
      </c>
      <c r="J4" s="667" t="inlineStr">
        <is>
          <t>Age Amount</t>
        </is>
      </c>
      <c r="L4" t="inlineStr">
        <is>
          <t>Line 58080</t>
        </is>
      </c>
      <c r="M4" s="865">
        <f>(_xlfn.XLOOKUP(MainClient,Clients!D:D,Clients!MW:MW,2,0,1))</f>
        <v/>
      </c>
      <c r="N4" s="37" t="inlineStr">
        <is>
          <t>Line 59020</t>
        </is>
      </c>
      <c r="O4" s="51">
        <f>IF(TransferName="NONE",0,(_xlfn.XLOOKUP(TransferNumber,Clients!D:D,Clients!OY:OY,2,0,1)))</f>
        <v/>
      </c>
      <c r="P4" s="37">
        <f>IF(AND(M4&gt;0,O4=0),"Age Amount Can Be Transferred","No Action")</f>
        <v/>
      </c>
    </row>
    <row r="5" ht="15.75" customHeight="1" thickBot="1">
      <c r="B5" s="675" t="inlineStr">
        <is>
          <t>Pension Income Amount</t>
        </is>
      </c>
      <c r="D5" s="115" t="inlineStr">
        <is>
          <t>Line 58360 (mx 1000)</t>
        </is>
      </c>
      <c r="E5" s="869">
        <f>IF((_xlfn.XLOOKUP(ClientNumber,Clients!D:D,Clients!AOR:AOR,2,0,1)&lt;1000),(_xlfn.XLOOKUP(MainClient,Clients!D:D,Clients!AOR:AOR,2,0,1)),1000)</f>
        <v/>
      </c>
      <c r="F5" s="119" t="inlineStr">
        <is>
          <t>Line 59050</t>
        </is>
      </c>
      <c r="G5" s="141">
        <f>IF(TransferName="NONE",0,(_xlfn.XLOOKUP(TransferNumber,Clients!D:D,Clients!APW:APW,2,0,1)))</f>
        <v/>
      </c>
      <c r="H5" s="119">
        <f>IF(AND(E5&gt;0,G5=0),"Pension Income Amount Can Be Transferred","No Action")</f>
        <v/>
      </c>
      <c r="J5" s="667" t="inlineStr">
        <is>
          <t>Pension Income Amount</t>
        </is>
      </c>
      <c r="L5" t="inlineStr">
        <is>
          <t>Line 58360 (mx 1000)</t>
        </is>
      </c>
      <c r="M5" s="865">
        <f>IF((_xlfn.XLOOKUP(ClientNumber,Clients!D:D,Clients!NW:NW,2,0,1)&lt;1000),(_xlfn.XLOOKUP(MainClient,Clients!D:D,Clients!NW:NW,2,0,1)),1000)</f>
        <v/>
      </c>
      <c r="N5" s="37" t="inlineStr">
        <is>
          <t>Line 59050</t>
        </is>
      </c>
      <c r="O5" s="51">
        <f>IF(TransferName="NONE",0,(_xlfn.XLOOKUP(TransferNumber,Clients!D:D,Clients!PB:PB,2,0,1)))</f>
        <v/>
      </c>
      <c r="P5" s="37">
        <f>IF(AND(M5&gt;0,O5=0),"Pension Income Amount Can Be Transferred","No Action")</f>
        <v/>
      </c>
    </row>
    <row r="6" ht="15.75" customHeight="1" thickBot="1">
      <c r="B6" s="675" t="inlineStr">
        <is>
          <t>Disability Amount</t>
        </is>
      </c>
      <c r="D6" s="115" t="inlineStr">
        <is>
          <t>Line 58440</t>
        </is>
      </c>
      <c r="E6" s="869">
        <f>IF(_xlfn.XLOOKUP(ClientNumber,Clients!D:D,Clients!AOT:AOT,2,0,1)=0,6615,(_xlfn.XLOOKUP(MainClient,Clients!D:D,Clients!AOT:AOT,2,0,1)))</f>
        <v/>
      </c>
      <c r="F6" s="119" t="inlineStr">
        <is>
          <t>Line 59070</t>
        </is>
      </c>
      <c r="G6" s="141">
        <f>IF(TransferName="NONE",0,(_xlfn.XLOOKUP(TransferNumber,Clients!D:D,Clients!APX:APX,2,0,1)))</f>
        <v/>
      </c>
      <c r="H6" s="119">
        <f>IF(AND(E6&gt;0,G6=0),"DTC Transferable Not Claimed Can Be Transferred","No Action")</f>
        <v/>
      </c>
      <c r="J6" s="667" t="inlineStr">
        <is>
          <t>Disability Amount</t>
        </is>
      </c>
      <c r="L6" t="inlineStr">
        <is>
          <t>Line 58440</t>
        </is>
      </c>
      <c r="M6" s="865">
        <f>IF(_xlfn.XLOOKUP(ClientNumber,Clients!D:D,Clients!NY:NY,2,0,1)=0,7005,(_xlfn.XLOOKUP(MainClient,Clients!D:D,Clients!NY:NY,2,0,1)))</f>
        <v/>
      </c>
      <c r="N6" s="37" t="inlineStr">
        <is>
          <t>Line 59070</t>
        </is>
      </c>
      <c r="O6" s="51">
        <f>IF(TransferName="NONE",0,(_xlfn.XLOOKUP(TransferNumber,Clients!D:D,Clients!PC:PC,2,0,1)))</f>
        <v/>
      </c>
      <c r="P6" s="37">
        <f>IF(AND(M6&gt;0,O6=0),"DTC Transferable Not Claimed Can Be Transferred","No Action")</f>
        <v/>
      </c>
    </row>
    <row r="7" ht="15.75" customHeight="1" thickBot="1">
      <c r="B7" s="675" t="inlineStr">
        <is>
          <t>Tuition Amount</t>
        </is>
      </c>
      <c r="D7" s="115" t="inlineStr">
        <is>
          <t>Line 59200</t>
        </is>
      </c>
      <c r="E7" s="869">
        <f>(_xlfn.XLOOKUP(ClientNumber,Clients!D:D,Clients!AQI:AQI,2,0,1))</f>
        <v/>
      </c>
      <c r="F7" s="119" t="inlineStr">
        <is>
          <t>Line 59090</t>
        </is>
      </c>
      <c r="G7" s="141">
        <f>IF(TransferName="NONE",0,(_xlfn.XLOOKUP(TransferNumber,Clients!D:D,Clients!APY:APY,2,0,1)))</f>
        <v/>
      </c>
      <c r="H7" s="119">
        <f>IF(AND(E7&gt;0,G7=0),"Tuition Can Be Transferred","No Action")</f>
        <v/>
      </c>
      <c r="J7" s="667" t="inlineStr">
        <is>
          <t>Tuition Amount</t>
        </is>
      </c>
      <c r="L7" t="inlineStr">
        <is>
          <t>Line 59200</t>
        </is>
      </c>
      <c r="M7" s="865">
        <f>(_xlfn.XLOOKUP(MainClient,Clients!D:D,Clients!PN:PN,2,0,1))</f>
        <v/>
      </c>
      <c r="N7" s="37" t="inlineStr">
        <is>
          <t>Line 59090</t>
        </is>
      </c>
      <c r="O7" s="51">
        <f>IF(TransferName="NONE",0,(_xlfn.XLOOKUP(TransferNumber,Clients!D:D,Clients!PD:PD,2,0,1)))</f>
        <v/>
      </c>
      <c r="P7" s="37">
        <f>IF(AND(M7&gt;0,O7=0),"Tuition Can Be Transferred","No Action")</f>
        <v/>
      </c>
    </row>
    <row r="8">
      <c r="B8" s="675" t="n"/>
      <c r="D8" s="115" t="n"/>
      <c r="E8" s="871">
        <f>SUM(E4:E7)</f>
        <v/>
      </c>
      <c r="F8" s="119" t="n"/>
      <c r="G8" s="675">
        <f>SUM(G4:G7)</f>
        <v/>
      </c>
      <c r="H8" s="119" t="n"/>
      <c r="J8" s="667" t="n"/>
      <c r="M8" s="872">
        <f>SUM(M4:M7)</f>
        <v/>
      </c>
      <c r="N8" s="37" t="n"/>
      <c r="O8" s="667">
        <f>SUM(O4:O7)</f>
        <v/>
      </c>
      <c r="P8" s="37" t="n"/>
    </row>
    <row r="9">
      <c r="B9" s="675" t="n"/>
      <c r="C9" s="676" t="n"/>
      <c r="D9" s="115" t="n"/>
      <c r="E9" s="871" t="n"/>
      <c r="F9" s="119" t="n"/>
      <c r="G9" s="676" t="n"/>
      <c r="H9" s="119" t="n"/>
      <c r="J9" s="667" t="n"/>
      <c r="K9" s="668" t="n"/>
      <c r="M9" s="872" t="n"/>
      <c r="N9" s="37" t="n"/>
      <c r="O9" s="668" t="n"/>
      <c r="P9" s="37" t="n"/>
    </row>
    <row r="10" ht="15.75" customHeight="1" thickBot="1">
      <c r="B10" s="116" t="n"/>
      <c r="C10" s="115" t="n"/>
      <c r="D10" s="115" t="n"/>
      <c r="E10" s="115" t="n"/>
      <c r="F10" s="117" t="n"/>
      <c r="G10" s="115" t="n"/>
      <c r="H10" s="117" t="n"/>
      <c r="J10" s="34" t="n"/>
      <c r="N10" s="35" t="n"/>
      <c r="P10" s="35" t="n"/>
    </row>
    <row r="11" ht="15.75" customHeight="1" thickBot="1">
      <c r="B11" s="675" t="inlineStr">
        <is>
          <t>Line 26000</t>
        </is>
      </c>
      <c r="C11" s="120">
        <f>(_xlfn.XLOOKUP(MainClient,Clients!D:D,Clients!AFS:AFS,2,0,1))</f>
        <v/>
      </c>
      <c r="D11" s="115" t="n"/>
      <c r="E11" s="115" t="n"/>
      <c r="F11" s="117" t="n"/>
      <c r="G11" s="116">
        <f>IF(E34&gt;E6,"other transferable credits","DTC Only")</f>
        <v/>
      </c>
      <c r="H11" s="117" t="n"/>
      <c r="J11" s="667" t="inlineStr">
        <is>
          <t>Line 26000</t>
        </is>
      </c>
      <c r="K11" s="36">
        <f>(_xlfn.XLOOKUP(MainClient,Clients!D:D,Clients!EX:EX,2,0,1))</f>
        <v/>
      </c>
      <c r="N11" s="35" t="n"/>
      <c r="O11" s="34">
        <f>IF(M34&gt;M6,"other transferable credits","DTC Only")</f>
        <v/>
      </c>
      <c r="P11" s="35" t="n"/>
    </row>
    <row r="12" ht="15.75" customHeight="1" thickBot="1">
      <c r="B12" s="116" t="n"/>
      <c r="C12" s="115" t="n"/>
      <c r="D12" s="115" t="n"/>
      <c r="E12" s="115" t="n"/>
      <c r="F12" s="117" t="n"/>
      <c r="G12" s="116" t="n"/>
      <c r="H12" s="117" t="n"/>
      <c r="J12" s="34" t="n"/>
      <c r="N12" s="35" t="n"/>
      <c r="O12" s="34" t="n"/>
      <c r="P12" s="35" t="n"/>
    </row>
    <row r="13" ht="15.75" customHeight="1" thickBot="1">
      <c r="B13" s="121" t="inlineStr">
        <is>
          <t>Line 58040</t>
        </is>
      </c>
      <c r="C13" s="120">
        <f>(_xlfn.XLOOKUP(ClientNumber,Clients!D:D,Clients!ANQ:ANQ,2,0,1))</f>
        <v/>
      </c>
      <c r="D13" s="115" t="n"/>
      <c r="E13" s="115" t="n"/>
      <c r="F13" s="117" t="n"/>
      <c r="G13" s="116" t="n"/>
      <c r="H13" s="117" t="n"/>
      <c r="J13" s="55" t="inlineStr">
        <is>
          <t>Line 58040</t>
        </is>
      </c>
      <c r="K13" s="36">
        <f>(_xlfn.XLOOKUP(MainClient,Clients!D:D,Clients!MV:MV,2,0,1))</f>
        <v/>
      </c>
      <c r="N13" s="35" t="n"/>
      <c r="O13" s="34" t="n"/>
      <c r="P13" s="35" t="n"/>
    </row>
    <row r="14" ht="15.75" customHeight="1" thickBot="1">
      <c r="B14" s="121" t="inlineStr">
        <is>
          <t>Line 58240</t>
        </is>
      </c>
      <c r="C14" s="120">
        <f>(_xlfn.XLOOKUP(ClientNumber,Clients!D:D,Clients!AOF:AOF,2,0,1))</f>
        <v/>
      </c>
      <c r="D14" s="115" t="n"/>
      <c r="E14" s="115" t="n"/>
      <c r="F14" s="117" t="n"/>
      <c r="G14" s="116" t="n"/>
      <c r="H14" s="117" t="n"/>
      <c r="J14" s="55" t="inlineStr">
        <is>
          <t>Line 58240</t>
        </is>
      </c>
      <c r="K14" s="36">
        <f>(_xlfn.XLOOKUP(MainClient,Clients!D:D,Clients!NK:NK,2,0,1))</f>
        <v/>
      </c>
      <c r="N14" s="35" t="n"/>
      <c r="O14" s="34" t="n"/>
      <c r="P14" s="35" t="n"/>
    </row>
    <row r="15" ht="15.75" customHeight="1" thickBot="1">
      <c r="B15" s="121" t="inlineStr">
        <is>
          <t>Line 58280</t>
        </is>
      </c>
      <c r="C15" s="120">
        <f>(_xlfn.XLOOKUP(ClientNumber,Clients!D:D,Clients!AOG:AOG,2,0,1))</f>
        <v/>
      </c>
      <c r="D15" s="115" t="n"/>
      <c r="E15" s="115" t="n"/>
      <c r="F15" s="117" t="n"/>
      <c r="G15" s="116" t="n"/>
      <c r="H15" s="117" t="n"/>
      <c r="J15" s="55" t="inlineStr">
        <is>
          <t>Line 58280</t>
        </is>
      </c>
      <c r="K15" s="36">
        <f>(_xlfn.XLOOKUP(MainClient,Clients!D:D,Clients!NL:NL,2,0,1))</f>
        <v/>
      </c>
      <c r="N15" s="35" t="n"/>
      <c r="P15" s="35" t="n"/>
    </row>
    <row r="16" ht="15.75" customHeight="1" thickBot="1">
      <c r="B16" s="121" t="inlineStr">
        <is>
          <t>Line 58300</t>
        </is>
      </c>
      <c r="C16" s="120">
        <f>(_xlfn.XLOOKUP(ClientNumber,Clients!D:D,Clients!AOH:AOH,2,0,1))</f>
        <v/>
      </c>
      <c r="D16" s="115" t="n"/>
      <c r="E16" s="115" t="n"/>
      <c r="F16" s="117" t="n"/>
      <c r="G16" s="116" t="n"/>
      <c r="H16" s="117" t="n"/>
      <c r="J16" s="55" t="inlineStr">
        <is>
          <t>Line 58300</t>
        </is>
      </c>
      <c r="K16" s="36">
        <f>(_xlfn.XLOOKUP(MainClient,Clients!D:D,Clients!NM:NM,2,0,1))</f>
        <v/>
      </c>
      <c r="N16" s="35" t="n"/>
      <c r="O16" s="34" t="n"/>
      <c r="P16" s="35" t="n"/>
    </row>
    <row r="17" ht="15.75" customHeight="1" thickBot="1">
      <c r="B17" s="121" t="inlineStr">
        <is>
          <t>Line 58305</t>
        </is>
      </c>
      <c r="C17" s="120">
        <f>(_xlfn.XLOOKUP(ClientNumber,Clients!D:D,Clients!AOI:AOI,2,0,1))</f>
        <v/>
      </c>
      <c r="D17" s="115" t="n"/>
      <c r="E17" s="115" t="n"/>
      <c r="F17" s="117" t="n"/>
      <c r="G17" s="116" t="n"/>
      <c r="H17" s="117" t="n"/>
      <c r="J17" s="55" t="inlineStr">
        <is>
          <t>Line 58305</t>
        </is>
      </c>
      <c r="K17" s="36">
        <f>(_xlfn.XLOOKUP(MainClient,Clients!D:D,Clients!NN:NN,2,0,1))</f>
        <v/>
      </c>
      <c r="N17" s="35" t="n"/>
      <c r="O17" s="34" t="n"/>
      <c r="P17" s="35" t="n"/>
    </row>
    <row r="18" ht="15.75" customHeight="1" thickBot="1">
      <c r="B18" s="121" t="inlineStr">
        <is>
          <t>Line 58315</t>
        </is>
      </c>
      <c r="C18" s="120">
        <f>(_xlfn.XLOOKUP(ClientNumber,Clients!D:D,Clients!AOK:AOK,2,0,1))</f>
        <v/>
      </c>
      <c r="D18" s="115" t="n"/>
      <c r="E18" s="115" t="n"/>
      <c r="F18" s="117" t="n"/>
      <c r="G18" s="116" t="n"/>
      <c r="H18" s="117" t="n"/>
      <c r="J18" s="55" t="inlineStr">
        <is>
          <t>Line 58315</t>
        </is>
      </c>
      <c r="K18" s="36">
        <f>(_xlfn.XLOOKUP(MainClient,Clients!D:D,Clients!NP:NP,2,0,1))</f>
        <v/>
      </c>
      <c r="N18" s="35" t="n"/>
      <c r="O18" s="34" t="n"/>
      <c r="P18" s="35" t="n"/>
    </row>
    <row r="19" ht="15.75" customHeight="1" thickBot="1">
      <c r="B19" s="121" t="inlineStr">
        <is>
          <t>Line 58316</t>
        </is>
      </c>
      <c r="C19" s="120">
        <f>(_xlfn.XLOOKUP(ClientNumber,Clients!D:D,Clients!AOL:AOL,2,0,1))</f>
        <v/>
      </c>
      <c r="D19" s="115" t="n"/>
      <c r="E19" s="115" t="n"/>
      <c r="F19" s="117" t="n"/>
      <c r="G19" s="116" t="n"/>
      <c r="H19" s="117" t="n"/>
      <c r="J19" s="55" t="inlineStr">
        <is>
          <t>Line 58316</t>
        </is>
      </c>
      <c r="K19" s="36">
        <f>(_xlfn.XLOOKUP(MainClient,Clients!D:D,Clients!NQ:NQ,2,0,1))</f>
        <v/>
      </c>
      <c r="N19" s="35" t="n"/>
      <c r="O19" s="34" t="n"/>
      <c r="P19" s="35" t="n"/>
    </row>
    <row r="20" ht="15.75" customHeight="1" thickBot="1">
      <c r="B20" s="121" t="inlineStr">
        <is>
          <t>Line 58320</t>
        </is>
      </c>
      <c r="C20" s="120">
        <f>(_xlfn.XLOOKUP(ClientNumber,Clients!D:D,Clients!AOM:AOM,2,0,1))</f>
        <v/>
      </c>
      <c r="D20" s="115" t="n"/>
      <c r="E20" s="115" t="n"/>
      <c r="F20" s="117" t="n"/>
      <c r="G20" s="116" t="n"/>
      <c r="H20" s="117" t="n"/>
      <c r="J20" s="55" t="inlineStr">
        <is>
          <t>Line 58320</t>
        </is>
      </c>
      <c r="K20" s="36">
        <f>(_xlfn.XLOOKUP(MainClient,Clients!D:D,Clients!NR:NR,2,0,1))</f>
        <v/>
      </c>
      <c r="N20" s="35" t="n"/>
      <c r="O20" s="34" t="n"/>
      <c r="P20" s="35" t="n"/>
    </row>
    <row r="21" ht="15.75" customHeight="1" thickBot="1">
      <c r="B21" s="121" t="inlineStr">
        <is>
          <t>Line 58330</t>
        </is>
      </c>
      <c r="C21" s="120">
        <f>(_xlfn.XLOOKUP(ClientNumber,Clients!D:D,Clients!AOP:AOP,2,0,1))</f>
        <v/>
      </c>
      <c r="D21" s="115" t="n"/>
      <c r="E21" s="115" t="n"/>
      <c r="F21" s="117" t="n"/>
      <c r="G21" s="116" t="n"/>
      <c r="H21" s="117" t="n"/>
      <c r="J21" s="55" t="inlineStr">
        <is>
          <t>Line 58330</t>
        </is>
      </c>
      <c r="K21" s="36">
        <f>(_xlfn.XLOOKUP(MainClient,Clients!D:D,Clients!NU:NU,2,0,1))</f>
        <v/>
      </c>
      <c r="N21" s="35" t="n"/>
      <c r="O21" s="34" t="n"/>
      <c r="P21" s="35" t="n"/>
    </row>
    <row r="22" ht="15.75" customHeight="1" thickBot="1">
      <c r="B22" s="121" t="inlineStr">
        <is>
          <t>Line 58560</t>
        </is>
      </c>
      <c r="C22" s="120">
        <f>(_xlfn.XLOOKUP(ClientNumber,Clients!D:D,Clients!AOX:AOX,2,0,1))</f>
        <v/>
      </c>
      <c r="D22" s="115" t="n"/>
      <c r="E22" s="115" t="n"/>
      <c r="F22" s="117" t="n"/>
      <c r="G22" s="116" t="n"/>
      <c r="H22" s="117" t="n"/>
      <c r="J22" s="55" t="inlineStr">
        <is>
          <t>Line 58560</t>
        </is>
      </c>
      <c r="K22" s="36">
        <f>(_xlfn.XLOOKUP(MainClient,Clients!D:D,Clients!OC:OC,2,0,1))</f>
        <v/>
      </c>
      <c r="N22" s="35" t="n"/>
      <c r="O22" s="34" t="n"/>
      <c r="P22" s="35" t="n"/>
    </row>
    <row r="23" ht="15.75" customHeight="1" thickBot="1">
      <c r="B23" s="121" t="n"/>
      <c r="C23" s="120" t="n"/>
      <c r="D23" s="115" t="n"/>
      <c r="E23" s="115" t="n"/>
      <c r="F23" s="117" t="n"/>
      <c r="G23" s="116" t="inlineStr">
        <is>
          <t>Line 326</t>
        </is>
      </c>
      <c r="H23" s="117">
        <f>IF(TransferName="NONE",0,(_xlfn.XLOOKUP(TransferNumber,Clients!D:D,Clients!CIH:CIH,2,0,1)))</f>
        <v/>
      </c>
      <c r="J23" s="55" t="n"/>
      <c r="K23" s="36" t="n"/>
      <c r="N23" s="35" t="n"/>
      <c r="O23" s="34" t="inlineStr">
        <is>
          <t>Line 58640</t>
        </is>
      </c>
      <c r="P23" s="35">
        <f>IFERROR(_xlfn.XLOOKUP(TransferNumber,Clients!D:D,Clients!OI:OI,2,0,1),0)</f>
        <v/>
      </c>
    </row>
    <row r="24" ht="15.75" customHeight="1" thickBot="1">
      <c r="B24" s="121" t="n"/>
      <c r="C24" s="120" t="n"/>
      <c r="D24" s="115" t="n"/>
      <c r="E24" s="115" t="n"/>
      <c r="F24" s="117" t="n"/>
      <c r="G24" s="116" t="n"/>
      <c r="H24" s="117" t="n"/>
      <c r="J24" s="55" t="n"/>
      <c r="K24" s="36" t="n"/>
      <c r="N24" s="35" t="n"/>
      <c r="O24" s="34" t="n"/>
      <c r="P24" s="35" t="n"/>
    </row>
    <row r="25" ht="15.75" customHeight="1" thickBot="1">
      <c r="B25" s="121" t="n"/>
      <c r="C25" s="120" t="n"/>
      <c r="D25" s="115" t="n"/>
      <c r="E25" s="115" t="n"/>
      <c r="F25" s="117" t="n"/>
      <c r="G25" s="116" t="n"/>
      <c r="H25" s="117" t="n"/>
      <c r="J25" s="55" t="n"/>
      <c r="K25" s="36" t="n"/>
      <c r="N25" s="35" t="n"/>
      <c r="O25" s="34" t="n"/>
      <c r="P25" s="35" t="n"/>
    </row>
    <row r="26" ht="15.75" customHeight="1" thickBot="1">
      <c r="B26" s="121" t="n"/>
      <c r="C26" s="120" t="n"/>
      <c r="D26" s="115" t="n"/>
      <c r="E26" s="115" t="n"/>
      <c r="F26" s="117" t="n"/>
      <c r="G26" s="116" t="n"/>
      <c r="H26" s="117" t="n"/>
      <c r="J26" s="55" t="n"/>
      <c r="K26" s="36" t="n"/>
      <c r="N26" s="35" t="n"/>
      <c r="O26" s="34" t="n"/>
      <c r="P26" s="35" t="n"/>
    </row>
    <row r="27" ht="15.75" customHeight="1" thickBot="1">
      <c r="B27" s="121" t="n"/>
      <c r="C27" s="120" t="n"/>
      <c r="D27" s="115" t="n"/>
      <c r="E27" s="115" t="n"/>
      <c r="F27" s="117" t="n"/>
      <c r="G27" s="116" t="n"/>
      <c r="H27" s="117">
        <f>IF(E32&gt;0,E8-G8,0)</f>
        <v/>
      </c>
      <c r="J27" s="55" t="n"/>
      <c r="K27" s="36" t="n"/>
      <c r="N27" s="35" t="n"/>
      <c r="O27" s="34" t="n"/>
      <c r="P27" s="35">
        <f>IF(M32&gt;0,M8-O8,0)</f>
        <v/>
      </c>
    </row>
    <row r="28" ht="15.75" customHeight="1" thickBot="1">
      <c r="B28" s="121" t="n"/>
      <c r="C28" s="120" t="n"/>
      <c r="D28" s="115" t="n"/>
      <c r="E28" s="115" t="n"/>
      <c r="F28" s="117" t="n"/>
      <c r="G28" s="115" t="n"/>
      <c r="H28" s="122">
        <f>IF(TransferName="NONE",F33,IF(H27&gt;0,(E32-G8)*0.087,0))</f>
        <v/>
      </c>
      <c r="J28" s="55" t="n"/>
      <c r="K28" s="36" t="n"/>
      <c r="N28" s="35" t="n"/>
      <c r="P28" s="52">
        <f>IF(TransferName="NONE",N33,IF(P27&gt;0,(M32-O8)*0.087,0))</f>
        <v/>
      </c>
    </row>
    <row r="29">
      <c r="B29" s="675" t="n"/>
      <c r="C29" s="115" t="n"/>
      <c r="D29" s="115" t="n"/>
      <c r="E29" s="115" t="n"/>
      <c r="F29" s="117" t="n"/>
      <c r="G29" s="116" t="inlineStr">
        <is>
          <t>Transferable</t>
        </is>
      </c>
      <c r="H29" s="122">
        <f>IF(H28&gt;0,H28,0)</f>
        <v/>
      </c>
      <c r="J29" s="667" t="n"/>
      <c r="N29" s="35" t="n"/>
      <c r="O29" s="34" t="inlineStr">
        <is>
          <t>Transferable</t>
        </is>
      </c>
      <c r="P29" s="52">
        <f>IF(P28&gt;0,P28,0)</f>
        <v/>
      </c>
    </row>
    <row r="30">
      <c r="B30" s="675" t="inlineStr">
        <is>
          <t>Adjusted Taxable Income</t>
        </is>
      </c>
      <c r="C30" s="115">
        <f>C11-(SUM(C13:C28))</f>
        <v/>
      </c>
      <c r="D30" s="124" t="inlineStr">
        <is>
          <t>Line 5864</t>
        </is>
      </c>
      <c r="E30" s="125">
        <f>IF(C30&gt;0,C30,0)</f>
        <v/>
      </c>
      <c r="F30" s="117" t="n"/>
      <c r="G30" s="116" t="n"/>
      <c r="H30" s="117" t="n"/>
      <c r="J30" s="667" t="inlineStr">
        <is>
          <t>Adjusted Taxable Income</t>
        </is>
      </c>
      <c r="K30">
        <f>K11-(SUM(K13:K28))</f>
        <v/>
      </c>
      <c r="L30" s="13" t="inlineStr">
        <is>
          <t>Line 5864</t>
        </is>
      </c>
      <c r="M30" s="39">
        <f>IF(K30&gt;0,K30,0)</f>
        <v/>
      </c>
      <c r="N30" s="35" t="n"/>
      <c r="O30" s="34" t="n"/>
      <c r="P30" s="35" t="n"/>
    </row>
    <row r="31" ht="15.75" customHeight="1" thickBot="1">
      <c r="B31" s="116" t="n"/>
      <c r="C31" s="115" t="n"/>
      <c r="D31" s="115" t="n"/>
      <c r="E31" s="115" t="n"/>
      <c r="F31" s="117" t="n"/>
      <c r="G31" s="116" t="n"/>
      <c r="H31" s="117" t="n"/>
      <c r="J31" s="34" t="n"/>
      <c r="N31" s="35" t="n"/>
      <c r="O31" s="34" t="n"/>
      <c r="P31" s="35" t="n"/>
    </row>
    <row r="32" ht="15.75" customHeight="1" thickBot="1">
      <c r="B32" s="116" t="n"/>
      <c r="C32" s="115" t="n"/>
      <c r="D32" s="126" t="inlineStr">
        <is>
          <t>Prov Trans</t>
        </is>
      </c>
      <c r="E32" s="120">
        <f>(E8-E30)</f>
        <v/>
      </c>
      <c r="F32" s="127" t="n"/>
      <c r="G32" s="116" t="n"/>
      <c r="H32" s="122" t="n"/>
      <c r="J32" s="34" t="n"/>
      <c r="L32" s="21" t="inlineStr">
        <is>
          <t>Prov Trans</t>
        </is>
      </c>
      <c r="M32" s="36">
        <f>(M8-M30)</f>
        <v/>
      </c>
      <c r="N32" s="40" t="n"/>
      <c r="O32" s="34" t="n"/>
      <c r="P32" s="52" t="n"/>
    </row>
    <row r="33" ht="15.75" customHeight="1" thickBot="1">
      <c r="B33" s="116" t="n"/>
      <c r="C33" s="664" t="inlineStr">
        <is>
          <t>DTC Transferable ESTIMATE</t>
        </is>
      </c>
      <c r="D33" s="35" t="n"/>
      <c r="E33" s="120">
        <f>IF(E32&lt;0,0,(IF(E32&gt;E6,E6,E32)))</f>
        <v/>
      </c>
      <c r="F33" s="127">
        <f>IF(E33&gt;0,E33*0.087,"No Transfer Required")</f>
        <v/>
      </c>
      <c r="G33" s="666" t="n"/>
      <c r="H33" s="122" t="n"/>
      <c r="J33" s="34" t="n"/>
      <c r="K33" s="579" t="inlineStr">
        <is>
          <t>DTC Transferable ESTIMATE</t>
        </is>
      </c>
      <c r="L33" s="35" t="n"/>
      <c r="M33" s="36">
        <f>IF(M32&lt;0,0,(IF(M32&gt;M6,M6,M32)))</f>
        <v/>
      </c>
      <c r="N33" s="40">
        <f>IF(M33&gt;0,M33*0.087,"No Transfer Required")</f>
        <v/>
      </c>
      <c r="O33" s="58" t="n"/>
      <c r="P33" s="52" t="n"/>
    </row>
    <row r="34" ht="15.75" customHeight="1" thickBot="1">
      <c r="B34" s="128" t="n"/>
      <c r="C34" s="129" t="n"/>
      <c r="D34" s="130" t="inlineStr">
        <is>
          <t>Net Transferable</t>
        </is>
      </c>
      <c r="E34" s="120">
        <f>IF(E32&lt;0,0,(IF(E32-G4-G5-G7&lt;0,E32,(E32-G4-G5-G7))))</f>
        <v/>
      </c>
      <c r="F34" s="131">
        <f>IF(E34&gt;0,E34*0.087,"0")</f>
        <v/>
      </c>
      <c r="G34" s="42" t="n"/>
      <c r="H34" s="863" t="n"/>
      <c r="J34" s="42" t="n"/>
      <c r="K34" s="41" t="n"/>
      <c r="L34" s="43" t="inlineStr">
        <is>
          <t>Net Transferable</t>
        </is>
      </c>
      <c r="M34" s="36">
        <f>IF(M32&lt;0,0,(IF(M32-O4-O5-O7&lt;0,M32,(M32-O4-O5-O7))))</f>
        <v/>
      </c>
      <c r="N34" s="57">
        <f>IF(M34&gt;0,M34*0.087,"0")</f>
        <v/>
      </c>
      <c r="O34" s="59" t="n"/>
      <c r="P34" s="864" t="n"/>
    </row>
    <row r="36" ht="15.75" customHeight="1" thickBot="1">
      <c r="E36">
        <f>Calculator!$D$5</f>
        <v/>
      </c>
      <c r="H36">
        <f>TransferName</f>
        <v/>
      </c>
      <c r="M36">
        <f>Calculator!$D$5</f>
        <v/>
      </c>
      <c r="P36">
        <f>TransferName</f>
        <v/>
      </c>
    </row>
    <row r="37" ht="15.75" customHeight="1" thickBot="1">
      <c r="B37" s="876" t="inlineStr">
        <is>
          <t>2022 NEWFOUNDLAND Provincial</t>
        </is>
      </c>
      <c r="C37" s="778" t="n"/>
      <c r="D37" s="778" t="n"/>
      <c r="E37" s="778" t="n"/>
      <c r="F37" s="778" t="n"/>
      <c r="G37" s="778" t="n"/>
      <c r="H37" s="780" t="n"/>
      <c r="J37" s="876" t="inlineStr">
        <is>
          <t>2021 NEWFOUNDLAND Provincial</t>
        </is>
      </c>
      <c r="K37" s="778" t="n"/>
      <c r="L37" s="778" t="n"/>
      <c r="M37" s="778" t="n"/>
      <c r="N37" s="778" t="n"/>
      <c r="O37" s="778" t="n"/>
      <c r="P37" s="780" t="n"/>
    </row>
    <row r="38" ht="15.75" customHeight="1" thickBot="1">
      <c r="B38" s="34" t="n"/>
      <c r="D38" t="inlineStr">
        <is>
          <t>Line</t>
        </is>
      </c>
      <c r="E38" t="inlineStr">
        <is>
          <t>Amt</t>
        </is>
      </c>
      <c r="F38" s="35" t="n"/>
      <c r="G38" s="667" t="inlineStr">
        <is>
          <t>Spouse</t>
        </is>
      </c>
      <c r="H38" s="35" t="inlineStr">
        <is>
          <t>S2 Adjustment</t>
        </is>
      </c>
      <c r="J38" s="34" t="n"/>
      <c r="L38" t="inlineStr">
        <is>
          <t>Line</t>
        </is>
      </c>
      <c r="M38" t="inlineStr">
        <is>
          <t>Amt</t>
        </is>
      </c>
      <c r="N38" s="35" t="n"/>
      <c r="O38" s="34" t="inlineStr">
        <is>
          <t>Spouse</t>
        </is>
      </c>
      <c r="P38" s="35" t="inlineStr">
        <is>
          <t>S2 Adjustment</t>
        </is>
      </c>
    </row>
    <row r="39" ht="15.75" customHeight="1" thickBot="1">
      <c r="B39" s="667" t="inlineStr">
        <is>
          <t>Age Amount</t>
        </is>
      </c>
      <c r="D39" t="inlineStr">
        <is>
          <t>Line 58080</t>
        </is>
      </c>
      <c r="E39" s="861">
        <f>(_xlfn.XLOOKUP(ClientNumber,Clients!D:D,Clients!ANR:ANR,2,0,1))</f>
        <v/>
      </c>
      <c r="F39" s="37" t="inlineStr">
        <is>
          <t>Line 59020</t>
        </is>
      </c>
      <c r="G39" s="51">
        <f>IF(TransferName="NONE",0,(_xlfn.XLOOKUP(TransferNumber,Clients!D:D,Clients!APT:APT,2,0,1)))</f>
        <v/>
      </c>
      <c r="H39" s="37">
        <f>IF(AND(E39&gt;0,G39=0),"Age Amount Can Be Transferred","No Action")</f>
        <v/>
      </c>
      <c r="J39" s="667" t="inlineStr">
        <is>
          <t>Age Amount</t>
        </is>
      </c>
      <c r="L39" t="inlineStr">
        <is>
          <t>Line 58080</t>
        </is>
      </c>
      <c r="M39" s="865">
        <f>(_xlfn.XLOOKUP(MainClient,Clients!D:D,Clients!BOM:BOM,2,0,1))</f>
        <v/>
      </c>
      <c r="N39" s="37" t="inlineStr">
        <is>
          <t>Line 59020</t>
        </is>
      </c>
      <c r="O39" s="51">
        <f>IF(TransferName="NONE",0,(_xlfn.XLOOKUP(TransferNumber,Clients!D:D,Clients!BQO:BQO,2,0,1)))</f>
        <v/>
      </c>
      <c r="P39" s="37">
        <f>IF(AND(M39&gt;0,O39=0),"Age Amount Can Be Transferred","No Action")</f>
        <v/>
      </c>
    </row>
    <row r="40" ht="15.75" customHeight="1" thickBot="1">
      <c r="B40" s="667" t="inlineStr">
        <is>
          <t>Pension Income Amount</t>
        </is>
      </c>
      <c r="D40" t="inlineStr">
        <is>
          <t>Line 58360 (mx 1000)</t>
        </is>
      </c>
      <c r="E40" s="861">
        <f>IF((_xlfn.XLOOKUP(ClientNumber,Clients!D:D,Clients!AOR:AOR,2,0,1)&lt;1000),(_xlfn.XLOOKUP(MainClient,Clients!D:D,Clients!AOR:AOR,2,0,1)),1000)</f>
        <v/>
      </c>
      <c r="F40" s="37" t="inlineStr">
        <is>
          <t>Line 59050</t>
        </is>
      </c>
      <c r="G40" s="51">
        <f>IF(TransferName="NONE",0,(_xlfn.XLOOKUP(TransferNumber,Clients!D:D,Clients!APW:APW,2,0,1)))</f>
        <v/>
      </c>
      <c r="H40" s="37">
        <f>IF(AND(E40&gt;0,G40=0),"Pension Income Amount Can Be Transferred","No Action")</f>
        <v/>
      </c>
      <c r="J40" s="667" t="inlineStr">
        <is>
          <t>Pension Income Amount</t>
        </is>
      </c>
      <c r="L40" t="inlineStr">
        <is>
          <t>Line 58360 (mx 1000)</t>
        </is>
      </c>
      <c r="M40" s="865">
        <f>IF((_xlfn.XLOOKUP(ClientNumber,Clients!D:D,Clients!BPM:BPM,2,0,1)&lt;1000),(_xlfn.XLOOKUP(MainClient,Clients!D:D,Clients!BPM:BPM,2,0,1)),1000)</f>
        <v/>
      </c>
      <c r="N40" s="37" t="inlineStr">
        <is>
          <t>Line 59050</t>
        </is>
      </c>
      <c r="O40" s="51">
        <f>IF(TransferName="NONE",0,(_xlfn.XLOOKUP(TransferNumber,Clients!D:D,Clients!BQR:BQR,2,0,1)))</f>
        <v/>
      </c>
      <c r="P40" s="37">
        <f>IF(AND(M40&gt;0,O40=0),"Pension Income Amount Can Be Transferred","No Action")</f>
        <v/>
      </c>
    </row>
    <row r="41" ht="15.75" customHeight="1" thickBot="1">
      <c r="B41" s="667" t="inlineStr">
        <is>
          <t>Disability Amount</t>
        </is>
      </c>
      <c r="D41" t="inlineStr">
        <is>
          <t>Line 58440</t>
        </is>
      </c>
      <c r="E41" s="861">
        <f>IF(_xlfn.XLOOKUP(ClientNumber,Clients!D:D,Clients!AOT:AOT,2,0,1)=0,6615,(_xlfn.XLOOKUP(MainClient,Clients!D:D,Clients!AOT:AOT,2,0,1)))</f>
        <v/>
      </c>
      <c r="F41" s="37" t="inlineStr">
        <is>
          <t>Line 59070</t>
        </is>
      </c>
      <c r="G41" s="51">
        <f>IF(TransferName="NONE",0,(_xlfn.XLOOKUP(TransferNumber,Clients!D:D,Clients!APX:APX,2,0,1)))</f>
        <v/>
      </c>
      <c r="H41" s="37">
        <f>IF(AND(E41&gt;0,G41=0),"DTC Transferable Not Claimed Can Be Transferred","No Action")</f>
        <v/>
      </c>
      <c r="J41" s="667" t="inlineStr">
        <is>
          <t>Disability Amount</t>
        </is>
      </c>
      <c r="L41" t="inlineStr">
        <is>
          <t>Line 58440</t>
        </is>
      </c>
      <c r="M41" s="865">
        <f>IF(_xlfn.XLOOKUP(ClientNumber,Clients!D:D,Clients!BPO:BPO,2,0,1)=0,6435,(_xlfn.XLOOKUP(MainClient,Clients!D:D,Clients!BPO:BPO,2,0,1)))</f>
        <v/>
      </c>
      <c r="N41" s="37" t="inlineStr">
        <is>
          <t>Line 59070</t>
        </is>
      </c>
      <c r="O41" s="51">
        <f>IF(TransferName="NONE",0,(_xlfn.XLOOKUP(TransferNumber,Clients!D:D,Clients!BQS:BQS,2,0,1)))</f>
        <v/>
      </c>
      <c r="P41" s="37">
        <f>IF(AND(M41&gt;0,O41=0),"DTC Transferable Not Claimed Can Be Transferred","No Action")</f>
        <v/>
      </c>
    </row>
    <row r="42" ht="15.75" customHeight="1" thickBot="1">
      <c r="B42" s="667" t="inlineStr">
        <is>
          <t>Tuition Amount</t>
        </is>
      </c>
      <c r="D42" t="inlineStr">
        <is>
          <t>Line 59200</t>
        </is>
      </c>
      <c r="E42" s="861">
        <f>(_xlfn.XLOOKUP(ClientNumber,Clients!D:D,Clients!AQI:AQI,2,0,1))</f>
        <v/>
      </c>
      <c r="F42" s="37" t="inlineStr">
        <is>
          <t>Line 59090</t>
        </is>
      </c>
      <c r="G42" s="51">
        <f>IF(TransferName="NONE",0,(_xlfn.XLOOKUP(TransferNumber,Clients!D:D,Clients!APY:APY,2,0,1)))</f>
        <v/>
      </c>
      <c r="H42" s="37">
        <f>IF(AND(E42&gt;0,G42=0),"Tuition Can Be Transferred","No Action")</f>
        <v/>
      </c>
      <c r="J42" s="667" t="inlineStr">
        <is>
          <t>Tuition Amount</t>
        </is>
      </c>
      <c r="L42" t="inlineStr">
        <is>
          <t>Line 59200</t>
        </is>
      </c>
      <c r="M42" s="865">
        <f>(_xlfn.XLOOKUP(MainClient,Clients!D:D,Clients!BRD:BRD,2,0,1))</f>
        <v/>
      </c>
      <c r="N42" s="37" t="inlineStr">
        <is>
          <t>Line 59090</t>
        </is>
      </c>
      <c r="O42" s="51">
        <f>IF(TransferName="NONE",0,(_xlfn.XLOOKUP(TransferNumber,Clients!D:D,Clients!BQT:BQT,2,0,1)))</f>
        <v/>
      </c>
      <c r="P42" s="37">
        <f>IF(AND(M42&gt;0,O42=0),"Tuition Can Be Transferred","No Action")</f>
        <v/>
      </c>
    </row>
    <row r="43">
      <c r="B43" s="667" t="n"/>
      <c r="E43" s="771">
        <f>SUM(E39:E42)</f>
        <v/>
      </c>
      <c r="F43" s="37" t="n"/>
      <c r="G43" s="667">
        <f>SUM(G39:G42)</f>
        <v/>
      </c>
      <c r="H43" s="37" t="n"/>
      <c r="J43" s="667" t="n"/>
      <c r="M43" s="872">
        <f>SUM(M39:M42)</f>
        <v/>
      </c>
      <c r="N43" s="37" t="n"/>
      <c r="O43" s="667">
        <f>SUM(O39:O42)</f>
        <v/>
      </c>
      <c r="P43" s="37" t="n"/>
    </row>
    <row r="44">
      <c r="A44" t="inlineStr">
        <is>
          <t>`</t>
        </is>
      </c>
      <c r="B44" s="667" t="n"/>
      <c r="C44" s="668" t="n"/>
      <c r="E44" s="771" t="n"/>
      <c r="F44" s="37" t="n"/>
      <c r="G44" s="668" t="n"/>
      <c r="H44" s="37" t="n"/>
      <c r="J44" s="667" t="n"/>
      <c r="K44" s="668" t="n"/>
      <c r="M44" s="872" t="n"/>
      <c r="N44" s="37" t="n"/>
      <c r="O44" s="668" t="n"/>
      <c r="P44" s="37" t="n"/>
    </row>
    <row r="45" ht="15.75" customHeight="1" thickBot="1">
      <c r="B45" s="34" t="n"/>
      <c r="F45" s="35" t="n"/>
      <c r="H45" s="35" t="n"/>
      <c r="J45" s="34" t="n"/>
      <c r="N45" s="35" t="n"/>
      <c r="P45" s="35" t="n"/>
    </row>
    <row r="46" ht="15.75" customHeight="1" thickBot="1">
      <c r="B46" s="667" t="inlineStr">
        <is>
          <t>Line 26000</t>
        </is>
      </c>
      <c r="C46" s="36">
        <f>(_xlfn.XLOOKUP(MainClient,Clients!D:D,Clients!AFS:AFS,2,0,1))</f>
        <v/>
      </c>
      <c r="F46" s="35" t="n"/>
      <c r="G46" s="34">
        <f>IF(E69&gt;E41,"other transferable credits","DTC Only")</f>
        <v/>
      </c>
      <c r="H46" s="35" t="n"/>
      <c r="J46" s="667" t="inlineStr">
        <is>
          <t>Line 26000</t>
        </is>
      </c>
      <c r="K46" s="36">
        <f>(_xlfn.XLOOKUP(MainClient,Clients!D:D,Clients!BGN:BGN,2,0,1))</f>
        <v/>
      </c>
      <c r="N46" s="35" t="n"/>
      <c r="O46" s="34">
        <f>IF(M69&gt;M41,"other transferable credits","DTC Only")</f>
        <v/>
      </c>
      <c r="P46" s="35" t="n"/>
    </row>
    <row r="47" ht="15.75" customHeight="1" thickBot="1">
      <c r="B47" s="34" t="n"/>
      <c r="F47" s="35" t="n"/>
      <c r="G47" s="34" t="n"/>
      <c r="H47" s="35" t="n"/>
      <c r="J47" s="34" t="n"/>
      <c r="N47" s="35" t="n"/>
      <c r="O47" s="34" t="n"/>
      <c r="P47" s="35" t="n"/>
    </row>
    <row r="48" ht="15.75" customHeight="1" thickBot="1">
      <c r="B48" s="55" t="inlineStr">
        <is>
          <t>Line 58040</t>
        </is>
      </c>
      <c r="C48" s="36">
        <f>(_xlfn.XLOOKUP(ClientNumber,Clients!D:D,Clients!ANQ:ANQ,2,0,1))</f>
        <v/>
      </c>
      <c r="F48" s="35" t="n"/>
      <c r="G48" s="34" t="n"/>
      <c r="H48" s="35" t="n"/>
      <c r="J48" s="55" t="inlineStr">
        <is>
          <t>Line 58040</t>
        </is>
      </c>
      <c r="K48" s="36">
        <f>(_xlfn.XLOOKUP(MainClient,Clients!D:D,Clients!BOL:BOL,2,0,1))</f>
        <v/>
      </c>
      <c r="N48" s="35" t="n"/>
      <c r="O48" s="34" t="n"/>
      <c r="P48" s="35" t="n"/>
    </row>
    <row r="49" ht="15.75" customHeight="1" thickBot="1">
      <c r="B49" s="55" t="inlineStr">
        <is>
          <t>Line 58240</t>
        </is>
      </c>
      <c r="C49" s="36">
        <f>(_xlfn.XLOOKUP(ClientNumber,Clients!D:D,Clients!AOF:AOF,2,0,1))</f>
        <v/>
      </c>
      <c r="F49" s="35" t="n"/>
      <c r="G49" s="34" t="n"/>
      <c r="H49" s="35" t="n"/>
      <c r="J49" s="55" t="inlineStr">
        <is>
          <t>Line 58240</t>
        </is>
      </c>
      <c r="K49" s="36">
        <f>(_xlfn.XLOOKUP(MainClient,Clients!D:D,Clients!BPA:BPA,2,0,1))</f>
        <v/>
      </c>
      <c r="N49" s="35" t="n"/>
      <c r="O49" s="34" t="n"/>
      <c r="P49" s="35" t="n"/>
    </row>
    <row r="50" ht="15.75" customHeight="1" thickBot="1">
      <c r="B50" s="55" t="inlineStr">
        <is>
          <t>Line 58280</t>
        </is>
      </c>
      <c r="C50" s="36">
        <f>(_xlfn.XLOOKUP(ClientNumber,Clients!D:D,Clients!AOG:AOG,2,0,1))</f>
        <v/>
      </c>
      <c r="F50" s="35" t="n"/>
      <c r="G50" s="34" t="n"/>
      <c r="H50" s="35" t="n"/>
      <c r="J50" s="55" t="inlineStr">
        <is>
          <t>Line 58280</t>
        </is>
      </c>
      <c r="K50" s="36">
        <f>(_xlfn.XLOOKUP(MainClient,Clients!D:D,Clients!BPB:BPB,2,0,1))</f>
        <v/>
      </c>
      <c r="N50" s="35" t="n"/>
      <c r="P50" s="35" t="n"/>
    </row>
    <row r="51" ht="15.75" customHeight="1" thickBot="1">
      <c r="B51" s="55" t="inlineStr">
        <is>
          <t>Line 58300</t>
        </is>
      </c>
      <c r="C51" s="36">
        <f>(_xlfn.XLOOKUP(ClientNumber,Clients!D:D,Clients!AOH:AOH,2,0,1))</f>
        <v/>
      </c>
      <c r="F51" s="35" t="n"/>
      <c r="G51" s="34" t="n"/>
      <c r="H51" s="35" t="n"/>
      <c r="J51" s="55" t="inlineStr">
        <is>
          <t>Line 58300</t>
        </is>
      </c>
      <c r="K51" s="36">
        <f>(_xlfn.XLOOKUP(MainClient,Clients!D:D,Clients!BPC:BPC,2,0,1))</f>
        <v/>
      </c>
      <c r="N51" s="35" t="n"/>
      <c r="O51" s="34" t="n"/>
      <c r="P51" s="35" t="n"/>
    </row>
    <row r="52" ht="15.75" customHeight="1" thickBot="1">
      <c r="B52" s="55" t="inlineStr">
        <is>
          <t>Line 58305</t>
        </is>
      </c>
      <c r="C52" s="36">
        <f>(_xlfn.XLOOKUP(ClientNumber,Clients!D:D,Clients!AOI:AOI,2,0,1))</f>
        <v/>
      </c>
      <c r="F52" s="35" t="n"/>
      <c r="G52" s="34" t="n"/>
      <c r="H52" s="35" t="n"/>
      <c r="J52" s="55" t="inlineStr">
        <is>
          <t>Line 58305</t>
        </is>
      </c>
      <c r="K52" s="36">
        <f>(_xlfn.XLOOKUP(MainClient,Clients!D:D,Clients!BPD:BPD,2,0,1))</f>
        <v/>
      </c>
      <c r="N52" s="35" t="n"/>
      <c r="O52" s="34" t="n"/>
      <c r="P52" s="35" t="n"/>
    </row>
    <row r="53" ht="15.75" customHeight="1" thickBot="1">
      <c r="B53" s="55" t="inlineStr">
        <is>
          <t>Line 58315</t>
        </is>
      </c>
      <c r="C53" s="36">
        <f>(_xlfn.XLOOKUP(ClientNumber,Clients!D:D,Clients!AOK:AOK,2,0,1))</f>
        <v/>
      </c>
      <c r="F53" s="35" t="n"/>
      <c r="G53" s="34" t="n"/>
      <c r="H53" s="35" t="n"/>
      <c r="J53" s="55" t="inlineStr">
        <is>
          <t>Line 58315</t>
        </is>
      </c>
      <c r="K53" s="36">
        <f>(_xlfn.XLOOKUP(MainClient,Clients!D:D,Clients!BPF:BPF,2,0,1))</f>
        <v/>
      </c>
      <c r="N53" s="35" t="n"/>
      <c r="O53" s="34" t="n"/>
      <c r="P53" s="35" t="n"/>
    </row>
    <row r="54" ht="15.75" customHeight="1" thickBot="1">
      <c r="B54" s="55" t="inlineStr">
        <is>
          <t>Line 58316</t>
        </is>
      </c>
      <c r="C54" s="36">
        <f>(_xlfn.XLOOKUP(ClientNumber,Clients!D:D,Clients!AOL:AOL,2,0,1))</f>
        <v/>
      </c>
      <c r="F54" s="35" t="n"/>
      <c r="G54" s="34" t="n"/>
      <c r="H54" s="35" t="n"/>
      <c r="J54" s="55" t="inlineStr">
        <is>
          <t>Line 58316</t>
        </is>
      </c>
      <c r="K54" s="36">
        <f>(_xlfn.XLOOKUP(MainClient,Clients!D:D,Clients!BPG:BPG,2,0,1))</f>
        <v/>
      </c>
      <c r="N54" s="35" t="n"/>
      <c r="O54" s="34" t="n"/>
      <c r="P54" s="35" t="n"/>
    </row>
    <row r="55" ht="15.75" customHeight="1" thickBot="1">
      <c r="B55" s="55" t="inlineStr">
        <is>
          <t>Line 58320</t>
        </is>
      </c>
      <c r="C55" s="36">
        <f>(_xlfn.XLOOKUP(ClientNumber,Clients!D:D,Clients!AOM:AOM,2,0,1))</f>
        <v/>
      </c>
      <c r="F55" s="35" t="n"/>
      <c r="G55" s="34" t="n"/>
      <c r="H55" s="35" t="n"/>
      <c r="J55" s="55" t="inlineStr">
        <is>
          <t>Line 58320</t>
        </is>
      </c>
      <c r="K55" s="36">
        <f>(_xlfn.XLOOKUP(MainClient,Clients!D:D,Clients!BPH:BPH,2,0,1))</f>
        <v/>
      </c>
      <c r="N55" s="35" t="n"/>
      <c r="O55" s="34" t="n"/>
      <c r="P55" s="35" t="n"/>
    </row>
    <row r="56" ht="15.75" customHeight="1" thickBot="1">
      <c r="B56" s="55" t="inlineStr">
        <is>
          <t>Line 58330</t>
        </is>
      </c>
      <c r="C56" s="36">
        <f>(_xlfn.XLOOKUP(ClientNumber,Clients!D:D,Clients!AOP:AOP,2,0,1))</f>
        <v/>
      </c>
      <c r="F56" s="35" t="n"/>
      <c r="G56" s="34" t="n"/>
      <c r="H56" s="35" t="n"/>
      <c r="J56" s="55" t="inlineStr">
        <is>
          <t>Line 58330</t>
        </is>
      </c>
      <c r="K56" s="36">
        <f>(_xlfn.XLOOKUP(MainClient,Clients!D:D,Clients!BPK:BPK,2,0,1))</f>
        <v/>
      </c>
      <c r="N56" s="35" t="n"/>
      <c r="O56" s="34" t="n"/>
      <c r="P56" s="35" t="n"/>
    </row>
    <row r="57" ht="15.75" customHeight="1" thickBot="1">
      <c r="B57" s="55" t="inlineStr">
        <is>
          <t>Line 58560</t>
        </is>
      </c>
      <c r="C57" s="36">
        <f>(_xlfn.XLOOKUP(ClientNumber,Clients!D:D,Clients!AOX:AOX,2,0,1))</f>
        <v/>
      </c>
      <c r="F57" s="35" t="n"/>
      <c r="G57" s="34" t="n"/>
      <c r="H57" s="35" t="n"/>
      <c r="J57" s="55" t="inlineStr">
        <is>
          <t>Line 58560</t>
        </is>
      </c>
      <c r="K57" s="36">
        <f>(_xlfn.XLOOKUP(MainClient,Clients!D:D,Clients!BPS:BPS,2,0,1))</f>
        <v/>
      </c>
      <c r="N57" s="35" t="n"/>
      <c r="O57" s="34" t="n"/>
      <c r="P57" s="35" t="n"/>
    </row>
    <row r="58" ht="15.75" customHeight="1" thickBot="1">
      <c r="B58" s="55" t="n"/>
      <c r="C58" s="36" t="n"/>
      <c r="F58" s="35" t="n"/>
      <c r="G58" s="34" t="inlineStr">
        <is>
          <t>Line 326</t>
        </is>
      </c>
      <c r="H58" s="35">
        <f>IF(TransferName="NONE",0,(_xlfn.XLOOKUP(TransferNumber,Clients!D:D,Clients!CIH:CIH,2,0,1)))</f>
        <v/>
      </c>
      <c r="J58" s="55" t="n"/>
      <c r="K58" s="36" t="n"/>
      <c r="N58" s="35" t="n"/>
      <c r="O58" s="34" t="inlineStr">
        <is>
          <t>Line 326</t>
        </is>
      </c>
      <c r="P58" s="35">
        <f>IFERROR(_xlfn.XLOOKUP(TransferNumber,Clients!D:D,Clients!FJZ:FJZ,2,0,1),0)</f>
        <v/>
      </c>
    </row>
    <row r="59" ht="15.75" customHeight="1" thickBot="1">
      <c r="B59" s="55" t="n"/>
      <c r="C59" s="36" t="n"/>
      <c r="F59" s="35" t="n"/>
      <c r="G59" s="34" t="n"/>
      <c r="H59" s="35" t="n"/>
      <c r="J59" s="55" t="n"/>
      <c r="K59" s="36" t="n"/>
      <c r="N59" s="35" t="n"/>
      <c r="O59" s="34" t="n"/>
      <c r="P59" s="35" t="n"/>
    </row>
    <row r="60" ht="15.75" customHeight="1" thickBot="1">
      <c r="B60" s="55" t="n"/>
      <c r="C60" s="36" t="n"/>
      <c r="F60" s="35" t="n"/>
      <c r="G60" s="34" t="n"/>
      <c r="H60" s="35" t="n"/>
      <c r="J60" s="55" t="n"/>
      <c r="K60" s="36" t="n"/>
      <c r="N60" s="35" t="n"/>
      <c r="O60" s="34" t="n"/>
      <c r="P60" s="35" t="n"/>
    </row>
    <row r="61" ht="15.75" customHeight="1" thickBot="1">
      <c r="B61" s="55" t="n"/>
      <c r="C61" s="36" t="n"/>
      <c r="F61" s="35" t="n"/>
      <c r="G61" s="34" t="n"/>
      <c r="H61" s="35" t="n"/>
      <c r="J61" s="55" t="n"/>
      <c r="K61" s="36" t="n"/>
      <c r="N61" s="35" t="n"/>
      <c r="O61" s="34" t="n"/>
      <c r="P61" s="35" t="n"/>
    </row>
    <row r="62" ht="15.75" customHeight="1" thickBot="1">
      <c r="B62" s="55" t="n"/>
      <c r="C62" s="36" t="n"/>
      <c r="F62" s="35" t="n"/>
      <c r="G62" s="34" t="n"/>
      <c r="H62" s="35">
        <f>IF(E67&gt;0,E43-G43,0)</f>
        <v/>
      </c>
      <c r="J62" s="55" t="n"/>
      <c r="K62" s="36" t="n"/>
      <c r="N62" s="35" t="n"/>
      <c r="O62" s="34" t="n"/>
      <c r="P62" s="35">
        <f>IF(M67&gt;0,M43-O43,0)</f>
        <v/>
      </c>
    </row>
    <row r="63" ht="15.75" customHeight="1" thickBot="1">
      <c r="B63" s="55" t="n"/>
      <c r="C63" s="36" t="n"/>
      <c r="F63" s="35" t="n"/>
      <c r="H63" s="52">
        <f>IF(TransferName="NONE",F68,IF(H62&gt;0,(E67-G43)*0.087,0))</f>
        <v/>
      </c>
      <c r="J63" s="55" t="n"/>
      <c r="K63" s="36" t="n"/>
      <c r="N63" s="35" t="n"/>
      <c r="P63" s="52">
        <f>IF(TransferName="NONE",N68,IF(P62&gt;0,(M67-O43)*0.087,0))</f>
        <v/>
      </c>
    </row>
    <row r="64">
      <c r="B64" s="667" t="n"/>
      <c r="F64" s="35" t="n"/>
      <c r="G64" s="34" t="inlineStr">
        <is>
          <t>Transferable</t>
        </is>
      </c>
      <c r="H64" s="52">
        <f>IF(H63&gt;0,H63,0)</f>
        <v/>
      </c>
      <c r="J64" s="667" t="n"/>
      <c r="N64" s="35" t="n"/>
      <c r="O64" s="34" t="inlineStr">
        <is>
          <t>Transferable</t>
        </is>
      </c>
      <c r="P64" s="52">
        <f>IF(P63&gt;0,P63,0)</f>
        <v/>
      </c>
    </row>
    <row r="65">
      <c r="B65" s="667" t="inlineStr">
        <is>
          <t>Adjusted Taxable Income</t>
        </is>
      </c>
      <c r="C65">
        <f>C46-(SUM(C48:C63))</f>
        <v/>
      </c>
      <c r="D65" s="13" t="inlineStr">
        <is>
          <t>Line 5864</t>
        </is>
      </c>
      <c r="E65" s="39">
        <f>IF(C65&gt;0,C65,0)</f>
        <v/>
      </c>
      <c r="F65" s="35" t="n"/>
      <c r="G65" s="34" t="n"/>
      <c r="H65" s="35" t="n"/>
      <c r="J65" s="667" t="inlineStr">
        <is>
          <t>Adjusted Taxable Income</t>
        </is>
      </c>
      <c r="K65">
        <f>K46-(SUM(K48:K63))</f>
        <v/>
      </c>
      <c r="L65" s="13" t="inlineStr">
        <is>
          <t>Line 5864</t>
        </is>
      </c>
      <c r="M65" s="39">
        <f>IF(K65&gt;0,K65,0)</f>
        <v/>
      </c>
      <c r="N65" s="35" t="n"/>
      <c r="O65" s="34" t="n"/>
      <c r="P65" s="35" t="n"/>
    </row>
    <row r="66" ht="15.75" customHeight="1" thickBot="1">
      <c r="B66" s="34" t="n"/>
      <c r="F66" s="35" t="n"/>
      <c r="G66" s="34" t="n"/>
      <c r="H66" s="35" t="n"/>
      <c r="J66" s="34" t="n"/>
      <c r="N66" s="35" t="n"/>
      <c r="O66" s="34" t="n"/>
      <c r="P66" s="35" t="n"/>
    </row>
    <row r="67" ht="15.75" customHeight="1" thickBot="1">
      <c r="B67" s="34" t="n"/>
      <c r="D67" s="21" t="inlineStr">
        <is>
          <t>Prov Trans</t>
        </is>
      </c>
      <c r="E67" s="36">
        <f>(E43-E65)</f>
        <v/>
      </c>
      <c r="F67" s="40" t="n"/>
      <c r="G67" s="34" t="n"/>
      <c r="H67" s="52" t="n"/>
      <c r="J67" s="34" t="n"/>
      <c r="L67" s="21" t="inlineStr">
        <is>
          <t>Prov Trans</t>
        </is>
      </c>
      <c r="M67" s="36">
        <f>(M43-M65)</f>
        <v/>
      </c>
      <c r="N67" s="40" t="n"/>
      <c r="O67" s="34" t="n"/>
      <c r="P67" s="52" t="n"/>
    </row>
    <row r="68" ht="15.75" customHeight="1" thickBot="1">
      <c r="B68" s="34" t="n"/>
      <c r="C68" s="579" t="inlineStr">
        <is>
          <t>DTC Transferable ESTIMATE</t>
        </is>
      </c>
      <c r="D68" s="35" t="n"/>
      <c r="E68" s="36">
        <f>IF(E67&lt;0,0,(IF(E67&gt;E41,E41,E67)))</f>
        <v/>
      </c>
      <c r="F68" s="40">
        <f>IF(E68&gt;0,E68*0.087,"No Transfer Required")</f>
        <v/>
      </c>
      <c r="G68" s="678" t="n"/>
      <c r="H68" s="52" t="n"/>
      <c r="J68" s="34" t="n"/>
      <c r="K68" s="579" t="inlineStr">
        <is>
          <t>DTC Transferable ESTIMATE</t>
        </is>
      </c>
      <c r="L68" s="35" t="n"/>
      <c r="M68" s="36">
        <f>IF(M67&lt;0,0,(IF(M67&gt;M41,M41,M67)))</f>
        <v/>
      </c>
      <c r="N68" s="40">
        <f>IF(M68&gt;0,M68*0.087,"No Transfer Required")</f>
        <v/>
      </c>
      <c r="O68" s="58" t="n"/>
      <c r="P68" s="52" t="n"/>
    </row>
    <row r="69" ht="15.75" customHeight="1" thickBot="1">
      <c r="B69" s="42" t="n"/>
      <c r="C69" s="41" t="n"/>
      <c r="D69" s="43" t="inlineStr">
        <is>
          <t>Net Transferable</t>
        </is>
      </c>
      <c r="E69" s="36">
        <f>IF(E67&lt;0,0,(IF(E67-G39-G40-G42&lt;0,E67,(E67-G39-G40-G42))))</f>
        <v/>
      </c>
      <c r="F69" s="57">
        <f>IF(E69&gt;0,E69*0.087,"0")</f>
        <v/>
      </c>
      <c r="G69" s="42" t="n"/>
      <c r="H69" s="864" t="n"/>
      <c r="J69" s="42" t="n"/>
      <c r="K69" s="41" t="n"/>
      <c r="L69" s="43" t="inlineStr">
        <is>
          <t>Net Transferable</t>
        </is>
      </c>
      <c r="M69" s="36">
        <f>IF(M67&lt;0,0,(IF(M67-O39-O40-O42&lt;0,M67,(M67-O39-O40-O42))))</f>
        <v/>
      </c>
      <c r="N69" s="57">
        <f>IF(M69&gt;0,M69*0.087,"0")</f>
        <v/>
      </c>
      <c r="O69" s="59" t="n"/>
      <c r="P69" s="864" t="n"/>
    </row>
    <row r="71" ht="15.75" customHeight="1" thickBot="1">
      <c r="E71">
        <f>Calculator!$D$5</f>
        <v/>
      </c>
      <c r="H71">
        <f>TransferName</f>
        <v/>
      </c>
      <c r="M71">
        <f>Calculator!$D$5</f>
        <v/>
      </c>
      <c r="P71">
        <f>TransferName</f>
        <v/>
      </c>
    </row>
    <row r="72" ht="15.75" customHeight="1" thickBot="1">
      <c r="B72" s="876" t="inlineStr">
        <is>
          <t>2020 NEWFOUNDLAND Provincial</t>
        </is>
      </c>
      <c r="C72" s="778" t="n"/>
      <c r="D72" s="778" t="n"/>
      <c r="E72" s="778" t="n"/>
      <c r="F72" s="778" t="n"/>
      <c r="G72" s="778" t="n"/>
      <c r="H72" s="780" t="n"/>
      <c r="J72" s="876" t="inlineStr">
        <is>
          <t>2019 NEWFOUNDLAND Provincial</t>
        </is>
      </c>
      <c r="K72" s="778" t="n"/>
      <c r="L72" s="778" t="n"/>
      <c r="M72" s="778" t="n"/>
      <c r="N72" s="778" t="n"/>
      <c r="O72" s="778" t="n"/>
      <c r="P72" s="780" t="n"/>
    </row>
    <row r="73" ht="28.5" customHeight="1" thickBot="1">
      <c r="B73" s="34" t="n"/>
      <c r="D73" t="inlineStr">
        <is>
          <t>Line</t>
        </is>
      </c>
      <c r="E73" t="inlineStr">
        <is>
          <t>Amt</t>
        </is>
      </c>
      <c r="F73" s="35" t="n"/>
      <c r="G73" s="667" t="inlineStr">
        <is>
          <t>Spouse</t>
        </is>
      </c>
      <c r="H73" s="35" t="inlineStr">
        <is>
          <t>S2 Adjustment</t>
        </is>
      </c>
      <c r="J73" s="34" t="n"/>
      <c r="L73" t="inlineStr">
        <is>
          <t>Line</t>
        </is>
      </c>
      <c r="M73" t="inlineStr">
        <is>
          <t>Amt</t>
        </is>
      </c>
      <c r="N73" s="35" t="n"/>
      <c r="O73" s="34" t="inlineStr">
        <is>
          <t>Spouse</t>
        </is>
      </c>
      <c r="P73" s="35" t="inlineStr">
        <is>
          <t>S2 Adjustment</t>
        </is>
      </c>
    </row>
    <row r="74" ht="15.75" customHeight="1" thickBot="1">
      <c r="B74" s="667" t="inlineStr">
        <is>
          <t>Age Amount</t>
        </is>
      </c>
      <c r="D74" t="inlineStr">
        <is>
          <t>Line 58080</t>
        </is>
      </c>
      <c r="E74" s="861">
        <f>(_xlfn.XLOOKUP(ClientNumber,Clients!D:D,Clients!CPH:CPH,2,0,1))</f>
        <v/>
      </c>
      <c r="F74" s="37" t="inlineStr">
        <is>
          <t>Line 59020</t>
        </is>
      </c>
      <c r="G74" s="51">
        <f>IF(TransferName="NONE",0,(_xlfn.XLOOKUP(TransferNumber,Clients!D:D,Clients!CRJ:CRJ,2,0,1)))</f>
        <v/>
      </c>
      <c r="H74" s="37">
        <f>IF(AND(E74&gt;0,G74=0),"Age Amount Can Be Transferred","No Action")</f>
        <v/>
      </c>
      <c r="J74" s="667" t="inlineStr">
        <is>
          <t>Age Amount</t>
        </is>
      </c>
      <c r="L74" t="inlineStr">
        <is>
          <t>Line 58080</t>
        </is>
      </c>
      <c r="M74" s="865">
        <f>(_xlfn.XLOOKUP(MainClient,Clients!D:D,Clients!DQC:DQC,2,0,1))</f>
        <v/>
      </c>
      <c r="N74" s="37" t="inlineStr">
        <is>
          <t>Line 59020</t>
        </is>
      </c>
      <c r="O74" s="51">
        <f>IF(TransferName="NONE",0,(_xlfn.XLOOKUP(TransferNumber,Clients!D:D,Clients!DSE:DSE,2,0,1)))</f>
        <v/>
      </c>
      <c r="P74" s="37">
        <f>IF(AND(M74&gt;0,O74=0),"Age Amount Can Be Transferred","No Action")</f>
        <v/>
      </c>
    </row>
    <row r="75" ht="15.75" customHeight="1" thickBot="1">
      <c r="B75" s="667" t="inlineStr">
        <is>
          <t>Pension Income Amount</t>
        </is>
      </c>
      <c r="D75" t="inlineStr">
        <is>
          <t>Line 58360 (mx 1000)</t>
        </is>
      </c>
      <c r="E75" s="861">
        <f>IF((_xlfn.XLOOKUP(ClientNumber,Clients!D:D,Clients!CQH:CQH,2,0,1)&lt;1000),(_xlfn.XLOOKUP(MainClient,Clients!D:D,Clients!CQH:CQH,2,0,1)),1000)</f>
        <v/>
      </c>
      <c r="F75" s="37" t="inlineStr">
        <is>
          <t>Line 59050</t>
        </is>
      </c>
      <c r="G75" s="51">
        <f>IF(TransferName="NONE",0,(_xlfn.XLOOKUP(TransferNumber,Clients!D:D,Clients!CRM:CRM,2,0,1)))</f>
        <v/>
      </c>
      <c r="H75" s="37">
        <f>IF(AND(E75&gt;0,G75=0),"Pension Income Amount Can Be Transferred","No Action")</f>
        <v/>
      </c>
      <c r="J75" s="667" t="inlineStr">
        <is>
          <t>Pension Income Amount</t>
        </is>
      </c>
      <c r="L75" t="inlineStr">
        <is>
          <t>Line 58360 (mx 1000)</t>
        </is>
      </c>
      <c r="M75" s="865">
        <f>IF((_xlfn.XLOOKUP(ClientNumber,Clients!D:D,Clients!DRC:DRC,2,0,1)&lt;1000),(_xlfn.XLOOKUP(MainClient,Clients!D:D,Clients!DRC:DRC,2,0,1)),1000)</f>
        <v/>
      </c>
      <c r="N75" s="37" t="inlineStr">
        <is>
          <t>Line 59050</t>
        </is>
      </c>
      <c r="O75" s="51">
        <f>IF(TransferName="NONE",0,(_xlfn.XLOOKUP(TransferNumber,Clients!D:D,Clients!DSH:DSH,2,0,1)))</f>
        <v/>
      </c>
      <c r="P75" s="37">
        <f>IF(AND(M75&gt;0,O75=0),"Pension Income Amount Can Be Transferred","No Action")</f>
        <v/>
      </c>
    </row>
    <row r="76" ht="15.75" customHeight="1" thickBot="1">
      <c r="B76" s="667" t="inlineStr">
        <is>
          <t>Disability Amount</t>
        </is>
      </c>
      <c r="D76" t="inlineStr">
        <is>
          <t>Line 58440</t>
        </is>
      </c>
      <c r="E76" s="861">
        <f>IF(_xlfn.XLOOKUP(ClientNumber,Clients!D:D,Clients!CQJ:CQJ,2,0,1)=0,6409,(_xlfn.XLOOKUP(MainClient,Clients!D:D,Clients!CQJ:CQJ,2,0,1)))</f>
        <v/>
      </c>
      <c r="F76" s="37" t="inlineStr">
        <is>
          <t>Line 59070</t>
        </is>
      </c>
      <c r="G76" s="51">
        <f>IF(TransferName="NONE",0,(_xlfn.XLOOKUP(TransferNumber,Clients!D:D,Clients!CRN:CRN,2,0,1)))</f>
        <v/>
      </c>
      <c r="H76" s="37">
        <f>IF(AND(E76&gt;0,G76=0),"DTC Transferable Not Claimed Can Be Transferred","No Action")</f>
        <v/>
      </c>
      <c r="J76" s="667" t="inlineStr">
        <is>
          <t>Disability Amount</t>
        </is>
      </c>
      <c r="L76" t="inlineStr">
        <is>
          <t>Line 58440</t>
        </is>
      </c>
      <c r="M76" s="865">
        <f>IF(_xlfn.XLOOKUP(ClientNumber,Clients!D:D,Clients!DRE:DRE,2,0,1)=0,6352,(_xlfn.XLOOKUP(MainClient,Clients!D:D,Clients!DRE:DRE,2,0,1)))</f>
        <v/>
      </c>
      <c r="N76" s="37" t="inlineStr">
        <is>
          <t>Line 59070</t>
        </is>
      </c>
      <c r="O76" s="51">
        <f>IF(TransferName="NONE",0,(_xlfn.XLOOKUP(TransferNumber,Clients!D:D,Clients!DSI:DSI,2,0,1)))</f>
        <v/>
      </c>
      <c r="P76" s="37">
        <f>IF(AND(M76&gt;0,O76=0),"DTC Transferable Not Claimed Can Be Transferred","No Action")</f>
        <v/>
      </c>
    </row>
    <row r="77" ht="15.75" customHeight="1" thickBot="1">
      <c r="B77" s="667" t="inlineStr">
        <is>
          <t>Tuition Amount</t>
        </is>
      </c>
      <c r="D77" t="inlineStr">
        <is>
          <t>Line 59200</t>
        </is>
      </c>
      <c r="E77" s="861">
        <f>(_xlfn.XLOOKUP(ClientNumber,Clients!D:D,Clients!CRY:CRY,2,0,1))</f>
        <v/>
      </c>
      <c r="F77" s="37" t="inlineStr">
        <is>
          <t>Line 59090</t>
        </is>
      </c>
      <c r="G77" s="51">
        <f>IF(TransferName="NONE",0,(_xlfn.XLOOKUP(TransferNumber,Clients!D:D,Clients!CRO:CRO,2,0,1)))</f>
        <v/>
      </c>
      <c r="H77" s="37">
        <f>IF(AND(E77&gt;0,G77=0),"Tuition Can Be Transferred","No Action")</f>
        <v/>
      </c>
      <c r="J77" s="667" t="inlineStr">
        <is>
          <t>Tuition Amount</t>
        </is>
      </c>
      <c r="L77" t="inlineStr">
        <is>
          <t>Line 59200</t>
        </is>
      </c>
      <c r="M77" s="865">
        <f>(_xlfn.XLOOKUP(MainClient,Clients!D:D,Clients!DST:DST,2,0,1))</f>
        <v/>
      </c>
      <c r="N77" s="37" t="inlineStr">
        <is>
          <t>Line 59090</t>
        </is>
      </c>
      <c r="O77" s="51">
        <f>IF(TransferName="NONE",0,(_xlfn.XLOOKUP(TransferNumber,Clients!D:D,Clients!DSJ:DSJ,2,0,1)))</f>
        <v/>
      </c>
      <c r="P77" s="37">
        <f>IF(AND(M77&gt;0,O77=0),"Tuition Can Be Transferred","No Action")</f>
        <v/>
      </c>
    </row>
    <row r="78">
      <c r="B78" s="667" t="n"/>
      <c r="E78" s="771">
        <f>SUM(E74:E77)</f>
        <v/>
      </c>
      <c r="F78" s="37" t="n"/>
      <c r="G78" s="667">
        <f>SUM(G74:G77)</f>
        <v/>
      </c>
      <c r="H78" s="37" t="n"/>
      <c r="J78" s="667" t="n"/>
      <c r="M78" s="872">
        <f>SUM(M74:M77)</f>
        <v/>
      </c>
      <c r="N78" s="37" t="n"/>
      <c r="O78" s="667">
        <f>SUM(O74:O77)</f>
        <v/>
      </c>
      <c r="P78" s="37" t="n"/>
    </row>
    <row r="79">
      <c r="B79" s="667" t="n"/>
      <c r="C79" s="668" t="n"/>
      <c r="E79" s="771" t="n"/>
      <c r="F79" s="37" t="n"/>
      <c r="G79" s="668" t="n"/>
      <c r="H79" s="37" t="n"/>
      <c r="J79" s="667" t="n"/>
      <c r="K79" s="668" t="n"/>
      <c r="M79" s="872" t="n"/>
      <c r="N79" s="37" t="n"/>
      <c r="O79" s="668" t="n"/>
      <c r="P79" s="37" t="n"/>
    </row>
    <row r="80" ht="15.75" customHeight="1" thickBot="1">
      <c r="B80" s="34" t="n"/>
      <c r="F80" s="35" t="n"/>
      <c r="H80" s="35" t="n"/>
      <c r="J80" s="34" t="n"/>
      <c r="N80" s="35" t="n"/>
      <c r="P80" s="35" t="n"/>
    </row>
    <row r="81" ht="15.75" customHeight="1" thickBot="1">
      <c r="B81" s="667" t="inlineStr">
        <is>
          <t>Line 26000</t>
        </is>
      </c>
      <c r="C81" s="36">
        <f>(_xlfn.XLOOKUP(MainClient,Clients!D:D,Clients!CHI:CHI,2,0,1))</f>
        <v/>
      </c>
      <c r="F81" s="35" t="n"/>
      <c r="G81" s="34">
        <f>IF(E104&gt;E76,"other transferable credits","DTC Only")</f>
        <v/>
      </c>
      <c r="H81" s="35" t="n"/>
      <c r="J81" s="667" t="inlineStr">
        <is>
          <t>Line 26000</t>
        </is>
      </c>
      <c r="K81" s="36">
        <f>(_xlfn.XLOOKUP(MainClient,Clients!D:D,Clients!DID:DID,2,0,1))</f>
        <v/>
      </c>
      <c r="N81" s="35" t="n"/>
      <c r="O81" s="34">
        <f>IF(M104&gt;M76,"other transferable credits","DTC Only")</f>
        <v/>
      </c>
      <c r="P81" s="35" t="n"/>
    </row>
    <row r="82" ht="15.75" customHeight="1" thickBot="1">
      <c r="B82" s="34" t="n"/>
      <c r="F82" s="35" t="n"/>
      <c r="G82" s="34" t="n"/>
      <c r="H82" s="35" t="n"/>
      <c r="J82" s="34" t="n"/>
      <c r="N82" s="35" t="n"/>
      <c r="O82" s="34" t="n"/>
      <c r="P82" s="35" t="n"/>
    </row>
    <row r="83" ht="15.75" customHeight="1" thickBot="1">
      <c r="B83" s="55" t="inlineStr">
        <is>
          <t>Line 58040</t>
        </is>
      </c>
      <c r="C83" s="36">
        <f>(_xlfn.XLOOKUP(ClientNumber,Clients!D:D,Clients!CPG:CPG,2,0,1))</f>
        <v/>
      </c>
      <c r="F83" s="35" t="n"/>
      <c r="G83" s="34" t="n"/>
      <c r="H83" s="35" t="n"/>
      <c r="J83" s="55" t="inlineStr">
        <is>
          <t>Line 58040</t>
        </is>
      </c>
      <c r="K83" s="36">
        <f>(_xlfn.XLOOKUP(MainClient,Clients!D:D,Clients!DQB:DQB,2,0,1))</f>
        <v/>
      </c>
      <c r="N83" s="35" t="n"/>
      <c r="O83" s="34" t="n"/>
      <c r="P83" s="35" t="n"/>
    </row>
    <row r="84" ht="15.75" customHeight="1" thickBot="1">
      <c r="B84" s="55" t="inlineStr">
        <is>
          <t>Line 58240</t>
        </is>
      </c>
      <c r="C84" s="36">
        <f>(_xlfn.XLOOKUP(ClientNumber,Clients!D:D,Clients!CHU:CHU,2,0,1))</f>
        <v/>
      </c>
      <c r="F84" s="35" t="n"/>
      <c r="G84" s="34" t="n"/>
      <c r="H84" s="35" t="n"/>
      <c r="J84" s="55" t="inlineStr">
        <is>
          <t>Line 58240</t>
        </is>
      </c>
      <c r="K84" s="36">
        <f>(_xlfn.XLOOKUP(MainClient,Clients!D:D,Clients!DQQ:DQQ,2,0,1))</f>
        <v/>
      </c>
      <c r="N84" s="35" t="n"/>
      <c r="O84" s="34" t="n"/>
      <c r="P84" s="35" t="n"/>
    </row>
    <row r="85" ht="15.75" customHeight="1" thickBot="1">
      <c r="B85" s="55" t="inlineStr">
        <is>
          <t>Line 58280</t>
        </is>
      </c>
      <c r="C85" s="36">
        <f>(_xlfn.XLOOKUP(ClientNumber,Clients!D:D,Clients!CHV:CHV,2,0,1))</f>
        <v/>
      </c>
      <c r="F85" s="35" t="n"/>
      <c r="G85" s="34" t="n"/>
      <c r="H85" s="35" t="n"/>
      <c r="J85" s="55" t="inlineStr">
        <is>
          <t>Line 58280</t>
        </is>
      </c>
      <c r="K85" s="36">
        <f>(_xlfn.XLOOKUP(MainClient,Clients!D:D,Clients!DQR:DQR,2,0,1))</f>
        <v/>
      </c>
      <c r="N85" s="35" t="n"/>
      <c r="P85" s="35" t="n"/>
    </row>
    <row r="86" ht="15.75" customHeight="1" thickBot="1">
      <c r="B86" s="55" t="inlineStr">
        <is>
          <t>Line 58300</t>
        </is>
      </c>
      <c r="C86" s="36">
        <f>(_xlfn.XLOOKUP(ClientNumber,Clients!D:D,Clients!CHW:CHW,2,0,1))</f>
        <v/>
      </c>
      <c r="F86" s="35" t="n"/>
      <c r="G86" s="34" t="n"/>
      <c r="H86" s="35" t="n"/>
      <c r="J86" s="55" t="inlineStr">
        <is>
          <t>Line 58300</t>
        </is>
      </c>
      <c r="K86" s="36">
        <f>(_xlfn.XLOOKUP(MainClient,Clients!D:D,Clients!DQS:DQS,2,0,1))</f>
        <v/>
      </c>
      <c r="N86" s="35" t="n"/>
      <c r="O86" s="34" t="n"/>
      <c r="P86" s="35" t="n"/>
    </row>
    <row r="87" ht="15.75" customHeight="1" thickBot="1">
      <c r="B87" s="55" t="inlineStr">
        <is>
          <t>Line 58305</t>
        </is>
      </c>
      <c r="C87" s="36">
        <f>(_xlfn.XLOOKUP(ClientNumber,Clients!D:D,Clients!CIA:CIA,2,0,1))</f>
        <v/>
      </c>
      <c r="F87" s="35" t="n"/>
      <c r="G87" s="34" t="n"/>
      <c r="H87" s="35" t="n"/>
      <c r="J87" s="55" t="inlineStr">
        <is>
          <t>Line 58305</t>
        </is>
      </c>
      <c r="K87" s="36">
        <f>(_xlfn.XLOOKUP(MainClient,Clients!D:D,Clients!DQT:DQT,2,0,1))</f>
        <v/>
      </c>
      <c r="N87" s="35" t="n"/>
      <c r="O87" s="34" t="n"/>
      <c r="P87" s="35" t="n"/>
    </row>
    <row r="88" ht="15.75" customHeight="1" thickBot="1">
      <c r="B88" s="55" t="inlineStr">
        <is>
          <t>Line 58315</t>
        </is>
      </c>
      <c r="C88" s="36">
        <f>(_xlfn.XLOOKUP(ClientNumber,Clients!D:D,Clients!CQA:CQA,2,0,1))</f>
        <v/>
      </c>
      <c r="F88" s="35" t="n"/>
      <c r="G88" s="34" t="n"/>
      <c r="H88" s="35" t="n"/>
      <c r="J88" s="55" t="inlineStr">
        <is>
          <t>Line 58315</t>
        </is>
      </c>
      <c r="K88" s="36">
        <f>(_xlfn.XLOOKUP(MainClient,Clients!D:D,Clients!DQV:DQV,2,0,1))</f>
        <v/>
      </c>
      <c r="N88" s="35" t="n"/>
      <c r="O88" s="34" t="n"/>
      <c r="P88" s="35" t="n"/>
    </row>
    <row r="89" ht="15.75" customHeight="1" thickBot="1">
      <c r="B89" s="55" t="inlineStr">
        <is>
          <t>Line 58316</t>
        </is>
      </c>
      <c r="C89" s="36">
        <f>(_xlfn.XLOOKUP(ClientNumber,Clients!D:D,Clients!CQB:CQB,2,0,1))</f>
        <v/>
      </c>
      <c r="F89" s="35" t="n"/>
      <c r="G89" s="34" t="n"/>
      <c r="H89" s="35" t="n"/>
      <c r="J89" s="55" t="inlineStr">
        <is>
          <t>Line 58316</t>
        </is>
      </c>
      <c r="K89" s="36">
        <f>(_xlfn.XLOOKUP(MainClient,Clients!D:D,Clients!DQW:DQW,2,0,1))</f>
        <v/>
      </c>
      <c r="N89" s="35" t="n"/>
      <c r="O89" s="34" t="n"/>
      <c r="P89" s="35" t="n"/>
    </row>
    <row r="90" ht="15.75" customHeight="1" thickBot="1">
      <c r="B90" s="55" t="inlineStr">
        <is>
          <t>Line 58320</t>
        </is>
      </c>
      <c r="C90" s="36">
        <f>(_xlfn.XLOOKUP(ClientNumber,Clients!D:D,Clients!CQC:CQC,2,0,1))</f>
        <v/>
      </c>
      <c r="F90" s="35" t="n"/>
      <c r="G90" s="34" t="n"/>
      <c r="H90" s="35" t="n"/>
      <c r="J90" s="55" t="inlineStr">
        <is>
          <t>Line 58320</t>
        </is>
      </c>
      <c r="K90" s="36">
        <f>(_xlfn.XLOOKUP(MainClient,Clients!D:D,Clients!DQX:DQX,2,0,1))</f>
        <v/>
      </c>
      <c r="N90" s="35" t="n"/>
      <c r="O90" s="34" t="n"/>
      <c r="P90" s="35" t="n"/>
    </row>
    <row r="91" ht="15.75" customHeight="1" thickBot="1">
      <c r="B91" s="55" t="inlineStr">
        <is>
          <t>Line 58330</t>
        </is>
      </c>
      <c r="C91" s="36">
        <f>(_xlfn.XLOOKUP(ClientNumber,Clients!D:D,Clients!CQF:CQF,2,0,1))</f>
        <v/>
      </c>
      <c r="F91" s="35" t="n"/>
      <c r="G91" s="34" t="n"/>
      <c r="H91" s="35" t="n"/>
      <c r="J91" s="55" t="inlineStr">
        <is>
          <t>Line 58330</t>
        </is>
      </c>
      <c r="K91" s="36">
        <f>(_xlfn.XLOOKUP(MainClient,Clients!D:D,Clients!DRA:DRA,2,0,1))</f>
        <v/>
      </c>
      <c r="N91" s="35" t="n"/>
      <c r="O91" s="34" t="n"/>
      <c r="P91" s="35" t="n"/>
    </row>
    <row r="92" ht="15.75" customHeight="1" thickBot="1">
      <c r="B92" s="55" t="inlineStr">
        <is>
          <t>Line 58560</t>
        </is>
      </c>
      <c r="C92" s="36">
        <f>(_xlfn.XLOOKUP(ClientNumber,Clients!D:D,Clients!CQN:CQN,2,0,1))</f>
        <v/>
      </c>
      <c r="F92" s="35" t="n"/>
      <c r="G92" s="34" t="n"/>
      <c r="H92" s="35" t="n"/>
      <c r="J92" s="55" t="inlineStr">
        <is>
          <t>Line 58560</t>
        </is>
      </c>
      <c r="K92" s="36">
        <f>(_xlfn.XLOOKUP(MainClient,Clients!D:D,Clients!DRI:DRI,2,0,1))</f>
        <v/>
      </c>
      <c r="N92" s="35" t="n"/>
      <c r="O92" s="34" t="n"/>
      <c r="P92" s="35" t="n"/>
    </row>
    <row r="93" ht="15.75" customHeight="1" thickBot="1">
      <c r="B93" s="38" t="n"/>
      <c r="C93" s="36" t="n"/>
      <c r="F93" s="35" t="n"/>
      <c r="G93" s="34" t="inlineStr">
        <is>
          <t>Line 326</t>
        </is>
      </c>
      <c r="H93" s="35">
        <f>IF(TransferName="NONE",0,(_xlfn.XLOOKUP(TransferNumber,Clients!D:D,Clients!CIH:CIH,2,0,1)))</f>
        <v/>
      </c>
      <c r="J93" s="38" t="n"/>
      <c r="K93" s="36" t="n"/>
      <c r="N93" s="35" t="n"/>
      <c r="O93" s="34" t="inlineStr">
        <is>
          <t>Line 326</t>
        </is>
      </c>
      <c r="P93" s="35">
        <f>IFERROR(_xlfn.XLOOKUP(TransferNumber,Clients!D:D,Clients!FJZ:FJZ,2,0,1),0)</f>
        <v/>
      </c>
    </row>
    <row r="94" ht="15.75" customHeight="1" thickBot="1">
      <c r="B94" s="38" t="n"/>
      <c r="C94" s="36" t="n"/>
      <c r="F94" s="35" t="n"/>
      <c r="G94" s="34" t="n"/>
      <c r="H94" s="35" t="n"/>
      <c r="J94" s="38" t="n"/>
      <c r="K94" s="36" t="n"/>
      <c r="N94" s="35" t="n"/>
      <c r="O94" s="34" t="n"/>
      <c r="P94" s="35" t="n"/>
    </row>
    <row r="95" ht="15.75" customHeight="1" thickBot="1">
      <c r="B95" s="38" t="n"/>
      <c r="C95" s="36" t="n"/>
      <c r="F95" s="35" t="n"/>
      <c r="G95" s="34" t="n"/>
      <c r="H95" s="35" t="n"/>
      <c r="J95" s="38" t="n"/>
      <c r="K95" s="36" t="n"/>
      <c r="N95" s="35" t="n"/>
      <c r="O95" s="34" t="n"/>
      <c r="P95" s="35" t="n"/>
    </row>
    <row r="96" ht="15.75" customHeight="1" thickBot="1">
      <c r="B96" s="38" t="n"/>
      <c r="C96" s="36" t="n"/>
      <c r="F96" s="35" t="n"/>
      <c r="G96" s="34" t="n"/>
      <c r="H96" s="35" t="n"/>
      <c r="J96" s="38" t="n"/>
      <c r="K96" s="36" t="n"/>
      <c r="N96" s="35" t="n"/>
      <c r="O96" s="34" t="n"/>
      <c r="P96" s="35" t="n"/>
    </row>
    <row r="97" ht="15.75" customHeight="1" thickBot="1">
      <c r="B97" s="38" t="n"/>
      <c r="C97" s="36" t="n"/>
      <c r="F97" s="35" t="n"/>
      <c r="G97" s="34" t="n"/>
      <c r="H97" s="35">
        <f>IF(E102&gt;0,E78-G78,0)</f>
        <v/>
      </c>
      <c r="J97" s="38" t="n"/>
      <c r="K97" s="36" t="n"/>
      <c r="N97" s="35" t="n"/>
      <c r="O97" s="34" t="n"/>
      <c r="P97" s="35">
        <f>IF(M102&gt;0,M78-O78,0)</f>
        <v/>
      </c>
    </row>
    <row r="98" ht="15.75" customHeight="1" thickBot="1">
      <c r="B98" s="38" t="n"/>
      <c r="C98" s="36" t="n"/>
      <c r="F98" s="35" t="n"/>
      <c r="H98" s="52">
        <f>IF(TransferName="NONE",F103,IF(H97&gt;0,(E102-G78)*0.087,0))</f>
        <v/>
      </c>
      <c r="J98" s="38" t="n"/>
      <c r="K98" s="36" t="n"/>
      <c r="N98" s="35" t="n"/>
      <c r="P98" s="52">
        <f>IF(TransferName="NONE",N103,IF(P97&gt;0,(M102-O78)*0.087,0))</f>
        <v/>
      </c>
    </row>
    <row r="99">
      <c r="B99" s="667" t="n"/>
      <c r="F99" s="35" t="n"/>
      <c r="G99" s="34" t="inlineStr">
        <is>
          <t>Transferable</t>
        </is>
      </c>
      <c r="H99" s="52">
        <f>IF(H98&gt;0,H98,0)</f>
        <v/>
      </c>
      <c r="J99" s="667" t="n"/>
      <c r="N99" s="35" t="n"/>
      <c r="O99" s="34" t="inlineStr">
        <is>
          <t>Transferable</t>
        </is>
      </c>
      <c r="P99" s="52">
        <f>IF(P98&gt;0,P98,0)</f>
        <v/>
      </c>
    </row>
    <row r="100">
      <c r="B100" s="667" t="inlineStr">
        <is>
          <t>Adjusted Taxable Income</t>
        </is>
      </c>
      <c r="C100">
        <f>C81-(SUM(C83:C98))</f>
        <v/>
      </c>
      <c r="D100" s="13" t="inlineStr">
        <is>
          <t>Line 5864</t>
        </is>
      </c>
      <c r="E100" s="39">
        <f>IF(C100&gt;0,C100,0)</f>
        <v/>
      </c>
      <c r="F100" s="35" t="n"/>
      <c r="G100" s="34" t="n"/>
      <c r="H100" s="35" t="n"/>
      <c r="J100" s="667" t="inlineStr">
        <is>
          <t>Adjusted Taxable Income</t>
        </is>
      </c>
      <c r="K100">
        <f>K81-(SUM(K83:K98))</f>
        <v/>
      </c>
      <c r="L100" s="13" t="inlineStr">
        <is>
          <t>Line 5864</t>
        </is>
      </c>
      <c r="M100" s="39">
        <f>IF(K100&gt;0,K100,0)</f>
        <v/>
      </c>
      <c r="N100" s="35" t="n"/>
      <c r="O100" s="34" t="n"/>
      <c r="P100" s="35" t="n"/>
    </row>
    <row r="101" ht="15.75" customHeight="1" thickBot="1">
      <c r="B101" s="34" t="n"/>
      <c r="F101" s="35" t="n"/>
      <c r="G101" s="34" t="n"/>
      <c r="H101" s="35" t="n"/>
      <c r="J101" s="34" t="n"/>
      <c r="N101" s="35" t="n"/>
      <c r="O101" s="34" t="n"/>
      <c r="P101" s="35" t="n"/>
    </row>
    <row r="102" ht="15.75" customHeight="1" thickBot="1">
      <c r="B102" s="34" t="n"/>
      <c r="D102" s="21" t="inlineStr">
        <is>
          <t>Prov Trans</t>
        </is>
      </c>
      <c r="E102" s="36">
        <f>(E78-E100)</f>
        <v/>
      </c>
      <c r="F102" s="40" t="n"/>
      <c r="G102" s="34" t="n"/>
      <c r="H102" s="52" t="n"/>
      <c r="J102" s="34" t="n"/>
      <c r="L102" s="21" t="inlineStr">
        <is>
          <t>Prov Trans</t>
        </is>
      </c>
      <c r="M102" s="36">
        <f>(M78-M100)</f>
        <v/>
      </c>
      <c r="N102" s="40" t="n"/>
      <c r="O102" s="34" t="n"/>
      <c r="P102" s="52" t="n"/>
    </row>
    <row r="103" ht="15.75" customHeight="1" thickBot="1">
      <c r="B103" s="34" t="n"/>
      <c r="C103" s="579" t="inlineStr">
        <is>
          <t>DTC Transferable ESTIMATE</t>
        </is>
      </c>
      <c r="D103" s="35" t="n"/>
      <c r="E103" s="36">
        <f>IF(E102&lt;0,0,(IF(E102&gt;E76,E76,E102)))</f>
        <v/>
      </c>
      <c r="F103" s="40">
        <f>IF(E103&gt;0,E103*0.087,"No Transfer Required")</f>
        <v/>
      </c>
      <c r="G103" s="678" t="n"/>
      <c r="H103" s="52" t="n"/>
      <c r="J103" s="34" t="n"/>
      <c r="K103" s="579" t="inlineStr">
        <is>
          <t>DTC Transferable ESTIMATE</t>
        </is>
      </c>
      <c r="L103" s="35" t="n"/>
      <c r="M103" s="36">
        <f>IF(M102&lt;0,0,(IF(M102&gt;M76,M76,M102)))</f>
        <v/>
      </c>
      <c r="N103" s="40">
        <f>IF(M103&gt;0,M103*0.087,"No Transfer Required")</f>
        <v/>
      </c>
      <c r="O103" s="58" t="n"/>
      <c r="P103" s="52" t="n"/>
    </row>
    <row r="104" ht="15.75" customHeight="1" thickBot="1">
      <c r="B104" s="42" t="n"/>
      <c r="C104" s="41" t="n"/>
      <c r="D104" s="43" t="inlineStr">
        <is>
          <t>Net Transferable</t>
        </is>
      </c>
      <c r="E104" s="36">
        <f>IF(E102&lt;0,0,(IF(E102-G74-G75-G77&lt;0,E102,(E102-G74-G75-G77))))</f>
        <v/>
      </c>
      <c r="F104" s="57">
        <f>IF(E104&gt;0,E104*0.087,"0")</f>
        <v/>
      </c>
      <c r="G104" s="42" t="n"/>
      <c r="H104" s="864" t="n"/>
      <c r="J104" s="42" t="n"/>
      <c r="K104" s="41" t="n"/>
      <c r="L104" s="43" t="inlineStr">
        <is>
          <t>Net Transferable</t>
        </is>
      </c>
      <c r="M104" s="36">
        <f>IF(M102&lt;0,0,(IF(M102-O74-O75-O77&lt;0,M102,(M102-O74-O75-O77))))</f>
        <v/>
      </c>
      <c r="N104" s="57">
        <f>IF(M104&gt;0,M104*0.087,"0")</f>
        <v/>
      </c>
      <c r="O104" s="59" t="n"/>
      <c r="P104" s="864" t="n"/>
    </row>
    <row r="106" ht="15.75" customHeight="1" thickBot="1">
      <c r="E106">
        <f>Calculator!$D$5</f>
        <v/>
      </c>
      <c r="H106">
        <f>TransferName</f>
        <v/>
      </c>
      <c r="M106">
        <f>Calculator!$D$5</f>
        <v/>
      </c>
      <c r="P106">
        <f>TransferName</f>
        <v/>
      </c>
    </row>
    <row r="107" ht="15.75" customHeight="1" thickBot="1">
      <c r="B107" s="876" t="inlineStr">
        <is>
          <t>2018 NEWFOUNDLAND Provincial</t>
        </is>
      </c>
      <c r="C107" s="778" t="n"/>
      <c r="D107" s="778" t="n"/>
      <c r="E107" s="778" t="n"/>
      <c r="F107" s="778" t="n"/>
      <c r="G107" s="778" t="n"/>
      <c r="H107" s="780" t="n"/>
      <c r="J107" s="876" t="inlineStr">
        <is>
          <t>2017 NEWFOUNDLAND Provincial</t>
        </is>
      </c>
      <c r="K107" s="778" t="n"/>
      <c r="L107" s="778" t="n"/>
      <c r="M107" s="778" t="n"/>
      <c r="N107" s="778" t="n"/>
      <c r="O107" s="778" t="n"/>
      <c r="P107" s="780" t="n"/>
    </row>
    <row r="108" ht="15.75" customHeight="1" thickBot="1">
      <c r="B108" s="34" t="n"/>
      <c r="D108" t="inlineStr">
        <is>
          <t>Line</t>
        </is>
      </c>
      <c r="E108" t="inlineStr">
        <is>
          <t>Amt</t>
        </is>
      </c>
      <c r="F108" s="35" t="n"/>
      <c r="G108" s="667" t="inlineStr">
        <is>
          <t>Spouse</t>
        </is>
      </c>
      <c r="H108" s="35" t="inlineStr">
        <is>
          <t>S2 Adjustment</t>
        </is>
      </c>
      <c r="J108" s="34" t="n"/>
      <c r="L108" t="inlineStr">
        <is>
          <t>Line</t>
        </is>
      </c>
      <c r="M108" t="inlineStr">
        <is>
          <t>Amt</t>
        </is>
      </c>
      <c r="N108" s="35" t="n"/>
      <c r="O108" s="34" t="inlineStr">
        <is>
          <t>Spouse</t>
        </is>
      </c>
      <c r="P108" s="35" t="inlineStr">
        <is>
          <t>S2 Adjustment</t>
        </is>
      </c>
    </row>
    <row r="109" ht="15.75" customHeight="1" thickBot="1">
      <c r="B109" s="667" t="inlineStr">
        <is>
          <t>Age Amount</t>
        </is>
      </c>
      <c r="D109" t="inlineStr">
        <is>
          <t>Line 5808</t>
        </is>
      </c>
      <c r="E109" s="861">
        <f>(_xlfn.XLOOKUP(ClientNumber,Clients!D:D,Clients!EQZ:EQZ,2,0,1))</f>
        <v/>
      </c>
      <c r="F109" s="37" t="inlineStr">
        <is>
          <t>Line 59020</t>
        </is>
      </c>
      <c r="G109" s="51">
        <f>IF(TransferName="NONE",0,(_xlfn.XLOOKUP(TransferNumber,Clients!D:D,Clients!ETB:ETB,2,0,1)))</f>
        <v/>
      </c>
      <c r="H109" s="37">
        <f>IF(AND(E109&gt;0,G109=0),"Age Amount Can Be Transferred","No Action")</f>
        <v/>
      </c>
      <c r="J109" s="667" t="inlineStr">
        <is>
          <t>Age Amount</t>
        </is>
      </c>
      <c r="L109" t="inlineStr">
        <is>
          <t>Line 5808</t>
        </is>
      </c>
      <c r="M109" s="865">
        <f>(_xlfn.XLOOKUP(MainClient,Clients!D:D,Clients!FRB:FRB,2,0,1))</f>
        <v/>
      </c>
      <c r="N109" s="45" t="inlineStr">
        <is>
          <t>Line 59020</t>
        </is>
      </c>
      <c r="O109" s="51">
        <f>IF(TransferName="NONE",0,(_xlfn.XLOOKUP(TransferNumber,Clients!D:D,Clients!FTD:FTD,2,0,1)))</f>
        <v/>
      </c>
      <c r="P109" s="37">
        <f>IF(AND(M109&gt;0,O109=0),"Age Amount Can Be Transferred","No Action")</f>
        <v/>
      </c>
    </row>
    <row r="110" ht="15.75" customHeight="1" thickBot="1">
      <c r="B110" s="667" t="inlineStr">
        <is>
          <t>Pension Income Amount</t>
        </is>
      </c>
      <c r="D110" t="inlineStr">
        <is>
          <t>Line 5836 (mx 1000)</t>
        </is>
      </c>
      <c r="E110" s="861">
        <f>IF((_xlfn.XLOOKUP(ClientNumber,Clients!D:D,Clients!ERZ:ERZ,2,0,1)&lt;1000),(_xlfn.XLOOKUP(MainClient,Clients!D:D,Clients!ERZ:ERZ,2,0,1)),1000)</f>
        <v/>
      </c>
      <c r="F110" s="37" t="inlineStr">
        <is>
          <t>Line 59050</t>
        </is>
      </c>
      <c r="G110" s="51">
        <f>IF(TransferName="NONE",0,(_xlfn.XLOOKUP(TransferNumber,Clients!D:D,Clients!ETE:ETE,2,0,1)))</f>
        <v/>
      </c>
      <c r="H110" s="37">
        <f>IF(AND(E110&gt;0,G110=0),"Pension Income Amount Can Be Transferred","No Action")</f>
        <v/>
      </c>
      <c r="J110" s="667" t="inlineStr">
        <is>
          <t>Pension Income Amount</t>
        </is>
      </c>
      <c r="L110" t="inlineStr">
        <is>
          <t>Line 5836 (mx 1000)</t>
        </is>
      </c>
      <c r="M110" s="865">
        <f>IF((_xlfn.XLOOKUP(ClientNumber,Clients!D:D,Clients!FSB:FSB,2,0,1)&lt;1000),(_xlfn.XLOOKUP(MainClient,Clients!D:D,Clients!FSB:FSB,2,0,1)),1000)</f>
        <v/>
      </c>
      <c r="N110" s="45" t="inlineStr">
        <is>
          <t>Line 59050</t>
        </is>
      </c>
      <c r="O110" s="51">
        <f>IF(TransferName="NONE",0,(_xlfn.XLOOKUP(TransferNumber,Clients!D:D,Clients!FTG:FTG,2,0,1)))</f>
        <v/>
      </c>
      <c r="P110" s="37">
        <f>IF(AND(M110&gt;0,O110=0),"Pension Income Amount Can Be Transferred","No Action")</f>
        <v/>
      </c>
    </row>
    <row r="111" ht="15.75" customHeight="1" thickBot="1">
      <c r="B111" s="667" t="inlineStr">
        <is>
          <t>Disability Amount</t>
        </is>
      </c>
      <c r="D111" t="inlineStr">
        <is>
          <t xml:space="preserve">Line 5844 </t>
        </is>
      </c>
      <c r="E111" s="861">
        <f>IF(_xlfn.XLOOKUP(ClientNumber,Clients!D:D,Clients!ESB:ESB,2,0,1)=0,6240,(_xlfn.XLOOKUP(MainClient,Clients!D:D,Clients!ESB:ESB,2,0,1)))</f>
        <v/>
      </c>
      <c r="F111" s="37" t="inlineStr">
        <is>
          <t>Line 59070</t>
        </is>
      </c>
      <c r="G111" s="51">
        <f>IF(TransferName="NONE",0,(_xlfn.XLOOKUP(TransferNumber,Clients!D:D,Clients!ETF:ETF,2,0,1)))</f>
        <v/>
      </c>
      <c r="H111" s="37">
        <f>IF(AND(E111&gt;0,G111=0),"DTC Transferable Not Claimed Can Be Transferred","No Action")</f>
        <v/>
      </c>
      <c r="J111" s="667" t="inlineStr">
        <is>
          <t>Disability Amount</t>
        </is>
      </c>
      <c r="L111" t="inlineStr">
        <is>
          <t xml:space="preserve">Line 5844 </t>
        </is>
      </c>
      <c r="M111" s="865">
        <f>IF(_xlfn.XLOOKUP(ClientNumber,Clients!D:D,Clients!FSD:FSD,2,0,1)=0,6058,(_xlfn.XLOOKUP(MainClient,Clients!D:D,Clients!FSD:FSD,2,0,1)))</f>
        <v/>
      </c>
      <c r="N111" s="45" t="inlineStr">
        <is>
          <t>Line 59070</t>
        </is>
      </c>
      <c r="O111" s="51">
        <f>IF(TransferName="NONE",0,(_xlfn.XLOOKUP(TransferNumber,Clients!D:D,Clients!FTH:FTH,2,0,1)))</f>
        <v/>
      </c>
      <c r="P111" s="37">
        <f>IF(AND(M111&gt;0,O111=0),"DTC Transferable Not Claimed Can Be Transferred","No Action")</f>
        <v/>
      </c>
    </row>
    <row r="112" ht="15.75" customHeight="1" thickBot="1">
      <c r="B112" s="667" t="inlineStr">
        <is>
          <t>Tuition Amount</t>
        </is>
      </c>
      <c r="D112" t="inlineStr">
        <is>
          <t>Line 5920</t>
        </is>
      </c>
      <c r="E112" s="861">
        <f>(_xlfn.XLOOKUP(ClientNumber,Clients!D:D,Clients!ETP:ETP,2,0,1))</f>
        <v/>
      </c>
      <c r="F112" s="37" t="inlineStr">
        <is>
          <t>Line 59090</t>
        </is>
      </c>
      <c r="G112" s="51">
        <f>IF(TransferName="NONE",0,(_xlfn.XLOOKUP(TransferNumber,Clients!D:D,Clients!ETG:ETG,2,0,1)))</f>
        <v/>
      </c>
      <c r="H112" s="37">
        <f>IF(AND(E112&gt;0,G112=0),"Tuition Can Be Transferred","No Action")</f>
        <v/>
      </c>
      <c r="J112" s="667" t="inlineStr">
        <is>
          <t>Tuition Amount</t>
        </is>
      </c>
      <c r="L112" t="inlineStr">
        <is>
          <t>Line 5920</t>
        </is>
      </c>
      <c r="M112" s="865">
        <f>(_xlfn.XLOOKUP(MainClient,Clients!D:D,Clients!FTT:FTT,2,0,1))</f>
        <v/>
      </c>
      <c r="N112" s="45" t="inlineStr">
        <is>
          <t>Line 59090</t>
        </is>
      </c>
      <c r="O112" s="51">
        <f>IF(TransferName="NONE",0,(_xlfn.XLOOKUP(TransferNumber,Clients!D:D,Clients!FTI:FTI,2,0,1)))</f>
        <v/>
      </c>
      <c r="P112" s="37">
        <f>IF(AND(M112&gt;0,O112=0),"Tuition Can Be Transferred","No Action")</f>
        <v/>
      </c>
    </row>
    <row r="113">
      <c r="B113" s="667" t="n"/>
      <c r="E113" s="771">
        <f>SUM(E109:E112)</f>
        <v/>
      </c>
      <c r="F113" s="37" t="n"/>
      <c r="G113" s="667">
        <f>SUM(G109:G112)</f>
        <v/>
      </c>
      <c r="H113" s="37" t="n"/>
      <c r="J113" s="667" t="n"/>
      <c r="M113" s="872">
        <f>SUM(M109:M112)</f>
        <v/>
      </c>
      <c r="N113" s="37" t="n"/>
      <c r="O113" s="667">
        <f>SUM(O109:O112)</f>
        <v/>
      </c>
      <c r="P113" s="37" t="n"/>
    </row>
    <row r="114">
      <c r="B114" s="667" t="n"/>
      <c r="C114" s="668" t="n"/>
      <c r="E114" s="771" t="n"/>
      <c r="F114" s="37" t="n"/>
      <c r="G114" s="668" t="n"/>
      <c r="H114" s="37" t="n"/>
      <c r="J114" s="667" t="n"/>
      <c r="K114" s="668" t="n"/>
      <c r="M114" s="872" t="n"/>
      <c r="N114" s="37" t="n"/>
      <c r="O114" s="668" t="n"/>
      <c r="P114" s="37" t="n"/>
    </row>
    <row r="115" ht="15.75" customHeight="1" thickBot="1">
      <c r="B115" s="34" t="n"/>
      <c r="F115" s="35" t="n"/>
      <c r="H115" s="35" t="n"/>
      <c r="J115" s="34" t="n"/>
      <c r="N115" s="35" t="n"/>
      <c r="P115" s="35" t="n"/>
    </row>
    <row r="116" ht="15.75" customHeight="1" thickBot="1">
      <c r="B116" s="667" t="inlineStr">
        <is>
          <t>Line 260</t>
        </is>
      </c>
      <c r="C116" s="36">
        <f>(_xlfn.XLOOKUP(MainClient,Clients!D:D,Clients!EIY:EIY,2,0,1))</f>
        <v/>
      </c>
      <c r="F116" s="35" t="n"/>
      <c r="G116" s="34">
        <f>IF(E139&gt;E111,"other transferable credits","DTC Only")</f>
        <v/>
      </c>
      <c r="H116" s="35" t="n"/>
      <c r="J116" s="667" t="inlineStr">
        <is>
          <t>Line 260</t>
        </is>
      </c>
      <c r="K116" s="36">
        <f>(_xlfn.XLOOKUP(MainClient,Clients!D:D,Clients!FJA:FJA,2,0,1))</f>
        <v/>
      </c>
      <c r="N116" s="35" t="n"/>
      <c r="O116" s="34">
        <f>IF(M139&gt;M111,"other transferable credits","DTC Only")</f>
        <v/>
      </c>
      <c r="P116" s="35" t="n"/>
    </row>
    <row r="117" ht="15.75" customHeight="1" thickBot="1">
      <c r="B117" s="34" t="n"/>
      <c r="F117" s="35" t="n"/>
      <c r="G117" s="34" t="n"/>
      <c r="H117" s="35" t="n"/>
      <c r="J117" s="34" t="n"/>
      <c r="N117" s="35" t="n"/>
      <c r="O117" s="34" t="n"/>
      <c r="P117" s="35" t="n"/>
    </row>
    <row r="118" ht="15.75" customHeight="1" thickBot="1">
      <c r="B118" s="55" t="inlineStr">
        <is>
          <t>Line 5804</t>
        </is>
      </c>
      <c r="C118" s="36">
        <f>(_xlfn.XLOOKUP(ClientNumber,Clients!D:D,Clients!EQY:EQY,2,0,1))</f>
        <v/>
      </c>
      <c r="F118" s="35" t="n"/>
      <c r="G118" s="34" t="n"/>
      <c r="H118" s="35" t="n"/>
      <c r="J118" s="55" t="inlineStr">
        <is>
          <t>Line 5804</t>
        </is>
      </c>
      <c r="K118" s="36">
        <f>(_xlfn.XLOOKUP(MainClient,Clients!D:D,Clients!FRA:FRA,2,0,1))</f>
        <v/>
      </c>
      <c r="N118" s="35" t="n"/>
      <c r="O118" s="34" t="n"/>
      <c r="P118" s="35" t="n"/>
    </row>
    <row r="119" ht="15.75" customHeight="1" thickBot="1">
      <c r="B119" s="55" t="inlineStr">
        <is>
          <t>Line 5824</t>
        </is>
      </c>
      <c r="C119" s="36">
        <f>(_xlfn.XLOOKUP(ClientNumber,Clients!D:D,Clients!ERN:ERN,2,0,1))</f>
        <v/>
      </c>
      <c r="F119" s="35" t="n"/>
      <c r="G119" s="34" t="n"/>
      <c r="H119" s="35" t="n"/>
      <c r="J119" s="55" t="inlineStr">
        <is>
          <t>Line 5824</t>
        </is>
      </c>
      <c r="K119" s="36">
        <f>(_xlfn.XLOOKUP(MainClient,Clients!D:D,Clients!FRP:FRP,2,0,1))</f>
        <v/>
      </c>
      <c r="N119" s="35" t="n"/>
      <c r="O119" s="34" t="n"/>
      <c r="P119" s="35" t="n"/>
    </row>
    <row r="120" ht="15.75" customHeight="1" thickBot="1">
      <c r="B120" s="55" t="inlineStr">
        <is>
          <t>Line 5828</t>
        </is>
      </c>
      <c r="C120" s="36">
        <f>(_xlfn.XLOOKUP(ClientNumber,Clients!D:D,Clients!ERO:ERO,2,0,1))</f>
        <v/>
      </c>
      <c r="F120" s="35" t="n"/>
      <c r="G120" s="34" t="n"/>
      <c r="H120" s="35" t="n"/>
      <c r="J120" s="55" t="inlineStr">
        <is>
          <t>Line 5828</t>
        </is>
      </c>
      <c r="K120" s="36">
        <f>(_xlfn.XLOOKUP(MainClient,Clients!D:D,Clients!FRQ:FRQ,2,0,1))</f>
        <v/>
      </c>
      <c r="N120" s="35" t="n"/>
      <c r="P120" s="35" t="n"/>
    </row>
    <row r="121" ht="15.75" customHeight="1" thickBot="1">
      <c r="B121" s="55" t="inlineStr">
        <is>
          <t>Line 5832</t>
        </is>
      </c>
      <c r="C121" s="36">
        <f>(_xlfn.XLOOKUP(ClientNumber,Clients!D:D,Clients!ERP:ERP,2,0,1))</f>
        <v/>
      </c>
      <c r="F121" s="35" t="n"/>
      <c r="G121" s="34" t="n"/>
      <c r="H121" s="35" t="n"/>
      <c r="J121" s="55" t="inlineStr">
        <is>
          <t>Line 5832</t>
        </is>
      </c>
      <c r="K121" s="36">
        <f>(_xlfn.XLOOKUP(MainClient,Clients!D:D,Clients!FRR:FRR,2,0,1))</f>
        <v/>
      </c>
      <c r="N121" s="35" t="n"/>
      <c r="O121" s="34" t="n"/>
      <c r="P121" s="35" t="n"/>
    </row>
    <row r="122" ht="15.75" customHeight="1" thickBot="1">
      <c r="B122" s="55" t="inlineStr">
        <is>
          <t>Line 5829</t>
        </is>
      </c>
      <c r="C122" s="36">
        <f>(_xlfn.XLOOKUP(ClientNumber,Clients!D:D,Clients!ERQ:ERQ,2,0,1))</f>
        <v/>
      </c>
      <c r="F122" s="35" t="n"/>
      <c r="G122" s="34" t="n"/>
      <c r="H122" s="35" t="n"/>
      <c r="J122" s="55" t="inlineStr">
        <is>
          <t>Line 5829</t>
        </is>
      </c>
      <c r="K122" s="36">
        <f>(_xlfn.XLOOKUP(MainClient,Clients!D:D,Clients!FRS:FRS,2,0,1))</f>
        <v/>
      </c>
      <c r="N122" s="35" t="n"/>
      <c r="O122" s="34" t="n"/>
      <c r="P122" s="35" t="n"/>
    </row>
    <row r="123" ht="15.75" customHeight="1" thickBot="1">
      <c r="B123" s="55" t="inlineStr">
        <is>
          <t>Line 5830</t>
        </is>
      </c>
      <c r="C123" s="36">
        <f>(_xlfn.XLOOKUP(ClientNumber,Clients!D:D,Clients!ERS:ERS,2,0,1))</f>
        <v/>
      </c>
      <c r="F123" s="35" t="n"/>
      <c r="G123" s="34" t="n"/>
      <c r="H123" s="35" t="n"/>
      <c r="J123" s="55" t="inlineStr">
        <is>
          <t>Line 5830</t>
        </is>
      </c>
      <c r="K123" s="36">
        <f>(_xlfn.XLOOKUP(MainClient,Clients!D:D,Clients!FRU:FRU,2,0,1))</f>
        <v/>
      </c>
      <c r="N123" s="35" t="n"/>
      <c r="O123" s="34" t="n"/>
      <c r="P123" s="35" t="n"/>
    </row>
    <row r="124" ht="15.75" customHeight="1" thickBot="1">
      <c r="B124" s="55" t="inlineStr">
        <is>
          <t>Line 5831</t>
        </is>
      </c>
      <c r="C124" s="36">
        <f>(_xlfn.XLOOKUP(ClientNumber,Clients!D:D,Clients!ERU:ERU,2,0,1))</f>
        <v/>
      </c>
      <c r="F124" s="35" t="n"/>
      <c r="G124" s="34" t="n"/>
      <c r="H124" s="35" t="n"/>
      <c r="J124" s="55" t="inlineStr">
        <is>
          <t>Line 5831</t>
        </is>
      </c>
      <c r="K124" s="36">
        <f>(_xlfn.XLOOKUP(MainClient,Clients!D:D,Clients!FRW:FRW,2,0,1))</f>
        <v/>
      </c>
      <c r="N124" s="35" t="n"/>
      <c r="O124" s="34" t="n"/>
      <c r="P124" s="35" t="n"/>
    </row>
    <row r="125" ht="15.75" customHeight="1" thickBot="1">
      <c r="B125" s="55" t="inlineStr">
        <is>
          <t>Line 5833</t>
        </is>
      </c>
      <c r="C125" s="36">
        <f>(_xlfn.XLOOKUP(ClientNumber,Clients!D:D,Clients!ERX:ERX,2,0,1))</f>
        <v/>
      </c>
      <c r="F125" s="35" t="n"/>
      <c r="G125" s="34" t="n"/>
      <c r="H125" s="35" t="n"/>
      <c r="J125" s="55" t="inlineStr">
        <is>
          <t>Line 5833</t>
        </is>
      </c>
      <c r="K125" s="36">
        <f>(_xlfn.XLOOKUP(MainClient,Clients!D:D,Clients!FRZ:FRZ,2,0,1))</f>
        <v/>
      </c>
      <c r="N125" s="35" t="n"/>
      <c r="O125" s="34" t="n"/>
      <c r="P125" s="35" t="n"/>
    </row>
    <row r="126" ht="15.75" customHeight="1" thickBot="1">
      <c r="B126" s="55" t="inlineStr">
        <is>
          <t>Line 5856</t>
        </is>
      </c>
      <c r="C126" s="36">
        <f>(_xlfn.XLOOKUP(ClientNumber,Clients!D:D,Clients!ESF:ESF,2,0,1))</f>
        <v/>
      </c>
      <c r="F126" s="35" t="n"/>
      <c r="G126" s="34" t="n"/>
      <c r="H126" s="35" t="n"/>
      <c r="J126" s="55" t="inlineStr">
        <is>
          <t>Line 5856</t>
        </is>
      </c>
      <c r="K126" s="36">
        <f>(_xlfn.XLOOKUP(MainClient,Clients!D:D,Clients!FSH:FSH,2,0,1))</f>
        <v/>
      </c>
      <c r="N126" s="35" t="n"/>
      <c r="O126" s="34" t="n"/>
      <c r="P126" s="35" t="n"/>
    </row>
    <row r="127" ht="15.75" customHeight="1" thickBot="1">
      <c r="B127" s="55" t="n"/>
      <c r="C127" s="36" t="n"/>
      <c r="F127" s="35" t="n"/>
      <c r="G127" s="34" t="n"/>
      <c r="H127" s="35" t="n"/>
      <c r="J127" s="55" t="n"/>
      <c r="K127" s="36" t="n"/>
      <c r="N127" s="35" t="n"/>
      <c r="O127" s="34" t="n"/>
      <c r="P127" s="35" t="n"/>
    </row>
    <row r="128" ht="15.75" customHeight="1" thickBot="1">
      <c r="B128" s="55" t="n"/>
      <c r="C128" s="36" t="n"/>
      <c r="F128" s="35" t="n"/>
      <c r="G128" s="34" t="inlineStr">
        <is>
          <t>Line 326</t>
        </is>
      </c>
      <c r="H128" s="35">
        <f>IF(TransferName="NONE",0,(_xlfn.XLOOKUP(TransferNumber,Clients!D:D,Clients!EJX:EJX,2,0,1)))</f>
        <v/>
      </c>
      <c r="J128" s="55" t="n"/>
      <c r="K128" s="36" t="n"/>
      <c r="N128" s="35" t="n"/>
      <c r="O128" s="34" t="inlineStr">
        <is>
          <t>Line 326</t>
        </is>
      </c>
      <c r="P128" s="35">
        <f>IFERROR(_xlfn.XLOOKUP(TransferNumber,Clients!D:D,Clients!FJZ:FJZ,2,0,1),0)</f>
        <v/>
      </c>
    </row>
    <row r="129" ht="15.75" customHeight="1" thickBot="1">
      <c r="B129" s="55" t="n"/>
      <c r="C129" s="36" t="n"/>
      <c r="F129" s="35" t="n"/>
      <c r="G129" s="34" t="n"/>
      <c r="H129" s="35" t="n"/>
      <c r="J129" s="55" t="n"/>
      <c r="K129" s="36" t="n"/>
      <c r="N129" s="35" t="n"/>
      <c r="O129" s="34" t="n"/>
      <c r="P129" s="35" t="n"/>
    </row>
    <row r="130" ht="15.75" customHeight="1" thickBot="1">
      <c r="B130" s="38" t="n"/>
      <c r="C130" s="36" t="n"/>
      <c r="F130" s="35" t="n"/>
      <c r="G130" s="34" t="n"/>
      <c r="H130" s="35" t="n"/>
      <c r="J130" s="55" t="n"/>
      <c r="K130" s="36" t="n"/>
      <c r="N130" s="35" t="n"/>
      <c r="O130" s="34" t="n"/>
      <c r="P130" s="35" t="n"/>
    </row>
    <row r="131" ht="15.75" customHeight="1" thickBot="1">
      <c r="B131" s="38" t="n"/>
      <c r="C131" s="36" t="n"/>
      <c r="F131" s="35" t="n"/>
      <c r="G131" s="34" t="n"/>
      <c r="H131" s="35" t="n"/>
      <c r="J131" s="38" t="n"/>
      <c r="K131" s="36" t="n"/>
      <c r="N131" s="35" t="n"/>
      <c r="O131" s="34" t="n"/>
      <c r="P131" s="35" t="n"/>
    </row>
    <row r="132" ht="15.75" customHeight="1" thickBot="1">
      <c r="B132" s="38" t="n"/>
      <c r="C132" s="36" t="n"/>
      <c r="F132" s="35" t="n"/>
      <c r="G132" s="34" t="n"/>
      <c r="H132" s="35">
        <f>IF(E137&gt;0,E113-G113,0)</f>
        <v/>
      </c>
      <c r="J132" s="38" t="n"/>
      <c r="K132" s="36" t="n"/>
      <c r="N132" s="35" t="n"/>
      <c r="O132" s="34" t="n"/>
      <c r="P132" s="35">
        <f>IF(M137&gt;0,M113-O113,0)</f>
        <v/>
      </c>
    </row>
    <row r="133" ht="15.75" customHeight="1" thickBot="1">
      <c r="B133" s="38" t="n"/>
      <c r="C133" s="36" t="n"/>
      <c r="F133" s="35" t="n"/>
      <c r="H133" s="52">
        <f>IF(TransferName="NONE",F138,IF(H132&gt;0,(E137-G113)*0.087,0))</f>
        <v/>
      </c>
      <c r="J133" s="38" t="n"/>
      <c r="K133" s="36" t="n"/>
      <c r="N133" s="35" t="n"/>
      <c r="P133" s="52">
        <f>IF(TransferName="NONE",N138,IF(P132&gt;0,(M137-O113)*0.087,0))</f>
        <v/>
      </c>
    </row>
    <row r="134">
      <c r="B134" s="667" t="n"/>
      <c r="F134" s="35" t="n"/>
      <c r="G134" s="34" t="inlineStr">
        <is>
          <t>Transferable</t>
        </is>
      </c>
      <c r="H134" s="52">
        <f>IF(H133&gt;0,H133,0)</f>
        <v/>
      </c>
      <c r="J134" s="667" t="n"/>
      <c r="N134" s="35" t="n"/>
      <c r="O134" s="34" t="inlineStr">
        <is>
          <t>Transferable</t>
        </is>
      </c>
      <c r="P134" s="52">
        <f>IF(P133&gt;0,P133,0)</f>
        <v/>
      </c>
    </row>
    <row r="135">
      <c r="B135" s="667" t="inlineStr">
        <is>
          <t>Adjusted Taxable Income</t>
        </is>
      </c>
      <c r="C135">
        <f>C116-(SUM(C118:C133))</f>
        <v/>
      </c>
      <c r="D135" s="13" t="inlineStr">
        <is>
          <t>Line 5864</t>
        </is>
      </c>
      <c r="E135" s="39">
        <f>IF(C135&gt;0,C135,0)</f>
        <v/>
      </c>
      <c r="F135" s="35" t="n"/>
      <c r="G135" s="34" t="n"/>
      <c r="H135" s="35" t="n"/>
      <c r="J135" s="667" t="inlineStr">
        <is>
          <t>Adjusted Taxable Income</t>
        </is>
      </c>
      <c r="K135">
        <f>K116-(SUM(K118:K133))</f>
        <v/>
      </c>
      <c r="L135" s="13" t="inlineStr">
        <is>
          <t>Line 5864</t>
        </is>
      </c>
      <c r="M135" s="39">
        <f>IF(K135&gt;0,K135,0)</f>
        <v/>
      </c>
      <c r="N135" s="35" t="n"/>
      <c r="O135" s="34" t="n"/>
      <c r="P135" s="35" t="n"/>
    </row>
    <row r="136" ht="15.75" customHeight="1" thickBot="1">
      <c r="B136" s="34" t="n"/>
      <c r="F136" s="35" t="n"/>
      <c r="G136" s="34" t="n"/>
      <c r="H136" s="35" t="n"/>
      <c r="J136" s="34" t="n"/>
      <c r="N136" s="35" t="n"/>
      <c r="O136" s="34" t="n"/>
      <c r="P136" s="35" t="n"/>
    </row>
    <row r="137" ht="15.75" customHeight="1" thickBot="1">
      <c r="B137" s="34" t="n"/>
      <c r="D137" s="21" t="inlineStr">
        <is>
          <t>Prov Trans</t>
        </is>
      </c>
      <c r="E137" s="36">
        <f>(E113-E135)</f>
        <v/>
      </c>
      <c r="F137" s="40" t="n"/>
      <c r="G137" s="34" t="n"/>
      <c r="H137" s="52" t="n"/>
      <c r="J137" s="34" t="n"/>
      <c r="L137" s="21" t="inlineStr">
        <is>
          <t>Prov Trans</t>
        </is>
      </c>
      <c r="M137" s="36">
        <f>(M113-M135)</f>
        <v/>
      </c>
      <c r="N137" s="40" t="n"/>
      <c r="O137" s="34" t="n"/>
      <c r="P137" s="52" t="n"/>
    </row>
    <row r="138" ht="15.75" customHeight="1" thickBot="1">
      <c r="B138" s="34" t="n"/>
      <c r="C138" s="579" t="inlineStr">
        <is>
          <t>DTC Transferable ESTIMATE</t>
        </is>
      </c>
      <c r="D138" s="35" t="n"/>
      <c r="E138" s="36">
        <f>IF(E137&lt;0,0,(IF(E137&gt;E111,E111,E137)))</f>
        <v/>
      </c>
      <c r="F138" s="40">
        <f>IF(E138&gt;0,E138*0.087,"No Transfer Required")</f>
        <v/>
      </c>
      <c r="G138" s="678" t="n"/>
      <c r="H138" s="52" t="n"/>
      <c r="J138" s="34" t="n"/>
      <c r="K138" s="579" t="inlineStr">
        <is>
          <t>DTC Transferable ESTIMATE</t>
        </is>
      </c>
      <c r="L138" s="35" t="n"/>
      <c r="M138" s="36">
        <f>IF(M137&lt;0,0,(IF(M137&gt;M111,M111,M137)))</f>
        <v/>
      </c>
      <c r="N138" s="40">
        <f>IF(M138&gt;0,M138*0.087,"No Transfer Required")</f>
        <v/>
      </c>
      <c r="O138" s="58" t="n"/>
      <c r="P138" s="52" t="n"/>
    </row>
    <row r="139" ht="15.75" customHeight="1" thickBot="1">
      <c r="B139" s="42" t="n"/>
      <c r="C139" s="41" t="n"/>
      <c r="D139" s="43" t="inlineStr">
        <is>
          <t>Net Transferable</t>
        </is>
      </c>
      <c r="E139" s="36">
        <f>IF(E137&lt;0,0,(IF(E137-G109-G110-G112&lt;0,E137,(E137-G109-G110-G112))))</f>
        <v/>
      </c>
      <c r="F139" s="57">
        <f>IF(E139&gt;0,E139*0.087,"0")</f>
        <v/>
      </c>
      <c r="G139" s="42" t="n"/>
      <c r="H139" s="864" t="n"/>
      <c r="J139" s="42" t="n"/>
      <c r="K139" s="41" t="n"/>
      <c r="L139" s="43" t="inlineStr">
        <is>
          <t>Net Transferable</t>
        </is>
      </c>
      <c r="M139" s="36">
        <f>IF(M137&lt;0,0,(IF(M137-O109-O110-O112&lt;0,M137,(M137-O109-O110-O112))))</f>
        <v/>
      </c>
      <c r="N139" s="57">
        <f>IF(M139&gt;0,M139*0.087,"0")</f>
        <v/>
      </c>
      <c r="O139" s="59" t="n"/>
      <c r="P139" s="864" t="n"/>
    </row>
    <row r="141" ht="15.75" customHeight="1" thickBot="1">
      <c r="E141">
        <f>Calculator!$D$5</f>
        <v/>
      </c>
      <c r="H141">
        <f>TransferName</f>
        <v/>
      </c>
      <c r="M141">
        <f>Calculator!$D$5</f>
        <v/>
      </c>
      <c r="P141">
        <f>TransferName</f>
        <v/>
      </c>
    </row>
    <row r="142" ht="15.75" customHeight="1" thickBot="1">
      <c r="B142" s="876" t="inlineStr">
        <is>
          <t>2016 NEWFOUNDLAND Provincial</t>
        </is>
      </c>
      <c r="C142" s="778" t="n"/>
      <c r="D142" s="778" t="n"/>
      <c r="E142" s="778" t="n"/>
      <c r="F142" s="778" t="n"/>
      <c r="G142" s="778" t="n"/>
      <c r="H142" s="780" t="n"/>
      <c r="J142" s="876" t="inlineStr">
        <is>
          <t>2015 NEWFOUNDLAND Provincial</t>
        </is>
      </c>
      <c r="K142" s="778" t="n"/>
      <c r="L142" s="778" t="n"/>
      <c r="M142" s="778" t="n"/>
      <c r="N142" s="778" t="n"/>
      <c r="O142" s="778" t="n"/>
      <c r="P142" s="780" t="n"/>
    </row>
    <row r="143" ht="15.75" customHeight="1" thickBot="1">
      <c r="B143" s="34" t="n"/>
      <c r="D143" t="inlineStr">
        <is>
          <t>Line</t>
        </is>
      </c>
      <c r="E143" t="inlineStr">
        <is>
          <t>Amt</t>
        </is>
      </c>
      <c r="F143" s="35" t="n"/>
      <c r="G143" s="667" t="inlineStr">
        <is>
          <t>Spouse</t>
        </is>
      </c>
      <c r="H143" s="35" t="inlineStr">
        <is>
          <t>S2 Adjustment</t>
        </is>
      </c>
      <c r="J143" s="34" t="n"/>
      <c r="L143" t="inlineStr">
        <is>
          <t>Line</t>
        </is>
      </c>
      <c r="M143" t="inlineStr">
        <is>
          <t>Amt</t>
        </is>
      </c>
      <c r="N143" s="35" t="n"/>
      <c r="O143" s="34" t="inlineStr">
        <is>
          <t>Spouse</t>
        </is>
      </c>
      <c r="P143" s="35" t="inlineStr">
        <is>
          <t>S2 Adjustment</t>
        </is>
      </c>
    </row>
    <row r="144" ht="15.75" customHeight="1" thickBot="1">
      <c r="B144" s="667" t="inlineStr">
        <is>
          <t>Age Amount</t>
        </is>
      </c>
      <c r="D144" t="inlineStr">
        <is>
          <t>Line 5808</t>
        </is>
      </c>
      <c r="E144" s="861">
        <f>(_xlfn.XLOOKUP(ClientNumber,Clients!D:D,Clients!GRD:GRD,2,0,1))</f>
        <v/>
      </c>
      <c r="F144" s="37" t="inlineStr">
        <is>
          <t>Line 59020</t>
        </is>
      </c>
      <c r="G144" s="51">
        <f>IF(TransferName="NONE",0,(_xlfn.XLOOKUP(TransferNumber,Clients!D:D,Clients!GTF:GTF,2,0,1)))</f>
        <v/>
      </c>
      <c r="H144" s="37">
        <f>IF(AND(E144&gt;0,G144=0),"Age Amount Can Be Transferred","No Action")</f>
        <v/>
      </c>
      <c r="J144" s="667" t="inlineStr">
        <is>
          <t>Age Amount</t>
        </is>
      </c>
      <c r="L144" t="inlineStr">
        <is>
          <t>Line 5808</t>
        </is>
      </c>
      <c r="M144" s="865">
        <f>(_xlfn.XLOOKUP(MainClient,Clients!D:D,Clients!HRF:HRF,2,0,1))</f>
        <v/>
      </c>
      <c r="N144" s="45" t="inlineStr">
        <is>
          <t>Line 59020</t>
        </is>
      </c>
      <c r="O144" s="51">
        <f>IF(TransferName="NONE",0,(_xlfn.XLOOKUP(TransferNumber,Clients!D:D,Clients!HTH:HTH,2,0,1)))</f>
        <v/>
      </c>
      <c r="P144" s="37">
        <f>IF(AND(M144&gt;0,O144=0),"Age Amount Can Be Transferred","No Action")</f>
        <v/>
      </c>
    </row>
    <row r="145" ht="15.75" customHeight="1" thickBot="1">
      <c r="B145" s="667" t="inlineStr">
        <is>
          <t>Pension Income Amount</t>
        </is>
      </c>
      <c r="D145" t="inlineStr">
        <is>
          <t>Line 5836 (mx 1000)</t>
        </is>
      </c>
      <c r="E145" s="861">
        <f>IF((_xlfn.XLOOKUP(ClientNumber,Clients!D:D,Clients!GSD:GSD,2,0,1)&lt;1000),(_xlfn.XLOOKUP(MainClient,Clients!D:D,Clients!GSD:GSD,2,0,1)),1000)</f>
        <v/>
      </c>
      <c r="F145" s="37" t="inlineStr">
        <is>
          <t>Line 59050</t>
        </is>
      </c>
      <c r="G145" s="51">
        <f>IF(TransferName="NONE",0,(_xlfn.XLOOKUP(TransferNumber,Clients!D:D,Clients!GTI:GTI,2,0,1)))</f>
        <v/>
      </c>
      <c r="H145" s="37">
        <f>IF(AND(E145&gt;0,G145=0),"Pension Income Amount Can Be Transferred","No Action")</f>
        <v/>
      </c>
      <c r="J145" s="667" t="inlineStr">
        <is>
          <t>Pension Income Amount</t>
        </is>
      </c>
      <c r="L145" t="inlineStr">
        <is>
          <t>Line 5836 (mx 1000)</t>
        </is>
      </c>
      <c r="M145" s="865">
        <f>IF((_xlfn.XLOOKUP(ClientNumber,Clients!D:D,Clients!HSF:HSF,2,0,1)&lt;1000),(_xlfn.XLOOKUP(MainClient,Clients!D:D,Clients!HSF:HSF,2,0,1)),1000)</f>
        <v/>
      </c>
      <c r="N145" s="45" t="inlineStr">
        <is>
          <t>Line 59050</t>
        </is>
      </c>
      <c r="O145" s="51">
        <f>IF(TransferName="NONE",0,(_xlfn.XLOOKUP(TransferNumber,Clients!D:D,Clients!HTK:HTK,2,0,1)))</f>
        <v/>
      </c>
      <c r="P145" s="37">
        <f>IF(AND(M145&gt;0,O145=0),"Pension Income Amount Can Be Transferred","No Action")</f>
        <v/>
      </c>
    </row>
    <row r="146" ht="15.75" customHeight="1" thickBot="1">
      <c r="B146" s="667" t="inlineStr">
        <is>
          <t>Disability Amount</t>
        </is>
      </c>
      <c r="D146" t="inlineStr">
        <is>
          <t xml:space="preserve">Line 5844 </t>
        </is>
      </c>
      <c r="E146" s="861">
        <f>IF(_xlfn.XLOOKUP(ClientNumber,Clients!D:D,Clients!GSF:GSF,2,0,1)=0,5939,(_xlfn.XLOOKUP(MainClient,Clients!D:D,Clients!GSF:GSF,2,0,1)))</f>
        <v/>
      </c>
      <c r="F146" s="37" t="inlineStr">
        <is>
          <t>Line 59070</t>
        </is>
      </c>
      <c r="G146" s="51">
        <f>IF(TransferName="NONE",0,(_xlfn.XLOOKUP(TransferNumber,Clients!D:D,Clients!GTJ:GTJ,2,0,1)))</f>
        <v/>
      </c>
      <c r="H146" s="37">
        <f>IF(AND(E146&gt;0,G146=0),"DTC Transferable Not Claimed Can Be Transferred","No Action")</f>
        <v/>
      </c>
      <c r="J146" s="667" t="inlineStr">
        <is>
          <t>Disability Amount</t>
        </is>
      </c>
      <c r="L146" t="inlineStr">
        <is>
          <t xml:space="preserve">Line 5844 </t>
        </is>
      </c>
      <c r="M146" s="865">
        <f>IF(_xlfn.XLOOKUP(ClientNumber,Clients!D:D,Clients!HSH:HSH,2,0,1)=0,5915,(_xlfn.XLOOKUP(MainClient,Clients!D:D,Clients!HSH:HSH,2,0,1)))</f>
        <v/>
      </c>
      <c r="N146" s="45" t="inlineStr">
        <is>
          <t>Line 59070</t>
        </is>
      </c>
      <c r="O146" s="51">
        <f>IF(TransferName="NONE",0,(_xlfn.XLOOKUP(TransferNumber,Clients!D:D,Clients!HTL:HTL,2,0,1)))</f>
        <v/>
      </c>
      <c r="P146" s="37">
        <f>IF(AND(M146&gt;0,O146=0),"DTC Transferable Not Claimed Can Be Transferred","No Action")</f>
        <v/>
      </c>
    </row>
    <row r="147" ht="15.75" customHeight="1" thickBot="1">
      <c r="B147" s="667" t="inlineStr">
        <is>
          <t>Tuition Amount</t>
        </is>
      </c>
      <c r="D147" t="inlineStr">
        <is>
          <t>Line 5920</t>
        </is>
      </c>
      <c r="E147" s="861">
        <f>(_xlfn.XLOOKUP(ClientNumber,Clients!D:D,Clients!GTT:GTT,2,0,1))</f>
        <v/>
      </c>
      <c r="F147" s="37" t="inlineStr">
        <is>
          <t>Line 59090</t>
        </is>
      </c>
      <c r="G147" s="51">
        <f>IF(TransferName="NONE",0,(_xlfn.XLOOKUP(TransferNumber,Clients!D:D,Clients!GTK:GTK,2,0,1)))</f>
        <v/>
      </c>
      <c r="H147" s="37">
        <f>IF(AND(E147&gt;0,G147=0),"Tuition Can Be Transferred","No Action")</f>
        <v/>
      </c>
      <c r="J147" s="667" t="inlineStr">
        <is>
          <t>Tuition Amount</t>
        </is>
      </c>
      <c r="L147" t="inlineStr">
        <is>
          <t>Line 5920</t>
        </is>
      </c>
      <c r="M147" s="865">
        <f>(_xlfn.XLOOKUP(MainClient,Clients!D:D,Clients!HTV:HTV,2,0,1))</f>
        <v/>
      </c>
      <c r="N147" s="45" t="inlineStr">
        <is>
          <t>Line 59090</t>
        </is>
      </c>
      <c r="O147" s="51">
        <f>IF(TransferName="NONE",0,(_xlfn.XLOOKUP(TransferNumber,Clients!D:D,Clients!HTM:HTM,2,0,1)))</f>
        <v/>
      </c>
      <c r="P147" s="37">
        <f>IF(AND(M147&gt;0,O147=0),"Tuition Can Be Transferred","No Action")</f>
        <v/>
      </c>
    </row>
    <row r="148">
      <c r="B148" s="667" t="n"/>
      <c r="E148" s="771">
        <f>SUM(E144:E147)</f>
        <v/>
      </c>
      <c r="F148" s="37" t="n"/>
      <c r="G148" s="667">
        <f>SUM(G144:G147)</f>
        <v/>
      </c>
      <c r="H148" s="37" t="n"/>
      <c r="J148" s="667" t="n"/>
      <c r="M148" s="872">
        <f>SUM(M144:M147)</f>
        <v/>
      </c>
      <c r="N148" s="37" t="n"/>
      <c r="O148" s="667">
        <f>SUM(O144:O147)</f>
        <v/>
      </c>
      <c r="P148" s="37" t="n"/>
    </row>
    <row r="149" ht="15.75" customHeight="1" thickBot="1">
      <c r="B149" s="34" t="n"/>
      <c r="F149" s="35" t="n"/>
      <c r="G149" s="667" t="n"/>
      <c r="H149" s="35" t="n"/>
      <c r="J149" s="34" t="n"/>
      <c r="N149" s="35" t="n"/>
      <c r="O149" s="667" t="n"/>
      <c r="P149" s="35" t="n"/>
    </row>
    <row r="150" ht="15.75" customHeight="1" thickBot="1">
      <c r="B150" s="667" t="inlineStr">
        <is>
          <t>Line 260</t>
        </is>
      </c>
      <c r="C150" s="36">
        <f>(_xlfn.XLOOKUP(MainClient,Clients!D:D,Clients!GJC:GJC,2,0,1))</f>
        <v/>
      </c>
      <c r="F150" s="35" t="n"/>
      <c r="G150" s="34">
        <f>IF(E173&gt;E146,"other transferable credits","DTC Only")</f>
        <v/>
      </c>
      <c r="H150" s="35" t="n"/>
      <c r="J150" s="667" t="inlineStr">
        <is>
          <t>Line 260</t>
        </is>
      </c>
      <c r="K150" s="36">
        <f>(_xlfn.XLOOKUP(MainClient,Clients!D:D,Clients!HJE:HJE,2,0,1))</f>
        <v/>
      </c>
      <c r="N150" s="35" t="n"/>
      <c r="O150" s="34">
        <f>IF(M173&gt;M146,"other transferable credits","DTC Only")</f>
        <v/>
      </c>
      <c r="P150" s="35" t="n"/>
    </row>
    <row r="151" ht="15.75" customHeight="1" thickBot="1">
      <c r="B151" s="34" t="n"/>
      <c r="F151" s="35" t="n"/>
      <c r="G151" s="34" t="n"/>
      <c r="H151" s="35" t="n"/>
      <c r="J151" s="34" t="n"/>
      <c r="N151" s="35" t="n"/>
      <c r="O151" s="34" t="n"/>
      <c r="P151" s="35" t="n"/>
    </row>
    <row r="152" ht="15" customHeight="1" thickBot="1">
      <c r="B152" s="55" t="inlineStr">
        <is>
          <t>Line 5804</t>
        </is>
      </c>
      <c r="C152" s="36">
        <f>(_xlfn.XLOOKUP(ClientNumber,Clients!D:D,Clients!GRC:GRC,2,0,1))</f>
        <v/>
      </c>
      <c r="F152" s="35" t="n"/>
      <c r="G152" s="34" t="n"/>
      <c r="H152" s="35" t="n"/>
      <c r="J152" s="55" t="inlineStr">
        <is>
          <t>Line 5804</t>
        </is>
      </c>
      <c r="K152" s="36">
        <f>(_xlfn.XLOOKUP(MainClient,Clients!D:D,Clients!HRE:HRE,2,0,1))</f>
        <v/>
      </c>
      <c r="N152" s="35" t="n"/>
      <c r="O152" s="34" t="n"/>
      <c r="P152" s="35" t="n"/>
    </row>
    <row r="153" ht="15.75" customHeight="1" thickBot="1">
      <c r="B153" s="55" t="inlineStr">
        <is>
          <t>Line 5824</t>
        </is>
      </c>
      <c r="C153" s="36">
        <f>(_xlfn.XLOOKUP(ClientNumber,Clients!D:D,Clients!GRR:GRR,2,0,1))</f>
        <v/>
      </c>
      <c r="F153" s="35" t="n"/>
      <c r="G153" s="34" t="n"/>
      <c r="H153" s="35" t="n"/>
      <c r="J153" s="55" t="inlineStr">
        <is>
          <t>Line 5824</t>
        </is>
      </c>
      <c r="K153" s="36">
        <f>(_xlfn.XLOOKUP(MainClient,Clients!D:D,Clients!HRT:HRT,2,0,1))</f>
        <v/>
      </c>
      <c r="N153" s="35" t="n"/>
      <c r="O153" s="34" t="n"/>
      <c r="P153" s="35" t="n"/>
    </row>
    <row r="154" ht="15.75" customHeight="1" thickBot="1">
      <c r="B154" s="55" t="inlineStr">
        <is>
          <t>Line 5828</t>
        </is>
      </c>
      <c r="C154" s="36">
        <f>(_xlfn.XLOOKUP(ClientNumber,Clients!D:D,Clients!GRS:GRS,2,0,1))</f>
        <v/>
      </c>
      <c r="F154" s="35" t="n"/>
      <c r="G154" s="34" t="n"/>
      <c r="H154" s="35" t="n"/>
      <c r="J154" s="55" t="inlineStr">
        <is>
          <t>Line 5828</t>
        </is>
      </c>
      <c r="K154" s="36">
        <f>(_xlfn.XLOOKUP(MainClient,Clients!D:D,Clients!HRU:HRU,2,0,1))</f>
        <v/>
      </c>
      <c r="N154" s="35" t="n"/>
      <c r="P154" s="35" t="n"/>
    </row>
    <row r="155" ht="15.75" customHeight="1" thickBot="1">
      <c r="B155" s="55" t="inlineStr">
        <is>
          <t>Line 5832</t>
        </is>
      </c>
      <c r="C155" s="36">
        <f>(_xlfn.XLOOKUP(ClientNumber,Clients!D:D,Clients!GRT:GRT,2,0,1))</f>
        <v/>
      </c>
      <c r="F155" s="35" t="n"/>
      <c r="G155" s="34" t="n"/>
      <c r="H155" s="35" t="n"/>
      <c r="J155" s="55" t="inlineStr">
        <is>
          <t>Line 5832</t>
        </is>
      </c>
      <c r="K155" s="36">
        <f>(_xlfn.XLOOKUP(MainClient,Clients!D:D,Clients!HRV:HRV,2,0,1))</f>
        <v/>
      </c>
      <c r="N155" s="35" t="n"/>
      <c r="O155" s="34" t="n"/>
      <c r="P155" s="35" t="n"/>
    </row>
    <row r="156" ht="15.75" customHeight="1" thickBot="1">
      <c r="B156" s="55" t="inlineStr">
        <is>
          <t>Line 5829</t>
        </is>
      </c>
      <c r="C156" s="36">
        <f>(_xlfn.XLOOKUP(ClientNumber,Clients!D:D,Clients!GRU:GRU,2,0,1))</f>
        <v/>
      </c>
      <c r="F156" s="35" t="n"/>
      <c r="G156" s="34" t="n"/>
      <c r="H156" s="35" t="n"/>
      <c r="J156" s="55" t="inlineStr">
        <is>
          <t>Line 5829</t>
        </is>
      </c>
      <c r="K156" s="36">
        <f>(_xlfn.XLOOKUP(MainClient,Clients!D:D,Clients!HRW:HRW,2,0,1))</f>
        <v/>
      </c>
      <c r="N156" s="35" t="n"/>
      <c r="O156" s="34" t="n"/>
      <c r="P156" s="35" t="n"/>
    </row>
    <row r="157" ht="15.75" customHeight="1" thickBot="1">
      <c r="B157" s="55" t="inlineStr">
        <is>
          <t>Line 5830</t>
        </is>
      </c>
      <c r="C157" s="36">
        <f>(_xlfn.XLOOKUP(ClientNumber,Clients!D:D,Clients!GRW:GRW,2,0,1))</f>
        <v/>
      </c>
      <c r="F157" s="35" t="n"/>
      <c r="G157" s="34" t="n"/>
      <c r="H157" s="35" t="n"/>
      <c r="J157" s="55" t="inlineStr">
        <is>
          <t>Line 5830</t>
        </is>
      </c>
      <c r="K157" s="36">
        <f>(_xlfn.XLOOKUP(MainClient,Clients!D:D,Clients!HRY:HRY,2,0,1))</f>
        <v/>
      </c>
      <c r="N157" s="35" t="n"/>
      <c r="O157" s="34" t="n"/>
      <c r="P157" s="35" t="n"/>
    </row>
    <row r="158" ht="15.75" customHeight="1" thickBot="1">
      <c r="B158" s="55" t="inlineStr">
        <is>
          <t>Line 5831</t>
        </is>
      </c>
      <c r="C158" s="36">
        <f>(_xlfn.XLOOKUP(ClientNumber,Clients!D:D,Clients!GRY:GRY,2,0,1))</f>
        <v/>
      </c>
      <c r="F158" s="35" t="n"/>
      <c r="G158" s="34" t="n"/>
      <c r="H158" s="35" t="n"/>
      <c r="J158" s="55" t="inlineStr">
        <is>
          <t>Line 5831</t>
        </is>
      </c>
      <c r="K158" s="36">
        <f>(_xlfn.XLOOKUP(MainClient,Clients!D:D,Clients!HSA:HSA,2,0,1))</f>
        <v/>
      </c>
      <c r="N158" s="35" t="n"/>
      <c r="O158" s="34" t="n"/>
      <c r="P158" s="35" t="n"/>
    </row>
    <row r="159" ht="15.75" customHeight="1" thickBot="1">
      <c r="B159" s="55" t="inlineStr">
        <is>
          <t>Line 5833</t>
        </is>
      </c>
      <c r="C159" s="36">
        <f>(_xlfn.XLOOKUP(ClientNumber,Clients!D:D,Clients!GSB:GSB,2,0,1))</f>
        <v/>
      </c>
      <c r="F159" s="35" t="n"/>
      <c r="G159" s="34" t="n"/>
      <c r="H159" s="35" t="n"/>
      <c r="J159" s="55" t="inlineStr">
        <is>
          <t>Line 5833</t>
        </is>
      </c>
      <c r="K159" s="36">
        <f>(_xlfn.XLOOKUP(MainClient,Clients!D:D,Clients!HSD:HSD,2,0,1))</f>
        <v/>
      </c>
      <c r="N159" s="35" t="n"/>
      <c r="O159" s="34" t="n"/>
      <c r="P159" s="35" t="n"/>
    </row>
    <row r="160" ht="15.75" customHeight="1" thickBot="1">
      <c r="B160" s="55" t="inlineStr">
        <is>
          <t>Line  5856</t>
        </is>
      </c>
      <c r="C160" s="36">
        <f>(_xlfn.XLOOKUP(ClientNumber,Clients!D:D,Clients!GSJ:GSJ,2,0,1))</f>
        <v/>
      </c>
      <c r="F160" s="35" t="n"/>
      <c r="G160" s="34" t="n"/>
      <c r="H160" s="35" t="n"/>
      <c r="J160" s="55" t="inlineStr">
        <is>
          <t>Line  5856</t>
        </is>
      </c>
      <c r="K160" s="36">
        <f>(_xlfn.XLOOKUP(MainClient,Clients!D:D,Clients!HSL:HSL,2,0,1))</f>
        <v/>
      </c>
      <c r="N160" s="35" t="n"/>
      <c r="O160" s="34" t="n"/>
      <c r="P160" s="35" t="n"/>
    </row>
    <row r="161" ht="15.75" customHeight="1" thickBot="1">
      <c r="B161" s="55" t="n"/>
      <c r="C161" s="36" t="n"/>
      <c r="F161" s="35" t="n"/>
      <c r="G161" s="34" t="n"/>
      <c r="H161" s="35" t="n"/>
      <c r="J161" s="55" t="n"/>
      <c r="K161" s="36" t="n"/>
      <c r="N161" s="35" t="n"/>
      <c r="O161" s="34" t="n"/>
      <c r="P161" s="35" t="n"/>
    </row>
    <row r="162" ht="15.75" customHeight="1" thickBot="1">
      <c r="B162" s="55" t="n"/>
      <c r="C162" s="36" t="n"/>
      <c r="F162" s="35" t="n"/>
      <c r="G162" s="34" t="inlineStr">
        <is>
          <t>Line 326</t>
        </is>
      </c>
      <c r="H162" s="35">
        <f>IF(TransferName="NONE",0,(_xlfn.XLOOKUP(TransferNumber,Clients!D:D,Clients!GKB:GKB,2,0,1)))</f>
        <v/>
      </c>
      <c r="J162" s="55" t="n"/>
      <c r="K162" s="36" t="n"/>
      <c r="N162" s="35" t="n"/>
      <c r="O162" s="34" t="inlineStr">
        <is>
          <t>Line 326</t>
        </is>
      </c>
      <c r="P162" s="35">
        <f>IFERROR(_xlfn.XLOOKUP(TransferNumber,Clients!D:D,Clients!FJZ:FJZ,2,0,1),0)</f>
        <v/>
      </c>
    </row>
    <row r="163" ht="15.75" customHeight="1" thickBot="1">
      <c r="B163" s="68" t="n"/>
      <c r="C163" s="36" t="n"/>
      <c r="F163" s="35" t="n"/>
      <c r="G163" s="34" t="n"/>
      <c r="H163" s="35" t="n"/>
      <c r="J163" s="38" t="n"/>
      <c r="K163" s="36" t="n"/>
      <c r="N163" s="35" t="n"/>
      <c r="O163" s="34" t="n"/>
      <c r="P163" s="35" t="n"/>
    </row>
    <row r="164" ht="15.75" customHeight="1" thickBot="1">
      <c r="B164" s="38" t="n"/>
      <c r="C164" s="36" t="n"/>
      <c r="F164" s="35" t="n"/>
      <c r="G164" s="34" t="n"/>
      <c r="H164" s="35" t="n"/>
      <c r="J164" s="38" t="n"/>
      <c r="K164" s="36" t="n"/>
      <c r="N164" s="35" t="n"/>
      <c r="O164" s="34" t="n"/>
      <c r="P164" s="35" t="n"/>
    </row>
    <row r="165" ht="15.75" customHeight="1" thickBot="1">
      <c r="B165" s="38" t="n"/>
      <c r="C165" s="36" t="n"/>
      <c r="F165" s="35" t="n"/>
      <c r="G165" s="34" t="n"/>
      <c r="H165" s="35" t="n"/>
      <c r="J165" s="38" t="n"/>
      <c r="K165" s="36" t="n"/>
      <c r="N165" s="35" t="n"/>
      <c r="O165" s="34" t="n"/>
      <c r="P165" s="35" t="n"/>
    </row>
    <row r="166" ht="15.75" customHeight="1" thickBot="1">
      <c r="B166" s="38" t="n"/>
      <c r="C166" s="36" t="n"/>
      <c r="F166" s="35" t="n"/>
      <c r="G166" s="34" t="n"/>
      <c r="H166" s="35">
        <f>IF(E171&gt;0,E148-G148,0)</f>
        <v/>
      </c>
      <c r="J166" s="38" t="n"/>
      <c r="K166" s="36" t="n"/>
      <c r="N166" s="35" t="n"/>
      <c r="O166" s="34" t="n"/>
      <c r="P166" s="35">
        <f>IF(M171&gt;0,M148-O148,0)</f>
        <v/>
      </c>
    </row>
    <row r="167" ht="15.75" customHeight="1" thickBot="1">
      <c r="B167" s="38" t="n"/>
      <c r="C167" s="36" t="n"/>
      <c r="F167" s="35" t="n"/>
      <c r="H167" s="65">
        <f>IF(TransferName="NONE",F172,IF(H166&gt;0,(E171-G148)*0.087,0))</f>
        <v/>
      </c>
      <c r="J167" s="38" t="n"/>
      <c r="K167" s="36" t="n"/>
      <c r="N167" s="35" t="n"/>
      <c r="P167" s="65">
        <f>IF(TransferName="NONE",N172,IF(P166&gt;0,(M171-O148)*0.087,0))</f>
        <v/>
      </c>
    </row>
    <row r="168">
      <c r="B168" s="667" t="n"/>
      <c r="F168" s="35" t="n"/>
      <c r="G168" s="34" t="inlineStr">
        <is>
          <t>Transferable</t>
        </is>
      </c>
      <c r="H168" s="65">
        <f>IF(H167&gt;0,H167,0)</f>
        <v/>
      </c>
      <c r="J168" s="667" t="n"/>
      <c r="N168" s="35" t="n"/>
      <c r="O168" s="34" t="inlineStr">
        <is>
          <t>Transferable</t>
        </is>
      </c>
      <c r="P168" s="65">
        <f>IF(P167&gt;0,P167,0)</f>
        <v/>
      </c>
    </row>
    <row r="169">
      <c r="B169" s="667" t="inlineStr">
        <is>
          <t>Adjusted Taxable Income</t>
        </is>
      </c>
      <c r="C169">
        <f>C150-(SUM(C152:C167))</f>
        <v/>
      </c>
      <c r="D169" s="13" t="inlineStr">
        <is>
          <t>Line 5864</t>
        </is>
      </c>
      <c r="E169" s="39">
        <f>IF(C169&gt;0,C169,0)</f>
        <v/>
      </c>
      <c r="F169" s="35" t="n"/>
      <c r="G169" s="34" t="n"/>
      <c r="H169" s="35" t="n"/>
      <c r="J169" s="667" t="inlineStr">
        <is>
          <t>Adjusted Taxable Income</t>
        </is>
      </c>
      <c r="K169">
        <f>K150-(SUM(K152:K167))</f>
        <v/>
      </c>
      <c r="L169" s="13" t="inlineStr">
        <is>
          <t>Line 5864</t>
        </is>
      </c>
      <c r="M169" s="39">
        <f>IF(K169&gt;0,K169,0)</f>
        <v/>
      </c>
      <c r="N169" s="35" t="n"/>
      <c r="O169" s="34" t="n"/>
      <c r="P169" s="35" t="n"/>
    </row>
    <row r="170" ht="15.75" customHeight="1" thickBot="1">
      <c r="B170" s="34" t="n"/>
      <c r="F170" s="35" t="n"/>
      <c r="G170" s="34" t="n"/>
      <c r="H170" s="35" t="n"/>
      <c r="J170" s="34" t="n"/>
      <c r="N170" s="35" t="n"/>
      <c r="O170" s="34" t="n"/>
      <c r="P170" s="35" t="n"/>
    </row>
    <row r="171" ht="15.75" customHeight="1" thickBot="1">
      <c r="B171" s="34" t="n"/>
      <c r="D171" s="21" t="inlineStr">
        <is>
          <t>Prov Trans</t>
        </is>
      </c>
      <c r="E171" s="36">
        <f>(E148-E169)</f>
        <v/>
      </c>
      <c r="F171" s="40" t="n"/>
      <c r="G171" s="34" t="n"/>
      <c r="H171" s="52" t="n"/>
      <c r="J171" s="34" t="n"/>
      <c r="L171" s="21" t="inlineStr">
        <is>
          <t>Prov Trans</t>
        </is>
      </c>
      <c r="M171" s="36">
        <f>(M148-M169)</f>
        <v/>
      </c>
      <c r="N171" s="40" t="n"/>
      <c r="O171" s="34" t="n"/>
      <c r="P171" s="52" t="n"/>
    </row>
    <row r="172" ht="15.75" customHeight="1" thickBot="1">
      <c r="B172" s="34" t="n"/>
      <c r="C172" s="579" t="inlineStr">
        <is>
          <t>DTC Transferable ESTIMATE</t>
        </is>
      </c>
      <c r="D172" s="35" t="n"/>
      <c r="E172" s="36">
        <f>IF(E171&lt;0,0,(IF(E171&gt;E146,E146,E171)))</f>
        <v/>
      </c>
      <c r="F172" s="40">
        <f>IF(E172&gt;0,E172*0.087,"No Transfer Required")</f>
        <v/>
      </c>
      <c r="G172" s="58" t="n"/>
      <c r="H172" s="52" t="n"/>
      <c r="J172" s="34" t="n"/>
      <c r="K172" s="579" t="inlineStr">
        <is>
          <t>DTC Transferable ESTIMATE</t>
        </is>
      </c>
      <c r="L172" s="35" t="n"/>
      <c r="M172" s="36">
        <f>IF(M171&lt;0,0,(IF(M171&gt;M146,M146,M171)))</f>
        <v/>
      </c>
      <c r="N172" s="40">
        <f>IF(M172&gt;0,M172*0.087,"No Transfer Required")</f>
        <v/>
      </c>
      <c r="O172" s="58" t="n"/>
      <c r="P172" s="52" t="n"/>
    </row>
    <row r="173" ht="15.75" customHeight="1" thickBot="1">
      <c r="B173" s="42" t="n"/>
      <c r="C173" s="41" t="n"/>
      <c r="D173" s="43" t="inlineStr">
        <is>
          <t>Net Transferable</t>
        </is>
      </c>
      <c r="E173" s="36">
        <f>IF(E171&lt;0,0,(IF(E171-G144-G145-G147&lt;0,E171,(E171-G144-G145-G147))))</f>
        <v/>
      </c>
      <c r="F173" s="57">
        <f>IF(E173&gt;0,E173*0.087,"0")</f>
        <v/>
      </c>
      <c r="G173" s="59" t="n"/>
      <c r="H173" s="864" t="n"/>
      <c r="J173" s="42" t="n"/>
      <c r="K173" s="41" t="n"/>
      <c r="L173" s="43" t="inlineStr">
        <is>
          <t>Net Transferable</t>
        </is>
      </c>
      <c r="M173" s="36">
        <f>IF(M171&lt;0,0,(IF(M171-O144-O145-O147&lt;0,M171,(M171-O144-O145-O147))))</f>
        <v/>
      </c>
      <c r="N173" s="57">
        <f>IF(M173&gt;0,M173*0.087,"0")</f>
        <v/>
      </c>
      <c r="O173" s="59" t="n"/>
      <c r="P173" s="864" t="n"/>
    </row>
    <row r="174">
      <c r="D174" s="60" t="n"/>
      <c r="F174" s="61" t="n"/>
      <c r="G174" s="449" t="n"/>
      <c r="H174" s="866" t="n"/>
      <c r="L174" s="60" t="n"/>
      <c r="N174" s="866" t="n"/>
      <c r="O174" s="64" t="n"/>
      <c r="P174" s="866" t="n"/>
    </row>
    <row r="175" ht="15.75" customHeight="1" thickBot="1">
      <c r="E175">
        <f>Calculator!$D$5</f>
        <v/>
      </c>
      <c r="H175">
        <f>TransferName</f>
        <v/>
      </c>
      <c r="M175">
        <f>Calculator!$D$5</f>
        <v/>
      </c>
      <c r="P175">
        <f>TransferName</f>
        <v/>
      </c>
    </row>
    <row r="176" ht="15.75" customHeight="1" thickBot="1">
      <c r="B176" s="876" t="inlineStr">
        <is>
          <t>2014 NEWFOUNDLAND Provincial</t>
        </is>
      </c>
      <c r="C176" s="778" t="n"/>
      <c r="D176" s="778" t="n"/>
      <c r="E176" s="778" t="n"/>
      <c r="F176" s="778" t="n"/>
      <c r="G176" s="778" t="n"/>
      <c r="H176" s="780" t="n"/>
      <c r="J176" s="876" t="inlineStr">
        <is>
          <t>2013 NEWFOUNDLAND Provincial</t>
        </is>
      </c>
      <c r="K176" s="778" t="n"/>
      <c r="L176" s="778" t="n"/>
      <c r="M176" s="778" t="n"/>
      <c r="N176" s="778" t="n"/>
      <c r="O176" s="778" t="n"/>
      <c r="P176" s="780" t="n"/>
    </row>
    <row r="177" ht="15.75" customHeight="1" thickBot="1">
      <c r="B177" s="34" t="n"/>
      <c r="D177" t="inlineStr">
        <is>
          <t>Line</t>
        </is>
      </c>
      <c r="E177" t="inlineStr">
        <is>
          <t>Amt</t>
        </is>
      </c>
      <c r="F177" s="35" t="n"/>
      <c r="G177" s="667" t="inlineStr">
        <is>
          <t>Spouse</t>
        </is>
      </c>
      <c r="H177" s="35" t="inlineStr">
        <is>
          <t>S2 Adjustment</t>
        </is>
      </c>
      <c r="J177" s="34" t="n"/>
      <c r="L177" t="inlineStr">
        <is>
          <t>Line</t>
        </is>
      </c>
      <c r="M177" t="inlineStr">
        <is>
          <t>Amt</t>
        </is>
      </c>
      <c r="N177" s="35" t="n"/>
      <c r="O177" s="34" t="inlineStr">
        <is>
          <t>Spouse</t>
        </is>
      </c>
      <c r="P177" s="35" t="inlineStr">
        <is>
          <t>S2 Adjustment</t>
        </is>
      </c>
    </row>
    <row r="178" ht="15.75" customHeight="1" thickBot="1">
      <c r="B178" s="667" t="inlineStr">
        <is>
          <t>Age Amount</t>
        </is>
      </c>
      <c r="D178" t="inlineStr">
        <is>
          <t>Line 5808</t>
        </is>
      </c>
      <c r="E178" s="861">
        <f>(_xlfn.XLOOKUP(ClientNumber,Clients!D:D,Clients!IRH:IRH,2,0,1))</f>
        <v/>
      </c>
      <c r="F178" s="37" t="inlineStr">
        <is>
          <t>Line 59020</t>
        </is>
      </c>
      <c r="G178" s="51">
        <f>IF(TransferName="NONE",0,(_xlfn.XLOOKUP(TransferNumber,Clients!D:D,Clients!ITJ:ITJ,2,0,1)))</f>
        <v/>
      </c>
      <c r="H178" s="37">
        <f>IF(AND(E178&gt;0,G178=0),"Age Amount Can Be Transferred","No Action")</f>
        <v/>
      </c>
      <c r="J178" s="667" t="inlineStr">
        <is>
          <t>Age Amount</t>
        </is>
      </c>
      <c r="L178" t="inlineStr">
        <is>
          <t>Line 5808</t>
        </is>
      </c>
      <c r="M178" s="865">
        <f>(_xlfn.XLOOKUP(MainClient,Clients!D:D,Clients!JRJ:JRJ,2,0,1))</f>
        <v/>
      </c>
      <c r="N178" s="45" t="inlineStr">
        <is>
          <t>Line 59020</t>
        </is>
      </c>
      <c r="O178" s="51">
        <f>IF(TransferName="NONE",0,(_xlfn.XLOOKUP(TransferNumber,Clients!D:D,Clients!JTL:JTL,2,0,1)))</f>
        <v/>
      </c>
      <c r="P178" s="37">
        <f>IF(AND(M178&gt;0,O178=0),"Age Amount Can Be Transferred","No Action")</f>
        <v/>
      </c>
    </row>
    <row r="179" ht="15.75" customHeight="1" thickBot="1">
      <c r="B179" s="667" t="inlineStr">
        <is>
          <t>Pension Income Amount</t>
        </is>
      </c>
      <c r="D179" t="inlineStr">
        <is>
          <t>Line 5836 (mx 1000)</t>
        </is>
      </c>
      <c r="E179" s="861">
        <f>IF((_xlfn.XLOOKUP(ClientNumber,Clients!D:D,Clients!ISH:ISH,2,0,1)&lt;1000),(_xlfn.XLOOKUP(MainClient,Clients!D:D,Clients!ISH:ISH,2,0,1)),1000)</f>
        <v/>
      </c>
      <c r="F179" s="37" t="inlineStr">
        <is>
          <t>Line 59050</t>
        </is>
      </c>
      <c r="G179" s="51">
        <f>IF(TransferName="NONE",0,(_xlfn.XLOOKUP(TransferNumber,Clients!D:D,Clients!ITM:ITM,2,0,1)))</f>
        <v/>
      </c>
      <c r="H179" s="37">
        <f>IF(AND(E179&gt;0,G179=0),"Pension Income Amount Can Be Transferred","No Action")</f>
        <v/>
      </c>
      <c r="J179" s="667" t="inlineStr">
        <is>
          <t>Pension Income Amount</t>
        </is>
      </c>
      <c r="L179" t="inlineStr">
        <is>
          <t>Line 5836 (mx 1000)</t>
        </is>
      </c>
      <c r="M179" s="865">
        <f>IF((_xlfn.XLOOKUP(ClientNumber,Clients!D:D,Clients!JSJ:JSJ,2,0,1)&lt;1000),(_xlfn.XLOOKUP(MainClient,Clients!D:D,Clients!JSJ:JSJ,2,0,1)),1000)</f>
        <v/>
      </c>
      <c r="N179" s="45" t="inlineStr">
        <is>
          <t>Line 59050</t>
        </is>
      </c>
      <c r="O179" s="51">
        <f>IF(TransferName="NONE",0,(_xlfn.XLOOKUP(TransferNumber,Clients!D:D,Clients!JTO:JTO,2,0,1)))</f>
        <v/>
      </c>
      <c r="P179" s="37">
        <f>IF(AND(M179&gt;0,O179=0),"Pension Income Amount Can Be Transferred","No Action")</f>
        <v/>
      </c>
    </row>
    <row r="180" ht="15.75" customHeight="1" thickBot="1">
      <c r="B180" s="667" t="inlineStr">
        <is>
          <t>Disability Amount</t>
        </is>
      </c>
      <c r="D180" t="inlineStr">
        <is>
          <t xml:space="preserve">Line 5844 </t>
        </is>
      </c>
      <c r="E180" s="861">
        <f>IF(_xlfn.XLOOKUP(ClientNumber,Clients!D:D,Clients!ISJ:ISJ,2,0,1)=0,5788,(_xlfn.XLOOKUP(MainClient,Clients!D:D,Clients!ISJ:ISJ,2,0,1)))</f>
        <v/>
      </c>
      <c r="F180" s="37" t="inlineStr">
        <is>
          <t>Line 59070</t>
        </is>
      </c>
      <c r="G180" s="51">
        <f>IF(TransferName="NONE",0,(_xlfn.XLOOKUP(TransferNumber,Clients!D:D,Clients!ITN:ITN,2,0,1)))</f>
        <v/>
      </c>
      <c r="H180" s="37">
        <f>IF(AND(E180&gt;0,G180=0),"DTC Transferable Not Claimed Can Be Transferred","No Action")</f>
        <v/>
      </c>
      <c r="J180" s="667" t="inlineStr">
        <is>
          <t>Disability Amount</t>
        </is>
      </c>
      <c r="L180" t="inlineStr">
        <is>
          <t xml:space="preserve">Line 5844 </t>
        </is>
      </c>
      <c r="M180" s="865">
        <f>IF(_xlfn.XLOOKUP(ClientNumber,Clients!D:D,Clients!JSL:JSL,2,0,1)=0,5703,(_xlfn.XLOOKUP(MainClient,Clients!D:D,Clients!JSL:JSL,2,0,1)))</f>
        <v/>
      </c>
      <c r="N180" s="45" t="inlineStr">
        <is>
          <t>Line 59070</t>
        </is>
      </c>
      <c r="O180" s="51">
        <f>IF(TransferName="NONE",0,(_xlfn.XLOOKUP(TransferNumber,Clients!D:D,Clients!JTP:JTP,2,0,1)))</f>
        <v/>
      </c>
      <c r="P180" s="37">
        <f>IF(AND(M180&gt;0,O180=0),"DTC Transferable Not Claimed Can Be Transferred","No Action")</f>
        <v/>
      </c>
    </row>
    <row r="181" ht="15.75" customHeight="1" thickBot="1">
      <c r="B181" s="667" t="inlineStr">
        <is>
          <t>Tuition Amount</t>
        </is>
      </c>
      <c r="D181" t="inlineStr">
        <is>
          <t>Line 5920</t>
        </is>
      </c>
      <c r="E181" s="861">
        <f>(_xlfn.XLOOKUP(ClientNumber,Clients!D:D,Clients!ITZ:ITZ,2,0,1))</f>
        <v/>
      </c>
      <c r="F181" s="37" t="inlineStr">
        <is>
          <t>Line 59090</t>
        </is>
      </c>
      <c r="G181" s="51">
        <f>IF(TransferName="NONE",0,(_xlfn.XLOOKUP(TransferNumber,Clients!D:D,Clients!ITO:ITO,2,0,1)))</f>
        <v/>
      </c>
      <c r="H181" s="37">
        <f>IF(AND(E181&gt;0,G181=0),"Tuition Can Be Transferred","No Action")</f>
        <v/>
      </c>
      <c r="J181" s="667" t="inlineStr">
        <is>
          <t>Tuition Amount</t>
        </is>
      </c>
      <c r="L181" t="inlineStr">
        <is>
          <t>Line 5920</t>
        </is>
      </c>
      <c r="M181" s="865">
        <f>(_xlfn.XLOOKUP(MainClient,Clients!D:D,Clients!JTZ:JTZ,2,0,1))</f>
        <v/>
      </c>
      <c r="N181" s="45" t="inlineStr">
        <is>
          <t>Line 59090</t>
        </is>
      </c>
      <c r="O181" s="51">
        <f>IF(TransferName="NONE",0,(_xlfn.XLOOKUP(TransferNumber,Clients!D:D,Clients!JTR:JTR,2,0,1)))</f>
        <v/>
      </c>
      <c r="P181" s="37">
        <f>IF(AND(M181&gt;0,O181=0),"Tuition Can Be Transferred","No Action")</f>
        <v/>
      </c>
    </row>
    <row r="182">
      <c r="B182" s="667" t="n"/>
      <c r="E182" s="771">
        <f>SUM(E178:E181)</f>
        <v/>
      </c>
      <c r="F182" s="37" t="n"/>
      <c r="G182" s="667">
        <f>SUM(G178:G181)</f>
        <v/>
      </c>
      <c r="H182" s="37" t="n"/>
      <c r="J182" s="667" t="n"/>
      <c r="M182" s="872">
        <f>SUM(M178:M181)</f>
        <v/>
      </c>
      <c r="N182" s="37" t="n"/>
      <c r="O182" s="667">
        <f>SUM(O178:O181)</f>
        <v/>
      </c>
      <c r="P182" s="37" t="n"/>
    </row>
    <row r="183" ht="15.75" customHeight="1" thickBot="1">
      <c r="B183" s="34" t="n"/>
      <c r="F183" s="35" t="n"/>
      <c r="G183" s="667" t="n"/>
      <c r="H183" s="35" t="n"/>
      <c r="J183" s="34" t="n"/>
      <c r="N183" s="35" t="n"/>
      <c r="O183" s="667" t="n"/>
      <c r="P183" s="35" t="n"/>
    </row>
    <row r="184" ht="15.75" customHeight="1" thickBot="1">
      <c r="B184" s="667" t="inlineStr">
        <is>
          <t>Line 260</t>
        </is>
      </c>
      <c r="C184" s="36">
        <f>(_xlfn.XLOOKUP(MainClient,Clients!D:D,Clients!IJG:IJG,2,0,1))</f>
        <v/>
      </c>
      <c r="F184" s="35" t="n"/>
      <c r="G184" s="34">
        <f>IF(E207&gt;E180,"other transferable credits","DTC Only")</f>
        <v/>
      </c>
      <c r="H184" s="35" t="n"/>
      <c r="J184" s="667" t="inlineStr">
        <is>
          <t>Line 260</t>
        </is>
      </c>
      <c r="K184" s="36">
        <f>(_xlfn.XLOOKUP(MainClient,Clients!D:D,Clients!JJI:JJI,2,0,1))</f>
        <v/>
      </c>
      <c r="N184" s="35" t="n"/>
      <c r="O184" s="34">
        <f>IF(M207&gt;M180,"other transferable credits","DTC Only")</f>
        <v/>
      </c>
      <c r="P184" s="35" t="n"/>
    </row>
    <row r="185" ht="15.75" customHeight="1" thickBot="1">
      <c r="B185" s="34" t="n"/>
      <c r="F185" s="35" t="n"/>
      <c r="G185" s="34" t="n"/>
      <c r="H185" s="35" t="n"/>
      <c r="J185" s="34" t="n"/>
      <c r="N185" s="35" t="n"/>
      <c r="O185" s="34" t="n"/>
      <c r="P185" s="35" t="n"/>
    </row>
    <row r="186" ht="15.75" customHeight="1" thickBot="1">
      <c r="B186" s="55" t="inlineStr">
        <is>
          <t>Line 5804</t>
        </is>
      </c>
      <c r="C186" s="36">
        <f>(_xlfn.XLOOKUP(ClientNumber,Clients!D:D,Clients!IRG:IRG,2,0,1))</f>
        <v/>
      </c>
      <c r="F186" s="35" t="n"/>
      <c r="G186" s="34" t="n"/>
      <c r="H186" s="35" t="n"/>
      <c r="J186" s="55" t="inlineStr">
        <is>
          <t>Line 5804</t>
        </is>
      </c>
      <c r="K186" s="36">
        <f>(_xlfn.XLOOKUP(MainClient,Clients!D:D,Clients!JRI:JRI,2,0,1))</f>
        <v/>
      </c>
      <c r="N186" s="35" t="n"/>
      <c r="O186" s="34" t="n"/>
      <c r="P186" s="35" t="n"/>
    </row>
    <row r="187" ht="15.75" customHeight="1" thickBot="1">
      <c r="B187" s="55" t="inlineStr">
        <is>
          <t>Line 5824</t>
        </is>
      </c>
      <c r="C187" s="36">
        <f>(_xlfn.XLOOKUP(ClientNumber,Clients!D:D,Clients!IRV:IRV,2,0,1))</f>
        <v/>
      </c>
      <c r="F187" s="35" t="n"/>
      <c r="G187" s="34" t="n"/>
      <c r="H187" s="35" t="n"/>
      <c r="J187" s="55" t="inlineStr">
        <is>
          <t>Line 5824</t>
        </is>
      </c>
      <c r="K187" s="36">
        <f>(_xlfn.XLOOKUP(MainClient,Clients!D:D,Clients!JRX:JRX,2,0,1))</f>
        <v/>
      </c>
      <c r="N187" s="35" t="n"/>
      <c r="O187" s="34" t="n"/>
      <c r="P187" s="35" t="n"/>
    </row>
    <row r="188" ht="15.75" customHeight="1" thickBot="1">
      <c r="B188" s="55" t="inlineStr">
        <is>
          <t>Line 5828</t>
        </is>
      </c>
      <c r="C188" s="36">
        <f>(_xlfn.XLOOKUP(ClientNumber,Clients!D:D,Clients!IRW:IRW,2,0,1))</f>
        <v/>
      </c>
      <c r="F188" s="35" t="n"/>
      <c r="G188" s="34" t="n"/>
      <c r="H188" s="35" t="n"/>
      <c r="J188" s="55" t="inlineStr">
        <is>
          <t>Line 5828</t>
        </is>
      </c>
      <c r="K188" s="36">
        <f>(_xlfn.XLOOKUP(MainClient,Clients!D:D,Clients!JRY:JRY,2,0,1))</f>
        <v/>
      </c>
      <c r="N188" s="35" t="n"/>
      <c r="P188" s="35" t="n"/>
    </row>
    <row r="189" ht="15.75" customHeight="1" thickBot="1">
      <c r="B189" s="55" t="inlineStr">
        <is>
          <t>Line 5832</t>
        </is>
      </c>
      <c r="C189" s="36">
        <f>(_xlfn.XLOOKUP(ClientNumber,Clients!D:D,Clients!IRX:IRX,2,0,1))</f>
        <v/>
      </c>
      <c r="F189" s="35" t="n"/>
      <c r="G189" s="34" t="n"/>
      <c r="H189" s="35" t="n"/>
      <c r="J189" s="55" t="inlineStr">
        <is>
          <t>Line 5832</t>
        </is>
      </c>
      <c r="K189" s="36">
        <f>(_xlfn.XLOOKUP(MainClient,Clients!D:D,Clients!JRZ:JRZ,2,0,1))</f>
        <v/>
      </c>
      <c r="N189" s="35" t="n"/>
      <c r="O189" s="34" t="n"/>
      <c r="P189" s="35" t="n"/>
    </row>
    <row r="190" ht="15.75" customHeight="1" thickBot="1">
      <c r="B190" s="55" t="inlineStr">
        <is>
          <t>Line 5829</t>
        </is>
      </c>
      <c r="C190" s="36">
        <f>(_xlfn.XLOOKUP(ClientNumber,Clients!D:D,Clients!IRY:IRY,2,0,1))</f>
        <v/>
      </c>
      <c r="F190" s="35" t="n"/>
      <c r="G190" s="34" t="n"/>
      <c r="H190" s="35" t="n"/>
      <c r="J190" s="55" t="inlineStr">
        <is>
          <t>Line 5829</t>
        </is>
      </c>
      <c r="K190" s="36">
        <f>(_xlfn.XLOOKUP(MainClient,Clients!D:D,Clients!JSA:JSA,2,0,1))</f>
        <v/>
      </c>
      <c r="N190" s="35" t="n"/>
      <c r="O190" s="34" t="n"/>
      <c r="P190" s="35" t="n"/>
    </row>
    <row r="191" ht="15.75" customHeight="1" thickBot="1">
      <c r="B191" s="55" t="inlineStr">
        <is>
          <t>Line 5830</t>
        </is>
      </c>
      <c r="C191" s="36">
        <f>(_xlfn.XLOOKUP(ClientNumber,Clients!D:D,Clients!ISA:ISA,2,0,1))</f>
        <v/>
      </c>
      <c r="F191" s="35" t="n"/>
      <c r="G191" s="34" t="n"/>
      <c r="H191" s="35" t="n"/>
      <c r="J191" s="55" t="inlineStr">
        <is>
          <t>Line 5830</t>
        </is>
      </c>
      <c r="K191" s="36">
        <f>(_xlfn.XLOOKUP(MainClient,Clients!D:D,Clients!JSC:JSC,2,0,1))</f>
        <v/>
      </c>
      <c r="N191" s="35" t="n"/>
      <c r="O191" s="34" t="n"/>
      <c r="P191" s="35" t="n"/>
    </row>
    <row r="192" ht="15.75" customHeight="1" thickBot="1">
      <c r="B192" s="55" t="inlineStr">
        <is>
          <t>Line 5831</t>
        </is>
      </c>
      <c r="C192" s="36">
        <f>(_xlfn.XLOOKUP(ClientNumber,Clients!D:D,Clients!ISC:ISC,2,0,1))</f>
        <v/>
      </c>
      <c r="F192" s="35" t="n"/>
      <c r="G192" s="34" t="n"/>
      <c r="H192" s="35" t="n"/>
      <c r="J192" s="55" t="inlineStr">
        <is>
          <t>Line 5831</t>
        </is>
      </c>
      <c r="K192" s="36">
        <f>(_xlfn.XLOOKUP(MainClient,Clients!D:D,Clients!JSE:JSE,2,0,1))</f>
        <v/>
      </c>
      <c r="N192" s="35" t="n"/>
      <c r="O192" s="34" t="n"/>
      <c r="P192" s="35" t="n"/>
    </row>
    <row r="193" ht="15.75" customHeight="1" thickBot="1">
      <c r="B193" s="55" t="inlineStr">
        <is>
          <t>Line 5833</t>
        </is>
      </c>
      <c r="C193" s="36">
        <f>(_xlfn.XLOOKUP(ClientNumber,Clients!D:D,Clients!ISF:ISF,2,0,1))</f>
        <v/>
      </c>
      <c r="F193" s="35" t="n"/>
      <c r="G193" s="34" t="n"/>
      <c r="H193" s="35" t="n"/>
      <c r="J193" s="55" t="inlineStr">
        <is>
          <t>Line 5833</t>
        </is>
      </c>
      <c r="K193" s="36">
        <f>(_xlfn.XLOOKUP(MainClient,Clients!D:D,Clients!JSH:JSH,2,0,1))</f>
        <v/>
      </c>
      <c r="N193" s="35" t="n"/>
      <c r="O193" s="34" t="n"/>
      <c r="P193" s="35" t="n"/>
    </row>
    <row r="194" ht="15.75" customHeight="1" thickBot="1">
      <c r="B194" s="55" t="inlineStr">
        <is>
          <t>Line 5856</t>
        </is>
      </c>
      <c r="C194" s="36">
        <f>(_xlfn.XLOOKUP(ClientNumber,Clients!D:D,Clients!ISN:ISN,2,0,1))</f>
        <v/>
      </c>
      <c r="F194" s="35" t="n"/>
      <c r="G194" s="34" t="n"/>
      <c r="H194" s="35" t="n"/>
      <c r="J194" s="55" t="inlineStr">
        <is>
          <t>Line 5856</t>
        </is>
      </c>
      <c r="K194" s="36">
        <f>(_xlfn.XLOOKUP(MainClient,Clients!D:D,Clients!JSP:JSP,2,0,1))</f>
        <v/>
      </c>
      <c r="N194" s="35" t="n"/>
      <c r="O194" s="34" t="n"/>
      <c r="P194" s="35" t="n"/>
    </row>
    <row r="195" ht="15.75" customHeight="1" thickBot="1">
      <c r="B195" s="68" t="n"/>
      <c r="C195" s="36" t="n"/>
      <c r="F195" s="35" t="n"/>
      <c r="G195" s="34" t="n"/>
      <c r="H195" s="35" t="n"/>
      <c r="J195" s="68" t="n"/>
      <c r="K195" s="36" t="n"/>
      <c r="N195" s="35" t="n"/>
      <c r="O195" s="34" t="n"/>
      <c r="P195" s="35" t="n"/>
    </row>
    <row r="196" ht="15.75" customHeight="1" thickBot="1">
      <c r="B196" s="38" t="n"/>
      <c r="C196" s="36" t="n"/>
      <c r="F196" s="35" t="n"/>
      <c r="G196" s="34" t="inlineStr">
        <is>
          <t>Line 326</t>
        </is>
      </c>
      <c r="H196" s="35">
        <f>IF(TransferName="NONE",0,(_xlfn.XLOOKUP(TransferNumber,Clients!D:D,Clients!IKF:IKF,2,0,1)))</f>
        <v/>
      </c>
      <c r="J196" s="38" t="n"/>
      <c r="K196" s="36" t="n"/>
      <c r="N196" s="35" t="n"/>
      <c r="O196" s="34" t="inlineStr">
        <is>
          <t>Line 326</t>
        </is>
      </c>
      <c r="P196" s="35">
        <f>IFERROR(_xlfn.XLOOKUP(TransferNumber,Clients!D:D,Clients!JKH:JKH,2,0,1),0)</f>
        <v/>
      </c>
    </row>
    <row r="197" ht="15.75" customHeight="1" thickBot="1">
      <c r="A197" s="55" t="n"/>
      <c r="B197" s="38" t="n"/>
      <c r="C197" s="36" t="n"/>
      <c r="F197" s="35" t="n"/>
      <c r="G197" s="34" t="n"/>
      <c r="H197" s="35" t="n"/>
      <c r="J197" s="68" t="n"/>
      <c r="K197" s="36" t="n"/>
      <c r="N197" s="35" t="n"/>
      <c r="O197" s="34" t="n"/>
      <c r="P197" s="35" t="n"/>
    </row>
    <row r="198" ht="15.75" customHeight="1" thickBot="1">
      <c r="B198" s="38" t="n"/>
      <c r="C198" s="36" t="n"/>
      <c r="F198" s="35" t="n"/>
      <c r="G198" s="34" t="n"/>
      <c r="H198" s="35" t="n"/>
      <c r="J198" s="38" t="n"/>
      <c r="K198" s="36" t="n"/>
      <c r="N198" s="35" t="n"/>
      <c r="O198" s="34" t="n"/>
      <c r="P198" s="35" t="n"/>
    </row>
    <row r="199" ht="15.75" customHeight="1" thickBot="1">
      <c r="B199" s="38" t="n"/>
      <c r="C199" s="36" t="n"/>
      <c r="F199" s="35" t="n"/>
      <c r="G199" s="34" t="n"/>
      <c r="H199" s="35" t="n"/>
      <c r="J199" s="38" t="n"/>
      <c r="K199" s="36" t="n"/>
      <c r="N199" s="35" t="n"/>
      <c r="O199" s="34" t="n"/>
      <c r="P199" s="35" t="n"/>
    </row>
    <row r="200" ht="15.75" customHeight="1" thickBot="1">
      <c r="B200" s="38" t="n"/>
      <c r="C200" s="36" t="n"/>
      <c r="F200" s="35" t="n"/>
      <c r="G200" s="34" t="n"/>
      <c r="H200" s="35">
        <f>IF(E205&gt;0,E182-G182,0)</f>
        <v/>
      </c>
      <c r="J200" s="38" t="n"/>
      <c r="K200" s="36" t="n"/>
      <c r="N200" s="35" t="n"/>
      <c r="O200" s="34" t="n"/>
      <c r="P200" s="35">
        <f>IF(M205&gt;0,M182-O182,0)</f>
        <v/>
      </c>
    </row>
    <row r="201" ht="15.75" customHeight="1" thickBot="1">
      <c r="B201" s="38" t="n"/>
      <c r="C201" s="36" t="n"/>
      <c r="F201" s="35" t="n"/>
      <c r="H201" s="52">
        <f>IF(TransferName="NONE",F206,IF(H200&gt;0,(E205-G182)*0.087,0))</f>
        <v/>
      </c>
      <c r="J201" s="38" t="n"/>
      <c r="K201" s="36" t="n"/>
      <c r="N201" s="35" t="n"/>
      <c r="P201" s="52">
        <f>IF(TransferName="NONE",N206,IF(P200&gt;0,(M205-O182)*0.087,0))</f>
        <v/>
      </c>
    </row>
    <row r="202">
      <c r="B202" s="667" t="n"/>
      <c r="F202" s="35" t="n"/>
      <c r="G202" s="34" t="inlineStr">
        <is>
          <t>Transferable</t>
        </is>
      </c>
      <c r="H202" s="52">
        <f>IF(H201&gt;0,H201,0)</f>
        <v/>
      </c>
      <c r="J202" s="667" t="n"/>
      <c r="N202" s="35" t="n"/>
      <c r="O202" s="34" t="inlineStr">
        <is>
          <t>Transferable</t>
        </is>
      </c>
      <c r="P202" s="52">
        <f>IF(P201&gt;0,P201,0)</f>
        <v/>
      </c>
    </row>
    <row r="203">
      <c r="B203" s="667" t="inlineStr">
        <is>
          <t>Adjusted Taxable Income</t>
        </is>
      </c>
      <c r="C203">
        <f>C184-(SUM(C186:C201))</f>
        <v/>
      </c>
      <c r="D203" s="13" t="inlineStr">
        <is>
          <t>Line 5864</t>
        </is>
      </c>
      <c r="E203" s="39">
        <f>IF(C203&gt;0,C203,0)</f>
        <v/>
      </c>
      <c r="F203" s="35" t="n"/>
      <c r="G203" s="34" t="n"/>
      <c r="H203" s="35" t="n"/>
      <c r="J203" s="667" t="inlineStr">
        <is>
          <t>Adjusted Taxable Income</t>
        </is>
      </c>
      <c r="K203">
        <f>K184-(SUM(K186:K201))</f>
        <v/>
      </c>
      <c r="L203" s="13" t="inlineStr">
        <is>
          <t>Line 5864</t>
        </is>
      </c>
      <c r="M203" s="39">
        <f>IF(K203&gt;0,K203,0)</f>
        <v/>
      </c>
      <c r="N203" s="35" t="n"/>
      <c r="O203" s="34" t="n"/>
      <c r="P203" s="35" t="n"/>
    </row>
    <row r="204" ht="15.75" customHeight="1" thickBot="1">
      <c r="B204" s="34" t="n"/>
      <c r="F204" s="35" t="n"/>
      <c r="G204" s="34" t="n"/>
      <c r="H204" s="35" t="n"/>
      <c r="J204" s="34" t="n"/>
      <c r="N204" s="35" t="n"/>
      <c r="O204" s="34" t="n"/>
      <c r="P204" s="35" t="n"/>
    </row>
    <row r="205" ht="15.75" customHeight="1" thickBot="1">
      <c r="B205" s="34" t="n"/>
      <c r="D205" s="21" t="inlineStr">
        <is>
          <t>Prov Trans</t>
        </is>
      </c>
      <c r="E205" s="36">
        <f>(E182-E203)</f>
        <v/>
      </c>
      <c r="F205" s="40" t="n"/>
      <c r="G205" s="34" t="n"/>
      <c r="H205" s="52" t="n"/>
      <c r="J205" s="34" t="n"/>
      <c r="L205" s="21" t="inlineStr">
        <is>
          <t>Prov Trans</t>
        </is>
      </c>
      <c r="M205" s="36">
        <f>(M182-M203)</f>
        <v/>
      </c>
      <c r="N205" s="40" t="n"/>
      <c r="O205" s="34" t="n"/>
      <c r="P205" s="52" t="n"/>
    </row>
    <row r="206" ht="15.75" customHeight="1" thickBot="1">
      <c r="B206" s="34" t="n"/>
      <c r="C206" s="579" t="inlineStr">
        <is>
          <t>DTC Transferable ESTIMATE</t>
        </is>
      </c>
      <c r="D206" s="35" t="n"/>
      <c r="E206" s="36">
        <f>IF(E205&lt;0,0,(IF(E205&gt;E180,E180,E205)))</f>
        <v/>
      </c>
      <c r="F206" s="40">
        <f>IF(E206&gt;0,E206*0.087,"No Transfer Required")</f>
        <v/>
      </c>
      <c r="G206" s="58" t="n"/>
      <c r="H206" s="52" t="n"/>
      <c r="J206" s="34" t="n"/>
      <c r="K206" s="579" t="inlineStr">
        <is>
          <t>DTC Transferable ESTIMATE</t>
        </is>
      </c>
      <c r="L206" s="35" t="n"/>
      <c r="M206" s="36">
        <f>IF(M205&lt;0,0,(IF(M205&gt;M180,M180,M205)))</f>
        <v/>
      </c>
      <c r="N206" s="40">
        <f>IF(M206&gt;0,M206*0.087,"No Transfer Required")</f>
        <v/>
      </c>
      <c r="O206" s="58" t="n"/>
      <c r="P206" s="52" t="n"/>
    </row>
    <row r="207" ht="15.75" customHeight="1" thickBot="1">
      <c r="B207" s="42" t="n"/>
      <c r="C207" s="41" t="n"/>
      <c r="D207" s="43" t="inlineStr">
        <is>
          <t>Net Transferable</t>
        </is>
      </c>
      <c r="E207" s="36">
        <f>IF(E205&lt;0,0,(IF(E205-G178-G179-G181&lt;0,E205,(E205-G178-G179-G181))))</f>
        <v/>
      </c>
      <c r="F207" s="57">
        <f>IF(E207&gt;0,E207*0.087,"0")</f>
        <v/>
      </c>
      <c r="G207" s="59" t="n"/>
      <c r="H207" s="864" t="n"/>
      <c r="J207" s="42" t="n"/>
      <c r="K207" s="41" t="n"/>
      <c r="L207" s="43" t="inlineStr">
        <is>
          <t>Net Transferable</t>
        </is>
      </c>
      <c r="M207" s="36">
        <f>IF(M205&lt;0,0,(IF(M205-O178-O179-O181&lt;0,M205,(M205-O178-O179-O181))))</f>
        <v/>
      </c>
      <c r="N207" s="57">
        <f>IF(M207&gt;0,M207*0.087,"0")</f>
        <v/>
      </c>
      <c r="O207" s="59" t="n"/>
      <c r="P207" s="864" t="n"/>
    </row>
    <row r="208">
      <c r="D208" s="60" t="n"/>
      <c r="F208" s="61" t="n"/>
      <c r="G208" s="449" t="n"/>
      <c r="H208" s="866" t="n"/>
      <c r="L208" s="60" t="n"/>
      <c r="N208" s="866" t="n"/>
      <c r="O208" s="64" t="n"/>
      <c r="P208" s="866" t="n"/>
    </row>
  </sheetData>
  <mergeCells count="88">
    <mergeCell ref="J180:K180"/>
    <mergeCell ref="K33:L33"/>
    <mergeCell ref="C172:D172"/>
    <mergeCell ref="J146:K146"/>
    <mergeCell ref="B77:C77"/>
    <mergeCell ref="K138:L138"/>
    <mergeCell ref="G68:G69"/>
    <mergeCell ref="B182:C182"/>
    <mergeCell ref="J4:K4"/>
    <mergeCell ref="B78:C78"/>
    <mergeCell ref="G33:G34"/>
    <mergeCell ref="B112:C112"/>
    <mergeCell ref="J147:K147"/>
    <mergeCell ref="C138:D138"/>
    <mergeCell ref="B178:C178"/>
    <mergeCell ref="B2:H2"/>
    <mergeCell ref="B40:C40"/>
    <mergeCell ref="K172:L172"/>
    <mergeCell ref="B41:C41"/>
    <mergeCell ref="J110:K110"/>
    <mergeCell ref="B37:H37"/>
    <mergeCell ref="J181:K181"/>
    <mergeCell ref="B142:H142"/>
    <mergeCell ref="B180:C180"/>
    <mergeCell ref="J77:K77"/>
    <mergeCell ref="G103:G104"/>
    <mergeCell ref="B179:C179"/>
    <mergeCell ref="B72:H72"/>
    <mergeCell ref="B176:H176"/>
    <mergeCell ref="G138:G139"/>
    <mergeCell ref="J75:K75"/>
    <mergeCell ref="B107:H107"/>
    <mergeCell ref="B6:C6"/>
    <mergeCell ref="K206:L206"/>
    <mergeCell ref="J145:K145"/>
    <mergeCell ref="B144:C144"/>
    <mergeCell ref="K68:L68"/>
    <mergeCell ref="J111:K111"/>
    <mergeCell ref="B7:C7"/>
    <mergeCell ref="C68:D68"/>
    <mergeCell ref="J2:P2"/>
    <mergeCell ref="J142:P142"/>
    <mergeCell ref="J40:K40"/>
    <mergeCell ref="B43:C43"/>
    <mergeCell ref="B42:C42"/>
    <mergeCell ref="J182:K182"/>
    <mergeCell ref="J74:K74"/>
    <mergeCell ref="J179:K179"/>
    <mergeCell ref="J72:P72"/>
    <mergeCell ref="B148:C148"/>
    <mergeCell ref="J37:P37"/>
    <mergeCell ref="B146:C146"/>
    <mergeCell ref="J176:P176"/>
    <mergeCell ref="J113:K113"/>
    <mergeCell ref="J107:P107"/>
    <mergeCell ref="B5:C5"/>
    <mergeCell ref="B76:C76"/>
    <mergeCell ref="J42:K42"/>
    <mergeCell ref="B4:C4"/>
    <mergeCell ref="B75:C75"/>
    <mergeCell ref="J39:K39"/>
    <mergeCell ref="B109:C109"/>
    <mergeCell ref="J144:K144"/>
    <mergeCell ref="J5:K5"/>
    <mergeCell ref="C33:D33"/>
    <mergeCell ref="J112:K112"/>
    <mergeCell ref="J78:K78"/>
    <mergeCell ref="C206:D206"/>
    <mergeCell ref="B39:C39"/>
    <mergeCell ref="J6:K6"/>
    <mergeCell ref="C103:D103"/>
    <mergeCell ref="B111:C111"/>
    <mergeCell ref="B145:C145"/>
    <mergeCell ref="J178:K178"/>
    <mergeCell ref="B181:C181"/>
    <mergeCell ref="B8:C8"/>
    <mergeCell ref="J148:K148"/>
    <mergeCell ref="B147:C147"/>
    <mergeCell ref="J7:K7"/>
    <mergeCell ref="J41:K41"/>
    <mergeCell ref="J109:K109"/>
    <mergeCell ref="B74:C74"/>
    <mergeCell ref="J43:K43"/>
    <mergeCell ref="K103:L103"/>
    <mergeCell ref="J76:K76"/>
    <mergeCell ref="B110:C110"/>
    <mergeCell ref="J8:K8"/>
    <mergeCell ref="B113:C113"/>
  </mergeCells>
  <pageMargins left="0.7" right="0.7" top="0.75" bottom="0.75" header="0.3" footer="0.3"/>
  <pageSetup orientation="portrait" verticalDpi="597"/>
</worksheet>
</file>

<file path=xl/worksheets/sheet15.xml><?xml version="1.0" encoding="utf-8"?>
<worksheet xmlns="http://schemas.openxmlformats.org/spreadsheetml/2006/main">
  <sheetPr codeName="Sheet10">
    <tabColor rgb="FF92D050"/>
    <outlinePr summaryBelow="1" summaryRight="1"/>
    <pageSetUpPr/>
  </sheetPr>
  <dimension ref="A1:P208"/>
  <sheetViews>
    <sheetView topLeftCell="A176" zoomScale="60" zoomScaleNormal="60" workbookViewId="0">
      <selection activeCell="M206" sqref="M206"/>
    </sheetView>
  </sheetViews>
  <sheetFormatPr baseColWidth="8" defaultRowHeight="15"/>
  <cols>
    <col width="1.140625" customWidth="1" min="1" max="1"/>
    <col width="23.7109375" bestFit="1" customWidth="1" min="2" max="2"/>
    <col width="16" customWidth="1" min="3" max="3"/>
    <col width="18.28515625" customWidth="1" min="4" max="4"/>
    <col width="13.5703125" bestFit="1" customWidth="1" min="5" max="5"/>
    <col width="13.42578125" customWidth="1" min="6" max="6"/>
    <col width="12.140625" bestFit="1" customWidth="1" min="7" max="7"/>
    <col width="59" customWidth="1" min="8" max="8"/>
    <col width="12.140625" customWidth="1" min="9" max="9"/>
    <col width="23.7109375" bestFit="1" customWidth="1" min="10" max="10"/>
    <col width="11.85546875" customWidth="1" min="11" max="11"/>
    <col width="18.42578125" bestFit="1" customWidth="1" min="12" max="12"/>
    <col width="13.5703125" bestFit="1" customWidth="1" min="13" max="13"/>
    <col width="13.5703125" customWidth="1" min="14" max="14"/>
    <col width="12.140625" bestFit="1" customWidth="1" min="15" max="15"/>
    <col width="58.7109375" customWidth="1" min="16" max="16"/>
  </cols>
  <sheetData>
    <row r="1" ht="15.75" customHeight="1" thickBot="1">
      <c r="E1">
        <f>Calculator!$D$5</f>
        <v/>
      </c>
      <c r="H1">
        <f>TransferName</f>
        <v/>
      </c>
      <c r="M1">
        <f>Calculator!$D$5</f>
        <v/>
      </c>
      <c r="P1">
        <f>TransferName</f>
        <v/>
      </c>
    </row>
    <row r="2" ht="15.75" customHeight="1" thickBot="1">
      <c r="B2" s="867" t="inlineStr">
        <is>
          <t>2024 NORTHWEST TERRITORIES Provincial</t>
        </is>
      </c>
      <c r="C2" s="778" t="n"/>
      <c r="D2" s="778" t="n"/>
      <c r="E2" s="778" t="n"/>
      <c r="F2" s="778" t="n"/>
      <c r="G2" s="778" t="n"/>
      <c r="H2" s="780" t="n"/>
      <c r="J2" s="877" t="inlineStr">
        <is>
          <t>2023 NORTHWEST TERRITORIES Provincial</t>
        </is>
      </c>
      <c r="K2" s="778" t="n"/>
      <c r="L2" s="778" t="n"/>
      <c r="M2" s="778" t="n"/>
      <c r="N2" s="778" t="n"/>
      <c r="O2" s="778" t="n"/>
      <c r="P2" s="780" t="n"/>
    </row>
    <row r="3" ht="15.75" customHeight="1" thickBot="1">
      <c r="B3" s="116" t="n"/>
      <c r="C3" s="115" t="n"/>
      <c r="D3" s="115" t="inlineStr">
        <is>
          <t>Line</t>
        </is>
      </c>
      <c r="E3" s="115" t="inlineStr">
        <is>
          <t>Amt</t>
        </is>
      </c>
      <c r="F3" s="117" t="n"/>
      <c r="G3" s="675" t="inlineStr">
        <is>
          <t>Spouse</t>
        </is>
      </c>
      <c r="H3" s="117" t="inlineStr">
        <is>
          <t>S2 Adjustment</t>
        </is>
      </c>
      <c r="J3" s="34" t="n"/>
      <c r="L3" t="inlineStr">
        <is>
          <t>Line</t>
        </is>
      </c>
      <c r="M3" t="inlineStr">
        <is>
          <t>Amt</t>
        </is>
      </c>
      <c r="N3" s="35" t="n"/>
      <c r="O3" s="34" t="inlineStr">
        <is>
          <t>Spouse</t>
        </is>
      </c>
      <c r="P3" s="35" t="inlineStr">
        <is>
          <t>S2 Adjustment</t>
        </is>
      </c>
    </row>
    <row r="4" ht="15.75" customHeight="1" thickBot="1">
      <c r="B4" s="675" t="inlineStr">
        <is>
          <t>Age Amount</t>
        </is>
      </c>
      <c r="D4" s="115" t="inlineStr">
        <is>
          <t>Line 58080</t>
        </is>
      </c>
      <c r="E4" s="869">
        <f>(_xlfn.XLOOKUP(ClientNumber,Clients!D:D,Clients!ANR:ANR,2,0,1))</f>
        <v/>
      </c>
      <c r="F4" s="119" t="inlineStr">
        <is>
          <t>Line 59020</t>
        </is>
      </c>
      <c r="G4" s="141">
        <f>IF(TransferName="NONE",0,(_xlfn.XLOOKUP(TransferNumber,Clients!D:D,Clients!APT:APT,2,0,1)))</f>
        <v/>
      </c>
      <c r="H4" s="119">
        <f>IF(AND(E4&gt;0,G4=0),"Age Amount Can Be Transferred","No Action")</f>
        <v/>
      </c>
      <c r="J4" s="667" t="inlineStr">
        <is>
          <t>Age Amount</t>
        </is>
      </c>
      <c r="L4" t="inlineStr">
        <is>
          <t>Line 58080</t>
        </is>
      </c>
      <c r="M4" s="865">
        <f>(_xlfn.XLOOKUP(MainClient,Clients!D:D,Clients!MW:MW,2,0,1))</f>
        <v/>
      </c>
      <c r="N4" s="37" t="inlineStr">
        <is>
          <t>Line 59020</t>
        </is>
      </c>
      <c r="O4" s="51">
        <f>IF(TransferName="NONE",0,(_xlfn.XLOOKUP(TransferNumber,Clients!D:D,Clients!OY:OY,2,0,1)))</f>
        <v/>
      </c>
      <c r="P4" s="37">
        <f>IF(AND(M4&gt;0,O4=0),"Age Amount Can Be Transferred","No Action")</f>
        <v/>
      </c>
    </row>
    <row r="5" ht="15.75" customHeight="1" thickBot="1">
      <c r="B5" s="675" t="inlineStr">
        <is>
          <t>Pension Income Amount</t>
        </is>
      </c>
      <c r="D5" s="115" t="inlineStr">
        <is>
          <t>Line 58360 (mx 1000)</t>
        </is>
      </c>
      <c r="E5" s="869">
        <f>IF((_xlfn.XLOOKUP(ClientNumber,Clients!D:D,Clients!AOR:AOR,2,0,1)&lt;1000),(_xlfn.XLOOKUP(MainClient,Clients!D:D,Clients!AOR:AOR,2,0,1)),1000)</f>
        <v/>
      </c>
      <c r="F5" s="119" t="inlineStr">
        <is>
          <t>Line 59050</t>
        </is>
      </c>
      <c r="G5" s="141">
        <f>IF(TransferName="NONE",0,(_xlfn.XLOOKUP(TransferNumber,Clients!D:D,Clients!APW:APW,2,0,1)))</f>
        <v/>
      </c>
      <c r="H5" s="119">
        <f>IF(AND(E5&gt;0,G5=0),"Pension Income Amount Can Be Transferred","No Action")</f>
        <v/>
      </c>
      <c r="J5" s="667" t="inlineStr">
        <is>
          <t>Pension Income Amount</t>
        </is>
      </c>
      <c r="L5" t="inlineStr">
        <is>
          <t>Line 58360 (mx 1000)</t>
        </is>
      </c>
      <c r="M5" s="865">
        <f>IF((_xlfn.XLOOKUP(ClientNumber,Clients!D:D,Clients!NW:NW,2,0,1)&lt;1000),(_xlfn.XLOOKUP(MainClient,Clients!D:D,Clients!NW:NW,2,0,1)),1000)</f>
        <v/>
      </c>
      <c r="N5" s="37" t="inlineStr">
        <is>
          <t>Line 59050</t>
        </is>
      </c>
      <c r="O5" s="51">
        <f>IF(TransferName="NONE",0,(_xlfn.XLOOKUP(TransferNumber,Clients!D:D,Clients!PB:PB,2,0,1)))</f>
        <v/>
      </c>
      <c r="P5" s="37">
        <f>IF(AND(M5&gt;0,O5=0),"Pension Income Amount Can Be Transferred","No Action")</f>
        <v/>
      </c>
    </row>
    <row r="6" ht="15.75" customHeight="1" thickBot="1">
      <c r="B6" s="675" t="inlineStr">
        <is>
          <t>Disability Amount</t>
        </is>
      </c>
      <c r="D6" s="115" t="inlineStr">
        <is>
          <t>Line 58440</t>
        </is>
      </c>
      <c r="E6" s="869">
        <f>IF(_xlfn.XLOOKUP(ClientNumber,Clients!D:D,Clients!AOT:AOT,2,0,1)=0,12658,(_xlfn.XLOOKUP(MainClient,Clients!D:D,Clients!AOT:AOT,2,0,1)))</f>
        <v/>
      </c>
      <c r="F6" s="119" t="inlineStr">
        <is>
          <t>Line 59070</t>
        </is>
      </c>
      <c r="G6" s="141">
        <f>IF(TransferName="NONE",0,(_xlfn.XLOOKUP(TransferNumber,Clients!D:D,Clients!APX:APX,2,0,1)))</f>
        <v/>
      </c>
      <c r="H6" s="119">
        <f>IF(AND(E6&gt;0,G6=0),"DTC Transferable Not Claimed Can Be Transferred","No Action")</f>
        <v/>
      </c>
      <c r="J6" s="667" t="inlineStr">
        <is>
          <t>Disability Amount</t>
        </is>
      </c>
      <c r="L6" t="inlineStr">
        <is>
          <t>Line 58440</t>
        </is>
      </c>
      <c r="M6" s="865">
        <f>IF(_xlfn.XLOOKUP(ClientNumber,Clients!D:D,Clients!NY:NY,2,0,1)=0,13456,(_xlfn.XLOOKUP(MainClient,Clients!D:D,Clients!NY:NY,2,0,1)))</f>
        <v/>
      </c>
      <c r="N6" s="37" t="inlineStr">
        <is>
          <t>Line 59070</t>
        </is>
      </c>
      <c r="O6" s="51">
        <f>IF(TransferName="NONE",0,(_xlfn.XLOOKUP(TransferNumber,Clients!D:D,Clients!PC:PC,2,0,1)))</f>
        <v/>
      </c>
      <c r="P6" s="37">
        <f>IF(AND(M6&gt;0,O6=0),"DTC Transferable Not Claimed Can Be Transferred","No Action")</f>
        <v/>
      </c>
    </row>
    <row r="7" ht="15.75" customHeight="1" thickBot="1">
      <c r="B7" s="675" t="inlineStr">
        <is>
          <t>Tuition Amount</t>
        </is>
      </c>
      <c r="D7" s="115" t="inlineStr">
        <is>
          <t>Line 59200</t>
        </is>
      </c>
      <c r="E7" s="869">
        <f>(_xlfn.XLOOKUP(ClientNumber,Clients!D:D,Clients!AQI:AQI,2,0,1))</f>
        <v/>
      </c>
      <c r="F7" s="119" t="inlineStr">
        <is>
          <t>Line 59090</t>
        </is>
      </c>
      <c r="G7" s="141">
        <f>IF(TransferName="NONE",0,(_xlfn.XLOOKUP(TransferNumber,Clients!D:D,Clients!APY:APY,2,0,1)))</f>
        <v/>
      </c>
      <c r="H7" s="119">
        <f>IF(AND(E7&gt;0,G7=0),"Tuition Can Be Transferred","No Action")</f>
        <v/>
      </c>
      <c r="J7" s="667" t="inlineStr">
        <is>
          <t>Tuition Amount</t>
        </is>
      </c>
      <c r="L7" t="inlineStr">
        <is>
          <t>Line 59200</t>
        </is>
      </c>
      <c r="M7" s="865">
        <f>(_xlfn.XLOOKUP(MainClient,Clients!D:D,Clients!PN:PN,2,0,1))</f>
        <v/>
      </c>
      <c r="N7" s="37" t="inlineStr">
        <is>
          <t>Line 59090</t>
        </is>
      </c>
      <c r="O7" s="51">
        <f>IF(TransferName="NONE",0,(_xlfn.XLOOKUP(TransferNumber,Clients!D:D,Clients!PD:PD,2,0,1)))</f>
        <v/>
      </c>
      <c r="P7" s="37">
        <f>IF(AND(M7&gt;0,O7=0),"Tuition Can Be Transferred","No Action")</f>
        <v/>
      </c>
    </row>
    <row r="8">
      <c r="B8" s="675" t="n"/>
      <c r="D8" s="115" t="n"/>
      <c r="E8" s="871">
        <f>SUM(E4:E7)</f>
        <v/>
      </c>
      <c r="F8" s="119" t="n"/>
      <c r="G8" s="675">
        <f>SUM(G4:G7)</f>
        <v/>
      </c>
      <c r="H8" s="119" t="n"/>
      <c r="J8" s="667" t="n"/>
      <c r="M8" s="872">
        <f>SUM(M4:M7)</f>
        <v/>
      </c>
      <c r="N8" s="37" t="n"/>
      <c r="O8" s="667">
        <f>SUM(O4:O7)</f>
        <v/>
      </c>
      <c r="P8" s="37" t="n"/>
    </row>
    <row r="9">
      <c r="B9" s="675" t="n"/>
      <c r="C9" s="676" t="n"/>
      <c r="D9" s="115" t="n"/>
      <c r="E9" s="871" t="n"/>
      <c r="F9" s="119" t="n"/>
      <c r="G9" s="676" t="n"/>
      <c r="H9" s="119" t="n"/>
      <c r="J9" s="667" t="n"/>
      <c r="K9" s="668" t="n"/>
      <c r="M9" s="872" t="n"/>
      <c r="N9" s="37" t="n"/>
      <c r="O9" s="668" t="n"/>
      <c r="P9" s="37" t="n"/>
    </row>
    <row r="10" ht="15.75" customHeight="1" thickBot="1">
      <c r="B10" s="116" t="n"/>
      <c r="C10" s="115" t="n"/>
      <c r="D10" s="115" t="n"/>
      <c r="E10" s="115" t="n"/>
      <c r="F10" s="117" t="n"/>
      <c r="G10" s="115" t="n"/>
      <c r="H10" s="117" t="n"/>
      <c r="J10" s="34" t="n"/>
      <c r="N10" s="35" t="n"/>
      <c r="P10" s="35" t="n"/>
    </row>
    <row r="11" ht="15.75" customHeight="1" thickBot="1">
      <c r="B11" s="675" t="inlineStr">
        <is>
          <t>Line 260</t>
        </is>
      </c>
      <c r="C11" s="120">
        <f>(_xlfn.XLOOKUP(MainClient,Clients!D:D,Clients!AFS:AFS,2,0,1))</f>
        <v/>
      </c>
      <c r="D11" s="115" t="n"/>
      <c r="E11" s="115" t="n"/>
      <c r="F11" s="117" t="n"/>
      <c r="G11" s="116">
        <f>IF(E34&gt;E6,"other transferable credits","DTC Only")</f>
        <v/>
      </c>
      <c r="H11" s="117" t="n"/>
      <c r="J11" s="667" t="inlineStr">
        <is>
          <t>Line 26000</t>
        </is>
      </c>
      <c r="K11" s="36">
        <f>(_xlfn.XLOOKUP(MainClient,Clients!D:D,Clients!EX:EX,2,0,1))</f>
        <v/>
      </c>
      <c r="N11" s="35" t="n"/>
      <c r="O11" s="34">
        <f>IF(M34&gt;M6,"other transferable credits","DTC Only")</f>
        <v/>
      </c>
      <c r="P11" s="35" t="n"/>
    </row>
    <row r="12" ht="15.75" customHeight="1" thickBot="1">
      <c r="B12" s="116" t="n"/>
      <c r="C12" s="115" t="n"/>
      <c r="D12" s="115" t="n"/>
      <c r="E12" s="115" t="n"/>
      <c r="F12" s="117" t="n"/>
      <c r="G12" s="116" t="n"/>
      <c r="H12" s="117" t="n"/>
      <c r="J12" s="34" t="n"/>
      <c r="N12" s="35" t="n"/>
      <c r="O12" s="34" t="n"/>
      <c r="P12" s="35" t="n"/>
    </row>
    <row r="13" ht="15.75" customHeight="1" thickBot="1">
      <c r="B13" s="121" t="inlineStr">
        <is>
          <t>Line 58040</t>
        </is>
      </c>
      <c r="C13" s="120">
        <f>(_xlfn.XLOOKUP(ClientNumber,Clients!D:D,Clients!ANQ:ANQ,2,0,1))</f>
        <v/>
      </c>
      <c r="D13" s="115" t="n"/>
      <c r="E13" s="115" t="n"/>
      <c r="F13" s="117" t="n"/>
      <c r="G13" s="116" t="n"/>
      <c r="H13" s="117" t="n"/>
      <c r="J13" s="55" t="inlineStr">
        <is>
          <t>Line 58040</t>
        </is>
      </c>
      <c r="K13" s="36">
        <f>(_xlfn.XLOOKUP(MainClient,Clients!D:D,Clients!MV:MV,2,0,1))</f>
        <v/>
      </c>
      <c r="N13" s="35" t="n"/>
      <c r="O13" s="34" t="n"/>
      <c r="P13" s="35" t="n"/>
    </row>
    <row r="14" ht="15.75" customHeight="1" thickBot="1">
      <c r="B14" s="121" t="inlineStr">
        <is>
          <t>Line 58240</t>
        </is>
      </c>
      <c r="C14" s="120">
        <f>(_xlfn.XLOOKUP(ClientNumber,Clients!D:D,Clients!AOF:AOF,2,0,1))</f>
        <v/>
      </c>
      <c r="D14" s="115" t="n"/>
      <c r="E14" s="115" t="n"/>
      <c r="F14" s="117" t="n"/>
      <c r="G14" s="116" t="n"/>
      <c r="H14" s="117" t="n"/>
      <c r="J14" s="55" t="inlineStr">
        <is>
          <t>Line 58240</t>
        </is>
      </c>
      <c r="K14" s="36">
        <f>(_xlfn.XLOOKUP(MainClient,Clients!D:D,Clients!NK:NK,2,0,1))</f>
        <v/>
      </c>
      <c r="N14" s="35" t="n"/>
      <c r="O14" s="34" t="n"/>
      <c r="P14" s="35" t="n"/>
    </row>
    <row r="15" ht="15.75" customHeight="1" thickBot="1">
      <c r="B15" s="121" t="inlineStr">
        <is>
          <t>Line 58280</t>
        </is>
      </c>
      <c r="C15" s="120">
        <f>(_xlfn.XLOOKUP(ClientNumber,Clients!D:D,Clients!AOG:AOG,2,0,1))</f>
        <v/>
      </c>
      <c r="D15" s="115" t="n"/>
      <c r="E15" s="115" t="n"/>
      <c r="F15" s="117" t="n"/>
      <c r="G15" s="116" t="n"/>
      <c r="H15" s="117" t="n"/>
      <c r="J15" s="55" t="inlineStr">
        <is>
          <t>Line 58280</t>
        </is>
      </c>
      <c r="K15" s="36">
        <f>(_xlfn.XLOOKUP(MainClient,Clients!D:D,Clients!NL:NL,2,0,1))</f>
        <v/>
      </c>
      <c r="N15" s="35" t="n"/>
      <c r="P15" s="35" t="n"/>
    </row>
    <row r="16" ht="15.75" customHeight="1" thickBot="1">
      <c r="B16" s="121" t="inlineStr">
        <is>
          <t>Line 58300</t>
        </is>
      </c>
      <c r="C16" s="120">
        <f>(_xlfn.XLOOKUP(ClientNumber,Clients!D:D,Clients!AOH:AOH,2,0,1))</f>
        <v/>
      </c>
      <c r="D16" s="115" t="n"/>
      <c r="E16" s="115" t="n"/>
      <c r="F16" s="117" t="n"/>
      <c r="G16" s="116" t="n"/>
      <c r="H16" s="117" t="n"/>
      <c r="J16" s="55" t="inlineStr">
        <is>
          <t>Line 58300</t>
        </is>
      </c>
      <c r="K16" s="36">
        <f>(_xlfn.XLOOKUP(MainClient,Clients!D:D,Clients!NM:NM,2,0,1))</f>
        <v/>
      </c>
      <c r="N16" s="35" t="n"/>
      <c r="O16" s="34" t="n"/>
      <c r="P16" s="35" t="n"/>
    </row>
    <row r="17" ht="15.75" customHeight="1" thickBot="1">
      <c r="B17" s="121" t="inlineStr">
        <is>
          <t>Line 58305</t>
        </is>
      </c>
      <c r="C17" s="120">
        <f>(_xlfn.XLOOKUP(ClientNumber,Clients!D:D,Clients!AOI:AOI,2,0,1))</f>
        <v/>
      </c>
      <c r="D17" s="115" t="n"/>
      <c r="E17" s="115" t="n"/>
      <c r="F17" s="117" t="n"/>
      <c r="G17" s="116" t="n"/>
      <c r="H17" s="117" t="n"/>
      <c r="J17" s="55" t="inlineStr">
        <is>
          <t>Line 58305</t>
        </is>
      </c>
      <c r="K17" s="36">
        <f>(_xlfn.XLOOKUP(MainClient,Clients!D:D,Clients!NN:NN,2,0,1))</f>
        <v/>
      </c>
      <c r="N17" s="35" t="n"/>
      <c r="O17" s="34" t="n"/>
      <c r="P17" s="35" t="n"/>
    </row>
    <row r="18" ht="15.75" customHeight="1" thickBot="1">
      <c r="B18" s="121" t="inlineStr">
        <is>
          <t>Line 58560</t>
        </is>
      </c>
      <c r="C18" s="120">
        <f>(_xlfn.XLOOKUP(ClientNumber,Clients!D:D,Clients!AOX:AOX,2,0,1))</f>
        <v/>
      </c>
      <c r="D18" s="115" t="n"/>
      <c r="E18" s="115" t="n"/>
      <c r="F18" s="117" t="n"/>
      <c r="G18" s="116" t="n"/>
      <c r="H18" s="117" t="n"/>
      <c r="J18" s="55" t="inlineStr">
        <is>
          <t>Line 58560</t>
        </is>
      </c>
      <c r="K18" s="36">
        <f>(_xlfn.XLOOKUP(MainClient,Clients!D:D,Clients!OC:OC,2,0,1))</f>
        <v/>
      </c>
      <c r="N18" s="35" t="n"/>
      <c r="O18" s="34" t="n"/>
      <c r="P18" s="35" t="n"/>
    </row>
    <row r="19" ht="15.75" customHeight="1" thickBot="1">
      <c r="B19" s="121" t="n"/>
      <c r="C19" s="120" t="n"/>
      <c r="D19" s="115" t="n"/>
      <c r="E19" s="115" t="n"/>
      <c r="F19" s="117" t="n"/>
      <c r="G19" s="116" t="n"/>
      <c r="H19" s="117" t="n"/>
      <c r="J19" s="55" t="n"/>
      <c r="K19" s="36" t="n"/>
      <c r="N19" s="35" t="n"/>
      <c r="O19" s="34" t="n"/>
      <c r="P19" s="35" t="n"/>
    </row>
    <row r="20" ht="15.75" customHeight="1" thickBot="1">
      <c r="B20" s="121" t="n"/>
      <c r="C20" s="120" t="n"/>
      <c r="D20" s="115" t="n"/>
      <c r="E20" s="115" t="n"/>
      <c r="F20" s="117" t="n"/>
      <c r="G20" s="116" t="n"/>
      <c r="H20" s="117" t="n"/>
      <c r="J20" s="55" t="n"/>
      <c r="K20" s="36" t="n"/>
      <c r="N20" s="35" t="n"/>
      <c r="O20" s="34" t="n"/>
      <c r="P20" s="35" t="n"/>
    </row>
    <row r="21" ht="15.75" customHeight="1" thickBot="1">
      <c r="B21" s="121" t="n"/>
      <c r="C21" s="120" t="n"/>
      <c r="D21" s="115" t="n"/>
      <c r="E21" s="115" t="n"/>
      <c r="F21" s="117" t="n"/>
      <c r="G21" s="116" t="n"/>
      <c r="H21" s="117" t="n"/>
      <c r="J21" s="55" t="n"/>
      <c r="K21" s="36" t="n"/>
      <c r="N21" s="35" t="n"/>
      <c r="O21" s="34" t="n"/>
      <c r="P21" s="35" t="n"/>
    </row>
    <row r="22" ht="15.75" customHeight="1" thickBot="1">
      <c r="B22" s="121" t="n"/>
      <c r="C22" s="120" t="n"/>
      <c r="D22" s="115" t="n"/>
      <c r="E22" s="115" t="n"/>
      <c r="F22" s="117" t="n"/>
      <c r="G22" s="116" t="n"/>
      <c r="H22" s="117" t="n"/>
      <c r="J22" s="55" t="n"/>
      <c r="K22" s="36" t="n"/>
      <c r="N22" s="35" t="n"/>
      <c r="O22" s="34" t="n"/>
      <c r="P22" s="35" t="n"/>
    </row>
    <row r="23" ht="15.75" customHeight="1" thickBot="1">
      <c r="B23" s="121" t="n"/>
      <c r="C23" s="120" t="n"/>
      <c r="D23" s="115" t="n"/>
      <c r="E23" s="115" t="n"/>
      <c r="F23" s="117" t="n"/>
      <c r="G23" s="116" t="inlineStr">
        <is>
          <t>Line 32600</t>
        </is>
      </c>
      <c r="H23" s="117">
        <f>IF(TransferName="NONE",0,(_xlfn.XLOOKUP(TransferNumber,Clients!D:D,Clients!CIH:CIH,2,0,1)))</f>
        <v/>
      </c>
      <c r="J23" s="55" t="n"/>
      <c r="K23" s="36" t="n"/>
      <c r="N23" s="35" t="n"/>
      <c r="O23" s="34" t="inlineStr">
        <is>
          <t>Line 58640</t>
        </is>
      </c>
      <c r="P23" s="35">
        <f>IFERROR(_xlfn.XLOOKUP(TransferNumber,Clients!D:D,Clients!OI:OI,2,0,1),0)</f>
        <v/>
      </c>
    </row>
    <row r="24" ht="15.75" customHeight="1" thickBot="1">
      <c r="B24" s="121" t="n"/>
      <c r="C24" s="120" t="n"/>
      <c r="D24" s="115" t="n"/>
      <c r="E24" s="115" t="n"/>
      <c r="F24" s="117" t="n"/>
      <c r="G24" s="116" t="n"/>
      <c r="H24" s="117" t="n"/>
      <c r="J24" s="55" t="n"/>
      <c r="K24" s="36" t="n"/>
      <c r="N24" s="35" t="n"/>
      <c r="O24" s="34" t="n"/>
      <c r="P24" s="35" t="n"/>
    </row>
    <row r="25" ht="15.75" customHeight="1" thickBot="1">
      <c r="B25" s="121" t="n"/>
      <c r="C25" s="120" t="n"/>
      <c r="D25" s="115" t="n"/>
      <c r="E25" s="115" t="n"/>
      <c r="F25" s="117" t="n"/>
      <c r="G25" s="116" t="n"/>
      <c r="H25" s="117" t="n"/>
      <c r="J25" s="55" t="n"/>
      <c r="K25" s="36" t="n"/>
      <c r="N25" s="35" t="n"/>
      <c r="O25" s="34" t="n"/>
      <c r="P25" s="35" t="n"/>
    </row>
    <row r="26" ht="15.75" customHeight="1" thickBot="1">
      <c r="B26" s="121" t="n"/>
      <c r="C26" s="120" t="n"/>
      <c r="D26" s="115" t="n"/>
      <c r="E26" s="115" t="n"/>
      <c r="F26" s="117" t="n"/>
      <c r="G26" s="116" t="n"/>
      <c r="H26" s="117" t="n"/>
      <c r="J26" s="55" t="n"/>
      <c r="K26" s="36" t="n"/>
      <c r="N26" s="35" t="n"/>
      <c r="O26" s="34" t="n"/>
      <c r="P26" s="35" t="n"/>
    </row>
    <row r="27" ht="15.75" customHeight="1" thickBot="1">
      <c r="B27" s="121" t="n"/>
      <c r="C27" s="120" t="n"/>
      <c r="D27" s="115" t="n"/>
      <c r="E27" s="115" t="n"/>
      <c r="F27" s="117" t="n"/>
      <c r="G27" s="116" t="n"/>
      <c r="H27" s="117">
        <f>IF(E32&gt;0,E8-G8,0)</f>
        <v/>
      </c>
      <c r="J27" s="55" t="n"/>
      <c r="K27" s="36" t="n"/>
      <c r="N27" s="35" t="n"/>
      <c r="O27" s="34" t="n"/>
      <c r="P27" s="35">
        <f>IF(M32&gt;0,M8-O8,0)</f>
        <v/>
      </c>
    </row>
    <row r="28" ht="15.75" customHeight="1" thickBot="1">
      <c r="B28" s="121" t="n"/>
      <c r="C28" s="120" t="n"/>
      <c r="D28" s="115" t="n"/>
      <c r="E28" s="115" t="n"/>
      <c r="F28" s="117" t="n"/>
      <c r="G28" s="115" t="n"/>
      <c r="H28" s="122">
        <f>IF(TransferName="NONE",F33,IF(H27&gt;0,(E32-G8)*0.059,0))</f>
        <v/>
      </c>
      <c r="J28" s="55" t="n"/>
      <c r="K28" s="36" t="n"/>
      <c r="N28" s="35" t="n"/>
      <c r="P28" s="52">
        <f>IF(TransferName="NONE",N33,IF(P27&gt;0,(M32-O8)*0.059,0))</f>
        <v/>
      </c>
    </row>
    <row r="29">
      <c r="B29" s="675" t="n"/>
      <c r="C29" s="115" t="n"/>
      <c r="D29" s="115" t="n"/>
      <c r="E29" s="115" t="n"/>
      <c r="F29" s="117" t="n"/>
      <c r="G29" s="116" t="inlineStr">
        <is>
          <t>Transferable</t>
        </is>
      </c>
      <c r="H29" s="122">
        <f>IF(H28&gt;0,H28,0)</f>
        <v/>
      </c>
      <c r="J29" s="667" t="n"/>
      <c r="N29" s="35" t="n"/>
      <c r="O29" s="34" t="inlineStr">
        <is>
          <t>Transferable</t>
        </is>
      </c>
      <c r="P29" s="52">
        <f>IF(P28&gt;0,P28,0)</f>
        <v/>
      </c>
    </row>
    <row r="30">
      <c r="B30" s="675" t="inlineStr">
        <is>
          <t>Adjusted Taxable Income</t>
        </is>
      </c>
      <c r="C30" s="115">
        <f>C11-(SUM(C13:C28))</f>
        <v/>
      </c>
      <c r="D30" s="124" t="inlineStr">
        <is>
          <t>Line 5864</t>
        </is>
      </c>
      <c r="E30" s="125">
        <f>IF(C30&gt;0,C30,0)</f>
        <v/>
      </c>
      <c r="F30" s="117" t="n"/>
      <c r="G30" s="116" t="n"/>
      <c r="H30" s="117" t="n"/>
      <c r="J30" s="667" t="inlineStr">
        <is>
          <t>Adjusted Taxable Income</t>
        </is>
      </c>
      <c r="K30">
        <f>K11-(SUM(K13:K28))</f>
        <v/>
      </c>
      <c r="L30" s="13" t="inlineStr">
        <is>
          <t>Line 5864</t>
        </is>
      </c>
      <c r="M30" s="39">
        <f>IF(K30&gt;0,K30,0)</f>
        <v/>
      </c>
      <c r="N30" s="35" t="n"/>
      <c r="O30" s="34" t="n"/>
      <c r="P30" s="35" t="n"/>
    </row>
    <row r="31" ht="15.75" customHeight="1" thickBot="1">
      <c r="B31" s="116" t="n"/>
      <c r="C31" s="115" t="n"/>
      <c r="D31" s="115" t="n"/>
      <c r="E31" s="115" t="n"/>
      <c r="F31" s="117" t="n"/>
      <c r="G31" s="116" t="n"/>
      <c r="H31" s="117" t="n"/>
      <c r="J31" s="34" t="n"/>
      <c r="N31" s="35" t="n"/>
      <c r="O31" s="34" t="n"/>
      <c r="P31" s="35" t="n"/>
    </row>
    <row r="32" ht="15.75" customHeight="1" thickBot="1">
      <c r="B32" s="116" t="n"/>
      <c r="C32" s="115" t="n"/>
      <c r="D32" s="126" t="inlineStr">
        <is>
          <t>Prov Trans</t>
        </is>
      </c>
      <c r="E32" s="120">
        <f>(E8-E30)</f>
        <v/>
      </c>
      <c r="F32" s="127" t="n"/>
      <c r="G32" s="116" t="n"/>
      <c r="H32" s="122" t="n"/>
      <c r="J32" s="34" t="n"/>
      <c r="L32" s="21" t="inlineStr">
        <is>
          <t>Prov Trans</t>
        </is>
      </c>
      <c r="M32" s="36">
        <f>(M8-M30)</f>
        <v/>
      </c>
      <c r="N32" s="40" t="n"/>
      <c r="O32" s="34" t="n"/>
      <c r="P32" s="52" t="n"/>
    </row>
    <row r="33" ht="15.75" customHeight="1" thickBot="1">
      <c r="B33" s="116" t="n"/>
      <c r="C33" s="664" t="inlineStr">
        <is>
          <t>DTC Transferable ESTIMATE</t>
        </is>
      </c>
      <c r="D33" s="35" t="n"/>
      <c r="E33" s="120">
        <f>IF(E32&lt;0,0,(IF(E32&gt;E6,E6,E32)))</f>
        <v/>
      </c>
      <c r="F33" s="127">
        <f>IF(E33&gt;0,E33*0.059,"No Transfer Required")</f>
        <v/>
      </c>
      <c r="G33" s="666" t="n"/>
      <c r="H33" s="122" t="n"/>
      <c r="J33" s="34" t="n"/>
      <c r="K33" s="579" t="inlineStr">
        <is>
          <t>DTC Transferable ESTIMATE</t>
        </is>
      </c>
      <c r="L33" s="35" t="n"/>
      <c r="M33" s="36">
        <f>IF(M32&lt;0,0,(IF(M32&gt;M6,M6,M32)))</f>
        <v/>
      </c>
      <c r="N33" s="40">
        <f>IF(M33&gt;0,M33*0.059,"No Transfer Required")</f>
        <v/>
      </c>
      <c r="O33" s="58" t="n"/>
      <c r="P33" s="52" t="n"/>
    </row>
    <row r="34" ht="15.75" customHeight="1" thickBot="1">
      <c r="B34" s="128" t="n"/>
      <c r="C34" s="129" t="n"/>
      <c r="D34" s="130" t="inlineStr">
        <is>
          <t>Net Transferable</t>
        </is>
      </c>
      <c r="E34" s="120">
        <f>IF(E32&lt;0,0,(IF(E32-G4-G5-G7&lt;0,E32,(E32-G4-G5-G7))))</f>
        <v/>
      </c>
      <c r="F34" s="131">
        <f>IF(E34&gt;0,E34*0.059,"0")</f>
        <v/>
      </c>
      <c r="G34" s="42" t="n"/>
      <c r="H34" s="863" t="n"/>
      <c r="J34" s="42" t="n"/>
      <c r="K34" s="41" t="n"/>
      <c r="L34" s="43" t="inlineStr">
        <is>
          <t>Net Transferable</t>
        </is>
      </c>
      <c r="M34" s="36">
        <f>IF(M32&lt;0,0,(IF(M32-O4-O5-O7&lt;0,M32,(M32-O4-O5-O7))))</f>
        <v/>
      </c>
      <c r="N34" s="57">
        <f>IF(M34&gt;0,M34*0.059,"0")</f>
        <v/>
      </c>
      <c r="O34" s="59" t="n"/>
      <c r="P34" s="864" t="n"/>
    </row>
    <row r="35">
      <c r="D35" s="60" t="n"/>
      <c r="F35" s="61" t="n"/>
      <c r="G35" s="449" t="n"/>
      <c r="H35" s="866" t="n"/>
      <c r="L35" s="60" t="n"/>
      <c r="N35" s="61" t="n"/>
      <c r="O35" s="64" t="n"/>
      <c r="P35" s="866" t="n"/>
    </row>
    <row r="36" ht="15.75" customHeight="1" thickBot="1">
      <c r="E36">
        <f>Calculator!$D$5</f>
        <v/>
      </c>
      <c r="H36">
        <f>TransferName</f>
        <v/>
      </c>
      <c r="M36">
        <f>Calculator!$D$5</f>
        <v/>
      </c>
      <c r="P36">
        <f>TransferName</f>
        <v/>
      </c>
    </row>
    <row r="37" ht="15.75" customHeight="1" thickBot="1">
      <c r="B37" s="877" t="inlineStr">
        <is>
          <t>2022 NORTHWEST TERRITORIES Provincial</t>
        </is>
      </c>
      <c r="C37" s="778" t="n"/>
      <c r="D37" s="778" t="n"/>
      <c r="E37" s="778" t="n"/>
      <c r="F37" s="778" t="n"/>
      <c r="G37" s="778" t="n"/>
      <c r="H37" s="780" t="n"/>
      <c r="J37" s="877" t="inlineStr">
        <is>
          <t>2021 NORTHWEST TERRITORIES Provincial</t>
        </is>
      </c>
      <c r="K37" s="778" t="n"/>
      <c r="L37" s="778" t="n"/>
      <c r="M37" s="778" t="n"/>
      <c r="N37" s="778" t="n"/>
      <c r="O37" s="778" t="n"/>
      <c r="P37" s="780" t="n"/>
    </row>
    <row r="38" ht="15.75" customHeight="1" thickBot="1">
      <c r="B38" s="34" t="n"/>
      <c r="D38" t="inlineStr">
        <is>
          <t>Line</t>
        </is>
      </c>
      <c r="E38" t="inlineStr">
        <is>
          <t>Amt</t>
        </is>
      </c>
      <c r="F38" s="35" t="n"/>
      <c r="G38" s="667" t="inlineStr">
        <is>
          <t>Spouse</t>
        </is>
      </c>
      <c r="H38" s="35" t="inlineStr">
        <is>
          <t>S2 Adjustment</t>
        </is>
      </c>
      <c r="J38" s="34" t="n"/>
      <c r="L38" t="inlineStr">
        <is>
          <t>Line</t>
        </is>
      </c>
      <c r="M38" t="inlineStr">
        <is>
          <t>Amt</t>
        </is>
      </c>
      <c r="N38" s="35" t="n"/>
      <c r="O38" s="34" t="inlineStr">
        <is>
          <t>Spouse</t>
        </is>
      </c>
      <c r="P38" s="35" t="inlineStr">
        <is>
          <t>S2 Adjustment</t>
        </is>
      </c>
    </row>
    <row r="39" ht="15.75" customHeight="1" thickBot="1">
      <c r="B39" s="667" t="inlineStr">
        <is>
          <t>Age Amount</t>
        </is>
      </c>
      <c r="D39" t="inlineStr">
        <is>
          <t>Line 58080</t>
        </is>
      </c>
      <c r="E39" s="861">
        <f>(_xlfn.XLOOKUP(ClientNumber,Clients!D:D,Clients!ANR:ANR,2,0,1))</f>
        <v/>
      </c>
      <c r="F39" s="37" t="inlineStr">
        <is>
          <t>Line 59020</t>
        </is>
      </c>
      <c r="G39" s="51">
        <f>IF(TransferName="NONE",0,(_xlfn.XLOOKUP(TransferNumber,Clients!D:D,Clients!APT:APT,2,0,1)))</f>
        <v/>
      </c>
      <c r="H39" s="37">
        <f>IF(AND(E39&gt;0,G39=0),"Age Amount Can Be Transferred","No Action")</f>
        <v/>
      </c>
      <c r="J39" s="667" t="inlineStr">
        <is>
          <t>Age Amount</t>
        </is>
      </c>
      <c r="L39" t="inlineStr">
        <is>
          <t>Line 58080</t>
        </is>
      </c>
      <c r="M39" s="865">
        <f>(_xlfn.XLOOKUP(MainClient,Clients!D:D,Clients!BOM:BOM,2,0,1))</f>
        <v/>
      </c>
      <c r="N39" s="37" t="inlineStr">
        <is>
          <t>Line 59020</t>
        </is>
      </c>
      <c r="O39" s="51">
        <f>IF(TransferName="NONE",0,(_xlfn.XLOOKUP(TransferNumber,Clients!D:D,Clients!BQO:BQO,2,0,1)))</f>
        <v/>
      </c>
      <c r="P39" s="37">
        <f>IF(AND(M39&gt;0,O39=0),"Age Amount Can Be Transferred","No Action")</f>
        <v/>
      </c>
    </row>
    <row r="40" ht="15.75" customHeight="1" thickBot="1">
      <c r="B40" s="667" t="inlineStr">
        <is>
          <t>Pension Income Amount</t>
        </is>
      </c>
      <c r="D40" t="inlineStr">
        <is>
          <t>Line 58360 (mx 1000)</t>
        </is>
      </c>
      <c r="E40" s="861">
        <f>IF((_xlfn.XLOOKUP(ClientNumber,Clients!D:D,Clients!AOR:AOR,2,0,1)&lt;1000),(_xlfn.XLOOKUP(MainClient,Clients!D:D,Clients!AOR:AOR,2,0,1)),1000)</f>
        <v/>
      </c>
      <c r="F40" s="37" t="inlineStr">
        <is>
          <t>Line 59050</t>
        </is>
      </c>
      <c r="G40" s="51">
        <f>IF(TransferName="NONE",0,(_xlfn.XLOOKUP(TransferNumber,Clients!D:D,Clients!APW:APW,2,0,1)))</f>
        <v/>
      </c>
      <c r="H40" s="37">
        <f>IF(AND(E40&gt;0,G40=0),"Pension Income Amount Can Be Transferred","No Action")</f>
        <v/>
      </c>
      <c r="J40" s="667" t="inlineStr">
        <is>
          <t>Pension Income Amount</t>
        </is>
      </c>
      <c r="L40" t="inlineStr">
        <is>
          <t>Line 58360 (mx 1000)</t>
        </is>
      </c>
      <c r="M40" s="865">
        <f>IF((_xlfn.XLOOKUP(ClientNumber,Clients!D:D,Clients!BPM:BPM,2,0,1)&lt;1000),(_xlfn.XLOOKUP(MainClient,Clients!D:D,Clients!BPM:BPM,2,0,1)),1000)</f>
        <v/>
      </c>
      <c r="N40" s="37" t="inlineStr">
        <is>
          <t>Line 59050</t>
        </is>
      </c>
      <c r="O40" s="51">
        <f>IF(TransferName="NONE",0,(_xlfn.XLOOKUP(TransferNumber,Clients!D:D,Clients!BQR:BQR,2,0,1)))</f>
        <v/>
      </c>
      <c r="P40" s="37">
        <f>IF(AND(M40&gt;0,O40=0),"Pension Income Amount Can Be Transferred","No Action")</f>
        <v/>
      </c>
    </row>
    <row r="41" ht="15.75" customHeight="1" thickBot="1">
      <c r="B41" s="667" t="inlineStr">
        <is>
          <t>Disability Amount</t>
        </is>
      </c>
      <c r="D41" t="inlineStr">
        <is>
          <t>Line 58440</t>
        </is>
      </c>
      <c r="E41" s="861">
        <f>IF(_xlfn.XLOOKUP(ClientNumber,Clients!D:D,Clients!AOT:AOT,2,0,1)=0,12658,(_xlfn.XLOOKUP(MainClient,Clients!D:D,Clients!AOT:AOT,2,0,1)))</f>
        <v/>
      </c>
      <c r="F41" s="37" t="inlineStr">
        <is>
          <t>Line 59070</t>
        </is>
      </c>
      <c r="G41" s="51">
        <f>IF(TransferName="NONE",0,(_xlfn.XLOOKUP(TransferNumber,Clients!D:D,Clients!APX:APX,2,0,1)))</f>
        <v/>
      </c>
      <c r="H41" s="37">
        <f>IF(AND(E41&gt;0,G41=0),"DTC Transferable Not Claimed Can Be Transferred","No Action")</f>
        <v/>
      </c>
      <c r="J41" s="667" t="inlineStr">
        <is>
          <t>Disability Amount</t>
        </is>
      </c>
      <c r="L41" t="inlineStr">
        <is>
          <t>Line 58440</t>
        </is>
      </c>
      <c r="M41" s="865">
        <f>IF(_xlfn.XLOOKUP(ClientNumber,Clients!D:D,Clients!BPO:BPO,2,0,1)=0,12362,(_xlfn.XLOOKUP(MainClient,Clients!D:D,Clients!BPO:BPO,2,0,1)))</f>
        <v/>
      </c>
      <c r="N41" s="37" t="inlineStr">
        <is>
          <t>Line 59070</t>
        </is>
      </c>
      <c r="O41" s="51">
        <f>IF(TransferName="NONE",0,(_xlfn.XLOOKUP(TransferNumber,Clients!D:D,Clients!BQS:BQS,2,0,1)))</f>
        <v/>
      </c>
      <c r="P41" s="37">
        <f>IF(AND(M41&gt;0,O41=0),"DTC Transferable Not Claimed Can Be Transferred","No Action")</f>
        <v/>
      </c>
    </row>
    <row r="42" ht="15.75" customHeight="1" thickBot="1">
      <c r="B42" s="667" t="inlineStr">
        <is>
          <t>Tuition Amount</t>
        </is>
      </c>
      <c r="D42" t="inlineStr">
        <is>
          <t>Line 59200</t>
        </is>
      </c>
      <c r="E42" s="861">
        <f>(_xlfn.XLOOKUP(ClientNumber,Clients!D:D,Clients!AQI:AQI,2,0,1))</f>
        <v/>
      </c>
      <c r="F42" s="37" t="inlineStr">
        <is>
          <t>Line 59090</t>
        </is>
      </c>
      <c r="G42" s="51">
        <f>IF(TransferName="NONE",0,(_xlfn.XLOOKUP(TransferNumber,Clients!D:D,Clients!APY:APY,2,0,1)))</f>
        <v/>
      </c>
      <c r="H42" s="37">
        <f>IF(AND(E42&gt;0,G42=0),"Tuition Can Be Transferred","No Action")</f>
        <v/>
      </c>
      <c r="J42" s="667" t="inlineStr">
        <is>
          <t>Tuition Amount</t>
        </is>
      </c>
      <c r="L42" t="inlineStr">
        <is>
          <t>Line 59200</t>
        </is>
      </c>
      <c r="M42" s="865">
        <f>(_xlfn.XLOOKUP(MainClient,Clients!D:D,Clients!BRD:BRD,2,0,1))</f>
        <v/>
      </c>
      <c r="N42" s="37" t="inlineStr">
        <is>
          <t>Line 59090</t>
        </is>
      </c>
      <c r="O42" s="51">
        <f>IF(TransferName="NONE",0,(_xlfn.XLOOKUP(TransferNumber,Clients!D:D,Clients!BQT:BQT,2,0,1)))</f>
        <v/>
      </c>
      <c r="P42" s="37">
        <f>IF(AND(M42&gt;0,O42=0),"Tuition Can Be Transferred","No Action")</f>
        <v/>
      </c>
    </row>
    <row r="43">
      <c r="B43" s="667" t="n"/>
      <c r="E43" s="771">
        <f>SUM(E39:E42)</f>
        <v/>
      </c>
      <c r="F43" s="37" t="n"/>
      <c r="G43" s="667">
        <f>SUM(G39:G42)</f>
        <v/>
      </c>
      <c r="H43" s="37" t="n"/>
      <c r="J43" s="667" t="n"/>
      <c r="M43" s="872">
        <f>SUM(M39:M42)</f>
        <v/>
      </c>
      <c r="N43" s="37" t="n"/>
      <c r="O43" s="667">
        <f>SUM(O39:O42)</f>
        <v/>
      </c>
      <c r="P43" s="37" t="n"/>
    </row>
    <row r="44">
      <c r="A44" t="inlineStr">
        <is>
          <t>`</t>
        </is>
      </c>
      <c r="B44" s="667" t="n"/>
      <c r="C44" s="668" t="n"/>
      <c r="E44" s="771" t="n"/>
      <c r="F44" s="37" t="n"/>
      <c r="G44" s="668" t="n"/>
      <c r="H44" s="37" t="n"/>
      <c r="J44" s="667" t="n"/>
      <c r="K44" s="668" t="n"/>
      <c r="M44" s="872" t="n"/>
      <c r="N44" s="37" t="n"/>
      <c r="O44" s="668" t="n"/>
      <c r="P44" s="37" t="n"/>
    </row>
    <row r="45" ht="15.75" customHeight="1" thickBot="1">
      <c r="B45" s="34" t="n"/>
      <c r="F45" s="35" t="n"/>
      <c r="H45" s="35" t="n"/>
      <c r="J45" s="34" t="n"/>
      <c r="N45" s="35" t="n"/>
      <c r="P45" s="35" t="n"/>
    </row>
    <row r="46" ht="15.75" customHeight="1" thickBot="1">
      <c r="B46" s="667" t="inlineStr">
        <is>
          <t>Line 260</t>
        </is>
      </c>
      <c r="C46" s="36">
        <f>(_xlfn.XLOOKUP(MainClient,Clients!D:D,Clients!AFS:AFS,2,0,1))</f>
        <v/>
      </c>
      <c r="F46" s="35" t="n"/>
      <c r="G46" s="34">
        <f>IF(E69&gt;E41,"other transferable credits","DTC Only")</f>
        <v/>
      </c>
      <c r="H46" s="35" t="n"/>
      <c r="J46" s="667" t="inlineStr">
        <is>
          <t>Line 26000</t>
        </is>
      </c>
      <c r="K46" s="36">
        <f>(_xlfn.XLOOKUP(MainClient,Clients!D:D,Clients!BGN:BGN,2,0,1))</f>
        <v/>
      </c>
      <c r="N46" s="35" t="n"/>
      <c r="O46" s="34">
        <f>IF(M69&gt;M41,"other transferable credits","DTC Only")</f>
        <v/>
      </c>
      <c r="P46" s="35" t="n"/>
    </row>
    <row r="47" ht="15.75" customHeight="1" thickBot="1">
      <c r="B47" s="34" t="n"/>
      <c r="F47" s="35" t="n"/>
      <c r="G47" s="34" t="n"/>
      <c r="H47" s="35" t="n"/>
      <c r="J47" s="34" t="n"/>
      <c r="N47" s="35" t="n"/>
      <c r="O47" s="34" t="n"/>
      <c r="P47" s="35" t="n"/>
    </row>
    <row r="48" ht="15.75" customHeight="1" thickBot="1">
      <c r="B48" s="55" t="inlineStr">
        <is>
          <t>Line 58040</t>
        </is>
      </c>
      <c r="C48" s="36">
        <f>(_xlfn.XLOOKUP(ClientNumber,Clients!D:D,Clients!ANQ:ANQ,2,0,1))</f>
        <v/>
      </c>
      <c r="F48" s="35" t="n"/>
      <c r="G48" s="34" t="n"/>
      <c r="H48" s="35" t="n"/>
      <c r="J48" s="55" t="inlineStr">
        <is>
          <t>Line 58040</t>
        </is>
      </c>
      <c r="K48" s="36">
        <f>(_xlfn.XLOOKUP(MainClient,Clients!D:D,Clients!BOL:BOL,2,0,1))</f>
        <v/>
      </c>
      <c r="N48" s="35" t="n"/>
      <c r="O48" s="34" t="n"/>
      <c r="P48" s="35" t="n"/>
    </row>
    <row r="49" ht="15.75" customHeight="1" thickBot="1">
      <c r="B49" s="55" t="inlineStr">
        <is>
          <t>Line 58240</t>
        </is>
      </c>
      <c r="C49" s="36">
        <f>(_xlfn.XLOOKUP(ClientNumber,Clients!D:D,Clients!AOF:AOF,2,0,1))</f>
        <v/>
      </c>
      <c r="F49" s="35" t="n"/>
      <c r="G49" s="34" t="n"/>
      <c r="H49" s="35" t="n"/>
      <c r="J49" s="55" t="inlineStr">
        <is>
          <t>Line 58240</t>
        </is>
      </c>
      <c r="K49" s="36">
        <f>(_xlfn.XLOOKUP(MainClient,Clients!D:D,Clients!BPA:BPA,2,0,1))</f>
        <v/>
      </c>
      <c r="N49" s="35" t="n"/>
      <c r="O49" s="34" t="n"/>
      <c r="P49" s="35" t="n"/>
    </row>
    <row r="50" ht="15.75" customHeight="1" thickBot="1">
      <c r="B50" s="55" t="inlineStr">
        <is>
          <t>Line 58280</t>
        </is>
      </c>
      <c r="C50" s="36">
        <f>(_xlfn.XLOOKUP(ClientNumber,Clients!D:D,Clients!AOG:AOG,2,0,1))</f>
        <v/>
      </c>
      <c r="F50" s="35" t="n"/>
      <c r="G50" s="34" t="n"/>
      <c r="H50" s="35" t="n"/>
      <c r="J50" s="55" t="inlineStr">
        <is>
          <t>Line 58280</t>
        </is>
      </c>
      <c r="K50" s="36">
        <f>(_xlfn.XLOOKUP(MainClient,Clients!D:D,Clients!BPB:BPB,2,0,1))</f>
        <v/>
      </c>
      <c r="N50" s="35" t="n"/>
      <c r="P50" s="35" t="n"/>
    </row>
    <row r="51" ht="15.75" customHeight="1" thickBot="1">
      <c r="B51" s="55" t="inlineStr">
        <is>
          <t>Line 58300</t>
        </is>
      </c>
      <c r="C51" s="36">
        <f>(_xlfn.XLOOKUP(ClientNumber,Clients!D:D,Clients!AOH:AOH,2,0,1))</f>
        <v/>
      </c>
      <c r="F51" s="35" t="n"/>
      <c r="G51" s="34" t="n"/>
      <c r="H51" s="35" t="n"/>
      <c r="J51" s="55" t="inlineStr">
        <is>
          <t>Line 58300</t>
        </is>
      </c>
      <c r="K51" s="36">
        <f>(_xlfn.XLOOKUP(MainClient,Clients!D:D,Clients!BPC:BPC,2,0,1))</f>
        <v/>
      </c>
      <c r="N51" s="35" t="n"/>
      <c r="O51" s="34" t="n"/>
      <c r="P51" s="35" t="n"/>
    </row>
    <row r="52" ht="15.75" customHeight="1" thickBot="1">
      <c r="B52" s="55" t="inlineStr">
        <is>
          <t>Line 58305</t>
        </is>
      </c>
      <c r="C52" s="36">
        <f>(_xlfn.XLOOKUP(ClientNumber,Clients!D:D,Clients!AOI:AOI,2,0,1))</f>
        <v/>
      </c>
      <c r="F52" s="35" t="n"/>
      <c r="G52" s="34" t="n"/>
      <c r="H52" s="35" t="n"/>
      <c r="J52" s="55" t="inlineStr">
        <is>
          <t>Line 58305</t>
        </is>
      </c>
      <c r="K52" s="36">
        <f>(_xlfn.XLOOKUP(MainClient,Clients!D:D,Clients!BPD:BPD,2,0,1))</f>
        <v/>
      </c>
      <c r="N52" s="35" t="n"/>
      <c r="O52" s="34" t="n"/>
      <c r="P52" s="35" t="n"/>
    </row>
    <row r="53" ht="15.75" customHeight="1" thickBot="1">
      <c r="B53" s="55" t="inlineStr">
        <is>
          <t>Line 58560</t>
        </is>
      </c>
      <c r="C53" s="36">
        <f>(_xlfn.XLOOKUP(ClientNumber,Clients!D:D,Clients!AOX:AOX,2,0,1))</f>
        <v/>
      </c>
      <c r="F53" s="35" t="n"/>
      <c r="G53" s="34" t="n"/>
      <c r="H53" s="35" t="n"/>
      <c r="J53" s="55" t="inlineStr">
        <is>
          <t>Line 58560</t>
        </is>
      </c>
      <c r="K53" s="36">
        <f>(_xlfn.XLOOKUP(MainClient,Clients!D:D,Clients!BPS:BPS,2,0,1))</f>
        <v/>
      </c>
      <c r="N53" s="35" t="n"/>
      <c r="O53" s="34" t="n"/>
      <c r="P53" s="35" t="n"/>
    </row>
    <row r="54" ht="15.75" customHeight="1" thickBot="1">
      <c r="B54" s="55" t="n"/>
      <c r="C54" s="36" t="n"/>
      <c r="F54" s="35" t="n"/>
      <c r="G54" s="34" t="n"/>
      <c r="H54" s="35" t="n"/>
      <c r="J54" s="55" t="n"/>
      <c r="K54" s="36" t="n"/>
      <c r="N54" s="35" t="n"/>
      <c r="O54" s="34" t="n"/>
      <c r="P54" s="35" t="n"/>
    </row>
    <row r="55" ht="15.75" customHeight="1" thickBot="1">
      <c r="B55" s="55" t="n"/>
      <c r="C55" s="36" t="n"/>
      <c r="F55" s="35" t="n"/>
      <c r="G55" s="34" t="n"/>
      <c r="H55" s="35" t="n"/>
      <c r="J55" s="55" t="n"/>
      <c r="K55" s="36" t="n"/>
      <c r="N55" s="35" t="n"/>
      <c r="O55" s="34" t="n"/>
      <c r="P55" s="35" t="n"/>
    </row>
    <row r="56" ht="15.75" customHeight="1" thickBot="1">
      <c r="B56" s="55" t="n"/>
      <c r="C56" s="36" t="n"/>
      <c r="F56" s="35" t="n"/>
      <c r="G56" s="34" t="n"/>
      <c r="H56" s="35" t="n"/>
      <c r="J56" s="55" t="n"/>
      <c r="K56" s="36" t="n"/>
      <c r="N56" s="35" t="n"/>
      <c r="O56" s="34" t="n"/>
      <c r="P56" s="35" t="n"/>
    </row>
    <row r="57" ht="15.75" customHeight="1" thickBot="1">
      <c r="B57" s="55" t="n"/>
      <c r="C57" s="36" t="n"/>
      <c r="F57" s="35" t="n"/>
      <c r="G57" s="34" t="n"/>
      <c r="H57" s="35" t="n"/>
      <c r="J57" s="55" t="n"/>
      <c r="K57" s="36" t="n"/>
      <c r="N57" s="35" t="n"/>
      <c r="O57" s="34" t="n"/>
      <c r="P57" s="35" t="n"/>
    </row>
    <row r="58" ht="15.75" customHeight="1" thickBot="1">
      <c r="B58" s="55" t="n"/>
      <c r="C58" s="36" t="n"/>
      <c r="F58" s="35" t="n"/>
      <c r="G58" s="34" t="inlineStr">
        <is>
          <t>Line 32600</t>
        </is>
      </c>
      <c r="H58" s="35">
        <f>IF(TransferName="NONE",0,(_xlfn.XLOOKUP(TransferNumber,Clients!D:D,Clients!CIH:CIH,2,0,1)))</f>
        <v/>
      </c>
      <c r="J58" s="55" t="n"/>
      <c r="K58" s="36" t="n"/>
      <c r="N58" s="35" t="n"/>
      <c r="O58" s="34" t="inlineStr">
        <is>
          <t>Line 326</t>
        </is>
      </c>
      <c r="P58" s="35">
        <f>IFERROR(_xlfn.XLOOKUP(TransferNumber,Clients!D:D,Clients!FJZ:FJZ,2,0,1),0)</f>
        <v/>
      </c>
    </row>
    <row r="59" ht="15.75" customHeight="1" thickBot="1">
      <c r="B59" s="55" t="n"/>
      <c r="C59" s="36" t="n"/>
      <c r="F59" s="35" t="n"/>
      <c r="G59" s="34" t="n"/>
      <c r="H59" s="35" t="n"/>
      <c r="J59" s="55" t="n"/>
      <c r="K59" s="36" t="n"/>
      <c r="N59" s="35" t="n"/>
      <c r="O59" s="34" t="n"/>
      <c r="P59" s="35" t="n"/>
    </row>
    <row r="60" ht="15.75" customHeight="1" thickBot="1">
      <c r="B60" s="55" t="n"/>
      <c r="C60" s="36" t="n"/>
      <c r="F60" s="35" t="n"/>
      <c r="G60" s="34" t="n"/>
      <c r="H60" s="35" t="n"/>
      <c r="J60" s="55" t="n"/>
      <c r="K60" s="36" t="n"/>
      <c r="N60" s="35" t="n"/>
      <c r="O60" s="34" t="n"/>
      <c r="P60" s="35" t="n"/>
    </row>
    <row r="61" ht="15.75" customHeight="1" thickBot="1">
      <c r="B61" s="55" t="n"/>
      <c r="C61" s="36" t="n"/>
      <c r="F61" s="35" t="n"/>
      <c r="G61" s="34" t="n"/>
      <c r="H61" s="35" t="n"/>
      <c r="J61" s="55" t="n"/>
      <c r="K61" s="36" t="n"/>
      <c r="N61" s="35" t="n"/>
      <c r="O61" s="34" t="n"/>
      <c r="P61" s="35" t="n"/>
    </row>
    <row r="62" ht="15.75" customHeight="1" thickBot="1">
      <c r="B62" s="55" t="n"/>
      <c r="C62" s="36" t="n"/>
      <c r="F62" s="35" t="n"/>
      <c r="G62" s="34" t="n"/>
      <c r="H62" s="35">
        <f>IF(E67&gt;0,E43-G43,0)</f>
        <v/>
      </c>
      <c r="J62" s="55" t="n"/>
      <c r="K62" s="36" t="n"/>
      <c r="N62" s="35" t="n"/>
      <c r="O62" s="34" t="n"/>
      <c r="P62" s="35">
        <f>IF(M67&gt;0,M43-O43,0)</f>
        <v/>
      </c>
    </row>
    <row r="63" ht="15.75" customHeight="1" thickBot="1">
      <c r="B63" s="55" t="n"/>
      <c r="C63" s="36" t="n"/>
      <c r="F63" s="35" t="n"/>
      <c r="H63" s="52">
        <f>IF(TransferName="NONE",F68,IF(H62&gt;0,(E67-G43)*0.059,0))</f>
        <v/>
      </c>
      <c r="J63" s="55" t="n"/>
      <c r="K63" s="36" t="n"/>
      <c r="N63" s="35" t="n"/>
      <c r="P63" s="52">
        <f>IF(TransferName="NONE",N68,IF(P62&gt;0,(M67-O43)*0.059,0))</f>
        <v/>
      </c>
    </row>
    <row r="64">
      <c r="B64" s="667" t="n"/>
      <c r="F64" s="35" t="n"/>
      <c r="G64" s="34" t="inlineStr">
        <is>
          <t>Transferable</t>
        </is>
      </c>
      <c r="H64" s="52">
        <f>IF(H63&gt;0,H63,0)</f>
        <v/>
      </c>
      <c r="J64" s="667" t="n"/>
      <c r="N64" s="35" t="n"/>
      <c r="O64" s="34" t="inlineStr">
        <is>
          <t>Transferable</t>
        </is>
      </c>
      <c r="P64" s="52">
        <f>IF(P63&gt;0,P63,0)</f>
        <v/>
      </c>
    </row>
    <row r="65">
      <c r="B65" s="667" t="inlineStr">
        <is>
          <t>Adjusted Taxable Income</t>
        </is>
      </c>
      <c r="C65">
        <f>C46-(SUM(C48:C63))</f>
        <v/>
      </c>
      <c r="D65" s="13" t="inlineStr">
        <is>
          <t>Line 5864</t>
        </is>
      </c>
      <c r="E65" s="39">
        <f>IF(C65&gt;0,C65,0)</f>
        <v/>
      </c>
      <c r="F65" s="35" t="n"/>
      <c r="G65" s="34" t="n"/>
      <c r="H65" s="35" t="n"/>
      <c r="J65" s="667" t="inlineStr">
        <is>
          <t>Adjusted Taxable Income</t>
        </is>
      </c>
      <c r="K65">
        <f>K46-(SUM(K48:K63))</f>
        <v/>
      </c>
      <c r="L65" s="13" t="inlineStr">
        <is>
          <t>Line 5864</t>
        </is>
      </c>
      <c r="M65" s="39">
        <f>IF(K65&gt;0,K65,0)</f>
        <v/>
      </c>
      <c r="N65" s="35" t="n"/>
      <c r="O65" s="34" t="n"/>
      <c r="P65" s="35" t="n"/>
    </row>
    <row r="66" ht="15.75" customHeight="1" thickBot="1">
      <c r="B66" s="34" t="n"/>
      <c r="F66" s="35" t="n"/>
      <c r="G66" s="34" t="n"/>
      <c r="H66" s="35" t="n"/>
      <c r="J66" s="34" t="n"/>
      <c r="N66" s="35" t="n"/>
      <c r="O66" s="34" t="n"/>
      <c r="P66" s="35" t="n"/>
    </row>
    <row r="67" ht="15.75" customHeight="1" thickBot="1">
      <c r="B67" s="34" t="n"/>
      <c r="D67" s="21" t="inlineStr">
        <is>
          <t>Prov Trans</t>
        </is>
      </c>
      <c r="E67" s="36">
        <f>(E43-E65)</f>
        <v/>
      </c>
      <c r="F67" s="40" t="n"/>
      <c r="G67" s="34" t="n"/>
      <c r="H67" s="52" t="n"/>
      <c r="J67" s="34" t="n"/>
      <c r="L67" s="21" t="inlineStr">
        <is>
          <t>Prov Trans</t>
        </is>
      </c>
      <c r="M67" s="36">
        <f>(M43-M65)</f>
        <v/>
      </c>
      <c r="N67" s="40" t="n"/>
      <c r="O67" s="34" t="n"/>
      <c r="P67" s="52" t="n"/>
    </row>
    <row r="68" ht="15.75" customHeight="1" thickBot="1">
      <c r="B68" s="34" t="n"/>
      <c r="C68" s="579" t="inlineStr">
        <is>
          <t>DTC Transferable ESTIMATE</t>
        </is>
      </c>
      <c r="D68" s="35" t="n"/>
      <c r="E68" s="36">
        <f>IF(E67&lt;0,0,(IF(E67&gt;E41,E41,E67)))</f>
        <v/>
      </c>
      <c r="F68" s="40">
        <f>IF(E68&gt;0,E68*0.059,"No Transfer Required")</f>
        <v/>
      </c>
      <c r="G68" s="678" t="n"/>
      <c r="H68" s="52" t="n"/>
      <c r="J68" s="34" t="n"/>
      <c r="K68" s="579" t="inlineStr">
        <is>
          <t>DTC Transferable ESTIMATE</t>
        </is>
      </c>
      <c r="L68" s="35" t="n"/>
      <c r="M68" s="36">
        <f>IF(M67&lt;0,0,(IF(M67&gt;M41,M41,M67)))</f>
        <v/>
      </c>
      <c r="N68" s="40">
        <f>IF(M68&gt;0,M68*0.059,"No Transfer Required")</f>
        <v/>
      </c>
      <c r="O68" s="58" t="n"/>
      <c r="P68" s="52" t="n"/>
    </row>
    <row r="69" ht="15.75" customHeight="1" thickBot="1">
      <c r="B69" s="42" t="n"/>
      <c r="C69" s="41" t="n"/>
      <c r="D69" s="43" t="inlineStr">
        <is>
          <t>Net Transferable</t>
        </is>
      </c>
      <c r="E69" s="36">
        <f>IF(E67&lt;0,0,(IF(E67-G39-G40-G42&lt;0,E67,(E67-G39-G40-G42))))</f>
        <v/>
      </c>
      <c r="F69" s="57">
        <f>IF(E69&gt;0,E69*0.059,"0")</f>
        <v/>
      </c>
      <c r="G69" s="42" t="n"/>
      <c r="H69" s="864" t="n"/>
      <c r="J69" s="42" t="n"/>
      <c r="K69" s="41" t="n"/>
      <c r="L69" s="43" t="inlineStr">
        <is>
          <t>Net Transferable</t>
        </is>
      </c>
      <c r="M69" s="36">
        <f>IF(M67&lt;0,0,(IF(M67-O39-O40-O42&lt;0,M67,(M67-O39-O40-O42))))</f>
        <v/>
      </c>
      <c r="N69" s="57">
        <f>IF(M69&gt;0,M69*0.059,"0")</f>
        <v/>
      </c>
      <c r="O69" s="59" t="n"/>
      <c r="P69" s="864" t="n"/>
    </row>
    <row r="71" ht="15.75" customHeight="1" thickBot="1">
      <c r="E71">
        <f>Calculator!$D$5</f>
        <v/>
      </c>
      <c r="H71">
        <f>TransferName</f>
        <v/>
      </c>
      <c r="M71">
        <f>Calculator!$D$5</f>
        <v/>
      </c>
      <c r="P71">
        <f>TransferName</f>
        <v/>
      </c>
    </row>
    <row r="72" ht="15.75" customHeight="1" thickBot="1">
      <c r="B72" s="877" t="inlineStr">
        <is>
          <t>2020 NORTHWEST TERRITORIES Provincial</t>
        </is>
      </c>
      <c r="C72" s="778" t="n"/>
      <c r="D72" s="778" t="n"/>
      <c r="E72" s="778" t="n"/>
      <c r="F72" s="778" t="n"/>
      <c r="G72" s="778" t="n"/>
      <c r="H72" s="780" t="n"/>
      <c r="J72" s="877" t="inlineStr">
        <is>
          <t>2019 NORTHWEST TERRITORIES Provincial</t>
        </is>
      </c>
      <c r="K72" s="778" t="n"/>
      <c r="L72" s="778" t="n"/>
      <c r="M72" s="778" t="n"/>
      <c r="N72" s="778" t="n"/>
      <c r="O72" s="778" t="n"/>
      <c r="P72" s="780" t="n"/>
    </row>
    <row r="73" ht="28.5" customHeight="1" thickBot="1">
      <c r="B73" s="34" t="n"/>
      <c r="D73" t="inlineStr">
        <is>
          <t>Line</t>
        </is>
      </c>
      <c r="E73" t="inlineStr">
        <is>
          <t>Amt</t>
        </is>
      </c>
      <c r="F73" s="35" t="n"/>
      <c r="G73" s="667" t="inlineStr">
        <is>
          <t>Spouse</t>
        </is>
      </c>
      <c r="H73" s="35" t="inlineStr">
        <is>
          <t>S2 Adjustment</t>
        </is>
      </c>
      <c r="J73" s="34" t="n"/>
      <c r="L73" t="inlineStr">
        <is>
          <t>Line</t>
        </is>
      </c>
      <c r="M73" t="inlineStr">
        <is>
          <t>Amt</t>
        </is>
      </c>
      <c r="N73" s="35" t="n"/>
      <c r="O73" s="34" t="inlineStr">
        <is>
          <t>Spouse</t>
        </is>
      </c>
      <c r="P73" s="35" t="inlineStr">
        <is>
          <t>S2 Adjustment</t>
        </is>
      </c>
    </row>
    <row r="74" ht="15.75" customHeight="1" thickBot="1">
      <c r="B74" s="667" t="inlineStr">
        <is>
          <t>Age Amount</t>
        </is>
      </c>
      <c r="D74" t="inlineStr">
        <is>
          <t>Line 58080</t>
        </is>
      </c>
      <c r="E74" s="861">
        <f>(_xlfn.XLOOKUP(ClientNumber,Clients!D:D,Clients!CPH:CPH,2,0,1))</f>
        <v/>
      </c>
      <c r="F74" s="37" t="inlineStr">
        <is>
          <t>Line 59020</t>
        </is>
      </c>
      <c r="G74" s="51">
        <f>IF(TransferName="NONE",0,(_xlfn.XLOOKUP(TransferNumber,Clients!D:D,Clients!CRJ:CRJ,2,0,1)))</f>
        <v/>
      </c>
      <c r="H74" s="37">
        <f>IF(AND(E74&gt;0,G74=0),"Age Amount Can Be Transferred","No Action")</f>
        <v/>
      </c>
      <c r="J74" s="667" t="inlineStr">
        <is>
          <t>Age Amount</t>
        </is>
      </c>
      <c r="L74" t="inlineStr">
        <is>
          <t>Line 58080</t>
        </is>
      </c>
      <c r="M74" s="865">
        <f>(_xlfn.XLOOKUP(MainClient,Clients!D:D,Clients!DQC:DQC,2,0,1))</f>
        <v/>
      </c>
      <c r="N74" s="37" t="inlineStr">
        <is>
          <t>Line 59020</t>
        </is>
      </c>
      <c r="O74" s="51">
        <f>IF(TransferName="NONE",0,(_xlfn.XLOOKUP(TransferNumber,Clients!D:D,Clients!DSE:DSE,2,0,1)))</f>
        <v/>
      </c>
      <c r="P74" s="37">
        <f>IF(AND(M74&gt;0,O74=0),"Age Amount Can Be Transferred","No Action")</f>
        <v/>
      </c>
    </row>
    <row r="75" ht="15.75" customHeight="1" thickBot="1">
      <c r="B75" s="667" t="inlineStr">
        <is>
          <t>Pension Income Amount</t>
        </is>
      </c>
      <c r="D75" t="inlineStr">
        <is>
          <t>Line 58360 (mx 1000)</t>
        </is>
      </c>
      <c r="E75" s="861">
        <f>IF((_xlfn.XLOOKUP(ClientNumber,Clients!D:D,Clients!CQH:CQH,2,0,1)&lt;1000),(_xlfn.XLOOKUP(MainClient,Clients!D:D,Clients!CQH:CQH,2,0,1)),1000)</f>
        <v/>
      </c>
      <c r="F75" s="37" t="inlineStr">
        <is>
          <t>Line 59050</t>
        </is>
      </c>
      <c r="G75" s="51">
        <f>IF(TransferName="NONE",0,(_xlfn.XLOOKUP(TransferNumber,Clients!D:D,Clients!CRM:CRM,2,0,1)))</f>
        <v/>
      </c>
      <c r="H75" s="37">
        <f>IF(AND(E75&gt;0,G75=0),"Pension Income Amount Can Be Transferred","No Action")</f>
        <v/>
      </c>
      <c r="J75" s="667" t="inlineStr">
        <is>
          <t>Pension Income Amount</t>
        </is>
      </c>
      <c r="L75" t="inlineStr">
        <is>
          <t>Line 58360 (mx 1000)</t>
        </is>
      </c>
      <c r="M75" s="865">
        <f>IF((_xlfn.XLOOKUP(ClientNumber,Clients!D:D,Clients!DRC:DRC,2,0,1)&lt;1000),(_xlfn.XLOOKUP(MainClient,Clients!D:D,Clients!DRC:DRC,2,0,1)),1000)</f>
        <v/>
      </c>
      <c r="N75" s="37" t="inlineStr">
        <is>
          <t>Line 59050</t>
        </is>
      </c>
      <c r="O75" s="51">
        <f>IF(TransferName="NONE",0,(_xlfn.XLOOKUP(TransferNumber,Clients!D:D,Clients!DSH:DSH,2,0,1)))</f>
        <v/>
      </c>
      <c r="P75" s="37">
        <f>IF(AND(M75&gt;0,O75=0),"Pension Income Amount Can Be Transferred","No Action")</f>
        <v/>
      </c>
    </row>
    <row r="76" ht="15.75" customHeight="1" thickBot="1">
      <c r="B76" s="667" t="inlineStr">
        <is>
          <t>Disability Amount</t>
        </is>
      </c>
      <c r="D76" t="inlineStr">
        <is>
          <t>Line 58440</t>
        </is>
      </c>
      <c r="E76" s="861">
        <f>IF(_xlfn.XLOOKUP(ClientNumber,Clients!D:D,Clients!CQJ:CQJ,2,0,1)=0,12239,(_xlfn.XLOOKUP(MainClient,Clients!D:D,Clients!CQJ:CQJ,2,0,1)))</f>
        <v/>
      </c>
      <c r="F76" s="37" t="inlineStr">
        <is>
          <t>Line 59070</t>
        </is>
      </c>
      <c r="G76" s="51">
        <f>IF(TransferName="NONE",0,(_xlfn.XLOOKUP(TransferNumber,Clients!D:D,Clients!CRN:CRN,2,0,1)))</f>
        <v/>
      </c>
      <c r="H76" s="37">
        <f>IF(AND(E76&gt;0,G76=0),"DTC Transferable Not Claimed Can Be Transferred","No Action")</f>
        <v/>
      </c>
      <c r="J76" s="667" t="inlineStr">
        <is>
          <t>Disability Amount</t>
        </is>
      </c>
      <c r="L76" t="inlineStr">
        <is>
          <t>Line 58440</t>
        </is>
      </c>
      <c r="M76" s="865">
        <f>IF(_xlfn.XLOOKUP(ClientNumber,Clients!D:D,Clients!DRE:DRE,2,0,1)=0,12011,(_xlfn.XLOOKUP(MainClient,Clients!D:D,Clients!DRE:DRE,2,0,1)))</f>
        <v/>
      </c>
      <c r="N76" s="37" t="inlineStr">
        <is>
          <t>Line 59070</t>
        </is>
      </c>
      <c r="O76" s="51">
        <f>IF(TransferName="NONE",0,(_xlfn.XLOOKUP(TransferNumber,Clients!D:D,Clients!DSI:DSI,2,0,1)))</f>
        <v/>
      </c>
      <c r="P76" s="37">
        <f>IF(AND(M76&gt;0,O76=0),"DTC Transferable Not Claimed Can Be Transferred","No Action")</f>
        <v/>
      </c>
    </row>
    <row r="77" ht="15.75" customHeight="1" thickBot="1">
      <c r="B77" s="667" t="inlineStr">
        <is>
          <t>Tuition Amount</t>
        </is>
      </c>
      <c r="D77" t="inlineStr">
        <is>
          <t>Line 59200</t>
        </is>
      </c>
      <c r="E77" s="861">
        <f>(_xlfn.XLOOKUP(ClientNumber,Clients!D:D,Clients!CRY:CRY,2,0,1))</f>
        <v/>
      </c>
      <c r="F77" s="37" t="inlineStr">
        <is>
          <t>Line 59090</t>
        </is>
      </c>
      <c r="G77" s="51">
        <f>IF(TransferName="NONE",0,(_xlfn.XLOOKUP(TransferNumber,Clients!D:D,Clients!CRO:CRO,2,0,1)))</f>
        <v/>
      </c>
      <c r="H77" s="37">
        <f>IF(AND(E77&gt;0,G77=0),"Tuition Can Be Transferred","No Action")</f>
        <v/>
      </c>
      <c r="J77" s="667" t="inlineStr">
        <is>
          <t>Tuition Amount</t>
        </is>
      </c>
      <c r="L77" t="inlineStr">
        <is>
          <t>Line 59200</t>
        </is>
      </c>
      <c r="M77" s="865">
        <f>(_xlfn.XLOOKUP(MainClient,Clients!D:D,Clients!DST:DST,2,0,1))</f>
        <v/>
      </c>
      <c r="N77" s="37" t="inlineStr">
        <is>
          <t>Line 59090</t>
        </is>
      </c>
      <c r="O77" s="51">
        <f>IF(TransferName="NONE",0,(_xlfn.XLOOKUP(TransferNumber,Clients!D:D,Clients!DSJ:DSJ,2,0,1)))</f>
        <v/>
      </c>
      <c r="P77" s="37">
        <f>IF(AND(M77&gt;0,O77=0),"Tuition Can Be Transferred","No Action")</f>
        <v/>
      </c>
    </row>
    <row r="78">
      <c r="B78" s="667" t="n"/>
      <c r="E78" s="771">
        <f>SUM(E74:E77)</f>
        <v/>
      </c>
      <c r="F78" s="37" t="n"/>
      <c r="G78" s="667">
        <f>SUM(G74:G77)</f>
        <v/>
      </c>
      <c r="H78" s="37" t="n"/>
      <c r="J78" s="667" t="n"/>
      <c r="M78" s="872">
        <f>SUM(M74:M77)</f>
        <v/>
      </c>
      <c r="N78" s="37" t="n"/>
      <c r="O78" s="667">
        <f>SUM(O74:O77)</f>
        <v/>
      </c>
      <c r="P78" s="37" t="n"/>
    </row>
    <row r="79">
      <c r="B79" s="667" t="n"/>
      <c r="C79" s="668" t="n"/>
      <c r="E79" s="771" t="n"/>
      <c r="F79" s="37" t="n"/>
      <c r="G79" s="668" t="n"/>
      <c r="H79" s="37" t="n"/>
      <c r="J79" s="667" t="n"/>
      <c r="K79" s="668" t="n"/>
      <c r="M79" s="872" t="n"/>
      <c r="N79" s="37" t="n"/>
      <c r="O79" s="668" t="n"/>
      <c r="P79" s="37" t="n"/>
    </row>
    <row r="80" ht="15.75" customHeight="1" thickBot="1">
      <c r="B80" s="34" t="n"/>
      <c r="F80" s="35" t="n"/>
      <c r="H80" s="35" t="n"/>
      <c r="J80" s="34" t="n"/>
      <c r="N80" s="35" t="n"/>
      <c r="P80" s="35" t="n"/>
    </row>
    <row r="81" ht="15.75" customHeight="1" thickBot="1">
      <c r="B81" s="667" t="inlineStr">
        <is>
          <t>Line 260</t>
        </is>
      </c>
      <c r="C81" s="36">
        <f>(_xlfn.XLOOKUP(MainClient,Clients!D:D,Clients!CHI:CHI,2,0,1))</f>
        <v/>
      </c>
      <c r="F81" s="35" t="n"/>
      <c r="G81" s="34">
        <f>IF(E104&gt;E76,"other transferable credits","DTC Only")</f>
        <v/>
      </c>
      <c r="H81" s="35" t="n"/>
      <c r="J81" s="667" t="inlineStr">
        <is>
          <t>Line 26000</t>
        </is>
      </c>
      <c r="K81" s="36">
        <f>(_xlfn.XLOOKUP(MainClient,Clients!D:D,Clients!DID:DID,2,0,1))</f>
        <v/>
      </c>
      <c r="N81" s="35" t="n"/>
      <c r="O81" s="34">
        <f>IF(M104&gt;M76,"other transferable credits","DTC Only")</f>
        <v/>
      </c>
      <c r="P81" s="35" t="n"/>
    </row>
    <row r="82" ht="15.75" customHeight="1" thickBot="1">
      <c r="B82" s="34" t="n"/>
      <c r="F82" s="35" t="n"/>
      <c r="G82" s="34" t="n"/>
      <c r="H82" s="35" t="n"/>
      <c r="J82" s="34" t="n"/>
      <c r="N82" s="35" t="n"/>
      <c r="O82" s="34" t="n"/>
      <c r="P82" s="35" t="n"/>
    </row>
    <row r="83" ht="15.75" customHeight="1" thickBot="1">
      <c r="B83" s="55" t="inlineStr">
        <is>
          <t>Line 58040</t>
        </is>
      </c>
      <c r="C83" s="36">
        <f>(_xlfn.XLOOKUP(ClientNumber,Clients!D:D,Clients!CPG:CPG,2,0,1))</f>
        <v/>
      </c>
      <c r="F83" s="35" t="n"/>
      <c r="G83" s="34" t="n"/>
      <c r="H83" s="35" t="n"/>
      <c r="J83" s="55" t="inlineStr">
        <is>
          <t>Line 58040</t>
        </is>
      </c>
      <c r="K83" s="36">
        <f>(_xlfn.XLOOKUP(MainClient,Clients!D:D,Clients!DQB:DQB,2,0,1))</f>
        <v/>
      </c>
      <c r="N83" s="35" t="n"/>
      <c r="O83" s="34" t="n"/>
      <c r="P83" s="35" t="n"/>
    </row>
    <row r="84" ht="15.75" customHeight="1" thickBot="1">
      <c r="B84" s="55" t="inlineStr">
        <is>
          <t>Line 58240</t>
        </is>
      </c>
      <c r="C84" s="36">
        <f>(_xlfn.XLOOKUP(ClientNumber,Clients!D:D,Clients!CHU:CHU,2,0,1))</f>
        <v/>
      </c>
      <c r="F84" s="35" t="n"/>
      <c r="G84" s="34" t="n"/>
      <c r="H84" s="35" t="n"/>
      <c r="J84" s="55" t="inlineStr">
        <is>
          <t>Line 58240</t>
        </is>
      </c>
      <c r="K84" s="36">
        <f>(_xlfn.XLOOKUP(MainClient,Clients!D:D,Clients!DQQ:DQQ,2,0,1))</f>
        <v/>
      </c>
      <c r="N84" s="35" t="n"/>
      <c r="O84" s="34" t="n"/>
      <c r="P84" s="35" t="n"/>
    </row>
    <row r="85" ht="15.75" customHeight="1" thickBot="1">
      <c r="B85" s="55" t="inlineStr">
        <is>
          <t>Line 58280</t>
        </is>
      </c>
      <c r="C85" s="36">
        <f>(_xlfn.XLOOKUP(ClientNumber,Clients!D:D,Clients!CHV:CHV,2,0,1))</f>
        <v/>
      </c>
      <c r="F85" s="35" t="n"/>
      <c r="G85" s="34" t="n"/>
      <c r="H85" s="35" t="n"/>
      <c r="J85" s="55" t="inlineStr">
        <is>
          <t>Line 58280</t>
        </is>
      </c>
      <c r="K85" s="36">
        <f>(_xlfn.XLOOKUP(MainClient,Clients!D:D,Clients!DQR:DQR,2,0,1))</f>
        <v/>
      </c>
      <c r="N85" s="35" t="n"/>
      <c r="P85" s="35" t="n"/>
    </row>
    <row r="86" ht="15.75" customHeight="1" thickBot="1">
      <c r="B86" s="55" t="inlineStr">
        <is>
          <t>Line 58300</t>
        </is>
      </c>
      <c r="C86" s="36">
        <f>(_xlfn.XLOOKUP(ClientNumber,Clients!D:D,Clients!CHW:CHW,2,0,1))</f>
        <v/>
      </c>
      <c r="F86" s="35" t="n"/>
      <c r="G86" s="34" t="n"/>
      <c r="H86" s="35" t="n"/>
      <c r="J86" s="55" t="inlineStr">
        <is>
          <t>Line 58300</t>
        </is>
      </c>
      <c r="K86" s="36">
        <f>(_xlfn.XLOOKUP(MainClient,Clients!D:D,Clients!DQS:DQS,2,0,1))</f>
        <v/>
      </c>
      <c r="N86" s="35" t="n"/>
      <c r="O86" s="34" t="n"/>
      <c r="P86" s="35" t="n"/>
    </row>
    <row r="87" ht="15.75" customHeight="1" thickBot="1">
      <c r="B87" s="55" t="inlineStr">
        <is>
          <t>Line 58305</t>
        </is>
      </c>
      <c r="C87" s="36">
        <f>(_xlfn.XLOOKUP(ClientNumber,Clients!D:D,Clients!CIA:CIA,2,0,1))</f>
        <v/>
      </c>
      <c r="F87" s="35" t="n"/>
      <c r="G87" s="34" t="n"/>
      <c r="H87" s="35" t="n"/>
      <c r="J87" s="55" t="inlineStr">
        <is>
          <t>Line 58305</t>
        </is>
      </c>
      <c r="K87" s="36">
        <f>(_xlfn.XLOOKUP(MainClient,Clients!D:D,Clients!DQT:DQT,2,0,1))</f>
        <v/>
      </c>
      <c r="N87" s="35" t="n"/>
      <c r="O87" s="34" t="n"/>
      <c r="P87" s="35" t="n"/>
    </row>
    <row r="88" ht="15.75" customHeight="1" thickBot="1">
      <c r="B88" s="55" t="inlineStr">
        <is>
          <t>Line 58560</t>
        </is>
      </c>
      <c r="C88" s="36">
        <f>(_xlfn.XLOOKUP(ClientNumber,Clients!D:D,Clients!CQN:CQN,2,0,1))</f>
        <v/>
      </c>
      <c r="F88" s="35" t="n"/>
      <c r="G88" s="34" t="n"/>
      <c r="H88" s="35" t="n"/>
      <c r="J88" s="55" t="inlineStr">
        <is>
          <t>Line 58560</t>
        </is>
      </c>
      <c r="K88" s="36">
        <f>(_xlfn.XLOOKUP(MainClient,Clients!D:D,Clients!DRI:DRI,2,0,1))</f>
        <v/>
      </c>
      <c r="N88" s="35" t="n"/>
      <c r="O88" s="34" t="n"/>
      <c r="P88" s="35" t="n"/>
    </row>
    <row r="89" ht="15.75" customHeight="1" thickBot="1">
      <c r="B89" s="55" t="n"/>
      <c r="C89" s="36" t="n"/>
      <c r="F89" s="35" t="n"/>
      <c r="G89" s="34" t="n"/>
      <c r="H89" s="35" t="n"/>
      <c r="J89" s="55" t="n"/>
      <c r="K89" s="36" t="n"/>
      <c r="N89" s="35" t="n"/>
      <c r="O89" s="34" t="n"/>
      <c r="P89" s="35" t="n"/>
    </row>
    <row r="90" ht="15.75" customHeight="1" thickBot="1">
      <c r="B90" s="55" t="n"/>
      <c r="C90" s="36" t="n"/>
      <c r="F90" s="35" t="n"/>
      <c r="G90" s="34" t="n"/>
      <c r="H90" s="35" t="n"/>
      <c r="J90" s="55" t="n"/>
      <c r="K90" s="36" t="n"/>
      <c r="N90" s="35" t="n"/>
      <c r="O90" s="34" t="n"/>
      <c r="P90" s="35" t="n"/>
    </row>
    <row r="91" ht="15.75" customHeight="1" thickBot="1">
      <c r="B91" s="55" t="n"/>
      <c r="C91" s="36" t="n"/>
      <c r="F91" s="35" t="n"/>
      <c r="G91" s="34" t="n"/>
      <c r="H91" s="35" t="n"/>
      <c r="J91" s="55" t="n"/>
      <c r="K91" s="36" t="n"/>
      <c r="N91" s="35" t="n"/>
      <c r="O91" s="34" t="n"/>
      <c r="P91" s="35" t="n"/>
    </row>
    <row r="92" ht="15.75" customHeight="1" thickBot="1">
      <c r="B92" s="55" t="n"/>
      <c r="C92" s="36" t="n"/>
      <c r="F92" s="35" t="n"/>
      <c r="G92" s="34" t="n"/>
      <c r="H92" s="35" t="n"/>
      <c r="J92" s="55" t="n"/>
      <c r="K92" s="36" t="n"/>
      <c r="N92" s="35" t="n"/>
      <c r="O92" s="34" t="n"/>
      <c r="P92" s="35" t="n"/>
    </row>
    <row r="93" ht="15.75" customHeight="1" thickBot="1">
      <c r="B93" s="55" t="n"/>
      <c r="C93" s="36" t="n"/>
      <c r="F93" s="35" t="n"/>
      <c r="G93" s="34" t="inlineStr">
        <is>
          <t>Line 32600</t>
        </is>
      </c>
      <c r="H93" s="35">
        <f>IF(TransferName="NONE",0,(_xlfn.XLOOKUP(TransferNumber,Clients!D:D,Clients!CIH:CIH,2,0,1)))</f>
        <v/>
      </c>
      <c r="J93" s="55" t="n"/>
      <c r="K93" s="36" t="n"/>
      <c r="N93" s="35" t="n"/>
      <c r="O93" s="34" t="inlineStr">
        <is>
          <t>Line 326</t>
        </is>
      </c>
      <c r="P93" s="35">
        <f>IFERROR(_xlfn.XLOOKUP(TransferNumber,Clients!D:D,Clients!FJZ:FJZ,2,0,1),0)</f>
        <v/>
      </c>
    </row>
    <row r="94" ht="15.75" customHeight="1" thickBot="1">
      <c r="B94" s="38" t="n"/>
      <c r="C94" s="36" t="n"/>
      <c r="F94" s="35" t="n"/>
      <c r="G94" s="34" t="n"/>
      <c r="H94" s="35" t="n"/>
      <c r="J94" s="38" t="n"/>
      <c r="K94" s="36" t="n"/>
      <c r="N94" s="35" t="n"/>
      <c r="O94" s="34" t="n"/>
      <c r="P94" s="35" t="n"/>
    </row>
    <row r="95" ht="15.75" customHeight="1" thickBot="1">
      <c r="B95" s="38" t="n"/>
      <c r="C95" s="36" t="n"/>
      <c r="F95" s="35" t="n"/>
      <c r="G95" s="34" t="n"/>
      <c r="H95" s="35" t="n"/>
      <c r="J95" s="38" t="n"/>
      <c r="K95" s="36" t="n"/>
      <c r="N95" s="35" t="n"/>
      <c r="O95" s="34" t="n"/>
      <c r="P95" s="35" t="n"/>
    </row>
    <row r="96" ht="15.75" customHeight="1" thickBot="1">
      <c r="B96" s="38" t="n"/>
      <c r="C96" s="36" t="n"/>
      <c r="F96" s="35" t="n"/>
      <c r="G96" s="34" t="n"/>
      <c r="H96" s="35" t="n"/>
      <c r="J96" s="38" t="n"/>
      <c r="K96" s="36" t="n"/>
      <c r="N96" s="35" t="n"/>
      <c r="O96" s="34" t="n"/>
      <c r="P96" s="35" t="n"/>
    </row>
    <row r="97" ht="15.75" customHeight="1" thickBot="1">
      <c r="B97" s="38" t="n"/>
      <c r="C97" s="36" t="n"/>
      <c r="F97" s="35" t="n"/>
      <c r="G97" s="34" t="n"/>
      <c r="H97" s="35">
        <f>IF(E102&gt;0,E78-G78,0)</f>
        <v/>
      </c>
      <c r="J97" s="38" t="n"/>
      <c r="K97" s="36" t="n"/>
      <c r="N97" s="35" t="n"/>
      <c r="O97" s="34" t="n"/>
      <c r="P97" s="35">
        <f>IF(M102&gt;0,M78-O78,0)</f>
        <v/>
      </c>
    </row>
    <row r="98" ht="15.75" customHeight="1" thickBot="1">
      <c r="B98" s="38" t="n"/>
      <c r="C98" s="36" t="n"/>
      <c r="F98" s="35" t="n"/>
      <c r="H98" s="52">
        <f>IF(TransferName="NONE",F103,IF(H97&gt;0,(E102-G78)*0.059,0))</f>
        <v/>
      </c>
      <c r="J98" s="38" t="n"/>
      <c r="K98" s="36" t="n"/>
      <c r="N98" s="35" t="n"/>
      <c r="P98" s="52">
        <f>IF(TransferName="NONE",N103,IF(P97&gt;0,(M102-O78)*0.059,0))</f>
        <v/>
      </c>
    </row>
    <row r="99">
      <c r="B99" s="667" t="n"/>
      <c r="F99" s="35" t="n"/>
      <c r="G99" s="34" t="inlineStr">
        <is>
          <t>Transferable</t>
        </is>
      </c>
      <c r="H99" s="52">
        <f>IF(H98&gt;0,H98,0)</f>
        <v/>
      </c>
      <c r="J99" s="667" t="n"/>
      <c r="N99" s="35" t="n"/>
      <c r="O99" s="34" t="inlineStr">
        <is>
          <t>Transferable</t>
        </is>
      </c>
      <c r="P99" s="52">
        <f>IF(P98&gt;0,P98,0)</f>
        <v/>
      </c>
    </row>
    <row r="100">
      <c r="B100" s="667" t="inlineStr">
        <is>
          <t>Adjusted Taxable Income</t>
        </is>
      </c>
      <c r="C100">
        <f>C81-(SUM(C83:C98))</f>
        <v/>
      </c>
      <c r="D100" s="13" t="inlineStr">
        <is>
          <t>Line 5864</t>
        </is>
      </c>
      <c r="E100" s="39">
        <f>IF(C100&gt;0,C100,0)</f>
        <v/>
      </c>
      <c r="F100" s="35" t="n"/>
      <c r="G100" s="34" t="n"/>
      <c r="H100" s="35" t="n"/>
      <c r="J100" s="667" t="inlineStr">
        <is>
          <t>Adjusted Taxable Income</t>
        </is>
      </c>
      <c r="K100">
        <f>K81-(SUM(K83:K98))</f>
        <v/>
      </c>
      <c r="L100" s="13" t="inlineStr">
        <is>
          <t>Line 5864</t>
        </is>
      </c>
      <c r="M100" s="39">
        <f>IF(K100&gt;0,K100,0)</f>
        <v/>
      </c>
      <c r="N100" s="35" t="n"/>
      <c r="O100" s="34" t="n"/>
      <c r="P100" s="35" t="n"/>
    </row>
    <row r="101" ht="15.75" customHeight="1" thickBot="1">
      <c r="B101" s="34" t="n"/>
      <c r="F101" s="35" t="n"/>
      <c r="G101" s="34" t="n"/>
      <c r="H101" s="35" t="n"/>
      <c r="J101" s="34" t="n"/>
      <c r="N101" s="35" t="n"/>
      <c r="O101" s="34" t="n"/>
      <c r="P101" s="35" t="n"/>
    </row>
    <row r="102" ht="15.75" customHeight="1" thickBot="1">
      <c r="B102" s="34" t="n"/>
      <c r="D102" s="21" t="inlineStr">
        <is>
          <t>Prov Trans</t>
        </is>
      </c>
      <c r="E102" s="36">
        <f>(E78-E100)</f>
        <v/>
      </c>
      <c r="F102" s="40" t="n"/>
      <c r="G102" s="34" t="n"/>
      <c r="H102" s="52" t="n"/>
      <c r="J102" s="34" t="n"/>
      <c r="L102" s="21" t="inlineStr">
        <is>
          <t>Prov Trans</t>
        </is>
      </c>
      <c r="M102" s="36">
        <f>(M78-M100)</f>
        <v/>
      </c>
      <c r="N102" s="40" t="n"/>
      <c r="O102" s="34" t="n"/>
      <c r="P102" s="52" t="n"/>
    </row>
    <row r="103" ht="15.75" customHeight="1" thickBot="1">
      <c r="B103" s="34" t="n"/>
      <c r="C103" s="579" t="inlineStr">
        <is>
          <t>DTC Transferable ESTIMATE</t>
        </is>
      </c>
      <c r="D103" s="35" t="n"/>
      <c r="E103" s="36">
        <f>IF(E102&lt;0,0,(IF(E102&gt;E76,E76,E102)))</f>
        <v/>
      </c>
      <c r="F103" s="40">
        <f>IF(E103&gt;0,E103*0.059,"No Transfer Required")</f>
        <v/>
      </c>
      <c r="G103" s="678" t="n"/>
      <c r="H103" s="52" t="n"/>
      <c r="J103" s="34" t="n"/>
      <c r="K103" s="579" t="inlineStr">
        <is>
          <t>DTC Transferable ESTIMATE</t>
        </is>
      </c>
      <c r="L103" s="35" t="n"/>
      <c r="M103" s="36">
        <f>IF(M102&lt;0,0,(IF(M102&gt;M76,M76,M102)))</f>
        <v/>
      </c>
      <c r="N103" s="40">
        <f>IF(M103&gt;0,M103*0.059,"No Transfer Required")</f>
        <v/>
      </c>
      <c r="O103" s="58" t="n"/>
      <c r="P103" s="52" t="n"/>
    </row>
    <row r="104" ht="15.75" customHeight="1" thickBot="1">
      <c r="B104" s="42" t="n"/>
      <c r="C104" s="41" t="n"/>
      <c r="D104" s="43" t="inlineStr">
        <is>
          <t>Net Transferable</t>
        </is>
      </c>
      <c r="E104" s="36">
        <f>IF(E102&lt;0,0,(IF(E102-G74-G75-G77&lt;0,E102,(E102-G74-G75-G77))))</f>
        <v/>
      </c>
      <c r="F104" s="57">
        <f>IF(E104&gt;0,E104*0.059,"0")</f>
        <v/>
      </c>
      <c r="G104" s="42" t="n"/>
      <c r="H104" s="864" t="n"/>
      <c r="J104" s="42" t="n"/>
      <c r="K104" s="41" t="n"/>
      <c r="L104" s="43" t="inlineStr">
        <is>
          <t>Net Transferable</t>
        </is>
      </c>
      <c r="M104" s="36">
        <f>IF(M102&lt;0,0,(IF(M102-O74-O75-O77&lt;0,M102,(M102-O74-O75-O77))))</f>
        <v/>
      </c>
      <c r="N104" s="57">
        <f>IF(M104&gt;0,M104*0.059,"0")</f>
        <v/>
      </c>
      <c r="O104" s="59" t="n"/>
      <c r="P104" s="864" t="n"/>
    </row>
    <row r="106" ht="15.75" customHeight="1" thickBot="1">
      <c r="E106">
        <f>Calculator!$D$5</f>
        <v/>
      </c>
      <c r="H106">
        <f>TransferName</f>
        <v/>
      </c>
      <c r="M106">
        <f>Calculator!$D$5</f>
        <v/>
      </c>
      <c r="P106">
        <f>TransferName</f>
        <v/>
      </c>
    </row>
    <row r="107" ht="15.75" customHeight="1" thickBot="1">
      <c r="B107" s="877" t="inlineStr">
        <is>
          <t>2018 NORTHWEST TERRITORIES Provincial</t>
        </is>
      </c>
      <c r="C107" s="778" t="n"/>
      <c r="D107" s="778" t="n"/>
      <c r="E107" s="778" t="n"/>
      <c r="F107" s="778" t="n"/>
      <c r="G107" s="778" t="n"/>
      <c r="H107" s="780" t="n"/>
      <c r="J107" s="877" t="inlineStr">
        <is>
          <t>2017 NORTHWEST TERRITORIES Provincial</t>
        </is>
      </c>
      <c r="K107" s="778" t="n"/>
      <c r="L107" s="778" t="n"/>
      <c r="M107" s="778" t="n"/>
      <c r="N107" s="778" t="n"/>
      <c r="O107" s="778" t="n"/>
      <c r="P107" s="780" t="n"/>
    </row>
    <row r="108" ht="15.75" customHeight="1" thickBot="1">
      <c r="B108" s="34" t="n"/>
      <c r="D108" t="inlineStr">
        <is>
          <t>Line</t>
        </is>
      </c>
      <c r="E108" t="inlineStr">
        <is>
          <t>Amt</t>
        </is>
      </c>
      <c r="F108" s="35" t="n"/>
      <c r="G108" s="667" t="inlineStr">
        <is>
          <t>Spouse</t>
        </is>
      </c>
      <c r="H108" s="35" t="inlineStr">
        <is>
          <t>S2 Adjustment</t>
        </is>
      </c>
      <c r="J108" s="34" t="n"/>
      <c r="L108" t="inlineStr">
        <is>
          <t>Line</t>
        </is>
      </c>
      <c r="M108" t="inlineStr">
        <is>
          <t>Amt</t>
        </is>
      </c>
      <c r="N108" s="35" t="n"/>
      <c r="O108" s="34" t="inlineStr">
        <is>
          <t>Spouse</t>
        </is>
      </c>
      <c r="P108" s="35" t="inlineStr">
        <is>
          <t>S2 Adjustment</t>
        </is>
      </c>
    </row>
    <row r="109" ht="15.75" customHeight="1" thickBot="1">
      <c r="B109" s="667" t="inlineStr">
        <is>
          <t>Age Amount</t>
        </is>
      </c>
      <c r="D109" t="inlineStr">
        <is>
          <t>Line 5808</t>
        </is>
      </c>
      <c r="E109" s="861">
        <f>(_xlfn.XLOOKUP(ClientNumber,Clients!D:D,Clients!EQZ:EQZ,2,0,1))</f>
        <v/>
      </c>
      <c r="F109" s="37" t="inlineStr">
        <is>
          <t>Line 59020</t>
        </is>
      </c>
      <c r="G109" s="51">
        <f>IF(TransferName="NONE",0,(_xlfn.XLOOKUP(TransferNumber,Clients!D:D,Clients!ETB:ETB,2,0,1)))</f>
        <v/>
      </c>
      <c r="H109" s="37">
        <f>IF(AND(E109&gt;0,G109=0),"Age Amount Can Be Transferred","No Action")</f>
        <v/>
      </c>
      <c r="J109" s="667" t="inlineStr">
        <is>
          <t>Age Amount</t>
        </is>
      </c>
      <c r="L109" t="inlineStr">
        <is>
          <t>Line 5808</t>
        </is>
      </c>
      <c r="M109" s="865">
        <f>(_xlfn.XLOOKUP(MainClient,Clients!D:D,Clients!FRB:FRB,2,0,1))</f>
        <v/>
      </c>
      <c r="N109" s="45" t="inlineStr">
        <is>
          <t>Line 59020</t>
        </is>
      </c>
      <c r="O109" s="51">
        <f>IF(TransferName="NONE",0,(_xlfn.XLOOKUP(TransferNumber,Clients!D:D,Clients!FTD:FTD,2,0,1)))</f>
        <v/>
      </c>
      <c r="P109" s="37">
        <f>IF(AND(M109&gt;0,O109=0),"Age Amount Can Be Transferred","No Action")</f>
        <v/>
      </c>
    </row>
    <row r="110" ht="15.75" customHeight="1" thickBot="1">
      <c r="B110" s="667" t="inlineStr">
        <is>
          <t>Pension Income Amount</t>
        </is>
      </c>
      <c r="D110" t="inlineStr">
        <is>
          <t>Line 5836 (mx 1000)</t>
        </is>
      </c>
      <c r="E110" s="861">
        <f>IF((_xlfn.XLOOKUP(ClientNumber,Clients!D:D,Clients!ERZ:ERZ,2,0,1)&lt;1000),(_xlfn.XLOOKUP(MainClient,Clients!D:D,Clients!ERZ:ERZ,2,0,1)),1000)</f>
        <v/>
      </c>
      <c r="F110" s="37" t="inlineStr">
        <is>
          <t>Line 59050</t>
        </is>
      </c>
      <c r="G110" s="51">
        <f>IF(TransferName="NONE",0,(_xlfn.XLOOKUP(TransferNumber,Clients!D:D,Clients!ETE:ETE,2,0,1)))</f>
        <v/>
      </c>
      <c r="H110" s="37">
        <f>IF(AND(E110&gt;0,G110=0),"Pension Income Amount Can Be Transferred","No Action")</f>
        <v/>
      </c>
      <c r="J110" s="667" t="inlineStr">
        <is>
          <t>Pension Income Amount</t>
        </is>
      </c>
      <c r="L110" t="inlineStr">
        <is>
          <t>Line 5836 (mx 1000)</t>
        </is>
      </c>
      <c r="M110" s="865">
        <f>IF((_xlfn.XLOOKUP(ClientNumber,Clients!D:D,Clients!FSB:FSB,2,0,1)&lt;1000),(_xlfn.XLOOKUP(MainClient,Clients!D:D,Clients!FSB:FSB,2,0,1)),1000)</f>
        <v/>
      </c>
      <c r="N110" s="45" t="inlineStr">
        <is>
          <t>Line 59050</t>
        </is>
      </c>
      <c r="O110" s="51">
        <f>IF(TransferName="NONE",0,(_xlfn.XLOOKUP(TransferNumber,Clients!D:D,Clients!FTG:FTG,2,0,1)))</f>
        <v/>
      </c>
      <c r="P110" s="37">
        <f>IF(AND(M110&gt;0,O110=0),"Pension Income Amount Can Be Transferred","No Action")</f>
        <v/>
      </c>
    </row>
    <row r="111" ht="15.75" customHeight="1" thickBot="1">
      <c r="B111" s="667" t="inlineStr">
        <is>
          <t>Disability Amount</t>
        </is>
      </c>
      <c r="D111" t="inlineStr">
        <is>
          <t xml:space="preserve">Line 5844 </t>
        </is>
      </c>
      <c r="E111" s="861">
        <f>IF(_xlfn.XLOOKUP(ClientNumber,Clients!D:D,Clients!ESB:ESB,2,0,1)=0,11753,(_xlfn.XLOOKUP(MainClient,Clients!D:D,Clients!ESB:ESB,2,0,1)))</f>
        <v/>
      </c>
      <c r="F111" s="37" t="inlineStr">
        <is>
          <t>Line 59070</t>
        </is>
      </c>
      <c r="G111" s="51">
        <f>IF(TransferName="NONE",0,(_xlfn.XLOOKUP(TransferNumber,Clients!D:D,Clients!ETF:ETF,2,0,1)))</f>
        <v/>
      </c>
      <c r="H111" s="37">
        <f>IF(AND(E111&gt;0,G111=0),"DTC Transferable Not Claimed Can Be Transferred","No Action")</f>
        <v/>
      </c>
      <c r="J111" s="667" t="inlineStr">
        <is>
          <t>Disability Amount</t>
        </is>
      </c>
      <c r="L111" t="inlineStr">
        <is>
          <t xml:space="preserve">Line 5844 </t>
        </is>
      </c>
      <c r="M111" s="865">
        <f>IF(_xlfn.XLOOKUP(ClientNumber,Clients!D:D,Clients!FSD:FSD,2,0,1)=0,11579,(_xlfn.XLOOKUP(MainClient,Clients!D:D,Clients!FSD:FSD,2,0,1)))</f>
        <v/>
      </c>
      <c r="N111" s="45" t="inlineStr">
        <is>
          <t>Line 59070</t>
        </is>
      </c>
      <c r="O111" s="51">
        <f>IF(TransferName="NONE",0,(_xlfn.XLOOKUP(TransferNumber,Clients!D:D,Clients!FTH:FTH,2,0,1)))</f>
        <v/>
      </c>
      <c r="P111" s="37">
        <f>IF(AND(M111&gt;0,O111=0),"DTC Transferable Not Claimed Can Be Transferred","No Action")</f>
        <v/>
      </c>
    </row>
    <row r="112" ht="15.75" customHeight="1" thickBot="1">
      <c r="B112" s="667" t="inlineStr">
        <is>
          <t>Tuition Amount</t>
        </is>
      </c>
      <c r="D112" t="inlineStr">
        <is>
          <t>Line 5920</t>
        </is>
      </c>
      <c r="E112" s="861">
        <f>(_xlfn.XLOOKUP(ClientNumber,Clients!D:D,Clients!ETP:ETP,2,0,1))</f>
        <v/>
      </c>
      <c r="F112" s="37" t="inlineStr">
        <is>
          <t>Line 59090</t>
        </is>
      </c>
      <c r="G112" s="51">
        <f>IF(TransferName="NONE",0,(_xlfn.XLOOKUP(TransferNumber,Clients!D:D,Clients!ETG:ETG,2,0,1)))</f>
        <v/>
      </c>
      <c r="H112" s="37">
        <f>IF(AND(E112&gt;0,G112=0),"Tuition Can Be Transferred","No Action")</f>
        <v/>
      </c>
      <c r="J112" s="667" t="inlineStr">
        <is>
          <t>Tuition Amount</t>
        </is>
      </c>
      <c r="L112" t="inlineStr">
        <is>
          <t>Line 5920</t>
        </is>
      </c>
      <c r="M112" s="865">
        <f>(_xlfn.XLOOKUP(MainClient,Clients!D:D,Clients!FTT:FTT,2,0,1))</f>
        <v/>
      </c>
      <c r="N112" s="45" t="inlineStr">
        <is>
          <t>Line 59090</t>
        </is>
      </c>
      <c r="O112" s="51">
        <f>IF(TransferName="NONE",0,(_xlfn.XLOOKUP(TransferNumber,Clients!D:D,Clients!FTI:FTI,2,0,1)))</f>
        <v/>
      </c>
      <c r="P112" s="37">
        <f>IF(AND(M112&gt;0,O112=0),"Tuition Can Be Transferred","No Action")</f>
        <v/>
      </c>
    </row>
    <row r="113">
      <c r="B113" s="667" t="n"/>
      <c r="E113" s="771">
        <f>SUM(E109:E112)</f>
        <v/>
      </c>
      <c r="F113" s="37" t="n"/>
      <c r="G113" s="667">
        <f>SUM(G109:G112)</f>
        <v/>
      </c>
      <c r="H113" s="37" t="n"/>
      <c r="J113" s="667" t="n"/>
      <c r="M113" s="872">
        <f>SUM(M109:M112)</f>
        <v/>
      </c>
      <c r="N113" s="37" t="n"/>
      <c r="O113" s="667">
        <f>SUM(O109:O112)</f>
        <v/>
      </c>
      <c r="P113" s="37" t="n"/>
    </row>
    <row r="114">
      <c r="B114" s="667" t="n"/>
      <c r="C114" s="668" t="n"/>
      <c r="E114" s="771" t="n"/>
      <c r="F114" s="37" t="n"/>
      <c r="G114" s="668" t="n"/>
      <c r="H114" s="37" t="n"/>
      <c r="J114" s="667" t="n"/>
      <c r="K114" s="668" t="n"/>
      <c r="M114" s="872" t="n"/>
      <c r="N114" s="37" t="n"/>
      <c r="O114" s="668" t="n"/>
      <c r="P114" s="37" t="n"/>
    </row>
    <row r="115" ht="15.75" customHeight="1" thickBot="1">
      <c r="B115" s="34" t="n"/>
      <c r="F115" s="35" t="n"/>
      <c r="H115" s="35" t="n"/>
      <c r="J115" s="34" t="n"/>
      <c r="N115" s="35" t="n"/>
      <c r="P115" s="35" t="n"/>
    </row>
    <row r="116" ht="15.75" customHeight="1" thickBot="1">
      <c r="B116" s="667" t="inlineStr">
        <is>
          <t>Line 260</t>
        </is>
      </c>
      <c r="C116" s="36">
        <f>(_xlfn.XLOOKUP(MainClient,Clients!D:D,Clients!EIY:EIY,2,0,1))</f>
        <v/>
      </c>
      <c r="F116" s="35" t="n"/>
      <c r="G116" s="34">
        <f>IF(E139&gt;E111,"other transferable credits","DTC Only")</f>
        <v/>
      </c>
      <c r="H116" s="35" t="n"/>
      <c r="J116" s="667" t="inlineStr">
        <is>
          <t>Line 260</t>
        </is>
      </c>
      <c r="K116" s="36">
        <f>(_xlfn.XLOOKUP(MainClient,Clients!D:D,Clients!FJA:FJA,2,0,1))</f>
        <v/>
      </c>
      <c r="N116" s="35" t="n"/>
      <c r="O116" s="34">
        <f>IF(M139&gt;M111,"other transferable credits","DTC Only")</f>
        <v/>
      </c>
      <c r="P116" s="35" t="n"/>
    </row>
    <row r="117" ht="15.75" customHeight="1" thickBot="1">
      <c r="B117" s="34" t="n"/>
      <c r="F117" s="35" t="n"/>
      <c r="G117" s="34" t="n"/>
      <c r="H117" s="35" t="n"/>
      <c r="J117" s="34" t="n"/>
      <c r="N117" s="35" t="n"/>
      <c r="O117" s="34" t="n"/>
      <c r="P117" s="35" t="n"/>
    </row>
    <row r="118" ht="15.75" customHeight="1" thickBot="1">
      <c r="B118" s="55" t="inlineStr">
        <is>
          <t>Line 5804</t>
        </is>
      </c>
      <c r="C118" s="36">
        <f>(_xlfn.XLOOKUP(ClientNumber,Clients!D:D,Clients!EQY:EQY,2,0,1))</f>
        <v/>
      </c>
      <c r="F118" s="35" t="n"/>
      <c r="G118" s="34" t="n"/>
      <c r="H118" s="35" t="n"/>
      <c r="J118" s="55" t="inlineStr">
        <is>
          <t>Line 5804</t>
        </is>
      </c>
      <c r="K118" s="36">
        <f>(_xlfn.XLOOKUP(MainClient,Clients!D:D,Clients!FRA:FRA,2,0,1))</f>
        <v/>
      </c>
      <c r="N118" s="35" t="n"/>
      <c r="O118" s="34" t="n"/>
      <c r="P118" s="35" t="n"/>
    </row>
    <row r="119" ht="15.75" customHeight="1" thickBot="1">
      <c r="B119" s="55" t="inlineStr">
        <is>
          <t>Line 5824</t>
        </is>
      </c>
      <c r="C119" s="36">
        <f>(_xlfn.XLOOKUP(ClientNumber,Clients!D:D,Clients!ERN:ERN,2,0,1))</f>
        <v/>
      </c>
      <c r="F119" s="35" t="n"/>
      <c r="G119" s="34" t="n"/>
      <c r="H119" s="35" t="n"/>
      <c r="J119" s="55" t="inlineStr">
        <is>
          <t>Line 5824</t>
        </is>
      </c>
      <c r="K119" s="36">
        <f>(_xlfn.XLOOKUP(MainClient,Clients!D:D,Clients!FRP:FRP,2,0,1))</f>
        <v/>
      </c>
      <c r="N119" s="35" t="n"/>
      <c r="O119" s="34" t="n"/>
      <c r="P119" s="35" t="n"/>
    </row>
    <row r="120" ht="15.75" customHeight="1" thickBot="1">
      <c r="B120" s="55" t="inlineStr">
        <is>
          <t>Line 5828</t>
        </is>
      </c>
      <c r="C120" s="36">
        <f>(_xlfn.XLOOKUP(ClientNumber,Clients!D:D,Clients!ERO:ERO,2,0,1))</f>
        <v/>
      </c>
      <c r="F120" s="35" t="n"/>
      <c r="G120" s="34" t="n"/>
      <c r="H120" s="35" t="n"/>
      <c r="J120" s="55" t="inlineStr">
        <is>
          <t>Line 5828</t>
        </is>
      </c>
      <c r="K120" s="36">
        <f>(_xlfn.XLOOKUP(MainClient,Clients!D:D,Clients!FRQ:FRQ,2,0,1))</f>
        <v/>
      </c>
      <c r="N120" s="35" t="n"/>
      <c r="P120" s="35" t="n"/>
    </row>
    <row r="121" ht="15.75" customHeight="1" thickBot="1">
      <c r="B121" s="55" t="inlineStr">
        <is>
          <t>Line 5832</t>
        </is>
      </c>
      <c r="C121" s="36">
        <f>(_xlfn.XLOOKUP(ClientNumber,Clients!D:D,Clients!ERP:ERP,2,0,1))</f>
        <v/>
      </c>
      <c r="F121" s="35" t="n"/>
      <c r="G121" s="34" t="n"/>
      <c r="H121" s="35" t="n"/>
      <c r="J121" s="55" t="inlineStr">
        <is>
          <t>Line 5832</t>
        </is>
      </c>
      <c r="K121" s="36">
        <f>(_xlfn.XLOOKUP(MainClient,Clients!D:D,Clients!FRR:FRR,2,0,1))</f>
        <v/>
      </c>
      <c r="N121" s="35" t="n"/>
      <c r="O121" s="34" t="n"/>
      <c r="P121" s="35" t="n"/>
    </row>
    <row r="122" ht="15.75" customHeight="1" thickBot="1">
      <c r="B122" s="55" t="inlineStr">
        <is>
          <t>Line 5829</t>
        </is>
      </c>
      <c r="C122" s="36">
        <f>(_xlfn.XLOOKUP(ClientNumber,Clients!D:D,Clients!ERQ:ERQ,2,0,1))</f>
        <v/>
      </c>
      <c r="F122" s="35" t="n"/>
      <c r="G122" s="34" t="n"/>
      <c r="H122" s="35" t="n"/>
      <c r="J122" s="55" t="inlineStr">
        <is>
          <t>Line 5829</t>
        </is>
      </c>
      <c r="K122" s="36">
        <f>(_xlfn.XLOOKUP(MainClient,Clients!D:D,Clients!FRS:FRS,2,0,1))</f>
        <v/>
      </c>
      <c r="N122" s="35" t="n"/>
      <c r="O122" s="34" t="n"/>
      <c r="P122" s="35" t="n"/>
    </row>
    <row r="123" ht="15.75" customHeight="1" thickBot="1">
      <c r="B123" s="55" t="inlineStr">
        <is>
          <t>Line 5856</t>
        </is>
      </c>
      <c r="C123" s="36">
        <f>(_xlfn.XLOOKUP(ClientNumber,Clients!D:D,Clients!ESF:ESF,2,0,1))</f>
        <v/>
      </c>
      <c r="F123" s="35" t="n"/>
      <c r="G123" s="34" t="n"/>
      <c r="H123" s="35" t="n"/>
      <c r="J123" s="55" t="inlineStr">
        <is>
          <t>Line 5856</t>
        </is>
      </c>
      <c r="K123" s="36">
        <f>(_xlfn.XLOOKUP(MainClient,Clients!D:D,Clients!FSH:FSH,2,0,1))</f>
        <v/>
      </c>
      <c r="N123" s="35" t="n"/>
      <c r="O123" s="34" t="n"/>
      <c r="P123" s="35" t="n"/>
    </row>
    <row r="124" ht="15.75" customHeight="1" thickBot="1">
      <c r="B124" s="55" t="n"/>
      <c r="C124" s="36" t="n"/>
      <c r="F124" s="35" t="n"/>
      <c r="G124" s="34" t="n"/>
      <c r="H124" s="35" t="n"/>
      <c r="J124" s="55" t="n"/>
      <c r="K124" s="36" t="n"/>
      <c r="N124" s="35" t="n"/>
      <c r="O124" s="34" t="n"/>
      <c r="P124" s="35" t="n"/>
    </row>
    <row r="125" ht="15.75" customHeight="1" thickBot="1">
      <c r="B125" s="55" t="n"/>
      <c r="C125" s="36" t="n"/>
      <c r="F125" s="35" t="n"/>
      <c r="G125" s="34" t="n"/>
      <c r="H125" s="35" t="n"/>
      <c r="J125" s="55" t="n"/>
      <c r="K125" s="36" t="n"/>
      <c r="N125" s="35" t="n"/>
      <c r="O125" s="34" t="n"/>
      <c r="P125" s="35" t="n"/>
    </row>
    <row r="126" ht="15.75" customHeight="1" thickBot="1">
      <c r="B126" s="55" t="n"/>
      <c r="C126" s="36" t="n"/>
      <c r="F126" s="35" t="n"/>
      <c r="G126" s="34" t="n"/>
      <c r="H126" s="35" t="n"/>
      <c r="J126" s="55" t="n"/>
      <c r="K126" s="36" t="n"/>
      <c r="N126" s="35" t="n"/>
      <c r="O126" s="34" t="n"/>
      <c r="P126" s="35" t="n"/>
    </row>
    <row r="127" ht="15.75" customHeight="1" thickBot="1">
      <c r="B127" s="55" t="n"/>
      <c r="C127" s="36" t="n"/>
      <c r="F127" s="35" t="n"/>
      <c r="G127" s="34" t="n"/>
      <c r="H127" s="35" t="n"/>
      <c r="J127" s="55" t="n"/>
      <c r="K127" s="36" t="n"/>
      <c r="N127" s="35" t="n"/>
      <c r="O127" s="34" t="n"/>
      <c r="P127" s="35" t="n"/>
    </row>
    <row r="128" ht="15.75" customHeight="1" thickBot="1">
      <c r="B128" s="55" t="n"/>
      <c r="C128" s="36" t="n"/>
      <c r="F128" s="35" t="n"/>
      <c r="G128" s="34" t="inlineStr">
        <is>
          <t>Line 326</t>
        </is>
      </c>
      <c r="H128" s="35">
        <f>IF(TransferName="NONE",0,(_xlfn.XLOOKUP(TransferNumber,Clients!D:D,Clients!EJX:EJX,2,0,1)))</f>
        <v/>
      </c>
      <c r="J128" s="55" t="n"/>
      <c r="K128" s="36" t="n"/>
      <c r="N128" s="35" t="n"/>
      <c r="O128" s="34" t="inlineStr">
        <is>
          <t>Line 326</t>
        </is>
      </c>
      <c r="P128" s="35">
        <f>IFERROR(_xlfn.XLOOKUP(TransferNumber,Clients!D:D,Clients!FJZ:FJZ,2,0,1),0)</f>
        <v/>
      </c>
    </row>
    <row r="129" ht="15.75" customHeight="1" thickBot="1">
      <c r="B129" s="38" t="n"/>
      <c r="C129" s="36" t="n"/>
      <c r="F129" s="35" t="n"/>
      <c r="G129" s="34" t="n"/>
      <c r="H129" s="35" t="n"/>
      <c r="J129" s="55" t="n"/>
      <c r="K129" s="36" t="n"/>
      <c r="N129" s="35" t="n"/>
      <c r="O129" s="34" t="n"/>
      <c r="P129" s="35" t="n"/>
    </row>
    <row r="130" ht="15.75" customHeight="1" thickBot="1">
      <c r="B130" s="38" t="n"/>
      <c r="C130" s="36" t="n"/>
      <c r="F130" s="35" t="n"/>
      <c r="G130" s="34" t="n"/>
      <c r="H130" s="35" t="n"/>
      <c r="J130" s="38" t="n"/>
      <c r="K130" s="36" t="n"/>
      <c r="N130" s="35" t="n"/>
      <c r="O130" s="34" t="n"/>
      <c r="P130" s="35" t="n"/>
    </row>
    <row r="131" ht="15.75" customHeight="1" thickBot="1">
      <c r="B131" s="38" t="n"/>
      <c r="C131" s="36" t="n"/>
      <c r="F131" s="35" t="n"/>
      <c r="G131" s="34" t="n"/>
      <c r="H131" s="35" t="n"/>
      <c r="J131" s="38" t="n"/>
      <c r="K131" s="36" t="n"/>
      <c r="N131" s="35" t="n"/>
      <c r="O131" s="34" t="n"/>
      <c r="P131" s="35" t="n"/>
    </row>
    <row r="132" ht="15.75" customHeight="1" thickBot="1">
      <c r="B132" s="38" t="n"/>
      <c r="C132" s="36" t="n"/>
      <c r="F132" s="35" t="n"/>
      <c r="G132" s="34" t="n"/>
      <c r="H132" s="35">
        <f>IF(E137&gt;0,E113-G113,0)</f>
        <v/>
      </c>
      <c r="J132" s="38" t="n"/>
      <c r="K132" s="36" t="n"/>
      <c r="N132" s="35" t="n"/>
      <c r="O132" s="34" t="n"/>
      <c r="P132" s="35">
        <f>IF(M137&gt;0,M113-O113,0)</f>
        <v/>
      </c>
    </row>
    <row r="133" ht="15.75" customHeight="1" thickBot="1">
      <c r="B133" s="38" t="n"/>
      <c r="C133" s="36" t="n"/>
      <c r="F133" s="35" t="n"/>
      <c r="H133" s="52">
        <f>IF(TransferName="NONE",F138,IF(H132&gt;0,(E137-G113)*0.059,0))</f>
        <v/>
      </c>
      <c r="J133" s="38" t="n"/>
      <c r="K133" s="36" t="n"/>
      <c r="N133" s="35" t="n"/>
      <c r="P133" s="52">
        <f>IF(TransferName="NONE",N138,IF(P132&gt;0,(M137-O113)*0.059,0))</f>
        <v/>
      </c>
    </row>
    <row r="134">
      <c r="B134" s="667" t="n"/>
      <c r="F134" s="35" t="n"/>
      <c r="G134" s="34" t="inlineStr">
        <is>
          <t>Transferable</t>
        </is>
      </c>
      <c r="H134" s="52">
        <f>IF(H133&gt;0,H133,0)</f>
        <v/>
      </c>
      <c r="J134" s="667" t="n"/>
      <c r="N134" s="35" t="n"/>
      <c r="O134" s="34" t="inlineStr">
        <is>
          <t>Transferable</t>
        </is>
      </c>
      <c r="P134" s="52">
        <f>IF(P133&gt;0,P133,0)</f>
        <v/>
      </c>
    </row>
    <row r="135">
      <c r="B135" s="667" t="inlineStr">
        <is>
          <t>Adjusted Taxable Income</t>
        </is>
      </c>
      <c r="C135">
        <f>C116-(SUM(C118:C133))</f>
        <v/>
      </c>
      <c r="D135" s="13" t="inlineStr">
        <is>
          <t>Line 5864</t>
        </is>
      </c>
      <c r="E135" s="39">
        <f>IF(C135&gt;0,C135,0)</f>
        <v/>
      </c>
      <c r="F135" s="35" t="n"/>
      <c r="G135" s="34" t="n"/>
      <c r="H135" s="35" t="n"/>
      <c r="J135" s="667" t="inlineStr">
        <is>
          <t>Adjusted Taxable Income</t>
        </is>
      </c>
      <c r="K135">
        <f>K116-(SUM(K118:K133))</f>
        <v/>
      </c>
      <c r="L135" s="13" t="inlineStr">
        <is>
          <t>Line 5864</t>
        </is>
      </c>
      <c r="M135" s="39">
        <f>IF(K135&gt;0,K135,0)</f>
        <v/>
      </c>
      <c r="N135" s="35" t="n"/>
      <c r="O135" s="34" t="n"/>
      <c r="P135" s="35" t="n"/>
    </row>
    <row r="136" ht="15.75" customHeight="1" thickBot="1">
      <c r="B136" s="34" t="n"/>
      <c r="F136" s="35" t="n"/>
      <c r="G136" s="34" t="n"/>
      <c r="H136" s="35" t="n"/>
      <c r="J136" s="34" t="n"/>
      <c r="N136" s="35" t="n"/>
      <c r="O136" s="34" t="n"/>
      <c r="P136" s="35" t="n"/>
    </row>
    <row r="137" ht="15.75" customHeight="1" thickBot="1">
      <c r="B137" s="34" t="n"/>
      <c r="D137" s="21" t="inlineStr">
        <is>
          <t>Prov Trans</t>
        </is>
      </c>
      <c r="E137" s="36">
        <f>(E113-E135)</f>
        <v/>
      </c>
      <c r="F137" s="40" t="n"/>
      <c r="G137" s="34" t="n"/>
      <c r="H137" s="52" t="n"/>
      <c r="J137" s="34" t="n"/>
      <c r="L137" s="21" t="inlineStr">
        <is>
          <t>Prov Trans</t>
        </is>
      </c>
      <c r="M137" s="36">
        <f>(M113-M135)</f>
        <v/>
      </c>
      <c r="N137" s="40" t="n"/>
      <c r="O137" s="34" t="n"/>
      <c r="P137" s="52" t="n"/>
    </row>
    <row r="138" ht="15.75" customHeight="1" thickBot="1">
      <c r="B138" s="34" t="n"/>
      <c r="C138" s="579" t="inlineStr">
        <is>
          <t>DTC Transferable ESTIMATE</t>
        </is>
      </c>
      <c r="D138" s="35" t="n"/>
      <c r="E138" s="36">
        <f>IF(E137&lt;0,0,(IF(E137&gt;E111,E111,E137)))</f>
        <v/>
      </c>
      <c r="F138" s="40">
        <f>IF(E138&gt;0,E138*0.059,"No Transfer Required")</f>
        <v/>
      </c>
      <c r="G138" s="678" t="n"/>
      <c r="H138" s="52" t="n"/>
      <c r="J138" s="34" t="n"/>
      <c r="K138" s="579" t="inlineStr">
        <is>
          <t>DTC Transferable ESTIMATE</t>
        </is>
      </c>
      <c r="L138" s="35" t="n"/>
      <c r="M138" s="36">
        <f>IF(M137&lt;0,0,(IF(M137&gt;M111,M111,M137)))</f>
        <v/>
      </c>
      <c r="N138" s="40">
        <f>IF(M138&gt;0,M138*0.059,"No Transfer Required")</f>
        <v/>
      </c>
      <c r="O138" s="58" t="n"/>
      <c r="P138" s="52" t="n"/>
    </row>
    <row r="139" ht="15.75" customHeight="1" thickBot="1">
      <c r="B139" s="42" t="n"/>
      <c r="C139" s="41" t="n"/>
      <c r="D139" s="43" t="inlineStr">
        <is>
          <t>Net Transferable</t>
        </is>
      </c>
      <c r="E139" s="36">
        <f>IF(E137&lt;0,0,(IF(E137-G109-G110-G112&lt;0,E137,(E137-G109-G110-G112))))</f>
        <v/>
      </c>
      <c r="F139" s="57">
        <f>IF(E139&gt;0,E139*0.059,"0")</f>
        <v/>
      </c>
      <c r="G139" s="42" t="n"/>
      <c r="H139" s="864" t="n"/>
      <c r="J139" s="42" t="n"/>
      <c r="K139" s="41" t="n"/>
      <c r="L139" s="43" t="inlineStr">
        <is>
          <t>Net Transferable</t>
        </is>
      </c>
      <c r="M139" s="36">
        <f>IF(M137&lt;0,0,(IF(M137-O109-O110-O112&lt;0,M137,(M137-O109-O110-O112))))</f>
        <v/>
      </c>
      <c r="N139" s="57">
        <f>IF(M139&gt;0,M139*0.059,"0")</f>
        <v/>
      </c>
      <c r="O139" s="59" t="n"/>
      <c r="P139" s="864" t="n"/>
    </row>
    <row r="141" ht="15.75" customHeight="1" thickBot="1">
      <c r="E141">
        <f>Calculator!$D$5</f>
        <v/>
      </c>
      <c r="H141">
        <f>TransferName</f>
        <v/>
      </c>
      <c r="M141">
        <f>Calculator!$D$5</f>
        <v/>
      </c>
      <c r="P141">
        <f>TransferName</f>
        <v/>
      </c>
    </row>
    <row r="142" ht="15.75" customHeight="1" thickBot="1">
      <c r="B142" s="877" t="inlineStr">
        <is>
          <t>2016 NORTHWEST TERRITORIES Provincial</t>
        </is>
      </c>
      <c r="C142" s="778" t="n"/>
      <c r="D142" s="778" t="n"/>
      <c r="E142" s="778" t="n"/>
      <c r="F142" s="778" t="n"/>
      <c r="G142" s="778" t="n"/>
      <c r="H142" s="780" t="n"/>
      <c r="J142" s="877" t="inlineStr">
        <is>
          <t>2015 NORTHWEST TERRITORIES Provincial</t>
        </is>
      </c>
      <c r="K142" s="778" t="n"/>
      <c r="L142" s="778" t="n"/>
      <c r="M142" s="778" t="n"/>
      <c r="N142" s="778" t="n"/>
      <c r="O142" s="778" t="n"/>
      <c r="P142" s="780" t="n"/>
    </row>
    <row r="143" ht="15.75" customHeight="1" thickBot="1">
      <c r="B143" s="34" t="n"/>
      <c r="D143" t="inlineStr">
        <is>
          <t>Line</t>
        </is>
      </c>
      <c r="E143" t="inlineStr">
        <is>
          <t>Amt</t>
        </is>
      </c>
      <c r="F143" s="35" t="n"/>
      <c r="G143" s="667" t="inlineStr">
        <is>
          <t>Spouse</t>
        </is>
      </c>
      <c r="H143" s="35" t="inlineStr">
        <is>
          <t>S2 Adjustment</t>
        </is>
      </c>
      <c r="J143" s="34" t="n"/>
      <c r="L143" t="inlineStr">
        <is>
          <t>Line</t>
        </is>
      </c>
      <c r="M143" t="inlineStr">
        <is>
          <t>Amt</t>
        </is>
      </c>
      <c r="N143" s="35" t="n"/>
      <c r="O143" s="34" t="inlineStr">
        <is>
          <t>Spouse</t>
        </is>
      </c>
      <c r="P143" s="35" t="inlineStr">
        <is>
          <t>S2 Adjustment</t>
        </is>
      </c>
    </row>
    <row r="144" ht="15.75" customHeight="1" thickBot="1">
      <c r="B144" s="667" t="inlineStr">
        <is>
          <t>Age Amount</t>
        </is>
      </c>
      <c r="D144" t="inlineStr">
        <is>
          <t>Line 5808</t>
        </is>
      </c>
      <c r="E144" s="861">
        <f>(_xlfn.XLOOKUP(ClientNumber,Clients!D:D,Clients!GRD:GRD,2,0,1))</f>
        <v/>
      </c>
      <c r="F144" s="37" t="inlineStr">
        <is>
          <t>Line 59020</t>
        </is>
      </c>
      <c r="G144" s="51">
        <f>IF(TransferName="NONE",0,(_xlfn.XLOOKUP(TransferNumber,Clients!D:D,Clients!GTF:GTF,2,0,1)))</f>
        <v/>
      </c>
      <c r="H144" s="37">
        <f>IF(AND(E144&gt;0,G144=0),"Age Amount Can Be Transferred","No Action")</f>
        <v/>
      </c>
      <c r="J144" s="667" t="inlineStr">
        <is>
          <t>Age Amount</t>
        </is>
      </c>
      <c r="L144" t="inlineStr">
        <is>
          <t>Line 5808</t>
        </is>
      </c>
      <c r="M144" s="865">
        <f>(_xlfn.XLOOKUP(MainClient,Clients!D:D,Clients!HRF:HRF,2,0,1))</f>
        <v/>
      </c>
      <c r="N144" s="45" t="inlineStr">
        <is>
          <t>Line 59020</t>
        </is>
      </c>
      <c r="O144" s="51">
        <f>IF(TransferName="NONE",0,(_xlfn.XLOOKUP(TransferNumber,Clients!D:D,Clients!HTH:HTH,2,0,1)))</f>
        <v/>
      </c>
      <c r="P144" s="37">
        <f>IF(AND(M144&gt;0,O144=0),"Age Amount Can Be Transferred","No Action")</f>
        <v/>
      </c>
    </row>
    <row r="145" ht="15.75" customHeight="1" thickBot="1">
      <c r="B145" s="667" t="inlineStr">
        <is>
          <t>Pension Income Amount</t>
        </is>
      </c>
      <c r="D145" t="inlineStr">
        <is>
          <t>Line 5836 (mx 1000)</t>
        </is>
      </c>
      <c r="E145" s="861">
        <f>IF((_xlfn.XLOOKUP(ClientNumber,Clients!D:D,Clients!GSD:GSD,2,0,1)&lt;1000),(_xlfn.XLOOKUP(MainClient,Clients!D:D,Clients!GSD:GSD,2,0,1)),1000)</f>
        <v/>
      </c>
      <c r="F145" s="37" t="inlineStr">
        <is>
          <t>Line 59050</t>
        </is>
      </c>
      <c r="G145" s="51">
        <f>IF(TransferName="NONE",0,(_xlfn.XLOOKUP(TransferNumber,Clients!D:D,Clients!GTI:GTI,2,0,1)))</f>
        <v/>
      </c>
      <c r="H145" s="37">
        <f>IF(AND(E145&gt;0,G145=0),"Pension Income Amount Can Be Transferred","No Action")</f>
        <v/>
      </c>
      <c r="J145" s="667" t="inlineStr">
        <is>
          <t>Pension Income Amount</t>
        </is>
      </c>
      <c r="L145" t="inlineStr">
        <is>
          <t>Line 5836 (mx 1000)</t>
        </is>
      </c>
      <c r="M145" s="865">
        <f>IF((_xlfn.XLOOKUP(ClientNumber,Clients!D:D,Clients!HSF:HSF,2,0,1)&lt;1000),(_xlfn.XLOOKUP(MainClient,Clients!D:D,Clients!HSF:HSF,2,0,1)),1000)</f>
        <v/>
      </c>
      <c r="N145" s="45" t="inlineStr">
        <is>
          <t>Line 59050</t>
        </is>
      </c>
      <c r="O145" s="51">
        <f>IF(TransferName="NONE",0,(_xlfn.XLOOKUP(TransferNumber,Clients!D:D,Clients!HTK:HTK,2,0,1)))</f>
        <v/>
      </c>
      <c r="P145" s="37">
        <f>IF(AND(M145&gt;0,O145=0),"Pension Income Amount Can Be Transferred","No Action")</f>
        <v/>
      </c>
    </row>
    <row r="146" ht="15.75" customHeight="1" thickBot="1">
      <c r="B146" s="667" t="inlineStr">
        <is>
          <t>Disability Amount</t>
        </is>
      </c>
      <c r="D146" t="inlineStr">
        <is>
          <t xml:space="preserve">Line 5844 </t>
        </is>
      </c>
      <c r="E146" s="861">
        <f>IF(_xlfn.XLOOKUP(ClientNumber,Clients!D:D,Clients!GSF:GSF,2,0,1)=0,11419,(_xlfn.XLOOKUP(MainClient,Clients!D:D,Clients!GSF:GSF,2,0,1)))</f>
        <v/>
      </c>
      <c r="F146" s="37" t="inlineStr">
        <is>
          <t>Line 59070</t>
        </is>
      </c>
      <c r="G146" s="51">
        <f>IF(TransferName="NONE",0,(_xlfn.XLOOKUP(TransferNumber,Clients!D:D,Clients!GTJ:GTJ,2,0,1)))</f>
        <v/>
      </c>
      <c r="H146" s="37">
        <f>IF(AND(E146&gt;0,G146=0),"DTC Transferable Not Claimed Can Be Transferred","No Action")</f>
        <v/>
      </c>
      <c r="J146" s="667" t="inlineStr">
        <is>
          <t>Disability Amount</t>
        </is>
      </c>
      <c r="L146" t="inlineStr">
        <is>
          <t xml:space="preserve">Line 5844 </t>
        </is>
      </c>
      <c r="M146" s="865">
        <f>IF(_xlfn.XLOOKUP(ClientNumber,Clients!D:D,Clients!HSH:HSH,2,0,1)=0,11272,(_xlfn.XLOOKUP(MainClient,Clients!D:D,Clients!HSH:HSH,2,0,1)))</f>
        <v/>
      </c>
      <c r="N146" s="45" t="inlineStr">
        <is>
          <t>Line 59070</t>
        </is>
      </c>
      <c r="O146" s="51">
        <f>IF(TransferName="NONE",0,(_xlfn.XLOOKUP(TransferNumber,Clients!D:D,Clients!HTL:HTL,2,0,1)))</f>
        <v/>
      </c>
      <c r="P146" s="37">
        <f>IF(AND(M146&gt;0,O146=0),"DTC Transferable Not Claimed Can Be Transferred","No Action")</f>
        <v/>
      </c>
    </row>
    <row r="147" ht="15.75" customHeight="1" thickBot="1">
      <c r="B147" s="667" t="inlineStr">
        <is>
          <t>Tuition Amount</t>
        </is>
      </c>
      <c r="D147" t="inlineStr">
        <is>
          <t>Line 5920</t>
        </is>
      </c>
      <c r="E147" s="861">
        <f>(_xlfn.XLOOKUP(ClientNumber,Clients!D:D,Clients!GTT:GTT,2,0,1))</f>
        <v/>
      </c>
      <c r="F147" s="37" t="inlineStr">
        <is>
          <t>Line 59090</t>
        </is>
      </c>
      <c r="G147" s="51">
        <f>IF(TransferName="NONE",0,(_xlfn.XLOOKUP(TransferNumber,Clients!D:D,Clients!GTK:GTK,2,0,1)))</f>
        <v/>
      </c>
      <c r="H147" s="37">
        <f>IF(AND(E147&gt;0,G147=0),"Tuition Can Be Transferred","No Action")</f>
        <v/>
      </c>
      <c r="J147" s="667" t="inlineStr">
        <is>
          <t>Tuition Amount</t>
        </is>
      </c>
      <c r="L147" t="inlineStr">
        <is>
          <t>Line 5920</t>
        </is>
      </c>
      <c r="M147" s="865">
        <f>(_xlfn.XLOOKUP(MainClient,Clients!D:D,Clients!HTV:HTV,2,0,1))</f>
        <v/>
      </c>
      <c r="N147" s="45" t="inlineStr">
        <is>
          <t>Line 59090</t>
        </is>
      </c>
      <c r="O147" s="51">
        <f>IF(TransferName="NONE",0,(_xlfn.XLOOKUP(TransferNumber,Clients!D:D,Clients!HTM:HTM,2,0,1)))</f>
        <v/>
      </c>
      <c r="P147" s="37">
        <f>IF(AND(M147&gt;0,O147=0),"Tuition Can Be Transferred","No Action")</f>
        <v/>
      </c>
    </row>
    <row r="148">
      <c r="B148" s="667" t="n"/>
      <c r="E148" s="771">
        <f>SUM(E144:E147)</f>
        <v/>
      </c>
      <c r="F148" s="37" t="n"/>
      <c r="G148" s="667">
        <f>SUM(G144:G147)</f>
        <v/>
      </c>
      <c r="H148" s="37" t="n"/>
      <c r="J148" s="667" t="n"/>
      <c r="M148" s="872">
        <f>SUM(M144:M147)</f>
        <v/>
      </c>
      <c r="N148" s="37" t="n"/>
      <c r="O148" s="667">
        <f>SUM(O144:O147)</f>
        <v/>
      </c>
      <c r="P148" s="37" t="n"/>
    </row>
    <row r="149" ht="15.75" customHeight="1" thickBot="1">
      <c r="B149" s="34" t="n"/>
      <c r="F149" s="35" t="n"/>
      <c r="G149" s="667" t="n"/>
      <c r="H149" s="35" t="n"/>
      <c r="J149" s="34" t="n"/>
      <c r="N149" s="35" t="n"/>
      <c r="O149" s="667" t="n"/>
      <c r="P149" s="35" t="n"/>
    </row>
    <row r="150" ht="15.75" customHeight="1" thickBot="1">
      <c r="B150" s="667" t="inlineStr">
        <is>
          <t>Line 260</t>
        </is>
      </c>
      <c r="C150" s="36">
        <f>(_xlfn.XLOOKUP(MainClient,Clients!D:D,Clients!GJC:GJC,2,0,1))</f>
        <v/>
      </c>
      <c r="F150" s="35" t="n"/>
      <c r="G150" s="34">
        <f>IF(E173&gt;E146,"other transferable credits","DTC Only")</f>
        <v/>
      </c>
      <c r="H150" s="35" t="n"/>
      <c r="J150" s="667" t="inlineStr">
        <is>
          <t>Line 260</t>
        </is>
      </c>
      <c r="K150" s="36">
        <f>(_xlfn.XLOOKUP(MainClient,Clients!D:D,Clients!HJE:HJE,2,0,1))</f>
        <v/>
      </c>
      <c r="N150" s="35" t="n"/>
      <c r="O150" s="34">
        <f>IF(M173&gt;M146,"other transferable credits","DTC Only")</f>
        <v/>
      </c>
      <c r="P150" s="35" t="n"/>
    </row>
    <row r="151" ht="15.75" customHeight="1" thickBot="1">
      <c r="B151" s="34" t="n"/>
      <c r="F151" s="35" t="n"/>
      <c r="G151" s="34" t="n"/>
      <c r="H151" s="35" t="n"/>
      <c r="J151" s="34" t="n"/>
      <c r="N151" s="35" t="n"/>
      <c r="O151" s="34" t="n"/>
      <c r="P151" s="35" t="n"/>
    </row>
    <row r="152" ht="15" customHeight="1" thickBot="1">
      <c r="B152" s="55" t="inlineStr">
        <is>
          <t>Line 5804</t>
        </is>
      </c>
      <c r="C152" s="36">
        <f>(_xlfn.XLOOKUP(ClientNumber,Clients!D:D,Clients!GRC:GRC,2,0,1))</f>
        <v/>
      </c>
      <c r="F152" s="35" t="n"/>
      <c r="G152" s="34" t="n"/>
      <c r="H152" s="35" t="n"/>
      <c r="J152" s="55" t="inlineStr">
        <is>
          <t>Line 5804</t>
        </is>
      </c>
      <c r="K152" s="36">
        <f>(_xlfn.XLOOKUP(MainClient,Clients!D:D,Clients!HRE:HRE,2,0,1))</f>
        <v/>
      </c>
      <c r="N152" s="35" t="n"/>
      <c r="O152" s="34" t="n"/>
      <c r="P152" s="35" t="n"/>
    </row>
    <row r="153" ht="15.75" customHeight="1" thickBot="1">
      <c r="B153" s="55" t="inlineStr">
        <is>
          <t>Line 5824</t>
        </is>
      </c>
      <c r="C153" s="36">
        <f>(_xlfn.XLOOKUP(ClientNumber,Clients!D:D,Clients!GRR:GRR,2,0,1))</f>
        <v/>
      </c>
      <c r="F153" s="35" t="n"/>
      <c r="G153" s="34" t="n"/>
      <c r="H153" s="35" t="n"/>
      <c r="J153" s="55" t="inlineStr">
        <is>
          <t>Line 5824</t>
        </is>
      </c>
      <c r="K153" s="36">
        <f>(_xlfn.XLOOKUP(MainClient,Clients!D:D,Clients!HRT:HRT,2,0,1))</f>
        <v/>
      </c>
      <c r="N153" s="35" t="n"/>
      <c r="O153" s="34" t="n"/>
      <c r="P153" s="35" t="n"/>
    </row>
    <row r="154" ht="15.75" customHeight="1" thickBot="1">
      <c r="B154" s="55" t="inlineStr">
        <is>
          <t>Line 5828</t>
        </is>
      </c>
      <c r="C154" s="36">
        <f>(_xlfn.XLOOKUP(ClientNumber,Clients!D:D,Clients!GRS:GRS,2,0,1))</f>
        <v/>
      </c>
      <c r="F154" s="35" t="n"/>
      <c r="G154" s="34" t="n"/>
      <c r="H154" s="35" t="n"/>
      <c r="J154" s="55" t="inlineStr">
        <is>
          <t>Line 5828</t>
        </is>
      </c>
      <c r="K154" s="36">
        <f>(_xlfn.XLOOKUP(MainClient,Clients!D:D,Clients!HRU:HRU,2,0,1))</f>
        <v/>
      </c>
      <c r="N154" s="35" t="n"/>
      <c r="P154" s="35" t="n"/>
    </row>
    <row r="155" ht="15.75" customHeight="1" thickBot="1">
      <c r="B155" s="55" t="inlineStr">
        <is>
          <t>Line 5832</t>
        </is>
      </c>
      <c r="C155" s="36">
        <f>(_xlfn.XLOOKUP(ClientNumber,Clients!D:D,Clients!GRT:GRT,2,0,1))</f>
        <v/>
      </c>
      <c r="F155" s="35" t="n"/>
      <c r="G155" s="34" t="n"/>
      <c r="H155" s="35" t="n"/>
      <c r="J155" s="55" t="inlineStr">
        <is>
          <t>Line 5832</t>
        </is>
      </c>
      <c r="K155" s="36">
        <f>(_xlfn.XLOOKUP(MainClient,Clients!D:D,Clients!HRV:HRV,2,0,1))</f>
        <v/>
      </c>
      <c r="N155" s="35" t="n"/>
      <c r="O155" s="34" t="n"/>
      <c r="P155" s="35" t="n"/>
    </row>
    <row r="156" ht="15.75" customHeight="1" thickBot="1">
      <c r="B156" s="55" t="inlineStr">
        <is>
          <t>Line 5829</t>
        </is>
      </c>
      <c r="C156" s="36">
        <f>(_xlfn.XLOOKUP(ClientNumber,Clients!D:D,Clients!GRU:GRU,2,0,1))</f>
        <v/>
      </c>
      <c r="F156" s="35" t="n"/>
      <c r="G156" s="34" t="n"/>
      <c r="H156" s="35" t="n"/>
      <c r="J156" s="55" t="inlineStr">
        <is>
          <t>Line 5829</t>
        </is>
      </c>
      <c r="K156" s="36">
        <f>(_xlfn.XLOOKUP(MainClient,Clients!D:D,Clients!HRW:HRW,2,0,1))</f>
        <v/>
      </c>
      <c r="N156" s="35" t="n"/>
      <c r="O156" s="34" t="n"/>
      <c r="P156" s="35" t="n"/>
    </row>
    <row r="157" ht="15.75" customHeight="1" thickBot="1">
      <c r="B157" s="55" t="inlineStr">
        <is>
          <t>Line  5856</t>
        </is>
      </c>
      <c r="C157" s="36">
        <f>(_xlfn.XLOOKUP(ClientNumber,Clients!D:D,Clients!GSJ:GSJ,2,0,1))</f>
        <v/>
      </c>
      <c r="F157" s="35" t="n"/>
      <c r="G157" s="34" t="n"/>
      <c r="H157" s="35" t="n"/>
      <c r="J157" s="55" t="inlineStr">
        <is>
          <t>Line  5856</t>
        </is>
      </c>
      <c r="K157" s="36">
        <f>(_xlfn.XLOOKUP(MainClient,Clients!D:D,Clients!HSL:HSL,2,0,1))</f>
        <v/>
      </c>
      <c r="N157" s="35" t="n"/>
      <c r="O157" s="34" t="n"/>
      <c r="P157" s="35" t="n"/>
    </row>
    <row r="158" ht="15.75" customHeight="1" thickBot="1">
      <c r="B158" s="55" t="n"/>
      <c r="C158" s="36" t="n"/>
      <c r="F158" s="35" t="n"/>
      <c r="G158" s="34" t="n"/>
      <c r="H158" s="35" t="n"/>
      <c r="J158" s="55" t="n"/>
      <c r="K158" s="36" t="n"/>
      <c r="N158" s="35" t="n"/>
      <c r="O158" s="34" t="n"/>
      <c r="P158" s="35" t="n"/>
    </row>
    <row r="159" ht="15.75" customHeight="1" thickBot="1">
      <c r="B159" s="55" t="n"/>
      <c r="C159" s="36" t="n"/>
      <c r="F159" s="35" t="n"/>
      <c r="G159" s="34" t="n"/>
      <c r="H159" s="35" t="n"/>
      <c r="J159" s="55" t="n"/>
      <c r="K159" s="36" t="n"/>
      <c r="N159" s="35" t="n"/>
      <c r="O159" s="34" t="n"/>
      <c r="P159" s="35" t="n"/>
    </row>
    <row r="160" ht="15.75" customHeight="1" thickBot="1">
      <c r="B160" s="55" t="n"/>
      <c r="C160" s="36" t="n"/>
      <c r="F160" s="35" t="n"/>
      <c r="G160" s="34" t="n"/>
      <c r="H160" s="35" t="n"/>
      <c r="J160" s="55" t="n"/>
      <c r="K160" s="36" t="n"/>
      <c r="N160" s="35" t="n"/>
      <c r="O160" s="34" t="n"/>
      <c r="P160" s="35" t="n"/>
    </row>
    <row r="161" ht="15.75" customHeight="1" thickBot="1">
      <c r="B161" s="55" t="n"/>
      <c r="C161" s="36" t="n"/>
      <c r="F161" s="35" t="n"/>
      <c r="G161" s="34" t="n"/>
      <c r="H161" s="35" t="n"/>
      <c r="J161" s="55" t="n"/>
      <c r="K161" s="36" t="n"/>
      <c r="N161" s="35" t="n"/>
      <c r="O161" s="34" t="n"/>
      <c r="P161" s="35" t="n"/>
    </row>
    <row r="162" ht="15.75" customHeight="1" thickBot="1">
      <c r="B162" s="55" t="n"/>
      <c r="C162" s="36" t="n"/>
      <c r="F162" s="35" t="n"/>
      <c r="G162" s="34" t="inlineStr">
        <is>
          <t>Line 326</t>
        </is>
      </c>
      <c r="H162" s="35">
        <f>IF(TransferName="NONE",0,(_xlfn.XLOOKUP(TransferNumber,Clients!D:D,Clients!GKB:GKB,2,0,1)))</f>
        <v/>
      </c>
      <c r="J162" s="55" t="n"/>
      <c r="K162" s="36" t="n"/>
      <c r="N162" s="35" t="n"/>
      <c r="O162" s="34" t="inlineStr">
        <is>
          <t>Line 326</t>
        </is>
      </c>
      <c r="P162" s="35">
        <f>IFERROR(_xlfn.XLOOKUP(TransferNumber,Clients!D:D,Clients!FJZ:FJZ,2,0,1),0)</f>
        <v/>
      </c>
    </row>
    <row r="163" ht="15.75" customHeight="1" thickBot="1">
      <c r="B163" s="55" t="n"/>
      <c r="C163" s="36" t="n"/>
      <c r="F163" s="35" t="n"/>
      <c r="G163" s="34" t="n"/>
      <c r="H163" s="35" t="n"/>
      <c r="J163" s="38" t="n"/>
      <c r="K163" s="36" t="n"/>
      <c r="N163" s="35" t="n"/>
      <c r="O163" s="34" t="n"/>
      <c r="P163" s="35" t="n"/>
    </row>
    <row r="164" ht="15.75" customHeight="1" thickBot="1">
      <c r="B164" s="38" t="n"/>
      <c r="C164" s="36" t="n"/>
      <c r="F164" s="35" t="n"/>
      <c r="G164" s="34" t="n"/>
      <c r="H164" s="35" t="n"/>
      <c r="J164" s="38" t="n"/>
      <c r="K164" s="36" t="n"/>
      <c r="N164" s="35" t="n"/>
      <c r="O164" s="34" t="n"/>
      <c r="P164" s="35" t="n"/>
    </row>
    <row r="165" ht="15.75" customHeight="1" thickBot="1">
      <c r="B165" s="38" t="n"/>
      <c r="C165" s="36" t="n"/>
      <c r="F165" s="35" t="n"/>
      <c r="G165" s="34" t="n"/>
      <c r="H165" s="35" t="n"/>
      <c r="J165" s="38" t="n"/>
      <c r="K165" s="36" t="n"/>
      <c r="N165" s="35" t="n"/>
      <c r="O165" s="34" t="n"/>
      <c r="P165" s="35" t="n"/>
    </row>
    <row r="166" ht="15.75" customHeight="1" thickBot="1">
      <c r="B166" s="38" t="n"/>
      <c r="C166" s="36" t="n"/>
      <c r="F166" s="35" t="n"/>
      <c r="G166" s="34" t="n"/>
      <c r="H166" s="35">
        <f>IF(E171&gt;0,E148-G148,0)</f>
        <v/>
      </c>
      <c r="J166" s="38" t="n"/>
      <c r="K166" s="36" t="n"/>
      <c r="N166" s="35" t="n"/>
      <c r="O166" s="34" t="n"/>
      <c r="P166" s="35">
        <f>IF(M171&gt;0,M148-O148,0)</f>
        <v/>
      </c>
    </row>
    <row r="167" ht="15.75" customHeight="1" thickBot="1">
      <c r="B167" s="38" t="n"/>
      <c r="C167" s="36" t="n"/>
      <c r="F167" s="35" t="n"/>
      <c r="H167" s="65">
        <f>IF(TransferName="NONE",F172,IF(H166&gt;0,(E171-G148)*0.059,0))</f>
        <v/>
      </c>
      <c r="J167" s="38" t="n"/>
      <c r="K167" s="36" t="n"/>
      <c r="N167" s="35" t="n"/>
      <c r="P167" s="65">
        <f>IF(TransferName="NONE",N172,IF(P166&gt;0,(M171-O148)*0.059,0))</f>
        <v/>
      </c>
    </row>
    <row r="168">
      <c r="B168" s="667" t="n"/>
      <c r="F168" s="35" t="n"/>
      <c r="G168" s="34" t="inlineStr">
        <is>
          <t>Transferable</t>
        </is>
      </c>
      <c r="H168" s="65">
        <f>IF(H167&gt;0,H167,0)</f>
        <v/>
      </c>
      <c r="J168" s="667" t="n"/>
      <c r="N168" s="35" t="n"/>
      <c r="O168" s="34" t="inlineStr">
        <is>
          <t>Transferable</t>
        </is>
      </c>
      <c r="P168" s="65">
        <f>IF(P167&gt;0,P167,0)</f>
        <v/>
      </c>
    </row>
    <row r="169">
      <c r="B169" s="667" t="inlineStr">
        <is>
          <t>Adjusted Taxable Income</t>
        </is>
      </c>
      <c r="C169">
        <f>C150-(SUM(C152:C167))</f>
        <v/>
      </c>
      <c r="D169" s="13" t="inlineStr">
        <is>
          <t>Line 5864</t>
        </is>
      </c>
      <c r="E169" s="39">
        <f>IF(C169&gt;0,C169,0)</f>
        <v/>
      </c>
      <c r="F169" s="35" t="n"/>
      <c r="G169" s="34" t="n"/>
      <c r="H169" s="35" t="n"/>
      <c r="J169" s="667" t="inlineStr">
        <is>
          <t>Adjusted Taxable Income</t>
        </is>
      </c>
      <c r="K169">
        <f>K150-(SUM(K152:K167))</f>
        <v/>
      </c>
      <c r="L169" s="13" t="inlineStr">
        <is>
          <t>Line 5864</t>
        </is>
      </c>
      <c r="M169" s="39">
        <f>IF(K169&gt;0,K169,0)</f>
        <v/>
      </c>
      <c r="N169" s="35" t="n"/>
      <c r="O169" s="34" t="n"/>
      <c r="P169" s="35" t="n"/>
    </row>
    <row r="170" ht="15.75" customHeight="1" thickBot="1">
      <c r="B170" s="34" t="n"/>
      <c r="F170" s="35" t="n"/>
      <c r="G170" s="34" t="n"/>
      <c r="H170" s="35" t="n"/>
      <c r="J170" s="34" t="n"/>
      <c r="N170" s="35" t="n"/>
      <c r="O170" s="34" t="n"/>
      <c r="P170" s="35" t="n"/>
    </row>
    <row r="171" ht="15.75" customHeight="1" thickBot="1">
      <c r="B171" s="34" t="n"/>
      <c r="D171" s="21" t="inlineStr">
        <is>
          <t>Prov Trans</t>
        </is>
      </c>
      <c r="E171" s="36">
        <f>(E148-E169)</f>
        <v/>
      </c>
      <c r="F171" s="40" t="n"/>
      <c r="G171" s="34" t="n"/>
      <c r="H171" s="52" t="n"/>
      <c r="J171" s="34" t="n"/>
      <c r="L171" s="21" t="inlineStr">
        <is>
          <t>Prov Trans</t>
        </is>
      </c>
      <c r="M171" s="36">
        <f>(M148-M169)</f>
        <v/>
      </c>
      <c r="N171" s="40" t="n"/>
      <c r="O171" s="34" t="n"/>
      <c r="P171" s="52" t="n"/>
    </row>
    <row r="172" ht="15.75" customHeight="1" thickBot="1">
      <c r="B172" s="34" t="n"/>
      <c r="C172" s="579" t="inlineStr">
        <is>
          <t>DTC Transferable ESTIMATE</t>
        </is>
      </c>
      <c r="D172" s="35" t="n"/>
      <c r="E172" s="36">
        <f>IF(E171&lt;0,0,(IF(E171&gt;E146,E146,E171)))</f>
        <v/>
      </c>
      <c r="F172" s="40">
        <f>IF(E172&gt;0,E172*0.059,"No Transfer Required")</f>
        <v/>
      </c>
      <c r="G172" s="58" t="n"/>
      <c r="H172" s="52" t="n"/>
      <c r="J172" s="34" t="n"/>
      <c r="K172" s="579" t="inlineStr">
        <is>
          <t>DTC Transferable ESTIMATE</t>
        </is>
      </c>
      <c r="L172" s="35" t="n"/>
      <c r="M172" s="36">
        <f>IF(M171&lt;0,0,(IF(M171&gt;M146,M146,M171)))</f>
        <v/>
      </c>
      <c r="N172" s="40">
        <f>IF(M172&gt;0,M172*0.059,"No Transfer Required")</f>
        <v/>
      </c>
      <c r="O172" s="58" t="n"/>
      <c r="P172" s="52" t="n"/>
    </row>
    <row r="173" ht="15.75" customHeight="1" thickBot="1">
      <c r="B173" s="42" t="n"/>
      <c r="C173" s="41" t="n"/>
      <c r="D173" s="43" t="inlineStr">
        <is>
          <t>Net Transferable</t>
        </is>
      </c>
      <c r="E173" s="36">
        <f>IF(E171&lt;0,0,(IF(E171-G144-G145-G147&lt;0,E171,(E171-G144-G145-G147))))</f>
        <v/>
      </c>
      <c r="F173" s="57">
        <f>IF(E173&gt;0,E173*0.059,"0")</f>
        <v/>
      </c>
      <c r="G173" s="59" t="n"/>
      <c r="H173" s="864" t="n"/>
      <c r="J173" s="42" t="n"/>
      <c r="K173" s="41" t="n"/>
      <c r="L173" s="43" t="inlineStr">
        <is>
          <t>Net Transferable</t>
        </is>
      </c>
      <c r="M173" s="36">
        <f>IF(M171&lt;0,0,(IF(M171-O144-O145-O147&lt;0,M171,(M171-O144-O145-O147))))</f>
        <v/>
      </c>
      <c r="N173" s="57">
        <f>IF(M173&gt;0,M173*0.059,"0")</f>
        <v/>
      </c>
      <c r="O173" s="59" t="n"/>
      <c r="P173" s="864" t="n"/>
    </row>
    <row r="174">
      <c r="D174" s="60" t="n"/>
      <c r="F174" s="61" t="n"/>
      <c r="G174" s="449" t="n"/>
      <c r="H174" s="866" t="n"/>
      <c r="L174" s="60" t="n"/>
      <c r="N174" s="866" t="n"/>
      <c r="O174" s="64" t="n"/>
      <c r="P174" s="866" t="n"/>
    </row>
    <row r="175" ht="15.75" customHeight="1" thickBot="1">
      <c r="E175">
        <f>Calculator!$D$5</f>
        <v/>
      </c>
      <c r="H175">
        <f>TransferName</f>
        <v/>
      </c>
      <c r="M175">
        <f>Calculator!$D$5</f>
        <v/>
      </c>
      <c r="P175">
        <f>TransferName</f>
        <v/>
      </c>
    </row>
    <row r="176" ht="15.75" customHeight="1" thickBot="1">
      <c r="B176" s="877" t="inlineStr">
        <is>
          <t>2014 NORTHWEST TERRITORIES Provincial</t>
        </is>
      </c>
      <c r="C176" s="778" t="n"/>
      <c r="D176" s="778" t="n"/>
      <c r="E176" s="778" t="n"/>
      <c r="F176" s="778" t="n"/>
      <c r="G176" s="778" t="n"/>
      <c r="H176" s="780" t="n"/>
      <c r="J176" s="877" t="inlineStr">
        <is>
          <t>2013 NORTHWEST TERRITORIES Provincial</t>
        </is>
      </c>
      <c r="K176" s="778" t="n"/>
      <c r="L176" s="778" t="n"/>
      <c r="M176" s="778" t="n"/>
      <c r="N176" s="778" t="n"/>
      <c r="O176" s="778" t="n"/>
      <c r="P176" s="780" t="n"/>
    </row>
    <row r="177" ht="15.75" customHeight="1" thickBot="1">
      <c r="B177" s="34" t="n"/>
      <c r="D177" t="inlineStr">
        <is>
          <t>Line</t>
        </is>
      </c>
      <c r="E177" t="inlineStr">
        <is>
          <t>Amt</t>
        </is>
      </c>
      <c r="F177" s="35" t="n"/>
      <c r="G177" s="667" t="inlineStr">
        <is>
          <t>Spouse</t>
        </is>
      </c>
      <c r="H177" s="35" t="inlineStr">
        <is>
          <t>S2 Adjustment</t>
        </is>
      </c>
      <c r="J177" s="34" t="n"/>
      <c r="L177" t="inlineStr">
        <is>
          <t>Line</t>
        </is>
      </c>
      <c r="M177" t="inlineStr">
        <is>
          <t>Amt</t>
        </is>
      </c>
      <c r="N177" s="35" t="n"/>
      <c r="O177" s="34" t="inlineStr">
        <is>
          <t>Spouse</t>
        </is>
      </c>
      <c r="P177" s="35" t="inlineStr">
        <is>
          <t>S2 Adjustment</t>
        </is>
      </c>
    </row>
    <row r="178" ht="15.75" customHeight="1" thickBot="1">
      <c r="B178" s="667" t="inlineStr">
        <is>
          <t>Age Amount</t>
        </is>
      </c>
      <c r="D178" t="inlineStr">
        <is>
          <t>Line 5808</t>
        </is>
      </c>
      <c r="E178" s="861">
        <f>(_xlfn.XLOOKUP(ClientNumber,Clients!D:D,Clients!IRH:IRH,2,0,1))</f>
        <v/>
      </c>
      <c r="F178" s="37" t="inlineStr">
        <is>
          <t>Line 59020</t>
        </is>
      </c>
      <c r="G178" s="51">
        <f>IF(TransferName="NONE",0,(_xlfn.XLOOKUP(TransferNumber,Clients!D:D,Clients!ITJ:ITJ,2,0,1)))</f>
        <v/>
      </c>
      <c r="H178" s="37">
        <f>IF(AND(E178&gt;0,G178=0),"Age Amount Can Be Transferred","No Action")</f>
        <v/>
      </c>
      <c r="J178" s="667" t="inlineStr">
        <is>
          <t>Age Amount</t>
        </is>
      </c>
      <c r="L178" t="inlineStr">
        <is>
          <t>Line 5808</t>
        </is>
      </c>
      <c r="M178" s="865">
        <f>(_xlfn.XLOOKUP(MainClient,Clients!D:D,Clients!JRJ:JRJ,2,0,1))</f>
        <v/>
      </c>
      <c r="N178" s="45" t="inlineStr">
        <is>
          <t>Line 59020</t>
        </is>
      </c>
      <c r="O178" s="51">
        <f>IF(TransferName="NONE",0,(_xlfn.XLOOKUP(TransferNumber,Clients!D:D,Clients!JTL:JTL,2,0,1)))</f>
        <v/>
      </c>
      <c r="P178" s="37">
        <f>IF(AND(M178&gt;0,O178=0),"Age Amount Can Be Transferred","No Action")</f>
        <v/>
      </c>
    </row>
    <row r="179" ht="15.75" customHeight="1" thickBot="1">
      <c r="B179" s="667" t="inlineStr">
        <is>
          <t>Pension Income Amount</t>
        </is>
      </c>
      <c r="D179" t="inlineStr">
        <is>
          <t>Line 5836 (mx 1000)</t>
        </is>
      </c>
      <c r="E179" s="861">
        <f>IF((_xlfn.XLOOKUP(ClientNumber,Clients!D:D,Clients!ISH:ISH,2,0,1)&lt;1000),(_xlfn.XLOOKUP(MainClient,Clients!D:D,Clients!ISH:ISH,2,0,1)),1000)</f>
        <v/>
      </c>
      <c r="F179" s="37" t="inlineStr">
        <is>
          <t>Line 59050</t>
        </is>
      </c>
      <c r="G179" s="51">
        <f>IF(TransferName="NONE",0,(_xlfn.XLOOKUP(TransferNumber,Clients!D:D,Clients!ITM:ITM,2,0,1)))</f>
        <v/>
      </c>
      <c r="H179" s="37">
        <f>IF(AND(E179&gt;0,G179=0),"Pension Income Amount Can Be Transferred","No Action")</f>
        <v/>
      </c>
      <c r="J179" s="667" t="inlineStr">
        <is>
          <t>Pension Income Amount</t>
        </is>
      </c>
      <c r="L179" t="inlineStr">
        <is>
          <t>Line 5836 (mx 1000)</t>
        </is>
      </c>
      <c r="M179" s="865">
        <f>IF((_xlfn.XLOOKUP(ClientNumber,Clients!D:D,Clients!JSJ:JSJ,2,0,1)&lt;1000),(_xlfn.XLOOKUP(MainClient,Clients!D:D,Clients!JSJ:JSJ,2,0,1)),1000)</f>
        <v/>
      </c>
      <c r="N179" s="45" t="inlineStr">
        <is>
          <t>Line 59050</t>
        </is>
      </c>
      <c r="O179" s="51">
        <f>IF(TransferName="NONE",0,(_xlfn.XLOOKUP(TransferNumber,Clients!D:D,Clients!JTO:JTO,2,0,1)))</f>
        <v/>
      </c>
      <c r="P179" s="37">
        <f>IF(AND(M179&gt;0,O179=0),"Pension Income Amount Can Be Transferred","No Action")</f>
        <v/>
      </c>
    </row>
    <row r="180" ht="15.75" customHeight="1" thickBot="1">
      <c r="B180" s="667" t="inlineStr">
        <is>
          <t>Disability Amount</t>
        </is>
      </c>
      <c r="D180" t="inlineStr">
        <is>
          <t xml:space="preserve">Line 5844 </t>
        </is>
      </c>
      <c r="E180" s="861">
        <f>IF(_xlfn.XLOOKUP(ClientNumber,Clients!D:D,Clients!ISJ:ISJ,2,0,1)=0,11084,(_xlfn.XLOOKUP(MainClient,Clients!D:D,Clients!ISJ:ISJ,2,0,1)))</f>
        <v/>
      </c>
      <c r="F180" s="37" t="inlineStr">
        <is>
          <t>Line 59070</t>
        </is>
      </c>
      <c r="G180" s="51">
        <f>IF(TransferName="NONE",0,(_xlfn.XLOOKUP(TransferNumber,Clients!D:D,Clients!ITN:ITN,2,0,1)))</f>
        <v/>
      </c>
      <c r="H180" s="37">
        <f>IF(AND(E180&gt;0,G180=0),"DTC Transferable Not Claimed Can Be Transferred","No Action")</f>
        <v/>
      </c>
      <c r="J180" s="667" t="inlineStr">
        <is>
          <t>Disability Amount</t>
        </is>
      </c>
      <c r="L180" t="inlineStr">
        <is>
          <t xml:space="preserve">Line 5844 </t>
        </is>
      </c>
      <c r="M180" s="865">
        <f>IF(_xlfn.XLOOKUP(ClientNumber,Clients!D:D,Clients!JSL:JSL,2,0,1)=0,10985,(_xlfn.XLOOKUP(MainClient,Clients!D:D,Clients!JSL:JSL,2,0,1)))</f>
        <v/>
      </c>
      <c r="N180" s="45" t="inlineStr">
        <is>
          <t>Line 59070</t>
        </is>
      </c>
      <c r="O180" s="51">
        <f>IF(TransferName="NONE",0,(_xlfn.XLOOKUP(TransferNumber,Clients!D:D,Clients!JTP:JTP,2,0,1)))</f>
        <v/>
      </c>
      <c r="P180" s="37">
        <f>IF(AND(M180&gt;0,O180=0),"DTC Transferable Not Claimed Can Be Transferred","No Action")</f>
        <v/>
      </c>
    </row>
    <row r="181" ht="15.75" customHeight="1" thickBot="1">
      <c r="B181" s="667" t="inlineStr">
        <is>
          <t>Tuition Amount</t>
        </is>
      </c>
      <c r="D181" t="inlineStr">
        <is>
          <t>Line 5920</t>
        </is>
      </c>
      <c r="E181" s="861">
        <f>(_xlfn.XLOOKUP(ClientNumber,Clients!D:D,Clients!ITZ:ITZ,2,0,1))</f>
        <v/>
      </c>
      <c r="F181" s="37" t="inlineStr">
        <is>
          <t>Line 59090</t>
        </is>
      </c>
      <c r="G181" s="51">
        <f>IF(TransferName="NONE",0,(_xlfn.XLOOKUP(TransferNumber,Clients!D:D,Clients!ITO:ITO,2,0,1)))</f>
        <v/>
      </c>
      <c r="H181" s="37">
        <f>IF(AND(E181&gt;0,G181=0),"Tuition Can Be Transferred","No Action")</f>
        <v/>
      </c>
      <c r="J181" s="667" t="inlineStr">
        <is>
          <t>Tuition Amount</t>
        </is>
      </c>
      <c r="L181" t="inlineStr">
        <is>
          <t>Line 5920</t>
        </is>
      </c>
      <c r="M181" s="865">
        <f>(_xlfn.XLOOKUP(MainClient,Clients!D:D,Clients!JTZ:JTZ,2,0,1))</f>
        <v/>
      </c>
      <c r="N181" s="45" t="inlineStr">
        <is>
          <t>Line 59090</t>
        </is>
      </c>
      <c r="O181" s="51">
        <f>IF(TransferName="NONE",0,(_xlfn.XLOOKUP(TransferNumber,Clients!D:D,Clients!JTR:JTR,2,0,1)))</f>
        <v/>
      </c>
      <c r="P181" s="37">
        <f>IF(AND(M181&gt;0,O181=0),"Tuition Can Be Transferred","No Action")</f>
        <v/>
      </c>
    </row>
    <row r="182">
      <c r="B182" s="667" t="n"/>
      <c r="E182" s="771">
        <f>SUM(E178:E181)</f>
        <v/>
      </c>
      <c r="F182" s="37" t="n"/>
      <c r="G182" s="667">
        <f>SUM(G178:G181)</f>
        <v/>
      </c>
      <c r="H182" s="37" t="n"/>
      <c r="J182" s="667" t="n"/>
      <c r="M182" s="872">
        <f>SUM(M178:M181)</f>
        <v/>
      </c>
      <c r="N182" s="37" t="n"/>
      <c r="O182" s="667">
        <f>SUM(O178:O181)</f>
        <v/>
      </c>
      <c r="P182" s="37" t="n"/>
    </row>
    <row r="183" ht="15.75" customHeight="1" thickBot="1">
      <c r="B183" s="34" t="n"/>
      <c r="F183" s="35" t="n"/>
      <c r="G183" s="667" t="n"/>
      <c r="H183" s="35" t="n"/>
      <c r="J183" s="34" t="n"/>
      <c r="N183" s="35" t="n"/>
      <c r="O183" s="667" t="n"/>
      <c r="P183" s="35" t="n"/>
    </row>
    <row r="184" ht="15.75" customHeight="1" thickBot="1">
      <c r="B184" s="667" t="inlineStr">
        <is>
          <t>Line 260</t>
        </is>
      </c>
      <c r="C184" s="36">
        <f>(_xlfn.XLOOKUP(MainClient,Clients!D:D,Clients!IJG:IJG,2,0,1))</f>
        <v/>
      </c>
      <c r="F184" s="35" t="n"/>
      <c r="G184" s="34">
        <f>IF(E207&gt;E180,"other transferable credits","DTC Only")</f>
        <v/>
      </c>
      <c r="H184" s="35" t="n"/>
      <c r="J184" s="667" t="inlineStr">
        <is>
          <t>Line 260</t>
        </is>
      </c>
      <c r="K184" s="36">
        <f>(_xlfn.XLOOKUP(MainClient,Clients!D:D,Clients!JJI:JJI,2,0,1))</f>
        <v/>
      </c>
      <c r="N184" s="35" t="n"/>
      <c r="O184" s="34">
        <f>IF(M207&gt;M180,"other transferable credits","DTC Only")</f>
        <v/>
      </c>
      <c r="P184" s="35" t="n"/>
    </row>
    <row r="185" ht="15.75" customHeight="1" thickBot="1">
      <c r="B185" s="34" t="n"/>
      <c r="F185" s="35" t="n"/>
      <c r="G185" s="34" t="n"/>
      <c r="H185" s="35" t="n"/>
      <c r="J185" s="34" t="n"/>
      <c r="N185" s="35" t="n"/>
      <c r="O185" s="34" t="n"/>
      <c r="P185" s="35" t="n"/>
    </row>
    <row r="186" ht="15.75" customHeight="1" thickBot="1">
      <c r="B186" s="55" t="inlineStr">
        <is>
          <t>Line 5804</t>
        </is>
      </c>
      <c r="C186" s="36">
        <f>(_xlfn.XLOOKUP(ClientNumber,Clients!D:D,Clients!IRG:IRG,2,0,1))</f>
        <v/>
      </c>
      <c r="F186" s="35" t="n"/>
      <c r="G186" s="34" t="n"/>
      <c r="H186" s="35" t="n"/>
      <c r="J186" s="55" t="inlineStr">
        <is>
          <t>Line 5804</t>
        </is>
      </c>
      <c r="K186" s="36">
        <f>(_xlfn.XLOOKUP(MainClient,Clients!D:D,Clients!JRI:JRI,2,0,1))</f>
        <v/>
      </c>
      <c r="N186" s="35" t="n"/>
      <c r="O186" s="34" t="n"/>
      <c r="P186" s="35" t="n"/>
    </row>
    <row r="187" ht="15.75" customHeight="1" thickBot="1">
      <c r="B187" s="55" t="inlineStr">
        <is>
          <t>Line 5824</t>
        </is>
      </c>
      <c r="C187" s="36">
        <f>(_xlfn.XLOOKUP(ClientNumber,Clients!D:D,Clients!IRV:IRV,2,0,1))</f>
        <v/>
      </c>
      <c r="F187" s="35" t="n"/>
      <c r="G187" s="34" t="n"/>
      <c r="H187" s="35" t="n"/>
      <c r="J187" s="55" t="inlineStr">
        <is>
          <t>Line 5824</t>
        </is>
      </c>
      <c r="K187" s="36">
        <f>(_xlfn.XLOOKUP(MainClient,Clients!D:D,Clients!JRX:JRX,2,0,1))</f>
        <v/>
      </c>
      <c r="N187" s="35" t="n"/>
      <c r="O187" s="34" t="n"/>
      <c r="P187" s="35" t="n"/>
    </row>
    <row r="188" ht="15.75" customHeight="1" thickBot="1">
      <c r="B188" s="55" t="inlineStr">
        <is>
          <t>Line 5828</t>
        </is>
      </c>
      <c r="C188" s="36">
        <f>(_xlfn.XLOOKUP(ClientNumber,Clients!D:D,Clients!IRW:IRW,2,0,1))</f>
        <v/>
      </c>
      <c r="F188" s="35" t="n"/>
      <c r="G188" s="34" t="n"/>
      <c r="H188" s="35" t="n"/>
      <c r="J188" s="55" t="inlineStr">
        <is>
          <t>Line 5828</t>
        </is>
      </c>
      <c r="K188" s="36">
        <f>(_xlfn.XLOOKUP(MainClient,Clients!D:D,Clients!JRY:JRY,2,0,1))</f>
        <v/>
      </c>
      <c r="N188" s="35" t="n"/>
      <c r="P188" s="35" t="n"/>
    </row>
    <row r="189" ht="15.75" customHeight="1" thickBot="1">
      <c r="B189" s="55" t="inlineStr">
        <is>
          <t>Line 5832</t>
        </is>
      </c>
      <c r="C189" s="36">
        <f>(_xlfn.XLOOKUP(ClientNumber,Clients!D:D,Clients!IRX:IRX,2,0,1))</f>
        <v/>
      </c>
      <c r="F189" s="35" t="n"/>
      <c r="G189" s="34" t="n"/>
      <c r="H189" s="35" t="n"/>
      <c r="J189" s="55" t="inlineStr">
        <is>
          <t>Line 5832</t>
        </is>
      </c>
      <c r="K189" s="36">
        <f>(_xlfn.XLOOKUP(MainClient,Clients!D:D,Clients!JRZ:JRZ,2,0,1))</f>
        <v/>
      </c>
      <c r="N189" s="35" t="n"/>
      <c r="O189" s="34" t="n"/>
      <c r="P189" s="35" t="n"/>
    </row>
    <row r="190" ht="15.75" customHeight="1" thickBot="1">
      <c r="B190" s="55" t="inlineStr">
        <is>
          <t>Line 5829</t>
        </is>
      </c>
      <c r="C190" s="36">
        <f>(_xlfn.XLOOKUP(ClientNumber,Clients!D:D,Clients!IRY:IRY,2,0,1))</f>
        <v/>
      </c>
      <c r="F190" s="35" t="n"/>
      <c r="G190" s="34" t="n"/>
      <c r="H190" s="35" t="n"/>
      <c r="J190" s="55" t="inlineStr">
        <is>
          <t>Line 5829</t>
        </is>
      </c>
      <c r="K190" s="36">
        <f>(_xlfn.XLOOKUP(MainClient,Clients!D:D,Clients!JSA:JSA,2,0,1))</f>
        <v/>
      </c>
      <c r="N190" s="35" t="n"/>
      <c r="O190" s="34" t="n"/>
      <c r="P190" s="35" t="n"/>
    </row>
    <row r="191" ht="15.75" customHeight="1" thickBot="1">
      <c r="B191" s="55" t="inlineStr">
        <is>
          <t>Line 5856</t>
        </is>
      </c>
      <c r="C191" s="36">
        <f>(_xlfn.XLOOKUP(ClientNumber,Clients!D:D,Clients!ISN:ISN,2,0,1))</f>
        <v/>
      </c>
      <c r="F191" s="35" t="n"/>
      <c r="G191" s="34" t="n"/>
      <c r="H191" s="35" t="n"/>
      <c r="J191" s="55" t="inlineStr">
        <is>
          <t>Line 5856</t>
        </is>
      </c>
      <c r="K191" s="36">
        <f>(_xlfn.XLOOKUP(MainClient,Clients!D:D,Clients!JSP:JSP,2,0,1))</f>
        <v/>
      </c>
      <c r="N191" s="35" t="n"/>
      <c r="O191" s="34" t="n"/>
      <c r="P191" s="35" t="n"/>
    </row>
    <row r="192" ht="15.75" customHeight="1" thickBot="1">
      <c r="B192" s="55" t="n"/>
      <c r="C192" s="36" t="n"/>
      <c r="F192" s="35" t="n"/>
      <c r="G192" s="34" t="n"/>
      <c r="H192" s="35" t="n"/>
      <c r="J192" s="55" t="n"/>
      <c r="K192" s="36" t="n"/>
      <c r="N192" s="35" t="n"/>
      <c r="O192" s="34" t="n"/>
      <c r="P192" s="35" t="n"/>
    </row>
    <row r="193" ht="15.75" customHeight="1" thickBot="1">
      <c r="B193" s="55" t="n"/>
      <c r="C193" s="36" t="n"/>
      <c r="F193" s="35" t="n"/>
      <c r="G193" s="34" t="n"/>
      <c r="H193" s="35" t="n"/>
      <c r="J193" s="55" t="n"/>
      <c r="K193" s="36" t="n"/>
      <c r="N193" s="35" t="n"/>
      <c r="O193" s="34" t="n"/>
      <c r="P193" s="35" t="n"/>
    </row>
    <row r="194" ht="15.75" customHeight="1" thickBot="1">
      <c r="B194" s="55" t="n"/>
      <c r="C194" s="36" t="n"/>
      <c r="F194" s="35" t="n"/>
      <c r="G194" s="34" t="n"/>
      <c r="H194" s="35" t="n"/>
      <c r="J194" s="55" t="n"/>
      <c r="K194" s="36" t="n"/>
      <c r="N194" s="35" t="n"/>
      <c r="O194" s="34" t="n"/>
      <c r="P194" s="35" t="n"/>
    </row>
    <row r="195" ht="15.75" customHeight="1" thickBot="1">
      <c r="B195" s="68" t="n"/>
      <c r="C195" s="36" t="n"/>
      <c r="F195" s="35" t="n"/>
      <c r="G195" s="34" t="n"/>
      <c r="H195" s="35" t="n"/>
      <c r="J195" s="55" t="n"/>
      <c r="K195" s="36" t="n"/>
      <c r="N195" s="35" t="n"/>
      <c r="O195" s="34" t="n"/>
      <c r="P195" s="35" t="n"/>
    </row>
    <row r="196" ht="15.75" customHeight="1" thickBot="1">
      <c r="B196" s="38" t="n"/>
      <c r="C196" s="36" t="n"/>
      <c r="F196" s="35" t="n"/>
      <c r="G196" s="34" t="inlineStr">
        <is>
          <t>Line 326</t>
        </is>
      </c>
      <c r="H196" s="35">
        <f>IF(TransferName="NONE",0,(_xlfn.XLOOKUP(TransferNumber,Clients!D:D,Clients!IKF:IKF,2,0,1)))</f>
        <v/>
      </c>
      <c r="J196" s="38" t="n"/>
      <c r="K196" s="36" t="n"/>
      <c r="N196" s="35" t="n"/>
      <c r="O196" s="34" t="inlineStr">
        <is>
          <t>Line 326</t>
        </is>
      </c>
      <c r="P196" s="35">
        <f>IFERROR(_xlfn.XLOOKUP(TransferNumber,Clients!D:D,Clients!JKH:JKH,2,0,1),0)</f>
        <v/>
      </c>
    </row>
    <row r="197" ht="15.75" customHeight="1" thickBot="1">
      <c r="A197" s="55" t="n"/>
      <c r="B197" s="38" t="n"/>
      <c r="C197" s="36" t="n"/>
      <c r="F197" s="35" t="n"/>
      <c r="G197" s="34" t="n"/>
      <c r="H197" s="35" t="n"/>
      <c r="J197" s="68" t="n"/>
      <c r="K197" s="36" t="n"/>
      <c r="N197" s="35" t="n"/>
      <c r="O197" s="34" t="n"/>
      <c r="P197" s="35" t="n"/>
    </row>
    <row r="198" ht="15.75" customHeight="1" thickBot="1">
      <c r="B198" s="38" t="n"/>
      <c r="C198" s="36" t="n"/>
      <c r="F198" s="35" t="n"/>
      <c r="G198" s="34" t="n"/>
      <c r="H198" s="35" t="n"/>
      <c r="J198" s="38" t="n"/>
      <c r="K198" s="36" t="n"/>
      <c r="N198" s="35" t="n"/>
      <c r="O198" s="34" t="n"/>
      <c r="P198" s="35" t="n"/>
    </row>
    <row r="199" ht="15.75" customHeight="1" thickBot="1">
      <c r="B199" s="38" t="n"/>
      <c r="C199" s="36" t="n"/>
      <c r="F199" s="35" t="n"/>
      <c r="G199" s="34" t="n"/>
      <c r="H199" s="35" t="n"/>
      <c r="J199" s="38" t="n"/>
      <c r="K199" s="36" t="n"/>
      <c r="N199" s="35" t="n"/>
      <c r="O199" s="34" t="n"/>
      <c r="P199" s="35" t="n"/>
    </row>
    <row r="200" ht="15.75" customHeight="1" thickBot="1">
      <c r="B200" s="38" t="n"/>
      <c r="C200" s="36" t="n"/>
      <c r="F200" s="35" t="n"/>
      <c r="G200" s="34" t="n"/>
      <c r="H200" s="35">
        <f>IF(E205&gt;0,E182-G182,0)</f>
        <v/>
      </c>
      <c r="J200" s="38" t="n"/>
      <c r="K200" s="36" t="n"/>
      <c r="N200" s="35" t="n"/>
      <c r="O200" s="34" t="n"/>
      <c r="P200" s="35">
        <f>IF(M205&gt;0,M182-O182,0)</f>
        <v/>
      </c>
    </row>
    <row r="201" ht="15.75" customHeight="1" thickBot="1">
      <c r="B201" s="38" t="n"/>
      <c r="C201" s="36" t="n"/>
      <c r="F201" s="35" t="n"/>
      <c r="H201" s="52">
        <f>IF(TransferName="NONE",F206,IF(H200&gt;0,(E205-G182)*0.059,0))</f>
        <v/>
      </c>
      <c r="J201" s="38" t="n"/>
      <c r="K201" s="36" t="n"/>
      <c r="N201" s="35" t="n"/>
      <c r="P201" s="52">
        <f>IF(TransferName="NONE",N206,IF(P200&gt;0,(M205-O182)*0.059,0))</f>
        <v/>
      </c>
    </row>
    <row r="202">
      <c r="B202" s="667" t="n"/>
      <c r="F202" s="35" t="n"/>
      <c r="G202" s="34" t="inlineStr">
        <is>
          <t>Transferable</t>
        </is>
      </c>
      <c r="H202" s="52">
        <f>IF(H201&gt;0,H201,0)</f>
        <v/>
      </c>
      <c r="J202" s="667" t="n"/>
      <c r="N202" s="35" t="n"/>
      <c r="O202" s="34" t="inlineStr">
        <is>
          <t>Transferable</t>
        </is>
      </c>
      <c r="P202" s="52">
        <f>IF(P201&gt;0,P201,0)</f>
        <v/>
      </c>
    </row>
    <row r="203">
      <c r="B203" s="667" t="inlineStr">
        <is>
          <t>Adjusted Taxable Income</t>
        </is>
      </c>
      <c r="C203">
        <f>C184-(SUM(C186:C201))</f>
        <v/>
      </c>
      <c r="D203" s="13" t="inlineStr">
        <is>
          <t>Line 5864</t>
        </is>
      </c>
      <c r="E203" s="39">
        <f>IF(C203&gt;0,C203,0)</f>
        <v/>
      </c>
      <c r="F203" s="35" t="n"/>
      <c r="G203" s="34" t="n"/>
      <c r="H203" s="35" t="n"/>
      <c r="J203" s="667" t="inlineStr">
        <is>
          <t>Adjusted Taxable Income</t>
        </is>
      </c>
      <c r="K203">
        <f>K184-(SUM(K186:K201))</f>
        <v/>
      </c>
      <c r="L203" s="13" t="inlineStr">
        <is>
          <t>Line 5864</t>
        </is>
      </c>
      <c r="M203" s="39">
        <f>IF(K203&gt;0,K203,0)</f>
        <v/>
      </c>
      <c r="N203" s="35" t="n"/>
      <c r="O203" s="34" t="n"/>
      <c r="P203" s="35" t="n"/>
    </row>
    <row r="204" ht="15.75" customHeight="1" thickBot="1">
      <c r="B204" s="34" t="n"/>
      <c r="F204" s="35" t="n"/>
      <c r="G204" s="34" t="n"/>
      <c r="H204" s="35" t="n"/>
      <c r="J204" s="34" t="n"/>
      <c r="N204" s="35" t="n"/>
      <c r="O204" s="34" t="n"/>
      <c r="P204" s="35" t="n"/>
    </row>
    <row r="205" ht="15.75" customHeight="1" thickBot="1">
      <c r="B205" s="34" t="n"/>
      <c r="D205" s="21" t="inlineStr">
        <is>
          <t>Prov Trans</t>
        </is>
      </c>
      <c r="E205" s="36">
        <f>(E182-E203)</f>
        <v/>
      </c>
      <c r="F205" s="40" t="n"/>
      <c r="G205" s="34" t="n"/>
      <c r="H205" s="52" t="n"/>
      <c r="J205" s="34" t="n"/>
      <c r="L205" s="21" t="inlineStr">
        <is>
          <t>Prov Trans</t>
        </is>
      </c>
      <c r="M205" s="36">
        <f>(M182-M203)</f>
        <v/>
      </c>
      <c r="N205" s="40" t="n"/>
      <c r="O205" s="34" t="n"/>
      <c r="P205" s="52" t="n"/>
    </row>
    <row r="206" ht="15.75" customHeight="1" thickBot="1">
      <c r="B206" s="34" t="n"/>
      <c r="C206" s="579" t="inlineStr">
        <is>
          <t>DTC Transferable ESTIMATE</t>
        </is>
      </c>
      <c r="D206" s="35" t="n"/>
      <c r="E206" s="36">
        <f>IF(E205&lt;0,0,(IF(E205&gt;E180,E180,E205)))</f>
        <v/>
      </c>
      <c r="F206" s="40">
        <f>IF(E206&gt;0,E206*0.059,"No Transfer Required")</f>
        <v/>
      </c>
      <c r="G206" s="58" t="n"/>
      <c r="H206" s="52" t="n"/>
      <c r="J206" s="34" t="n"/>
      <c r="K206" s="579" t="inlineStr">
        <is>
          <t>DTC Transferable ESTIMATE</t>
        </is>
      </c>
      <c r="L206" s="35" t="n"/>
      <c r="M206" s="36">
        <f>IF(M205&lt;0,0,(IF(M205&gt;M180,M180,M205)))</f>
        <v/>
      </c>
      <c r="N206" s="40">
        <f>IF(M206&gt;0,M206*0.059,"No Transfer Required")</f>
        <v/>
      </c>
      <c r="O206" s="58" t="n"/>
      <c r="P206" s="52" t="n"/>
    </row>
    <row r="207" ht="15.75" customHeight="1" thickBot="1">
      <c r="B207" s="42" t="n"/>
      <c r="C207" s="41" t="n"/>
      <c r="D207" s="43" t="inlineStr">
        <is>
          <t>Net Transferable</t>
        </is>
      </c>
      <c r="E207" s="36">
        <f>IF(E205&lt;0,0,(IF(E205-G178-G179-G181&lt;0,E205,(E205-G178-G179-G181))))</f>
        <v/>
      </c>
      <c r="F207" s="57">
        <f>IF(E207&gt;0,E207*0.059,"0")</f>
        <v/>
      </c>
      <c r="G207" s="59" t="n"/>
      <c r="H207" s="864" t="n"/>
      <c r="J207" s="42" t="n"/>
      <c r="K207" s="41" t="n"/>
      <c r="L207" s="43" t="inlineStr">
        <is>
          <t>Net Transferable</t>
        </is>
      </c>
      <c r="M207" s="36">
        <f>IF(M205&lt;0,0,(IF(M205-O178-O179-O181&lt;0,M205,(M205-O178-O179-O181))))</f>
        <v/>
      </c>
      <c r="N207" s="57">
        <f>IF(M207&gt;0,M207*0.059,"0")</f>
        <v/>
      </c>
      <c r="O207" s="59" t="n"/>
      <c r="P207" s="864" t="n"/>
    </row>
    <row r="208">
      <c r="D208" s="60" t="n"/>
      <c r="F208" s="61" t="n"/>
      <c r="G208" s="449" t="n"/>
      <c r="H208" s="866" t="n"/>
      <c r="L208" s="60" t="n"/>
      <c r="N208" s="866" t="n"/>
      <c r="O208" s="64" t="n"/>
      <c r="P208" s="866" t="n"/>
    </row>
  </sheetData>
  <mergeCells count="88">
    <mergeCell ref="J180:K180"/>
    <mergeCell ref="K33:L33"/>
    <mergeCell ref="C172:D172"/>
    <mergeCell ref="J146:K146"/>
    <mergeCell ref="B77:C77"/>
    <mergeCell ref="K138:L138"/>
    <mergeCell ref="G68:G69"/>
    <mergeCell ref="B182:C182"/>
    <mergeCell ref="J4:K4"/>
    <mergeCell ref="B78:C78"/>
    <mergeCell ref="G33:G34"/>
    <mergeCell ref="B112:C112"/>
    <mergeCell ref="J147:K147"/>
    <mergeCell ref="C138:D138"/>
    <mergeCell ref="B178:C178"/>
    <mergeCell ref="B2:H2"/>
    <mergeCell ref="B40:C40"/>
    <mergeCell ref="K172:L172"/>
    <mergeCell ref="B41:C41"/>
    <mergeCell ref="J110:K110"/>
    <mergeCell ref="B37:H37"/>
    <mergeCell ref="J181:K181"/>
    <mergeCell ref="B142:H142"/>
    <mergeCell ref="B180:C180"/>
    <mergeCell ref="J77:K77"/>
    <mergeCell ref="G103:G104"/>
    <mergeCell ref="B179:C179"/>
    <mergeCell ref="B72:H72"/>
    <mergeCell ref="B176:H176"/>
    <mergeCell ref="G138:G139"/>
    <mergeCell ref="J75:K75"/>
    <mergeCell ref="B107:H107"/>
    <mergeCell ref="B6:C6"/>
    <mergeCell ref="K206:L206"/>
    <mergeCell ref="J145:K145"/>
    <mergeCell ref="B144:C144"/>
    <mergeCell ref="K68:L68"/>
    <mergeCell ref="J111:K111"/>
    <mergeCell ref="B7:C7"/>
    <mergeCell ref="C68:D68"/>
    <mergeCell ref="J2:P2"/>
    <mergeCell ref="J142:P142"/>
    <mergeCell ref="J40:K40"/>
    <mergeCell ref="B43:C43"/>
    <mergeCell ref="B42:C42"/>
    <mergeCell ref="J182:K182"/>
    <mergeCell ref="J74:K74"/>
    <mergeCell ref="J179:K179"/>
    <mergeCell ref="J72:P72"/>
    <mergeCell ref="B148:C148"/>
    <mergeCell ref="J37:P37"/>
    <mergeCell ref="B146:C146"/>
    <mergeCell ref="J176:P176"/>
    <mergeCell ref="J113:K113"/>
    <mergeCell ref="J107:P107"/>
    <mergeCell ref="B5:C5"/>
    <mergeCell ref="B76:C76"/>
    <mergeCell ref="J42:K42"/>
    <mergeCell ref="B4:C4"/>
    <mergeCell ref="B75:C75"/>
    <mergeCell ref="J39:K39"/>
    <mergeCell ref="B109:C109"/>
    <mergeCell ref="J144:K144"/>
    <mergeCell ref="J5:K5"/>
    <mergeCell ref="C33:D33"/>
    <mergeCell ref="J112:K112"/>
    <mergeCell ref="J78:K78"/>
    <mergeCell ref="C206:D206"/>
    <mergeCell ref="B39:C39"/>
    <mergeCell ref="J6:K6"/>
    <mergeCell ref="C103:D103"/>
    <mergeCell ref="B111:C111"/>
    <mergeCell ref="B145:C145"/>
    <mergeCell ref="J178:K178"/>
    <mergeCell ref="B181:C181"/>
    <mergeCell ref="B8:C8"/>
    <mergeCell ref="J148:K148"/>
    <mergeCell ref="B147:C147"/>
    <mergeCell ref="J7:K7"/>
    <mergeCell ref="J41:K41"/>
    <mergeCell ref="J109:K109"/>
    <mergeCell ref="B74:C74"/>
    <mergeCell ref="J43:K43"/>
    <mergeCell ref="K103:L103"/>
    <mergeCell ref="J76:K76"/>
    <mergeCell ref="B110:C110"/>
    <mergeCell ref="J8:K8"/>
    <mergeCell ref="B113:C113"/>
  </mergeCells>
  <pageMargins left="0.7" right="0.7" top="0.75" bottom="0.75" header="0.3" footer="0.3"/>
  <pageSetup orientation="portrait" verticalDpi="597"/>
</worksheet>
</file>

<file path=xl/worksheets/sheet16.xml><?xml version="1.0" encoding="utf-8"?>
<worksheet xmlns="http://schemas.openxmlformats.org/spreadsheetml/2006/main">
  <sheetPr codeName="Sheet13">
    <tabColor rgb="FF92D050"/>
    <outlinePr summaryBelow="1" summaryRight="1"/>
    <pageSetUpPr/>
  </sheetPr>
  <dimension ref="A1:P208"/>
  <sheetViews>
    <sheetView topLeftCell="A168" zoomScale="60" zoomScaleNormal="60" workbookViewId="0">
      <selection activeCell="E206" sqref="E206"/>
    </sheetView>
  </sheetViews>
  <sheetFormatPr baseColWidth="8" defaultRowHeight="15"/>
  <cols>
    <col width="1.140625" customWidth="1" min="1" max="1"/>
    <col width="23.7109375" bestFit="1" customWidth="1" min="2" max="2"/>
    <col width="16" customWidth="1" min="3" max="3"/>
    <col width="19.42578125" bestFit="1" customWidth="1" min="4" max="4"/>
    <col width="13.5703125" bestFit="1" customWidth="1" min="5" max="5"/>
    <col width="13.42578125" customWidth="1" min="6" max="6"/>
    <col width="12.140625" bestFit="1" customWidth="1" min="7" max="7"/>
    <col width="59" customWidth="1" min="8" max="8"/>
    <col width="12.140625" customWidth="1" min="9" max="9"/>
    <col width="23.7109375" bestFit="1" customWidth="1" min="10" max="10"/>
    <col width="11.85546875" customWidth="1" min="11" max="11"/>
    <col width="18.42578125" bestFit="1" customWidth="1" min="12" max="12"/>
    <col width="13.5703125" bestFit="1" customWidth="1" min="13" max="13"/>
    <col width="13.5703125" customWidth="1" min="14" max="14"/>
    <col width="12.140625" bestFit="1" customWidth="1" min="15" max="15"/>
    <col width="58.7109375" customWidth="1" min="16" max="16"/>
  </cols>
  <sheetData>
    <row r="1" ht="15.75" customHeight="1" thickBot="1">
      <c r="E1">
        <f>Calculator!$D$5</f>
        <v/>
      </c>
      <c r="H1">
        <f>TransferName</f>
        <v/>
      </c>
      <c r="M1">
        <f>Calculator!$D$5</f>
        <v/>
      </c>
      <c r="P1">
        <f>TransferName</f>
        <v/>
      </c>
    </row>
    <row r="2" ht="15.75" customHeight="1" thickBot="1">
      <c r="B2" s="867" t="inlineStr">
        <is>
          <t>2024 NOVA SCOTIA Provincial</t>
        </is>
      </c>
      <c r="C2" s="778" t="n"/>
      <c r="D2" s="778" t="n"/>
      <c r="E2" s="778" t="n"/>
      <c r="F2" s="778" t="n"/>
      <c r="G2" s="778" t="n"/>
      <c r="H2" s="780" t="n"/>
      <c r="J2" s="878" t="inlineStr">
        <is>
          <t>2023 NOVA SCOTIA Provincial</t>
        </is>
      </c>
      <c r="K2" s="778" t="n"/>
      <c r="L2" s="778" t="n"/>
      <c r="M2" s="778" t="n"/>
      <c r="N2" s="778" t="n"/>
      <c r="O2" s="778" t="n"/>
      <c r="P2" s="780" t="n"/>
    </row>
    <row r="3" ht="15.75" customHeight="1" thickBot="1">
      <c r="B3" s="116" t="n"/>
      <c r="C3" s="115" t="n"/>
      <c r="D3" s="115" t="inlineStr">
        <is>
          <t>Line</t>
        </is>
      </c>
      <c r="E3" s="115" t="inlineStr">
        <is>
          <t>Amt</t>
        </is>
      </c>
      <c r="F3" s="117" t="n"/>
      <c r="G3" s="675" t="inlineStr">
        <is>
          <t>Spouse</t>
        </is>
      </c>
      <c r="H3" s="117" t="inlineStr">
        <is>
          <t>S2 Adjustment</t>
        </is>
      </c>
      <c r="J3" s="34" t="n"/>
      <c r="L3" t="inlineStr">
        <is>
          <t>Line</t>
        </is>
      </c>
      <c r="M3" t="inlineStr">
        <is>
          <t>Amt</t>
        </is>
      </c>
      <c r="N3" s="35" t="n"/>
      <c r="O3" s="34" t="inlineStr">
        <is>
          <t>Spouse</t>
        </is>
      </c>
      <c r="P3" s="35" t="inlineStr">
        <is>
          <t>S2 Adjustment</t>
        </is>
      </c>
    </row>
    <row r="4" ht="15.75" customHeight="1" thickBot="1">
      <c r="B4" s="675" t="inlineStr">
        <is>
          <t>Age Amount</t>
        </is>
      </c>
      <c r="D4" s="115" t="inlineStr">
        <is>
          <t>Line 58080</t>
        </is>
      </c>
      <c r="E4" s="869">
        <f>(_xlfn.XLOOKUP(ClientNumber,Clients!D:D,Clients!ANR:ANR,2,0,1))</f>
        <v/>
      </c>
      <c r="F4" s="119" t="inlineStr">
        <is>
          <t>Line 59020</t>
        </is>
      </c>
      <c r="G4" s="141">
        <f>IF(TransferName="NONE",0,(_xlfn.XLOOKUP(TransferNumber,Clients!D:D,Clients!APT:APT,2,0,1)))</f>
        <v/>
      </c>
      <c r="H4" s="119">
        <f>IF(AND(E4&gt;0,G4=0),"Age Amount Can Be Transferred","No Action")</f>
        <v/>
      </c>
      <c r="J4" s="667" t="inlineStr">
        <is>
          <t>Age Amount</t>
        </is>
      </c>
      <c r="L4" t="inlineStr">
        <is>
          <t>Line 58080</t>
        </is>
      </c>
      <c r="M4" s="865">
        <f>(_xlfn.XLOOKUP(MainClient,Clients!D:D,Clients!MW:MW,2,0,1))</f>
        <v/>
      </c>
      <c r="N4" s="37" t="inlineStr">
        <is>
          <t>Line 59020</t>
        </is>
      </c>
      <c r="O4" s="51">
        <f>IF(TransferName="NONE",0,(_xlfn.XLOOKUP(TransferNumber,Clients!D:D,Clients!OY:OY,2,0,1)))</f>
        <v/>
      </c>
      <c r="P4" s="37">
        <f>IF(AND(M4&gt;0,O4=0),"Age Amount Can Be Transferred","No Action")</f>
        <v/>
      </c>
    </row>
    <row r="5" ht="15.75" customHeight="1" thickBot="1">
      <c r="B5" s="675" t="inlineStr">
        <is>
          <t>Pension Income Amount</t>
        </is>
      </c>
      <c r="D5" s="115" t="inlineStr">
        <is>
          <t>Line 58360 (mx 1173)</t>
        </is>
      </c>
      <c r="E5" s="869">
        <f>IF((_xlfn.XLOOKUP(ClientNumber,Clients!D:D,Clients!AOR:AOR,2,0,1)&lt;1173),(_xlfn.XLOOKUP(MainClient,Clients!D:D,Clients!AOR:AOR,2,0,1)),1173)</f>
        <v/>
      </c>
      <c r="F5" s="119" t="inlineStr">
        <is>
          <t>Line 59050</t>
        </is>
      </c>
      <c r="G5" s="141">
        <f>IF(TransferName="NONE",0,(_xlfn.XLOOKUP(TransferNumber,Clients!D:D,Clients!APW:APW,2,0,1)))</f>
        <v/>
      </c>
      <c r="H5" s="119">
        <f>IF(AND(E5&gt;0,G5=0),"Pension Income Amount Can Be Transferred","No Action")</f>
        <v/>
      </c>
      <c r="J5" s="667" t="inlineStr">
        <is>
          <t>Pension Income Amount</t>
        </is>
      </c>
      <c r="L5" t="inlineStr">
        <is>
          <t>Line 58360 (mx 1173)</t>
        </is>
      </c>
      <c r="M5" s="865">
        <f>IF((_xlfn.XLOOKUP(ClientNumber,Clients!D:D,Clients!NW:NW,2,0,1)&lt;1173),(_xlfn.XLOOKUP(MainClient,Clients!D:D,Clients!NW:NW,2,0,1)),1173)</f>
        <v/>
      </c>
      <c r="N5" s="37" t="inlineStr">
        <is>
          <t>Line 59050</t>
        </is>
      </c>
      <c r="O5" s="51">
        <f>IF(TransferName="NONE",0,(_xlfn.XLOOKUP(TransferNumber,Clients!D:D,Clients!PB:PB,2,0,1)))</f>
        <v/>
      </c>
      <c r="P5" s="37">
        <f>IF(AND(M5&gt;0,O5=0),"Pension Income Amount Can Be Transferred","No Action")</f>
        <v/>
      </c>
    </row>
    <row r="6" ht="15.75" customHeight="1" thickBot="1">
      <c r="B6" s="675" t="inlineStr">
        <is>
          <t>Disability Amount</t>
        </is>
      </c>
      <c r="D6" s="115" t="inlineStr">
        <is>
          <t>Line 58440</t>
        </is>
      </c>
      <c r="E6" s="869">
        <f>IF(_xlfn.XLOOKUP(ClientNumber,Clients!D:D,Clients!AOT:AOT,2,0,1)=0,7341,(_xlfn.XLOOKUP(MainClient,Clients!D:D,Clients!AOT:AOT,2,0,1)))</f>
        <v/>
      </c>
      <c r="F6" s="119" t="inlineStr">
        <is>
          <t>Line 59070</t>
        </is>
      </c>
      <c r="G6" s="141">
        <f>IF(TransferName="NONE",0,(_xlfn.XLOOKUP(TransferNumber,Clients!D:D,Clients!APX:APX,2,0,1)))</f>
        <v/>
      </c>
      <c r="H6" s="119">
        <f>IF(AND(E6&gt;0,G6=0),"DTC Transferable Not Claimed Can Be Transferred","No Action")</f>
        <v/>
      </c>
      <c r="J6" s="667" t="inlineStr">
        <is>
          <t>Disability Amount</t>
        </is>
      </c>
      <c r="L6" t="inlineStr">
        <is>
          <t>Line 58440</t>
        </is>
      </c>
      <c r="M6" s="865">
        <f>IF(_xlfn.XLOOKUP(ClientNumber,Clients!D:D,Clients!NY:NY,2,0,1)=0,7341,(_xlfn.XLOOKUP(MainClient,Clients!D:D,Clients!NY:NY,2,0,1)))</f>
        <v/>
      </c>
      <c r="N6" s="37" t="inlineStr">
        <is>
          <t>Line 59070</t>
        </is>
      </c>
      <c r="O6" s="51">
        <f>IF(TransferName="NONE",0,(_xlfn.XLOOKUP(TransferNumber,Clients!D:D,Clients!PC:PC,2,0,1)))</f>
        <v/>
      </c>
      <c r="P6" s="37">
        <f>IF(AND(M6&gt;0,O6=0),"DTC Transferable Not Claimed Can Be Transferred","No Action")</f>
        <v/>
      </c>
    </row>
    <row r="7" ht="15.75" customHeight="1" thickBot="1">
      <c r="B7" s="675" t="inlineStr">
        <is>
          <t>Tuition Amount</t>
        </is>
      </c>
      <c r="D7" s="115" t="inlineStr">
        <is>
          <t>Line 59200</t>
        </is>
      </c>
      <c r="E7" s="869">
        <f>(_xlfn.XLOOKUP(ClientNumber,Clients!D:D,Clients!AQI:AQI,2,0,1))</f>
        <v/>
      </c>
      <c r="F7" s="119" t="inlineStr">
        <is>
          <t>Line 59090</t>
        </is>
      </c>
      <c r="G7" s="141">
        <f>IF(TransferName="NONE",0,(_xlfn.XLOOKUP(TransferNumber,Clients!D:D,Clients!APY:APY,2,0,1)))</f>
        <v/>
      </c>
      <c r="H7" s="119">
        <f>IF(AND(E7&gt;0,G7=0),"Tuition Can Be Transferred","No Action")</f>
        <v/>
      </c>
      <c r="J7" s="667" t="inlineStr">
        <is>
          <t>Tuition Amount</t>
        </is>
      </c>
      <c r="L7" t="inlineStr">
        <is>
          <t>Line 59200</t>
        </is>
      </c>
      <c r="M7" s="865">
        <f>(_xlfn.XLOOKUP(MainClient,Clients!D:D,Clients!PN:PN,2,0,1))</f>
        <v/>
      </c>
      <c r="N7" s="37" t="inlineStr">
        <is>
          <t>Line 59090</t>
        </is>
      </c>
      <c r="O7" s="51">
        <f>IF(TransferName="NONE",0,(_xlfn.XLOOKUP(TransferNumber,Clients!D:D,Clients!PD:PD,2,0,1)))</f>
        <v/>
      </c>
      <c r="P7" s="37">
        <f>IF(AND(M7&gt;0,O7=0),"Tuition Can Be Transferred","No Action")</f>
        <v/>
      </c>
    </row>
    <row r="8">
      <c r="B8" s="675" t="n"/>
      <c r="D8" s="115" t="n"/>
      <c r="E8" s="871">
        <f>SUM(E4:E7)</f>
        <v/>
      </c>
      <c r="F8" s="119" t="n"/>
      <c r="G8" s="675">
        <f>SUM(G4:G7)</f>
        <v/>
      </c>
      <c r="H8" s="119" t="n"/>
      <c r="J8" s="667" t="n"/>
      <c r="M8" s="872">
        <f>SUM(M4:M7)</f>
        <v/>
      </c>
      <c r="N8" s="37" t="n"/>
      <c r="O8" s="667">
        <f>SUM(O4:O7)</f>
        <v/>
      </c>
      <c r="P8" s="37" t="n"/>
    </row>
    <row r="9">
      <c r="B9" s="675" t="n"/>
      <c r="C9" s="676" t="n"/>
      <c r="D9" s="115" t="n"/>
      <c r="E9" s="871" t="n"/>
      <c r="F9" s="119" t="n"/>
      <c r="G9" s="676" t="n"/>
      <c r="H9" s="119" t="n"/>
      <c r="J9" s="667" t="n"/>
      <c r="K9" s="668" t="n"/>
      <c r="M9" s="872" t="n"/>
      <c r="N9" s="37" t="n"/>
      <c r="O9" s="668" t="n"/>
      <c r="P9" s="37" t="n"/>
    </row>
    <row r="10" ht="15.75" customHeight="1" thickBot="1">
      <c r="B10" s="116" t="n"/>
      <c r="C10" s="115" t="n"/>
      <c r="D10" s="115" t="n"/>
      <c r="E10" s="115" t="n"/>
      <c r="F10" s="117" t="n"/>
      <c r="G10" s="115" t="n"/>
      <c r="H10" s="117" t="n"/>
      <c r="J10" s="34" t="n"/>
      <c r="N10" s="35" t="n"/>
      <c r="P10" s="35" t="n"/>
    </row>
    <row r="11" ht="15.75" customHeight="1" thickBot="1">
      <c r="B11" s="675" t="inlineStr">
        <is>
          <t>Line 260</t>
        </is>
      </c>
      <c r="C11" s="120">
        <f>(_xlfn.XLOOKUP(MainClient,Clients!D:D,Clients!AFS:AFS,2,0,1))</f>
        <v/>
      </c>
      <c r="D11" s="115" t="n"/>
      <c r="E11" s="115" t="n"/>
      <c r="F11" s="117" t="n"/>
      <c r="G11" s="116">
        <f>IF(E34&gt;E6,"other transferable credits","DTC Only")</f>
        <v/>
      </c>
      <c r="H11" s="117" t="n"/>
      <c r="J11" s="667" t="inlineStr">
        <is>
          <t>Line 26000</t>
        </is>
      </c>
      <c r="K11" s="36">
        <f>(_xlfn.XLOOKUP(MainClient,Clients!D:D,Clients!EX:EX,2,0,1))</f>
        <v/>
      </c>
      <c r="N11" s="35" t="n"/>
      <c r="O11" s="34">
        <f>IF(M34&gt;M6,"other transferable credits","DTC Only")</f>
        <v/>
      </c>
      <c r="P11" s="35" t="n"/>
    </row>
    <row r="12" ht="15.75" customHeight="1" thickBot="1">
      <c r="B12" s="116" t="n"/>
      <c r="C12" s="115" t="n"/>
      <c r="D12" s="115" t="n"/>
      <c r="E12" s="115" t="n"/>
      <c r="F12" s="117" t="n"/>
      <c r="G12" s="116" t="n"/>
      <c r="H12" s="117" t="n"/>
      <c r="J12" s="34" t="n"/>
      <c r="N12" s="35" t="n"/>
      <c r="O12" s="34" t="n"/>
      <c r="P12" s="35" t="n"/>
    </row>
    <row r="13" ht="15.75" customHeight="1" thickBot="1">
      <c r="B13" s="121" t="inlineStr">
        <is>
          <t>Line 58040</t>
        </is>
      </c>
      <c r="C13" s="120">
        <f>(_xlfn.XLOOKUP(ClientNumber,Clients!D:D,Clients!ANQ:ANQ,2,0,1))</f>
        <v/>
      </c>
      <c r="D13" s="115" t="n"/>
      <c r="E13" s="115" t="n"/>
      <c r="F13" s="117" t="n"/>
      <c r="G13" s="116" t="n"/>
      <c r="H13" s="117" t="n"/>
      <c r="J13" s="55" t="inlineStr">
        <is>
          <t>Line 58040</t>
        </is>
      </c>
      <c r="K13" s="36">
        <f>(_xlfn.XLOOKUP(MainClient,Clients!D:D,Clients!MV:MV,2,0,1))</f>
        <v/>
      </c>
      <c r="N13" s="35" t="n"/>
      <c r="O13" s="34" t="n"/>
      <c r="P13" s="35" t="n"/>
    </row>
    <row r="14" ht="15.75" customHeight="1" thickBot="1">
      <c r="B14" s="121" t="inlineStr">
        <is>
          <t>Line 58240</t>
        </is>
      </c>
      <c r="C14" s="120">
        <f>(_xlfn.XLOOKUP(ClientNumber,Clients!D:D,Clients!AOF:AOF,2,0,1))</f>
        <v/>
      </c>
      <c r="D14" s="115" t="n"/>
      <c r="E14" s="115" t="n"/>
      <c r="F14" s="117" t="n"/>
      <c r="G14" s="116" t="n"/>
      <c r="H14" s="117" t="n"/>
      <c r="J14" s="55" t="inlineStr">
        <is>
          <t>Line 58240</t>
        </is>
      </c>
      <c r="K14" s="36">
        <f>(_xlfn.XLOOKUP(MainClient,Clients!D:D,Clients!NK:NK,2,0,1))</f>
        <v/>
      </c>
      <c r="N14" s="35" t="n"/>
      <c r="O14" s="34" t="n"/>
      <c r="P14" s="35" t="n"/>
    </row>
    <row r="15" ht="15.75" customHeight="1" thickBot="1">
      <c r="B15" s="121" t="inlineStr">
        <is>
          <t>Line 58280</t>
        </is>
      </c>
      <c r="C15" s="120">
        <f>(_xlfn.XLOOKUP(ClientNumber,Clients!D:D,Clients!AOG:AOG,2,0,1))</f>
        <v/>
      </c>
      <c r="D15" s="115" t="n"/>
      <c r="E15" s="115" t="n"/>
      <c r="F15" s="117" t="n"/>
      <c r="G15" s="116" t="n"/>
      <c r="H15" s="117" t="n"/>
      <c r="J15" s="55" t="inlineStr">
        <is>
          <t>Line 58280</t>
        </is>
      </c>
      <c r="K15" s="36">
        <f>(_xlfn.XLOOKUP(MainClient,Clients!D:D,Clients!NL:NL,2,0,1))</f>
        <v/>
      </c>
      <c r="N15" s="35" t="n"/>
      <c r="P15" s="35" t="n"/>
    </row>
    <row r="16" ht="15.75" customHeight="1" thickBot="1">
      <c r="B16" s="121" t="inlineStr">
        <is>
          <t>Line 58300</t>
        </is>
      </c>
      <c r="C16" s="120">
        <f>(_xlfn.XLOOKUP(ClientNumber,Clients!D:D,Clients!AOH:AOH,2,0,1))</f>
        <v/>
      </c>
      <c r="D16" s="115" t="n"/>
      <c r="E16" s="115" t="n"/>
      <c r="F16" s="117" t="n"/>
      <c r="G16" s="116" t="n"/>
      <c r="H16" s="117" t="n"/>
      <c r="J16" s="55" t="inlineStr">
        <is>
          <t>Line 58300</t>
        </is>
      </c>
      <c r="K16" s="36">
        <f>(_xlfn.XLOOKUP(MainClient,Clients!D:D,Clients!NM:NM,2,0,1))</f>
        <v/>
      </c>
      <c r="N16" s="35" t="n"/>
      <c r="O16" s="34" t="n"/>
      <c r="P16" s="35" t="n"/>
    </row>
    <row r="17" ht="15.75" customHeight="1" thickBot="1">
      <c r="B17" s="121" t="inlineStr">
        <is>
          <t>Line 58305</t>
        </is>
      </c>
      <c r="C17" s="120">
        <f>(_xlfn.XLOOKUP(ClientNumber,Clients!D:D,Clients!AOI:AOI,2,0,1))</f>
        <v/>
      </c>
      <c r="D17" s="115" t="n"/>
      <c r="E17" s="115" t="n"/>
      <c r="F17" s="117" t="n"/>
      <c r="G17" s="116" t="n"/>
      <c r="H17" s="117" t="n"/>
      <c r="J17" s="55" t="inlineStr">
        <is>
          <t>Line 58305</t>
        </is>
      </c>
      <c r="K17" s="36">
        <f>(_xlfn.XLOOKUP(MainClient,Clients!D:D,Clients!NN:NN,2,0,1))</f>
        <v/>
      </c>
      <c r="N17" s="35" t="n"/>
      <c r="O17" s="34" t="n"/>
      <c r="P17" s="35" t="n"/>
    </row>
    <row r="18" ht="15.75" customHeight="1" thickBot="1">
      <c r="B18" s="121" t="inlineStr">
        <is>
          <t>Line 58560</t>
        </is>
      </c>
      <c r="C18" s="120">
        <f>(_xlfn.XLOOKUP(ClientNumber,Clients!D:D,Clients!AOX:AOX,2,0,1))</f>
        <v/>
      </c>
      <c r="D18" s="115" t="n"/>
      <c r="E18" s="115" t="n"/>
      <c r="F18" s="117" t="n"/>
      <c r="G18" s="116" t="n"/>
      <c r="H18" s="117" t="n"/>
      <c r="J18" s="55" t="inlineStr">
        <is>
          <t>Line 58560</t>
        </is>
      </c>
      <c r="K18" s="36">
        <f>(_xlfn.XLOOKUP(MainClient,Clients!D:D,Clients!OC:OC,2,0,1))</f>
        <v/>
      </c>
      <c r="N18" s="35" t="n"/>
      <c r="O18" s="34" t="n"/>
      <c r="P18" s="35" t="n"/>
    </row>
    <row r="19" ht="15.75" customHeight="1" thickBot="1">
      <c r="B19" s="121" t="n"/>
      <c r="C19" s="120" t="n"/>
      <c r="D19" s="115" t="n"/>
      <c r="E19" s="115" t="n"/>
      <c r="F19" s="117" t="n"/>
      <c r="G19" s="116" t="n"/>
      <c r="H19" s="117" t="n"/>
      <c r="J19" s="55" t="n"/>
      <c r="K19" s="36" t="n"/>
      <c r="N19" s="35" t="n"/>
      <c r="O19" s="34" t="n"/>
      <c r="P19" s="35" t="n"/>
    </row>
    <row r="20" ht="15.75" customHeight="1" thickBot="1">
      <c r="B20" s="121" t="n"/>
      <c r="C20" s="120" t="n"/>
      <c r="D20" s="115" t="n"/>
      <c r="E20" s="115" t="n"/>
      <c r="F20" s="117" t="n"/>
      <c r="G20" s="116" t="n"/>
      <c r="H20" s="117" t="n"/>
      <c r="J20" s="55" t="n"/>
      <c r="K20" s="36" t="n"/>
      <c r="N20" s="35" t="n"/>
      <c r="O20" s="34" t="n"/>
      <c r="P20" s="35" t="n"/>
    </row>
    <row r="21" ht="15.75" customHeight="1" thickBot="1">
      <c r="B21" s="121" t="n"/>
      <c r="C21" s="120" t="n"/>
      <c r="D21" s="115" t="n"/>
      <c r="E21" s="115" t="n"/>
      <c r="F21" s="117" t="n"/>
      <c r="G21" s="116" t="n"/>
      <c r="H21" s="117" t="n"/>
      <c r="J21" s="55" t="n"/>
      <c r="K21" s="36" t="n"/>
      <c r="N21" s="35" t="n"/>
      <c r="O21" s="34" t="n"/>
      <c r="P21" s="35" t="n"/>
    </row>
    <row r="22" ht="15.75" customHeight="1" thickBot="1">
      <c r="B22" s="121" t="n"/>
      <c r="C22" s="120" t="n"/>
      <c r="D22" s="115" t="n"/>
      <c r="E22" s="115" t="n"/>
      <c r="F22" s="117" t="n"/>
      <c r="G22" s="116" t="n"/>
      <c r="H22" s="117" t="n"/>
      <c r="J22" s="55" t="n"/>
      <c r="K22" s="36" t="n"/>
      <c r="N22" s="35" t="n"/>
      <c r="O22" s="34" t="n"/>
      <c r="P22" s="35" t="n"/>
    </row>
    <row r="23" ht="15.75" customHeight="1" thickBot="1">
      <c r="B23" s="121" t="n"/>
      <c r="C23" s="120" t="n"/>
      <c r="D23" s="115" t="n"/>
      <c r="E23" s="115" t="n"/>
      <c r="F23" s="117" t="n"/>
      <c r="G23" s="116" t="inlineStr">
        <is>
          <t>Line 326</t>
        </is>
      </c>
      <c r="H23" s="117">
        <f>IF(TransferName="NONE",0,(_xlfn.XLOOKUP(TransferNumber,Clients!D:D,Clients!CIH:CIH,2,0,1)))</f>
        <v/>
      </c>
      <c r="J23" s="55" t="n"/>
      <c r="K23" s="36" t="n"/>
      <c r="N23" s="35" t="n"/>
      <c r="O23" s="34" t="inlineStr">
        <is>
          <t>Line 58640</t>
        </is>
      </c>
      <c r="P23" s="35">
        <f>IFERROR(_xlfn.XLOOKUP(TransferNumber,Clients!D:D,Clients!OI:OI,2,0,1),0)</f>
        <v/>
      </c>
    </row>
    <row r="24" ht="15.75" customHeight="1" thickBot="1">
      <c r="B24" s="121" t="n"/>
      <c r="C24" s="120" t="n"/>
      <c r="D24" s="115" t="n"/>
      <c r="E24" s="115" t="n"/>
      <c r="F24" s="117" t="n"/>
      <c r="G24" s="116" t="n"/>
      <c r="H24" s="117" t="n"/>
      <c r="J24" s="55" t="n"/>
      <c r="K24" s="36" t="n"/>
      <c r="N24" s="35" t="n"/>
      <c r="O24" s="34" t="n"/>
      <c r="P24" s="35" t="n"/>
    </row>
    <row r="25" ht="15.75" customHeight="1" thickBot="1">
      <c r="B25" s="121" t="n"/>
      <c r="C25" s="120" t="n"/>
      <c r="D25" s="115" t="n"/>
      <c r="E25" s="115" t="n"/>
      <c r="F25" s="117" t="n"/>
      <c r="G25" s="116" t="n"/>
      <c r="H25" s="117" t="n"/>
      <c r="J25" s="55" t="n"/>
      <c r="K25" s="36" t="n"/>
      <c r="N25" s="35" t="n"/>
      <c r="O25" s="34" t="n"/>
      <c r="P25" s="35" t="n"/>
    </row>
    <row r="26" ht="15.75" customHeight="1" thickBot="1">
      <c r="B26" s="121" t="n"/>
      <c r="C26" s="120" t="n"/>
      <c r="D26" s="115" t="n"/>
      <c r="E26" s="115" t="n"/>
      <c r="F26" s="117" t="n"/>
      <c r="G26" s="116" t="n"/>
      <c r="H26" s="117" t="n"/>
      <c r="J26" s="55" t="n"/>
      <c r="K26" s="36" t="n"/>
      <c r="N26" s="35" t="n"/>
      <c r="O26" s="34" t="n"/>
      <c r="P26" s="35" t="n"/>
    </row>
    <row r="27" ht="15.75" customHeight="1" thickBot="1">
      <c r="B27" s="121" t="n"/>
      <c r="C27" s="120" t="n"/>
      <c r="D27" s="115" t="n"/>
      <c r="E27" s="115" t="n"/>
      <c r="F27" s="117" t="n"/>
      <c r="G27" s="116" t="n"/>
      <c r="H27" s="117">
        <f>IF(E32&gt;0,E8-G8,0)</f>
        <v/>
      </c>
      <c r="J27" s="55" t="n"/>
      <c r="K27" s="36" t="n"/>
      <c r="N27" s="35" t="n"/>
      <c r="O27" s="34" t="n"/>
      <c r="P27" s="35">
        <f>IF(M32&gt;0,M8-O8,0)</f>
        <v/>
      </c>
    </row>
    <row r="28" ht="15.75" customHeight="1" thickBot="1">
      <c r="B28" s="121" t="n"/>
      <c r="C28" s="120" t="n"/>
      <c r="D28" s="115" t="n"/>
      <c r="E28" s="115" t="n"/>
      <c r="F28" s="117" t="n"/>
      <c r="G28" s="115" t="n"/>
      <c r="H28" s="122">
        <f>IF(TransferName="NONE",F33,IF(H27&gt;0,(E32-G8)*0.0879,0))</f>
        <v/>
      </c>
      <c r="J28" s="55" t="n"/>
      <c r="K28" s="36" t="n"/>
      <c r="N28" s="35" t="n"/>
      <c r="P28" s="52">
        <f>IF(TransferName="NONE",N33,IF(P27&gt;0,(M32-O8)*0.0879,0))</f>
        <v/>
      </c>
    </row>
    <row r="29">
      <c r="B29" s="675" t="n"/>
      <c r="C29" s="115" t="n"/>
      <c r="D29" s="115" t="n"/>
      <c r="E29" s="115" t="n"/>
      <c r="F29" s="117" t="n"/>
      <c r="G29" s="116" t="inlineStr">
        <is>
          <t>Transferable</t>
        </is>
      </c>
      <c r="H29" s="122">
        <f>IF(H28&gt;0,H28,0)</f>
        <v/>
      </c>
      <c r="J29" s="667" t="n"/>
      <c r="N29" s="35" t="n"/>
      <c r="O29" s="34" t="inlineStr">
        <is>
          <t>Transferable</t>
        </is>
      </c>
      <c r="P29" s="52">
        <f>IF(P28&gt;0,P28,0)</f>
        <v/>
      </c>
    </row>
    <row r="30">
      <c r="B30" s="675" t="inlineStr">
        <is>
          <t>Adjusted Taxable Income</t>
        </is>
      </c>
      <c r="C30" s="115">
        <f>C11-(SUM(C13:C28))</f>
        <v/>
      </c>
      <c r="D30" s="124" t="inlineStr">
        <is>
          <t>Line 5864</t>
        </is>
      </c>
      <c r="E30" s="125">
        <f>IF(C30&gt;0,C30,0)</f>
        <v/>
      </c>
      <c r="F30" s="117" t="n"/>
      <c r="G30" s="116" t="n"/>
      <c r="H30" s="117" t="n"/>
      <c r="J30" s="667" t="inlineStr">
        <is>
          <t>Adjusted Taxable Income</t>
        </is>
      </c>
      <c r="K30">
        <f>K11-(SUM(K13:K28))</f>
        <v/>
      </c>
      <c r="L30" s="13" t="inlineStr">
        <is>
          <t>Line 5864</t>
        </is>
      </c>
      <c r="M30" s="39">
        <f>IF(K30&gt;0,K30,0)</f>
        <v/>
      </c>
      <c r="N30" s="35" t="n"/>
      <c r="O30" s="34" t="n"/>
      <c r="P30" s="35" t="n"/>
    </row>
    <row r="31" ht="15.75" customHeight="1" thickBot="1">
      <c r="B31" s="116" t="n"/>
      <c r="C31" s="115" t="n"/>
      <c r="D31" s="115" t="n"/>
      <c r="E31" s="115" t="n"/>
      <c r="F31" s="117" t="n"/>
      <c r="G31" s="116" t="n"/>
      <c r="H31" s="117" t="n"/>
      <c r="J31" s="34" t="n"/>
      <c r="N31" s="35" t="n"/>
      <c r="O31" s="34" t="n"/>
      <c r="P31" s="35" t="n"/>
    </row>
    <row r="32" ht="15.75" customHeight="1" thickBot="1">
      <c r="B32" s="116" t="n"/>
      <c r="C32" s="115" t="n"/>
      <c r="D32" s="126" t="inlineStr">
        <is>
          <t>Prov Trans</t>
        </is>
      </c>
      <c r="E32" s="120">
        <f>(E8-E30)</f>
        <v/>
      </c>
      <c r="F32" s="127" t="n"/>
      <c r="G32" s="116" t="n"/>
      <c r="H32" s="122" t="n"/>
      <c r="J32" s="34" t="n"/>
      <c r="L32" s="21" t="inlineStr">
        <is>
          <t>Prov Trans</t>
        </is>
      </c>
      <c r="M32" s="36">
        <f>(M8-M30)</f>
        <v/>
      </c>
      <c r="N32" s="40" t="n"/>
      <c r="O32" s="34" t="n"/>
      <c r="P32" s="52" t="n"/>
    </row>
    <row r="33" ht="15.75" customHeight="1" thickBot="1">
      <c r="B33" s="116" t="n"/>
      <c r="C33" s="664" t="inlineStr">
        <is>
          <t>DTC Transferable ESTIMATE</t>
        </is>
      </c>
      <c r="D33" s="35" t="n"/>
      <c r="E33" s="120">
        <f>IF(E32&lt;0,0,(IF(E32&gt;E6,E6,E32)))</f>
        <v/>
      </c>
      <c r="F33" s="127">
        <f>IF(E33&gt;0,E33*0.0879,"No Transfer Required")</f>
        <v/>
      </c>
      <c r="G33" s="666" t="n"/>
      <c r="H33" s="122" t="n"/>
      <c r="J33" s="34" t="n"/>
      <c r="K33" s="579" t="inlineStr">
        <is>
          <t>DTC Transferable ESTIMATE</t>
        </is>
      </c>
      <c r="L33" s="35" t="n"/>
      <c r="M33" s="36">
        <f>IF(M32&lt;0,0,(IF(M32&gt;M6,M6,M32)))</f>
        <v/>
      </c>
      <c r="N33" s="40">
        <f>IF(M33&gt;0,M33*0.0879,"No Transfer Required")</f>
        <v/>
      </c>
      <c r="O33" s="58" t="n"/>
      <c r="P33" s="52" t="n"/>
    </row>
    <row r="34" ht="15.75" customHeight="1" thickBot="1">
      <c r="B34" s="128" t="n"/>
      <c r="C34" s="129" t="n"/>
      <c r="D34" s="130" t="inlineStr">
        <is>
          <t>Net Transferable</t>
        </is>
      </c>
      <c r="E34" s="120">
        <f>IF(E32&lt;0,0,(IF(E32-G4-G5-G7&lt;0,E32,(E32-G4-G5-G7))))</f>
        <v/>
      </c>
      <c r="F34" s="131">
        <f>IF(E34&gt;0,E34*0.0879,"0")</f>
        <v/>
      </c>
      <c r="G34" s="42" t="n"/>
      <c r="H34" s="863" t="n"/>
      <c r="J34" s="42" t="n"/>
      <c r="K34" s="41" t="n"/>
      <c r="L34" s="43" t="inlineStr">
        <is>
          <t>Net Transferable</t>
        </is>
      </c>
      <c r="M34" s="36">
        <f>IF(M32&lt;0,0,(IF(M32-O4-O5-O7&lt;0,M32,(M32-O4-O5-O7))))</f>
        <v/>
      </c>
      <c r="N34" s="57">
        <f>IF(M34&gt;0,M34*0.0879,"0")</f>
        <v/>
      </c>
      <c r="O34" s="59" t="n"/>
      <c r="P34" s="864" t="n"/>
    </row>
    <row r="36" ht="15.75" customHeight="1" thickBot="1">
      <c r="E36">
        <f>Calculator!$D$5</f>
        <v/>
      </c>
      <c r="H36">
        <f>TransferName</f>
        <v/>
      </c>
      <c r="M36">
        <f>Calculator!$D$5</f>
        <v/>
      </c>
      <c r="P36">
        <f>TransferName</f>
        <v/>
      </c>
    </row>
    <row r="37" ht="15.75" customHeight="1" thickBot="1">
      <c r="B37" s="878" t="inlineStr">
        <is>
          <t>2022 NOVA SCOTIA Provincial</t>
        </is>
      </c>
      <c r="C37" s="778" t="n"/>
      <c r="D37" s="778" t="n"/>
      <c r="E37" s="778" t="n"/>
      <c r="F37" s="778" t="n"/>
      <c r="G37" s="778" t="n"/>
      <c r="H37" s="780" t="n"/>
      <c r="J37" s="878" t="inlineStr">
        <is>
          <t>2021 NOVA SCOTIA Provincial</t>
        </is>
      </c>
      <c r="K37" s="778" t="n"/>
      <c r="L37" s="778" t="n"/>
      <c r="M37" s="778" t="n"/>
      <c r="N37" s="778" t="n"/>
      <c r="O37" s="778" t="n"/>
      <c r="P37" s="780" t="n"/>
    </row>
    <row r="38" ht="15.75" customHeight="1" thickBot="1">
      <c r="B38" s="34" t="n"/>
      <c r="D38" t="inlineStr">
        <is>
          <t>Line</t>
        </is>
      </c>
      <c r="E38" t="inlineStr">
        <is>
          <t>Amt</t>
        </is>
      </c>
      <c r="F38" s="35" t="n"/>
      <c r="G38" s="667" t="inlineStr">
        <is>
          <t>Spouse</t>
        </is>
      </c>
      <c r="H38" s="35" t="inlineStr">
        <is>
          <t>S2 Adjustment</t>
        </is>
      </c>
      <c r="J38" s="34" t="n"/>
      <c r="L38" t="inlineStr">
        <is>
          <t>Line</t>
        </is>
      </c>
      <c r="M38" t="inlineStr">
        <is>
          <t>Amt</t>
        </is>
      </c>
      <c r="N38" s="35" t="n"/>
      <c r="O38" s="34" t="inlineStr">
        <is>
          <t>Spouse</t>
        </is>
      </c>
      <c r="P38" s="35" t="inlineStr">
        <is>
          <t>S2 Adjustment</t>
        </is>
      </c>
    </row>
    <row r="39" ht="15.75" customHeight="1" thickBot="1">
      <c r="B39" s="667" t="inlineStr">
        <is>
          <t>Age Amount</t>
        </is>
      </c>
      <c r="D39" t="inlineStr">
        <is>
          <t>Line 58080</t>
        </is>
      </c>
      <c r="E39" s="861">
        <f>(_xlfn.XLOOKUP(ClientNumber,Clients!D:D,Clients!ANR:ANR,2,0,1))</f>
        <v/>
      </c>
      <c r="F39" s="37" t="inlineStr">
        <is>
          <t>Line 59020</t>
        </is>
      </c>
      <c r="G39" s="51">
        <f>IF(TransferName="NONE",0,(_xlfn.XLOOKUP(TransferNumber,Clients!D:D,Clients!APT:APT,2,0,1)))</f>
        <v/>
      </c>
      <c r="H39" s="37">
        <f>IF(AND(E39&gt;0,G39=0),"Age Amount Can Be Transferred","No Action")</f>
        <v/>
      </c>
      <c r="J39" s="667" t="inlineStr">
        <is>
          <t>Age Amount</t>
        </is>
      </c>
      <c r="L39" t="inlineStr">
        <is>
          <t>Line 58080</t>
        </is>
      </c>
      <c r="M39" s="865">
        <f>(_xlfn.XLOOKUP(MainClient,Clients!D:D,Clients!BOM:BOM,2,0,1))</f>
        <v/>
      </c>
      <c r="N39" s="37" t="inlineStr">
        <is>
          <t>Line 59020</t>
        </is>
      </c>
      <c r="O39" s="51">
        <f>IF(TransferName="NONE",0,(_xlfn.XLOOKUP(TransferNumber,Clients!D:D,Clients!BQO:BQO,2,0,1)))</f>
        <v/>
      </c>
      <c r="P39" s="37">
        <f>IF(AND(M39&gt;0,O39=0),"Age Amount Can Be Transferred","No Action")</f>
        <v/>
      </c>
    </row>
    <row r="40" ht="15.75" customHeight="1" thickBot="1">
      <c r="B40" s="667" t="inlineStr">
        <is>
          <t>Pension Income Amount</t>
        </is>
      </c>
      <c r="D40" t="inlineStr">
        <is>
          <t>Line 58360 (mx 1173)</t>
        </is>
      </c>
      <c r="E40" s="861">
        <f>IF((_xlfn.XLOOKUP(ClientNumber,Clients!D:D,Clients!AOR:AOR,2,0,1)&lt;1173),(_xlfn.XLOOKUP(MainClient,Clients!D:D,Clients!AOR:AOR,2,0,1)),1173)</f>
        <v/>
      </c>
      <c r="F40" s="37" t="inlineStr">
        <is>
          <t>Line 59050</t>
        </is>
      </c>
      <c r="G40" s="51">
        <f>IF(TransferName="NONE",0,(_xlfn.XLOOKUP(TransferNumber,Clients!D:D,Clients!APW:APW,2,0,1)))</f>
        <v/>
      </c>
      <c r="H40" s="37">
        <f>IF(AND(E40&gt;0,G40=0),"Pension Income Amount Can Be Transferred","No Action")</f>
        <v/>
      </c>
      <c r="J40" s="667" t="inlineStr">
        <is>
          <t>Pension Income Amount</t>
        </is>
      </c>
      <c r="L40" t="inlineStr">
        <is>
          <t>Line 58360 (mx 1173)</t>
        </is>
      </c>
      <c r="M40" s="865">
        <f>IF((_xlfn.XLOOKUP(ClientNumber,Clients!D:D,Clients!BPM:BPM,2,0,1)&lt;1173),(_xlfn.XLOOKUP(MainClient,Clients!D:D,Clients!BPM:BPM,2,0,1)),1173)</f>
        <v/>
      </c>
      <c r="N40" s="37" t="inlineStr">
        <is>
          <t>Line 59050</t>
        </is>
      </c>
      <c r="O40" s="51">
        <f>IF(TransferName="NONE",0,(_xlfn.XLOOKUP(TransferNumber,Clients!D:D,Clients!BQR:BQR,2,0,1)))</f>
        <v/>
      </c>
      <c r="P40" s="37">
        <f>IF(AND(M40&gt;0,O40=0),"Pension Income Amount Can Be Transferred","No Action")</f>
        <v/>
      </c>
    </row>
    <row r="41" ht="15.75" customHeight="1" thickBot="1">
      <c r="B41" s="667" t="inlineStr">
        <is>
          <t>Disability Amount</t>
        </is>
      </c>
      <c r="D41" t="inlineStr">
        <is>
          <t>Line 58440</t>
        </is>
      </c>
      <c r="E41" s="861">
        <f>IF(_xlfn.XLOOKUP(ClientNumber,Clients!D:D,Clients!AOT:AOT,2,0,1)=0,7341,(_xlfn.XLOOKUP(MainClient,Clients!D:D,Clients!AOT:AOT,2,0,1)))</f>
        <v/>
      </c>
      <c r="F41" s="37" t="inlineStr">
        <is>
          <t>Line 59070</t>
        </is>
      </c>
      <c r="G41" s="51">
        <f>IF(TransferName="NONE",0,(_xlfn.XLOOKUP(TransferNumber,Clients!D:D,Clients!APX:APX,2,0,1)))</f>
        <v/>
      </c>
      <c r="H41" s="37">
        <f>IF(AND(E41&gt;0,G41=0),"DTC Transferable Not Claimed Can Be Transferred","No Action")</f>
        <v/>
      </c>
      <c r="J41" s="667" t="inlineStr">
        <is>
          <t>Disability Amount</t>
        </is>
      </c>
      <c r="L41" t="inlineStr">
        <is>
          <t>Line 58440</t>
        </is>
      </c>
      <c r="M41" s="865">
        <f>IF(_xlfn.XLOOKUP(ClientNumber,Clients!D:D,Clients!BPO:BPO,2,0,1)=0,7341,(_xlfn.XLOOKUP(MainClient,Clients!D:D,Clients!BPO:BPO,2,0,1)))</f>
        <v/>
      </c>
      <c r="N41" s="37" t="inlineStr">
        <is>
          <t>Line 59070</t>
        </is>
      </c>
      <c r="O41" s="51">
        <f>IF(TransferName="NONE",0,(_xlfn.XLOOKUP(TransferNumber,Clients!D:D,Clients!BQS:BQS,2,0,1)))</f>
        <v/>
      </c>
      <c r="P41" s="37">
        <f>IF(AND(M41&gt;0,O41=0),"DTC Transferable Not Claimed Can Be Transferred","No Action")</f>
        <v/>
      </c>
    </row>
    <row r="42" ht="15.75" customHeight="1" thickBot="1">
      <c r="B42" s="667" t="inlineStr">
        <is>
          <t>Tuition Amount</t>
        </is>
      </c>
      <c r="D42" t="inlineStr">
        <is>
          <t>Line 59200</t>
        </is>
      </c>
      <c r="E42" s="861">
        <f>(_xlfn.XLOOKUP(ClientNumber,Clients!D:D,Clients!AQI:AQI,2,0,1))</f>
        <v/>
      </c>
      <c r="F42" s="37" t="inlineStr">
        <is>
          <t>Line 59090</t>
        </is>
      </c>
      <c r="G42" s="51">
        <f>IF(TransferName="NONE",0,(_xlfn.XLOOKUP(TransferNumber,Clients!D:D,Clients!APY:APY,2,0,1)))</f>
        <v/>
      </c>
      <c r="H42" s="37">
        <f>IF(AND(E42&gt;0,G42=0),"Tuition Can Be Transferred","No Action")</f>
        <v/>
      </c>
      <c r="J42" s="667" t="inlineStr">
        <is>
          <t>Tuition Amount</t>
        </is>
      </c>
      <c r="L42" t="inlineStr">
        <is>
          <t>Line 59200</t>
        </is>
      </c>
      <c r="M42" s="865">
        <f>(_xlfn.XLOOKUP(MainClient,Clients!D:D,Clients!BRD:BRD,2,0,1))</f>
        <v/>
      </c>
      <c r="N42" s="37" t="inlineStr">
        <is>
          <t>Line 59090</t>
        </is>
      </c>
      <c r="O42" s="51">
        <f>IF(TransferName="NONE",0,(_xlfn.XLOOKUP(TransferNumber,Clients!D:D,Clients!BQT:BQT,2,0,1)))</f>
        <v/>
      </c>
      <c r="P42" s="37">
        <f>IF(AND(M42&gt;0,O42=0),"Tuition Can Be Transferred","No Action")</f>
        <v/>
      </c>
    </row>
    <row r="43">
      <c r="B43" s="667" t="n"/>
      <c r="E43" s="771">
        <f>SUM(E39:E42)</f>
        <v/>
      </c>
      <c r="F43" s="37" t="n"/>
      <c r="G43" s="667">
        <f>SUM(G39:G42)</f>
        <v/>
      </c>
      <c r="H43" s="37" t="n"/>
      <c r="J43" s="667" t="n"/>
      <c r="M43" s="872">
        <f>SUM(M39:M42)</f>
        <v/>
      </c>
      <c r="N43" s="37" t="n"/>
      <c r="O43" s="667">
        <f>SUM(O39:O42)</f>
        <v/>
      </c>
      <c r="P43" s="37" t="n"/>
    </row>
    <row r="44">
      <c r="A44" t="inlineStr">
        <is>
          <t>`</t>
        </is>
      </c>
      <c r="B44" s="667" t="n"/>
      <c r="C44" s="668" t="n"/>
      <c r="E44" s="771" t="n"/>
      <c r="F44" s="37" t="n"/>
      <c r="G44" s="668" t="n"/>
      <c r="H44" s="37" t="n"/>
      <c r="J44" s="667" t="n"/>
      <c r="K44" s="668" t="n"/>
      <c r="M44" s="872" t="n"/>
      <c r="N44" s="37" t="n"/>
      <c r="O44" s="668" t="n"/>
      <c r="P44" s="37" t="n"/>
    </row>
    <row r="45" ht="15.75" customHeight="1" thickBot="1">
      <c r="B45" s="34" t="n"/>
      <c r="F45" s="35" t="n"/>
      <c r="H45" s="35" t="n"/>
      <c r="J45" s="34" t="n"/>
      <c r="N45" s="35" t="n"/>
      <c r="P45" s="35" t="n"/>
    </row>
    <row r="46" ht="15.75" customHeight="1" thickBot="1">
      <c r="B46" s="667" t="inlineStr">
        <is>
          <t>Line 260</t>
        </is>
      </c>
      <c r="C46" s="36">
        <f>(_xlfn.XLOOKUP(MainClient,Clients!D:D,Clients!AFS:AFS,2,0,1))</f>
        <v/>
      </c>
      <c r="F46" s="35" t="n"/>
      <c r="G46" s="34">
        <f>IF(E69&gt;E41,"other transferable credits","DTC Only")</f>
        <v/>
      </c>
      <c r="H46" s="35" t="n"/>
      <c r="J46" s="667" t="inlineStr">
        <is>
          <t>Line 26000</t>
        </is>
      </c>
      <c r="K46" s="36">
        <f>(_xlfn.XLOOKUP(MainClient,Clients!D:D,Clients!BGN:BGN,2,0,1))</f>
        <v/>
      </c>
      <c r="N46" s="35" t="n"/>
      <c r="O46" s="34">
        <f>IF(M69&gt;M41,"other transferable credits","DTC Only")</f>
        <v/>
      </c>
      <c r="P46" s="35" t="n"/>
    </row>
    <row r="47" ht="15.75" customHeight="1" thickBot="1">
      <c r="B47" s="34" t="n"/>
      <c r="F47" s="35" t="n"/>
      <c r="G47" s="34" t="n"/>
      <c r="H47" s="35" t="n"/>
      <c r="J47" s="34" t="n"/>
      <c r="N47" s="35" t="n"/>
      <c r="O47" s="34" t="n"/>
      <c r="P47" s="35" t="n"/>
    </row>
    <row r="48" ht="15.75" customHeight="1" thickBot="1">
      <c r="B48" s="55" t="inlineStr">
        <is>
          <t>Line 58040</t>
        </is>
      </c>
      <c r="C48" s="36">
        <f>(_xlfn.XLOOKUP(ClientNumber,Clients!D:D,Clients!ANQ:ANQ,2,0,1))</f>
        <v/>
      </c>
      <c r="F48" s="35" t="n"/>
      <c r="G48" s="34" t="n"/>
      <c r="H48" s="35" t="n"/>
      <c r="J48" s="55" t="inlineStr">
        <is>
          <t>Line 58040</t>
        </is>
      </c>
      <c r="K48" s="36">
        <f>(_xlfn.XLOOKUP(MainClient,Clients!D:D,Clients!BOL:BOL,2,0,1))</f>
        <v/>
      </c>
      <c r="N48" s="35" t="n"/>
      <c r="O48" s="34" t="n"/>
      <c r="P48" s="35" t="n"/>
    </row>
    <row r="49" ht="15.75" customHeight="1" thickBot="1">
      <c r="B49" s="55" t="inlineStr">
        <is>
          <t>Line 58240</t>
        </is>
      </c>
      <c r="C49" s="36">
        <f>(_xlfn.XLOOKUP(ClientNumber,Clients!D:D,Clients!AOF:AOF,2,0,1))</f>
        <v/>
      </c>
      <c r="F49" s="35" t="n"/>
      <c r="G49" s="34" t="n"/>
      <c r="H49" s="35" t="n"/>
      <c r="J49" s="55" t="inlineStr">
        <is>
          <t>Line 58240</t>
        </is>
      </c>
      <c r="K49" s="36">
        <f>(_xlfn.XLOOKUP(MainClient,Clients!D:D,Clients!BPA:BPA,2,0,1))</f>
        <v/>
      </c>
      <c r="N49" s="35" t="n"/>
      <c r="O49" s="34" t="n"/>
      <c r="P49" s="35" t="n"/>
    </row>
    <row r="50" ht="15.75" customHeight="1" thickBot="1">
      <c r="B50" s="55" t="inlineStr">
        <is>
          <t>Line 58280</t>
        </is>
      </c>
      <c r="C50" s="36">
        <f>(_xlfn.XLOOKUP(ClientNumber,Clients!D:D,Clients!AOG:AOG,2,0,1))</f>
        <v/>
      </c>
      <c r="F50" s="35" t="n"/>
      <c r="G50" s="34" t="n"/>
      <c r="H50" s="35" t="n"/>
      <c r="J50" s="55" t="inlineStr">
        <is>
          <t>Line 58280</t>
        </is>
      </c>
      <c r="K50" s="36">
        <f>(_xlfn.XLOOKUP(MainClient,Clients!D:D,Clients!BPB:BPB,2,0,1))</f>
        <v/>
      </c>
      <c r="N50" s="35" t="n"/>
      <c r="P50" s="35" t="n"/>
    </row>
    <row r="51" ht="15.75" customHeight="1" thickBot="1">
      <c r="B51" s="55" t="inlineStr">
        <is>
          <t>Line 58300</t>
        </is>
      </c>
      <c r="C51" s="36">
        <f>(_xlfn.XLOOKUP(ClientNumber,Clients!D:D,Clients!AOH:AOH,2,0,1))</f>
        <v/>
      </c>
      <c r="F51" s="35" t="n"/>
      <c r="G51" s="34" t="n"/>
      <c r="H51" s="35" t="n"/>
      <c r="J51" s="55" t="inlineStr">
        <is>
          <t>Line 58300</t>
        </is>
      </c>
      <c r="K51" s="36">
        <f>(_xlfn.XLOOKUP(MainClient,Clients!D:D,Clients!BPC:BPC,2,0,1))</f>
        <v/>
      </c>
      <c r="N51" s="35" t="n"/>
      <c r="O51" s="34" t="n"/>
      <c r="P51" s="35" t="n"/>
    </row>
    <row r="52" ht="15.75" customHeight="1" thickBot="1">
      <c r="B52" s="55" t="inlineStr">
        <is>
          <t>Line 58305</t>
        </is>
      </c>
      <c r="C52" s="36">
        <f>(_xlfn.XLOOKUP(ClientNumber,Clients!D:D,Clients!AOI:AOI,2,0,1))</f>
        <v/>
      </c>
      <c r="F52" s="35" t="n"/>
      <c r="G52" s="34" t="n"/>
      <c r="H52" s="35" t="n"/>
      <c r="J52" s="55" t="inlineStr">
        <is>
          <t>Line 58305</t>
        </is>
      </c>
      <c r="K52" s="36">
        <f>(_xlfn.XLOOKUP(MainClient,Clients!D:D,Clients!BPD:BPD,2,0,1))</f>
        <v/>
      </c>
      <c r="N52" s="35" t="n"/>
      <c r="O52" s="34" t="n"/>
      <c r="P52" s="35" t="n"/>
    </row>
    <row r="53" ht="15.75" customHeight="1" thickBot="1">
      <c r="B53" s="55" t="inlineStr">
        <is>
          <t>Line 58560</t>
        </is>
      </c>
      <c r="C53" s="36">
        <f>(_xlfn.XLOOKUP(ClientNumber,Clients!D:D,Clients!AOX:AOX,2,0,1))</f>
        <v/>
      </c>
      <c r="F53" s="35" t="n"/>
      <c r="G53" s="34" t="n"/>
      <c r="H53" s="35" t="n"/>
      <c r="J53" s="55" t="inlineStr">
        <is>
          <t>Line 58560</t>
        </is>
      </c>
      <c r="K53" s="36">
        <f>(_xlfn.XLOOKUP(MainClient,Clients!D:D,Clients!BPS:BPS,2,0,1))</f>
        <v/>
      </c>
      <c r="N53" s="35" t="n"/>
      <c r="O53" s="34" t="n"/>
      <c r="P53" s="35" t="n"/>
    </row>
    <row r="54" ht="15.75" customHeight="1" thickBot="1">
      <c r="B54" s="55" t="n"/>
      <c r="C54" s="36" t="n"/>
      <c r="F54" s="35" t="n"/>
      <c r="G54" s="34" t="n"/>
      <c r="H54" s="35" t="n"/>
      <c r="J54" s="55" t="n"/>
      <c r="K54" s="36" t="n"/>
      <c r="N54" s="35" t="n"/>
      <c r="O54" s="34" t="n"/>
      <c r="P54" s="35" t="n"/>
    </row>
    <row r="55" ht="15.75" customHeight="1" thickBot="1">
      <c r="B55" s="55" t="n"/>
      <c r="C55" s="36" t="n"/>
      <c r="F55" s="35" t="n"/>
      <c r="G55" s="34" t="n"/>
      <c r="H55" s="35" t="n"/>
      <c r="J55" s="55" t="n"/>
      <c r="K55" s="36" t="n"/>
      <c r="N55" s="35" t="n"/>
      <c r="O55" s="34" t="n"/>
      <c r="P55" s="35" t="n"/>
    </row>
    <row r="56" ht="15.75" customHeight="1" thickBot="1">
      <c r="B56" s="55" t="n"/>
      <c r="C56" s="36" t="n"/>
      <c r="F56" s="35" t="n"/>
      <c r="G56" s="34" t="n"/>
      <c r="H56" s="35" t="n"/>
      <c r="J56" s="55" t="n"/>
      <c r="K56" s="36" t="n"/>
      <c r="N56" s="35" t="n"/>
      <c r="O56" s="34" t="n"/>
      <c r="P56" s="35" t="n"/>
    </row>
    <row r="57" ht="15.75" customHeight="1" thickBot="1">
      <c r="B57" s="55" t="n"/>
      <c r="C57" s="36" t="n"/>
      <c r="F57" s="35" t="n"/>
      <c r="G57" s="34" t="n"/>
      <c r="H57" s="35" t="n"/>
      <c r="J57" s="55" t="n"/>
      <c r="K57" s="36" t="n"/>
      <c r="N57" s="35" t="n"/>
      <c r="O57" s="34" t="n"/>
      <c r="P57" s="35" t="n"/>
    </row>
    <row r="58" ht="15.75" customHeight="1" thickBot="1">
      <c r="B58" s="55" t="n"/>
      <c r="C58" s="36" t="n"/>
      <c r="F58" s="35" t="n"/>
      <c r="G58" s="34" t="inlineStr">
        <is>
          <t>Line 326</t>
        </is>
      </c>
      <c r="H58" s="35">
        <f>IF(TransferName="NONE",0,(_xlfn.XLOOKUP(TransferNumber,Clients!D:D,Clients!CIH:CIH,2,0,1)))</f>
        <v/>
      </c>
      <c r="J58" s="55" t="n"/>
      <c r="K58" s="36" t="n"/>
      <c r="N58" s="35" t="n"/>
      <c r="O58" s="34" t="inlineStr">
        <is>
          <t>Line 326</t>
        </is>
      </c>
      <c r="P58" s="35">
        <f>IFERROR(_xlfn.XLOOKUP(TransferNumber,Clients!D:D,Clients!FJZ:FJZ,2,0,1),0)</f>
        <v/>
      </c>
    </row>
    <row r="59" ht="15.75" customHeight="1" thickBot="1">
      <c r="B59" s="55" t="n"/>
      <c r="C59" s="36" t="n"/>
      <c r="F59" s="35" t="n"/>
      <c r="G59" s="34" t="n"/>
      <c r="H59" s="35" t="n"/>
      <c r="J59" s="55" t="n"/>
      <c r="K59" s="36" t="n"/>
      <c r="N59" s="35" t="n"/>
      <c r="O59" s="34" t="n"/>
      <c r="P59" s="35" t="n"/>
    </row>
    <row r="60" ht="15.75" customHeight="1" thickBot="1">
      <c r="B60" s="55" t="n"/>
      <c r="C60" s="36" t="n"/>
      <c r="F60" s="35" t="n"/>
      <c r="G60" s="34" t="n"/>
      <c r="H60" s="35" t="n"/>
      <c r="J60" s="55" t="n"/>
      <c r="K60" s="36" t="n"/>
      <c r="N60" s="35" t="n"/>
      <c r="O60" s="34" t="n"/>
      <c r="P60" s="35" t="n"/>
    </row>
    <row r="61" ht="15.75" customHeight="1" thickBot="1">
      <c r="B61" s="55" t="n"/>
      <c r="C61" s="36" t="n"/>
      <c r="F61" s="35" t="n"/>
      <c r="G61" s="34" t="n"/>
      <c r="H61" s="35" t="n"/>
      <c r="J61" s="55" t="n"/>
      <c r="K61" s="36" t="n"/>
      <c r="N61" s="35" t="n"/>
      <c r="O61" s="34" t="n"/>
      <c r="P61" s="35" t="n"/>
    </row>
    <row r="62" ht="15.75" customHeight="1" thickBot="1">
      <c r="B62" s="55" t="n"/>
      <c r="C62" s="36" t="n"/>
      <c r="F62" s="35" t="n"/>
      <c r="G62" s="34" t="n"/>
      <c r="H62" s="35">
        <f>IF(E67&gt;0,E43-G43,0)</f>
        <v/>
      </c>
      <c r="J62" s="55" t="n"/>
      <c r="K62" s="36" t="n"/>
      <c r="N62" s="35" t="n"/>
      <c r="O62" s="34" t="n"/>
      <c r="P62" s="35">
        <f>IF(M67&gt;0,M43-O43,0)</f>
        <v/>
      </c>
    </row>
    <row r="63" ht="15.75" customHeight="1" thickBot="1">
      <c r="B63" s="55" t="n"/>
      <c r="C63" s="36" t="n"/>
      <c r="F63" s="35" t="n"/>
      <c r="H63" s="52">
        <f>IF(TransferName="NONE",F68,IF(H62&gt;0,(E67-G43)*0.0879,0))</f>
        <v/>
      </c>
      <c r="J63" s="55" t="n"/>
      <c r="K63" s="36" t="n"/>
      <c r="N63" s="35" t="n"/>
      <c r="P63" s="52">
        <f>IF(TransferName="NONE",N68,IF(P62&gt;0,(M67-O43)*0.0879,0))</f>
        <v/>
      </c>
    </row>
    <row r="64">
      <c r="B64" s="667" t="n"/>
      <c r="F64" s="35" t="n"/>
      <c r="G64" s="34" t="inlineStr">
        <is>
          <t>Transferable</t>
        </is>
      </c>
      <c r="H64" s="52">
        <f>IF(H63&gt;0,H63,0)</f>
        <v/>
      </c>
      <c r="J64" s="667" t="n"/>
      <c r="N64" s="35" t="n"/>
      <c r="O64" s="34" t="inlineStr">
        <is>
          <t>Transferable</t>
        </is>
      </c>
      <c r="P64" s="52">
        <f>IF(P63&gt;0,P63,0)</f>
        <v/>
      </c>
    </row>
    <row r="65">
      <c r="B65" s="667" t="inlineStr">
        <is>
          <t>Adjusted Taxable Income</t>
        </is>
      </c>
      <c r="C65">
        <f>C46-(SUM(C48:C63))</f>
        <v/>
      </c>
      <c r="D65" s="13" t="inlineStr">
        <is>
          <t>Line 5864</t>
        </is>
      </c>
      <c r="E65" s="39">
        <f>IF(C65&gt;0,C65,0)</f>
        <v/>
      </c>
      <c r="F65" s="35" t="n"/>
      <c r="G65" s="34" t="n"/>
      <c r="H65" s="35" t="n"/>
      <c r="J65" s="667" t="inlineStr">
        <is>
          <t>Adjusted Taxable Income</t>
        </is>
      </c>
      <c r="K65">
        <f>K46-(SUM(K48:K63))</f>
        <v/>
      </c>
      <c r="L65" s="13" t="inlineStr">
        <is>
          <t>Line 5864</t>
        </is>
      </c>
      <c r="M65" s="39">
        <f>IF(K65&gt;0,K65,0)</f>
        <v/>
      </c>
      <c r="N65" s="35" t="n"/>
      <c r="O65" s="34" t="n"/>
      <c r="P65" s="35" t="n"/>
    </row>
    <row r="66" ht="15.75" customHeight="1" thickBot="1">
      <c r="B66" s="34" t="n"/>
      <c r="F66" s="35" t="n"/>
      <c r="G66" s="34" t="n"/>
      <c r="H66" s="35" t="n"/>
      <c r="J66" s="34" t="n"/>
      <c r="N66" s="35" t="n"/>
      <c r="O66" s="34" t="n"/>
      <c r="P66" s="35" t="n"/>
    </row>
    <row r="67" ht="15.75" customHeight="1" thickBot="1">
      <c r="B67" s="34" t="n"/>
      <c r="D67" s="21" t="inlineStr">
        <is>
          <t>Prov Trans</t>
        </is>
      </c>
      <c r="E67" s="36">
        <f>(E43-E65)</f>
        <v/>
      </c>
      <c r="F67" s="40" t="n"/>
      <c r="G67" s="34" t="n"/>
      <c r="H67" s="52" t="n"/>
      <c r="J67" s="34" t="n"/>
      <c r="L67" s="21" t="inlineStr">
        <is>
          <t>Prov Trans</t>
        </is>
      </c>
      <c r="M67" s="36">
        <f>(M43-M65)</f>
        <v/>
      </c>
      <c r="N67" s="40" t="n"/>
      <c r="O67" s="34" t="n"/>
      <c r="P67" s="52" t="n"/>
    </row>
    <row r="68" ht="15.75" customHeight="1" thickBot="1">
      <c r="B68" s="34" t="n"/>
      <c r="C68" s="579" t="inlineStr">
        <is>
          <t>DTC Transferable ESTIMATE</t>
        </is>
      </c>
      <c r="D68" s="35" t="n"/>
      <c r="E68" s="36">
        <f>IF(E67&lt;0,0,(IF(E67&gt;E41,E41,E67)))</f>
        <v/>
      </c>
      <c r="F68" s="40">
        <f>IF(E68&gt;0,E68*0.0879,"No Transfer Required")</f>
        <v/>
      </c>
      <c r="G68" s="678" t="n"/>
      <c r="H68" s="52" t="n"/>
      <c r="J68" s="34" t="n"/>
      <c r="K68" s="579" t="inlineStr">
        <is>
          <t>DTC Transferable ESTIMATE</t>
        </is>
      </c>
      <c r="L68" s="35" t="n"/>
      <c r="M68" s="36">
        <f>IF(M67&lt;0,0,(IF(M67&gt;M41,M41,M67)))</f>
        <v/>
      </c>
      <c r="N68" s="40">
        <f>IF(M68&gt;0,M68*0.0879,"No Transfer Required")</f>
        <v/>
      </c>
      <c r="O68" s="58" t="n"/>
      <c r="P68" s="52" t="n"/>
    </row>
    <row r="69" ht="15.75" customHeight="1" thickBot="1">
      <c r="B69" s="42" t="n"/>
      <c r="C69" s="41" t="n"/>
      <c r="D69" s="43" t="inlineStr">
        <is>
          <t>Net Transferable</t>
        </is>
      </c>
      <c r="E69" s="36">
        <f>IF(E67&lt;0,0,(IF(E67-G39-G40-G42&lt;0,E67,(E67-G39-G40-G42))))</f>
        <v/>
      </c>
      <c r="F69" s="57">
        <f>IF(E69&gt;0,E69*0.0879,"0")</f>
        <v/>
      </c>
      <c r="G69" s="42" t="n"/>
      <c r="H69" s="864" t="n"/>
      <c r="J69" s="42" t="n"/>
      <c r="K69" s="41" t="n"/>
      <c r="L69" s="43" t="inlineStr">
        <is>
          <t>Net Transferable</t>
        </is>
      </c>
      <c r="M69" s="36">
        <f>IF(M67&lt;0,0,(IF(M67-O39-O40-O42&lt;0,M67,(M67-O39-O40-O42))))</f>
        <v/>
      </c>
      <c r="N69" s="57">
        <f>IF(M69&gt;0,M69*0.0879,"0")</f>
        <v/>
      </c>
      <c r="O69" s="59" t="n"/>
      <c r="P69" s="864" t="n"/>
    </row>
    <row r="71" ht="15.75" customHeight="1" thickBot="1">
      <c r="E71">
        <f>Calculator!$D$5</f>
        <v/>
      </c>
      <c r="H71">
        <f>TransferName</f>
        <v/>
      </c>
      <c r="M71">
        <f>Calculator!$D$5</f>
        <v/>
      </c>
      <c r="P71">
        <f>TransferName</f>
        <v/>
      </c>
    </row>
    <row r="72" ht="15.75" customHeight="1" thickBot="1">
      <c r="B72" s="878" t="inlineStr">
        <is>
          <t>2020 NOVA SCOTIA Provincial</t>
        </is>
      </c>
      <c r="C72" s="778" t="n"/>
      <c r="D72" s="778" t="n"/>
      <c r="E72" s="778" t="n"/>
      <c r="F72" s="778" t="n"/>
      <c r="G72" s="778" t="n"/>
      <c r="H72" s="780" t="n"/>
      <c r="J72" s="878" t="inlineStr">
        <is>
          <t>2019 NOVA SCOTIA Provincial</t>
        </is>
      </c>
      <c r="K72" s="778" t="n"/>
      <c r="L72" s="778" t="n"/>
      <c r="M72" s="778" t="n"/>
      <c r="N72" s="778" t="n"/>
      <c r="O72" s="778" t="n"/>
      <c r="P72" s="780" t="n"/>
    </row>
    <row r="73" ht="28.5" customHeight="1" thickBot="1">
      <c r="B73" s="34" t="n"/>
      <c r="D73" t="inlineStr">
        <is>
          <t>Line</t>
        </is>
      </c>
      <c r="E73" t="inlineStr">
        <is>
          <t>Amt</t>
        </is>
      </c>
      <c r="F73" s="35" t="n"/>
      <c r="G73" s="667" t="inlineStr">
        <is>
          <t>Spouse</t>
        </is>
      </c>
      <c r="H73" s="35" t="inlineStr">
        <is>
          <t>S2 Adjustment</t>
        </is>
      </c>
      <c r="J73" s="34" t="n"/>
      <c r="L73" t="inlineStr">
        <is>
          <t>Line</t>
        </is>
      </c>
      <c r="M73" t="inlineStr">
        <is>
          <t>Amt</t>
        </is>
      </c>
      <c r="N73" s="35" t="n"/>
      <c r="O73" s="34" t="inlineStr">
        <is>
          <t>Spouse</t>
        </is>
      </c>
      <c r="P73" s="35" t="inlineStr">
        <is>
          <t>S2 Adjustment</t>
        </is>
      </c>
    </row>
    <row r="74" ht="15.75" customHeight="1" thickBot="1">
      <c r="B74" s="667" t="inlineStr">
        <is>
          <t>Age Amount</t>
        </is>
      </c>
      <c r="D74" t="inlineStr">
        <is>
          <t>Line 58080</t>
        </is>
      </c>
      <c r="E74" s="861">
        <f>(_xlfn.XLOOKUP(ClientNumber,Clients!D:D,Clients!CPH:CPH,2,0,1))</f>
        <v/>
      </c>
      <c r="F74" s="37" t="inlineStr">
        <is>
          <t>Line 59020</t>
        </is>
      </c>
      <c r="G74" s="51">
        <f>IF(TransferName="NONE",0,(_xlfn.XLOOKUP(TransferNumber,Clients!D:D,Clients!CRJ:CRJ,2,0,1)))</f>
        <v/>
      </c>
      <c r="H74" s="37">
        <f>IF(AND(E74&gt;0,G74=0),"Age Amount Can Be Transferred","No Action")</f>
        <v/>
      </c>
      <c r="J74" s="667" t="inlineStr">
        <is>
          <t>Age Amount</t>
        </is>
      </c>
      <c r="L74" t="inlineStr">
        <is>
          <t>Line 58080</t>
        </is>
      </c>
      <c r="M74" s="865">
        <f>(_xlfn.XLOOKUP(MainClient,Clients!D:D,Clients!DQC:DQC,2,0,1))</f>
        <v/>
      </c>
      <c r="N74" s="37" t="inlineStr">
        <is>
          <t>Line 59020</t>
        </is>
      </c>
      <c r="O74" s="51">
        <f>IF(TransferName="NONE",0,(_xlfn.XLOOKUP(TransferNumber,Clients!D:D,Clients!DSE:DSE,2,0,1)))</f>
        <v/>
      </c>
      <c r="P74" s="37">
        <f>IF(AND(M74&gt;0,O74=0),"Age Amount Can Be Transferred","No Action")</f>
        <v/>
      </c>
    </row>
    <row r="75" ht="15.75" customHeight="1" thickBot="1">
      <c r="B75" s="667" t="inlineStr">
        <is>
          <t>Pension Income Amount</t>
        </is>
      </c>
      <c r="D75" t="inlineStr">
        <is>
          <t>Line 58360 (mx 1173)</t>
        </is>
      </c>
      <c r="E75" s="861">
        <f>IF((_xlfn.XLOOKUP(ClientNumber,Clients!D:D,Clients!CQH:CQH,2,0,1)&lt;1173),(_xlfn.XLOOKUP(MainClient,Clients!D:D,Clients!CQH:CQH,2,0,1)),1173)</f>
        <v/>
      </c>
      <c r="F75" s="37" t="inlineStr">
        <is>
          <t>Line 59050</t>
        </is>
      </c>
      <c r="G75" s="51">
        <f>IF(TransferName="NONE",0,(_xlfn.XLOOKUP(TransferNumber,Clients!D:D,Clients!CRM:CRM,2,0,1)))</f>
        <v/>
      </c>
      <c r="H75" s="37">
        <f>IF(AND(E75&gt;0,G75=0),"Pension Income Amount Can Be Transferred","No Action")</f>
        <v/>
      </c>
      <c r="J75" s="667" t="inlineStr">
        <is>
          <t>Pension Income Amount</t>
        </is>
      </c>
      <c r="L75" t="inlineStr">
        <is>
          <t>Line 58360 (mx 1173)</t>
        </is>
      </c>
      <c r="M75" s="865">
        <f>IF((_xlfn.XLOOKUP(ClientNumber,Clients!D:D,Clients!DRC:DRC,2,0,1)&lt;1173),(_xlfn.XLOOKUP(MainClient,Clients!D:D,Clients!DRC:DRC,2,0,1)),1173)</f>
        <v/>
      </c>
      <c r="N75" s="37" t="inlineStr">
        <is>
          <t>Line 59050</t>
        </is>
      </c>
      <c r="O75" s="51">
        <f>IF(TransferName="NONE",0,(_xlfn.XLOOKUP(TransferNumber,Clients!D:D,Clients!DSH:DSH,2,0,1)))</f>
        <v/>
      </c>
      <c r="P75" s="37">
        <f>IF(AND(M75&gt;0,O75=0),"Pension Income Amount Can Be Transferred","No Action")</f>
        <v/>
      </c>
    </row>
    <row r="76" ht="15.75" customHeight="1" thickBot="1">
      <c r="B76" s="667" t="inlineStr">
        <is>
          <t>Disability Amount</t>
        </is>
      </c>
      <c r="D76" t="inlineStr">
        <is>
          <t>Line 58440</t>
        </is>
      </c>
      <c r="E76" s="861">
        <f>IF(_xlfn.XLOOKUP(ClientNumber,Clients!D:D,Clients!CQJ:CQJ,2,0,1)=0,7341,(_xlfn.XLOOKUP(MainClient,Clients!D:D,Clients!CQJ:CQJ,2,0,1)))</f>
        <v/>
      </c>
      <c r="F76" s="37" t="inlineStr">
        <is>
          <t>Line 59070</t>
        </is>
      </c>
      <c r="G76" s="51">
        <f>IF(TransferName="NONE",0,(_xlfn.XLOOKUP(TransferNumber,Clients!D:D,Clients!CRN:CRN,2,0,1)))</f>
        <v/>
      </c>
      <c r="H76" s="37">
        <f>IF(AND(E76&gt;0,G76=0),"DTC Transferable Not Claimed Can Be Transferred","No Action")</f>
        <v/>
      </c>
      <c r="J76" s="667" t="inlineStr">
        <is>
          <t>Disability Amount</t>
        </is>
      </c>
      <c r="L76" t="inlineStr">
        <is>
          <t>Line 58440</t>
        </is>
      </c>
      <c r="M76" s="865">
        <f>IF(_xlfn.XLOOKUP(ClientNumber,Clients!D:D,Clients!DRE:DRE,2,0,1)=0,7341,(_xlfn.XLOOKUP(MainClient,Clients!D:D,Clients!DRE:DRE,2,0,1)))</f>
        <v/>
      </c>
      <c r="N76" s="37" t="inlineStr">
        <is>
          <t>Line 59070</t>
        </is>
      </c>
      <c r="O76" s="51">
        <f>IF(TransferName="NONE",0,(_xlfn.XLOOKUP(TransferNumber,Clients!D:D,Clients!DSI:DSI,2,0,1)))</f>
        <v/>
      </c>
      <c r="P76" s="37">
        <f>IF(AND(M76&gt;0,O76=0),"DTC Transferable Not Claimed Can Be Transferred","No Action")</f>
        <v/>
      </c>
    </row>
    <row r="77" ht="15.75" customHeight="1" thickBot="1">
      <c r="B77" s="667" t="inlineStr">
        <is>
          <t>Tuition Amount</t>
        </is>
      </c>
      <c r="D77" t="inlineStr">
        <is>
          <t>Line 59200</t>
        </is>
      </c>
      <c r="E77" s="861">
        <f>(_xlfn.XLOOKUP(ClientNumber,Clients!D:D,Clients!CRY:CRY,2,0,1))</f>
        <v/>
      </c>
      <c r="F77" s="37" t="inlineStr">
        <is>
          <t>Line 59090</t>
        </is>
      </c>
      <c r="G77" s="51">
        <f>IF(TransferName="NONE",0,(_xlfn.XLOOKUP(TransferNumber,Clients!D:D,Clients!CRO:CRO,2,0,1)))</f>
        <v/>
      </c>
      <c r="H77" s="37">
        <f>IF(AND(E77&gt;0,G77=0),"Tuition Can Be Transferred","No Action")</f>
        <v/>
      </c>
      <c r="J77" s="667" t="inlineStr">
        <is>
          <t>Tuition Amount</t>
        </is>
      </c>
      <c r="L77" t="inlineStr">
        <is>
          <t>Line 59200</t>
        </is>
      </c>
      <c r="M77" s="865">
        <f>(_xlfn.XLOOKUP(MainClient,Clients!D:D,Clients!DST:DST,2,0,1))</f>
        <v/>
      </c>
      <c r="N77" s="37" t="inlineStr">
        <is>
          <t>Line 59090</t>
        </is>
      </c>
      <c r="O77" s="51">
        <f>IF(TransferName="NONE",0,(_xlfn.XLOOKUP(TransferNumber,Clients!D:D,Clients!DSJ:DSJ,2,0,1)))</f>
        <v/>
      </c>
      <c r="P77" s="37">
        <f>IF(AND(M77&gt;0,O77=0),"Tuition Can Be Transferred","No Action")</f>
        <v/>
      </c>
    </row>
    <row r="78">
      <c r="B78" s="667" t="n"/>
      <c r="E78" s="771">
        <f>SUM(E74:E77)</f>
        <v/>
      </c>
      <c r="F78" s="37" t="n"/>
      <c r="G78" s="667">
        <f>SUM(G74:G77)</f>
        <v/>
      </c>
      <c r="H78" s="37" t="n"/>
      <c r="J78" s="667" t="n"/>
      <c r="M78" s="872">
        <f>SUM(M74:M77)</f>
        <v/>
      </c>
      <c r="N78" s="37" t="n"/>
      <c r="O78" s="667">
        <f>SUM(O74:O77)</f>
        <v/>
      </c>
      <c r="P78" s="37" t="n"/>
    </row>
    <row r="79">
      <c r="B79" s="667" t="n"/>
      <c r="C79" s="668" t="n"/>
      <c r="E79" s="771" t="n"/>
      <c r="F79" s="37" t="n"/>
      <c r="G79" s="668" t="n"/>
      <c r="H79" s="37" t="n"/>
      <c r="J79" s="667" t="n"/>
      <c r="K79" s="668" t="n"/>
      <c r="M79" s="872" t="n"/>
      <c r="N79" s="37" t="n"/>
      <c r="O79" s="668" t="n"/>
      <c r="P79" s="37" t="n"/>
    </row>
    <row r="80" ht="15.75" customHeight="1" thickBot="1">
      <c r="B80" s="34" t="n"/>
      <c r="F80" s="35" t="n"/>
      <c r="H80" s="35" t="n"/>
      <c r="J80" s="34" t="n"/>
      <c r="N80" s="35" t="n"/>
      <c r="P80" s="35" t="n"/>
    </row>
    <row r="81" ht="15.75" customHeight="1" thickBot="1">
      <c r="B81" s="667" t="inlineStr">
        <is>
          <t>Line 260</t>
        </is>
      </c>
      <c r="C81" s="36">
        <f>(_xlfn.XLOOKUP(MainClient,Clients!D:D,Clients!CHI:CHI,2,0,1))</f>
        <v/>
      </c>
      <c r="F81" s="35" t="n"/>
      <c r="G81" s="34">
        <f>IF(E104&gt;E76,"other transferable credits","DTC Only")</f>
        <v/>
      </c>
      <c r="H81" s="35" t="n"/>
      <c r="J81" s="667" t="inlineStr">
        <is>
          <t>Line 26000</t>
        </is>
      </c>
      <c r="K81" s="36">
        <f>(_xlfn.XLOOKUP(MainClient,Clients!D:D,Clients!DID:DID,2,0,1))</f>
        <v/>
      </c>
      <c r="N81" s="35" t="n"/>
      <c r="O81" s="34">
        <f>IF(M104&gt;M76,"other transferable credits","DTC Only")</f>
        <v/>
      </c>
      <c r="P81" s="35" t="n"/>
    </row>
    <row r="82" ht="15.75" customHeight="1" thickBot="1">
      <c r="B82" s="34" t="n"/>
      <c r="F82" s="35" t="n"/>
      <c r="G82" s="34" t="n"/>
      <c r="H82" s="35" t="n"/>
      <c r="J82" s="34" t="n"/>
      <c r="N82" s="35" t="n"/>
      <c r="O82" s="34" t="n"/>
      <c r="P82" s="35" t="n"/>
    </row>
    <row r="83" ht="15.75" customHeight="1" thickBot="1">
      <c r="B83" s="55" t="inlineStr">
        <is>
          <t>Line 58040</t>
        </is>
      </c>
      <c r="C83" s="36">
        <f>(_xlfn.XLOOKUP(ClientNumber,Clients!D:D,Clients!CPG:CPG,2,0,1))</f>
        <v/>
      </c>
      <c r="F83" s="35" t="n"/>
      <c r="G83" s="34" t="n"/>
      <c r="H83" s="35" t="n"/>
      <c r="J83" s="55" t="inlineStr">
        <is>
          <t>Line 58040</t>
        </is>
      </c>
      <c r="K83" s="36">
        <f>(_xlfn.XLOOKUP(MainClient,Clients!D:D,Clients!DQB:DQB,2,0,1))</f>
        <v/>
      </c>
      <c r="N83" s="35" t="n"/>
      <c r="O83" s="34" t="n"/>
      <c r="P83" s="35" t="n"/>
    </row>
    <row r="84" ht="15.75" customHeight="1" thickBot="1">
      <c r="B84" s="55" t="inlineStr">
        <is>
          <t>Line 58240</t>
        </is>
      </c>
      <c r="C84" s="36">
        <f>(_xlfn.XLOOKUP(ClientNumber,Clients!D:D,Clients!CHU:CHU,2,0,1))</f>
        <v/>
      </c>
      <c r="F84" s="35" t="n"/>
      <c r="G84" s="34" t="n"/>
      <c r="H84" s="35" t="n"/>
      <c r="J84" s="55" t="inlineStr">
        <is>
          <t>Line 58240</t>
        </is>
      </c>
      <c r="K84" s="36">
        <f>(_xlfn.XLOOKUP(MainClient,Clients!D:D,Clients!DQQ:DQQ,2,0,1))</f>
        <v/>
      </c>
      <c r="N84" s="35" t="n"/>
      <c r="O84" s="34" t="n"/>
      <c r="P84" s="35" t="n"/>
    </row>
    <row r="85" ht="15.75" customHeight="1" thickBot="1">
      <c r="B85" s="55" t="inlineStr">
        <is>
          <t>Line 58280</t>
        </is>
      </c>
      <c r="C85" s="36">
        <f>(_xlfn.XLOOKUP(ClientNumber,Clients!D:D,Clients!CHV:CHV,2,0,1))</f>
        <v/>
      </c>
      <c r="F85" s="35" t="n"/>
      <c r="G85" s="34" t="n"/>
      <c r="H85" s="35" t="n"/>
      <c r="J85" s="55" t="inlineStr">
        <is>
          <t>Line 58280</t>
        </is>
      </c>
      <c r="K85" s="36">
        <f>(_xlfn.XLOOKUP(MainClient,Clients!D:D,Clients!DQR:DQR,2,0,1))</f>
        <v/>
      </c>
      <c r="N85" s="35" t="n"/>
      <c r="P85" s="35" t="n"/>
    </row>
    <row r="86" ht="15.75" customHeight="1" thickBot="1">
      <c r="B86" s="55" t="inlineStr">
        <is>
          <t>Line 58300</t>
        </is>
      </c>
      <c r="C86" s="36">
        <f>(_xlfn.XLOOKUP(ClientNumber,Clients!D:D,Clients!CHW:CHW,2,0,1))</f>
        <v/>
      </c>
      <c r="F86" s="35" t="n"/>
      <c r="G86" s="34" t="n"/>
      <c r="H86" s="35" t="n"/>
      <c r="J86" s="55" t="inlineStr">
        <is>
          <t>Line 58300</t>
        </is>
      </c>
      <c r="K86" s="36">
        <f>(_xlfn.XLOOKUP(MainClient,Clients!D:D,Clients!DQS:DQS,2,0,1))</f>
        <v/>
      </c>
      <c r="N86" s="35" t="n"/>
      <c r="O86" s="34" t="n"/>
      <c r="P86" s="35" t="n"/>
    </row>
    <row r="87" ht="15.75" customHeight="1" thickBot="1">
      <c r="B87" s="55" t="inlineStr">
        <is>
          <t>Line 58305</t>
        </is>
      </c>
      <c r="C87" s="36">
        <f>(_xlfn.XLOOKUP(ClientNumber,Clients!D:D,Clients!CIA:CIA,2,0,1))</f>
        <v/>
      </c>
      <c r="F87" s="35" t="n"/>
      <c r="G87" s="34" t="n"/>
      <c r="H87" s="35" t="n"/>
      <c r="J87" s="55" t="inlineStr">
        <is>
          <t>Line 58305</t>
        </is>
      </c>
      <c r="K87" s="36">
        <f>(_xlfn.XLOOKUP(MainClient,Clients!D:D,Clients!DQT:DQT,2,0,1))</f>
        <v/>
      </c>
      <c r="N87" s="35" t="n"/>
      <c r="O87" s="34" t="n"/>
      <c r="P87" s="35" t="n"/>
    </row>
    <row r="88" ht="15.75" customHeight="1" thickBot="1">
      <c r="B88" s="55" t="inlineStr">
        <is>
          <t>Line 58560</t>
        </is>
      </c>
      <c r="C88" s="36">
        <f>(_xlfn.XLOOKUP(ClientNumber,Clients!D:D,Clients!CQN:CQN,2,0,1))</f>
        <v/>
      </c>
      <c r="F88" s="35" t="n"/>
      <c r="G88" s="34" t="n"/>
      <c r="H88" s="35" t="n"/>
      <c r="J88" s="55" t="inlineStr">
        <is>
          <t>Line 58560</t>
        </is>
      </c>
      <c r="K88" s="36">
        <f>(_xlfn.XLOOKUP(MainClient,Clients!D:D,Clients!DRI:DRI,2,0,1))</f>
        <v/>
      </c>
      <c r="N88" s="35" t="n"/>
      <c r="O88" s="34" t="n"/>
      <c r="P88" s="35" t="n"/>
    </row>
    <row r="89" ht="15.75" customHeight="1" thickBot="1">
      <c r="B89" s="55" t="n"/>
      <c r="C89" s="36" t="n"/>
      <c r="F89" s="35" t="n"/>
      <c r="G89" s="34" t="n"/>
      <c r="H89" s="35" t="n"/>
      <c r="J89" s="55" t="n"/>
      <c r="K89" s="36" t="n"/>
      <c r="N89" s="35" t="n"/>
      <c r="O89" s="34" t="n"/>
      <c r="P89" s="35" t="n"/>
    </row>
    <row r="90" ht="15.75" customHeight="1" thickBot="1">
      <c r="B90" s="55" t="n"/>
      <c r="C90" s="36" t="n"/>
      <c r="F90" s="35" t="n"/>
      <c r="G90" s="34" t="n"/>
      <c r="H90" s="35" t="n"/>
      <c r="J90" s="55" t="n"/>
      <c r="K90" s="36" t="n"/>
      <c r="N90" s="35" t="n"/>
      <c r="O90" s="34" t="n"/>
      <c r="P90" s="35" t="n"/>
    </row>
    <row r="91" ht="15.75" customHeight="1" thickBot="1">
      <c r="B91" s="55" t="n"/>
      <c r="C91" s="36" t="n"/>
      <c r="F91" s="35" t="n"/>
      <c r="G91" s="34" t="n"/>
      <c r="H91" s="35" t="n"/>
      <c r="J91" s="55" t="n"/>
      <c r="K91" s="36" t="n"/>
      <c r="N91" s="35" t="n"/>
      <c r="O91" s="34" t="n"/>
      <c r="P91" s="35" t="n"/>
    </row>
    <row r="92" ht="15.75" customHeight="1" thickBot="1">
      <c r="B92" s="55" t="n"/>
      <c r="C92" s="36" t="n"/>
      <c r="F92" s="35" t="n"/>
      <c r="G92" s="34" t="n"/>
      <c r="H92" s="35" t="n"/>
      <c r="J92" s="55" t="n"/>
      <c r="K92" s="36" t="n"/>
      <c r="N92" s="35" t="n"/>
      <c r="O92" s="34" t="n"/>
      <c r="P92" s="35" t="n"/>
    </row>
    <row r="93" ht="15.75" customHeight="1" thickBot="1">
      <c r="B93" s="55" t="n"/>
      <c r="C93" s="36" t="n"/>
      <c r="F93" s="35" t="n"/>
      <c r="G93" s="34" t="inlineStr">
        <is>
          <t>Line 326</t>
        </is>
      </c>
      <c r="H93" s="35">
        <f>IF(TransferName="NONE",0,(_xlfn.XLOOKUP(TransferNumber,Clients!D:D,Clients!CIH:CIH,2,0,1)))</f>
        <v/>
      </c>
      <c r="J93" s="55" t="n"/>
      <c r="K93" s="36" t="n"/>
      <c r="N93" s="35" t="n"/>
      <c r="O93" s="34" t="inlineStr">
        <is>
          <t>Line 326</t>
        </is>
      </c>
      <c r="P93" s="35">
        <f>IFERROR(_xlfn.XLOOKUP(TransferNumber,Clients!D:D,Clients!FJZ:FJZ,2,0,1),0)</f>
        <v/>
      </c>
    </row>
    <row r="94" ht="15.75" customHeight="1" thickBot="1">
      <c r="B94" s="38" t="n"/>
      <c r="C94" s="36" t="n"/>
      <c r="F94" s="35" t="n"/>
      <c r="G94" s="34" t="n"/>
      <c r="H94" s="35" t="n"/>
      <c r="J94" s="38" t="n"/>
      <c r="K94" s="36" t="n"/>
      <c r="N94" s="35" t="n"/>
      <c r="O94" s="34" t="n"/>
      <c r="P94" s="35" t="n"/>
    </row>
    <row r="95" ht="15.75" customHeight="1" thickBot="1">
      <c r="B95" s="38" t="n"/>
      <c r="C95" s="36" t="n"/>
      <c r="F95" s="35" t="n"/>
      <c r="G95" s="34" t="n"/>
      <c r="H95" s="35" t="n"/>
      <c r="J95" s="38" t="n"/>
      <c r="K95" s="36" t="n"/>
      <c r="N95" s="35" t="n"/>
      <c r="O95" s="34" t="n"/>
      <c r="P95" s="35" t="n"/>
    </row>
    <row r="96" ht="15.75" customHeight="1" thickBot="1">
      <c r="B96" s="38" t="n"/>
      <c r="C96" s="36" t="n"/>
      <c r="F96" s="35" t="n"/>
      <c r="G96" s="34" t="n"/>
      <c r="H96" s="35" t="n"/>
      <c r="J96" s="38" t="n"/>
      <c r="K96" s="36" t="n"/>
      <c r="N96" s="35" t="n"/>
      <c r="O96" s="34" t="n"/>
      <c r="P96" s="35" t="n"/>
    </row>
    <row r="97" ht="15.75" customHeight="1" thickBot="1">
      <c r="B97" s="38" t="n"/>
      <c r="C97" s="36" t="n"/>
      <c r="F97" s="35" t="n"/>
      <c r="G97" s="34" t="n"/>
      <c r="H97" s="35">
        <f>IF(E102&gt;0,E78-G78,0)</f>
        <v/>
      </c>
      <c r="J97" s="38" t="n"/>
      <c r="K97" s="36" t="n"/>
      <c r="N97" s="35" t="n"/>
      <c r="O97" s="34" t="n"/>
      <c r="P97" s="35">
        <f>IF(M102&gt;0,M78-O78,0)</f>
        <v/>
      </c>
    </row>
    <row r="98" ht="15.75" customHeight="1" thickBot="1">
      <c r="B98" s="38" t="n"/>
      <c r="C98" s="36" t="n"/>
      <c r="F98" s="35" t="n"/>
      <c r="H98" s="52">
        <f>IF(TransferName="NONE",F103,IF(H97&gt;0,(E102-G78)*0.0879,0))</f>
        <v/>
      </c>
      <c r="J98" s="38" t="n"/>
      <c r="K98" s="36" t="n"/>
      <c r="N98" s="35" t="n"/>
      <c r="P98" s="52">
        <f>IF(TransferName="NONE",N103,IF(P97&gt;0,(M102-O78)*0.0879,0))</f>
        <v/>
      </c>
    </row>
    <row r="99">
      <c r="B99" s="667" t="n"/>
      <c r="F99" s="35" t="n"/>
      <c r="G99" s="34" t="inlineStr">
        <is>
          <t>Transferable</t>
        </is>
      </c>
      <c r="H99" s="52">
        <f>IF(H98&gt;0,H98,0)</f>
        <v/>
      </c>
      <c r="J99" s="667" t="n"/>
      <c r="N99" s="35" t="n"/>
      <c r="O99" s="34" t="inlineStr">
        <is>
          <t>Transferable</t>
        </is>
      </c>
      <c r="P99" s="52">
        <f>IF(P98&gt;0,P98,0)</f>
        <v/>
      </c>
    </row>
    <row r="100">
      <c r="B100" s="667" t="inlineStr">
        <is>
          <t>Adjusted Taxable Income</t>
        </is>
      </c>
      <c r="C100">
        <f>C81-(SUM(C83:C98))</f>
        <v/>
      </c>
      <c r="D100" s="13" t="inlineStr">
        <is>
          <t>Line 5864</t>
        </is>
      </c>
      <c r="E100" s="39">
        <f>IF(C100&gt;0,C100,0)</f>
        <v/>
      </c>
      <c r="F100" s="35" t="n"/>
      <c r="G100" s="34" t="n"/>
      <c r="H100" s="35" t="n"/>
      <c r="J100" s="667" t="inlineStr">
        <is>
          <t>Adjusted Taxable Income</t>
        </is>
      </c>
      <c r="K100">
        <f>K81-(SUM(K83:K98))</f>
        <v/>
      </c>
      <c r="L100" s="13" t="inlineStr">
        <is>
          <t>Line 5864</t>
        </is>
      </c>
      <c r="M100" s="39">
        <f>IF(K100&gt;0,K100,0)</f>
        <v/>
      </c>
      <c r="N100" s="35" t="n"/>
      <c r="O100" s="34" t="n"/>
      <c r="P100" s="35" t="n"/>
    </row>
    <row r="101" ht="15.75" customHeight="1" thickBot="1">
      <c r="B101" s="34" t="n"/>
      <c r="F101" s="35" t="n"/>
      <c r="G101" s="34" t="n"/>
      <c r="H101" s="35" t="n"/>
      <c r="J101" s="34" t="n"/>
      <c r="N101" s="35" t="n"/>
      <c r="O101" s="34" t="n"/>
      <c r="P101" s="35" t="n"/>
    </row>
    <row r="102" ht="15.75" customHeight="1" thickBot="1">
      <c r="B102" s="34" t="n"/>
      <c r="D102" s="21" t="inlineStr">
        <is>
          <t>Prov Trans</t>
        </is>
      </c>
      <c r="E102" s="36">
        <f>(E78-E100)</f>
        <v/>
      </c>
      <c r="F102" s="40" t="n"/>
      <c r="G102" s="34" t="n"/>
      <c r="H102" s="52" t="n"/>
      <c r="J102" s="34" t="n"/>
      <c r="L102" s="21" t="inlineStr">
        <is>
          <t>Prov Trans</t>
        </is>
      </c>
      <c r="M102" s="36">
        <f>(M78-M100)</f>
        <v/>
      </c>
      <c r="N102" s="40" t="n"/>
      <c r="O102" s="34" t="n"/>
      <c r="P102" s="52" t="n"/>
    </row>
    <row r="103" ht="15.75" customHeight="1" thickBot="1">
      <c r="B103" s="34" t="n"/>
      <c r="C103" s="579" t="inlineStr">
        <is>
          <t>DTC Transferable ESTIMATE</t>
        </is>
      </c>
      <c r="D103" s="35" t="n"/>
      <c r="E103" s="36">
        <f>IF(E102&lt;0,0,(IF(E102&gt;E76,E76,E102)))</f>
        <v/>
      </c>
      <c r="F103" s="40">
        <f>IF(E103&gt;0,E103*0.0879,"No Transfer Required")</f>
        <v/>
      </c>
      <c r="G103" s="678" t="n"/>
      <c r="H103" s="52" t="n"/>
      <c r="J103" s="34" t="n"/>
      <c r="K103" s="579" t="inlineStr">
        <is>
          <t>DTC Transferable ESTIMATE</t>
        </is>
      </c>
      <c r="L103" s="35" t="n"/>
      <c r="M103" s="36">
        <f>IF(M102&lt;0,0,(IF(M102&gt;M76,M76,M102)))</f>
        <v/>
      </c>
      <c r="N103" s="40">
        <f>IF(M103&gt;0,M103*0.0879,"No Transfer Required")</f>
        <v/>
      </c>
      <c r="O103" s="58" t="n"/>
      <c r="P103" s="52" t="n"/>
    </row>
    <row r="104" ht="15.75" customHeight="1" thickBot="1">
      <c r="B104" s="42" t="n"/>
      <c r="C104" s="41" t="n"/>
      <c r="D104" s="43" t="inlineStr">
        <is>
          <t>Net Transferable</t>
        </is>
      </c>
      <c r="E104" s="36">
        <f>IF(E102&lt;0,0,(IF(E102-G74-G75-G77&lt;0,E102,(E102-G74-G75-G77))))</f>
        <v/>
      </c>
      <c r="F104" s="57">
        <f>IF(E104&gt;0,E104*0.0879,"0")</f>
        <v/>
      </c>
      <c r="G104" s="42" t="n"/>
      <c r="H104" s="864" t="n"/>
      <c r="J104" s="42" t="n"/>
      <c r="K104" s="41" t="n"/>
      <c r="L104" s="43" t="inlineStr">
        <is>
          <t>Net Transferable</t>
        </is>
      </c>
      <c r="M104" s="36">
        <f>IF(M102&lt;0,0,(IF(M102-O74-O75-O77&lt;0,M102,(M102-O74-O75-O77))))</f>
        <v/>
      </c>
      <c r="N104" s="57">
        <f>IF(M104&gt;0,M104*0.0879,"0")</f>
        <v/>
      </c>
      <c r="O104" s="59" t="n"/>
      <c r="P104" s="864" t="n"/>
    </row>
    <row r="106" ht="15.75" customHeight="1" thickBot="1">
      <c r="E106">
        <f>Calculator!$D$5</f>
        <v/>
      </c>
      <c r="H106">
        <f>TransferName</f>
        <v/>
      </c>
      <c r="M106">
        <f>Calculator!$D$5</f>
        <v/>
      </c>
      <c r="P106">
        <f>TransferName</f>
        <v/>
      </c>
    </row>
    <row r="107" ht="15.75" customHeight="1" thickBot="1">
      <c r="B107" s="878" t="inlineStr">
        <is>
          <t>2018 NOVA SCOTIA Provincial</t>
        </is>
      </c>
      <c r="C107" s="778" t="n"/>
      <c r="D107" s="778" t="n"/>
      <c r="E107" s="778" t="n"/>
      <c r="F107" s="778" t="n"/>
      <c r="G107" s="778" t="n"/>
      <c r="H107" s="780" t="n"/>
      <c r="J107" s="878" t="inlineStr">
        <is>
          <t>2017 NOVA SCOTIA Provincial</t>
        </is>
      </c>
      <c r="K107" s="778" t="n"/>
      <c r="L107" s="778" t="n"/>
      <c r="M107" s="778" t="n"/>
      <c r="N107" s="778" t="n"/>
      <c r="O107" s="778" t="n"/>
      <c r="P107" s="780" t="n"/>
    </row>
    <row r="108" ht="15.75" customHeight="1" thickBot="1">
      <c r="B108" s="34" t="n"/>
      <c r="D108" t="inlineStr">
        <is>
          <t>Line</t>
        </is>
      </c>
      <c r="E108" t="inlineStr">
        <is>
          <t>Amt</t>
        </is>
      </c>
      <c r="F108" s="35" t="n"/>
      <c r="G108" s="667" t="inlineStr">
        <is>
          <t>Spouse</t>
        </is>
      </c>
      <c r="H108" s="35" t="inlineStr">
        <is>
          <t>S2 Adjustment</t>
        </is>
      </c>
      <c r="J108" s="34" t="n"/>
      <c r="L108" t="inlineStr">
        <is>
          <t>Line</t>
        </is>
      </c>
      <c r="M108" t="inlineStr">
        <is>
          <t>Amt</t>
        </is>
      </c>
      <c r="N108" s="35" t="n"/>
      <c r="O108" s="34" t="inlineStr">
        <is>
          <t>Spouse</t>
        </is>
      </c>
      <c r="P108" s="35" t="inlineStr">
        <is>
          <t>S2 Adjustment</t>
        </is>
      </c>
    </row>
    <row r="109" ht="15.75" customHeight="1" thickBot="1">
      <c r="B109" s="667" t="inlineStr">
        <is>
          <t>Age Amount</t>
        </is>
      </c>
      <c r="D109" t="inlineStr">
        <is>
          <t>Line 5808</t>
        </is>
      </c>
      <c r="E109" s="861">
        <f>(_xlfn.XLOOKUP(ClientNumber,Clients!D:D,Clients!EQZ:EQZ,2,0,1))</f>
        <v/>
      </c>
      <c r="F109" s="37" t="inlineStr">
        <is>
          <t>Line 59020</t>
        </is>
      </c>
      <c r="G109" s="51">
        <f>IF(TransferName="NONE",0,(_xlfn.XLOOKUP(TransferNumber,Clients!D:D,Clients!ETB:ETB,2,0,1)))</f>
        <v/>
      </c>
      <c r="H109" s="37">
        <f>IF(AND(E109&gt;0,G109=0),"Age Amount Can Be Transferred","No Action")</f>
        <v/>
      </c>
      <c r="J109" s="667" t="inlineStr">
        <is>
          <t>Age Amount</t>
        </is>
      </c>
      <c r="L109" t="inlineStr">
        <is>
          <t>Line 5808</t>
        </is>
      </c>
      <c r="M109" s="865">
        <f>(_xlfn.XLOOKUP(MainClient,Clients!D:D,Clients!FRB:FRB,2,0,1))</f>
        <v/>
      </c>
      <c r="N109" s="45" t="inlineStr">
        <is>
          <t>Line 59020</t>
        </is>
      </c>
      <c r="O109" s="51">
        <f>IF(TransferName="NONE",0,(_xlfn.XLOOKUP(TransferNumber,Clients!D:D,Clients!FTD:FTD,2,0,1)))</f>
        <v/>
      </c>
      <c r="P109" s="37">
        <f>IF(AND(M109&gt;0,O109=0),"Age Amount Can Be Transferred","No Action")</f>
        <v/>
      </c>
    </row>
    <row r="110" ht="15.75" customHeight="1" thickBot="1">
      <c r="B110" s="667" t="inlineStr">
        <is>
          <t>Pension Income Amount</t>
        </is>
      </c>
      <c r="D110" t="inlineStr">
        <is>
          <t>Line 5836 (mx 1173)</t>
        </is>
      </c>
      <c r="E110" s="861">
        <f>IF((_xlfn.XLOOKUP(ClientNumber,Clients!D:D,Clients!ERZ:ERZ,2,0,1)&lt;1173),(_xlfn.XLOOKUP(MainClient,Clients!D:D,Clients!ERZ:ERZ,2,0,1)),1173)</f>
        <v/>
      </c>
      <c r="F110" s="37" t="inlineStr">
        <is>
          <t>Line 59050</t>
        </is>
      </c>
      <c r="G110" s="51">
        <f>IF(TransferName="NONE",0,(_xlfn.XLOOKUP(TransferNumber,Clients!D:D,Clients!ETE:ETE,2,0,1)))</f>
        <v/>
      </c>
      <c r="H110" s="37">
        <f>IF(AND(E110&gt;0,G110=0),"Pension Income Amount Can Be Transferred","No Action")</f>
        <v/>
      </c>
      <c r="J110" s="667" t="inlineStr">
        <is>
          <t>Pension Income Amount</t>
        </is>
      </c>
      <c r="L110" t="inlineStr">
        <is>
          <t>Line 5836 (mx 1173)</t>
        </is>
      </c>
      <c r="M110" s="865">
        <f>IF((_xlfn.XLOOKUP(ClientNumber,Clients!D:D,Clients!FSB:FSB,2,0,1)&lt;1173),(_xlfn.XLOOKUP(MainClient,Clients!D:D,Clients!FSB:FSB,2,0,1)),1173)</f>
        <v/>
      </c>
      <c r="N110" s="45" t="inlineStr">
        <is>
          <t>Line 59050</t>
        </is>
      </c>
      <c r="O110" s="51">
        <f>IF(TransferName="NONE",0,(_xlfn.XLOOKUP(TransferNumber,Clients!D:D,Clients!FTG:FTG,2,0,1)))</f>
        <v/>
      </c>
      <c r="P110" s="37">
        <f>IF(AND(M110&gt;0,O110=0),"Pension Income Amount Can Be Transferred","No Action")</f>
        <v/>
      </c>
    </row>
    <row r="111" ht="15.75" customHeight="1" thickBot="1">
      <c r="B111" s="667" t="inlineStr">
        <is>
          <t>Disability Amount</t>
        </is>
      </c>
      <c r="D111" t="inlineStr">
        <is>
          <t xml:space="preserve">Line 5844 </t>
        </is>
      </c>
      <c r="E111" s="861">
        <f>IF(_xlfn.XLOOKUP(ClientNumber,Clients!D:D,Clients!ESB:ESB,2,0,1)=0,7341,(_xlfn.XLOOKUP(MainClient,Clients!D:D,Clients!ESB:ESB,2,0,1)))</f>
        <v/>
      </c>
      <c r="F111" s="37" t="inlineStr">
        <is>
          <t>Line 59070</t>
        </is>
      </c>
      <c r="G111" s="51">
        <f>IF(TransferName="NONE",0,(_xlfn.XLOOKUP(TransferNumber,Clients!D:D,Clients!ETF:ETF,2,0,1)))</f>
        <v/>
      </c>
      <c r="H111" s="37">
        <f>IF(AND(E111&gt;0,G111=0),"DTC Transferable Not Claimed Can Be Transferred","No Action")</f>
        <v/>
      </c>
      <c r="J111" s="667" t="inlineStr">
        <is>
          <t>Disability Amount</t>
        </is>
      </c>
      <c r="L111" t="inlineStr">
        <is>
          <t xml:space="preserve">Line 5844 </t>
        </is>
      </c>
      <c r="M111" s="865">
        <f>IF(_xlfn.XLOOKUP(ClientNumber,Clients!D:D,Clients!FSD:FSD,2,0,1)=0,7341,(_xlfn.XLOOKUP(MainClient,Clients!D:D,Clients!FSD:FSD,2,0,1)))</f>
        <v/>
      </c>
      <c r="N111" s="45" t="inlineStr">
        <is>
          <t>Line 59070</t>
        </is>
      </c>
      <c r="O111" s="51">
        <f>IF(TransferName="NONE",0,(_xlfn.XLOOKUP(TransferNumber,Clients!D:D,Clients!FTH:FTH,2,0,1)))</f>
        <v/>
      </c>
      <c r="P111" s="37">
        <f>IF(AND(M111&gt;0,O111=0),"DTC Transferable Not Claimed Can Be Transferred","No Action")</f>
        <v/>
      </c>
    </row>
    <row r="112" ht="15.75" customHeight="1" thickBot="1">
      <c r="B112" s="667" t="inlineStr">
        <is>
          <t>Tuition Amount</t>
        </is>
      </c>
      <c r="D112" t="inlineStr">
        <is>
          <t>Line 5920</t>
        </is>
      </c>
      <c r="E112" s="861">
        <f>(_xlfn.XLOOKUP(ClientNumber,Clients!D:D,Clients!ETP:ETP,2,0,1))</f>
        <v/>
      </c>
      <c r="F112" s="37" t="inlineStr">
        <is>
          <t>Line 59090</t>
        </is>
      </c>
      <c r="G112" s="51">
        <f>IF(TransferName="NONE",0,(_xlfn.XLOOKUP(TransferNumber,Clients!D:D,Clients!ETG:ETG,2,0,1)))</f>
        <v/>
      </c>
      <c r="H112" s="37">
        <f>IF(AND(E112&gt;0,G112=0),"Tuition Can Be Transferred","No Action")</f>
        <v/>
      </c>
      <c r="J112" s="667" t="inlineStr">
        <is>
          <t>Tuition Amount</t>
        </is>
      </c>
      <c r="L112" t="inlineStr">
        <is>
          <t>Line 5920</t>
        </is>
      </c>
      <c r="M112" s="865">
        <f>(_xlfn.XLOOKUP(MainClient,Clients!D:D,Clients!FTT:FTT,2,0,1))</f>
        <v/>
      </c>
      <c r="N112" s="45" t="inlineStr">
        <is>
          <t>Line 59090</t>
        </is>
      </c>
      <c r="O112" s="51">
        <f>IF(TransferName="NONE",0,(_xlfn.XLOOKUP(TransferNumber,Clients!D:D,Clients!FTI:FTI,2,0,1)))</f>
        <v/>
      </c>
      <c r="P112" s="37">
        <f>IF(AND(M112&gt;0,O112=0),"Tuition Can Be Transferred","No Action")</f>
        <v/>
      </c>
    </row>
    <row r="113">
      <c r="B113" s="667" t="n"/>
      <c r="E113" s="771">
        <f>SUM(E109:E112)</f>
        <v/>
      </c>
      <c r="F113" s="37" t="n"/>
      <c r="G113" s="667">
        <f>SUM(G109:G112)</f>
        <v/>
      </c>
      <c r="H113" s="37" t="n"/>
      <c r="J113" s="667" t="n"/>
      <c r="M113" s="872">
        <f>SUM(M109:M112)</f>
        <v/>
      </c>
      <c r="N113" s="37" t="n"/>
      <c r="O113" s="667">
        <f>SUM(O109:O112)</f>
        <v/>
      </c>
      <c r="P113" s="37" t="n"/>
    </row>
    <row r="114">
      <c r="B114" s="667" t="n"/>
      <c r="C114" s="668" t="n"/>
      <c r="E114" s="771" t="n"/>
      <c r="F114" s="37" t="n"/>
      <c r="G114" s="668" t="n"/>
      <c r="H114" s="37" t="n"/>
      <c r="J114" s="667" t="n"/>
      <c r="K114" s="668" t="n"/>
      <c r="M114" s="872" t="n"/>
      <c r="N114" s="37" t="n"/>
      <c r="O114" s="668" t="n"/>
      <c r="P114" s="37" t="n"/>
    </row>
    <row r="115" ht="15.75" customHeight="1" thickBot="1">
      <c r="B115" s="34" t="n"/>
      <c r="F115" s="35" t="n"/>
      <c r="H115" s="35" t="n"/>
      <c r="J115" s="34" t="n"/>
      <c r="N115" s="35" t="n"/>
      <c r="P115" s="35" t="n"/>
    </row>
    <row r="116" ht="15.75" customHeight="1" thickBot="1">
      <c r="B116" s="667" t="inlineStr">
        <is>
          <t>Line 260</t>
        </is>
      </c>
      <c r="C116" s="36">
        <f>(_xlfn.XLOOKUP(MainClient,Clients!D:D,Clients!EIY:EIY,2,0,1))</f>
        <v/>
      </c>
      <c r="F116" s="35" t="n"/>
      <c r="G116" s="34">
        <f>IF(E139&gt;E111,"other transferable credits","DTC Only")</f>
        <v/>
      </c>
      <c r="H116" s="35" t="n"/>
      <c r="J116" s="667" t="inlineStr">
        <is>
          <t>Line 260</t>
        </is>
      </c>
      <c r="K116" s="36">
        <f>(_xlfn.XLOOKUP(MainClient,Clients!D:D,Clients!FJA:FJA,2,0,1))</f>
        <v/>
      </c>
      <c r="N116" s="35" t="n"/>
      <c r="O116" s="34">
        <f>IF(M139&gt;M111,"other transferable credits","DTC Only")</f>
        <v/>
      </c>
      <c r="P116" s="35" t="n"/>
    </row>
    <row r="117" ht="15.75" customHeight="1" thickBot="1">
      <c r="B117" s="34" t="n"/>
      <c r="F117" s="35" t="n"/>
      <c r="G117" s="34" t="n"/>
      <c r="H117" s="35" t="n"/>
      <c r="J117" s="34" t="n"/>
      <c r="N117" s="35" t="n"/>
      <c r="O117" s="34" t="n"/>
      <c r="P117" s="35" t="n"/>
    </row>
    <row r="118" ht="15.75" customHeight="1" thickBot="1">
      <c r="B118" s="55" t="inlineStr">
        <is>
          <t>Line 5804</t>
        </is>
      </c>
      <c r="C118" s="36">
        <f>(_xlfn.XLOOKUP(ClientNumber,Clients!D:D,Clients!EQY:EQY,2,0,1))</f>
        <v/>
      </c>
      <c r="F118" s="35" t="n"/>
      <c r="G118" s="34" t="n"/>
      <c r="H118" s="35" t="n"/>
      <c r="J118" s="55" t="inlineStr">
        <is>
          <t>Line 5804</t>
        </is>
      </c>
      <c r="K118" s="36">
        <f>(_xlfn.XLOOKUP(MainClient,Clients!D:D,Clients!FRA:FRA,2,0,1))</f>
        <v/>
      </c>
      <c r="N118" s="35" t="n"/>
      <c r="O118" s="34" t="n"/>
      <c r="P118" s="35" t="n"/>
    </row>
    <row r="119" ht="15.75" customHeight="1" thickBot="1">
      <c r="B119" s="55" t="inlineStr">
        <is>
          <t>Line 5824</t>
        </is>
      </c>
      <c r="C119" s="36">
        <f>(_xlfn.XLOOKUP(ClientNumber,Clients!D:D,Clients!ERN:ERN,2,0,1))</f>
        <v/>
      </c>
      <c r="F119" s="35" t="n"/>
      <c r="G119" s="34" t="n"/>
      <c r="H119" s="35" t="n"/>
      <c r="J119" s="55" t="inlineStr">
        <is>
          <t>Line 5824</t>
        </is>
      </c>
      <c r="K119" s="36">
        <f>(_xlfn.XLOOKUP(MainClient,Clients!D:D,Clients!FRP:FRP,2,0,1))</f>
        <v/>
      </c>
      <c r="N119" s="35" t="n"/>
      <c r="O119" s="34" t="n"/>
      <c r="P119" s="35" t="n"/>
    </row>
    <row r="120" ht="15.75" customHeight="1" thickBot="1">
      <c r="B120" s="55" t="inlineStr">
        <is>
          <t>Line 5828</t>
        </is>
      </c>
      <c r="C120" s="36">
        <f>(_xlfn.XLOOKUP(ClientNumber,Clients!D:D,Clients!ERO:ERO,2,0,1))</f>
        <v/>
      </c>
      <c r="F120" s="35" t="n"/>
      <c r="G120" s="34" t="n"/>
      <c r="H120" s="35" t="n"/>
      <c r="J120" s="55" t="inlineStr">
        <is>
          <t>Line 5828</t>
        </is>
      </c>
      <c r="K120" s="36">
        <f>(_xlfn.XLOOKUP(MainClient,Clients!D:D,Clients!FRQ:FRQ,2,0,1))</f>
        <v/>
      </c>
      <c r="N120" s="35" t="n"/>
      <c r="P120" s="35" t="n"/>
    </row>
    <row r="121" ht="15.75" customHeight="1" thickBot="1">
      <c r="B121" s="55" t="inlineStr">
        <is>
          <t>Line 5832</t>
        </is>
      </c>
      <c r="C121" s="36">
        <f>(_xlfn.XLOOKUP(ClientNumber,Clients!D:D,Clients!ERP:ERP,2,0,1))</f>
        <v/>
      </c>
      <c r="F121" s="35" t="n"/>
      <c r="G121" s="34" t="n"/>
      <c r="H121" s="35" t="n"/>
      <c r="J121" s="55" t="inlineStr">
        <is>
          <t>Line 5832</t>
        </is>
      </c>
      <c r="K121" s="36">
        <f>(_xlfn.XLOOKUP(MainClient,Clients!D:D,Clients!FRR:FRR,2,0,1))</f>
        <v/>
      </c>
      <c r="N121" s="35" t="n"/>
      <c r="O121" s="34" t="n"/>
      <c r="P121" s="35" t="n"/>
    </row>
    <row r="122" ht="15.75" customHeight="1" thickBot="1">
      <c r="B122" s="55" t="inlineStr">
        <is>
          <t>Line 5829</t>
        </is>
      </c>
      <c r="C122" s="36">
        <f>(_xlfn.XLOOKUP(ClientNumber,Clients!D:D,Clients!ERQ:ERQ,2,0,1))</f>
        <v/>
      </c>
      <c r="F122" s="35" t="n"/>
      <c r="G122" s="34" t="n"/>
      <c r="H122" s="35" t="n"/>
      <c r="J122" s="55" t="inlineStr">
        <is>
          <t>Line 5829</t>
        </is>
      </c>
      <c r="K122" s="36">
        <f>(_xlfn.XLOOKUP(MainClient,Clients!D:D,Clients!FRS:FRS,2,0,1))</f>
        <v/>
      </c>
      <c r="N122" s="35" t="n"/>
      <c r="O122" s="34" t="n"/>
      <c r="P122" s="35" t="n"/>
    </row>
    <row r="123" ht="15.75" customHeight="1" thickBot="1">
      <c r="B123" s="55" t="inlineStr">
        <is>
          <t>Line 5856</t>
        </is>
      </c>
      <c r="C123" s="36">
        <f>(_xlfn.XLOOKUP(ClientNumber,Clients!D:D,Clients!ESF:ESF,2,0,1))</f>
        <v/>
      </c>
      <c r="F123" s="35" t="n"/>
      <c r="G123" s="34" t="n"/>
      <c r="H123" s="35" t="n"/>
      <c r="J123" s="55" t="inlineStr">
        <is>
          <t>Line 5856</t>
        </is>
      </c>
      <c r="K123" s="36">
        <f>(_xlfn.XLOOKUP(MainClient,Clients!D:D,Clients!FSH:FSH,2,0,1))</f>
        <v/>
      </c>
      <c r="N123" s="35" t="n"/>
      <c r="O123" s="34" t="n"/>
      <c r="P123" s="35" t="n"/>
    </row>
    <row r="124" ht="15.75" customHeight="1" thickBot="1">
      <c r="B124" s="55" t="n"/>
      <c r="C124" s="36" t="n"/>
      <c r="F124" s="35" t="n"/>
      <c r="G124" s="34" t="n"/>
      <c r="H124" s="35" t="n"/>
      <c r="J124" s="55" t="n"/>
      <c r="K124" s="36" t="n"/>
      <c r="N124" s="35" t="n"/>
      <c r="O124" s="34" t="n"/>
      <c r="P124" s="35" t="n"/>
    </row>
    <row r="125" ht="15.75" customHeight="1" thickBot="1">
      <c r="B125" s="55" t="n"/>
      <c r="C125" s="36" t="n"/>
      <c r="F125" s="35" t="n"/>
      <c r="G125" s="34" t="n"/>
      <c r="H125" s="35" t="n"/>
      <c r="J125" s="55" t="n"/>
      <c r="K125" s="36" t="n"/>
      <c r="N125" s="35" t="n"/>
      <c r="O125" s="34" t="n"/>
      <c r="P125" s="35" t="n"/>
    </row>
    <row r="126" ht="15.75" customHeight="1" thickBot="1">
      <c r="B126" s="55" t="n"/>
      <c r="C126" s="36" t="n"/>
      <c r="F126" s="35" t="n"/>
      <c r="G126" s="34" t="n"/>
      <c r="H126" s="35" t="n"/>
      <c r="J126" s="55" t="n"/>
      <c r="K126" s="36" t="n"/>
      <c r="N126" s="35" t="n"/>
      <c r="O126" s="34" t="n"/>
      <c r="P126" s="35" t="n"/>
    </row>
    <row r="127" ht="15.75" customHeight="1" thickBot="1">
      <c r="B127" s="55" t="n"/>
      <c r="C127" s="36" t="n"/>
      <c r="F127" s="35" t="n"/>
      <c r="G127" s="34" t="n"/>
      <c r="H127" s="35" t="n"/>
      <c r="J127" s="55" t="n"/>
      <c r="K127" s="36" t="n"/>
      <c r="N127" s="35" t="n"/>
      <c r="O127" s="34" t="n"/>
      <c r="P127" s="35" t="n"/>
    </row>
    <row r="128" ht="15.75" customHeight="1" thickBot="1">
      <c r="B128" s="55" t="n"/>
      <c r="C128" s="36" t="n"/>
      <c r="F128" s="35" t="n"/>
      <c r="G128" s="34" t="inlineStr">
        <is>
          <t>Line 326</t>
        </is>
      </c>
      <c r="H128" s="35">
        <f>IF(TransferName="NONE",0,(_xlfn.XLOOKUP(TransferNumber,Clients!D:D,Clients!EJX:EJX,2,0,1)))</f>
        <v/>
      </c>
      <c r="J128" s="55" t="n"/>
      <c r="K128" s="36" t="n"/>
      <c r="N128" s="35" t="n"/>
      <c r="O128" s="34" t="inlineStr">
        <is>
          <t>Line 326</t>
        </is>
      </c>
      <c r="P128" s="35">
        <f>IFERROR(_xlfn.XLOOKUP(TransferNumber,Clients!D:D,Clients!FJZ:FJZ,2,0,1),0)</f>
        <v/>
      </c>
    </row>
    <row r="129" ht="15.75" customHeight="1" thickBot="1">
      <c r="B129" s="38" t="n"/>
      <c r="C129" s="36" t="n"/>
      <c r="F129" s="35" t="n"/>
      <c r="G129" s="34" t="n"/>
      <c r="H129" s="35" t="n"/>
      <c r="J129" s="55" t="n"/>
      <c r="K129" s="36" t="n"/>
      <c r="N129" s="35" t="n"/>
      <c r="O129" s="34" t="n"/>
      <c r="P129" s="35" t="n"/>
    </row>
    <row r="130" ht="15.75" customHeight="1" thickBot="1">
      <c r="B130" s="38" t="n"/>
      <c r="C130" s="36" t="n"/>
      <c r="F130" s="35" t="n"/>
      <c r="G130" s="34" t="n"/>
      <c r="H130" s="35" t="n"/>
      <c r="J130" s="38" t="n"/>
      <c r="K130" s="36" t="n"/>
      <c r="N130" s="35" t="n"/>
      <c r="O130" s="34" t="n"/>
      <c r="P130" s="35" t="n"/>
    </row>
    <row r="131" ht="15.75" customHeight="1" thickBot="1">
      <c r="B131" s="38" t="n"/>
      <c r="C131" s="36" t="n"/>
      <c r="F131" s="35" t="n"/>
      <c r="G131" s="34" t="n"/>
      <c r="H131" s="35" t="n"/>
      <c r="J131" s="38" t="n"/>
      <c r="K131" s="36" t="n"/>
      <c r="N131" s="35" t="n"/>
      <c r="O131" s="34" t="n"/>
      <c r="P131" s="35" t="n"/>
    </row>
    <row r="132" ht="15.75" customHeight="1" thickBot="1">
      <c r="B132" s="38" t="n"/>
      <c r="C132" s="36" t="n"/>
      <c r="F132" s="35" t="n"/>
      <c r="G132" s="34" t="n"/>
      <c r="H132" s="35">
        <f>IF(E137&gt;0,E113-G113,0)</f>
        <v/>
      </c>
      <c r="J132" s="38" t="n"/>
      <c r="K132" s="36" t="n"/>
      <c r="N132" s="35" t="n"/>
      <c r="O132" s="34" t="n"/>
      <c r="P132" s="35">
        <f>IF(M137&gt;0,M113-O113,0)</f>
        <v/>
      </c>
    </row>
    <row r="133" ht="15.75" customHeight="1" thickBot="1">
      <c r="B133" s="38" t="n"/>
      <c r="C133" s="36" t="n"/>
      <c r="F133" s="35" t="n"/>
      <c r="H133" s="52">
        <f>IF(TransferName="NONE",F138,IF(H132&gt;0,(E137-G113)*0.0879,0))</f>
        <v/>
      </c>
      <c r="J133" s="38" t="n"/>
      <c r="K133" s="36" t="n"/>
      <c r="N133" s="35" t="n"/>
      <c r="P133" s="52">
        <f>IF(TransferName="NONE",N138,IF(P132&gt;0,(M137-O113)*0.0879,0))</f>
        <v/>
      </c>
    </row>
    <row r="134">
      <c r="B134" s="667" t="n"/>
      <c r="F134" s="35" t="n"/>
      <c r="G134" s="34" t="inlineStr">
        <is>
          <t>Transferable</t>
        </is>
      </c>
      <c r="H134" s="52">
        <f>IF(H133&gt;0,H133,0)</f>
        <v/>
      </c>
      <c r="J134" s="667" t="n"/>
      <c r="N134" s="35" t="n"/>
      <c r="O134" s="34" t="inlineStr">
        <is>
          <t>Transferable</t>
        </is>
      </c>
      <c r="P134" s="52">
        <f>IF(P133&gt;0,P133,0)</f>
        <v/>
      </c>
    </row>
    <row r="135">
      <c r="B135" s="667" t="inlineStr">
        <is>
          <t>Adjusted Taxable Income</t>
        </is>
      </c>
      <c r="C135">
        <f>C116-(SUM(C118:C133))</f>
        <v/>
      </c>
      <c r="D135" s="13" t="inlineStr">
        <is>
          <t>Line 5864</t>
        </is>
      </c>
      <c r="E135" s="39">
        <f>IF(C135&gt;0,C135,0)</f>
        <v/>
      </c>
      <c r="F135" s="35" t="n"/>
      <c r="G135" s="34" t="n"/>
      <c r="H135" s="35" t="n"/>
      <c r="J135" s="667" t="inlineStr">
        <is>
          <t>Adjusted Taxable Income</t>
        </is>
      </c>
      <c r="K135">
        <f>K116-(SUM(K118:K133))</f>
        <v/>
      </c>
      <c r="L135" s="13" t="inlineStr">
        <is>
          <t>Line 5864</t>
        </is>
      </c>
      <c r="M135" s="39">
        <f>IF(K135&gt;0,K135,0)</f>
        <v/>
      </c>
      <c r="N135" s="35" t="n"/>
      <c r="O135" s="34" t="n"/>
      <c r="P135" s="35" t="n"/>
    </row>
    <row r="136" ht="15.75" customHeight="1" thickBot="1">
      <c r="B136" s="34" t="n"/>
      <c r="F136" s="35" t="n"/>
      <c r="G136" s="34" t="n"/>
      <c r="H136" s="35" t="n"/>
      <c r="J136" s="34" t="n"/>
      <c r="N136" s="35" t="n"/>
      <c r="O136" s="34" t="n"/>
      <c r="P136" s="35" t="n"/>
    </row>
    <row r="137" ht="15.75" customHeight="1" thickBot="1">
      <c r="B137" s="34" t="n"/>
      <c r="D137" s="21" t="inlineStr">
        <is>
          <t>Prov Trans</t>
        </is>
      </c>
      <c r="E137" s="36">
        <f>(E113-E135)</f>
        <v/>
      </c>
      <c r="F137" s="40" t="n"/>
      <c r="G137" s="34" t="n"/>
      <c r="H137" s="52" t="n"/>
      <c r="J137" s="34" t="n"/>
      <c r="L137" s="21" t="inlineStr">
        <is>
          <t>Prov Trans</t>
        </is>
      </c>
      <c r="M137" s="36">
        <f>(M113-M135)</f>
        <v/>
      </c>
      <c r="N137" s="40" t="n"/>
      <c r="O137" s="34" t="n"/>
      <c r="P137" s="52" t="n"/>
    </row>
    <row r="138" ht="15.75" customHeight="1" thickBot="1">
      <c r="B138" s="34" t="n"/>
      <c r="C138" s="579" t="inlineStr">
        <is>
          <t>DTC Transferable ESTIMATE</t>
        </is>
      </c>
      <c r="D138" s="35" t="n"/>
      <c r="E138" s="36">
        <f>IF(E137&lt;0,0,(IF(E137&gt;E111,E111,E137)))</f>
        <v/>
      </c>
      <c r="F138" s="40">
        <f>IF(E138&gt;0,E138*0.0879,"No Transfer Required")</f>
        <v/>
      </c>
      <c r="G138" s="678" t="n"/>
      <c r="H138" s="52" t="n"/>
      <c r="J138" s="34" t="n"/>
      <c r="K138" s="579" t="inlineStr">
        <is>
          <t>DTC Transferable ESTIMATE</t>
        </is>
      </c>
      <c r="L138" s="35" t="n"/>
      <c r="M138" s="36">
        <f>IF(M137&lt;0,0,(IF(M137&gt;M111,M111,M137)))</f>
        <v/>
      </c>
      <c r="N138" s="40">
        <f>IF(M138&gt;0,M138*0.0879,"No Transfer Required")</f>
        <v/>
      </c>
      <c r="O138" s="58" t="n"/>
      <c r="P138" s="52" t="n"/>
    </row>
    <row r="139" ht="15.75" customHeight="1" thickBot="1">
      <c r="B139" s="42" t="n"/>
      <c r="C139" s="41" t="n"/>
      <c r="D139" s="43" t="inlineStr">
        <is>
          <t>Net Transferable</t>
        </is>
      </c>
      <c r="E139" s="36">
        <f>IF(E137&lt;0,0,(IF(E137-G109-G110-G112&lt;0,E137,(E137-G109-G110-G112))))</f>
        <v/>
      </c>
      <c r="F139" s="57">
        <f>IF(E139&gt;0,E139*0.0879,"0")</f>
        <v/>
      </c>
      <c r="G139" s="42" t="n"/>
      <c r="H139" s="864" t="n"/>
      <c r="J139" s="42" t="n"/>
      <c r="K139" s="41" t="n"/>
      <c r="L139" s="43" t="inlineStr">
        <is>
          <t>Net Transferable</t>
        </is>
      </c>
      <c r="M139" s="36">
        <f>IF(M137&lt;0,0,(IF(M137-O109-O110-O112&lt;0,M137,(M137-O109-O110-O112))))</f>
        <v/>
      </c>
      <c r="N139" s="57">
        <f>IF(M139&gt;0,M139*0.0879,"0")</f>
        <v/>
      </c>
      <c r="O139" s="59" t="n"/>
      <c r="P139" s="864" t="n"/>
    </row>
    <row r="141" ht="15.75" customHeight="1" thickBot="1">
      <c r="E141">
        <f>Calculator!$D$5</f>
        <v/>
      </c>
      <c r="H141">
        <f>TransferName</f>
        <v/>
      </c>
      <c r="M141">
        <f>Calculator!$D$5</f>
        <v/>
      </c>
      <c r="P141">
        <f>TransferName</f>
        <v/>
      </c>
    </row>
    <row r="142" ht="15.75" customHeight="1" thickBot="1">
      <c r="B142" s="878" t="inlineStr">
        <is>
          <t>2016 NOVA SCOTIA Provincial</t>
        </is>
      </c>
      <c r="C142" s="778" t="n"/>
      <c r="D142" s="778" t="n"/>
      <c r="E142" s="778" t="n"/>
      <c r="F142" s="778" t="n"/>
      <c r="G142" s="778" t="n"/>
      <c r="H142" s="780" t="n"/>
      <c r="J142" s="878" t="inlineStr">
        <is>
          <t>2015 NOVA SCOTIA Provincial</t>
        </is>
      </c>
      <c r="K142" s="778" t="n"/>
      <c r="L142" s="778" t="n"/>
      <c r="M142" s="778" t="n"/>
      <c r="N142" s="778" t="n"/>
      <c r="O142" s="778" t="n"/>
      <c r="P142" s="780" t="n"/>
    </row>
    <row r="143" ht="15.75" customHeight="1" thickBot="1">
      <c r="B143" s="34" t="n"/>
      <c r="D143" t="inlineStr">
        <is>
          <t>Line</t>
        </is>
      </c>
      <c r="E143" t="inlineStr">
        <is>
          <t>Amt</t>
        </is>
      </c>
      <c r="F143" s="35" t="n"/>
      <c r="G143" s="667" t="inlineStr">
        <is>
          <t>Spouse</t>
        </is>
      </c>
      <c r="H143" s="35" t="inlineStr">
        <is>
          <t>S2 Adjustment</t>
        </is>
      </c>
      <c r="J143" s="34" t="n"/>
      <c r="L143" t="inlineStr">
        <is>
          <t>Line</t>
        </is>
      </c>
      <c r="M143" t="inlineStr">
        <is>
          <t>Amt</t>
        </is>
      </c>
      <c r="N143" s="35" t="n"/>
      <c r="O143" s="34" t="inlineStr">
        <is>
          <t>Spouse</t>
        </is>
      </c>
      <c r="P143" s="35" t="inlineStr">
        <is>
          <t>S2 Adjustment</t>
        </is>
      </c>
    </row>
    <row r="144" ht="15.75" customHeight="1" thickBot="1">
      <c r="B144" s="667" t="inlineStr">
        <is>
          <t>Age Amount</t>
        </is>
      </c>
      <c r="D144" t="inlineStr">
        <is>
          <t>Line 5808</t>
        </is>
      </c>
      <c r="E144" s="861">
        <f>(_xlfn.XLOOKUP(ClientNumber,Clients!D:D,Clients!GRD:GRD,2,0,1))</f>
        <v/>
      </c>
      <c r="F144" s="37" t="inlineStr">
        <is>
          <t>Line 59020</t>
        </is>
      </c>
      <c r="G144" s="51">
        <f>IF(TransferName="NONE",0,(_xlfn.XLOOKUP(TransferNumber,Clients!D:D,Clients!GTF:GTF,2,0,1)))</f>
        <v/>
      </c>
      <c r="H144" s="37">
        <f>IF(AND(E144&gt;0,G144=0),"Age Amount Can Be Transferred","No Action")</f>
        <v/>
      </c>
      <c r="J144" s="667" t="inlineStr">
        <is>
          <t>Age Amount</t>
        </is>
      </c>
      <c r="L144" t="inlineStr">
        <is>
          <t>Line 5808</t>
        </is>
      </c>
      <c r="M144" s="865">
        <f>(_xlfn.XLOOKUP(MainClient,Clients!D:D,Clients!HRF:HRF,2,0,1))</f>
        <v/>
      </c>
      <c r="N144" s="45" t="inlineStr">
        <is>
          <t>Line 59020</t>
        </is>
      </c>
      <c r="O144" s="51">
        <f>IF(TransferName="NONE",0,(_xlfn.XLOOKUP(TransferNumber,Clients!D:D,Clients!HTH:HTH,2,0,1)))</f>
        <v/>
      </c>
      <c r="P144" s="37">
        <f>IF(AND(M144&gt;0,O144=0),"Age Amount Can Be Transferred","No Action")</f>
        <v/>
      </c>
    </row>
    <row r="145" ht="15.75" customHeight="1" thickBot="1">
      <c r="B145" s="667" t="inlineStr">
        <is>
          <t>Pension Income Amount</t>
        </is>
      </c>
      <c r="D145" t="inlineStr">
        <is>
          <t>Line 5836 (mx 1173)</t>
        </is>
      </c>
      <c r="E145" s="861">
        <f>IF((_xlfn.XLOOKUP(ClientNumber,Clients!D:D,Clients!GSD:GSD,2,0,1)&lt;1173),(_xlfn.XLOOKUP(MainClient,Clients!D:D,Clients!GSD:GSD,2,0,1)),1173)</f>
        <v/>
      </c>
      <c r="F145" s="37" t="inlineStr">
        <is>
          <t>Line 59050</t>
        </is>
      </c>
      <c r="G145" s="51">
        <f>IF(TransferName="NONE",0,(_xlfn.XLOOKUP(TransferNumber,Clients!D:D,Clients!GTI:GTI,2,0,1)))</f>
        <v/>
      </c>
      <c r="H145" s="37">
        <f>IF(AND(E145&gt;0,G145=0),"Pension Income Amount Can Be Transferred","No Action")</f>
        <v/>
      </c>
      <c r="J145" s="667" t="inlineStr">
        <is>
          <t>Pension Income Amount</t>
        </is>
      </c>
      <c r="L145" t="inlineStr">
        <is>
          <t>Line 5836 (mx 1173)</t>
        </is>
      </c>
      <c r="M145" s="865">
        <f>IF((_xlfn.XLOOKUP(ClientNumber,Clients!D:D,Clients!HSF:HSF,2,0,1)&lt;1173),(_xlfn.XLOOKUP(MainClient,Clients!D:D,Clients!HSF:HSF,2,0,1)),1173)</f>
        <v/>
      </c>
      <c r="N145" s="45" t="inlineStr">
        <is>
          <t>Line 59050</t>
        </is>
      </c>
      <c r="O145" s="51">
        <f>IF(TransferName="NONE",0,(_xlfn.XLOOKUP(TransferNumber,Clients!D:D,Clients!HTK:HTK,2,0,1)))</f>
        <v/>
      </c>
      <c r="P145" s="37">
        <f>IF(AND(M145&gt;0,O145=0),"Pension Income Amount Can Be Transferred","No Action")</f>
        <v/>
      </c>
    </row>
    <row r="146" ht="15.75" customHeight="1" thickBot="1">
      <c r="B146" s="667" t="inlineStr">
        <is>
          <t>Disability Amount</t>
        </is>
      </c>
      <c r="D146" t="inlineStr">
        <is>
          <t xml:space="preserve">Line 5844 </t>
        </is>
      </c>
      <c r="E146" s="861">
        <f>IF(_xlfn.XLOOKUP(ClientNumber,Clients!D:D,Clients!GSF:GSF,2,0,1)=0,7341,(_xlfn.XLOOKUP(MainClient,Clients!D:D,Clients!GSF:GSF,2,0,1)))</f>
        <v/>
      </c>
      <c r="F146" s="37" t="inlineStr">
        <is>
          <t>Line 59070</t>
        </is>
      </c>
      <c r="G146" s="51">
        <f>IF(TransferName="NONE",0,(_xlfn.XLOOKUP(TransferNumber,Clients!D:D,Clients!GTJ:GTJ,2,0,1)))</f>
        <v/>
      </c>
      <c r="H146" s="37">
        <f>IF(AND(E146&gt;0,G146=0),"DTC Transferable Not Claimed Can Be Transferred","No Action")</f>
        <v/>
      </c>
      <c r="J146" s="667" t="inlineStr">
        <is>
          <t>Disability Amount</t>
        </is>
      </c>
      <c r="L146" t="inlineStr">
        <is>
          <t xml:space="preserve">Line 5844 </t>
        </is>
      </c>
      <c r="M146" s="865">
        <f>IF(_xlfn.XLOOKUP(ClientNumber,Clients!D:D,Clients!HSH:HSH,2,0,1)=0,7341,(_xlfn.XLOOKUP(MainClient,Clients!D:D,Clients!HSH:HSH,2,0,1)))</f>
        <v/>
      </c>
      <c r="N146" s="45" t="inlineStr">
        <is>
          <t>Line 59070</t>
        </is>
      </c>
      <c r="O146" s="51">
        <f>IF(TransferName="NONE",0,(_xlfn.XLOOKUP(TransferNumber,Clients!D:D,Clients!HTL:HTL,2,0,1)))</f>
        <v/>
      </c>
      <c r="P146" s="37">
        <f>IF(AND(M146&gt;0,O146=0),"DTC Transferable Not Claimed Can Be Transferred","No Action")</f>
        <v/>
      </c>
    </row>
    <row r="147" ht="15.75" customHeight="1" thickBot="1">
      <c r="B147" s="667" t="inlineStr">
        <is>
          <t>Tuition Amount</t>
        </is>
      </c>
      <c r="D147" t="inlineStr">
        <is>
          <t>Line 5920</t>
        </is>
      </c>
      <c r="E147" s="861">
        <f>(_xlfn.XLOOKUP(ClientNumber,Clients!D:D,Clients!GTT:GTT,2,0,1))</f>
        <v/>
      </c>
      <c r="F147" s="37" t="inlineStr">
        <is>
          <t>Line 59090</t>
        </is>
      </c>
      <c r="G147" s="51">
        <f>IF(TransferName="NONE",0,(_xlfn.XLOOKUP(TransferNumber,Clients!D:D,Clients!GTK:GTK,2,0,1)))</f>
        <v/>
      </c>
      <c r="H147" s="37">
        <f>IF(AND(E147&gt;0,G147=0),"Tuition Can Be Transferred","No Action")</f>
        <v/>
      </c>
      <c r="J147" s="667" t="inlineStr">
        <is>
          <t>Tuition Amount</t>
        </is>
      </c>
      <c r="L147" t="inlineStr">
        <is>
          <t>Line 5920</t>
        </is>
      </c>
      <c r="M147" s="865">
        <f>(_xlfn.XLOOKUP(MainClient,Clients!D:D,Clients!HTV:HTV,2,0,1))</f>
        <v/>
      </c>
      <c r="N147" s="45" t="inlineStr">
        <is>
          <t>Line 59090</t>
        </is>
      </c>
      <c r="O147" s="51">
        <f>IF(TransferName="NONE",0,(_xlfn.XLOOKUP(TransferNumber,Clients!D:D,Clients!HTM:HTM,2,0,1)))</f>
        <v/>
      </c>
      <c r="P147" s="37">
        <f>IF(AND(M147&gt;0,O147=0),"Tuition Can Be Transferred","No Action")</f>
        <v/>
      </c>
    </row>
    <row r="148">
      <c r="B148" s="667" t="n"/>
      <c r="E148" s="771">
        <f>SUM(E144:E147)</f>
        <v/>
      </c>
      <c r="F148" s="37" t="n"/>
      <c r="G148" s="667">
        <f>SUM(G144:G147)</f>
        <v/>
      </c>
      <c r="H148" s="37" t="n"/>
      <c r="J148" s="667" t="n"/>
      <c r="M148" s="872">
        <f>SUM(M144:M147)</f>
        <v/>
      </c>
      <c r="N148" s="37" t="n"/>
      <c r="O148" s="667">
        <f>SUM(O144:O147)</f>
        <v/>
      </c>
      <c r="P148" s="37" t="n"/>
    </row>
    <row r="149" ht="15.75" customHeight="1" thickBot="1">
      <c r="B149" s="34" t="n"/>
      <c r="F149" s="35" t="n"/>
      <c r="G149" s="667" t="n"/>
      <c r="H149" s="35" t="n"/>
      <c r="J149" s="34" t="n"/>
      <c r="N149" s="35" t="n"/>
      <c r="O149" s="667" t="n"/>
      <c r="P149" s="35" t="n"/>
    </row>
    <row r="150" ht="15.75" customHeight="1" thickBot="1">
      <c r="B150" s="667" t="inlineStr">
        <is>
          <t>Line 260</t>
        </is>
      </c>
      <c r="C150" s="36">
        <f>(_xlfn.XLOOKUP(MainClient,Clients!D:D,Clients!GJC:GJC,2,0,1))</f>
        <v/>
      </c>
      <c r="F150" s="35" t="n"/>
      <c r="G150" s="34">
        <f>IF(E173&gt;E146,"other transferable credits","DTC Only")</f>
        <v/>
      </c>
      <c r="H150" s="35" t="n"/>
      <c r="J150" s="667" t="inlineStr">
        <is>
          <t>Line 260</t>
        </is>
      </c>
      <c r="K150" s="36">
        <f>(_xlfn.XLOOKUP(MainClient,Clients!D:D,Clients!HJE:HJE,2,0,1))</f>
        <v/>
      </c>
      <c r="N150" s="35" t="n"/>
      <c r="O150" s="34">
        <f>IF(M173&gt;M146,"other transferable credits","DTC Only")</f>
        <v/>
      </c>
      <c r="P150" s="35" t="n"/>
    </row>
    <row r="151" ht="15.75" customHeight="1" thickBot="1">
      <c r="B151" s="34" t="n"/>
      <c r="F151" s="35" t="n"/>
      <c r="G151" s="34" t="n"/>
      <c r="H151" s="35" t="n"/>
      <c r="J151" s="34" t="n"/>
      <c r="N151" s="35" t="n"/>
      <c r="O151" s="34" t="n"/>
      <c r="P151" s="35" t="n"/>
    </row>
    <row r="152" ht="15" customHeight="1" thickBot="1">
      <c r="B152" s="55" t="inlineStr">
        <is>
          <t>Line 5804</t>
        </is>
      </c>
      <c r="C152" s="36">
        <f>(_xlfn.XLOOKUP(ClientNumber,Clients!D:D,Clients!GRC:GRC,2,0,1))</f>
        <v/>
      </c>
      <c r="F152" s="35" t="n"/>
      <c r="G152" s="34" t="n"/>
      <c r="H152" s="35" t="n"/>
      <c r="J152" s="55" t="inlineStr">
        <is>
          <t>Line 5804</t>
        </is>
      </c>
      <c r="K152" s="36">
        <f>(_xlfn.XLOOKUP(MainClient,Clients!D:D,Clients!HRE:HRE,2,0,1))</f>
        <v/>
      </c>
      <c r="N152" s="35" t="n"/>
      <c r="O152" s="34" t="n"/>
      <c r="P152" s="35" t="n"/>
    </row>
    <row r="153" ht="15.75" customHeight="1" thickBot="1">
      <c r="B153" s="55" t="inlineStr">
        <is>
          <t>Line 5824</t>
        </is>
      </c>
      <c r="C153" s="36">
        <f>(_xlfn.XLOOKUP(ClientNumber,Clients!D:D,Clients!GRR:GRR,2,0,1))</f>
        <v/>
      </c>
      <c r="F153" s="35" t="n"/>
      <c r="G153" s="34" t="n"/>
      <c r="H153" s="35" t="n"/>
      <c r="J153" s="55" t="inlineStr">
        <is>
          <t>Line 5824</t>
        </is>
      </c>
      <c r="K153" s="36">
        <f>(_xlfn.XLOOKUP(MainClient,Clients!D:D,Clients!HRT:HRT,2,0,1))</f>
        <v/>
      </c>
      <c r="N153" s="35" t="n"/>
      <c r="O153" s="34" t="n"/>
      <c r="P153" s="35" t="n"/>
    </row>
    <row r="154" ht="15.75" customHeight="1" thickBot="1">
      <c r="B154" s="55" t="inlineStr">
        <is>
          <t>Line 5828</t>
        </is>
      </c>
      <c r="C154" s="36">
        <f>(_xlfn.XLOOKUP(ClientNumber,Clients!D:D,Clients!GRS:GRS,2,0,1))</f>
        <v/>
      </c>
      <c r="F154" s="35" t="n"/>
      <c r="G154" s="34" t="n"/>
      <c r="H154" s="35" t="n"/>
      <c r="J154" s="55" t="inlineStr">
        <is>
          <t>Line 5828</t>
        </is>
      </c>
      <c r="K154" s="36">
        <f>(_xlfn.XLOOKUP(MainClient,Clients!D:D,Clients!HRU:HRU,2,0,1))</f>
        <v/>
      </c>
      <c r="N154" s="35" t="n"/>
      <c r="P154" s="35" t="n"/>
    </row>
    <row r="155" ht="15.75" customHeight="1" thickBot="1">
      <c r="B155" s="55" t="inlineStr">
        <is>
          <t>Line 5832</t>
        </is>
      </c>
      <c r="C155" s="36">
        <f>(_xlfn.XLOOKUP(ClientNumber,Clients!D:D,Clients!GRT:GRT,2,0,1))</f>
        <v/>
      </c>
      <c r="F155" s="35" t="n"/>
      <c r="G155" s="34" t="n"/>
      <c r="H155" s="35" t="n"/>
      <c r="J155" s="55" t="inlineStr">
        <is>
          <t>Line 5832</t>
        </is>
      </c>
      <c r="K155" s="36">
        <f>(_xlfn.XLOOKUP(MainClient,Clients!D:D,Clients!HRV:HRV,2,0,1))</f>
        <v/>
      </c>
      <c r="N155" s="35" t="n"/>
      <c r="O155" s="34" t="n"/>
      <c r="P155" s="35" t="n"/>
    </row>
    <row r="156" ht="15.75" customHeight="1" thickBot="1">
      <c r="B156" s="55" t="inlineStr">
        <is>
          <t>Line 5829</t>
        </is>
      </c>
      <c r="C156" s="36">
        <f>(_xlfn.XLOOKUP(ClientNumber,Clients!D:D,Clients!GRU:GRU,2,0,1))</f>
        <v/>
      </c>
      <c r="F156" s="35" t="n"/>
      <c r="G156" s="34" t="n"/>
      <c r="H156" s="35" t="n"/>
      <c r="J156" s="55" t="inlineStr">
        <is>
          <t>Line 5829</t>
        </is>
      </c>
      <c r="K156" s="36">
        <f>(_xlfn.XLOOKUP(MainClient,Clients!D:D,Clients!HRW:HRW,2,0,1))</f>
        <v/>
      </c>
      <c r="N156" s="35" t="n"/>
      <c r="O156" s="34" t="n"/>
      <c r="P156" s="35" t="n"/>
    </row>
    <row r="157" ht="15.75" customHeight="1" thickBot="1">
      <c r="B157" s="55" t="inlineStr">
        <is>
          <t>Line  5856</t>
        </is>
      </c>
      <c r="C157" s="36">
        <f>(_xlfn.XLOOKUP(ClientNumber,Clients!D:D,Clients!GSJ:GSJ,2,0,1))</f>
        <v/>
      </c>
      <c r="F157" s="35" t="n"/>
      <c r="G157" s="34" t="n"/>
      <c r="H157" s="35" t="n"/>
      <c r="J157" s="55" t="inlineStr">
        <is>
          <t>Line  5856</t>
        </is>
      </c>
      <c r="K157" s="36">
        <f>(_xlfn.XLOOKUP(MainClient,Clients!D:D,Clients!HSL:HSL,2,0,1))</f>
        <v/>
      </c>
      <c r="N157" s="35" t="n"/>
      <c r="O157" s="34" t="n"/>
      <c r="P157" s="35" t="n"/>
    </row>
    <row r="158" ht="15.75" customHeight="1" thickBot="1">
      <c r="B158" s="55" t="n"/>
      <c r="C158" s="36" t="n"/>
      <c r="F158" s="35" t="n"/>
      <c r="G158" s="34" t="n"/>
      <c r="H158" s="35" t="n"/>
      <c r="J158" s="55" t="n"/>
      <c r="K158" s="36" t="n"/>
      <c r="N158" s="35" t="n"/>
      <c r="O158" s="34" t="n"/>
      <c r="P158" s="35" t="n"/>
    </row>
    <row r="159" ht="15.75" customHeight="1" thickBot="1">
      <c r="B159" s="55" t="n"/>
      <c r="C159" s="36" t="n"/>
      <c r="F159" s="35" t="n"/>
      <c r="G159" s="34" t="n"/>
      <c r="H159" s="35" t="n"/>
      <c r="J159" s="55" t="n"/>
      <c r="K159" s="36" t="n"/>
      <c r="N159" s="35" t="n"/>
      <c r="O159" s="34" t="n"/>
      <c r="P159" s="35" t="n"/>
    </row>
    <row r="160" ht="15.75" customHeight="1" thickBot="1">
      <c r="B160" s="55" t="n"/>
      <c r="C160" s="36" t="n"/>
      <c r="F160" s="35" t="n"/>
      <c r="G160" s="34" t="n"/>
      <c r="H160" s="35" t="n"/>
      <c r="J160" s="55" t="n"/>
      <c r="K160" s="36" t="n"/>
      <c r="N160" s="35" t="n"/>
      <c r="O160" s="34" t="n"/>
      <c r="P160" s="35" t="n"/>
    </row>
    <row r="161" ht="15.75" customHeight="1" thickBot="1">
      <c r="B161" s="55" t="n"/>
      <c r="C161" s="36" t="n"/>
      <c r="F161" s="35" t="n"/>
      <c r="G161" s="34" t="n"/>
      <c r="H161" s="35" t="n"/>
      <c r="J161" s="55" t="n"/>
      <c r="K161" s="36" t="n"/>
      <c r="N161" s="35" t="n"/>
      <c r="O161" s="34" t="n"/>
      <c r="P161" s="35" t="n"/>
    </row>
    <row r="162" ht="15.75" customHeight="1" thickBot="1">
      <c r="B162" s="55" t="n"/>
      <c r="C162" s="36" t="n"/>
      <c r="F162" s="35" t="n"/>
      <c r="G162" s="34" t="inlineStr">
        <is>
          <t>Line 326</t>
        </is>
      </c>
      <c r="H162" s="35">
        <f>IF(TransferName="NONE",0,(_xlfn.XLOOKUP(TransferNumber,Clients!D:D,Clients!GKB:GKB,2,0,1)))</f>
        <v/>
      </c>
      <c r="J162" s="55" t="n"/>
      <c r="K162" s="36" t="n"/>
      <c r="N162" s="35" t="n"/>
      <c r="O162" s="34" t="inlineStr">
        <is>
          <t>Line 326</t>
        </is>
      </c>
      <c r="P162" s="35">
        <f>IFERROR(_xlfn.XLOOKUP(TransferNumber,Clients!D:D,Clients!FJZ:FJZ,2,0,1),0)</f>
        <v/>
      </c>
    </row>
    <row r="163" ht="15.75" customHeight="1" thickBot="1">
      <c r="B163" s="55" t="n"/>
      <c r="C163" s="36" t="n"/>
      <c r="F163" s="35" t="n"/>
      <c r="G163" s="34" t="n"/>
      <c r="H163" s="35" t="n"/>
      <c r="J163" s="38" t="n"/>
      <c r="K163" s="36" t="n"/>
      <c r="N163" s="35" t="n"/>
      <c r="O163" s="34" t="n"/>
      <c r="P163" s="35" t="n"/>
    </row>
    <row r="164" ht="15.75" customHeight="1" thickBot="1">
      <c r="B164" s="38" t="n"/>
      <c r="C164" s="36" t="n"/>
      <c r="F164" s="35" t="n"/>
      <c r="G164" s="34" t="n"/>
      <c r="H164" s="35" t="n"/>
      <c r="J164" s="38" t="n"/>
      <c r="K164" s="36" t="n"/>
      <c r="N164" s="35" t="n"/>
      <c r="O164" s="34" t="n"/>
      <c r="P164" s="35" t="n"/>
    </row>
    <row r="165" ht="15.75" customHeight="1" thickBot="1">
      <c r="B165" s="38" t="n"/>
      <c r="C165" s="36" t="n"/>
      <c r="F165" s="35" t="n"/>
      <c r="G165" s="34" t="n"/>
      <c r="H165" s="35" t="n"/>
      <c r="J165" s="38" t="n"/>
      <c r="K165" s="36" t="n"/>
      <c r="N165" s="35" t="n"/>
      <c r="O165" s="34" t="n"/>
      <c r="P165" s="35" t="n"/>
    </row>
    <row r="166" ht="15.75" customHeight="1" thickBot="1">
      <c r="B166" s="38" t="n"/>
      <c r="C166" s="36" t="n"/>
      <c r="F166" s="35" t="n"/>
      <c r="G166" s="34" t="n"/>
      <c r="H166" s="35">
        <f>IF(E171&gt;0,E148-G148,0)</f>
        <v/>
      </c>
      <c r="J166" s="38" t="n"/>
      <c r="K166" s="36" t="n"/>
      <c r="N166" s="35" t="n"/>
      <c r="O166" s="34" t="n"/>
      <c r="P166" s="35">
        <f>IF(M171&gt;0,M148-O148,0)</f>
        <v/>
      </c>
    </row>
    <row r="167" ht="15.75" customHeight="1" thickBot="1">
      <c r="B167" s="38" t="n"/>
      <c r="C167" s="36" t="n"/>
      <c r="F167" s="35" t="n"/>
      <c r="H167" s="65">
        <f>IF(TransferName="NONE",F172,IF(H166&gt;0,(E171-G148)*0.0879,0))</f>
        <v/>
      </c>
      <c r="J167" s="38" t="n"/>
      <c r="K167" s="36" t="n"/>
      <c r="N167" s="35" t="n"/>
      <c r="P167" s="65">
        <f>IF(TransferName="NONE",N172,IF(P166&gt;0,(M171-O148)*0.0879,0))</f>
        <v/>
      </c>
    </row>
    <row r="168">
      <c r="B168" s="667" t="n"/>
      <c r="F168" s="35" t="n"/>
      <c r="G168" s="34" t="inlineStr">
        <is>
          <t>Transferable</t>
        </is>
      </c>
      <c r="H168" s="65">
        <f>IF(H167&gt;0,H167,0)</f>
        <v/>
      </c>
      <c r="J168" s="667" t="n"/>
      <c r="N168" s="35" t="n"/>
      <c r="O168" s="34" t="inlineStr">
        <is>
          <t>Transferable</t>
        </is>
      </c>
      <c r="P168" s="65">
        <f>IF(P167&gt;0,P167,0)</f>
        <v/>
      </c>
    </row>
    <row r="169">
      <c r="B169" s="667" t="inlineStr">
        <is>
          <t>Adjusted Taxable Income</t>
        </is>
      </c>
      <c r="C169">
        <f>C150-(SUM(C152:C167))</f>
        <v/>
      </c>
      <c r="D169" s="13" t="inlineStr">
        <is>
          <t>Line 5864</t>
        </is>
      </c>
      <c r="E169" s="39">
        <f>IF(C169&gt;0,C169,0)</f>
        <v/>
      </c>
      <c r="F169" s="35" t="n"/>
      <c r="G169" s="34" t="n"/>
      <c r="H169" s="35" t="n"/>
      <c r="J169" s="667" t="inlineStr">
        <is>
          <t>Adjusted Taxable Income</t>
        </is>
      </c>
      <c r="K169">
        <f>K150-(SUM(K152:K167))</f>
        <v/>
      </c>
      <c r="L169" s="13" t="inlineStr">
        <is>
          <t>Line 5864</t>
        </is>
      </c>
      <c r="M169" s="39">
        <f>IF(K169&gt;0,K169,0)</f>
        <v/>
      </c>
      <c r="N169" s="35" t="n"/>
      <c r="O169" s="34" t="n"/>
      <c r="P169" s="35" t="n"/>
    </row>
    <row r="170" ht="15.75" customHeight="1" thickBot="1">
      <c r="B170" s="34" t="n"/>
      <c r="F170" s="35" t="n"/>
      <c r="G170" s="34" t="n"/>
      <c r="H170" s="35" t="n"/>
      <c r="J170" s="34" t="n"/>
      <c r="N170" s="35" t="n"/>
      <c r="O170" s="34" t="n"/>
      <c r="P170" s="35" t="n"/>
    </row>
    <row r="171" ht="15.75" customHeight="1" thickBot="1">
      <c r="B171" s="34" t="n"/>
      <c r="D171" s="21" t="inlineStr">
        <is>
          <t>Prov Trans</t>
        </is>
      </c>
      <c r="E171" s="36">
        <f>(E148-E169)</f>
        <v/>
      </c>
      <c r="F171" s="40" t="n"/>
      <c r="G171" s="34" t="n"/>
      <c r="H171" s="52" t="n"/>
      <c r="J171" s="34" t="n"/>
      <c r="L171" s="21" t="inlineStr">
        <is>
          <t>Prov Trans</t>
        </is>
      </c>
      <c r="M171" s="36">
        <f>(M148-M169)</f>
        <v/>
      </c>
      <c r="N171" s="40" t="n"/>
      <c r="O171" s="34" t="n"/>
      <c r="P171" s="52" t="n"/>
    </row>
    <row r="172" ht="15.75" customHeight="1" thickBot="1">
      <c r="B172" s="34" t="n"/>
      <c r="C172" s="579" t="inlineStr">
        <is>
          <t>DTC Transferable ESTIMATE</t>
        </is>
      </c>
      <c r="D172" s="35" t="n"/>
      <c r="E172" s="36">
        <f>IF(E171&lt;0,0,(IF(E171&gt;E146,E146,E171)))</f>
        <v/>
      </c>
      <c r="F172" s="40">
        <f>IF(E172&gt;0,E172*0.0879,"No Transfer Required")</f>
        <v/>
      </c>
      <c r="G172" s="58" t="n"/>
      <c r="H172" s="52" t="n"/>
      <c r="J172" s="34" t="n"/>
      <c r="K172" s="579" t="inlineStr">
        <is>
          <t>DTC Transferable ESTIMATE</t>
        </is>
      </c>
      <c r="L172" s="35" t="n"/>
      <c r="M172" s="36">
        <f>IF(M171&lt;0,0,(IF(M171&gt;M146,M146,M171)))</f>
        <v/>
      </c>
      <c r="N172" s="40">
        <f>IF(M172&gt;0,M172*0.0879,"No Transfer Required")</f>
        <v/>
      </c>
      <c r="O172" s="58" t="n"/>
      <c r="P172" s="52" t="n"/>
    </row>
    <row r="173" ht="15.75" customHeight="1" thickBot="1">
      <c r="B173" s="42" t="n"/>
      <c r="C173" s="41" t="n"/>
      <c r="D173" s="43" t="inlineStr">
        <is>
          <t>Net Transferable</t>
        </is>
      </c>
      <c r="E173" s="36">
        <f>IF(E171&lt;0,0,(IF(E171-G144-G145-G147&lt;0,E171,(E171-G144-G145-G147))))</f>
        <v/>
      </c>
      <c r="F173" s="57">
        <f>IF(E173&gt;0,E173*0.0879,"0")</f>
        <v/>
      </c>
      <c r="G173" s="59" t="n"/>
      <c r="H173" s="864" t="n"/>
      <c r="J173" s="42" t="n"/>
      <c r="K173" s="41" t="n"/>
      <c r="L173" s="43" t="inlineStr">
        <is>
          <t>Net Transferable</t>
        </is>
      </c>
      <c r="M173" s="36">
        <f>IF(M171&lt;0,0,(IF(M171-O144-O145-O147&lt;0,M171,(M171-O144-O145-O147))))</f>
        <v/>
      </c>
      <c r="N173" s="57">
        <f>IF(M173&gt;0,M173*0.0879,"0")</f>
        <v/>
      </c>
      <c r="O173" s="59" t="n"/>
      <c r="P173" s="864" t="n"/>
    </row>
    <row r="174">
      <c r="D174" s="60" t="n"/>
      <c r="F174" s="61" t="n"/>
      <c r="G174" s="449" t="n"/>
      <c r="H174" s="866" t="n"/>
      <c r="L174" s="60" t="n"/>
      <c r="N174" s="866" t="n"/>
      <c r="O174" s="64" t="n"/>
      <c r="P174" s="866" t="n"/>
    </row>
    <row r="175" ht="15.75" customHeight="1" thickBot="1">
      <c r="E175">
        <f>Calculator!$D$5</f>
        <v/>
      </c>
      <c r="H175">
        <f>TransferName</f>
        <v/>
      </c>
      <c r="M175">
        <f>Calculator!$D$5</f>
        <v/>
      </c>
      <c r="P175">
        <f>TransferName</f>
        <v/>
      </c>
    </row>
    <row r="176" ht="15.75" customHeight="1" thickBot="1">
      <c r="B176" s="878" t="inlineStr">
        <is>
          <t>2014 NOVA SCOTIA Provincial</t>
        </is>
      </c>
      <c r="C176" s="778" t="n"/>
      <c r="D176" s="778" t="n"/>
      <c r="E176" s="778" t="n"/>
      <c r="F176" s="778" t="n"/>
      <c r="G176" s="778" t="n"/>
      <c r="H176" s="780" t="n"/>
      <c r="J176" s="878" t="inlineStr">
        <is>
          <t>2013 NOVA SCOTIA Provincial</t>
        </is>
      </c>
      <c r="K176" s="778" t="n"/>
      <c r="L176" s="778" t="n"/>
      <c r="M176" s="778" t="n"/>
      <c r="N176" s="778" t="n"/>
      <c r="O176" s="778" t="n"/>
      <c r="P176" s="780" t="n"/>
    </row>
    <row r="177" ht="15.75" customHeight="1" thickBot="1">
      <c r="B177" s="34" t="n"/>
      <c r="D177" t="inlineStr">
        <is>
          <t>Line</t>
        </is>
      </c>
      <c r="E177" t="inlineStr">
        <is>
          <t>Amt</t>
        </is>
      </c>
      <c r="F177" s="35" t="n"/>
      <c r="G177" s="667" t="inlineStr">
        <is>
          <t>Spouse</t>
        </is>
      </c>
      <c r="H177" s="35" t="inlineStr">
        <is>
          <t>S2 Adjustment</t>
        </is>
      </c>
      <c r="J177" s="34" t="n"/>
      <c r="L177" t="inlineStr">
        <is>
          <t>Line</t>
        </is>
      </c>
      <c r="M177" t="inlineStr">
        <is>
          <t>Amt</t>
        </is>
      </c>
      <c r="N177" s="35" t="n"/>
      <c r="O177" s="34" t="inlineStr">
        <is>
          <t>Spouse</t>
        </is>
      </c>
      <c r="P177" s="35" t="inlineStr">
        <is>
          <t>S2 Adjustment</t>
        </is>
      </c>
    </row>
    <row r="178" ht="15.75" customHeight="1" thickBot="1">
      <c r="B178" s="667" t="inlineStr">
        <is>
          <t>Age Amount</t>
        </is>
      </c>
      <c r="D178" t="inlineStr">
        <is>
          <t>Line 5808</t>
        </is>
      </c>
      <c r="E178" s="861">
        <f>(_xlfn.XLOOKUP(ClientNumber,Clients!D:D,Clients!IRH:IRH,2,0,1))</f>
        <v/>
      </c>
      <c r="F178" s="37" t="inlineStr">
        <is>
          <t>Line 59020</t>
        </is>
      </c>
      <c r="G178" s="51">
        <f>IF(TransferName="NONE",0,(_xlfn.XLOOKUP(TransferNumber,Clients!D:D,Clients!ITJ:ITJ,2,0,1)))</f>
        <v/>
      </c>
      <c r="H178" s="37">
        <f>IF(AND(E178&gt;0,G178=0),"Age Amount Can Be Transferred","No Action")</f>
        <v/>
      </c>
      <c r="J178" s="667" t="inlineStr">
        <is>
          <t>Age Amount</t>
        </is>
      </c>
      <c r="L178" t="inlineStr">
        <is>
          <t>Line 5808</t>
        </is>
      </c>
      <c r="M178" s="865">
        <f>(_xlfn.XLOOKUP(MainClient,Clients!D:D,Clients!JRJ:JRJ,2,0,1))</f>
        <v/>
      </c>
      <c r="N178" s="45" t="inlineStr">
        <is>
          <t>Line 59020</t>
        </is>
      </c>
      <c r="O178" s="51">
        <f>IF(TransferName="NONE",0,(_xlfn.XLOOKUP(TransferNumber,Clients!D:D,Clients!JTL:JTL,2,0,1)))</f>
        <v/>
      </c>
      <c r="P178" s="37">
        <f>IF(AND(M178&gt;0,O178=0),"Age Amount Can Be Transferred","No Action")</f>
        <v/>
      </c>
    </row>
    <row r="179" ht="15.75" customHeight="1" thickBot="1">
      <c r="B179" s="667" t="inlineStr">
        <is>
          <t>Pension Income Amount</t>
        </is>
      </c>
      <c r="D179" t="inlineStr">
        <is>
          <t>Line 5836 (mx 1173)</t>
        </is>
      </c>
      <c r="E179" s="861">
        <f>IF((_xlfn.XLOOKUP(ClientNumber,Clients!D:D,Clients!ISH:ISH,2,0,1)&lt;1173),(_xlfn.XLOOKUP(MainClient,Clients!D:D,Clients!ISH:ISH,2,0,1)),1173)</f>
        <v/>
      </c>
      <c r="F179" s="37" t="inlineStr">
        <is>
          <t>Line 59050</t>
        </is>
      </c>
      <c r="G179" s="51">
        <f>IF(TransferName="NONE",0,(_xlfn.XLOOKUP(TransferNumber,Clients!D:D,Clients!ITM:ITM,2,0,1)))</f>
        <v/>
      </c>
      <c r="H179" s="37">
        <f>IF(AND(E179&gt;0,G179=0),"Pension Income Amount Can Be Transferred","No Action")</f>
        <v/>
      </c>
      <c r="J179" s="667" t="inlineStr">
        <is>
          <t>Pension Income Amount</t>
        </is>
      </c>
      <c r="L179" t="inlineStr">
        <is>
          <t>Line 5836 (mx 1173)</t>
        </is>
      </c>
      <c r="M179" s="865">
        <f>IF((_xlfn.XLOOKUP(ClientNumber,Clients!D:D,Clients!JSJ:JSJ,2,0,1)&lt;1173),(_xlfn.XLOOKUP(MainClient,Clients!D:D,Clients!JSJ:JSJ,2,0,1)),1173)</f>
        <v/>
      </c>
      <c r="N179" s="45" t="inlineStr">
        <is>
          <t>Line 59050</t>
        </is>
      </c>
      <c r="O179" s="51">
        <f>IF(TransferName="NONE",0,(_xlfn.XLOOKUP(TransferNumber,Clients!D:D,Clients!JTO:JTO,2,0,1)))</f>
        <v/>
      </c>
      <c r="P179" s="37">
        <f>IF(AND(M179&gt;0,O179=0),"Pension Income Amount Can Be Transferred","No Action")</f>
        <v/>
      </c>
    </row>
    <row r="180" ht="15.75" customHeight="1" thickBot="1">
      <c r="B180" s="667" t="inlineStr">
        <is>
          <t>Disability Amount</t>
        </is>
      </c>
      <c r="D180" t="inlineStr">
        <is>
          <t xml:space="preserve">Line 5844 </t>
        </is>
      </c>
      <c r="E180" s="861">
        <f>IF(_xlfn.XLOOKUP(ClientNumber,Clients!D:D,Clients!ISJ:ISJ,2,0,1)=0,7341,(_xlfn.XLOOKUP(MainClient,Clients!D:D,Clients!ISJ:ISJ,2,0,1)))</f>
        <v/>
      </c>
      <c r="F180" s="37" t="inlineStr">
        <is>
          <t>Line 59070</t>
        </is>
      </c>
      <c r="G180" s="51">
        <f>IF(TransferName="NONE",0,(_xlfn.XLOOKUP(TransferNumber,Clients!D:D,Clients!ITN:ITN,2,0,1)))</f>
        <v/>
      </c>
      <c r="H180" s="37">
        <f>IF(AND(E180&gt;0,G180=0),"DTC Transferable Not Claimed Can Be Transferred","No Action")</f>
        <v/>
      </c>
      <c r="J180" s="667" t="inlineStr">
        <is>
          <t>Disability Amount</t>
        </is>
      </c>
      <c r="L180" t="inlineStr">
        <is>
          <t xml:space="preserve">Line 5844 </t>
        </is>
      </c>
      <c r="M180" s="865">
        <f>IF(_xlfn.XLOOKUP(ClientNumber,Clients!D:D,Clients!JSL:JSL,2,0,1)=0,7341,(_xlfn.XLOOKUP(MainClient,Clients!D:D,Clients!JSL:JSL,2,0,1)))</f>
        <v/>
      </c>
      <c r="N180" s="45" t="inlineStr">
        <is>
          <t>Line 59070</t>
        </is>
      </c>
      <c r="O180" s="51">
        <f>IF(TransferName="NONE",0,(_xlfn.XLOOKUP(TransferNumber,Clients!D:D,Clients!JTP:JTP,2,0,1)))</f>
        <v/>
      </c>
      <c r="P180" s="37">
        <f>IF(AND(M180&gt;0,O180=0),"DTC Transferable Not Claimed Can Be Transferred","No Action")</f>
        <v/>
      </c>
    </row>
    <row r="181" ht="15.75" customHeight="1" thickBot="1">
      <c r="B181" s="667" t="inlineStr">
        <is>
          <t>Tuition Amount</t>
        </is>
      </c>
      <c r="D181" t="inlineStr">
        <is>
          <t>Line 5920</t>
        </is>
      </c>
      <c r="E181" s="861">
        <f>(_xlfn.XLOOKUP(ClientNumber,Clients!D:D,Clients!ITZ:ITZ,2,0,1))</f>
        <v/>
      </c>
      <c r="F181" s="37" t="inlineStr">
        <is>
          <t>Line 59090</t>
        </is>
      </c>
      <c r="G181" s="51">
        <f>IF(TransferName="NONE",0,(_xlfn.XLOOKUP(TransferNumber,Clients!D:D,Clients!ITO:ITO,2,0,1)))</f>
        <v/>
      </c>
      <c r="H181" s="37">
        <f>IF(AND(E181&gt;0,G181=0),"Tuition Can Be Transferred","No Action")</f>
        <v/>
      </c>
      <c r="J181" s="667" t="inlineStr">
        <is>
          <t>Tuition Amount</t>
        </is>
      </c>
      <c r="L181" t="inlineStr">
        <is>
          <t>Line 5920</t>
        </is>
      </c>
      <c r="M181" s="865">
        <f>(_xlfn.XLOOKUP(MainClient,Clients!D:D,Clients!JTZ:JTZ,2,0,1))</f>
        <v/>
      </c>
      <c r="N181" s="45" t="inlineStr">
        <is>
          <t>Line 59090</t>
        </is>
      </c>
      <c r="O181" s="51">
        <f>IF(TransferName="NONE",0,(_xlfn.XLOOKUP(TransferNumber,Clients!D:D,Clients!JTR:JTR,2,0,1)))</f>
        <v/>
      </c>
      <c r="P181" s="37">
        <f>IF(AND(M181&gt;0,O181=0),"Tuition Can Be Transferred","No Action")</f>
        <v/>
      </c>
    </row>
    <row r="182">
      <c r="B182" s="667" t="n"/>
      <c r="E182" s="771">
        <f>SUM(E178:E181)</f>
        <v/>
      </c>
      <c r="F182" s="37" t="n"/>
      <c r="G182" s="667">
        <f>SUM(G178:G181)</f>
        <v/>
      </c>
      <c r="H182" s="37" t="n"/>
      <c r="J182" s="667" t="n"/>
      <c r="M182" s="872">
        <f>SUM(M178:M181)</f>
        <v/>
      </c>
      <c r="N182" s="37" t="n"/>
      <c r="O182" s="667">
        <f>SUM(O178:O181)</f>
        <v/>
      </c>
      <c r="P182" s="37" t="n"/>
    </row>
    <row r="183" ht="15.75" customHeight="1" thickBot="1">
      <c r="B183" s="34" t="n"/>
      <c r="F183" s="35" t="n"/>
      <c r="G183" s="667" t="n"/>
      <c r="H183" s="35" t="n"/>
      <c r="J183" s="34" t="n"/>
      <c r="N183" s="35" t="n"/>
      <c r="O183" s="667" t="n"/>
      <c r="P183" s="35" t="n"/>
    </row>
    <row r="184" ht="15.75" customHeight="1" thickBot="1">
      <c r="B184" s="667" t="inlineStr">
        <is>
          <t>Line 260</t>
        </is>
      </c>
      <c r="C184" s="36">
        <f>(_xlfn.XLOOKUP(MainClient,Clients!D:D,Clients!IJG:IJG,2,0,1))</f>
        <v/>
      </c>
      <c r="F184" s="35" t="n"/>
      <c r="G184" s="34">
        <f>IF(E207&gt;E180,"other transferable credits","DTC Only")</f>
        <v/>
      </c>
      <c r="H184" s="35" t="n"/>
      <c r="J184" s="667" t="inlineStr">
        <is>
          <t>Line 260</t>
        </is>
      </c>
      <c r="K184" s="36">
        <f>(_xlfn.XLOOKUP(MainClient,Clients!D:D,Clients!JJI:JJI,2,0,1))</f>
        <v/>
      </c>
      <c r="N184" s="35" t="n"/>
      <c r="O184" s="34">
        <f>IF(M207&gt;M180,"other transferable credits","DTC Only")</f>
        <v/>
      </c>
      <c r="P184" s="35" t="n"/>
    </row>
    <row r="185" ht="15.75" customHeight="1" thickBot="1">
      <c r="B185" s="34" t="n"/>
      <c r="F185" s="35" t="n"/>
      <c r="G185" s="34" t="n"/>
      <c r="H185" s="35" t="n"/>
      <c r="J185" s="34" t="n"/>
      <c r="N185" s="35" t="n"/>
      <c r="O185" s="34" t="n"/>
      <c r="P185" s="35" t="n"/>
    </row>
    <row r="186" ht="15.75" customHeight="1" thickBot="1">
      <c r="B186" s="55" t="inlineStr">
        <is>
          <t>Line 5804</t>
        </is>
      </c>
      <c r="C186" s="36">
        <f>(_xlfn.XLOOKUP(ClientNumber,Clients!D:D,Clients!IRG:IRG,2,0,1))</f>
        <v/>
      </c>
      <c r="F186" s="35" t="n"/>
      <c r="G186" s="34" t="n"/>
      <c r="H186" s="35" t="n"/>
      <c r="J186" s="55" t="inlineStr">
        <is>
          <t>Line 5804</t>
        </is>
      </c>
      <c r="K186" s="36">
        <f>(_xlfn.XLOOKUP(MainClient,Clients!D:D,Clients!JRI:JRI,2,0,1))</f>
        <v/>
      </c>
      <c r="N186" s="35" t="n"/>
      <c r="O186" s="34" t="n"/>
      <c r="P186" s="35" t="n"/>
    </row>
    <row r="187" ht="15.75" customHeight="1" thickBot="1">
      <c r="B187" s="55" t="inlineStr">
        <is>
          <t>Line 5824</t>
        </is>
      </c>
      <c r="C187" s="36">
        <f>(_xlfn.XLOOKUP(ClientNumber,Clients!D:D,Clients!IRV:IRV,2,0,1))</f>
        <v/>
      </c>
      <c r="F187" s="35" t="n"/>
      <c r="G187" s="34" t="n"/>
      <c r="H187" s="35" t="n"/>
      <c r="J187" s="55" t="inlineStr">
        <is>
          <t>Line 5824</t>
        </is>
      </c>
      <c r="K187" s="36">
        <f>(_xlfn.XLOOKUP(MainClient,Clients!D:D,Clients!JRX:JRX,2,0,1))</f>
        <v/>
      </c>
      <c r="N187" s="35" t="n"/>
      <c r="O187" s="34" t="n"/>
      <c r="P187" s="35" t="n"/>
    </row>
    <row r="188" ht="15.75" customHeight="1" thickBot="1">
      <c r="B188" s="55" t="inlineStr">
        <is>
          <t>Line 5828</t>
        </is>
      </c>
      <c r="C188" s="36">
        <f>(_xlfn.XLOOKUP(ClientNumber,Clients!D:D,Clients!IRW:IRW,2,0,1))</f>
        <v/>
      </c>
      <c r="F188" s="35" t="n"/>
      <c r="G188" s="34" t="n"/>
      <c r="H188" s="35" t="n"/>
      <c r="J188" s="55" t="inlineStr">
        <is>
          <t>Line 5828</t>
        </is>
      </c>
      <c r="K188" s="36">
        <f>(_xlfn.XLOOKUP(MainClient,Clients!D:D,Clients!JRY:JRY,2,0,1))</f>
        <v/>
      </c>
      <c r="N188" s="35" t="n"/>
      <c r="P188" s="35" t="n"/>
    </row>
    <row r="189" ht="15.75" customHeight="1" thickBot="1">
      <c r="B189" s="55" t="inlineStr">
        <is>
          <t>Line 5832</t>
        </is>
      </c>
      <c r="C189" s="36">
        <f>(_xlfn.XLOOKUP(ClientNumber,Clients!D:D,Clients!IRX:IRX,2,0,1))</f>
        <v/>
      </c>
      <c r="F189" s="35" t="n"/>
      <c r="G189" s="34" t="n"/>
      <c r="H189" s="35" t="n"/>
      <c r="J189" s="55" t="inlineStr">
        <is>
          <t>Line 5832</t>
        </is>
      </c>
      <c r="K189" s="36">
        <f>(_xlfn.XLOOKUP(MainClient,Clients!D:D,Clients!JRZ:JRZ,2,0,1))</f>
        <v/>
      </c>
      <c r="N189" s="35" t="n"/>
      <c r="O189" s="34" t="n"/>
      <c r="P189" s="35" t="n"/>
    </row>
    <row r="190" ht="15.75" customHeight="1" thickBot="1">
      <c r="B190" s="55" t="inlineStr">
        <is>
          <t>Line 5829</t>
        </is>
      </c>
      <c r="C190" s="36">
        <f>(_xlfn.XLOOKUP(ClientNumber,Clients!D:D,Clients!IRY:IRY,2,0,1))</f>
        <v/>
      </c>
      <c r="F190" s="35" t="n"/>
      <c r="G190" s="34" t="n"/>
      <c r="H190" s="35" t="n"/>
      <c r="J190" s="55" t="inlineStr">
        <is>
          <t>Line 5829</t>
        </is>
      </c>
      <c r="K190" s="36">
        <f>(_xlfn.XLOOKUP(MainClient,Clients!D:D,Clients!JSA:JSA,2,0,1))</f>
        <v/>
      </c>
      <c r="N190" s="35" t="n"/>
      <c r="O190" s="34" t="n"/>
      <c r="P190" s="35" t="n"/>
    </row>
    <row r="191" ht="15.75" customHeight="1" thickBot="1">
      <c r="B191" s="55" t="inlineStr">
        <is>
          <t>Line 5856</t>
        </is>
      </c>
      <c r="C191" s="36">
        <f>(_xlfn.XLOOKUP(ClientNumber,Clients!D:D,Clients!ISN:ISN,2,0,1))</f>
        <v/>
      </c>
      <c r="F191" s="35" t="n"/>
      <c r="G191" s="34" t="n"/>
      <c r="H191" s="35" t="n"/>
      <c r="J191" s="55" t="inlineStr">
        <is>
          <t>Line 5856</t>
        </is>
      </c>
      <c r="K191" s="36">
        <f>(_xlfn.XLOOKUP(MainClient,Clients!D:D,Clients!JSP:JSP,2,0,1))</f>
        <v/>
      </c>
      <c r="N191" s="35" t="n"/>
      <c r="O191" s="34" t="n"/>
      <c r="P191" s="35" t="n"/>
    </row>
    <row r="192" ht="15.75" customHeight="1" thickBot="1">
      <c r="B192" s="55" t="n"/>
      <c r="C192" s="36" t="n"/>
      <c r="F192" s="35" t="n"/>
      <c r="G192" s="34" t="n"/>
      <c r="H192" s="35" t="n"/>
      <c r="J192" s="55" t="n"/>
      <c r="K192" s="36" t="n"/>
      <c r="N192" s="35" t="n"/>
      <c r="O192" s="34" t="n"/>
      <c r="P192" s="35" t="n"/>
    </row>
    <row r="193" ht="15.75" customHeight="1" thickBot="1">
      <c r="B193" s="55" t="n"/>
      <c r="C193" s="36" t="n"/>
      <c r="F193" s="35" t="n"/>
      <c r="G193" s="34" t="n"/>
      <c r="H193" s="35" t="n"/>
      <c r="J193" s="55" t="n"/>
      <c r="K193" s="36" t="n"/>
      <c r="N193" s="35" t="n"/>
      <c r="O193" s="34" t="n"/>
      <c r="P193" s="35" t="n"/>
    </row>
    <row r="194" ht="15.75" customHeight="1" thickBot="1">
      <c r="B194" s="55" t="n"/>
      <c r="C194" s="36" t="n"/>
      <c r="F194" s="35" t="n"/>
      <c r="G194" s="34" t="n"/>
      <c r="H194" s="35" t="n"/>
      <c r="J194" s="55" t="n"/>
      <c r="K194" s="36" t="n"/>
      <c r="N194" s="35" t="n"/>
      <c r="O194" s="34" t="n"/>
      <c r="P194" s="35" t="n"/>
    </row>
    <row r="195" ht="15.75" customHeight="1" thickBot="1">
      <c r="B195" s="68" t="n"/>
      <c r="C195" s="36" t="n"/>
      <c r="F195" s="35" t="n"/>
      <c r="G195" s="34" t="n"/>
      <c r="H195" s="35" t="n"/>
      <c r="J195" s="55" t="n"/>
      <c r="K195" s="36" t="n"/>
      <c r="N195" s="35" t="n"/>
      <c r="O195" s="34" t="n"/>
      <c r="P195" s="35" t="n"/>
    </row>
    <row r="196" ht="15.75" customHeight="1" thickBot="1">
      <c r="B196" s="38" t="n"/>
      <c r="C196" s="36" t="n"/>
      <c r="F196" s="35" t="n"/>
      <c r="G196" s="34" t="inlineStr">
        <is>
          <t>Line 326</t>
        </is>
      </c>
      <c r="H196" s="35">
        <f>IF(TransferName="NONE",0,(_xlfn.XLOOKUP(TransferNumber,Clients!D:D,Clients!IKF:IKF,2,0,1)))</f>
        <v/>
      </c>
      <c r="J196" s="38" t="n"/>
      <c r="K196" s="36" t="n"/>
      <c r="N196" s="35" t="n"/>
      <c r="O196" s="34" t="inlineStr">
        <is>
          <t>Line 326</t>
        </is>
      </c>
      <c r="P196" s="35">
        <f>IFERROR(_xlfn.XLOOKUP(TransferNumber,Clients!D:D,Clients!JKH:JKH,2,0,1),0)</f>
        <v/>
      </c>
    </row>
    <row r="197" ht="15.75" customHeight="1" thickBot="1">
      <c r="A197" s="55" t="n"/>
      <c r="B197" s="38" t="n"/>
      <c r="C197" s="36" t="n"/>
      <c r="F197" s="35" t="n"/>
      <c r="G197" s="34" t="n"/>
      <c r="H197" s="35" t="n"/>
      <c r="J197" s="68" t="n"/>
      <c r="K197" s="36" t="n"/>
      <c r="N197" s="35" t="n"/>
      <c r="O197" s="34" t="n"/>
      <c r="P197" s="35" t="n"/>
    </row>
    <row r="198" ht="15.75" customHeight="1" thickBot="1">
      <c r="B198" s="38" t="n"/>
      <c r="C198" s="36" t="n"/>
      <c r="F198" s="35" t="n"/>
      <c r="G198" s="34" t="n"/>
      <c r="H198" s="35" t="n"/>
      <c r="J198" s="38" t="n"/>
      <c r="K198" s="36" t="n"/>
      <c r="N198" s="35" t="n"/>
      <c r="O198" s="34" t="n"/>
      <c r="P198" s="35" t="n"/>
    </row>
    <row r="199" ht="15.75" customHeight="1" thickBot="1">
      <c r="B199" s="38" t="n"/>
      <c r="C199" s="36" t="n"/>
      <c r="F199" s="35" t="n"/>
      <c r="G199" s="34" t="n"/>
      <c r="H199" s="35" t="n"/>
      <c r="J199" s="38" t="n"/>
      <c r="K199" s="36" t="n"/>
      <c r="N199" s="35" t="n"/>
      <c r="O199" s="34" t="n"/>
      <c r="P199" s="35" t="n"/>
    </row>
    <row r="200" ht="15.75" customHeight="1" thickBot="1">
      <c r="B200" s="38" t="n"/>
      <c r="C200" s="36" t="n"/>
      <c r="F200" s="35" t="n"/>
      <c r="G200" s="34" t="n"/>
      <c r="H200" s="35">
        <f>IF(E205&gt;0,E182-G182,0)</f>
        <v/>
      </c>
      <c r="J200" s="38" t="n"/>
      <c r="K200" s="36" t="n"/>
      <c r="N200" s="35" t="n"/>
      <c r="O200" s="34" t="n"/>
      <c r="P200" s="35">
        <f>IF(M205&gt;0,M182-O182,0)</f>
        <v/>
      </c>
    </row>
    <row r="201" ht="15.75" customHeight="1" thickBot="1">
      <c r="B201" s="38" t="n"/>
      <c r="C201" s="36" t="n"/>
      <c r="F201" s="35" t="n"/>
      <c r="H201" s="52">
        <f>IF(TransferName="NONE",F206,IF(H200&gt;0,(E205-G182)*0.0879,0))</f>
        <v/>
      </c>
      <c r="J201" s="38" t="n"/>
      <c r="K201" s="36" t="n"/>
      <c r="N201" s="35" t="n"/>
      <c r="P201" s="52">
        <f>IF(TransferName="NONE",N206,IF(P200&gt;0,(M205-O182)*0.0879,0))</f>
        <v/>
      </c>
    </row>
    <row r="202">
      <c r="B202" s="667" t="n"/>
      <c r="F202" s="35" t="n"/>
      <c r="G202" s="34" t="inlineStr">
        <is>
          <t>Transferable</t>
        </is>
      </c>
      <c r="H202" s="52">
        <f>IF(H201&gt;0,H201,0)</f>
        <v/>
      </c>
      <c r="J202" s="667" t="n"/>
      <c r="N202" s="35" t="n"/>
      <c r="O202" s="34" t="inlineStr">
        <is>
          <t>Transferable</t>
        </is>
      </c>
      <c r="P202" s="52">
        <f>IF(P201&gt;0,P201,0)</f>
        <v/>
      </c>
    </row>
    <row r="203">
      <c r="B203" s="667" t="inlineStr">
        <is>
          <t>Adjusted Taxable Income</t>
        </is>
      </c>
      <c r="C203">
        <f>C184-(SUM(C186:C201))</f>
        <v/>
      </c>
      <c r="D203" s="13" t="inlineStr">
        <is>
          <t>Line 5864</t>
        </is>
      </c>
      <c r="E203" s="39">
        <f>IF(C203&gt;0,C203,0)</f>
        <v/>
      </c>
      <c r="F203" s="35" t="n"/>
      <c r="G203" s="34" t="n"/>
      <c r="H203" s="35" t="n"/>
      <c r="J203" s="667" t="inlineStr">
        <is>
          <t>Adjusted Taxable Income</t>
        </is>
      </c>
      <c r="K203">
        <f>K184-(SUM(K186:K201))</f>
        <v/>
      </c>
      <c r="L203" s="13" t="inlineStr">
        <is>
          <t>Line 5864</t>
        </is>
      </c>
      <c r="M203" s="39">
        <f>IF(K203&gt;0,K203,0)</f>
        <v/>
      </c>
      <c r="N203" s="35" t="n"/>
      <c r="O203" s="34" t="n"/>
      <c r="P203" s="35" t="n"/>
    </row>
    <row r="204" ht="15.75" customHeight="1" thickBot="1">
      <c r="B204" s="34" t="n"/>
      <c r="F204" s="35" t="n"/>
      <c r="G204" s="34" t="n"/>
      <c r="H204" s="35" t="n"/>
      <c r="J204" s="34" t="n"/>
      <c r="N204" s="35" t="n"/>
      <c r="O204" s="34" t="n"/>
      <c r="P204" s="35" t="n"/>
    </row>
    <row r="205" ht="15.75" customHeight="1" thickBot="1">
      <c r="B205" s="34" t="n"/>
      <c r="D205" s="21" t="inlineStr">
        <is>
          <t>Prov Trans</t>
        </is>
      </c>
      <c r="E205" s="36">
        <f>(E182-E203)</f>
        <v/>
      </c>
      <c r="F205" s="40" t="n"/>
      <c r="G205" s="34" t="n"/>
      <c r="H205" s="52" t="n"/>
      <c r="J205" s="34" t="n"/>
      <c r="L205" s="21" t="inlineStr">
        <is>
          <t>Prov Trans</t>
        </is>
      </c>
      <c r="M205" s="36">
        <f>(M182-M203)</f>
        <v/>
      </c>
      <c r="N205" s="40" t="n"/>
      <c r="O205" s="34" t="n"/>
      <c r="P205" s="52" t="n"/>
    </row>
    <row r="206" ht="15.75" customHeight="1" thickBot="1">
      <c r="B206" s="34" t="n"/>
      <c r="C206" s="579" t="inlineStr">
        <is>
          <t>DTC Transferable ESTIMATE</t>
        </is>
      </c>
      <c r="D206" s="35" t="n"/>
      <c r="E206" s="36">
        <f>IF(E205&lt;0,0,(IF(E205&gt;E180,E180,E205)))</f>
        <v/>
      </c>
      <c r="F206" s="40">
        <f>IF(E206&gt;0,E206*0.0879,"No Transfer Required")</f>
        <v/>
      </c>
      <c r="G206" s="58" t="n"/>
      <c r="H206" s="52" t="n"/>
      <c r="J206" s="34" t="n"/>
      <c r="K206" s="579" t="inlineStr">
        <is>
          <t>DTC Transferable ESTIMATE</t>
        </is>
      </c>
      <c r="L206" s="35" t="n"/>
      <c r="M206" s="36">
        <f>IF(M205&lt;0,0,(IF(M205&gt;M180,M180,M205)))</f>
        <v/>
      </c>
      <c r="N206" s="40">
        <f>IF(M206&gt;0,M206*0.0879,"No Transfer Required")</f>
        <v/>
      </c>
      <c r="O206" s="58" t="n"/>
      <c r="P206" s="52" t="n"/>
    </row>
    <row r="207" ht="15.75" customHeight="1" thickBot="1">
      <c r="B207" s="42" t="n"/>
      <c r="C207" s="41" t="n"/>
      <c r="D207" s="43" t="inlineStr">
        <is>
          <t>Net Transferable</t>
        </is>
      </c>
      <c r="E207" s="36">
        <f>IF(E205&lt;0,0,(IF(E205-G178-G179-G181&lt;0,E205,(E205-G178-G179-G181))))</f>
        <v/>
      </c>
      <c r="F207" s="57">
        <f>IF(E207&gt;0,E207*0.0879,"0")</f>
        <v/>
      </c>
      <c r="G207" s="59" t="n"/>
      <c r="H207" s="864" t="n"/>
      <c r="J207" s="42" t="n"/>
      <c r="K207" s="41" t="n"/>
      <c r="L207" s="43" t="inlineStr">
        <is>
          <t>Net Transferable</t>
        </is>
      </c>
      <c r="M207" s="36">
        <f>IF(M205&lt;0,0,(IF(M205-O178-O179-O181&lt;0,M205,(M205-O178-O179-O181))))</f>
        <v/>
      </c>
      <c r="N207" s="57">
        <f>IF(M207&gt;0,M207*0.0879,"0")</f>
        <v/>
      </c>
      <c r="O207" s="59" t="n"/>
      <c r="P207" s="864" t="n"/>
    </row>
    <row r="208">
      <c r="D208" s="60" t="n"/>
      <c r="F208" s="61" t="n"/>
      <c r="G208" s="449" t="n"/>
      <c r="H208" s="866" t="n"/>
      <c r="L208" s="60" t="n"/>
      <c r="N208" s="866" t="n"/>
      <c r="O208" s="64" t="n"/>
      <c r="P208" s="866" t="n"/>
    </row>
  </sheetData>
  <mergeCells count="88">
    <mergeCell ref="J180:K180"/>
    <mergeCell ref="K33:L33"/>
    <mergeCell ref="C172:D172"/>
    <mergeCell ref="J146:K146"/>
    <mergeCell ref="B77:C77"/>
    <mergeCell ref="K138:L138"/>
    <mergeCell ref="G68:G69"/>
    <mergeCell ref="B182:C182"/>
    <mergeCell ref="J4:K4"/>
    <mergeCell ref="B78:C78"/>
    <mergeCell ref="G33:G34"/>
    <mergeCell ref="B112:C112"/>
    <mergeCell ref="J147:K147"/>
    <mergeCell ref="C138:D138"/>
    <mergeCell ref="B178:C178"/>
    <mergeCell ref="B2:H2"/>
    <mergeCell ref="B40:C40"/>
    <mergeCell ref="K172:L172"/>
    <mergeCell ref="B41:C41"/>
    <mergeCell ref="J110:K110"/>
    <mergeCell ref="B37:H37"/>
    <mergeCell ref="J181:K181"/>
    <mergeCell ref="B142:H142"/>
    <mergeCell ref="B180:C180"/>
    <mergeCell ref="J77:K77"/>
    <mergeCell ref="G103:G104"/>
    <mergeCell ref="B179:C179"/>
    <mergeCell ref="B72:H72"/>
    <mergeCell ref="B176:H176"/>
    <mergeCell ref="G138:G139"/>
    <mergeCell ref="J75:K75"/>
    <mergeCell ref="B107:H107"/>
    <mergeCell ref="B6:C6"/>
    <mergeCell ref="K206:L206"/>
    <mergeCell ref="J145:K145"/>
    <mergeCell ref="B144:C144"/>
    <mergeCell ref="K68:L68"/>
    <mergeCell ref="J111:K111"/>
    <mergeCell ref="B7:C7"/>
    <mergeCell ref="C68:D68"/>
    <mergeCell ref="J2:P2"/>
    <mergeCell ref="J142:P142"/>
    <mergeCell ref="J40:K40"/>
    <mergeCell ref="B43:C43"/>
    <mergeCell ref="B42:C42"/>
    <mergeCell ref="J182:K182"/>
    <mergeCell ref="J74:K74"/>
    <mergeCell ref="J179:K179"/>
    <mergeCell ref="J72:P72"/>
    <mergeCell ref="B148:C148"/>
    <mergeCell ref="J37:P37"/>
    <mergeCell ref="B146:C146"/>
    <mergeCell ref="J176:P176"/>
    <mergeCell ref="J113:K113"/>
    <mergeCell ref="J107:P107"/>
    <mergeCell ref="B5:C5"/>
    <mergeCell ref="B76:C76"/>
    <mergeCell ref="J42:K42"/>
    <mergeCell ref="B4:C4"/>
    <mergeCell ref="B75:C75"/>
    <mergeCell ref="J39:K39"/>
    <mergeCell ref="B109:C109"/>
    <mergeCell ref="J144:K144"/>
    <mergeCell ref="J5:K5"/>
    <mergeCell ref="C33:D33"/>
    <mergeCell ref="J112:K112"/>
    <mergeCell ref="J78:K78"/>
    <mergeCell ref="C206:D206"/>
    <mergeCell ref="B39:C39"/>
    <mergeCell ref="J6:K6"/>
    <mergeCell ref="C103:D103"/>
    <mergeCell ref="B111:C111"/>
    <mergeCell ref="B145:C145"/>
    <mergeCell ref="J178:K178"/>
    <mergeCell ref="B181:C181"/>
    <mergeCell ref="B8:C8"/>
    <mergeCell ref="J148:K148"/>
    <mergeCell ref="B147:C147"/>
    <mergeCell ref="J7:K7"/>
    <mergeCell ref="J41:K41"/>
    <mergeCell ref="J109:K109"/>
    <mergeCell ref="B74:C74"/>
    <mergeCell ref="J43:K43"/>
    <mergeCell ref="K103:L103"/>
    <mergeCell ref="J76:K76"/>
    <mergeCell ref="B110:C110"/>
    <mergeCell ref="J8:K8"/>
    <mergeCell ref="B113:C113"/>
  </mergeCells>
  <pageMargins left="0.7" right="0.7" top="0.75" bottom="0.75" header="0.3" footer="0.3"/>
  <pageSetup orientation="portrait" verticalDpi="597"/>
</worksheet>
</file>

<file path=xl/worksheets/sheet17.xml><?xml version="1.0" encoding="utf-8"?>
<worksheet xmlns="http://schemas.openxmlformats.org/spreadsheetml/2006/main">
  <sheetPr codeName="Sheet14">
    <tabColor rgb="FF92D050"/>
    <outlinePr summaryBelow="1" summaryRight="1"/>
    <pageSetUpPr/>
  </sheetPr>
  <dimension ref="A1:P208"/>
  <sheetViews>
    <sheetView zoomScale="60" zoomScaleNormal="60" workbookViewId="0">
      <selection activeCell="M33" sqref="M33"/>
    </sheetView>
  </sheetViews>
  <sheetFormatPr baseColWidth="8" defaultRowHeight="15"/>
  <cols>
    <col width="1.140625" customWidth="1" min="1" max="1"/>
    <col width="23.7109375" bestFit="1" customWidth="1" min="2" max="2"/>
    <col width="16" customWidth="1" min="3" max="3"/>
    <col width="19.42578125" bestFit="1" customWidth="1" min="4" max="4"/>
    <col width="13.5703125" bestFit="1" customWidth="1" min="5" max="5"/>
    <col width="13.42578125" customWidth="1" min="6" max="6"/>
    <col width="12.140625" bestFit="1" customWidth="1" min="7" max="7"/>
    <col width="59" customWidth="1" min="8" max="8"/>
    <col width="12.140625" customWidth="1" min="9" max="9"/>
    <col width="23.7109375" bestFit="1" customWidth="1" min="10" max="10"/>
    <col width="11.85546875" customWidth="1" min="11" max="11"/>
    <col width="18.42578125" bestFit="1" customWidth="1" min="12" max="12"/>
    <col width="13.5703125" bestFit="1" customWidth="1" min="13" max="13"/>
    <col width="13.5703125" customWidth="1" min="14" max="14"/>
    <col width="12.140625" bestFit="1" customWidth="1" min="15" max="15"/>
    <col width="58.7109375" customWidth="1" min="16" max="16"/>
  </cols>
  <sheetData>
    <row r="1" ht="15.75" customHeight="1" thickBot="1">
      <c r="E1">
        <f>Calculator!$D$5</f>
        <v/>
      </c>
      <c r="H1">
        <f>TransferName</f>
        <v/>
      </c>
      <c r="M1">
        <f>Calculator!$D$5</f>
        <v/>
      </c>
      <c r="P1">
        <f>TransferName</f>
        <v/>
      </c>
    </row>
    <row r="2" ht="15.75" customHeight="1" thickBot="1">
      <c r="B2" s="867" t="inlineStr">
        <is>
          <t>2024 NUNAVUT Provincial</t>
        </is>
      </c>
      <c r="C2" s="778" t="n"/>
      <c r="D2" s="778" t="n"/>
      <c r="E2" s="778" t="n"/>
      <c r="F2" s="778" t="n"/>
      <c r="G2" s="778" t="n"/>
      <c r="H2" s="780" t="n"/>
      <c r="J2" s="879" t="inlineStr">
        <is>
          <t>2023 NUNAVUT Provincial</t>
        </is>
      </c>
      <c r="K2" s="778" t="n"/>
      <c r="L2" s="778" t="n"/>
      <c r="M2" s="778" t="n"/>
      <c r="N2" s="778" t="n"/>
      <c r="O2" s="778" t="n"/>
      <c r="P2" s="780" t="n"/>
    </row>
    <row r="3" ht="15.75" customHeight="1" thickBot="1">
      <c r="B3" s="116" t="n"/>
      <c r="C3" s="115" t="n"/>
      <c r="D3" s="115" t="inlineStr">
        <is>
          <t>Line</t>
        </is>
      </c>
      <c r="E3" s="115" t="inlineStr">
        <is>
          <t>Amt</t>
        </is>
      </c>
      <c r="F3" s="117" t="n"/>
      <c r="G3" s="675" t="inlineStr">
        <is>
          <t>Spouse</t>
        </is>
      </c>
      <c r="H3" s="117" t="inlineStr">
        <is>
          <t>S2 Adjustment</t>
        </is>
      </c>
      <c r="J3" s="34" t="n"/>
      <c r="L3" t="inlineStr">
        <is>
          <t>Line</t>
        </is>
      </c>
      <c r="M3" t="inlineStr">
        <is>
          <t>Amt</t>
        </is>
      </c>
      <c r="N3" s="35" t="n"/>
      <c r="O3" s="34" t="inlineStr">
        <is>
          <t>Spouse</t>
        </is>
      </c>
      <c r="P3" s="35" t="inlineStr">
        <is>
          <t>S2 Adjustment</t>
        </is>
      </c>
    </row>
    <row r="4" ht="15.75" customHeight="1" thickBot="1">
      <c r="B4" s="709" t="inlineStr">
        <is>
          <t>Amount for young children less than 6 years of age</t>
        </is>
      </c>
      <c r="D4" s="115" t="inlineStr">
        <is>
          <t>Line 58230</t>
        </is>
      </c>
      <c r="E4" s="869">
        <f>(_xlfn.XLOOKUP(ClientNumber,Clients!D:D,Clients!AOE:AOE,2,0,1))</f>
        <v/>
      </c>
      <c r="F4" s="119" t="inlineStr">
        <is>
          <t>Line 59000</t>
        </is>
      </c>
      <c r="G4" s="141">
        <f>IF(TransferName="NONE",0,(_xlfn.XLOOKUP(TransferNumber,Clients!D:D,Clients!APR:APR,2,0,1)))</f>
        <v/>
      </c>
      <c r="H4" s="119">
        <f>IF(AND(E4&gt;0,G4=0),"Amount for young children less than 6 years of age","No Action")</f>
        <v/>
      </c>
      <c r="J4" s="880" t="inlineStr">
        <is>
          <t>Amount for young children less than 6 years of age</t>
        </is>
      </c>
      <c r="K4" s="758" t="n"/>
      <c r="L4" t="inlineStr">
        <is>
          <t>Line 58230</t>
        </is>
      </c>
      <c r="M4" s="865">
        <f>(_xlfn.XLOOKUP(MainClient,Clients!D:D,Clients!NJ:NJ,2,0,1))</f>
        <v/>
      </c>
      <c r="N4" s="37" t="inlineStr">
        <is>
          <t>Line 59000</t>
        </is>
      </c>
      <c r="O4" s="51">
        <f>IF(TransferName="NONE",0,(_xlfn.XLOOKUP(TransferNumber,Clients!D:D,Clients!OW:OW,2,0,1)))</f>
        <v/>
      </c>
      <c r="P4" s="37">
        <f>IF(AND(M4&gt;0,O4=0),"Amount for young children less than 6 years of age","No Action")</f>
        <v/>
      </c>
    </row>
    <row r="5" ht="15.75" customHeight="1" thickBot="1">
      <c r="B5" s="675" t="inlineStr">
        <is>
          <t>Age Amount</t>
        </is>
      </c>
      <c r="D5" s="115" t="inlineStr">
        <is>
          <t>Line 58080</t>
        </is>
      </c>
      <c r="E5" s="869">
        <f>(_xlfn.XLOOKUP(ClientNumber,Clients!D:D,Clients!ANR:ANR,2,0,1))</f>
        <v/>
      </c>
      <c r="F5" s="119" t="inlineStr">
        <is>
          <t>Line 59020</t>
        </is>
      </c>
      <c r="G5" s="141">
        <f>IF(TransferName="NONE",0,(_xlfn.XLOOKUP(TransferNumber,Clients!D:D,Clients!APT:APT,2,0,1)))</f>
        <v/>
      </c>
      <c r="H5" s="119">
        <f>IF(AND(E5&gt;0,G5=0),"Age Amount Can Be Transferred","No Action")</f>
        <v/>
      </c>
      <c r="J5" s="667" t="inlineStr">
        <is>
          <t>Age Amount</t>
        </is>
      </c>
      <c r="L5" t="inlineStr">
        <is>
          <t>Line 58080</t>
        </is>
      </c>
      <c r="M5" s="865">
        <f>(_xlfn.XLOOKUP(MainClient,Clients!D:D,Clients!MW:MW,2,0,1))</f>
        <v/>
      </c>
      <c r="N5" s="37" t="inlineStr">
        <is>
          <t>Line 59020</t>
        </is>
      </c>
      <c r="O5" s="51">
        <f>IF(TransferName="NONE",0,(_xlfn.XLOOKUP(TransferNumber,Clients!D:D,Clients!OY:OY,2,0,1)))</f>
        <v/>
      </c>
      <c r="P5" s="37">
        <f>IF(AND(M5&gt;0,O5=0),"Age Amount Can Be Transferred","No Action")</f>
        <v/>
      </c>
    </row>
    <row r="6" ht="15.75" customHeight="1" thickBot="1">
      <c r="B6" s="675" t="inlineStr">
        <is>
          <t>Pension Income Amount</t>
        </is>
      </c>
      <c r="D6" s="115" t="inlineStr">
        <is>
          <t>Line 58360 (mx 2000)</t>
        </is>
      </c>
      <c r="E6" s="869">
        <f>IF((_xlfn.XLOOKUP(ClientNumber,Clients!D:D,Clients!AOR:AOR,2,0,1)&lt;2000),(_xlfn.XLOOKUP(MainClient,Clients!D:D,Clients!AOR:AOR,2,0,1)),2000)</f>
        <v/>
      </c>
      <c r="F6" s="119" t="inlineStr">
        <is>
          <t>Line 59050</t>
        </is>
      </c>
      <c r="G6" s="141">
        <f>IF(TransferName="NONE",0,(_xlfn.XLOOKUP(TransferNumber,Clients!D:D,Clients!APW:APW,2,0,1)))</f>
        <v/>
      </c>
      <c r="H6" s="119">
        <f>IF(AND(E6&gt;0,G6=0),"Pension Income Amount Can Be Transferred","No Action")</f>
        <v/>
      </c>
      <c r="J6" s="667" t="inlineStr">
        <is>
          <t>Pension Income Amount</t>
        </is>
      </c>
      <c r="L6" t="inlineStr">
        <is>
          <t>Line 58360 (mx 2000)</t>
        </is>
      </c>
      <c r="M6" s="865">
        <f>IF((_xlfn.XLOOKUP(ClientNumber,Clients!D:D,Clients!NW:NW,2,0,1)&lt;2000),(_xlfn.XLOOKUP(MainClient,Clients!D:D,Clients!NW:NW,2,0,1)),2000)</f>
        <v/>
      </c>
      <c r="N6" s="37" t="inlineStr">
        <is>
          <t>Line 59050</t>
        </is>
      </c>
      <c r="O6" s="51">
        <f>IF(TransferName="NONE",0,(_xlfn.XLOOKUP(TransferNumber,Clients!D:D,Clients!PB:PB,2,0,1)))</f>
        <v/>
      </c>
      <c r="P6" s="37">
        <f>IF(AND(M6&gt;0,O6=0),"Pension Income Amount Can Be Transferred","No Action")</f>
        <v/>
      </c>
    </row>
    <row r="7" ht="15.75" customHeight="1" thickBot="1">
      <c r="B7" s="675" t="inlineStr">
        <is>
          <t>Disability Amount</t>
        </is>
      </c>
      <c r="D7" s="115" t="inlineStr">
        <is>
          <t>Line 58440</t>
        </is>
      </c>
      <c r="E7" s="869">
        <f>IF(_xlfn.XLOOKUP(ClientNumber,Clients!D:D,Clients!AOT:AOT,2,0,1)=0,14352,(_xlfn.XLOOKUP(MainClient,Clients!D:D,Clients!AOT:AOT,2,0,1)))</f>
        <v/>
      </c>
      <c r="F7" s="119" t="inlineStr">
        <is>
          <t>Line 59070</t>
        </is>
      </c>
      <c r="G7" s="141">
        <f>IF(TransferName="NONE",0,(_xlfn.XLOOKUP(TransferNumber,Clients!D:D,Clients!APX:APX,2,0,1)))</f>
        <v/>
      </c>
      <c r="H7" s="119">
        <f>IF(AND(E7&gt;0,G7=0),"DTC Transferable Not Claimed Can Be Transferred","No Action")</f>
        <v/>
      </c>
      <c r="J7" s="667" t="inlineStr">
        <is>
          <t>Disability Amount</t>
        </is>
      </c>
      <c r="L7" t="inlineStr">
        <is>
          <t>Line 58440</t>
        </is>
      </c>
      <c r="M7" s="865">
        <f>IF(_xlfn.XLOOKUP(ClientNumber,Clients!D:D,Clients!NY:NY,2,0,1)=0,15256,(_xlfn.XLOOKUP(MainClient,Clients!D:D,Clients!NY:NY,2,0,1)))</f>
        <v/>
      </c>
      <c r="N7" s="37" t="inlineStr">
        <is>
          <t>Line 59070</t>
        </is>
      </c>
      <c r="O7" s="51">
        <f>IF(TransferName="NONE",0,(_xlfn.XLOOKUP(TransferNumber,Clients!D:D,Clients!PC:PC,2,0,1)))</f>
        <v/>
      </c>
      <c r="P7" s="37">
        <f>IF(AND(M7&gt;0,O7=0),"DTC Transferable Not Claimed Can Be Transferred","No Action")</f>
        <v/>
      </c>
    </row>
    <row r="8" ht="15.75" customHeight="1" thickBot="1">
      <c r="B8" s="675" t="inlineStr">
        <is>
          <t>Tuition Amount</t>
        </is>
      </c>
      <c r="D8" s="115" t="inlineStr">
        <is>
          <t>Line 59200</t>
        </is>
      </c>
      <c r="E8" s="869">
        <f>(_xlfn.XLOOKUP(ClientNumber,Clients!D:D,Clients!AQI:AQI,2,0,1))</f>
        <v/>
      </c>
      <c r="F8" s="119" t="inlineStr">
        <is>
          <t>Line 59090</t>
        </is>
      </c>
      <c r="G8" s="141">
        <f>IF(TransferName="NONE",0,(_xlfn.XLOOKUP(TransferNumber,Clients!D:D,Clients!APY:APY,2,0,1)))</f>
        <v/>
      </c>
      <c r="H8" s="119">
        <f>IF(AND(E8&gt;0,G8=0),"Tuition Can Be Transferred","No Action")</f>
        <v/>
      </c>
      <c r="J8" s="667" t="inlineStr">
        <is>
          <t>Tuition Amount</t>
        </is>
      </c>
      <c r="L8" t="inlineStr">
        <is>
          <t>Line 59200</t>
        </is>
      </c>
      <c r="M8" s="865">
        <f>(_xlfn.XLOOKUP(MainClient,Clients!D:D,Clients!PN:PN,2,0,1))</f>
        <v/>
      </c>
      <c r="N8" s="37" t="inlineStr">
        <is>
          <t>Line 59090</t>
        </is>
      </c>
      <c r="O8" s="51">
        <f>IF(TransferName="NONE",0,(_xlfn.XLOOKUP(TransferNumber,Clients!D:D,Clients!PD:PD,2,0,1)))</f>
        <v/>
      </c>
      <c r="P8" s="37">
        <f>IF(AND(M8&gt;0,O8=0),"Tuition Can Be Transferred","No Action")</f>
        <v/>
      </c>
    </row>
    <row r="9">
      <c r="B9" s="675" t="n"/>
      <c r="D9" s="115" t="n"/>
      <c r="E9" s="871">
        <f>SUM(E4:E8)</f>
        <v/>
      </c>
      <c r="F9" s="119" t="n"/>
      <c r="G9" s="675">
        <f>SUM(G4:G8)</f>
        <v/>
      </c>
      <c r="H9" s="119" t="n"/>
      <c r="J9" s="667" t="n"/>
      <c r="M9" s="872">
        <f>SUM(M4:M8)</f>
        <v/>
      </c>
      <c r="N9" s="37" t="n"/>
      <c r="O9" s="667">
        <f>SUM(O4:O8)</f>
        <v/>
      </c>
      <c r="P9" s="37" t="n"/>
    </row>
    <row r="10" ht="15.75" customHeight="1" thickBot="1">
      <c r="B10" s="116" t="n"/>
      <c r="C10" s="115" t="n"/>
      <c r="D10" s="115" t="n"/>
      <c r="E10" s="115" t="n"/>
      <c r="F10" s="117" t="n"/>
      <c r="G10" s="115" t="n"/>
      <c r="H10" s="117" t="n"/>
      <c r="J10" s="34" t="n"/>
      <c r="N10" s="35" t="n"/>
      <c r="P10" s="35" t="n"/>
    </row>
    <row r="11" ht="15.75" customHeight="1" thickBot="1">
      <c r="B11" s="675" t="inlineStr">
        <is>
          <t>Line 260</t>
        </is>
      </c>
      <c r="C11" s="120">
        <f>(_xlfn.XLOOKUP(MainClient,Clients!D:D,Clients!AFS:AFS,2,0,1))</f>
        <v/>
      </c>
      <c r="D11" s="115" t="n"/>
      <c r="E11" s="115" t="n"/>
      <c r="F11" s="117" t="n"/>
      <c r="G11" s="116">
        <f>IF(E34&gt;E7,"other transferable credits","DTC Only")</f>
        <v/>
      </c>
      <c r="H11" s="117" t="n"/>
      <c r="J11" s="667" t="inlineStr">
        <is>
          <t>Line 26000</t>
        </is>
      </c>
      <c r="K11" s="36">
        <f>(_xlfn.XLOOKUP(MainClient,Clients!D:D,Clients!EX:EX,2,0,1))</f>
        <v/>
      </c>
      <c r="N11" s="35" t="n"/>
      <c r="O11" s="34">
        <f>IF(M34&gt;M7,"other transferable credits","DTC Only")</f>
        <v/>
      </c>
      <c r="P11" s="35" t="n"/>
    </row>
    <row r="12" ht="15.75" customHeight="1" thickBot="1">
      <c r="B12" s="116" t="n"/>
      <c r="C12" s="115" t="n"/>
      <c r="D12" s="115" t="n"/>
      <c r="E12" s="115" t="n"/>
      <c r="F12" s="117" t="n"/>
      <c r="G12" s="116" t="n"/>
      <c r="H12" s="117" t="n"/>
      <c r="J12" s="34" t="n"/>
      <c r="N12" s="35" t="n"/>
      <c r="O12" s="34" t="n"/>
      <c r="P12" s="35" t="n"/>
    </row>
    <row r="13" ht="15.75" customHeight="1" thickBot="1">
      <c r="B13" s="121" t="inlineStr">
        <is>
          <t>Line 58040</t>
        </is>
      </c>
      <c r="C13" s="120">
        <f>(_xlfn.XLOOKUP(ClientNumber,Clients!D:D,Clients!ANQ:ANQ,2,0,1))</f>
        <v/>
      </c>
      <c r="D13" s="115" t="n"/>
      <c r="E13" s="115" t="n"/>
      <c r="F13" s="117" t="n"/>
      <c r="G13" s="116" t="n"/>
      <c r="H13" s="117" t="n"/>
      <c r="J13" s="55" t="inlineStr">
        <is>
          <t>Line 58040</t>
        </is>
      </c>
      <c r="K13" s="36">
        <f>(_xlfn.XLOOKUP(MainClient,Clients!D:D,Clients!MV:MV,2,0,1))</f>
        <v/>
      </c>
      <c r="N13" s="35" t="n"/>
      <c r="O13" s="34" t="n"/>
      <c r="P13" s="35" t="n"/>
    </row>
    <row r="14" ht="15.75" customHeight="1" thickBot="1">
      <c r="B14" s="121" t="inlineStr">
        <is>
          <t>Line 58240</t>
        </is>
      </c>
      <c r="C14" s="120">
        <f>(_xlfn.XLOOKUP(ClientNumber,Clients!D:D,Clients!AOF:AOF,2,0,1))</f>
        <v/>
      </c>
      <c r="D14" s="115" t="n"/>
      <c r="E14" s="115" t="n"/>
      <c r="F14" s="117" t="n"/>
      <c r="G14" s="116" t="n"/>
      <c r="H14" s="117" t="n"/>
      <c r="J14" s="55" t="inlineStr">
        <is>
          <t>Line 58240</t>
        </is>
      </c>
      <c r="K14" s="36">
        <f>(_xlfn.XLOOKUP(MainClient,Clients!D:D,Clients!NK:NK,2,0,1))</f>
        <v/>
      </c>
      <c r="N14" s="35" t="n"/>
      <c r="O14" s="34" t="n"/>
      <c r="P14" s="35" t="n"/>
    </row>
    <row r="15" ht="15.75" customHeight="1" thickBot="1">
      <c r="B15" s="121" t="inlineStr">
        <is>
          <t>Line 58280</t>
        </is>
      </c>
      <c r="C15" s="120">
        <f>(_xlfn.XLOOKUP(ClientNumber,Clients!D:D,Clients!AOG:AOG,2,0,1))</f>
        <v/>
      </c>
      <c r="D15" s="115" t="n"/>
      <c r="E15" s="115" t="n"/>
      <c r="F15" s="117" t="n"/>
      <c r="G15" s="116" t="n"/>
      <c r="H15" s="117" t="n"/>
      <c r="J15" s="55" t="inlineStr">
        <is>
          <t>Line 58280</t>
        </is>
      </c>
      <c r="K15" s="36">
        <f>(_xlfn.XLOOKUP(MainClient,Clients!D:D,Clients!NL:NL,2,0,1))</f>
        <v/>
      </c>
      <c r="N15" s="35" t="n"/>
      <c r="P15" s="35" t="n"/>
    </row>
    <row r="16" ht="15.75" customHeight="1" thickBot="1">
      <c r="B16" s="121" t="inlineStr">
        <is>
          <t>Line 58300</t>
        </is>
      </c>
      <c r="C16" s="120">
        <f>(_xlfn.XLOOKUP(ClientNumber,Clients!D:D,Clients!AOH:AOH,2,0,1))</f>
        <v/>
      </c>
      <c r="D16" s="115" t="n"/>
      <c r="E16" s="115" t="n"/>
      <c r="F16" s="117" t="n"/>
      <c r="G16" s="116" t="n"/>
      <c r="H16" s="117" t="n"/>
      <c r="J16" s="55" t="inlineStr">
        <is>
          <t>Line 58300</t>
        </is>
      </c>
      <c r="K16" s="36">
        <f>(_xlfn.XLOOKUP(MainClient,Clients!D:D,Clients!NM:NM,2,0,1))</f>
        <v/>
      </c>
      <c r="N16" s="35" t="n"/>
      <c r="O16" s="34" t="n"/>
      <c r="P16" s="35" t="n"/>
    </row>
    <row r="17" ht="15.75" customHeight="1" thickBot="1">
      <c r="B17" s="121" t="inlineStr">
        <is>
          <t>Line 58305</t>
        </is>
      </c>
      <c r="C17" s="120">
        <f>(_xlfn.XLOOKUP(ClientNumber,Clients!D:D,Clients!AOI:AOI,2,0,1))</f>
        <v/>
      </c>
      <c r="D17" s="115" t="n"/>
      <c r="E17" s="115" t="n"/>
      <c r="F17" s="117" t="n"/>
      <c r="G17" s="116" t="n"/>
      <c r="H17" s="117" t="n"/>
      <c r="J17" s="55" t="inlineStr">
        <is>
          <t>Line 58305</t>
        </is>
      </c>
      <c r="K17" s="36">
        <f>(_xlfn.XLOOKUP(MainClient,Clients!D:D,Clients!NN:NN,2,0,1))</f>
        <v/>
      </c>
      <c r="N17" s="35" t="n"/>
      <c r="O17" s="34" t="n"/>
      <c r="P17" s="35" t="n"/>
    </row>
    <row r="18" ht="15.75" customHeight="1" thickBot="1">
      <c r="B18" s="121" t="inlineStr">
        <is>
          <t>Line 58560</t>
        </is>
      </c>
      <c r="C18" s="120">
        <f>(_xlfn.XLOOKUP(ClientNumber,Clients!D:D,Clients!AOX:AOX,2,0,1))</f>
        <v/>
      </c>
      <c r="D18" s="115" t="n"/>
      <c r="E18" s="115" t="n"/>
      <c r="F18" s="117" t="n"/>
      <c r="G18" s="116" t="n"/>
      <c r="H18" s="117" t="n"/>
      <c r="J18" s="55" t="inlineStr">
        <is>
          <t>Line 58560</t>
        </is>
      </c>
      <c r="K18" s="36">
        <f>(_xlfn.XLOOKUP(MainClient,Clients!D:D,Clients!OC:OC,2,0,1))</f>
        <v/>
      </c>
      <c r="N18" s="35" t="n"/>
      <c r="O18" s="34" t="n"/>
      <c r="P18" s="35" t="n"/>
    </row>
    <row r="19" ht="15.75" customHeight="1" thickBot="1">
      <c r="B19" s="121" t="n"/>
      <c r="C19" s="120" t="n"/>
      <c r="D19" s="115" t="n"/>
      <c r="E19" s="115" t="n"/>
      <c r="F19" s="117" t="n"/>
      <c r="G19" s="116" t="n"/>
      <c r="H19" s="117" t="n"/>
      <c r="J19" s="55" t="n"/>
      <c r="K19" s="36" t="n"/>
      <c r="N19" s="35" t="n"/>
      <c r="O19" s="34" t="n"/>
      <c r="P19" s="35" t="n"/>
    </row>
    <row r="20" ht="15.75" customHeight="1" thickBot="1">
      <c r="B20" s="121" t="n"/>
      <c r="C20" s="120" t="n"/>
      <c r="D20" s="115" t="n"/>
      <c r="E20" s="115" t="n"/>
      <c r="F20" s="117" t="n"/>
      <c r="G20" s="116" t="n"/>
      <c r="H20" s="117" t="n"/>
      <c r="J20" s="55" t="n"/>
      <c r="K20" s="36" t="n"/>
      <c r="N20" s="35" t="n"/>
      <c r="O20" s="34" t="n"/>
      <c r="P20" s="35" t="n"/>
    </row>
    <row r="21" ht="15.75" customHeight="1" thickBot="1">
      <c r="B21" s="121" t="n"/>
      <c r="C21" s="120" t="n"/>
      <c r="D21" s="115" t="n"/>
      <c r="E21" s="115" t="n"/>
      <c r="F21" s="117" t="n"/>
      <c r="G21" s="116" t="n"/>
      <c r="H21" s="117" t="n"/>
      <c r="J21" s="55" t="n"/>
      <c r="K21" s="36" t="n"/>
      <c r="N21" s="35" t="n"/>
      <c r="O21" s="34" t="n"/>
      <c r="P21" s="35" t="n"/>
    </row>
    <row r="22" ht="15.75" customHeight="1" thickBot="1">
      <c r="B22" s="121" t="n"/>
      <c r="C22" s="120" t="n"/>
      <c r="D22" s="115" t="n"/>
      <c r="E22" s="115" t="n"/>
      <c r="F22" s="117" t="n"/>
      <c r="G22" s="116" t="n"/>
      <c r="H22" s="117" t="n"/>
      <c r="J22" s="55" t="n"/>
      <c r="K22" s="36" t="n"/>
      <c r="N22" s="35" t="n"/>
      <c r="O22" s="34" t="n"/>
      <c r="P22" s="35" t="n"/>
    </row>
    <row r="23" ht="15.75" customHeight="1" thickBot="1">
      <c r="B23" s="121" t="n"/>
      <c r="C23" s="120" t="n"/>
      <c r="D23" s="115" t="n"/>
      <c r="E23" s="115" t="n"/>
      <c r="F23" s="117" t="n"/>
      <c r="G23" s="116" t="inlineStr">
        <is>
          <t>Line 326</t>
        </is>
      </c>
      <c r="H23" s="117">
        <f>IF(TransferName="NONE",0,(_xlfn.XLOOKUP(TransferNumber,Clients!D:D,Clients!CIH:CIH,2,0,1)))</f>
        <v/>
      </c>
      <c r="J23" s="55" t="n"/>
      <c r="K23" s="36" t="n"/>
      <c r="N23" s="35" t="n"/>
      <c r="O23" s="34" t="inlineStr">
        <is>
          <t>Line 58640</t>
        </is>
      </c>
      <c r="P23" s="35">
        <f>IFERROR(_xlfn.XLOOKUP(TransferNumber,Clients!D:D,Clients!OI:OI,2,0,1),0)</f>
        <v/>
      </c>
    </row>
    <row r="24" ht="15.75" customHeight="1" thickBot="1">
      <c r="B24" s="121" t="n"/>
      <c r="C24" s="120" t="n"/>
      <c r="D24" s="115" t="n"/>
      <c r="E24" s="115" t="n"/>
      <c r="F24" s="117" t="n"/>
      <c r="G24" s="116" t="n"/>
      <c r="H24" s="117" t="n"/>
      <c r="J24" s="55" t="n"/>
      <c r="K24" s="36" t="n"/>
      <c r="N24" s="35" t="n"/>
      <c r="O24" s="34" t="n"/>
      <c r="P24" s="35" t="n"/>
    </row>
    <row r="25" ht="15.75" customHeight="1" thickBot="1">
      <c r="B25" s="121" t="n"/>
      <c r="C25" s="120" t="n"/>
      <c r="D25" s="115" t="n"/>
      <c r="E25" s="115" t="n"/>
      <c r="F25" s="117" t="n"/>
      <c r="G25" s="116" t="n"/>
      <c r="H25" s="117" t="n"/>
      <c r="J25" s="55" t="n"/>
      <c r="K25" s="36" t="n"/>
      <c r="N25" s="35" t="n"/>
      <c r="O25" s="34" t="n"/>
      <c r="P25" s="35" t="n"/>
    </row>
    <row r="26" ht="15.75" customHeight="1" thickBot="1">
      <c r="B26" s="121" t="n"/>
      <c r="C26" s="120" t="n"/>
      <c r="D26" s="115" t="n"/>
      <c r="E26" s="115" t="n"/>
      <c r="F26" s="117" t="n"/>
      <c r="G26" s="116" t="n"/>
      <c r="H26" s="117" t="n"/>
      <c r="J26" s="55" t="n"/>
      <c r="K26" s="36" t="n"/>
      <c r="N26" s="35" t="n"/>
      <c r="O26" s="34" t="n"/>
      <c r="P26" s="35" t="n"/>
    </row>
    <row r="27" ht="15.75" customHeight="1" thickBot="1">
      <c r="B27" s="121" t="n"/>
      <c r="C27" s="120" t="n"/>
      <c r="D27" s="115" t="n"/>
      <c r="E27" s="115" t="n"/>
      <c r="F27" s="117" t="n"/>
      <c r="G27" s="116" t="n"/>
      <c r="H27" s="117">
        <f>IF(E32&gt;0,E9-G9,0)</f>
        <v/>
      </c>
      <c r="J27" s="55" t="n"/>
      <c r="K27" s="36" t="n"/>
      <c r="N27" s="35" t="n"/>
      <c r="O27" s="34" t="n"/>
      <c r="P27" s="35">
        <f>IF(M32&gt;0,M9-O9,0)</f>
        <v/>
      </c>
    </row>
    <row r="28" ht="15.75" customHeight="1" thickBot="1">
      <c r="B28" s="121" t="n"/>
      <c r="C28" s="120" t="n"/>
      <c r="D28" s="115" t="n"/>
      <c r="E28" s="115" t="n"/>
      <c r="F28" s="117" t="n"/>
      <c r="G28" s="115" t="n"/>
      <c r="H28" s="122">
        <f>IF(TransferName="NONE",F33,IF(H27&gt;0,(E32-G9)*0.04,0))</f>
        <v/>
      </c>
      <c r="J28" s="55" t="n"/>
      <c r="K28" s="36" t="n"/>
      <c r="N28" s="35" t="n"/>
      <c r="P28" s="52">
        <f>IF(TransferName="NONE",N33,IF(P27&gt;0,(M32-O9)*0.04,0))</f>
        <v/>
      </c>
    </row>
    <row r="29">
      <c r="B29" s="675" t="n"/>
      <c r="C29" s="115" t="n"/>
      <c r="D29" s="115" t="n"/>
      <c r="E29" s="115" t="n"/>
      <c r="F29" s="117" t="n"/>
      <c r="G29" s="116" t="inlineStr">
        <is>
          <t>Transferable</t>
        </is>
      </c>
      <c r="H29" s="122">
        <f>IF(H28&gt;0,H28,0)</f>
        <v/>
      </c>
      <c r="J29" s="667" t="n"/>
      <c r="N29" s="35" t="n"/>
      <c r="O29" s="34" t="inlineStr">
        <is>
          <t>Transferable</t>
        </is>
      </c>
      <c r="P29" s="52">
        <f>IF(P28&gt;0,P28,0)</f>
        <v/>
      </c>
    </row>
    <row r="30">
      <c r="B30" s="675" t="inlineStr">
        <is>
          <t>Adjusted Taxable Income</t>
        </is>
      </c>
      <c r="C30" s="115">
        <f>C11-(SUM(C13:C28))</f>
        <v/>
      </c>
      <c r="D30" s="124" t="inlineStr">
        <is>
          <t>Line 5864</t>
        </is>
      </c>
      <c r="E30" s="125">
        <f>IF(C30&gt;0,C30,0)</f>
        <v/>
      </c>
      <c r="F30" s="117" t="n"/>
      <c r="G30" s="116" t="n"/>
      <c r="H30" s="117" t="n"/>
      <c r="J30" s="667" t="inlineStr">
        <is>
          <t>Adjusted Taxable Income</t>
        </is>
      </c>
      <c r="K30">
        <f>K11-(SUM(K13:K28))</f>
        <v/>
      </c>
      <c r="L30" s="13" t="inlineStr">
        <is>
          <t>Line 5864</t>
        </is>
      </c>
      <c r="M30" s="39">
        <f>IF(K30&gt;0,K30,0)</f>
        <v/>
      </c>
      <c r="N30" s="35" t="n"/>
      <c r="O30" s="34" t="n"/>
      <c r="P30" s="35" t="n"/>
    </row>
    <row r="31" ht="15.75" customHeight="1" thickBot="1">
      <c r="B31" s="116" t="n"/>
      <c r="C31" s="115" t="n"/>
      <c r="D31" s="115" t="n"/>
      <c r="E31" s="115" t="n"/>
      <c r="F31" s="117" t="n"/>
      <c r="G31" s="116" t="n"/>
      <c r="H31" s="117" t="n"/>
      <c r="J31" s="34" t="n"/>
      <c r="N31" s="35" t="n"/>
      <c r="O31" s="34" t="n"/>
      <c r="P31" s="35" t="n"/>
    </row>
    <row r="32" ht="15.75" customHeight="1" thickBot="1">
      <c r="B32" s="116" t="n"/>
      <c r="C32" s="115" t="n"/>
      <c r="D32" s="126" t="inlineStr">
        <is>
          <t>Prov Trans</t>
        </is>
      </c>
      <c r="E32" s="120">
        <f>(E9-E30)</f>
        <v/>
      </c>
      <c r="F32" s="127" t="n"/>
      <c r="G32" s="116" t="n"/>
      <c r="H32" s="122" t="n"/>
      <c r="J32" s="34" t="n"/>
      <c r="L32" s="21" t="inlineStr">
        <is>
          <t>Prov Trans</t>
        </is>
      </c>
      <c r="M32" s="36">
        <f>(M9-M30)</f>
        <v/>
      </c>
      <c r="N32" s="40" t="n"/>
      <c r="O32" s="34" t="n"/>
      <c r="P32" s="52" t="n"/>
    </row>
    <row r="33" ht="15.75" customHeight="1" thickBot="1">
      <c r="B33" s="116" t="n"/>
      <c r="C33" s="664" t="inlineStr">
        <is>
          <t>DTC Transferable ESTIMATE</t>
        </is>
      </c>
      <c r="D33" s="35" t="n"/>
      <c r="E33" s="120">
        <f>IF(E32&lt;0,0,(IF(E32&gt;E7,E7,E32)))</f>
        <v/>
      </c>
      <c r="F33" s="127">
        <f>IF(E33&gt;0,E33*0.04,"No Transfer Required")</f>
        <v/>
      </c>
      <c r="G33" s="666" t="n"/>
      <c r="H33" s="122" t="n"/>
      <c r="J33" s="34" t="n"/>
      <c r="K33" s="579" t="inlineStr">
        <is>
          <t>DTC Transferable ESTIMATE</t>
        </is>
      </c>
      <c r="L33" s="35" t="n"/>
      <c r="M33" s="36">
        <f>IF(M32&lt;0,0,(IF(M32&gt;M7,M7,M32)))</f>
        <v/>
      </c>
      <c r="N33" s="40">
        <f>IF(M33&gt;0,M33*0.04,"No Transfer Required")</f>
        <v/>
      </c>
      <c r="O33" s="58" t="n"/>
      <c r="P33" s="52" t="n"/>
    </row>
    <row r="34" ht="15.75" customHeight="1" thickBot="1">
      <c r="B34" s="128" t="n"/>
      <c r="C34" s="129" t="n"/>
      <c r="D34" s="130" t="inlineStr">
        <is>
          <t>Net Transferable</t>
        </is>
      </c>
      <c r="E34" s="120">
        <f>IF(E32&lt;0,0,(IF(E32-G4-G5-G6-G8&lt;0,E32,(E32-G4-G5-G6-G8))))</f>
        <v/>
      </c>
      <c r="F34" s="131">
        <f>IF(E34&gt;0,E34*0.04,"0")</f>
        <v/>
      </c>
      <c r="G34" s="42" t="n"/>
      <c r="H34" s="863" t="n"/>
      <c r="J34" s="42" t="n"/>
      <c r="K34" s="41" t="n"/>
      <c r="L34" s="43" t="inlineStr">
        <is>
          <t>Net Transferable</t>
        </is>
      </c>
      <c r="M34" s="36">
        <f>IF(M32&lt;0,0,(IF(M32-O4-O5-O6-O8&lt;0,M32,(M32-O4-O5-O6-O8))))</f>
        <v/>
      </c>
      <c r="N34" s="57">
        <f>IF(M34&gt;0,M34*0.04,"0")</f>
        <v/>
      </c>
      <c r="O34" s="59" t="n"/>
      <c r="P34" s="864" t="n"/>
    </row>
    <row r="35">
      <c r="D35" s="60" t="n"/>
      <c r="F35" s="61" t="n"/>
      <c r="G35" s="449" t="n"/>
      <c r="H35" s="866" t="n"/>
      <c r="L35" s="60" t="n"/>
      <c r="N35" s="61" t="n"/>
      <c r="O35" s="64" t="n"/>
      <c r="P35" s="866" t="n"/>
    </row>
    <row r="36" ht="15.75" customHeight="1" thickBot="1">
      <c r="E36">
        <f>Calculator!$D$5</f>
        <v/>
      </c>
      <c r="H36">
        <f>TransferName</f>
        <v/>
      </c>
      <c r="M36">
        <f>Calculator!$D$5</f>
        <v/>
      </c>
      <c r="P36">
        <f>TransferName</f>
        <v/>
      </c>
    </row>
    <row r="37" ht="15.75" customHeight="1" thickBot="1">
      <c r="B37" s="879" t="inlineStr">
        <is>
          <t>2022 NUNAVUT Provincial</t>
        </is>
      </c>
      <c r="C37" s="778" t="n"/>
      <c r="D37" s="778" t="n"/>
      <c r="E37" s="778" t="n"/>
      <c r="F37" s="778" t="n"/>
      <c r="G37" s="778" t="n"/>
      <c r="H37" s="780" t="n"/>
      <c r="J37" s="879" t="inlineStr">
        <is>
          <t>2021 NUNAVUT Provincial</t>
        </is>
      </c>
      <c r="K37" s="778" t="n"/>
      <c r="L37" s="778" t="n"/>
      <c r="M37" s="778" t="n"/>
      <c r="N37" s="778" t="n"/>
      <c r="O37" s="778" t="n"/>
      <c r="P37" s="780" t="n"/>
    </row>
    <row r="38" ht="15.75" customHeight="1" thickBot="1">
      <c r="B38" s="34" t="n"/>
      <c r="D38" t="inlineStr">
        <is>
          <t>Line</t>
        </is>
      </c>
      <c r="E38" t="inlineStr">
        <is>
          <t>Amt</t>
        </is>
      </c>
      <c r="F38" s="35" t="n"/>
      <c r="G38" s="667" t="inlineStr">
        <is>
          <t>Spouse</t>
        </is>
      </c>
      <c r="H38" s="35" t="inlineStr">
        <is>
          <t>S2 Adjustment</t>
        </is>
      </c>
      <c r="J38" s="34" t="n"/>
      <c r="L38" t="inlineStr">
        <is>
          <t>Line</t>
        </is>
      </c>
      <c r="M38" t="inlineStr">
        <is>
          <t>Amt</t>
        </is>
      </c>
      <c r="N38" s="35" t="n"/>
      <c r="O38" s="34" t="inlineStr">
        <is>
          <t>Spouse</t>
        </is>
      </c>
      <c r="P38" s="35" t="inlineStr">
        <is>
          <t>S2 Adjustment</t>
        </is>
      </c>
    </row>
    <row r="39" ht="15.75" customHeight="1" thickBot="1">
      <c r="B39" s="706" t="inlineStr">
        <is>
          <t>Amount for young children less than 6 years of age</t>
        </is>
      </c>
      <c r="D39" t="inlineStr">
        <is>
          <t>Line 58230</t>
        </is>
      </c>
      <c r="E39" s="861">
        <f>(_xlfn.XLOOKUP(ClientNumber,Clients!D:D,Clients!AOE:AOE,2,0,1))</f>
        <v/>
      </c>
      <c r="F39" s="37" t="inlineStr">
        <is>
          <t>Line 59000</t>
        </is>
      </c>
      <c r="G39" s="51">
        <f>IF(TransferName="NONE",0,(_xlfn.XLOOKUP(TransferNumber,Clients!D:D,Clients!APR:APR,2,0,1)))</f>
        <v/>
      </c>
      <c r="H39" s="37">
        <f>IF(AND(E39&gt;0,G39=0),"Amount for young children less than 6 years of age","No Action")</f>
        <v/>
      </c>
      <c r="J39" s="880" t="inlineStr">
        <is>
          <t>Amount for young children less than 6 years of age</t>
        </is>
      </c>
      <c r="K39" s="758" t="n"/>
      <c r="L39" t="inlineStr">
        <is>
          <t>Line 58230</t>
        </is>
      </c>
      <c r="M39" s="865">
        <f>(_xlfn.XLOOKUP(MainClient,Clients!D:D,Clients!BOZ:BOZ,2,0,1))</f>
        <v/>
      </c>
      <c r="N39" s="37" t="inlineStr">
        <is>
          <t>Line 59000</t>
        </is>
      </c>
      <c r="O39" s="51">
        <f>IF(TransferName="NONE",0,(_xlfn.XLOOKUP(TransferNumber,Clients!D:D,Clients!BQM:BQM,2,0,1)))</f>
        <v/>
      </c>
      <c r="P39" s="37">
        <f>IF(AND(M39&gt;0,O39=0),"Amount for young children less than 6 years of age","No Action")</f>
        <v/>
      </c>
    </row>
    <row r="40" ht="15.75" customHeight="1" thickBot="1">
      <c r="B40" s="667" t="inlineStr">
        <is>
          <t>Age Amount</t>
        </is>
      </c>
      <c r="D40" t="inlineStr">
        <is>
          <t>Line 58080</t>
        </is>
      </c>
      <c r="E40" s="861">
        <f>(_xlfn.XLOOKUP(ClientNumber,Clients!D:D,Clients!ANR:ANR,2,0,1))</f>
        <v/>
      </c>
      <c r="F40" s="37" t="inlineStr">
        <is>
          <t>Line 59020</t>
        </is>
      </c>
      <c r="G40" s="51">
        <f>IF(TransferName="NONE",0,(_xlfn.XLOOKUP(TransferNumber,Clients!D:D,Clients!APT:APT,2,0,1)))</f>
        <v/>
      </c>
      <c r="H40" s="37">
        <f>IF(AND(E40&gt;0,G40=0),"Age Amount Can Be Transferred","No Action")</f>
        <v/>
      </c>
      <c r="J40" s="667" t="inlineStr">
        <is>
          <t>Age Amount</t>
        </is>
      </c>
      <c r="L40" t="inlineStr">
        <is>
          <t>Line 58080</t>
        </is>
      </c>
      <c r="M40" s="865">
        <f>(_xlfn.XLOOKUP(MainClient,Clients!D:D,Clients!BOM:BOM,2,0,1))</f>
        <v/>
      </c>
      <c r="N40" s="37" t="inlineStr">
        <is>
          <t>Line 59020</t>
        </is>
      </c>
      <c r="O40" s="51">
        <f>IF(TransferName="NONE",0,(_xlfn.XLOOKUP(TransferNumber,Clients!D:D,Clients!BQO:BQO,2,0,1)))</f>
        <v/>
      </c>
      <c r="P40" s="37">
        <f>IF(AND(M40&gt;0,O40=0),"Age Amount Can Be Transferred","No Action")</f>
        <v/>
      </c>
    </row>
    <row r="41" ht="15.75" customHeight="1" thickBot="1">
      <c r="B41" s="667" t="inlineStr">
        <is>
          <t>Pension Income Amount</t>
        </is>
      </c>
      <c r="D41" t="inlineStr">
        <is>
          <t>Line 58360 (mx 2000)</t>
        </is>
      </c>
      <c r="E41" s="861">
        <f>IF((_xlfn.XLOOKUP(ClientNumber,Clients!D:D,Clients!AOR:AOR,2,0,1)&lt;2000),(_xlfn.XLOOKUP(MainClient,Clients!D:D,Clients!AOR:AOR,2,0,1)),2000)</f>
        <v/>
      </c>
      <c r="F41" s="37" t="inlineStr">
        <is>
          <t>Line 59050</t>
        </is>
      </c>
      <c r="G41" s="51">
        <f>IF(TransferName="NONE",0,(_xlfn.XLOOKUP(TransferNumber,Clients!D:D,Clients!APW:APW,2,0,1)))</f>
        <v/>
      </c>
      <c r="H41" s="37">
        <f>IF(AND(E41&gt;0,G41=0),"Pension Income Amount Can Be Transferred","No Action")</f>
        <v/>
      </c>
      <c r="J41" s="667" t="inlineStr">
        <is>
          <t>Pension Income Amount</t>
        </is>
      </c>
      <c r="L41" t="inlineStr">
        <is>
          <t>Line 58360 (mx 2000)</t>
        </is>
      </c>
      <c r="M41" s="865">
        <f>IF((_xlfn.XLOOKUP(ClientNumber,Clients!D:D,Clients!BPM:BPM,2,0,1)&lt;2000),(_xlfn.XLOOKUP(MainClient,Clients!D:D,Clients!BPM:BPM,2,0,1)),2000)</f>
        <v/>
      </c>
      <c r="N41" s="37" t="inlineStr">
        <is>
          <t>Line 59050</t>
        </is>
      </c>
      <c r="O41" s="51">
        <f>IF(TransferName="NONE",0,(_xlfn.XLOOKUP(TransferNumber,Clients!D:D,Clients!BQR:BQR,2,0,1)))</f>
        <v/>
      </c>
      <c r="P41" s="37">
        <f>IF(AND(M41&gt;0,O41=0),"Pension Income Amount Can Be Transferred","No Action")</f>
        <v/>
      </c>
    </row>
    <row r="42" ht="15.75" customHeight="1" thickBot="1">
      <c r="B42" s="667" t="inlineStr">
        <is>
          <t>Disability Amount</t>
        </is>
      </c>
      <c r="D42" t="inlineStr">
        <is>
          <t>Line 58440</t>
        </is>
      </c>
      <c r="E42" s="861">
        <f>IF(_xlfn.XLOOKUP(ClientNumber,Clients!D:D,Clients!AOT:AOT,2,0,1)=0,14352,(_xlfn.XLOOKUP(MainClient,Clients!D:D,Clients!AOT:AOT,2,0,1)))</f>
        <v/>
      </c>
      <c r="F42" s="37" t="inlineStr">
        <is>
          <t>Line 59070</t>
        </is>
      </c>
      <c r="G42" s="51">
        <f>IF(TransferName="NONE",0,(_xlfn.XLOOKUP(TransferNumber,Clients!D:D,Clients!APX:APX,2,0,1)))</f>
        <v/>
      </c>
      <c r="H42" s="37">
        <f>IF(AND(E42&gt;0,G42=0),"DTC Transferable Not Claimed Can Be Transferred","No Action")</f>
        <v/>
      </c>
      <c r="J42" s="667" t="inlineStr">
        <is>
          <t>Disability Amount</t>
        </is>
      </c>
      <c r="L42" t="inlineStr">
        <is>
          <t>Line 58440</t>
        </is>
      </c>
      <c r="M42" s="865">
        <f>IF(_xlfn.XLOOKUP(ClientNumber,Clients!D:D,Clients!BPO:BPO,2,0,1)=0,14016,(_xlfn.XLOOKUP(MainClient,Clients!D:D,Clients!BPO:BPO,2,0,1)))</f>
        <v/>
      </c>
      <c r="N42" s="37" t="inlineStr">
        <is>
          <t>Line 59070</t>
        </is>
      </c>
      <c r="O42" s="51">
        <f>IF(TransferName="NONE",0,(_xlfn.XLOOKUP(TransferNumber,Clients!D:D,Clients!BQS:BQS,2,0,1)))</f>
        <v/>
      </c>
      <c r="P42" s="37">
        <f>IF(AND(M42&gt;0,O42=0),"DTC Transferable Not Claimed Can Be Transferred","No Action")</f>
        <v/>
      </c>
    </row>
    <row r="43" ht="15.75" customHeight="1" thickBot="1">
      <c r="A43" t="inlineStr">
        <is>
          <t>`</t>
        </is>
      </c>
      <c r="B43" s="667" t="inlineStr">
        <is>
          <t>Tuition Amount</t>
        </is>
      </c>
      <c r="D43" t="inlineStr">
        <is>
          <t>Line 59200</t>
        </is>
      </c>
      <c r="E43" s="861">
        <f>(_xlfn.XLOOKUP(ClientNumber,Clients!D:D,Clients!AQI:AQI,2,0,1))</f>
        <v/>
      </c>
      <c r="F43" s="37" t="inlineStr">
        <is>
          <t>Line 59090</t>
        </is>
      </c>
      <c r="G43" s="51">
        <f>IF(TransferName="NONE",0,(_xlfn.XLOOKUP(TransferNumber,Clients!D:D,Clients!APY:APY,2,0,1)))</f>
        <v/>
      </c>
      <c r="H43" s="37">
        <f>IF(AND(E43&gt;0,G43=0),"Tuition Can Be Transferred","No Action")</f>
        <v/>
      </c>
      <c r="J43" s="667" t="inlineStr">
        <is>
          <t>Tuition Amount</t>
        </is>
      </c>
      <c r="L43" t="inlineStr">
        <is>
          <t>Line 59200</t>
        </is>
      </c>
      <c r="M43" s="865">
        <f>(_xlfn.XLOOKUP(MainClient,Clients!D:D,Clients!BRF:BRF,2,0,1))</f>
        <v/>
      </c>
      <c r="N43" s="37" t="inlineStr">
        <is>
          <t>Line 59090</t>
        </is>
      </c>
      <c r="O43" s="51">
        <f>IF(TransferName="NONE",0,(_xlfn.XLOOKUP(TransferNumber,Clients!D:D,Clients!BQT:BQT,2,0,1)))</f>
        <v/>
      </c>
      <c r="P43" s="37">
        <f>IF(AND(M43&gt;0,O43=0),"Tuition Can Be Transferred","No Action")</f>
        <v/>
      </c>
    </row>
    <row r="44">
      <c r="B44" s="667" t="n"/>
      <c r="E44" s="771">
        <f>SUM(E39:E43)</f>
        <v/>
      </c>
      <c r="F44" s="37" t="n"/>
      <c r="G44" s="667">
        <f>SUM(G39:G43)</f>
        <v/>
      </c>
      <c r="H44" s="37" t="n"/>
      <c r="J44" s="667" t="n"/>
      <c r="M44" s="872">
        <f>SUM(M39:M43)</f>
        <v/>
      </c>
      <c r="N44" s="37" t="n"/>
      <c r="O44" s="667">
        <f>SUM(O39:O43)</f>
        <v/>
      </c>
      <c r="P44" s="37" t="n"/>
    </row>
    <row r="45" ht="15.75" customHeight="1" thickBot="1">
      <c r="B45" s="34" t="n"/>
      <c r="F45" s="35" t="n"/>
      <c r="H45" s="35" t="n"/>
      <c r="J45" s="34" t="n"/>
      <c r="N45" s="35" t="n"/>
      <c r="P45" s="35" t="n"/>
    </row>
    <row r="46" ht="15.75" customHeight="1" thickBot="1">
      <c r="B46" s="667" t="inlineStr">
        <is>
          <t>Line 260</t>
        </is>
      </c>
      <c r="C46" s="36">
        <f>(_xlfn.XLOOKUP(MainClient,Clients!D:D,Clients!AFS:AFS,2,0,1))</f>
        <v/>
      </c>
      <c r="F46" s="35" t="n"/>
      <c r="G46" s="34">
        <f>IF(E69&gt;E42,"other transferable credits","DTC Only")</f>
        <v/>
      </c>
      <c r="H46" s="35" t="n"/>
      <c r="J46" s="667" t="inlineStr">
        <is>
          <t>Line 26000</t>
        </is>
      </c>
      <c r="K46" s="36">
        <f>(_xlfn.XLOOKUP(MainClient,Clients!D:D,Clients!BGN:BGN,2,0,1))</f>
        <v/>
      </c>
      <c r="N46" s="35" t="n"/>
      <c r="O46" s="34">
        <f>IF(M69&gt;M42,"other transferable credits","DTC Only")</f>
        <v/>
      </c>
      <c r="P46" s="35" t="n"/>
    </row>
    <row r="47" ht="15.75" customHeight="1" thickBot="1">
      <c r="B47" s="34" t="n"/>
      <c r="F47" s="35" t="n"/>
      <c r="G47" s="34" t="n"/>
      <c r="H47" s="35" t="n"/>
      <c r="J47" s="34" t="n"/>
      <c r="N47" s="35" t="n"/>
      <c r="O47" s="34" t="n"/>
      <c r="P47" s="35" t="n"/>
    </row>
    <row r="48" ht="15.75" customHeight="1" thickBot="1">
      <c r="B48" s="55" t="inlineStr">
        <is>
          <t>Line 58040</t>
        </is>
      </c>
      <c r="C48" s="36">
        <f>(_xlfn.XLOOKUP(ClientNumber,Clients!D:D,Clients!ANQ:ANQ,2,0,1))</f>
        <v/>
      </c>
      <c r="F48" s="35" t="n"/>
      <c r="G48" s="34" t="n"/>
      <c r="H48" s="35" t="n"/>
      <c r="J48" s="55" t="inlineStr">
        <is>
          <t>Line 58040</t>
        </is>
      </c>
      <c r="K48" s="36">
        <f>(_xlfn.XLOOKUP(MainClient,Clients!D:D,Clients!BOL:BOL,2,0,1))</f>
        <v/>
      </c>
      <c r="N48" s="35" t="n"/>
      <c r="O48" s="34" t="n"/>
      <c r="P48" s="35" t="n"/>
    </row>
    <row r="49" ht="15.75" customHeight="1" thickBot="1">
      <c r="B49" s="55" t="inlineStr">
        <is>
          <t>Line 58240</t>
        </is>
      </c>
      <c r="C49" s="36">
        <f>(_xlfn.XLOOKUP(ClientNumber,Clients!D:D,Clients!AOF:AOF,2,0,1))</f>
        <v/>
      </c>
      <c r="F49" s="35" t="n"/>
      <c r="G49" s="34" t="n"/>
      <c r="H49" s="35" t="n"/>
      <c r="J49" s="55" t="inlineStr">
        <is>
          <t>Line 58240</t>
        </is>
      </c>
      <c r="K49" s="36">
        <f>(_xlfn.XLOOKUP(MainClient,Clients!D:D,Clients!BPA:BPA,2,0,1))</f>
        <v/>
      </c>
      <c r="N49" s="35" t="n"/>
      <c r="O49" s="34" t="n"/>
      <c r="P49" s="35" t="n"/>
    </row>
    <row r="50" ht="15.75" customHeight="1" thickBot="1">
      <c r="B50" s="55" t="inlineStr">
        <is>
          <t>Line 58280</t>
        </is>
      </c>
      <c r="C50" s="36">
        <f>(_xlfn.XLOOKUP(ClientNumber,Clients!D:D,Clients!AOG:AOG,2,0,1))</f>
        <v/>
      </c>
      <c r="F50" s="35" t="n"/>
      <c r="G50" s="34" t="n"/>
      <c r="H50" s="35" t="n"/>
      <c r="J50" s="55" t="inlineStr">
        <is>
          <t>Line 58280</t>
        </is>
      </c>
      <c r="K50" s="36">
        <f>(_xlfn.XLOOKUP(MainClient,Clients!D:D,Clients!BPB:BPB,2,0,1))</f>
        <v/>
      </c>
      <c r="N50" s="35" t="n"/>
      <c r="P50" s="35" t="n"/>
    </row>
    <row r="51" ht="15.75" customHeight="1" thickBot="1">
      <c r="B51" s="55" t="inlineStr">
        <is>
          <t>Line 58300</t>
        </is>
      </c>
      <c r="C51" s="36">
        <f>(_xlfn.XLOOKUP(ClientNumber,Clients!D:D,Clients!AOH:AOH,2,0,1))</f>
        <v/>
      </c>
      <c r="F51" s="35" t="n"/>
      <c r="G51" s="34" t="n"/>
      <c r="H51" s="35" t="n"/>
      <c r="J51" s="55" t="inlineStr">
        <is>
          <t>Line 58300</t>
        </is>
      </c>
      <c r="K51" s="36">
        <f>(_xlfn.XLOOKUP(MainClient,Clients!D:D,Clients!BPC:BPC,2,0,1))</f>
        <v/>
      </c>
      <c r="N51" s="35" t="n"/>
      <c r="O51" s="34" t="n"/>
      <c r="P51" s="35" t="n"/>
    </row>
    <row r="52" ht="15.75" customHeight="1" thickBot="1">
      <c r="B52" s="55" t="inlineStr">
        <is>
          <t>Line 58305</t>
        </is>
      </c>
      <c r="C52" s="36">
        <f>(_xlfn.XLOOKUP(ClientNumber,Clients!D:D,Clients!AOI:AOI,2,0,1))</f>
        <v/>
      </c>
      <c r="F52" s="35" t="n"/>
      <c r="G52" s="34" t="n"/>
      <c r="H52" s="35" t="n"/>
      <c r="J52" s="55" t="inlineStr">
        <is>
          <t>Line 58305</t>
        </is>
      </c>
      <c r="K52" s="36">
        <f>(_xlfn.XLOOKUP(MainClient,Clients!D:D,Clients!BPD:BPD,2,0,1))</f>
        <v/>
      </c>
      <c r="N52" s="35" t="n"/>
      <c r="O52" s="34" t="n"/>
      <c r="P52" s="35" t="n"/>
    </row>
    <row r="53" ht="15.75" customHeight="1" thickBot="1">
      <c r="B53" s="55" t="inlineStr">
        <is>
          <t>Line 58560</t>
        </is>
      </c>
      <c r="C53" s="36">
        <f>(_xlfn.XLOOKUP(ClientNumber,Clients!D:D,Clients!AOX:AOX,2,0,1))</f>
        <v/>
      </c>
      <c r="F53" s="35" t="n"/>
      <c r="G53" s="34" t="n"/>
      <c r="H53" s="35" t="n"/>
      <c r="J53" s="55" t="inlineStr">
        <is>
          <t>Line 58560</t>
        </is>
      </c>
      <c r="K53" s="36">
        <f>(_xlfn.XLOOKUP(MainClient,Clients!D:D,Clients!BPS:BPS,2,0,1))</f>
        <v/>
      </c>
      <c r="N53" s="35" t="n"/>
      <c r="O53" s="34" t="n"/>
      <c r="P53" s="35" t="n"/>
    </row>
    <row r="54" ht="15.75" customHeight="1" thickBot="1">
      <c r="B54" s="55" t="n"/>
      <c r="C54" s="36" t="n"/>
      <c r="F54" s="35" t="n"/>
      <c r="G54" s="34" t="n"/>
      <c r="H54" s="35" t="n"/>
      <c r="J54" s="55" t="n"/>
      <c r="K54" s="36" t="n"/>
      <c r="N54" s="35" t="n"/>
      <c r="O54" s="34" t="n"/>
      <c r="P54" s="35" t="n"/>
    </row>
    <row r="55" ht="15.75" customHeight="1" thickBot="1">
      <c r="B55" s="55" t="n"/>
      <c r="C55" s="36" t="n"/>
      <c r="F55" s="35" t="n"/>
      <c r="G55" s="34" t="n"/>
      <c r="H55" s="35" t="n"/>
      <c r="J55" s="55" t="n"/>
      <c r="K55" s="36" t="n"/>
      <c r="N55" s="35" t="n"/>
      <c r="O55" s="34" t="n"/>
      <c r="P55" s="35" t="n"/>
    </row>
    <row r="56" ht="15.75" customHeight="1" thickBot="1">
      <c r="B56" s="55" t="n"/>
      <c r="C56" s="36" t="n"/>
      <c r="F56" s="35" t="n"/>
      <c r="G56" s="34" t="n"/>
      <c r="H56" s="35" t="n"/>
      <c r="J56" s="55" t="n"/>
      <c r="K56" s="36" t="n"/>
      <c r="N56" s="35" t="n"/>
      <c r="O56" s="34" t="n"/>
      <c r="P56" s="35" t="n"/>
    </row>
    <row r="57" ht="15.75" customHeight="1" thickBot="1">
      <c r="B57" s="55" t="n"/>
      <c r="C57" s="36" t="n"/>
      <c r="F57" s="35" t="n"/>
      <c r="G57" s="34" t="n"/>
      <c r="H57" s="35" t="n"/>
      <c r="J57" s="55" t="n"/>
      <c r="K57" s="36" t="n"/>
      <c r="N57" s="35" t="n"/>
      <c r="O57" s="34" t="n"/>
      <c r="P57" s="35" t="n"/>
    </row>
    <row r="58" ht="15.75" customHeight="1" thickBot="1">
      <c r="B58" s="55" t="n"/>
      <c r="C58" s="36" t="n"/>
      <c r="F58" s="35" t="n"/>
      <c r="G58" s="34" t="inlineStr">
        <is>
          <t>Line 326</t>
        </is>
      </c>
      <c r="H58" s="35">
        <f>IF(TransferName="NONE",0,(_xlfn.XLOOKUP(TransferNumber,Clients!D:D,Clients!CIH:CIH,2,0,1)))</f>
        <v/>
      </c>
      <c r="J58" s="55" t="n"/>
      <c r="K58" s="36" t="n"/>
      <c r="N58" s="35" t="n"/>
      <c r="O58" s="34" t="inlineStr">
        <is>
          <t>Line 326</t>
        </is>
      </c>
      <c r="P58" s="35">
        <f>IFERROR(_xlfn.XLOOKUP(TransferNumber,Clients!D:D,Clients!FJZ:FJZ,2,0,1),0)</f>
        <v/>
      </c>
    </row>
    <row r="59" ht="15.75" customHeight="1" thickBot="1">
      <c r="B59" s="55" t="n"/>
      <c r="C59" s="36" t="n"/>
      <c r="F59" s="35" t="n"/>
      <c r="G59" s="34" t="n"/>
      <c r="H59" s="35" t="n"/>
      <c r="J59" s="55" t="n"/>
      <c r="K59" s="36" t="n"/>
      <c r="N59" s="35" t="n"/>
      <c r="O59" s="34" t="n"/>
      <c r="P59" s="35" t="n"/>
    </row>
    <row r="60" ht="15.75" customHeight="1" thickBot="1">
      <c r="B60" s="55" t="n"/>
      <c r="C60" s="36" t="n"/>
      <c r="F60" s="35" t="n"/>
      <c r="G60" s="34" t="n"/>
      <c r="H60" s="35" t="n"/>
      <c r="J60" s="55" t="n"/>
      <c r="K60" s="36" t="n"/>
      <c r="N60" s="35" t="n"/>
      <c r="O60" s="34" t="n"/>
      <c r="P60" s="35" t="n"/>
    </row>
    <row r="61" ht="15.75" customHeight="1" thickBot="1">
      <c r="B61" s="55" t="n"/>
      <c r="C61" s="36" t="n"/>
      <c r="F61" s="35" t="n"/>
      <c r="G61" s="34" t="n"/>
      <c r="H61" s="35" t="n"/>
      <c r="J61" s="55" t="n"/>
      <c r="K61" s="36" t="n"/>
      <c r="N61" s="35" t="n"/>
      <c r="O61" s="34" t="n"/>
      <c r="P61" s="35" t="n"/>
    </row>
    <row r="62" ht="15.75" customHeight="1" thickBot="1">
      <c r="B62" s="55" t="n"/>
      <c r="C62" s="36" t="n"/>
      <c r="F62" s="35" t="n"/>
      <c r="G62" s="34" t="n"/>
      <c r="H62" s="35">
        <f>IF(E67&gt;0,E44-G44,0)</f>
        <v/>
      </c>
      <c r="J62" s="55" t="n"/>
      <c r="K62" s="36" t="n"/>
      <c r="N62" s="35" t="n"/>
      <c r="O62" s="34" t="n"/>
      <c r="P62" s="35">
        <f>IF(M67&gt;0,M44-O44,0)</f>
        <v/>
      </c>
    </row>
    <row r="63" ht="15.75" customHeight="1" thickBot="1">
      <c r="B63" s="55" t="n"/>
      <c r="C63" s="36" t="n"/>
      <c r="F63" s="35" t="n"/>
      <c r="H63" s="52">
        <f>IF(TransferName="NONE",F68,IF(H62&gt;0,(E67-G44)*0.04,0))</f>
        <v/>
      </c>
      <c r="J63" s="55" t="n"/>
      <c r="K63" s="36" t="n"/>
      <c r="N63" s="35" t="n"/>
      <c r="P63" s="52">
        <f>IF(TransferName="NONE",N68,IF(P62&gt;0,(M67-O44)*0.04,0))</f>
        <v/>
      </c>
    </row>
    <row r="64">
      <c r="B64" s="667" t="n"/>
      <c r="F64" s="35" t="n"/>
      <c r="G64" s="34" t="inlineStr">
        <is>
          <t>Transferable</t>
        </is>
      </c>
      <c r="H64" s="52">
        <f>IF(H63&gt;0,H63,0)</f>
        <v/>
      </c>
      <c r="J64" s="667" t="n"/>
      <c r="N64" s="35" t="n"/>
      <c r="O64" s="34" t="inlineStr">
        <is>
          <t>Transferable</t>
        </is>
      </c>
      <c r="P64" s="52">
        <f>IF(P63&gt;0,P63,0)</f>
        <v/>
      </c>
    </row>
    <row r="65">
      <c r="B65" s="667" t="inlineStr">
        <is>
          <t>Adjusted Taxable Income</t>
        </is>
      </c>
      <c r="C65">
        <f>C46-(SUM(C48:C63))</f>
        <v/>
      </c>
      <c r="D65" s="13" t="inlineStr">
        <is>
          <t>Line 5864</t>
        </is>
      </c>
      <c r="E65" s="39">
        <f>IF(C65&gt;0,C65,0)</f>
        <v/>
      </c>
      <c r="F65" s="35" t="n"/>
      <c r="G65" s="34" t="n"/>
      <c r="H65" s="35" t="n"/>
      <c r="J65" s="667" t="inlineStr">
        <is>
          <t>Adjusted Taxable Income</t>
        </is>
      </c>
      <c r="K65">
        <f>K46-(SUM(K48:K63))</f>
        <v/>
      </c>
      <c r="L65" s="13" t="inlineStr">
        <is>
          <t>Line 5864</t>
        </is>
      </c>
      <c r="M65" s="39">
        <f>IF(K65&gt;0,K65,0)</f>
        <v/>
      </c>
      <c r="N65" s="35" t="n"/>
      <c r="O65" s="34" t="n"/>
      <c r="P65" s="35" t="n"/>
    </row>
    <row r="66" ht="15.75" customHeight="1" thickBot="1">
      <c r="B66" s="34" t="n"/>
      <c r="F66" s="35" t="n"/>
      <c r="G66" s="34" t="n"/>
      <c r="H66" s="35" t="n"/>
      <c r="J66" s="34" t="n"/>
      <c r="N66" s="35" t="n"/>
      <c r="O66" s="34" t="n"/>
      <c r="P66" s="35" t="n"/>
    </row>
    <row r="67" ht="15.75" customHeight="1" thickBot="1">
      <c r="B67" s="34" t="n"/>
      <c r="D67" s="21" t="inlineStr">
        <is>
          <t>Prov Trans</t>
        </is>
      </c>
      <c r="E67" s="36">
        <f>(E44-E65)</f>
        <v/>
      </c>
      <c r="F67" s="40" t="n"/>
      <c r="G67" s="34" t="n"/>
      <c r="H67" s="52" t="n"/>
      <c r="J67" s="34" t="n"/>
      <c r="L67" s="21" t="inlineStr">
        <is>
          <t>Prov Trans</t>
        </is>
      </c>
      <c r="M67" s="36">
        <f>(M44-M65)</f>
        <v/>
      </c>
      <c r="N67" s="40" t="n"/>
      <c r="O67" s="34" t="n"/>
      <c r="P67" s="52" t="n"/>
    </row>
    <row r="68" ht="15.75" customHeight="1" thickBot="1">
      <c r="B68" s="34" t="n"/>
      <c r="C68" s="579" t="inlineStr">
        <is>
          <t>DTC Transferable ESTIMATE</t>
        </is>
      </c>
      <c r="D68" s="35" t="n"/>
      <c r="E68" s="36">
        <f>IF(E67&lt;0,0,(IF(E67&gt;E42,E42,E67)))</f>
        <v/>
      </c>
      <c r="F68" s="40">
        <f>IF(E68&gt;0,E68*0.04,"No Transfer Required")</f>
        <v/>
      </c>
      <c r="G68" s="678" t="n"/>
      <c r="H68" s="52" t="n"/>
      <c r="J68" s="34" t="n"/>
      <c r="K68" s="579" t="inlineStr">
        <is>
          <t>DTC Transferable ESTIMATE</t>
        </is>
      </c>
      <c r="L68" s="35" t="n"/>
      <c r="M68" s="36">
        <f>IF(M67&lt;0,0,(IF(M67&gt;M42,M42,M67)))</f>
        <v/>
      </c>
      <c r="N68" s="40">
        <f>IF(M68&gt;0,M68*0.04,"No Transfer Required")</f>
        <v/>
      </c>
      <c r="O68" s="58" t="n"/>
      <c r="P68" s="52" t="n"/>
    </row>
    <row r="69" ht="15.75" customHeight="1" thickBot="1">
      <c r="B69" s="42" t="n"/>
      <c r="C69" s="41" t="n"/>
      <c r="D69" s="43" t="inlineStr">
        <is>
          <t>Net Transferable</t>
        </is>
      </c>
      <c r="E69" s="36">
        <f>IF(E67&lt;0,0,(IF(E67-G39-G40-G41-G43&lt;0,E67,(E67-G39-G40-G41-G43))))</f>
        <v/>
      </c>
      <c r="F69" s="57">
        <f>IF(E69&gt;0,E69*0.04,"0")</f>
        <v/>
      </c>
      <c r="G69" s="42" t="n"/>
      <c r="H69" s="864" t="n"/>
      <c r="J69" s="42" t="n"/>
      <c r="K69" s="41" t="n"/>
      <c r="L69" s="43" t="inlineStr">
        <is>
          <t>Net Transferable</t>
        </is>
      </c>
      <c r="M69" s="36">
        <f>IF(M67&lt;0,0,(IF(M67-O39-O40-O41-O43&lt;0,M67,(M67-O39-O40-O41-O43))))</f>
        <v/>
      </c>
      <c r="N69" s="57">
        <f>IF(M69&gt;0,M69*0.04,"0")</f>
        <v/>
      </c>
      <c r="O69" s="59" t="n"/>
      <c r="P69" s="864" t="n"/>
    </row>
    <row r="71" ht="15.75" customHeight="1" thickBot="1">
      <c r="E71">
        <f>Calculator!$D$5</f>
        <v/>
      </c>
      <c r="H71">
        <f>TransferName</f>
        <v/>
      </c>
      <c r="M71">
        <f>Calculator!$D$5</f>
        <v/>
      </c>
      <c r="P71">
        <f>TransferName</f>
        <v/>
      </c>
    </row>
    <row r="72" ht="15.75" customHeight="1" thickBot="1">
      <c r="B72" s="879" t="inlineStr">
        <is>
          <t>2020 NUNAVUT Provincial</t>
        </is>
      </c>
      <c r="C72" s="778" t="n"/>
      <c r="D72" s="778" t="n"/>
      <c r="E72" s="778" t="n"/>
      <c r="F72" s="778" t="n"/>
      <c r="G72" s="778" t="n"/>
      <c r="H72" s="780" t="n"/>
      <c r="J72" s="879" t="inlineStr">
        <is>
          <t>2019 NUNAVUT Provincial</t>
        </is>
      </c>
      <c r="K72" s="778" t="n"/>
      <c r="L72" s="778" t="n"/>
      <c r="M72" s="778" t="n"/>
      <c r="N72" s="778" t="n"/>
      <c r="O72" s="778" t="n"/>
      <c r="P72" s="780" t="n"/>
    </row>
    <row r="73" ht="28.5" customHeight="1" thickBot="1">
      <c r="B73" s="34" t="n"/>
      <c r="D73" t="inlineStr">
        <is>
          <t>Line</t>
        </is>
      </c>
      <c r="E73" t="inlineStr">
        <is>
          <t>Amt</t>
        </is>
      </c>
      <c r="F73" s="35" t="n"/>
      <c r="G73" s="667" t="inlineStr">
        <is>
          <t>Spouse</t>
        </is>
      </c>
      <c r="H73" s="35" t="inlineStr">
        <is>
          <t>S2 Adjustment</t>
        </is>
      </c>
      <c r="J73" s="34" t="n"/>
      <c r="L73" t="inlineStr">
        <is>
          <t>Line</t>
        </is>
      </c>
      <c r="M73" t="inlineStr">
        <is>
          <t>Amt</t>
        </is>
      </c>
      <c r="N73" s="35" t="n"/>
      <c r="O73" s="34" t="inlineStr">
        <is>
          <t>Spouse</t>
        </is>
      </c>
      <c r="P73" s="35" t="inlineStr">
        <is>
          <t>S2 Adjustment</t>
        </is>
      </c>
    </row>
    <row r="74" ht="15.75" customHeight="1" thickBot="1">
      <c r="B74" s="706" t="inlineStr">
        <is>
          <t>Amount for young children less than 6 years of age</t>
        </is>
      </c>
      <c r="D74" t="inlineStr">
        <is>
          <t>Line 58230</t>
        </is>
      </c>
      <c r="E74" s="861">
        <f>(_xlfn.XLOOKUP(ClientNumber,Clients!D:D,Clients!CPU:CPU,2,0,1))</f>
        <v/>
      </c>
      <c r="F74" s="37" t="inlineStr">
        <is>
          <t>Line 59000</t>
        </is>
      </c>
      <c r="G74" s="51">
        <f>IF(TransferName="NONE",0,(_xlfn.XLOOKUP(TransferNumber,Clients!D:D,Clients!CRH:CRH,2,0,1)))</f>
        <v/>
      </c>
      <c r="H74" s="37">
        <f>IF(AND(E74&gt;0,G74=0),"Amount for young children less than 6 years of age","No Action")</f>
        <v/>
      </c>
      <c r="J74" s="880" t="inlineStr">
        <is>
          <t>Amount for young children less than 6 years of age</t>
        </is>
      </c>
      <c r="K74" s="758" t="n"/>
      <c r="L74" t="inlineStr">
        <is>
          <t>Line 58230</t>
        </is>
      </c>
      <c r="M74" s="865">
        <f>(_xlfn.XLOOKUP(MainClient,Clients!D:D,Clients!DQP:DQP,2,0,1))</f>
        <v/>
      </c>
      <c r="N74" s="37" t="inlineStr">
        <is>
          <t>Line 59000</t>
        </is>
      </c>
      <c r="O74" s="51">
        <f>IF(TransferName="NONE",0,(_xlfn.XLOOKUP(TransferNumber,Clients!D:D,Clients!DSC:DSC,2,0,1)))</f>
        <v/>
      </c>
      <c r="P74" s="37">
        <f>IF(AND(M74&gt;0,O74=0),"Amount for young children less than 6 years of age","No Action")</f>
        <v/>
      </c>
    </row>
    <row r="75" ht="15.75" customHeight="1" thickBot="1">
      <c r="B75" s="667" t="inlineStr">
        <is>
          <t>Age Amount</t>
        </is>
      </c>
      <c r="D75" t="inlineStr">
        <is>
          <t>Line 58080</t>
        </is>
      </c>
      <c r="E75" s="861">
        <f>(_xlfn.XLOOKUP(ClientNumber,Clients!D:D,Clients!CPH:CPH,2,0,1))</f>
        <v/>
      </c>
      <c r="F75" s="37" t="inlineStr">
        <is>
          <t>Line 59020</t>
        </is>
      </c>
      <c r="G75" s="51">
        <f>IF(TransferName="NONE",0,(_xlfn.XLOOKUP(TransferNumber,Clients!D:D,Clients!CRJ:CRJ,2,0,1)))</f>
        <v/>
      </c>
      <c r="H75" s="37">
        <f>IF(AND(E75&gt;0,G75=0),"Age Amount Can Be Transferred","No Action")</f>
        <v/>
      </c>
      <c r="J75" s="667" t="inlineStr">
        <is>
          <t>Age Amount</t>
        </is>
      </c>
      <c r="L75" t="inlineStr">
        <is>
          <t>Line 58080</t>
        </is>
      </c>
      <c r="M75" s="865">
        <f>(_xlfn.XLOOKUP(MainClient,Clients!D:D,Clients!DQC:DQC,2,0,1))</f>
        <v/>
      </c>
      <c r="N75" s="37" t="inlineStr">
        <is>
          <t>Line 59020</t>
        </is>
      </c>
      <c r="O75" s="51">
        <f>IF(TransferName="NONE",0,(_xlfn.XLOOKUP(TransferNumber,Clients!D:D,Clients!DSE:DSE,2,0,1)))</f>
        <v/>
      </c>
      <c r="P75" s="37">
        <f>IF(AND(M75&gt;0,O75=0),"Age Amount Can Be Transferred","No Action")</f>
        <v/>
      </c>
    </row>
    <row r="76" ht="15.75" customHeight="1" thickBot="1">
      <c r="B76" s="667" t="inlineStr">
        <is>
          <t>Pension Income Amount</t>
        </is>
      </c>
      <c r="D76" t="inlineStr">
        <is>
          <t>Line 58360 (mx 2000)</t>
        </is>
      </c>
      <c r="E76" s="861">
        <f>IF((_xlfn.XLOOKUP(ClientNumber,Clients!D:D,Clients!CQH:CQH,2,0,1)&lt;2000),(_xlfn.XLOOKUP(MainClient,Clients!D:D,Clients!CQH:CQH,2,0,1)),2000)</f>
        <v/>
      </c>
      <c r="F76" s="37" t="inlineStr">
        <is>
          <t>Line 59050</t>
        </is>
      </c>
      <c r="G76" s="51">
        <f>IF(TransferName="NONE",0,(_xlfn.XLOOKUP(TransferNumber,Clients!D:D,Clients!CRM:CRM,2,0,1)))</f>
        <v/>
      </c>
      <c r="H76" s="37">
        <f>IF(AND(E76&gt;0,G76=0),"Pension Income Amount Can Be Transferred","No Action")</f>
        <v/>
      </c>
      <c r="J76" s="667" t="inlineStr">
        <is>
          <t>Pension Income Amount</t>
        </is>
      </c>
      <c r="L76" t="inlineStr">
        <is>
          <t>Line 58360 (mx 2000)</t>
        </is>
      </c>
      <c r="M76" s="865">
        <f>IF((_xlfn.XLOOKUP(ClientNumber,Clients!D:D,Clients!DRC:DRC,2,0,1)&lt;2000),(_xlfn.XLOOKUP(MainClient,Clients!D:D,Clients!DRC:DRC,2,0,1)),2000)</f>
        <v/>
      </c>
      <c r="N76" s="37" t="inlineStr">
        <is>
          <t>Line 59050</t>
        </is>
      </c>
      <c r="O76" s="51">
        <f>IF(TransferName="NONE",0,(_xlfn.XLOOKUP(TransferNumber,Clients!D:D,Clients!DSH:DSH,2,0,1)))</f>
        <v/>
      </c>
      <c r="P76" s="37">
        <f>IF(AND(M76&gt;0,O76=0),"Pension Income Amount Can Be Transferred","No Action")</f>
        <v/>
      </c>
    </row>
    <row r="77" ht="15.75" customHeight="1" thickBot="1">
      <c r="B77" s="667" t="inlineStr">
        <is>
          <t>Disability Amount</t>
        </is>
      </c>
      <c r="D77" t="inlineStr">
        <is>
          <t>Line 58440</t>
        </is>
      </c>
      <c r="E77" s="861">
        <f>IF(_xlfn.XLOOKUP(ClientNumber,Clients!D:D,Clients!CQJ:CQJ,2,0,1)=0,13877,(_xlfn.XLOOKUP(MainClient,Clients!D:D,Clients!CQJ:CQJ,2,0,1)))</f>
        <v/>
      </c>
      <c r="F77" s="37" t="inlineStr">
        <is>
          <t>Line 59070</t>
        </is>
      </c>
      <c r="G77" s="51">
        <f>IF(TransferName="NONE",0,(_xlfn.XLOOKUP(TransferNumber,Clients!D:D,Clients!CRN:CRN,2,0,1)))</f>
        <v/>
      </c>
      <c r="H77" s="37">
        <f>IF(AND(E77&gt;0,G77=0),"DTC Transferable Not Claimed Can Be Transferred","No Action")</f>
        <v/>
      </c>
      <c r="J77" s="667" t="inlineStr">
        <is>
          <t>Disability Amount</t>
        </is>
      </c>
      <c r="L77" t="inlineStr">
        <is>
          <t>Line 58440</t>
        </is>
      </c>
      <c r="M77" s="865">
        <f>IF(_xlfn.XLOOKUP(ClientNumber,Clients!D:D,Clients!DRE:DRE,2,0,1)=0,13618,(_xlfn.XLOOKUP(MainClient,Clients!D:D,Clients!DRE:DRE,2,0,1)))</f>
        <v/>
      </c>
      <c r="N77" s="37" t="inlineStr">
        <is>
          <t>Line 59070</t>
        </is>
      </c>
      <c r="O77" s="51">
        <f>IF(TransferName="NONE",0,(_xlfn.XLOOKUP(TransferNumber,Clients!D:D,Clients!DSI:DSI,2,0,1)))</f>
        <v/>
      </c>
      <c r="P77" s="37">
        <f>IF(AND(M77&gt;0,O77=0),"DTC Transferable Not Claimed Can Be Transferred","No Action")</f>
        <v/>
      </c>
    </row>
    <row r="78" ht="15.75" customHeight="1" thickBot="1">
      <c r="B78" s="667" t="inlineStr">
        <is>
          <t>Tuition Amount</t>
        </is>
      </c>
      <c r="D78" t="inlineStr">
        <is>
          <t>Line 59200</t>
        </is>
      </c>
      <c r="E78" s="861">
        <f>(_xlfn.XLOOKUP(ClientNumber,Clients!D:D,Clients!CRY:CRY,2,0,1))</f>
        <v/>
      </c>
      <c r="F78" s="37" t="inlineStr">
        <is>
          <t>Line 59090</t>
        </is>
      </c>
      <c r="G78" s="51">
        <f>IF(TransferName="NONE",0,(_xlfn.XLOOKUP(TransferNumber,Clients!D:D,Clients!CRO:CRO,2,0,1)))</f>
        <v/>
      </c>
      <c r="H78" s="37">
        <f>IF(AND(E78&gt;0,G78=0),"Tuition Can Be Transferred","No Action")</f>
        <v/>
      </c>
      <c r="J78" s="667" t="inlineStr">
        <is>
          <t>Tuition Amount</t>
        </is>
      </c>
      <c r="L78" t="inlineStr">
        <is>
          <t>Line 59200</t>
        </is>
      </c>
      <c r="M78" s="865">
        <f>(_xlfn.XLOOKUP(MainClient,Clients!D:D,Clients!DST:DST,2,0,1))</f>
        <v/>
      </c>
      <c r="N78" s="37" t="inlineStr">
        <is>
          <t>Line 59090</t>
        </is>
      </c>
      <c r="O78" s="51">
        <f>IF(TransferName="NONE",0,(_xlfn.XLOOKUP(TransferNumber,Clients!D:D,Clients!DSJ:DSJ,2,0,1)))</f>
        <v/>
      </c>
      <c r="P78" s="37">
        <f>IF(AND(M78&gt;0,O78=0),"Tuition Can Be Transferred","No Action")</f>
        <v/>
      </c>
    </row>
    <row r="79">
      <c r="B79" s="667" t="n"/>
      <c r="E79" s="771">
        <f>SUM(E74:E78)</f>
        <v/>
      </c>
      <c r="F79" s="37" t="n"/>
      <c r="G79" s="667">
        <f>SUM(G74:G78)</f>
        <v/>
      </c>
      <c r="H79" s="37" t="n"/>
      <c r="J79" s="667" t="n"/>
      <c r="M79" s="872">
        <f>SUM(M74:M78)</f>
        <v/>
      </c>
      <c r="N79" s="37" t="n"/>
      <c r="O79" s="667">
        <f>SUM(O74:O78)</f>
        <v/>
      </c>
      <c r="P79" s="37" t="n"/>
    </row>
    <row r="80" ht="15.75" customHeight="1" thickBot="1">
      <c r="B80" s="34" t="n"/>
      <c r="F80" s="35" t="n"/>
      <c r="H80" s="35" t="n"/>
      <c r="J80" s="34" t="n"/>
      <c r="N80" s="35" t="n"/>
      <c r="P80" s="35" t="n"/>
    </row>
    <row r="81" ht="15.75" customHeight="1" thickBot="1">
      <c r="B81" s="667" t="inlineStr">
        <is>
          <t>Line 260</t>
        </is>
      </c>
      <c r="C81" s="36">
        <f>(_xlfn.XLOOKUP(MainClient,Clients!D:D,Clients!CHI:CHI,2,0,1))</f>
        <v/>
      </c>
      <c r="F81" s="35" t="n"/>
      <c r="G81" s="34">
        <f>IF(E104&gt;E77,"other transferable credits","DTC Only")</f>
        <v/>
      </c>
      <c r="H81" s="35" t="n"/>
      <c r="J81" s="667" t="inlineStr">
        <is>
          <t>Line 26000</t>
        </is>
      </c>
      <c r="K81" s="36">
        <f>(_xlfn.XLOOKUP(MainClient,Clients!D:D,Clients!DID:DID,2,0,1))</f>
        <v/>
      </c>
      <c r="N81" s="35" t="n"/>
      <c r="O81" s="34">
        <f>IF(M104&gt;M77,"other transferable credits","DTC Only")</f>
        <v/>
      </c>
      <c r="P81" s="35" t="n"/>
    </row>
    <row r="82" ht="15.75" customHeight="1" thickBot="1">
      <c r="B82" s="34" t="n"/>
      <c r="F82" s="35" t="n"/>
      <c r="G82" s="34" t="n"/>
      <c r="H82" s="35" t="n"/>
      <c r="J82" s="34" t="n"/>
      <c r="N82" s="35" t="n"/>
      <c r="O82" s="34" t="n"/>
      <c r="P82" s="35" t="n"/>
    </row>
    <row r="83" ht="15.75" customHeight="1" thickBot="1">
      <c r="B83" s="55" t="inlineStr">
        <is>
          <t>Line 58040</t>
        </is>
      </c>
      <c r="C83" s="36">
        <f>(_xlfn.XLOOKUP(ClientNumber,Clients!D:D,Clients!CPG:CPG,2,0,1))</f>
        <v/>
      </c>
      <c r="F83" s="35" t="n"/>
      <c r="G83" s="34" t="n"/>
      <c r="H83" s="35" t="n"/>
      <c r="J83" s="55" t="inlineStr">
        <is>
          <t>Line 58040</t>
        </is>
      </c>
      <c r="K83" s="36">
        <f>(_xlfn.XLOOKUP(MainClient,Clients!D:D,Clients!DQB:DQB,2,0,1))</f>
        <v/>
      </c>
      <c r="N83" s="35" t="n"/>
      <c r="O83" s="34" t="n"/>
      <c r="P83" s="35" t="n"/>
    </row>
    <row r="84" ht="15.75" customHeight="1" thickBot="1">
      <c r="B84" s="55" t="inlineStr">
        <is>
          <t>Line 58240</t>
        </is>
      </c>
      <c r="C84" s="36">
        <f>(_xlfn.XLOOKUP(ClientNumber,Clients!D:D,Clients!CHU:CHU,2,0,1))</f>
        <v/>
      </c>
      <c r="F84" s="35" t="n"/>
      <c r="G84" s="34" t="n"/>
      <c r="H84" s="35" t="n"/>
      <c r="J84" s="55" t="inlineStr">
        <is>
          <t>Line 58240</t>
        </is>
      </c>
      <c r="K84" s="36">
        <f>(_xlfn.XLOOKUP(MainClient,Clients!D:D,Clients!DQQ:DQQ,2,0,1))</f>
        <v/>
      </c>
      <c r="N84" s="35" t="n"/>
      <c r="O84" s="34" t="n"/>
      <c r="P84" s="35" t="n"/>
    </row>
    <row r="85" ht="15.75" customHeight="1" thickBot="1">
      <c r="B85" s="55" t="inlineStr">
        <is>
          <t>Line 58280</t>
        </is>
      </c>
      <c r="C85" s="36">
        <f>(_xlfn.XLOOKUP(ClientNumber,Clients!D:D,Clients!CHV:CHV,2,0,1))</f>
        <v/>
      </c>
      <c r="F85" s="35" t="n"/>
      <c r="G85" s="34" t="n"/>
      <c r="H85" s="35" t="n"/>
      <c r="J85" s="55" t="inlineStr">
        <is>
          <t>Line 58280</t>
        </is>
      </c>
      <c r="K85" s="36">
        <f>(_xlfn.XLOOKUP(MainClient,Clients!D:D,Clients!DQR:DQR,2,0,1))</f>
        <v/>
      </c>
      <c r="N85" s="35" t="n"/>
      <c r="P85" s="35" t="n"/>
    </row>
    <row r="86" ht="15.75" customHeight="1" thickBot="1">
      <c r="B86" s="55" t="inlineStr">
        <is>
          <t>Line 58300</t>
        </is>
      </c>
      <c r="C86" s="36">
        <f>(_xlfn.XLOOKUP(ClientNumber,Clients!D:D,Clients!CHW:CHW,2,0,1))</f>
        <v/>
      </c>
      <c r="F86" s="35" t="n"/>
      <c r="G86" s="34" t="n"/>
      <c r="H86" s="35" t="n"/>
      <c r="J86" s="55" t="inlineStr">
        <is>
          <t>Line 58300</t>
        </is>
      </c>
      <c r="K86" s="36">
        <f>(_xlfn.XLOOKUP(MainClient,Clients!D:D,Clients!DQS:DQS,2,0,1))</f>
        <v/>
      </c>
      <c r="N86" s="35" t="n"/>
      <c r="O86" s="34" t="n"/>
      <c r="P86" s="35" t="n"/>
    </row>
    <row r="87" ht="15.75" customHeight="1" thickBot="1">
      <c r="B87" s="55" t="inlineStr">
        <is>
          <t>Line 58305</t>
        </is>
      </c>
      <c r="C87" s="36">
        <f>(_xlfn.XLOOKUP(ClientNumber,Clients!D:D,Clients!CIA:CIA,2,0,1))</f>
        <v/>
      </c>
      <c r="F87" s="35" t="n"/>
      <c r="G87" s="34" t="n"/>
      <c r="H87" s="35" t="n"/>
      <c r="J87" s="55" t="inlineStr">
        <is>
          <t>Line 58305</t>
        </is>
      </c>
      <c r="K87" s="36">
        <f>(_xlfn.XLOOKUP(MainClient,Clients!D:D,Clients!DQT:DQT,2,0,1))</f>
        <v/>
      </c>
      <c r="N87" s="35" t="n"/>
      <c r="O87" s="34" t="n"/>
      <c r="P87" s="35" t="n"/>
    </row>
    <row r="88" ht="15.75" customHeight="1" thickBot="1">
      <c r="B88" s="55" t="inlineStr">
        <is>
          <t>Line 58560</t>
        </is>
      </c>
      <c r="C88" s="36">
        <f>(_xlfn.XLOOKUP(ClientNumber,Clients!D:D,Clients!CQN:CQN,2,0,1))</f>
        <v/>
      </c>
      <c r="F88" s="35" t="n"/>
      <c r="G88" s="34" t="n"/>
      <c r="H88" s="35" t="n"/>
      <c r="J88" s="55" t="inlineStr">
        <is>
          <t>Line 58560</t>
        </is>
      </c>
      <c r="K88" s="36">
        <f>(_xlfn.XLOOKUP(MainClient,Clients!D:D,Clients!DRI:DRI,2,0,1))</f>
        <v/>
      </c>
      <c r="N88" s="35" t="n"/>
      <c r="O88" s="34" t="n"/>
      <c r="P88" s="35" t="n"/>
    </row>
    <row r="89" ht="15.75" customHeight="1" thickBot="1">
      <c r="B89" s="55" t="n"/>
      <c r="C89" s="36" t="n"/>
      <c r="F89" s="35" t="n"/>
      <c r="G89" s="34" t="n"/>
      <c r="H89" s="35" t="n"/>
      <c r="J89" s="55" t="n"/>
      <c r="K89" s="36" t="n"/>
      <c r="N89" s="35" t="n"/>
      <c r="O89" s="34" t="n"/>
      <c r="P89" s="35" t="n"/>
    </row>
    <row r="90" ht="15.75" customHeight="1" thickBot="1">
      <c r="B90" s="55" t="n"/>
      <c r="C90" s="36" t="n"/>
      <c r="F90" s="35" t="n"/>
      <c r="G90" s="34" t="n"/>
      <c r="H90" s="35" t="n"/>
      <c r="J90" s="55" t="n"/>
      <c r="K90" s="36" t="n"/>
      <c r="N90" s="35" t="n"/>
      <c r="O90" s="34" t="n"/>
      <c r="P90" s="35" t="n"/>
    </row>
    <row r="91" ht="15.75" customHeight="1" thickBot="1">
      <c r="B91" s="55" t="n"/>
      <c r="C91" s="36" t="n"/>
      <c r="F91" s="35" t="n"/>
      <c r="G91" s="34" t="n"/>
      <c r="H91" s="35" t="n"/>
      <c r="J91" s="55" t="n"/>
      <c r="K91" s="36" t="n"/>
      <c r="N91" s="35" t="n"/>
      <c r="O91" s="34" t="n"/>
      <c r="P91" s="35" t="n"/>
    </row>
    <row r="92" ht="15.75" customHeight="1" thickBot="1">
      <c r="B92" s="55" t="n"/>
      <c r="C92" s="36" t="n"/>
      <c r="F92" s="35" t="n"/>
      <c r="G92" s="34" t="n"/>
      <c r="H92" s="35" t="n"/>
      <c r="J92" s="55" t="n"/>
      <c r="K92" s="36" t="n"/>
      <c r="N92" s="35" t="n"/>
      <c r="O92" s="34" t="n"/>
      <c r="P92" s="35" t="n"/>
    </row>
    <row r="93" ht="15.75" customHeight="1" thickBot="1">
      <c r="B93" s="55" t="n"/>
      <c r="C93" s="36" t="n"/>
      <c r="F93" s="35" t="n"/>
      <c r="G93" s="34" t="inlineStr">
        <is>
          <t>Line 326</t>
        </is>
      </c>
      <c r="H93" s="35">
        <f>IF(TransferName="NONE",0,(_xlfn.XLOOKUP(TransferNumber,Clients!D:D,Clients!CIH:CIH,2,0,1)))</f>
        <v/>
      </c>
      <c r="J93" s="55" t="n"/>
      <c r="K93" s="36" t="n"/>
      <c r="N93" s="35" t="n"/>
      <c r="O93" s="34" t="inlineStr">
        <is>
          <t>Line 326</t>
        </is>
      </c>
      <c r="P93" s="35">
        <f>IFERROR(_xlfn.XLOOKUP(TransferNumber,Clients!D:D,Clients!FJZ:FJZ,2,0,1),0)</f>
        <v/>
      </c>
    </row>
    <row r="94" ht="15.75" customHeight="1" thickBot="1">
      <c r="B94" s="38" t="n"/>
      <c r="C94" s="36" t="n"/>
      <c r="F94" s="35" t="n"/>
      <c r="G94" s="34" t="n"/>
      <c r="H94" s="35" t="n"/>
      <c r="J94" s="38" t="n"/>
      <c r="K94" s="36" t="n"/>
      <c r="N94" s="35" t="n"/>
      <c r="O94" s="34" t="n"/>
      <c r="P94" s="35" t="n"/>
    </row>
    <row r="95" ht="15.75" customHeight="1" thickBot="1">
      <c r="B95" s="38" t="n"/>
      <c r="C95" s="36" t="n"/>
      <c r="F95" s="35" t="n"/>
      <c r="G95" s="34" t="n"/>
      <c r="H95" s="35" t="n"/>
      <c r="J95" s="38" t="n"/>
      <c r="K95" s="36" t="n"/>
      <c r="N95" s="35" t="n"/>
      <c r="O95" s="34" t="n"/>
      <c r="P95" s="35" t="n"/>
    </row>
    <row r="96" ht="15.75" customHeight="1" thickBot="1">
      <c r="B96" s="38" t="n"/>
      <c r="C96" s="36" t="n"/>
      <c r="F96" s="35" t="n"/>
      <c r="G96" s="34" t="n"/>
      <c r="H96" s="35" t="n"/>
      <c r="J96" s="38" t="n"/>
      <c r="K96" s="36" t="n"/>
      <c r="N96" s="35" t="n"/>
      <c r="O96" s="34" t="n"/>
      <c r="P96" s="35" t="n"/>
    </row>
    <row r="97" ht="15.75" customHeight="1" thickBot="1">
      <c r="B97" s="38" t="n"/>
      <c r="C97" s="36" t="n"/>
      <c r="F97" s="35" t="n"/>
      <c r="G97" s="34" t="n"/>
      <c r="H97" s="35">
        <f>IF(E102&gt;0,E79-G79,0)</f>
        <v/>
      </c>
      <c r="J97" s="38" t="n"/>
      <c r="K97" s="36" t="n"/>
      <c r="N97" s="35" t="n"/>
      <c r="O97" s="34" t="n"/>
      <c r="P97" s="35">
        <f>IF(M102&gt;0,M79-O79,0)</f>
        <v/>
      </c>
    </row>
    <row r="98" ht="15.75" customHeight="1" thickBot="1">
      <c r="B98" s="38" t="n"/>
      <c r="C98" s="36" t="n"/>
      <c r="F98" s="35" t="n"/>
      <c r="H98" s="52">
        <f>IF(TransferName="NONE",F103,IF(H97&gt;0,(E102-G79)*0.04,0))</f>
        <v/>
      </c>
      <c r="J98" s="38" t="n"/>
      <c r="K98" s="36" t="n"/>
      <c r="N98" s="35" t="n"/>
      <c r="P98" s="52">
        <f>IF(TransferName="NONE",N103,IF(P97&gt;0,(M102-O79)*0.04,0))</f>
        <v/>
      </c>
    </row>
    <row r="99">
      <c r="B99" s="667" t="n"/>
      <c r="F99" s="35" t="n"/>
      <c r="G99" s="34" t="inlineStr">
        <is>
          <t>Transferable</t>
        </is>
      </c>
      <c r="H99" s="52">
        <f>IF(H98&gt;0,H98,0)</f>
        <v/>
      </c>
      <c r="J99" s="667" t="n"/>
      <c r="N99" s="35" t="n"/>
      <c r="O99" s="34" t="inlineStr">
        <is>
          <t>Transferable</t>
        </is>
      </c>
      <c r="P99" s="52">
        <f>IF(P98&gt;0,P98,0)</f>
        <v/>
      </c>
    </row>
    <row r="100">
      <c r="B100" s="667" t="inlineStr">
        <is>
          <t>Adjusted Taxable Income</t>
        </is>
      </c>
      <c r="C100">
        <f>C81-(SUM(C83:C98))</f>
        <v/>
      </c>
      <c r="D100" s="13" t="inlineStr">
        <is>
          <t>Line 5864</t>
        </is>
      </c>
      <c r="E100" s="39">
        <f>IF(C100&gt;0,C100,0)</f>
        <v/>
      </c>
      <c r="F100" s="35" t="n"/>
      <c r="G100" s="34" t="n"/>
      <c r="H100" s="35" t="n"/>
      <c r="J100" s="667" t="inlineStr">
        <is>
          <t>Adjusted Taxable Income</t>
        </is>
      </c>
      <c r="K100">
        <f>K81-(SUM(K83:K98))</f>
        <v/>
      </c>
      <c r="L100" s="13" t="inlineStr">
        <is>
          <t>Line 5864</t>
        </is>
      </c>
      <c r="M100" s="39">
        <f>IF(K100&gt;0,K100,0)</f>
        <v/>
      </c>
      <c r="N100" s="35" t="n"/>
      <c r="O100" s="34" t="n"/>
      <c r="P100" s="35" t="n"/>
    </row>
    <row r="101" ht="15.75" customHeight="1" thickBot="1">
      <c r="B101" s="34" t="n"/>
      <c r="F101" s="35" t="n"/>
      <c r="G101" s="34" t="n"/>
      <c r="H101" s="35" t="n"/>
      <c r="J101" s="34" t="n"/>
      <c r="N101" s="35" t="n"/>
      <c r="O101" s="34" t="n"/>
      <c r="P101" s="35" t="n"/>
    </row>
    <row r="102" ht="15.75" customHeight="1" thickBot="1">
      <c r="B102" s="34" t="n"/>
      <c r="D102" s="21" t="inlineStr">
        <is>
          <t>Prov Trans</t>
        </is>
      </c>
      <c r="E102" s="36">
        <f>(E79-E100)</f>
        <v/>
      </c>
      <c r="F102" s="40" t="n"/>
      <c r="G102" s="34" t="n"/>
      <c r="H102" s="52" t="n"/>
      <c r="J102" s="34" t="n"/>
      <c r="L102" s="21" t="inlineStr">
        <is>
          <t>Prov Trans</t>
        </is>
      </c>
      <c r="M102" s="36">
        <f>(M79-M100)</f>
        <v/>
      </c>
      <c r="N102" s="40" t="n"/>
      <c r="O102" s="34" t="n"/>
      <c r="P102" s="52" t="n"/>
    </row>
    <row r="103" ht="15.75" customHeight="1" thickBot="1">
      <c r="B103" s="34" t="n"/>
      <c r="C103" s="579" t="inlineStr">
        <is>
          <t>DTC Transferable ESTIMATE</t>
        </is>
      </c>
      <c r="D103" s="35" t="n"/>
      <c r="E103" s="36">
        <f>IF(E102&lt;0,0,(IF(E102&gt;E77,E77,E102)))</f>
        <v/>
      </c>
      <c r="F103" s="40">
        <f>IF(E103&gt;0,E103*0.04,"No Transfer Required")</f>
        <v/>
      </c>
      <c r="G103" s="678" t="n"/>
      <c r="H103" s="52" t="n"/>
      <c r="J103" s="34" t="n"/>
      <c r="K103" s="579" t="inlineStr">
        <is>
          <t>DTC Transferable ESTIMATE</t>
        </is>
      </c>
      <c r="L103" s="35" t="n"/>
      <c r="M103" s="36">
        <f>IF(M102&lt;0,0,(IF(M102&gt;M77,M77,M102)))</f>
        <v/>
      </c>
      <c r="N103" s="40">
        <f>IF(M103&gt;0,M103*0.04,"No Transfer Required")</f>
        <v/>
      </c>
      <c r="O103" s="58" t="n"/>
      <c r="P103" s="52" t="n"/>
    </row>
    <row r="104" ht="15.75" customHeight="1" thickBot="1">
      <c r="B104" s="42" t="n"/>
      <c r="C104" s="41" t="n"/>
      <c r="D104" s="43" t="inlineStr">
        <is>
          <t>Net Transferable</t>
        </is>
      </c>
      <c r="E104" s="36">
        <f>IF(E102&lt;0,0,(IF(E102-G74-G75-G76-G78&lt;0,E102,(E102-G74-G75-G76-G78))))</f>
        <v/>
      </c>
      <c r="F104" s="57">
        <f>IF(E104&gt;0,E104*0.04,"0")</f>
        <v/>
      </c>
      <c r="G104" s="42" t="n"/>
      <c r="H104" s="864" t="n"/>
      <c r="J104" s="42" t="n"/>
      <c r="K104" s="41" t="n"/>
      <c r="L104" s="43" t="inlineStr">
        <is>
          <t>Net Transferable</t>
        </is>
      </c>
      <c r="M104" s="36">
        <f>IF(M102&lt;0,0,(IF(M102-O74-O75-O76-O78&lt;0,M102,(M102-O74-O75-O76-O78))))</f>
        <v/>
      </c>
      <c r="N104" s="57">
        <f>IF(M104&gt;0,M104*0.04,"0")</f>
        <v/>
      </c>
      <c r="O104" s="59" t="n"/>
      <c r="P104" s="864" t="n"/>
    </row>
    <row r="106" ht="15.75" customHeight="1" thickBot="1">
      <c r="E106">
        <f>Calculator!$D$5</f>
        <v/>
      </c>
      <c r="H106">
        <f>TransferName</f>
        <v/>
      </c>
      <c r="M106">
        <f>Calculator!$D$5</f>
        <v/>
      </c>
      <c r="P106">
        <f>TransferName</f>
        <v/>
      </c>
    </row>
    <row r="107" ht="15.75" customHeight="1" thickBot="1">
      <c r="B107" s="879" t="inlineStr">
        <is>
          <t>2018 NUNAVUT Provincial</t>
        </is>
      </c>
      <c r="C107" s="778" t="n"/>
      <c r="D107" s="778" t="n"/>
      <c r="E107" s="778" t="n"/>
      <c r="F107" s="778" t="n"/>
      <c r="G107" s="778" t="n"/>
      <c r="H107" s="780" t="n"/>
      <c r="J107" s="879" t="inlineStr">
        <is>
          <t>2017 NUNAVUT Provincial</t>
        </is>
      </c>
      <c r="K107" s="778" t="n"/>
      <c r="L107" s="778" t="n"/>
      <c r="M107" s="778" t="n"/>
      <c r="N107" s="778" t="n"/>
      <c r="O107" s="778" t="n"/>
      <c r="P107" s="780" t="n"/>
    </row>
    <row r="108" ht="15.75" customHeight="1" thickBot="1">
      <c r="B108" s="34" t="n"/>
      <c r="D108" t="inlineStr">
        <is>
          <t>Line</t>
        </is>
      </c>
      <c r="E108" t="inlineStr">
        <is>
          <t>Amt</t>
        </is>
      </c>
      <c r="F108" s="35" t="n"/>
      <c r="G108" s="667" t="inlineStr">
        <is>
          <t>Spouse</t>
        </is>
      </c>
      <c r="H108" s="35" t="inlineStr">
        <is>
          <t>S2 Adjustment</t>
        </is>
      </c>
      <c r="J108" s="34" t="n"/>
      <c r="L108" t="inlineStr">
        <is>
          <t>Line</t>
        </is>
      </c>
      <c r="M108" t="inlineStr">
        <is>
          <t>Amt</t>
        </is>
      </c>
      <c r="N108" s="35" t="n"/>
      <c r="O108" s="34" t="inlineStr">
        <is>
          <t>Spouse</t>
        </is>
      </c>
      <c r="P108" s="35" t="inlineStr">
        <is>
          <t>S2 Adjustment</t>
        </is>
      </c>
    </row>
    <row r="109" ht="15.75" customHeight="1" thickBot="1">
      <c r="B109" s="706" t="inlineStr">
        <is>
          <t>Amount for young children less than 6 years of age</t>
        </is>
      </c>
      <c r="D109" s="35" t="inlineStr">
        <is>
          <t>Line 5823</t>
        </is>
      </c>
      <c r="E109" s="861">
        <f>(_xlfn.XLOOKUP(ClientNumber,Clients!D:D,Clients!ERM:ERM,2,0,1))</f>
        <v/>
      </c>
      <c r="F109" s="77" t="inlineStr">
        <is>
          <t>Line 5900</t>
        </is>
      </c>
      <c r="G109" s="51">
        <f>IF(TransferName="NONE",0,(_xlfn.XLOOKUP(TransferNumber,Clients!D:D,Clients!ESZ:ESZ,2,0,1)))</f>
        <v/>
      </c>
      <c r="H109" s="37">
        <f>IF(AND(E109&gt;0,G109=0),"Amount for young children less than 6 years of age","No Action")</f>
        <v/>
      </c>
      <c r="J109" s="706" t="inlineStr">
        <is>
          <t>Amount for young children less than 6 years of age</t>
        </is>
      </c>
      <c r="L109" s="35" t="inlineStr">
        <is>
          <t>Line 5823</t>
        </is>
      </c>
      <c r="M109" s="861">
        <f>(_xlfn.XLOOKUP(ClientNumber,Clients!D:D,Clients!FRO:FRO,2,0,1))</f>
        <v/>
      </c>
      <c r="N109" s="37" t="inlineStr">
        <is>
          <t>Line 5900</t>
        </is>
      </c>
      <c r="O109" s="51">
        <f>IF(TransferName="NONE",0,(_xlfn.XLOOKUP(TransferNumber,Clients!D:D,Clients!FTB:FTB,2,0,1)))</f>
        <v/>
      </c>
      <c r="P109" s="37">
        <f>IF(AND(M109&gt;0,O109=0),"Amount for young children less than 6 years of age","No Action")</f>
        <v/>
      </c>
    </row>
    <row r="110" ht="15.75" customHeight="1" thickBot="1">
      <c r="B110" s="667" t="inlineStr">
        <is>
          <t>Age Amount</t>
        </is>
      </c>
      <c r="D110" t="inlineStr">
        <is>
          <t>Line 5808</t>
        </is>
      </c>
      <c r="E110" s="861">
        <f>(_xlfn.XLOOKUP(ClientNumber,Clients!D:D,Clients!EQZ:EQZ,2,0,1))</f>
        <v/>
      </c>
      <c r="F110" s="37" t="inlineStr">
        <is>
          <t>Line 59020</t>
        </is>
      </c>
      <c r="G110" s="51">
        <f>IF(TransferName="NONE",0,(_xlfn.XLOOKUP(TransferNumber,Clients!D:D,Clients!ETB:ETB,2,0,1)))</f>
        <v/>
      </c>
      <c r="H110" s="37">
        <f>IF(AND(E110&gt;0,G110=0),"Age Amount Can Be Transferred","No Action")</f>
        <v/>
      </c>
      <c r="J110" s="667" t="inlineStr">
        <is>
          <t>Age Amount</t>
        </is>
      </c>
      <c r="L110" t="inlineStr">
        <is>
          <t>Line 5808</t>
        </is>
      </c>
      <c r="M110" s="865">
        <f>(_xlfn.XLOOKUP(ClientNumber,Clients!D:D,Clients!FRB:FRB,2,0,1))</f>
        <v/>
      </c>
      <c r="N110" s="45" t="inlineStr">
        <is>
          <t>Line 59020</t>
        </is>
      </c>
      <c r="O110" s="51">
        <f>IF(TransferName="NONE",0,(_xlfn.XLOOKUP(TransferNumber,Clients!D:D,Clients!FTD:FTD,2,0,1)))</f>
        <v/>
      </c>
      <c r="P110" s="37">
        <f>IF(AND(M110&gt;0,O110=0),"Age Amount Can Be Transferred","No Action")</f>
        <v/>
      </c>
    </row>
    <row r="111" ht="15.75" customHeight="1" thickBot="1">
      <c r="B111" s="667" t="inlineStr">
        <is>
          <t>Pension Income Amount</t>
        </is>
      </c>
      <c r="D111" t="inlineStr">
        <is>
          <t>Line 5836 (mx 2000)</t>
        </is>
      </c>
      <c r="E111" s="861">
        <f>IF((_xlfn.XLOOKUP(ClientNumber,Clients!D:D,Clients!ERZ:ERZ,2,0,1)&lt;2000),(_xlfn.XLOOKUP(MainClient,Clients!D:D,Clients!ERZ:ERZ,2,0,1)),2000)</f>
        <v/>
      </c>
      <c r="F111" s="37" t="inlineStr">
        <is>
          <t>Line 59050</t>
        </is>
      </c>
      <c r="G111" s="51">
        <f>IF(TransferName="NONE",0,(_xlfn.XLOOKUP(TransferNumber,Clients!D:D,Clients!ETE:ETE,2,0,1)))</f>
        <v/>
      </c>
      <c r="H111" s="37">
        <f>IF(AND(E111&gt;0,G111=0),"Pension Income Amount Can Be Transferred","No Action")</f>
        <v/>
      </c>
      <c r="J111" s="667" t="inlineStr">
        <is>
          <t>Pension Income Amount</t>
        </is>
      </c>
      <c r="L111" t="inlineStr">
        <is>
          <t>Line 5836 (mx 2000)</t>
        </is>
      </c>
      <c r="M111" s="865">
        <f>IF((_xlfn.XLOOKUP(ClientNumber,Clients!D:D,Clients!FSB:FSB,2,0,1)&lt;2000),(_xlfn.XLOOKUP(MainClient,Clients!D:D,Clients!FSB:FSB,2,0,1)),2000)</f>
        <v/>
      </c>
      <c r="N111" s="45" t="inlineStr">
        <is>
          <t>Line 59050</t>
        </is>
      </c>
      <c r="O111" s="51">
        <f>IF(TransferName="NONE",0,(_xlfn.XLOOKUP(TransferNumber,Clients!D:D,Clients!FTG:FTG,2,0,1)))</f>
        <v/>
      </c>
      <c r="P111" s="37">
        <f>IF(AND(M111&gt;0,O111=0),"Pension Income Amount Can Be Transferred","No Action")</f>
        <v/>
      </c>
    </row>
    <row r="112" ht="15.75" customHeight="1" thickBot="1">
      <c r="B112" s="667" t="inlineStr">
        <is>
          <t>Disability Amount</t>
        </is>
      </c>
      <c r="D112" t="inlineStr">
        <is>
          <t>Line 5844</t>
        </is>
      </c>
      <c r="E112" s="861">
        <f>IF(_xlfn.XLOOKUP(ClientNumber,Clients!D:D,Clients!ESB:ESB,2,0,1)=0,13325,(_xlfn.XLOOKUP(MainClient,Clients!D:D,Clients!ESB:ESB,2,0,1)))</f>
        <v/>
      </c>
      <c r="F112" s="37" t="inlineStr">
        <is>
          <t>Line 59070</t>
        </is>
      </c>
      <c r="G112" s="51">
        <f>IF(TransferName="NONE",0,(_xlfn.XLOOKUP(TransferNumber,Clients!D:D,Clients!ETF:ETF,2,0,1)))</f>
        <v/>
      </c>
      <c r="H112" s="37">
        <f>IF(AND(E112&gt;0,G112=0),"DTC Transferable Not Claimed Can Be Transferred","No Action")</f>
        <v/>
      </c>
      <c r="J112" s="667" t="inlineStr">
        <is>
          <t>Disability Amount</t>
        </is>
      </c>
      <c r="L112" t="inlineStr">
        <is>
          <t>Line 5844</t>
        </is>
      </c>
      <c r="M112" s="865">
        <f>IF(_xlfn.XLOOKUP(ClientNumber,Clients!D:D,Clients!FSD:FSD,2,0,1)=0,13128,(_xlfn.XLOOKUP(MainClient,Clients!D:D,Clients!FSD:FSD,2,0,1)))</f>
        <v/>
      </c>
      <c r="N112" s="45" t="inlineStr">
        <is>
          <t>Line 59070</t>
        </is>
      </c>
      <c r="O112" s="51">
        <f>IF(TransferName="NONE",0,(_xlfn.XLOOKUP(TransferNumber,Clients!D:D,Clients!FTH:FTH,2,0,1)))</f>
        <v/>
      </c>
      <c r="P112" s="37">
        <f>IF(AND(M112&gt;0,O112=0),"DTC Transferable Not Claimed Can Be Transferred","No Action")</f>
        <v/>
      </c>
    </row>
    <row r="113" ht="15.75" customHeight="1" thickBot="1">
      <c r="B113" s="667" t="inlineStr">
        <is>
          <t>Tuition Amount</t>
        </is>
      </c>
      <c r="D113" t="inlineStr">
        <is>
          <t>Line 5920</t>
        </is>
      </c>
      <c r="E113" s="861">
        <f>(_xlfn.XLOOKUP(ClientNumber,Clients!D:D,Clients!ETP:ETP,2,0,1))</f>
        <v/>
      </c>
      <c r="F113" s="37" t="inlineStr">
        <is>
          <t>Line 59090</t>
        </is>
      </c>
      <c r="G113" s="51">
        <f>IF(TransferName="NONE",0,(_xlfn.XLOOKUP(TransferNumber,Clients!D:D,Clients!ETG:ETG,2,0,1)))</f>
        <v/>
      </c>
      <c r="H113" s="37">
        <f>IF(AND(E113&gt;0,G113=0),"Tuition Can Be Transferred","No Action")</f>
        <v/>
      </c>
      <c r="J113" s="667" t="inlineStr">
        <is>
          <t>Tuition Amount</t>
        </is>
      </c>
      <c r="L113" t="inlineStr">
        <is>
          <t>Line 5920</t>
        </is>
      </c>
      <c r="M113" s="865">
        <f>(_xlfn.XLOOKUP(MainClient,Clients!D:D,Clients!FTR:FTR,2,0,1))</f>
        <v/>
      </c>
      <c r="N113" s="45" t="inlineStr">
        <is>
          <t>Line 59090</t>
        </is>
      </c>
      <c r="O113" s="51">
        <f>IF(TransferName="NONE",0,(_xlfn.XLOOKUP(TransferNumber,Clients!D:D,Clients!FTI:FTI,2,0,1)))</f>
        <v/>
      </c>
      <c r="P113" s="37">
        <f>IF(AND(M113&gt;0,O113=0),"Tuition Can Be Transferred","No Action")</f>
        <v/>
      </c>
    </row>
    <row r="114">
      <c r="B114" s="667" t="n"/>
      <c r="E114" s="771">
        <f>SUM(E109:E113)</f>
        <v/>
      </c>
      <c r="F114" s="37" t="n"/>
      <c r="G114" s="667">
        <f>SUM(G109:G113)</f>
        <v/>
      </c>
      <c r="H114" s="37" t="n"/>
      <c r="J114" s="667" t="n"/>
      <c r="M114" s="872">
        <f>SUM(M109:M113)</f>
        <v/>
      </c>
      <c r="N114" s="37" t="n"/>
      <c r="O114" s="667">
        <f>SUM(O109:O113)</f>
        <v/>
      </c>
      <c r="P114" s="37" t="n"/>
    </row>
    <row r="115" ht="15.75" customHeight="1" thickBot="1">
      <c r="B115" s="667" t="n"/>
      <c r="C115" s="668" t="n"/>
      <c r="E115" s="771" t="n"/>
      <c r="F115" s="37" t="n"/>
      <c r="G115" s="668" t="n"/>
      <c r="H115" s="37" t="n"/>
      <c r="J115" s="667" t="n"/>
      <c r="K115" s="668" t="n"/>
      <c r="M115" s="872" t="n"/>
      <c r="N115" s="37" t="n"/>
      <c r="O115" s="668" t="n"/>
      <c r="P115" s="37" t="n"/>
    </row>
    <row r="116" ht="15.75" customHeight="1" thickBot="1">
      <c r="B116" s="667" t="inlineStr">
        <is>
          <t>Line 260</t>
        </is>
      </c>
      <c r="C116" s="36">
        <f>(_xlfn.XLOOKUP(MainClient,Clients!D:D,Clients!EIY:EIY,2,0,1))</f>
        <v/>
      </c>
      <c r="F116" s="35" t="n"/>
      <c r="G116" s="34">
        <f>IF(E139&gt;E112,"other transferable credits","DTC Only")</f>
        <v/>
      </c>
      <c r="H116" s="35" t="n"/>
      <c r="J116" s="667" t="inlineStr">
        <is>
          <t>Line 260</t>
        </is>
      </c>
      <c r="K116" s="36">
        <f>(_xlfn.XLOOKUP(MainClient,Clients!D:D,Clients!FJA:FJA,2,0,1))</f>
        <v/>
      </c>
      <c r="N116" s="35" t="n"/>
      <c r="O116" s="34">
        <f>IF(M139&gt;M112,"other transferable credits","DTC Only")</f>
        <v/>
      </c>
      <c r="P116" s="35" t="n"/>
    </row>
    <row r="117" ht="15.75" customHeight="1" thickBot="1">
      <c r="B117" s="34" t="n"/>
      <c r="F117" s="35" t="n"/>
      <c r="G117" s="34" t="n"/>
      <c r="H117" s="35" t="n"/>
      <c r="J117" s="34" t="n"/>
      <c r="N117" s="35" t="n"/>
      <c r="O117" s="34" t="n"/>
      <c r="P117" s="35" t="n"/>
    </row>
    <row r="118" ht="15.75" customHeight="1" thickBot="1">
      <c r="B118" s="55" t="inlineStr">
        <is>
          <t>Line 5804</t>
        </is>
      </c>
      <c r="C118" s="36">
        <f>(_xlfn.XLOOKUP(ClientNumber,Clients!D:D,Clients!EQY:EQY,2,0,1))</f>
        <v/>
      </c>
      <c r="F118" s="35" t="n"/>
      <c r="G118" s="34" t="n"/>
      <c r="H118" s="35" t="n"/>
      <c r="J118" s="55" t="inlineStr">
        <is>
          <t>Line 5804</t>
        </is>
      </c>
      <c r="K118" s="36">
        <f>(_xlfn.XLOOKUP(MainClient,Clients!D:D,Clients!FRA:FRA,2,0,1))</f>
        <v/>
      </c>
      <c r="N118" s="35" t="n"/>
      <c r="O118" s="34" t="n"/>
      <c r="P118" s="35" t="n"/>
    </row>
    <row r="119" ht="15.75" customHeight="1" thickBot="1">
      <c r="B119" s="55" t="inlineStr">
        <is>
          <t>Line 5824</t>
        </is>
      </c>
      <c r="C119" s="36">
        <f>(_xlfn.XLOOKUP(ClientNumber,Clients!D:D,Clients!ERN:ERN,2,0,1))</f>
        <v/>
      </c>
      <c r="F119" s="35" t="n"/>
      <c r="G119" s="34" t="n"/>
      <c r="H119" s="35" t="n"/>
      <c r="J119" s="55" t="inlineStr">
        <is>
          <t>Line 5824</t>
        </is>
      </c>
      <c r="K119" s="36">
        <f>(_xlfn.XLOOKUP(MainClient,Clients!D:D,Clients!FRP:FRP,2,0,1))</f>
        <v/>
      </c>
      <c r="N119" s="35" t="n"/>
      <c r="O119" s="34" t="n"/>
      <c r="P119" s="35" t="n"/>
    </row>
    <row r="120" ht="15.75" customHeight="1" thickBot="1">
      <c r="B120" s="55" t="inlineStr">
        <is>
          <t>Line 5828</t>
        </is>
      </c>
      <c r="C120" s="36">
        <f>(_xlfn.XLOOKUP(ClientNumber,Clients!D:D,Clients!ERO:ERO,2,0,1))</f>
        <v/>
      </c>
      <c r="F120" s="35" t="n"/>
      <c r="G120" s="34" t="n"/>
      <c r="H120" s="35" t="n"/>
      <c r="J120" s="55" t="inlineStr">
        <is>
          <t>Line 5828</t>
        </is>
      </c>
      <c r="K120" s="36">
        <f>(_xlfn.XLOOKUP(MainClient,Clients!D:D,Clients!FRQ:FRQ,2,0,1))</f>
        <v/>
      </c>
      <c r="N120" s="35" t="n"/>
      <c r="P120" s="35" t="n"/>
    </row>
    <row r="121" ht="15.75" customHeight="1" thickBot="1">
      <c r="B121" s="55" t="inlineStr">
        <is>
          <t>Line 5832</t>
        </is>
      </c>
      <c r="C121" s="36">
        <f>(_xlfn.XLOOKUP(ClientNumber,Clients!D:D,Clients!ERP:ERP,2,0,1))</f>
        <v/>
      </c>
      <c r="F121" s="35" t="n"/>
      <c r="G121" s="34" t="n"/>
      <c r="H121" s="35" t="n"/>
      <c r="J121" s="55" t="inlineStr">
        <is>
          <t>Line 5832</t>
        </is>
      </c>
      <c r="K121" s="36">
        <f>(_xlfn.XLOOKUP(MainClient,Clients!D:D,Clients!FRR:FRR,2,0,1))</f>
        <v/>
      </c>
      <c r="N121" s="35" t="n"/>
      <c r="O121" s="34" t="n"/>
      <c r="P121" s="35" t="n"/>
    </row>
    <row r="122" ht="15.75" customHeight="1" thickBot="1">
      <c r="B122" s="55" t="inlineStr">
        <is>
          <t>Line 5829</t>
        </is>
      </c>
      <c r="C122" s="36">
        <f>(_xlfn.XLOOKUP(ClientNumber,Clients!D:D,Clients!ERQ:ERQ,2,0,1))</f>
        <v/>
      </c>
      <c r="F122" s="35" t="n"/>
      <c r="G122" s="34" t="n"/>
      <c r="H122" s="35" t="n"/>
      <c r="J122" s="55" t="inlineStr">
        <is>
          <t>Line 5829</t>
        </is>
      </c>
      <c r="K122" s="36">
        <f>(_xlfn.XLOOKUP(MainClient,Clients!D:D,Clients!FRS:FRS,2,0,1))</f>
        <v/>
      </c>
      <c r="N122" s="35" t="n"/>
      <c r="O122" s="34" t="n"/>
      <c r="P122" s="35" t="n"/>
    </row>
    <row r="123" ht="15.75" customHeight="1" thickBot="1">
      <c r="B123" s="55" t="inlineStr">
        <is>
          <t>Line 5856</t>
        </is>
      </c>
      <c r="C123" s="36">
        <f>(_xlfn.XLOOKUP(ClientNumber,Clients!D:D,Clients!ESF:ESF,2,0,1))</f>
        <v/>
      </c>
      <c r="F123" s="35" t="n"/>
      <c r="G123" s="34" t="n"/>
      <c r="H123" s="35" t="n"/>
      <c r="J123" s="55" t="inlineStr">
        <is>
          <t>Line 5856</t>
        </is>
      </c>
      <c r="K123" s="36">
        <f>(_xlfn.XLOOKUP(MainClient,Clients!D:D,Clients!FSH:FSH,2,0,1))</f>
        <v/>
      </c>
      <c r="N123" s="35" t="n"/>
      <c r="O123" s="34" t="n"/>
      <c r="P123" s="35" t="n"/>
    </row>
    <row r="124" ht="15.75" customHeight="1" thickBot="1">
      <c r="B124" s="55" t="n"/>
      <c r="C124" s="36" t="n"/>
      <c r="F124" s="35" t="n"/>
      <c r="G124" s="34" t="n"/>
      <c r="H124" s="35" t="n"/>
      <c r="J124" s="55" t="n"/>
      <c r="K124" s="36" t="n"/>
      <c r="N124" s="35" t="n"/>
      <c r="O124" s="34" t="n"/>
      <c r="P124" s="35" t="n"/>
    </row>
    <row r="125" ht="15.75" customHeight="1" thickBot="1">
      <c r="B125" s="55" t="n"/>
      <c r="C125" s="36" t="n"/>
      <c r="F125" s="35" t="n"/>
      <c r="G125" s="34" t="n"/>
      <c r="H125" s="35" t="n"/>
      <c r="J125" s="55" t="n"/>
      <c r="K125" s="36" t="n"/>
      <c r="N125" s="35" t="n"/>
      <c r="O125" s="34" t="n"/>
      <c r="P125" s="35" t="n"/>
    </row>
    <row r="126" ht="15.75" customHeight="1" thickBot="1">
      <c r="B126" s="55" t="n"/>
      <c r="C126" s="36" t="n"/>
      <c r="F126" s="35" t="n"/>
      <c r="G126" s="34" t="n"/>
      <c r="H126" s="35" t="n"/>
      <c r="J126" s="55" t="n"/>
      <c r="K126" s="36" t="n"/>
      <c r="N126" s="35" t="n"/>
      <c r="O126" s="34" t="n"/>
      <c r="P126" s="35" t="n"/>
    </row>
    <row r="127" ht="15.75" customHeight="1" thickBot="1">
      <c r="B127" s="55" t="n"/>
      <c r="C127" s="36" t="n"/>
      <c r="F127" s="35" t="n"/>
      <c r="G127" s="34" t="n"/>
      <c r="H127" s="35" t="n"/>
      <c r="J127" s="55" t="n"/>
      <c r="K127" s="36" t="n"/>
      <c r="N127" s="35" t="n"/>
      <c r="O127" s="34" t="n"/>
      <c r="P127" s="35" t="n"/>
    </row>
    <row r="128" ht="15.75" customHeight="1" thickBot="1">
      <c r="B128" s="55" t="n"/>
      <c r="C128" s="36" t="n"/>
      <c r="F128" s="35" t="n"/>
      <c r="G128" s="34" t="inlineStr">
        <is>
          <t>Line 326</t>
        </is>
      </c>
      <c r="H128" s="35">
        <f>IF(TransferName="NONE",0,(_xlfn.XLOOKUP(TransferNumber,Clients!D:D,Clients!EJX:EJX,2,0,1)))</f>
        <v/>
      </c>
      <c r="J128" s="55" t="n"/>
      <c r="K128" s="36" t="n"/>
      <c r="N128" s="35" t="n"/>
      <c r="O128" s="34" t="inlineStr">
        <is>
          <t>Line 326</t>
        </is>
      </c>
      <c r="P128" s="35">
        <f>IFERROR(_xlfn.XLOOKUP(TransferNumber,Clients!D:D,Clients!FJZ:FJZ,2,0,1),0)</f>
        <v/>
      </c>
    </row>
    <row r="129" ht="15.75" customHeight="1" thickBot="1">
      <c r="B129" s="38" t="n"/>
      <c r="C129" s="36" t="n"/>
      <c r="F129" s="35" t="n"/>
      <c r="G129" s="34" t="n"/>
      <c r="H129" s="35" t="n"/>
      <c r="J129" s="55" t="n"/>
      <c r="K129" s="36" t="n"/>
      <c r="N129" s="35" t="n"/>
      <c r="O129" s="34" t="n"/>
      <c r="P129" s="35" t="n"/>
    </row>
    <row r="130" ht="15.75" customHeight="1" thickBot="1">
      <c r="B130" s="38" t="n"/>
      <c r="C130" s="36" t="n"/>
      <c r="F130" s="35" t="n"/>
      <c r="G130" s="34" t="n"/>
      <c r="H130" s="35" t="n"/>
      <c r="J130" s="38" t="n"/>
      <c r="K130" s="36" t="n"/>
      <c r="N130" s="35" t="n"/>
      <c r="O130" s="34" t="n"/>
      <c r="P130" s="35" t="n"/>
    </row>
    <row r="131" ht="15.75" customHeight="1" thickBot="1">
      <c r="B131" s="38" t="n"/>
      <c r="C131" s="36" t="n"/>
      <c r="F131" s="35" t="n"/>
      <c r="G131" s="34" t="n"/>
      <c r="H131" s="35" t="n"/>
      <c r="J131" s="38" t="n"/>
      <c r="K131" s="36" t="n"/>
      <c r="N131" s="35" t="n"/>
      <c r="O131" s="34" t="n"/>
      <c r="P131" s="35" t="n"/>
    </row>
    <row r="132" ht="15.75" customHeight="1" thickBot="1">
      <c r="B132" s="38" t="n"/>
      <c r="C132" s="36" t="n"/>
      <c r="F132" s="35" t="n"/>
      <c r="G132" s="34" t="n"/>
      <c r="H132" s="35">
        <f>IF(E137&gt;0,E114-G114,0)</f>
        <v/>
      </c>
      <c r="J132" s="38" t="n"/>
      <c r="K132" s="36" t="n"/>
      <c r="N132" s="35" t="n"/>
      <c r="O132" s="34" t="n"/>
      <c r="P132" s="35">
        <f>IF(M137&gt;0,M114-O114,0)</f>
        <v/>
      </c>
    </row>
    <row r="133" ht="15.75" customHeight="1" thickBot="1">
      <c r="B133" s="38" t="n"/>
      <c r="C133" s="36" t="n"/>
      <c r="F133" s="35" t="n"/>
      <c r="H133" s="52">
        <f>IF(TransferName="NONE",F138,IF(H132&gt;0,(E137-G114)*0.04,0))</f>
        <v/>
      </c>
      <c r="J133" s="38" t="n"/>
      <c r="K133" s="36" t="n"/>
      <c r="N133" s="35" t="n"/>
      <c r="P133" s="52">
        <f>IF(TransferName="NONE",N138,IF(P132&gt;0,(M137-O114)*0.04,0))</f>
        <v/>
      </c>
    </row>
    <row r="134">
      <c r="B134" s="667" t="n"/>
      <c r="F134" s="35" t="n"/>
      <c r="G134" s="34" t="inlineStr">
        <is>
          <t>Transferable</t>
        </is>
      </c>
      <c r="H134" s="52">
        <f>IF(H133&gt;0,H133,0)</f>
        <v/>
      </c>
      <c r="J134" s="667" t="n"/>
      <c r="N134" s="35" t="n"/>
      <c r="O134" s="34" t="inlineStr">
        <is>
          <t>Transferable</t>
        </is>
      </c>
      <c r="P134" s="52">
        <f>IF(P133&gt;0,P133,0)</f>
        <v/>
      </c>
    </row>
    <row r="135">
      <c r="B135" s="667" t="inlineStr">
        <is>
          <t>Adjusted Taxable Income</t>
        </is>
      </c>
      <c r="C135">
        <f>C116-(SUM(C118:C133))</f>
        <v/>
      </c>
      <c r="D135" s="13" t="inlineStr">
        <is>
          <t>Line 5864</t>
        </is>
      </c>
      <c r="E135" s="39">
        <f>IF(C135&gt;0,C135,0)</f>
        <v/>
      </c>
      <c r="F135" s="35" t="n"/>
      <c r="G135" s="34" t="n"/>
      <c r="H135" s="35" t="n"/>
      <c r="J135" s="667" t="inlineStr">
        <is>
          <t>Adjusted Taxable Income</t>
        </is>
      </c>
      <c r="K135">
        <f>K116-(SUM(K118:K133))</f>
        <v/>
      </c>
      <c r="L135" s="13" t="inlineStr">
        <is>
          <t>Line 5864</t>
        </is>
      </c>
      <c r="M135" s="39">
        <f>IF(K135&gt;0,K135,0)</f>
        <v/>
      </c>
      <c r="N135" s="35" t="n"/>
      <c r="O135" s="34" t="n"/>
      <c r="P135" s="35" t="n"/>
    </row>
    <row r="136" ht="15.75" customHeight="1" thickBot="1">
      <c r="B136" s="34" t="n"/>
      <c r="F136" s="35" t="n"/>
      <c r="G136" s="34" t="n"/>
      <c r="H136" s="35" t="n"/>
      <c r="J136" s="34" t="n"/>
      <c r="N136" s="35" t="n"/>
      <c r="O136" s="34" t="n"/>
      <c r="P136" s="35" t="n"/>
    </row>
    <row r="137" ht="15.75" customHeight="1" thickBot="1">
      <c r="B137" s="34" t="n"/>
      <c r="D137" s="21" t="inlineStr">
        <is>
          <t>Prov Trans</t>
        </is>
      </c>
      <c r="E137" s="36">
        <f>(E114-E135)</f>
        <v/>
      </c>
      <c r="F137" s="40" t="n"/>
      <c r="G137" s="34" t="n"/>
      <c r="H137" s="52" t="n"/>
      <c r="J137" s="34" t="n"/>
      <c r="L137" s="21" t="inlineStr">
        <is>
          <t>Prov Trans</t>
        </is>
      </c>
      <c r="M137" s="36">
        <f>(M114-M135)</f>
        <v/>
      </c>
      <c r="N137" s="40" t="n"/>
      <c r="O137" s="34" t="n"/>
      <c r="P137" s="52" t="n"/>
    </row>
    <row r="138" ht="15.75" customHeight="1" thickBot="1">
      <c r="B138" s="34" t="n"/>
      <c r="C138" s="579" t="inlineStr">
        <is>
          <t>DTC Transferable ESTIMATE</t>
        </is>
      </c>
      <c r="D138" s="35" t="n"/>
      <c r="E138" s="36">
        <f>IF(E137&lt;0,0,(IF(E137&gt;E112,E112,E137)))</f>
        <v/>
      </c>
      <c r="F138" s="40">
        <f>IF(E138&gt;0,E138*0.04,"No Transfer Required")</f>
        <v/>
      </c>
      <c r="G138" s="678" t="n"/>
      <c r="H138" s="52" t="n"/>
      <c r="J138" s="34" t="n"/>
      <c r="K138" s="579" t="inlineStr">
        <is>
          <t>DTC Transferable ESTIMATE</t>
        </is>
      </c>
      <c r="L138" s="35" t="n"/>
      <c r="M138" s="36">
        <f>IF(M137&lt;0,0,(IF(M137&gt;M112,M112,M137)))</f>
        <v/>
      </c>
      <c r="N138" s="40">
        <f>IF(M138&gt;0,M138*0.04,"No Transfer Required")</f>
        <v/>
      </c>
      <c r="O138" s="58" t="n"/>
      <c r="P138" s="52" t="n"/>
    </row>
    <row r="139" ht="15.75" customHeight="1" thickBot="1">
      <c r="B139" s="42" t="n"/>
      <c r="C139" s="41" t="n"/>
      <c r="D139" s="43" t="inlineStr">
        <is>
          <t>Net Transferable</t>
        </is>
      </c>
      <c r="E139" s="36">
        <f>IF(E137&lt;0,0,(IF(E137-G109-G110-G111-G113&lt;0,E137,(E137-G109-G110-G111-G113))))</f>
        <v/>
      </c>
      <c r="F139" s="57">
        <f>IF(E139&gt;0,E139*0.04,"0")</f>
        <v/>
      </c>
      <c r="G139" s="42" t="n"/>
      <c r="H139" s="864" t="n"/>
      <c r="J139" s="42" t="n"/>
      <c r="K139" s="41" t="n"/>
      <c r="L139" s="43" t="inlineStr">
        <is>
          <t>Net Transferable</t>
        </is>
      </c>
      <c r="M139" s="36">
        <f>IF(M137&lt;0,0,(IF(M137-O109-O110-O111-O113&lt;0,M137,(M137-O109-O110-O111-O113))))</f>
        <v/>
      </c>
      <c r="N139" s="57">
        <f>IF(M139&gt;0,M139*0.04,"0")</f>
        <v/>
      </c>
      <c r="O139" s="59" t="n"/>
      <c r="P139" s="864" t="n"/>
    </row>
    <row r="141" ht="15.75" customHeight="1" thickBot="1">
      <c r="E141">
        <f>Calculator!$D$5</f>
        <v/>
      </c>
      <c r="H141">
        <f>TransferName</f>
        <v/>
      </c>
      <c r="M141">
        <f>Calculator!$D$5</f>
        <v/>
      </c>
      <c r="P141">
        <f>TransferName</f>
        <v/>
      </c>
    </row>
    <row r="142" ht="15.75" customHeight="1" thickBot="1">
      <c r="B142" s="879" t="inlineStr">
        <is>
          <t>2016 NUNAVUT Provincial</t>
        </is>
      </c>
      <c r="C142" s="778" t="n"/>
      <c r="D142" s="778" t="n"/>
      <c r="E142" s="778" t="n"/>
      <c r="F142" s="778" t="n"/>
      <c r="G142" s="778" t="n"/>
      <c r="H142" s="780" t="n"/>
      <c r="J142" s="879" t="inlineStr">
        <is>
          <t>2015 NUNAVUT Provincial</t>
        </is>
      </c>
      <c r="K142" s="778" t="n"/>
      <c r="L142" s="778" t="n"/>
      <c r="M142" s="778" t="n"/>
      <c r="N142" s="778" t="n"/>
      <c r="O142" s="778" t="n"/>
      <c r="P142" s="780" t="n"/>
    </row>
    <row r="143" ht="15.75" customHeight="1" thickBot="1">
      <c r="B143" s="34" t="n"/>
      <c r="D143" t="inlineStr">
        <is>
          <t>Line</t>
        </is>
      </c>
      <c r="E143" t="inlineStr">
        <is>
          <t>Amt</t>
        </is>
      </c>
      <c r="F143" s="35" t="n"/>
      <c r="G143" s="667" t="inlineStr">
        <is>
          <t>Spouse</t>
        </is>
      </c>
      <c r="H143" s="35" t="inlineStr">
        <is>
          <t>S2 Adjustment</t>
        </is>
      </c>
      <c r="J143" s="34" t="n"/>
      <c r="L143" t="inlineStr">
        <is>
          <t>Line</t>
        </is>
      </c>
      <c r="M143" t="inlineStr">
        <is>
          <t>Amt</t>
        </is>
      </c>
      <c r="N143" s="35" t="n"/>
      <c r="O143" s="34" t="inlineStr">
        <is>
          <t>Spouse</t>
        </is>
      </c>
      <c r="P143" s="35" t="inlineStr">
        <is>
          <t>S2 Adjustment</t>
        </is>
      </c>
    </row>
    <row r="144" ht="15.75" customHeight="1" thickBot="1">
      <c r="B144" s="706" t="inlineStr">
        <is>
          <t>Amount for young children less than 6 years of age</t>
        </is>
      </c>
      <c r="D144" s="35" t="inlineStr">
        <is>
          <t>Line 5823</t>
        </is>
      </c>
      <c r="E144" s="861">
        <f>(_xlfn.XLOOKUP(ClientNumber,Clients!D:D,Clients!GRQ:GRQ,2,0,1))</f>
        <v/>
      </c>
      <c r="F144" s="77" t="inlineStr">
        <is>
          <t>Line 5900</t>
        </is>
      </c>
      <c r="G144" s="51">
        <f>IF(TransferName="NONE",0,(_xlfn.XLOOKUP(TransferNumber,Clients!D:D,Clients!GTD:GTD,2,0,1)))</f>
        <v/>
      </c>
      <c r="H144" s="37">
        <f>IF(AND(E144&gt;0,G144=0),"Amount for young children less than 6 years of age","No Action")</f>
        <v/>
      </c>
      <c r="J144" s="706" t="inlineStr">
        <is>
          <t>Amount for young children less than 6 years of age</t>
        </is>
      </c>
      <c r="L144" s="35" t="inlineStr">
        <is>
          <t>Line 5823</t>
        </is>
      </c>
      <c r="M144" s="861">
        <f>(_xlfn.XLOOKUP(ClientNumber,Clients!D:D,Clients!HRS:HRS,2,0,1))</f>
        <v/>
      </c>
      <c r="N144" s="37" t="inlineStr">
        <is>
          <t>Line 5900</t>
        </is>
      </c>
      <c r="O144" s="51">
        <f>IF(TransferName="NONE",0,(_xlfn.XLOOKUP(TransferNumber,Clients!D:D,Clients!HTF:HTF,2,0,1)))</f>
        <v/>
      </c>
      <c r="P144" s="37">
        <f>IF(AND(M144&gt;0,O144=0),"Amount for young children less than 6 years of age","No Action")</f>
        <v/>
      </c>
    </row>
    <row r="145" ht="15.75" customHeight="1" thickBot="1">
      <c r="B145" s="667" t="inlineStr">
        <is>
          <t>Age Amount</t>
        </is>
      </c>
      <c r="D145" t="inlineStr">
        <is>
          <t>Line 5808</t>
        </is>
      </c>
      <c r="E145" s="861">
        <f>(_xlfn.XLOOKUP(ClientNumber,Clients!D:D,Clients!GRD:GRD,2,0,1))</f>
        <v/>
      </c>
      <c r="F145" s="37" t="inlineStr">
        <is>
          <t>Line 59020</t>
        </is>
      </c>
      <c r="G145" s="51">
        <f>IF(TransferName="NONE",0,(_xlfn.XLOOKUP(TransferNumber,Clients!D:D,Clients!GTF:GTF,2,0,1)))</f>
        <v/>
      </c>
      <c r="H145" s="37">
        <f>IF(AND(E145&gt;0,G145=0),"Age Amount Can Be Transferred","No Action")</f>
        <v/>
      </c>
      <c r="J145" s="667" t="inlineStr">
        <is>
          <t>Age Amount</t>
        </is>
      </c>
      <c r="L145" t="inlineStr">
        <is>
          <t>Line 5808</t>
        </is>
      </c>
      <c r="M145" s="865">
        <f>(_xlfn.XLOOKUP(MainClient,Clients!D:D,Clients!HRF:HRF,2,0,1))</f>
        <v/>
      </c>
      <c r="N145" s="45" t="inlineStr">
        <is>
          <t>Line 59020</t>
        </is>
      </c>
      <c r="O145" s="51">
        <f>IF(TransferName="NONE",0,(_xlfn.XLOOKUP(TransferNumber,Clients!D:D,Clients!HTH:HTH,2,0,1)))</f>
        <v/>
      </c>
      <c r="P145" s="37">
        <f>IF(AND(M145&gt;0,O145=0),"Age Amount Can Be Transferred","No Action")</f>
        <v/>
      </c>
    </row>
    <row r="146" ht="15.75" customHeight="1" thickBot="1">
      <c r="B146" s="667" t="inlineStr">
        <is>
          <t>Pension Income Amount</t>
        </is>
      </c>
      <c r="D146" t="inlineStr">
        <is>
          <t>Line 5836 (mx 2000)</t>
        </is>
      </c>
      <c r="E146" s="861">
        <f>IF((_xlfn.XLOOKUP(ClientNumber,Clients!D:D,Clients!GSD:GSD,2,0,1)&lt;2000),(_xlfn.XLOOKUP(MainClient,Clients!D:D,Clients!GSD:GSD,2,0,1)),2000)</f>
        <v/>
      </c>
      <c r="F146" s="37" t="inlineStr">
        <is>
          <t>Line 59050</t>
        </is>
      </c>
      <c r="G146" s="51">
        <f>IF(TransferName="NONE",0,(_xlfn.XLOOKUP(TransferNumber,Clients!D:D,Clients!GTI:GTI,2,0,1)))</f>
        <v/>
      </c>
      <c r="H146" s="37">
        <f>IF(AND(E146&gt;0,G146=0),"Pension Income Amount Can Be Transferred","No Action")</f>
        <v/>
      </c>
      <c r="J146" s="667" t="inlineStr">
        <is>
          <t>Pension Income Amount</t>
        </is>
      </c>
      <c r="L146" t="inlineStr">
        <is>
          <t>Line 5836 (mx 2000)</t>
        </is>
      </c>
      <c r="M146" s="865">
        <f>IF((_xlfn.XLOOKUP(ClientNumber,Clients!D:D,Clients!HSF:HSF,2,0,1)&lt;2000),(_xlfn.XLOOKUP(MainClient,Clients!D:D,Clients!HSF:HSF,2,0,1)),2000)</f>
        <v/>
      </c>
      <c r="N146" s="45" t="inlineStr">
        <is>
          <t>Line 59050</t>
        </is>
      </c>
      <c r="O146" s="51">
        <f>IF(TransferName="NONE",0,(_xlfn.XLOOKUP(TransferNumber,Clients!D:D,Clients!HTK:HTK,2,0,1)))</f>
        <v/>
      </c>
      <c r="P146" s="37">
        <f>IF(AND(M146&gt;0,O146=0),"Pension Income Amount Can Be Transferred","No Action")</f>
        <v/>
      </c>
    </row>
    <row r="147" ht="15.75" customHeight="1" thickBot="1">
      <c r="B147" s="667" t="inlineStr">
        <is>
          <t>Disability Amount</t>
        </is>
      </c>
      <c r="D147" t="inlineStr">
        <is>
          <t>Line 5844</t>
        </is>
      </c>
      <c r="E147" s="861">
        <f>IF(_xlfn.XLOOKUP(ClientNumber,Clients!D:D,Clients!GSF:GSF,2,0,1)=0,12947,(_xlfn.XLOOKUP(MainClient,Clients!D:D,Clients!GSF:GSF,2,0,1)))</f>
        <v/>
      </c>
      <c r="F147" s="37" t="inlineStr">
        <is>
          <t>Line 59070</t>
        </is>
      </c>
      <c r="G147" s="51">
        <f>IF(TransferName="NONE",0,(_xlfn.XLOOKUP(TransferNumber,Clients!D:D,Clients!GTJ:GTJ,2,0,1)))</f>
        <v/>
      </c>
      <c r="H147" s="37">
        <f>IF(AND(E147&gt;0,G147=0),"DTC Transferable Not Claimed Can Be Transferred","No Action")</f>
        <v/>
      </c>
      <c r="J147" s="667" t="inlineStr">
        <is>
          <t>Disability Amount</t>
        </is>
      </c>
      <c r="L147" t="inlineStr">
        <is>
          <t>Line 5844</t>
        </is>
      </c>
      <c r="M147" s="865">
        <f>IF(_xlfn.XLOOKUP(ClientNumber,Clients!D:D,Clients!HSH:HSH,2,0,1)=0,12781,(_xlfn.XLOOKUP(MainClient,Clients!D:D,Clients!HSH:HSH,2,0,1)))</f>
        <v/>
      </c>
      <c r="N147" s="45" t="inlineStr">
        <is>
          <t>Line 59070</t>
        </is>
      </c>
      <c r="O147" s="51">
        <f>IF(TransferName="NONE",0,(_xlfn.XLOOKUP(TransferNumber,Clients!D:D,Clients!HTL:HTL,2,0,1)))</f>
        <v/>
      </c>
      <c r="P147" s="37">
        <f>IF(AND(M147&gt;0,O147=0),"DTC Transferable Not Claimed Can Be Transferred","No Action")</f>
        <v/>
      </c>
    </row>
    <row r="148" ht="15.75" customHeight="1" thickBot="1">
      <c r="B148" s="667" t="inlineStr">
        <is>
          <t>Tuition Amount</t>
        </is>
      </c>
      <c r="D148" t="inlineStr">
        <is>
          <t>Line 5920</t>
        </is>
      </c>
      <c r="E148" s="861">
        <f>(_xlfn.XLOOKUP(ClientNumber,Clients!D:D,Clients!GTT:GTT,2,0,1))</f>
        <v/>
      </c>
      <c r="F148" s="37" t="inlineStr">
        <is>
          <t>Line 59090</t>
        </is>
      </c>
      <c r="G148" s="51">
        <f>IF(TransferName="NONE",0,(_xlfn.XLOOKUP(TransferNumber,Clients!D:D,Clients!GTK:GTK,2,0,1)))</f>
        <v/>
      </c>
      <c r="H148" s="37">
        <f>IF(AND(E148&gt;0,G148=0),"Tuition Can Be Transferred","No Action")</f>
        <v/>
      </c>
      <c r="J148" s="667" t="inlineStr">
        <is>
          <t>Tuition Amount</t>
        </is>
      </c>
      <c r="L148" t="inlineStr">
        <is>
          <t>Line 5920</t>
        </is>
      </c>
      <c r="M148" s="865">
        <f>(_xlfn.XLOOKUP(MainClient,Clients!D:D,Clients!HTV:HTV,2,0,1))</f>
        <v/>
      </c>
      <c r="N148" s="45" t="inlineStr">
        <is>
          <t>Line 59090</t>
        </is>
      </c>
      <c r="O148" s="51">
        <f>IF(TransferName="NONE",0,(_xlfn.XLOOKUP(TransferNumber,Clients!D:D,Clients!HTM:HTM,2,0,1)))</f>
        <v/>
      </c>
      <c r="P148" s="37">
        <f>IF(AND(M148&gt;0,O148=0),"Tuition Can Be Transferred","No Action")</f>
        <v/>
      </c>
    </row>
    <row r="149" ht="15.75" customHeight="1" thickBot="1">
      <c r="B149" s="667" t="n"/>
      <c r="E149" s="771">
        <f>SUM(E144:E148)</f>
        <v/>
      </c>
      <c r="F149" s="37" t="n"/>
      <c r="G149" s="667">
        <f>SUM(G144:G148)</f>
        <v/>
      </c>
      <c r="H149" s="37" t="n"/>
      <c r="J149" s="667" t="n"/>
      <c r="M149" s="872">
        <f>SUM(M144:M148)</f>
        <v/>
      </c>
      <c r="N149" s="37" t="n"/>
      <c r="O149" s="667">
        <f>SUM(O144:O148)</f>
        <v/>
      </c>
      <c r="P149" s="37" t="n"/>
    </row>
    <row r="150" ht="15.75" customHeight="1" thickBot="1">
      <c r="B150" s="667" t="inlineStr">
        <is>
          <t>Line 260</t>
        </is>
      </c>
      <c r="C150" s="36">
        <f>(_xlfn.XLOOKUP(MainClient,Clients!D:D,Clients!GJC:GJC,2,0,1))</f>
        <v/>
      </c>
      <c r="F150" s="35" t="n"/>
      <c r="G150" s="34">
        <f>IF(E173&gt;E147,"other transferable credits","DTC Only")</f>
        <v/>
      </c>
      <c r="H150" s="35" t="n"/>
      <c r="J150" s="667" t="inlineStr">
        <is>
          <t>Line 260</t>
        </is>
      </c>
      <c r="K150" s="36">
        <f>(_xlfn.XLOOKUP(MainClient,Clients!D:D,Clients!HJE:HJE,2,0,1))</f>
        <v/>
      </c>
      <c r="N150" s="35" t="n"/>
      <c r="O150" s="34">
        <f>IF(M173&gt;M147,"other transferable credits","DTC Only")</f>
        <v/>
      </c>
      <c r="P150" s="35" t="n"/>
    </row>
    <row r="151" ht="15.75" customHeight="1" thickBot="1">
      <c r="B151" s="34" t="n"/>
      <c r="F151" s="35" t="n"/>
      <c r="G151" s="34" t="n"/>
      <c r="H151" s="35" t="n"/>
      <c r="J151" s="34" t="n"/>
      <c r="N151" s="35" t="n"/>
      <c r="O151" s="34" t="n"/>
      <c r="P151" s="35" t="n"/>
    </row>
    <row r="152" ht="15" customHeight="1" thickBot="1">
      <c r="B152" s="55" t="inlineStr">
        <is>
          <t>Line 5804</t>
        </is>
      </c>
      <c r="C152" s="36">
        <f>(_xlfn.XLOOKUP(ClientNumber,Clients!D:D,Clients!GRC:GRC,2,0,1))</f>
        <v/>
      </c>
      <c r="F152" s="35" t="n"/>
      <c r="G152" s="34" t="n"/>
      <c r="H152" s="35" t="n"/>
      <c r="J152" s="55" t="inlineStr">
        <is>
          <t>Line 5804</t>
        </is>
      </c>
      <c r="K152" s="36">
        <f>(_xlfn.XLOOKUP(MainClient,Clients!D:D,Clients!HRE:HRE,2,0,1))</f>
        <v/>
      </c>
      <c r="N152" s="35" t="n"/>
      <c r="O152" s="34" t="n"/>
      <c r="P152" s="35" t="n"/>
    </row>
    <row r="153" ht="15.75" customHeight="1" thickBot="1">
      <c r="B153" s="55" t="inlineStr">
        <is>
          <t>Line 5824</t>
        </is>
      </c>
      <c r="C153" s="36">
        <f>(_xlfn.XLOOKUP(ClientNumber,Clients!D:D,Clients!GRR:GRR,2,0,1))</f>
        <v/>
      </c>
      <c r="F153" s="35" t="n"/>
      <c r="G153" s="34" t="n"/>
      <c r="H153" s="35" t="n"/>
      <c r="J153" s="55" t="inlineStr">
        <is>
          <t>Line 5824</t>
        </is>
      </c>
      <c r="K153" s="36">
        <f>(_xlfn.XLOOKUP(MainClient,Clients!D:D,Clients!HRT:HRT,2,0,1))</f>
        <v/>
      </c>
      <c r="N153" s="35" t="n"/>
      <c r="O153" s="34" t="n"/>
      <c r="P153" s="35" t="n"/>
    </row>
    <row r="154" ht="15.75" customHeight="1" thickBot="1">
      <c r="B154" s="55" t="inlineStr">
        <is>
          <t>Line 5828</t>
        </is>
      </c>
      <c r="C154" s="36">
        <f>(_xlfn.XLOOKUP(ClientNumber,Clients!D:D,Clients!GRS:GRS,2,0,1))</f>
        <v/>
      </c>
      <c r="F154" s="35" t="n"/>
      <c r="G154" s="34" t="n"/>
      <c r="H154" s="35" t="n"/>
      <c r="J154" s="55" t="inlineStr">
        <is>
          <t>Line 5828</t>
        </is>
      </c>
      <c r="K154" s="36">
        <f>(_xlfn.XLOOKUP(MainClient,Clients!D:D,Clients!HRU:HRU,2,0,1))</f>
        <v/>
      </c>
      <c r="N154" s="35" t="n"/>
      <c r="P154" s="35" t="n"/>
    </row>
    <row r="155" ht="15.75" customHeight="1" thickBot="1">
      <c r="B155" s="55" t="inlineStr">
        <is>
          <t>Line 5832</t>
        </is>
      </c>
      <c r="C155" s="36">
        <f>(_xlfn.XLOOKUP(ClientNumber,Clients!D:D,Clients!GRT:GRT,2,0,1))</f>
        <v/>
      </c>
      <c r="F155" s="35" t="n"/>
      <c r="G155" s="34" t="n"/>
      <c r="H155" s="35" t="n"/>
      <c r="J155" s="55" t="inlineStr">
        <is>
          <t>Line 5832</t>
        </is>
      </c>
      <c r="K155" s="36">
        <f>(_xlfn.XLOOKUP(MainClient,Clients!D:D,Clients!HRV:HRV,2,0,1))</f>
        <v/>
      </c>
      <c r="N155" s="35" t="n"/>
      <c r="O155" s="34" t="n"/>
      <c r="P155" s="35" t="n"/>
    </row>
    <row r="156" ht="15.75" customHeight="1" thickBot="1">
      <c r="B156" s="55" t="inlineStr">
        <is>
          <t>Line 5829</t>
        </is>
      </c>
      <c r="C156" s="36">
        <f>(_xlfn.XLOOKUP(ClientNumber,Clients!D:D,Clients!GRU:GRU,2,0,1))</f>
        <v/>
      </c>
      <c r="F156" s="35" t="n"/>
      <c r="G156" s="34" t="n"/>
      <c r="H156" s="35" t="n"/>
      <c r="J156" s="55" t="inlineStr">
        <is>
          <t>Line 5829</t>
        </is>
      </c>
      <c r="K156" s="36">
        <f>(_xlfn.XLOOKUP(MainClient,Clients!D:D,Clients!HRW:HRW,2,0,1))</f>
        <v/>
      </c>
      <c r="N156" s="35" t="n"/>
      <c r="O156" s="34" t="n"/>
      <c r="P156" s="35" t="n"/>
    </row>
    <row r="157" ht="15.75" customHeight="1" thickBot="1">
      <c r="B157" s="55" t="inlineStr">
        <is>
          <t>Line  5856</t>
        </is>
      </c>
      <c r="C157" s="36">
        <f>(_xlfn.XLOOKUP(ClientNumber,Clients!D:D,Clients!GSJ:GSJ,2,0,1))</f>
        <v/>
      </c>
      <c r="F157" s="35" t="n"/>
      <c r="G157" s="34" t="n"/>
      <c r="H157" s="35" t="n"/>
      <c r="J157" s="55" t="inlineStr">
        <is>
          <t>Line  5856</t>
        </is>
      </c>
      <c r="K157" s="36">
        <f>(_xlfn.XLOOKUP(MainClient,Clients!D:D,Clients!HSL:HSL,2,0,1))</f>
        <v/>
      </c>
      <c r="N157" s="35" t="n"/>
      <c r="O157" s="34" t="n"/>
      <c r="P157" s="35" t="n"/>
    </row>
    <row r="158" ht="15.75" customHeight="1" thickBot="1">
      <c r="B158" s="55" t="n"/>
      <c r="C158" s="36" t="n"/>
      <c r="F158" s="35" t="n"/>
      <c r="G158" s="34" t="n"/>
      <c r="H158" s="35" t="n"/>
      <c r="J158" s="55" t="n"/>
      <c r="K158" s="36" t="n"/>
      <c r="N158" s="35" t="n"/>
      <c r="O158" s="34" t="n"/>
      <c r="P158" s="35" t="n"/>
    </row>
    <row r="159" ht="15.75" customHeight="1" thickBot="1">
      <c r="B159" s="55" t="n"/>
      <c r="C159" s="36" t="n"/>
      <c r="F159" s="35" t="n"/>
      <c r="G159" s="34" t="n"/>
      <c r="H159" s="35" t="n"/>
      <c r="J159" s="55" t="n"/>
      <c r="K159" s="36" t="n"/>
      <c r="N159" s="35" t="n"/>
      <c r="O159" s="34" t="n"/>
      <c r="P159" s="35" t="n"/>
    </row>
    <row r="160" ht="15.75" customHeight="1" thickBot="1">
      <c r="B160" s="55" t="n"/>
      <c r="C160" s="36" t="n"/>
      <c r="F160" s="35" t="n"/>
      <c r="G160" s="34" t="n"/>
      <c r="H160" s="35" t="n"/>
      <c r="J160" s="55" t="n"/>
      <c r="K160" s="36" t="n"/>
      <c r="N160" s="35" t="n"/>
      <c r="O160" s="34" t="n"/>
      <c r="P160" s="35" t="n"/>
    </row>
    <row r="161" ht="15.75" customHeight="1" thickBot="1">
      <c r="B161" s="55" t="n"/>
      <c r="C161" s="36" t="n"/>
      <c r="F161" s="35" t="n"/>
      <c r="G161" s="34" t="n"/>
      <c r="H161" s="35" t="n"/>
      <c r="J161" s="55" t="n"/>
      <c r="K161" s="36" t="n"/>
      <c r="N161" s="35" t="n"/>
      <c r="O161" s="34" t="n"/>
      <c r="P161" s="35" t="n"/>
    </row>
    <row r="162" ht="15.75" customHeight="1" thickBot="1">
      <c r="B162" s="55" t="n"/>
      <c r="C162" s="36" t="n"/>
      <c r="F162" s="35" t="n"/>
      <c r="G162" s="34" t="inlineStr">
        <is>
          <t>Line 326</t>
        </is>
      </c>
      <c r="H162" s="35">
        <f>IF(TransferName="NONE",0,(_xlfn.XLOOKUP(TransferNumber,Clients!D:D,Clients!GKB:GKB,2,0,1)))</f>
        <v/>
      </c>
      <c r="J162" s="55" t="n"/>
      <c r="K162" s="36" t="n"/>
      <c r="N162" s="35" t="n"/>
      <c r="O162" s="34" t="inlineStr">
        <is>
          <t>Line 326</t>
        </is>
      </c>
      <c r="P162" s="35">
        <f>IFERROR(_xlfn.XLOOKUP(TransferNumber,Clients!D:D,Clients!FJZ:FJZ,2,0,1),0)</f>
        <v/>
      </c>
    </row>
    <row r="163" ht="15.75" customHeight="1" thickBot="1">
      <c r="B163" s="55" t="n"/>
      <c r="C163" s="36" t="n"/>
      <c r="F163" s="35" t="n"/>
      <c r="G163" s="34" t="n"/>
      <c r="H163" s="35" t="n"/>
      <c r="J163" s="38" t="n"/>
      <c r="K163" s="36" t="n"/>
      <c r="N163" s="35" t="n"/>
      <c r="O163" s="34" t="n"/>
      <c r="P163" s="35" t="n"/>
    </row>
    <row r="164" ht="15.75" customHeight="1" thickBot="1">
      <c r="B164" s="38" t="n"/>
      <c r="C164" s="36" t="n"/>
      <c r="F164" s="35" t="n"/>
      <c r="G164" s="34" t="n"/>
      <c r="H164" s="35" t="n"/>
      <c r="J164" s="38" t="n"/>
      <c r="K164" s="36" t="n"/>
      <c r="N164" s="35" t="n"/>
      <c r="O164" s="34" t="n"/>
      <c r="P164" s="35" t="n"/>
    </row>
    <row r="165" ht="15.75" customHeight="1" thickBot="1">
      <c r="B165" s="38" t="n"/>
      <c r="C165" s="36" t="n"/>
      <c r="F165" s="35" t="n"/>
      <c r="G165" s="34" t="n"/>
      <c r="H165" s="35" t="n"/>
      <c r="J165" s="38" t="n"/>
      <c r="K165" s="36" t="n"/>
      <c r="N165" s="35" t="n"/>
      <c r="O165" s="34" t="n"/>
      <c r="P165" s="35" t="n"/>
    </row>
    <row r="166" ht="15.75" customHeight="1" thickBot="1">
      <c r="B166" s="38" t="n"/>
      <c r="C166" s="36" t="n"/>
      <c r="F166" s="35" t="n"/>
      <c r="G166" s="34" t="n"/>
      <c r="H166" s="35">
        <f>IF(E171&gt;0,E149-G149,0)</f>
        <v/>
      </c>
      <c r="J166" s="38" t="n"/>
      <c r="K166" s="36" t="n"/>
      <c r="N166" s="35" t="n"/>
      <c r="O166" s="34" t="n"/>
      <c r="P166" s="35">
        <f>IF(M171&gt;0,M149-O149,0)</f>
        <v/>
      </c>
    </row>
    <row r="167" ht="15.75" customHeight="1" thickBot="1">
      <c r="B167" s="38" t="n"/>
      <c r="C167" s="36" t="n"/>
      <c r="F167" s="35" t="n"/>
      <c r="H167" s="65">
        <f>IF(TransferName="NONE",F172,IF(H166&gt;0,(E171-G149)*0.04,0))</f>
        <v/>
      </c>
      <c r="J167" s="38" t="n"/>
      <c r="K167" s="36" t="n"/>
      <c r="N167" s="35" t="n"/>
      <c r="P167" s="65">
        <f>IF(TransferName="NONE",N172,IF(P166&gt;0,(M171-O149)*0.04,0))</f>
        <v/>
      </c>
    </row>
    <row r="168">
      <c r="B168" s="667" t="n"/>
      <c r="F168" s="35" t="n"/>
      <c r="G168" s="34" t="inlineStr">
        <is>
          <t>Transferable</t>
        </is>
      </c>
      <c r="H168" s="65">
        <f>IF(H167&gt;0,H167,0)</f>
        <v/>
      </c>
      <c r="J168" s="667" t="n"/>
      <c r="N168" s="35" t="n"/>
      <c r="O168" s="34" t="inlineStr">
        <is>
          <t>Transferable</t>
        </is>
      </c>
      <c r="P168" s="65">
        <f>IF(P167&gt;0,P167,0)</f>
        <v/>
      </c>
    </row>
    <row r="169">
      <c r="B169" s="667" t="inlineStr">
        <is>
          <t>Adjusted Taxable Income</t>
        </is>
      </c>
      <c r="C169">
        <f>C150-(SUM(C152:C167))</f>
        <v/>
      </c>
      <c r="D169" s="13" t="inlineStr">
        <is>
          <t>Line 5864</t>
        </is>
      </c>
      <c r="E169" s="39">
        <f>IF(C169&gt;0,C169,0)</f>
        <v/>
      </c>
      <c r="F169" s="35" t="n"/>
      <c r="G169" s="34" t="n"/>
      <c r="H169" s="35" t="n"/>
      <c r="J169" s="667" t="inlineStr">
        <is>
          <t>Adjusted Taxable Income</t>
        </is>
      </c>
      <c r="K169">
        <f>K150-(SUM(K152:K167))</f>
        <v/>
      </c>
      <c r="L169" s="13" t="inlineStr">
        <is>
          <t>Line 5864</t>
        </is>
      </c>
      <c r="M169" s="39">
        <f>IF(K169&gt;0,K169,0)</f>
        <v/>
      </c>
      <c r="N169" s="35" t="n"/>
      <c r="O169" s="34" t="n"/>
      <c r="P169" s="35" t="n"/>
    </row>
    <row r="170" ht="15.75" customHeight="1" thickBot="1">
      <c r="B170" s="34" t="n"/>
      <c r="F170" s="35" t="n"/>
      <c r="G170" s="34" t="n"/>
      <c r="H170" s="35" t="n"/>
      <c r="J170" s="34" t="n"/>
      <c r="N170" s="35" t="n"/>
      <c r="O170" s="34" t="n"/>
      <c r="P170" s="35" t="n"/>
    </row>
    <row r="171" ht="15.75" customHeight="1" thickBot="1">
      <c r="B171" s="34" t="n"/>
      <c r="D171" s="21" t="inlineStr">
        <is>
          <t>Prov Trans</t>
        </is>
      </c>
      <c r="E171" s="36">
        <f>(E149-E169)</f>
        <v/>
      </c>
      <c r="F171" s="40" t="n"/>
      <c r="G171" s="34" t="n"/>
      <c r="H171" s="52" t="n"/>
      <c r="J171" s="34" t="n"/>
      <c r="L171" s="21" t="inlineStr">
        <is>
          <t>Prov Trans</t>
        </is>
      </c>
      <c r="M171" s="36">
        <f>(M149-M169)</f>
        <v/>
      </c>
      <c r="N171" s="40" t="n"/>
      <c r="O171" s="34" t="n"/>
      <c r="P171" s="52" t="n"/>
    </row>
    <row r="172" ht="15.75" customHeight="1" thickBot="1">
      <c r="B172" s="34" t="n"/>
      <c r="C172" s="579" t="inlineStr">
        <is>
          <t>DTC Transferable ESTIMATE</t>
        </is>
      </c>
      <c r="D172" s="35" t="n"/>
      <c r="E172" s="36">
        <f>IF(E171&lt;0,0,(IF(E171&gt;E147,E147,E171)))</f>
        <v/>
      </c>
      <c r="F172" s="40">
        <f>IF(E172&gt;0,E172*0.04,"No Transfer Required")</f>
        <v/>
      </c>
      <c r="G172" s="58" t="n"/>
      <c r="H172" s="52" t="n"/>
      <c r="J172" s="34" t="n"/>
      <c r="K172" s="579" t="inlineStr">
        <is>
          <t>DTC Transferable ESTIMATE</t>
        </is>
      </c>
      <c r="L172" s="35" t="n"/>
      <c r="M172" s="36">
        <f>IF(M171&lt;0,0,(IF(M171&gt;M147,M147,M171)))</f>
        <v/>
      </c>
      <c r="N172" s="40">
        <f>IF(M172&gt;0,M172*0.04,"No Transfer Required")</f>
        <v/>
      </c>
      <c r="O172" s="58" t="n"/>
      <c r="P172" s="52" t="n"/>
    </row>
    <row r="173" ht="15.75" customHeight="1" thickBot="1">
      <c r="B173" s="42" t="n"/>
      <c r="C173" s="41" t="n"/>
      <c r="D173" s="43" t="inlineStr">
        <is>
          <t>Net Transferable</t>
        </is>
      </c>
      <c r="E173" s="36">
        <f>IF(E171&lt;0,0,(IF(E171-G144-G145-G146-G148&lt;0,E171,(E171-G144-G145-G146-G148))))</f>
        <v/>
      </c>
      <c r="F173" s="57">
        <f>IF(E173&gt;0,E173*0.04,"0")</f>
        <v/>
      </c>
      <c r="G173" s="59" t="n"/>
      <c r="H173" s="864" t="n"/>
      <c r="J173" s="42" t="n"/>
      <c r="K173" s="41" t="n"/>
      <c r="L173" s="43" t="inlineStr">
        <is>
          <t>Net Transferable</t>
        </is>
      </c>
      <c r="M173" s="36">
        <f>IF(M171&lt;0,0,(IF(M171-O144-O145-O146-O148&lt;0,M171,(M171-O144-O145-O146-O148))))</f>
        <v/>
      </c>
      <c r="N173" s="57">
        <f>IF(M173&gt;0,M173*0.04,"0")</f>
        <v/>
      </c>
      <c r="O173" s="59" t="n"/>
      <c r="P173" s="864" t="n"/>
    </row>
    <row r="174">
      <c r="D174" s="60" t="n"/>
      <c r="F174" s="61" t="n"/>
      <c r="G174" s="449" t="n"/>
      <c r="H174" s="866" t="n"/>
      <c r="L174" s="60" t="n"/>
      <c r="N174" s="866" t="n"/>
      <c r="O174" s="64" t="n"/>
      <c r="P174" s="866" t="n"/>
    </row>
    <row r="175" ht="15.75" customHeight="1" thickBot="1">
      <c r="E175">
        <f>Calculator!$D$5</f>
        <v/>
      </c>
      <c r="H175">
        <f>TransferName</f>
        <v/>
      </c>
      <c r="M175">
        <f>Calculator!$D$5</f>
        <v/>
      </c>
      <c r="P175">
        <f>TransferName</f>
        <v/>
      </c>
    </row>
    <row r="176" ht="15.75" customHeight="1" thickBot="1">
      <c r="B176" s="879" t="inlineStr">
        <is>
          <t>2014 NUNAVUT Provincial</t>
        </is>
      </c>
      <c r="C176" s="778" t="n"/>
      <c r="D176" s="778" t="n"/>
      <c r="E176" s="778" t="n"/>
      <c r="F176" s="778" t="n"/>
      <c r="G176" s="778" t="n"/>
      <c r="H176" s="780" t="n"/>
      <c r="J176" s="879" t="inlineStr">
        <is>
          <t>2013 NUNAVUT Provincial</t>
        </is>
      </c>
      <c r="K176" s="778" t="n"/>
      <c r="L176" s="778" t="n"/>
      <c r="M176" s="778" t="n"/>
      <c r="N176" s="778" t="n"/>
      <c r="O176" s="778" t="n"/>
      <c r="P176" s="780" t="n"/>
    </row>
    <row r="177" ht="15.75" customHeight="1" thickBot="1">
      <c r="B177" s="34" t="n"/>
      <c r="D177" t="inlineStr">
        <is>
          <t>Line</t>
        </is>
      </c>
      <c r="E177" t="inlineStr">
        <is>
          <t>Amt</t>
        </is>
      </c>
      <c r="F177" s="35" t="n"/>
      <c r="G177" s="667" t="inlineStr">
        <is>
          <t>Spouse</t>
        </is>
      </c>
      <c r="H177" s="35" t="inlineStr">
        <is>
          <t>S2 Adjustment</t>
        </is>
      </c>
      <c r="J177" s="34" t="n"/>
      <c r="L177" t="inlineStr">
        <is>
          <t>Line</t>
        </is>
      </c>
      <c r="M177" t="inlineStr">
        <is>
          <t>Amt</t>
        </is>
      </c>
      <c r="N177" s="35" t="n"/>
      <c r="O177" s="34" t="inlineStr">
        <is>
          <t>Spouse</t>
        </is>
      </c>
      <c r="P177" s="35" t="inlineStr">
        <is>
          <t>S2 Adjustment</t>
        </is>
      </c>
    </row>
    <row r="178" ht="15.75" customHeight="1" thickBot="1">
      <c r="B178" s="706" t="inlineStr">
        <is>
          <t>Amount for young children less than 6 years of age</t>
        </is>
      </c>
      <c r="D178" s="35" t="inlineStr">
        <is>
          <t>Line 5823</t>
        </is>
      </c>
      <c r="E178" s="861">
        <f>(_xlfn.XLOOKUP(ClientNumber,Clients!D:D,Clients!IRU:IRU,2,0,1))</f>
        <v/>
      </c>
      <c r="F178" s="77" t="inlineStr">
        <is>
          <t>Line 5900</t>
        </is>
      </c>
      <c r="G178" s="51">
        <f>IF(TransferName="NONE",0,(_xlfn.XLOOKUP(TransferNumber,Clients!D:D,Clients!ITH:ITH,2,0,1)))</f>
        <v/>
      </c>
      <c r="H178" s="37">
        <f>IF(AND(E178&gt;0,G178=0),"Amount for young children less than 6 years of age","No Action")</f>
        <v/>
      </c>
      <c r="J178" s="706" t="inlineStr">
        <is>
          <t>Amount for young children less than 6 years of age</t>
        </is>
      </c>
      <c r="L178" s="35" t="inlineStr">
        <is>
          <t>Line 5823</t>
        </is>
      </c>
      <c r="M178" s="861">
        <f>(_xlfn.XLOOKUP(ClientNumber,Clients!D:D,Clients!JTJ:JTJ,2,0,1))</f>
        <v/>
      </c>
      <c r="N178" s="37" t="inlineStr">
        <is>
          <t>Line 5900</t>
        </is>
      </c>
      <c r="O178" s="51">
        <f>IF(TransferName="NONE",0,(_xlfn.XLOOKUP(TransferNumber,Clients!D:D,Clients!JTJ:JTJ,2,0,1)))</f>
        <v/>
      </c>
      <c r="P178" s="37">
        <f>IF(AND(M178&gt;0,O178=0),"Amount for young children less than 6 years of age","No Action")</f>
        <v/>
      </c>
    </row>
    <row r="179" ht="15.75" customHeight="1" thickBot="1">
      <c r="B179" s="667" t="inlineStr">
        <is>
          <t>Age Amount</t>
        </is>
      </c>
      <c r="D179" t="inlineStr">
        <is>
          <t>Line 5808</t>
        </is>
      </c>
      <c r="E179" s="861">
        <f>(_xlfn.XLOOKUP(ClientNumber,Clients!D:D,Clients!IRH:IRH,2,0,1))</f>
        <v/>
      </c>
      <c r="F179" s="37" t="inlineStr">
        <is>
          <t>Line 59020</t>
        </is>
      </c>
      <c r="G179" s="51">
        <f>IF(TransferName="NONE",0,(_xlfn.XLOOKUP(TransferNumber,Clients!D:D,Clients!ITJ:ITJ,2,0,1)))</f>
        <v/>
      </c>
      <c r="H179" s="37">
        <f>IF(AND(E179&gt;0,G179=0),"Age Amount Can Be Transferred","No Action")</f>
        <v/>
      </c>
      <c r="J179" s="667" t="inlineStr">
        <is>
          <t>Age Amount</t>
        </is>
      </c>
      <c r="L179" t="inlineStr">
        <is>
          <t>Line 5808</t>
        </is>
      </c>
      <c r="M179" s="865">
        <f>(_xlfn.XLOOKUP(MainClient,Clients!D:D,Clients!JRJ:JRJ,2,0,1))</f>
        <v/>
      </c>
      <c r="N179" s="45" t="inlineStr">
        <is>
          <t>Line 59020</t>
        </is>
      </c>
      <c r="O179" s="51">
        <f>IF(TransferName="NONE",0,(_xlfn.XLOOKUP(TransferNumber,Clients!D:D,Clients!JTL:JTL,2,0,1)))</f>
        <v/>
      </c>
      <c r="P179" s="37">
        <f>IF(AND(M179&gt;0,O179=0),"Age Amount Can Be Transferred","No Action")</f>
        <v/>
      </c>
    </row>
    <row r="180" ht="15.75" customHeight="1" thickBot="1">
      <c r="B180" s="667" t="inlineStr">
        <is>
          <t>Pension Income Amount</t>
        </is>
      </c>
      <c r="D180" t="inlineStr">
        <is>
          <t>Line 5836 (mx 2000)</t>
        </is>
      </c>
      <c r="E180" s="861">
        <f>IF((_xlfn.XLOOKUP(ClientNumber,Clients!D:D,Clients!ISH:ISH,2,0,1)&lt;2000),(_xlfn.XLOOKUP(MainClient,Clients!D:D,Clients!ISH:ISH,2,0,1)),2000)</f>
        <v/>
      </c>
      <c r="F180" s="37" t="inlineStr">
        <is>
          <t>Line 59050</t>
        </is>
      </c>
      <c r="G180" s="51">
        <f>IF(TransferName="NONE",0,(_xlfn.XLOOKUP(TransferNumber,Clients!D:D,Clients!ITM:ITM,2,0,1)))</f>
        <v/>
      </c>
      <c r="H180" s="37">
        <f>IF(AND(E180&gt;0,G180=0),"Pension Income Amount Can Be Transferred","No Action")</f>
        <v/>
      </c>
      <c r="J180" s="667" t="inlineStr">
        <is>
          <t>Pension Income Amount</t>
        </is>
      </c>
      <c r="L180" t="inlineStr">
        <is>
          <t>Line 5836 (mx 2000)</t>
        </is>
      </c>
      <c r="M180" s="865">
        <f>IF((_xlfn.XLOOKUP(ClientNumber,Clients!D:D,Clients!JSJ:JSJ,2,0,1)&lt;2000),(_xlfn.XLOOKUP(MainClient,Clients!D:D,Clients!JSJ:JSJ,2,0,1)),2000)</f>
        <v/>
      </c>
      <c r="N180" s="45" t="inlineStr">
        <is>
          <t>Line 59050</t>
        </is>
      </c>
      <c r="O180" s="51">
        <f>IF(TransferName="NONE",0,(_xlfn.XLOOKUP(TransferNumber,Clients!D:D,Clients!JTO:JTO,2,0,1)))</f>
        <v/>
      </c>
      <c r="P180" s="37">
        <f>IF(AND(M180&gt;0,O180=0),"Pension Income Amount Can Be Transferred","No Action")</f>
        <v/>
      </c>
    </row>
    <row r="181" ht="15.75" customHeight="1" thickBot="1">
      <c r="B181" s="667" t="inlineStr">
        <is>
          <t>Disability Amount</t>
        </is>
      </c>
      <c r="D181" t="inlineStr">
        <is>
          <t>Line 5844</t>
        </is>
      </c>
      <c r="E181" s="861">
        <f>IF(_xlfn.XLOOKUP(ClientNumber,Clients!D:D,Clients!ISJ:ISJ,2,0,1)=0,12567,(_xlfn.XLOOKUP(MainClient,Clients!D:D,Clients!ISJ:ISJ,2,0,1)))</f>
        <v/>
      </c>
      <c r="F181" s="37" t="inlineStr">
        <is>
          <t>Line 59070</t>
        </is>
      </c>
      <c r="G181" s="51">
        <f>IF(TransferName="NONE",0,(_xlfn.XLOOKUP(TransferNumber,Clients!D:D,Clients!ITN:ITN,2,0,1)))</f>
        <v/>
      </c>
      <c r="H181" s="37">
        <f>IF(AND(E181&gt;0,G181=0),"DTC Transferable Not Claimed Can Be Transferred","No Action")</f>
        <v/>
      </c>
      <c r="J181" s="667" t="inlineStr">
        <is>
          <t>Disability Amount</t>
        </is>
      </c>
      <c r="L181" t="inlineStr">
        <is>
          <t>Line 5844</t>
        </is>
      </c>
      <c r="M181" s="865">
        <f>IF(_xlfn.XLOOKUP(ClientNumber,Clients!D:D,Clients!JSL:JSL,2,0,1)=0,12455,(_xlfn.XLOOKUP(MainClient,Clients!D:D,Clients!JSL:JSL,2,0,1)))</f>
        <v/>
      </c>
      <c r="N181" s="45" t="inlineStr">
        <is>
          <t>Line 59070</t>
        </is>
      </c>
      <c r="O181" s="51">
        <f>IF(TransferName="NONE",0,(_xlfn.XLOOKUP(TransferNumber,Clients!D:D,Clients!JTP:JTP,2,0,1)))</f>
        <v/>
      </c>
      <c r="P181" s="37">
        <f>IF(AND(M181&gt;0,O181=0),"DTC Transferable Not Claimed Can Be Transferred","No Action")</f>
        <v/>
      </c>
    </row>
    <row r="182" ht="15.75" customHeight="1" thickBot="1">
      <c r="B182" s="667" t="inlineStr">
        <is>
          <t>Tuition Amount</t>
        </is>
      </c>
      <c r="D182" t="inlineStr">
        <is>
          <t>Line 5920</t>
        </is>
      </c>
      <c r="E182" s="861">
        <f>(_xlfn.XLOOKUP(ClientNumber,Clients!D:D,Clients!ITX:ITX,2,0,1))</f>
        <v/>
      </c>
      <c r="F182" s="37" t="inlineStr">
        <is>
          <t>Line 59090</t>
        </is>
      </c>
      <c r="G182" s="51">
        <f>IF(TransferName="NONE",0,(_xlfn.XLOOKUP(TransferNumber,Clients!D:D,Clients!ITO:ITO,2,0,1)))</f>
        <v/>
      </c>
      <c r="H182" s="37">
        <f>IF(AND(E182&gt;0,G182=0),"Tuition Can Be Transferred","No Action")</f>
        <v/>
      </c>
      <c r="J182" s="667" t="inlineStr">
        <is>
          <t>Tuition Amount</t>
        </is>
      </c>
      <c r="L182" t="inlineStr">
        <is>
          <t>Line 5920</t>
        </is>
      </c>
      <c r="M182" s="865">
        <f>(_xlfn.XLOOKUP(MainClient,Clients!D:D,Clients!JTZ:JTZ,2,0,1))</f>
        <v/>
      </c>
      <c r="N182" s="45" t="inlineStr">
        <is>
          <t>Line 59090</t>
        </is>
      </c>
      <c r="O182" s="51">
        <f>IF(TransferName="NONE",0,(_xlfn.XLOOKUP(TransferNumber,Clients!D:D,Clients!JTQ:JTQ,2,0,1)))</f>
        <v/>
      </c>
      <c r="P182" s="37">
        <f>IF(AND(M182&gt;0,O182=0),"Tuition Can Be Transferred","No Action")</f>
        <v/>
      </c>
    </row>
    <row r="183" ht="15.75" customHeight="1" thickBot="1">
      <c r="B183" s="667" t="n"/>
      <c r="E183" s="771">
        <f>SUM(E178:E182)</f>
        <v/>
      </c>
      <c r="F183" s="37" t="n"/>
      <c r="G183" s="667">
        <f>SUM(G178:G182)</f>
        <v/>
      </c>
      <c r="H183" s="37" t="n"/>
      <c r="J183" s="667" t="n"/>
      <c r="M183" s="872">
        <f>SUM(M178:M182)</f>
        <v/>
      </c>
      <c r="N183" s="37" t="n"/>
      <c r="O183" s="667">
        <f>SUM(O178:O182)</f>
        <v/>
      </c>
      <c r="P183" s="37" t="n"/>
    </row>
    <row r="184" ht="15.75" customHeight="1" thickBot="1">
      <c r="B184" s="667" t="inlineStr">
        <is>
          <t>Line 260</t>
        </is>
      </c>
      <c r="C184" s="36">
        <f>(_xlfn.XLOOKUP(MainClient,Clients!D:D,Clients!IJG:IJG,2,0,1))</f>
        <v/>
      </c>
      <c r="F184" s="35" t="n"/>
      <c r="G184" s="34">
        <f>IF(E207&gt;E181,"other transferable credits","DTC Only")</f>
        <v/>
      </c>
      <c r="H184" s="35" t="n"/>
      <c r="J184" s="667" t="inlineStr">
        <is>
          <t>Line 260</t>
        </is>
      </c>
      <c r="K184" s="36">
        <f>(_xlfn.XLOOKUP(MainClient,Clients!D:D,Clients!JJI:JJI,2,0,1))</f>
        <v/>
      </c>
      <c r="N184" s="35" t="n"/>
      <c r="O184" s="34">
        <f>IF(M207&gt;M181,"other transferable credits","DTC Only")</f>
        <v/>
      </c>
      <c r="P184" s="35" t="n"/>
    </row>
    <row r="185" ht="15.75" customHeight="1" thickBot="1">
      <c r="B185" s="34" t="n"/>
      <c r="F185" s="35" t="n"/>
      <c r="G185" s="34" t="n"/>
      <c r="H185" s="35" t="n"/>
      <c r="J185" s="34" t="n"/>
      <c r="N185" s="35" t="n"/>
      <c r="O185" s="34" t="n"/>
      <c r="P185" s="35" t="n"/>
    </row>
    <row r="186" ht="15.75" customHeight="1" thickBot="1">
      <c r="B186" s="55" t="inlineStr">
        <is>
          <t>Line 5804</t>
        </is>
      </c>
      <c r="C186" s="36">
        <f>(_xlfn.XLOOKUP(ClientNumber,Clients!D:D,Clients!IRG:IRG,2,0,1))</f>
        <v/>
      </c>
      <c r="F186" s="35" t="n"/>
      <c r="G186" s="34" t="n"/>
      <c r="H186" s="35" t="n"/>
      <c r="J186" s="55" t="inlineStr">
        <is>
          <t>Line 5804</t>
        </is>
      </c>
      <c r="K186" s="36">
        <f>(_xlfn.XLOOKUP(MainClient,Clients!D:D,Clients!JRI:JRI,2,0,1))</f>
        <v/>
      </c>
      <c r="N186" s="35" t="n"/>
      <c r="O186" s="34" t="n"/>
      <c r="P186" s="35" t="n"/>
    </row>
    <row r="187" ht="15.75" customHeight="1" thickBot="1">
      <c r="B187" s="55" t="inlineStr">
        <is>
          <t>Line 5824</t>
        </is>
      </c>
      <c r="C187" s="36">
        <f>(_xlfn.XLOOKUP(ClientNumber,Clients!D:D,Clients!IRV:IRV,2,0,1))</f>
        <v/>
      </c>
      <c r="F187" s="35" t="n"/>
      <c r="G187" s="34" t="n"/>
      <c r="H187" s="35" t="n"/>
      <c r="J187" s="55" t="inlineStr">
        <is>
          <t>Line 5824</t>
        </is>
      </c>
      <c r="K187" s="36">
        <f>(_xlfn.XLOOKUP(MainClient,Clients!D:D,Clients!JRX:JRX,2,0,1))</f>
        <v/>
      </c>
      <c r="N187" s="35" t="n"/>
      <c r="O187" s="34" t="n"/>
      <c r="P187" s="35" t="n"/>
    </row>
    <row r="188" ht="15.75" customHeight="1" thickBot="1">
      <c r="B188" s="55" t="inlineStr">
        <is>
          <t>Line 5828</t>
        </is>
      </c>
      <c r="C188" s="36">
        <f>(_xlfn.XLOOKUP(ClientNumber,Clients!D:D,Clients!IRW:IRW,2,0,1))</f>
        <v/>
      </c>
      <c r="F188" s="35" t="n"/>
      <c r="G188" s="34" t="n"/>
      <c r="H188" s="35" t="n"/>
      <c r="J188" s="55" t="inlineStr">
        <is>
          <t>Line 5828</t>
        </is>
      </c>
      <c r="K188" s="36">
        <f>(_xlfn.XLOOKUP(MainClient,Clients!D:D,Clients!JRY:JRY,2,0,1))</f>
        <v/>
      </c>
      <c r="N188" s="35" t="n"/>
      <c r="P188" s="35" t="n"/>
    </row>
    <row r="189" ht="15.75" customHeight="1" thickBot="1">
      <c r="B189" s="55" t="inlineStr">
        <is>
          <t>Line 5832</t>
        </is>
      </c>
      <c r="C189" s="36">
        <f>(_xlfn.XLOOKUP(ClientNumber,Clients!D:D,Clients!IRX:IRX,2,0,1))</f>
        <v/>
      </c>
      <c r="F189" s="35" t="n"/>
      <c r="G189" s="34" t="n"/>
      <c r="H189" s="35" t="n"/>
      <c r="J189" s="55" t="inlineStr">
        <is>
          <t>Line 5832</t>
        </is>
      </c>
      <c r="K189" s="36">
        <f>(_xlfn.XLOOKUP(MainClient,Clients!D:D,Clients!JRZ:JRZ,2,0,1))</f>
        <v/>
      </c>
      <c r="N189" s="35" t="n"/>
      <c r="O189" s="34" t="n"/>
      <c r="P189" s="35" t="n"/>
    </row>
    <row r="190" ht="15.75" customHeight="1" thickBot="1">
      <c r="B190" s="55" t="inlineStr">
        <is>
          <t>Line 5829</t>
        </is>
      </c>
      <c r="C190" s="36">
        <f>(_xlfn.XLOOKUP(ClientNumber,Clients!D:D,Clients!IRY:IRY,2,0,1))</f>
        <v/>
      </c>
      <c r="F190" s="35" t="n"/>
      <c r="G190" s="34" t="n"/>
      <c r="H190" s="35" t="n"/>
      <c r="J190" s="55" t="inlineStr">
        <is>
          <t>Line 5829</t>
        </is>
      </c>
      <c r="K190" s="36">
        <f>(_xlfn.XLOOKUP(MainClient,Clients!D:D,Clients!JSA:JSA,2,0,1))</f>
        <v/>
      </c>
      <c r="N190" s="35" t="n"/>
      <c r="O190" s="34" t="n"/>
      <c r="P190" s="35" t="n"/>
    </row>
    <row r="191" ht="15.75" customHeight="1" thickBot="1">
      <c r="B191" s="55" t="inlineStr">
        <is>
          <t>Line 5856</t>
        </is>
      </c>
      <c r="C191" s="36">
        <f>(_xlfn.XLOOKUP(ClientNumber,Clients!D:D,Clients!ISN:ISN,2,0,1))</f>
        <v/>
      </c>
      <c r="F191" s="35" t="n"/>
      <c r="G191" s="34" t="n"/>
      <c r="H191" s="35" t="n"/>
      <c r="J191" s="55" t="inlineStr">
        <is>
          <t>Line 5856</t>
        </is>
      </c>
      <c r="K191" s="36">
        <f>(_xlfn.XLOOKUP(MainClient,Clients!D:D,Clients!JSP:JSP,2,0,1))</f>
        <v/>
      </c>
      <c r="N191" s="35" t="n"/>
      <c r="O191" s="34" t="n"/>
      <c r="P191" s="35" t="n"/>
    </row>
    <row r="192" ht="15.75" customHeight="1" thickBot="1">
      <c r="B192" s="55" t="n"/>
      <c r="C192" s="36" t="n"/>
      <c r="F192" s="35" t="n"/>
      <c r="G192" s="34" t="n"/>
      <c r="H192" s="35" t="n"/>
      <c r="J192" s="55" t="n"/>
      <c r="K192" s="36" t="n"/>
      <c r="N192" s="35" t="n"/>
      <c r="O192" s="34" t="n"/>
      <c r="P192" s="35" t="n"/>
    </row>
    <row r="193" ht="15.75" customHeight="1" thickBot="1">
      <c r="B193" s="55" t="n"/>
      <c r="C193" s="36" t="n"/>
      <c r="F193" s="35" t="n"/>
      <c r="G193" s="34" t="n"/>
      <c r="H193" s="35" t="n"/>
      <c r="J193" s="55" t="n"/>
      <c r="K193" s="36" t="n"/>
      <c r="N193" s="35" t="n"/>
      <c r="O193" s="34" t="n"/>
      <c r="P193" s="35" t="n"/>
    </row>
    <row r="194" ht="15.75" customHeight="1" thickBot="1">
      <c r="A194" s="55" t="n"/>
      <c r="B194" s="55" t="n"/>
      <c r="C194" s="36" t="n"/>
      <c r="F194" s="35" t="n"/>
      <c r="G194" s="34" t="n"/>
      <c r="H194" s="35" t="n"/>
      <c r="J194" s="55" t="n"/>
      <c r="K194" s="36" t="n"/>
      <c r="N194" s="35" t="n"/>
      <c r="O194" s="34" t="n"/>
      <c r="P194" s="35" t="n"/>
    </row>
    <row r="195" ht="15.75" customHeight="1" thickBot="1">
      <c r="B195" s="68" t="n"/>
      <c r="C195" s="36" t="n"/>
      <c r="F195" s="35" t="n"/>
      <c r="G195" s="34" t="n"/>
      <c r="H195" s="35" t="n"/>
      <c r="J195" s="55" t="n"/>
      <c r="K195" s="36" t="n"/>
      <c r="N195" s="35" t="n"/>
      <c r="O195" s="34" t="n"/>
      <c r="P195" s="35" t="n"/>
    </row>
    <row r="196" ht="15.75" customHeight="1" thickBot="1">
      <c r="B196" s="38" t="n"/>
      <c r="C196" s="36" t="n"/>
      <c r="F196" s="35" t="n"/>
      <c r="G196" s="34" t="inlineStr">
        <is>
          <t>Line 326</t>
        </is>
      </c>
      <c r="H196" s="35">
        <f>IF(TransferName="NONE",0,(_xlfn.XLOOKUP(TransferNumber,Clients!D:D,Clients!IKF:IKF,2,0,1)))</f>
        <v/>
      </c>
      <c r="J196" s="38" t="n"/>
      <c r="K196" s="36" t="n"/>
      <c r="N196" s="35" t="n"/>
      <c r="O196" s="34" t="inlineStr">
        <is>
          <t>Line 326</t>
        </is>
      </c>
      <c r="P196" s="35">
        <f>IFERROR(_xlfn.XLOOKUP(TransferNumber,Clients!D:D,Clients!JKH:JKH,2,0,1),0)</f>
        <v/>
      </c>
    </row>
    <row r="197" ht="15.75" customHeight="1" thickBot="1">
      <c r="B197" s="38" t="n"/>
      <c r="C197" s="36" t="n"/>
      <c r="F197" s="35" t="n"/>
      <c r="G197" s="34" t="n"/>
      <c r="H197" s="35" t="n"/>
      <c r="J197" s="68" t="n"/>
      <c r="K197" s="36" t="n"/>
      <c r="N197" s="35" t="n"/>
      <c r="O197" s="34" t="n"/>
      <c r="P197" s="35" t="n"/>
    </row>
    <row r="198" ht="15.75" customHeight="1" thickBot="1">
      <c r="B198" s="38" t="n"/>
      <c r="C198" s="36" t="n"/>
      <c r="F198" s="35" t="n"/>
      <c r="G198" s="34" t="n"/>
      <c r="H198" s="35" t="n"/>
      <c r="J198" s="38" t="n"/>
      <c r="K198" s="36" t="n"/>
      <c r="N198" s="35" t="n"/>
      <c r="O198" s="34" t="n"/>
      <c r="P198" s="35" t="n"/>
    </row>
    <row r="199" ht="15.75" customHeight="1" thickBot="1">
      <c r="B199" s="38" t="n"/>
      <c r="C199" s="36" t="n"/>
      <c r="F199" s="35" t="n"/>
      <c r="G199" s="34" t="n"/>
      <c r="H199" s="35" t="n"/>
      <c r="J199" s="38" t="n"/>
      <c r="K199" s="36" t="n"/>
      <c r="N199" s="35" t="n"/>
      <c r="O199" s="34" t="n"/>
      <c r="P199" s="35" t="n"/>
    </row>
    <row r="200" ht="15.75" customHeight="1" thickBot="1">
      <c r="B200" s="38" t="n"/>
      <c r="C200" s="36" t="n"/>
      <c r="F200" s="35" t="n"/>
      <c r="G200" s="34" t="n"/>
      <c r="H200" s="35">
        <f>IF(E205&gt;0,E183-G183,0)</f>
        <v/>
      </c>
      <c r="J200" s="38" t="n"/>
      <c r="K200" s="36" t="n"/>
      <c r="N200" s="35" t="n"/>
      <c r="O200" s="34" t="n"/>
      <c r="P200" s="35">
        <f>IF(M205&gt;0,M183-O183,0)</f>
        <v/>
      </c>
    </row>
    <row r="201" ht="15.75" customHeight="1" thickBot="1">
      <c r="B201" s="38" t="n"/>
      <c r="C201" s="36" t="n"/>
      <c r="F201" s="35" t="n"/>
      <c r="H201" s="52">
        <f>IF(TransferName="NONE",F206,IF(H200&gt;0,(E205-G183)*0.04,0))</f>
        <v/>
      </c>
      <c r="J201" s="38" t="n"/>
      <c r="K201" s="36" t="n"/>
      <c r="N201" s="35" t="n"/>
      <c r="P201" s="52">
        <f>IF(TransferName="NONE",N206,IF(P200&gt;0,(M205-O183)*0.04,0))</f>
        <v/>
      </c>
    </row>
    <row r="202">
      <c r="B202" s="667" t="n"/>
      <c r="F202" s="35" t="n"/>
      <c r="G202" s="34" t="inlineStr">
        <is>
          <t>Transferable</t>
        </is>
      </c>
      <c r="H202" s="52">
        <f>IF(H201&gt;0,H201,0)</f>
        <v/>
      </c>
      <c r="J202" s="667" t="n"/>
      <c r="N202" s="35" t="n"/>
      <c r="O202" s="34" t="inlineStr">
        <is>
          <t>Transferable</t>
        </is>
      </c>
      <c r="P202" s="52">
        <f>IF(P201&gt;0,P201,0)</f>
        <v/>
      </c>
    </row>
    <row r="203">
      <c r="B203" s="667" t="inlineStr">
        <is>
          <t>Adjusted Taxable Income</t>
        </is>
      </c>
      <c r="C203">
        <f>C184-(SUM(C186:C201))</f>
        <v/>
      </c>
      <c r="D203" s="13" t="inlineStr">
        <is>
          <t>Line 5864</t>
        </is>
      </c>
      <c r="E203" s="39">
        <f>IF(C203&gt;0,C203,0)</f>
        <v/>
      </c>
      <c r="F203" s="35" t="n"/>
      <c r="G203" s="34" t="n"/>
      <c r="H203" s="35" t="n"/>
      <c r="J203" s="667" t="inlineStr">
        <is>
          <t>Adjusted Taxable Income</t>
        </is>
      </c>
      <c r="K203">
        <f>K184-(SUM(K186:K201))</f>
        <v/>
      </c>
      <c r="L203" s="13" t="inlineStr">
        <is>
          <t>Line 5864</t>
        </is>
      </c>
      <c r="M203" s="39">
        <f>IF(K203&gt;0,K203,0)</f>
        <v/>
      </c>
      <c r="N203" s="35" t="n"/>
      <c r="O203" s="34" t="n"/>
      <c r="P203" s="35" t="n"/>
    </row>
    <row r="204" ht="15.75" customHeight="1" thickBot="1">
      <c r="B204" s="34" t="n"/>
      <c r="F204" s="35" t="n"/>
      <c r="G204" s="34" t="n"/>
      <c r="H204" s="35" t="n"/>
      <c r="J204" s="34" t="n"/>
      <c r="N204" s="35" t="n"/>
      <c r="O204" s="34" t="n"/>
      <c r="P204" s="35" t="n"/>
    </row>
    <row r="205" ht="15.75" customHeight="1" thickBot="1">
      <c r="B205" s="34" t="n"/>
      <c r="D205" s="21" t="inlineStr">
        <is>
          <t>Prov Trans</t>
        </is>
      </c>
      <c r="E205" s="36">
        <f>(E183-E203)</f>
        <v/>
      </c>
      <c r="F205" s="40" t="n"/>
      <c r="G205" s="34" t="n"/>
      <c r="H205" s="52" t="n"/>
      <c r="J205" s="34" t="n"/>
      <c r="L205" s="21" t="inlineStr">
        <is>
          <t>Prov Trans</t>
        </is>
      </c>
      <c r="M205" s="36">
        <f>(M183-M203)</f>
        <v/>
      </c>
      <c r="N205" s="40" t="n"/>
      <c r="O205" s="34" t="n"/>
      <c r="P205" s="52" t="n"/>
    </row>
    <row r="206" ht="15.75" customHeight="1" thickBot="1">
      <c r="B206" s="34" t="n"/>
      <c r="C206" s="579" t="inlineStr">
        <is>
          <t>DTC Transferable ESTIMATE</t>
        </is>
      </c>
      <c r="D206" s="35" t="n"/>
      <c r="E206" s="36">
        <f>IF(E205&lt;0,0,(IF(E205&gt;E181,E181,E205)))</f>
        <v/>
      </c>
      <c r="F206" s="40">
        <f>IF(E206&gt;0,E206*0.04,"No Transfer Required")</f>
        <v/>
      </c>
      <c r="G206" s="58" t="n"/>
      <c r="H206" s="52" t="n"/>
      <c r="J206" s="34" t="n"/>
      <c r="K206" s="579" t="inlineStr">
        <is>
          <t>DTC Transferable ESTIMATE</t>
        </is>
      </c>
      <c r="L206" s="35" t="n"/>
      <c r="M206" s="36">
        <f>IF(M205&lt;0,0,(IF(M205&gt;M181,M181,M205)))</f>
        <v/>
      </c>
      <c r="N206" s="40">
        <f>IF(M206&gt;0,M206*0.04,"No Transfer Required")</f>
        <v/>
      </c>
      <c r="O206" s="58" t="n"/>
      <c r="P206" s="52" t="n"/>
    </row>
    <row r="207" ht="15.75" customHeight="1" thickBot="1">
      <c r="B207" s="42" t="n"/>
      <c r="C207" s="41" t="n"/>
      <c r="D207" s="43" t="inlineStr">
        <is>
          <t>Net Transferable</t>
        </is>
      </c>
      <c r="E207" s="36">
        <f>IF(E205&lt;0,0,(IF(E205-G178-G179-G180-G182&lt;0,E205,(E205-G178-G179-G180-G182))))</f>
        <v/>
      </c>
      <c r="F207" s="57">
        <f>IF(E207&gt;0,E207*0.04,"0")</f>
        <v/>
      </c>
      <c r="G207" s="59" t="n"/>
      <c r="H207" s="864" t="n"/>
      <c r="J207" s="42" t="n"/>
      <c r="K207" s="41" t="n"/>
      <c r="L207" s="43" t="inlineStr">
        <is>
          <t>Net Transferable</t>
        </is>
      </c>
      <c r="M207" s="36">
        <f>IF(M205&lt;0,0,(IF(M205-O178-O179-O180-O182&lt;0,M205,(M205-O178-O179-O180-O182))))</f>
        <v/>
      </c>
      <c r="N207" s="57">
        <f>IF(M207&gt;0,M207*0.04,"0")</f>
        <v/>
      </c>
      <c r="O207" s="59" t="n"/>
      <c r="P207" s="864" t="n"/>
    </row>
    <row r="208">
      <c r="D208" s="60" t="n"/>
      <c r="F208" s="61" t="n"/>
      <c r="G208" s="449" t="n"/>
      <c r="H208" s="866" t="n"/>
      <c r="L208" s="60" t="n"/>
      <c r="N208" s="866" t="n"/>
      <c r="O208" s="64" t="n"/>
      <c r="P208" s="866" t="n"/>
    </row>
  </sheetData>
  <mergeCells count="100">
    <mergeCell ref="J180:K180"/>
    <mergeCell ref="K33:L33"/>
    <mergeCell ref="J146:K146"/>
    <mergeCell ref="C172:D172"/>
    <mergeCell ref="B149:C149"/>
    <mergeCell ref="J9:K9"/>
    <mergeCell ref="B77:C77"/>
    <mergeCell ref="K138:L138"/>
    <mergeCell ref="G68:G69"/>
    <mergeCell ref="B182:C182"/>
    <mergeCell ref="J4:K4"/>
    <mergeCell ref="B78:C78"/>
    <mergeCell ref="G33:G34"/>
    <mergeCell ref="B112:C112"/>
    <mergeCell ref="J147:K147"/>
    <mergeCell ref="C138:D138"/>
    <mergeCell ref="B178:C178"/>
    <mergeCell ref="B2:H2"/>
    <mergeCell ref="B40:C40"/>
    <mergeCell ref="B183:C183"/>
    <mergeCell ref="K172:L172"/>
    <mergeCell ref="B41:C41"/>
    <mergeCell ref="B37:H37"/>
    <mergeCell ref="J110:K110"/>
    <mergeCell ref="J181:K181"/>
    <mergeCell ref="B142:H142"/>
    <mergeCell ref="B180:C180"/>
    <mergeCell ref="J77:K77"/>
    <mergeCell ref="G103:G104"/>
    <mergeCell ref="B179:C179"/>
    <mergeCell ref="B72:H72"/>
    <mergeCell ref="B176:H176"/>
    <mergeCell ref="J183:K183"/>
    <mergeCell ref="G138:G139"/>
    <mergeCell ref="J75:K75"/>
    <mergeCell ref="B107:H107"/>
    <mergeCell ref="J114:K114"/>
    <mergeCell ref="B6:C6"/>
    <mergeCell ref="K206:L206"/>
    <mergeCell ref="J145:K145"/>
    <mergeCell ref="B79:C79"/>
    <mergeCell ref="B144:C144"/>
    <mergeCell ref="K68:L68"/>
    <mergeCell ref="J111:K111"/>
    <mergeCell ref="B7:C7"/>
    <mergeCell ref="C68:D68"/>
    <mergeCell ref="J2:P2"/>
    <mergeCell ref="J142:P142"/>
    <mergeCell ref="J40:K40"/>
    <mergeCell ref="B43:C43"/>
    <mergeCell ref="B42:C42"/>
    <mergeCell ref="J182:K182"/>
    <mergeCell ref="J74:K74"/>
    <mergeCell ref="J179:K179"/>
    <mergeCell ref="J72:P72"/>
    <mergeCell ref="B148:C148"/>
    <mergeCell ref="J37:P37"/>
    <mergeCell ref="B44:C44"/>
    <mergeCell ref="B146:C146"/>
    <mergeCell ref="J176:P176"/>
    <mergeCell ref="J113:K113"/>
    <mergeCell ref="B9:C9"/>
    <mergeCell ref="J149:K149"/>
    <mergeCell ref="J107:P107"/>
    <mergeCell ref="B5:C5"/>
    <mergeCell ref="B76:C76"/>
    <mergeCell ref="J42:K42"/>
    <mergeCell ref="B4:C4"/>
    <mergeCell ref="B75:C75"/>
    <mergeCell ref="J39:K39"/>
    <mergeCell ref="B109:C109"/>
    <mergeCell ref="J144:K144"/>
    <mergeCell ref="J44:K44"/>
    <mergeCell ref="J5:K5"/>
    <mergeCell ref="C33:D33"/>
    <mergeCell ref="J112:K112"/>
    <mergeCell ref="J78:K78"/>
    <mergeCell ref="C206:D206"/>
    <mergeCell ref="B39:C39"/>
    <mergeCell ref="J6:K6"/>
    <mergeCell ref="C103:D103"/>
    <mergeCell ref="B111:C111"/>
    <mergeCell ref="B145:C145"/>
    <mergeCell ref="B181:C181"/>
    <mergeCell ref="J178:K178"/>
    <mergeCell ref="B8:C8"/>
    <mergeCell ref="J79:K79"/>
    <mergeCell ref="J148:K148"/>
    <mergeCell ref="B147:C147"/>
    <mergeCell ref="J7:K7"/>
    <mergeCell ref="J41:K41"/>
    <mergeCell ref="J109:K109"/>
    <mergeCell ref="B74:C74"/>
    <mergeCell ref="J43:K43"/>
    <mergeCell ref="K103:L103"/>
    <mergeCell ref="B114:C114"/>
    <mergeCell ref="J76:K76"/>
    <mergeCell ref="B110:C110"/>
    <mergeCell ref="J8:K8"/>
    <mergeCell ref="B113:C113"/>
  </mergeCells>
  <pageMargins left="0.7" right="0.7" top="0.75" bottom="0.75" header="0.3" footer="0.3"/>
  <pageSetup orientation="portrait" verticalDpi="597"/>
</worksheet>
</file>

<file path=xl/worksheets/sheet18.xml><?xml version="1.0" encoding="utf-8"?>
<worksheet xmlns="http://schemas.openxmlformats.org/spreadsheetml/2006/main">
  <sheetPr codeName="Sheet15">
    <tabColor rgb="FF92D050"/>
    <outlinePr summaryBelow="1" summaryRight="1"/>
    <pageSetUpPr/>
  </sheetPr>
  <dimension ref="A1:P208"/>
  <sheetViews>
    <sheetView topLeftCell="A171" zoomScale="60" zoomScaleNormal="60" workbookViewId="0">
      <selection activeCell="E206" sqref="E206"/>
    </sheetView>
  </sheetViews>
  <sheetFormatPr baseColWidth="8" defaultRowHeight="15"/>
  <cols>
    <col width="1.140625" customWidth="1" min="1" max="1"/>
    <col width="23.7109375" bestFit="1" customWidth="1" min="2" max="2"/>
    <col width="16" customWidth="1" min="3" max="3"/>
    <col width="18.28515625" customWidth="1" min="4" max="4"/>
    <col width="13.5703125" bestFit="1" customWidth="1" min="5" max="5"/>
    <col width="13.42578125" customWidth="1" min="6" max="6"/>
    <col width="12.140625" bestFit="1" customWidth="1" min="7" max="7"/>
    <col width="59" customWidth="1" min="8" max="8"/>
    <col width="12.140625" customWidth="1" min="9" max="9"/>
    <col width="23.7109375" bestFit="1" customWidth="1" min="10" max="10"/>
    <col width="11.85546875" customWidth="1" min="11" max="11"/>
    <col width="18.42578125" bestFit="1" customWidth="1" min="12" max="12"/>
    <col width="13.5703125" bestFit="1" customWidth="1" min="13" max="13"/>
    <col width="13.5703125" customWidth="1" min="14" max="14"/>
    <col width="12.140625" bestFit="1" customWidth="1" min="15" max="15"/>
    <col width="58.7109375" customWidth="1" min="16" max="16"/>
  </cols>
  <sheetData>
    <row r="1" ht="15.75" customHeight="1" thickBot="1">
      <c r="E1">
        <f>Calculator!$D$5</f>
        <v/>
      </c>
      <c r="H1">
        <f>TransferName</f>
        <v/>
      </c>
      <c r="M1">
        <f>Calculator!$D$5</f>
        <v/>
      </c>
      <c r="P1">
        <f>TransferName</f>
        <v/>
      </c>
    </row>
    <row r="2" ht="15.75" customHeight="1" thickBot="1">
      <c r="B2" s="867" t="inlineStr">
        <is>
          <t>2024 ONTARIO Provincial</t>
        </is>
      </c>
      <c r="C2" s="778" t="n"/>
      <c r="D2" s="778" t="n"/>
      <c r="E2" s="778" t="n"/>
      <c r="F2" s="778" t="n"/>
      <c r="G2" s="778" t="n"/>
      <c r="H2" s="780" t="n"/>
      <c r="J2" s="881" t="inlineStr">
        <is>
          <t>2023 ONTARIO Provincial</t>
        </is>
      </c>
      <c r="K2" s="778" t="n"/>
      <c r="L2" s="778" t="n"/>
      <c r="M2" s="778" t="n"/>
      <c r="N2" s="778" t="n"/>
      <c r="O2" s="778" t="n"/>
      <c r="P2" s="780" t="n"/>
    </row>
    <row r="3" ht="15.75" customHeight="1" thickBot="1">
      <c r="B3" s="116" t="n"/>
      <c r="C3" s="115" t="n"/>
      <c r="D3" s="115" t="inlineStr">
        <is>
          <t>Line</t>
        </is>
      </c>
      <c r="E3" s="115" t="inlineStr">
        <is>
          <t>Amt</t>
        </is>
      </c>
      <c r="F3" s="117" t="n"/>
      <c r="G3" s="675" t="inlineStr">
        <is>
          <t>Spouse</t>
        </is>
      </c>
      <c r="H3" s="117" t="inlineStr">
        <is>
          <t>S2 Adjustment</t>
        </is>
      </c>
      <c r="J3" s="34" t="n"/>
      <c r="L3" t="inlineStr">
        <is>
          <t>Line</t>
        </is>
      </c>
      <c r="M3" t="inlineStr">
        <is>
          <t>Amt</t>
        </is>
      </c>
      <c r="N3" s="35" t="n"/>
      <c r="O3" s="34" t="inlineStr">
        <is>
          <t>Spouse</t>
        </is>
      </c>
      <c r="P3" s="35" t="inlineStr">
        <is>
          <t>S2 Adjustment</t>
        </is>
      </c>
    </row>
    <row r="4" ht="15.75" customHeight="1" thickBot="1">
      <c r="B4" s="675" t="inlineStr">
        <is>
          <t>Age Amount</t>
        </is>
      </c>
      <c r="D4" s="115" t="inlineStr">
        <is>
          <t>Line 58080</t>
        </is>
      </c>
      <c r="E4" s="869">
        <f>(_xlfn.XLOOKUP(ClientNumber,Clients!D:D,Clients!ANR:ANR,2,0,1))</f>
        <v/>
      </c>
      <c r="F4" s="119" t="inlineStr">
        <is>
          <t>Line 59020</t>
        </is>
      </c>
      <c r="G4" s="141">
        <f>IF(TransferName="NONE",0,(_xlfn.XLOOKUP(TransferNumber,Clients!D:D,Clients!APT:APT,2,0,1)))</f>
        <v/>
      </c>
      <c r="H4" s="119">
        <f>IF(AND(E4&gt;0,G4=0),"Age Amount Can Be Transferred","No Action")</f>
        <v/>
      </c>
      <c r="J4" s="667" t="inlineStr">
        <is>
          <t>Age Amount</t>
        </is>
      </c>
      <c r="L4" t="inlineStr">
        <is>
          <t>Line 58080</t>
        </is>
      </c>
      <c r="M4" s="865">
        <f>(_xlfn.XLOOKUP(MainClient,Clients!D:D,Clients!MW:MW,2,0,1))</f>
        <v/>
      </c>
      <c r="N4" s="37" t="inlineStr">
        <is>
          <t>Line 59020</t>
        </is>
      </c>
      <c r="O4" s="51">
        <f>IF(TransferName="NONE",0,(_xlfn.XLOOKUP(TransferNumber,Clients!D:D,Clients!OY:OY,2,0,1)))</f>
        <v/>
      </c>
      <c r="P4" s="37">
        <f>IF(AND(M4&gt;0,O4=0),"Age Amount Can Be Transferred","No Action")</f>
        <v/>
      </c>
    </row>
    <row r="5" ht="15.75" customHeight="1" thickBot="1">
      <c r="B5" s="675" t="inlineStr">
        <is>
          <t>Pension Income Amount</t>
        </is>
      </c>
      <c r="D5" s="115" t="inlineStr">
        <is>
          <t>Line 58360 (mx 1491)</t>
        </is>
      </c>
      <c r="E5" s="869">
        <f>IF((_xlfn.XLOOKUP(ClientNumber,Clients!D:D,Clients!AOR:AOR,2,0,1)&lt;1491),(_xlfn.XLOOKUP(MainClient,Clients!D:D,Clients!AOR:AOR,2,0,1)),1491)</f>
        <v/>
      </c>
      <c r="F5" s="119" t="inlineStr">
        <is>
          <t>Line 59050</t>
        </is>
      </c>
      <c r="G5" s="141">
        <f>IF(TransferName="NONE",0,(_xlfn.XLOOKUP(TransferNumber,Clients!D:D,Clients!APW:APW,2,0,1)))</f>
        <v/>
      </c>
      <c r="H5" s="119">
        <f>IF(AND(E5&gt;0,G5=0),"Pension Income Amount Can Be Transferred","No Action")</f>
        <v/>
      </c>
      <c r="J5" s="667" t="inlineStr">
        <is>
          <t>Pension Income Amount</t>
        </is>
      </c>
      <c r="L5" t="inlineStr">
        <is>
          <t>Line 58360 (mx 1641</t>
        </is>
      </c>
      <c r="M5" s="865">
        <f>IF((_xlfn.XLOOKUP(ClientNumber,Clients!D:D,Clients!NW:NW,2,0,1)&lt;1641),(_xlfn.XLOOKUP(MainClient,Clients!D:D,Clients!NW:NW,2,0,1)),1641)</f>
        <v/>
      </c>
      <c r="N5" s="37" t="inlineStr">
        <is>
          <t>Line 59050</t>
        </is>
      </c>
      <c r="O5" s="51">
        <f>IF(TransferName="NONE",0,(_xlfn.XLOOKUP(TransferNumber,Clients!D:D,Clients!PB:PB,2,0,1)))</f>
        <v/>
      </c>
      <c r="P5" s="37">
        <f>IF(AND(M5&gt;0,O5=0),"Pension Income Amount Can Be Transferred","No Action")</f>
        <v/>
      </c>
    </row>
    <row r="6" ht="15.75" customHeight="1" thickBot="1">
      <c r="B6" s="675" t="inlineStr">
        <is>
          <t>Disability Amount</t>
        </is>
      </c>
      <c r="D6" s="115" t="inlineStr">
        <is>
          <t>Line 58440</t>
        </is>
      </c>
      <c r="E6" s="869">
        <f>IF(_xlfn.XLOOKUP(ClientNumber,Clients!D:D,Clients!AOT:AOT,2,0,1)=0,9001,(_xlfn.XLOOKUP(MainClient,Clients!D:D,Clients!AOT:AOT,2,0,1)))</f>
        <v/>
      </c>
      <c r="F6" s="119" t="inlineStr">
        <is>
          <t>Line 59070</t>
        </is>
      </c>
      <c r="G6" s="141">
        <f>IF(TransferName="NONE",0,(_xlfn.XLOOKUP(TransferNumber,Clients!D:D,Clients!APX:APX,2,0,1)))</f>
        <v/>
      </c>
      <c r="H6" s="119">
        <f>IF(AND(E6&gt;0,G6=0),"DTC Transferable Not Claimed Can Be Transferred","No Action")</f>
        <v/>
      </c>
      <c r="J6" s="667" t="inlineStr">
        <is>
          <t>Disability Amount</t>
        </is>
      </c>
      <c r="L6" t="inlineStr">
        <is>
          <t>Line 58440</t>
        </is>
      </c>
      <c r="M6" s="865">
        <f>IF(_xlfn.XLOOKUP(ClientNumber,Clients!D:D,Clients!NY:NY,2,0,1)=0,9586,(_xlfn.XLOOKUP(MainClient,Clients!D:D,Clients!NY:NY,2,0,1)))</f>
        <v/>
      </c>
      <c r="N6" s="37" t="inlineStr">
        <is>
          <t>Line 59070</t>
        </is>
      </c>
      <c r="O6" s="51">
        <f>IF(TransferName="NONE",0,(_xlfn.XLOOKUP(TransferNumber,Clients!D:D,Clients!PC:PC,2,0,1)))</f>
        <v/>
      </c>
      <c r="P6" s="37">
        <f>IF(AND(M6&gt;0,O6=0),"DTC Transferable Not Claimed Can Be Transferred","No Action")</f>
        <v/>
      </c>
    </row>
    <row r="7">
      <c r="B7" s="675" t="n"/>
      <c r="D7" s="115" t="n"/>
      <c r="E7" s="115" t="n"/>
      <c r="F7" s="119" t="n"/>
      <c r="G7" s="141" t="n"/>
      <c r="H7" s="119" t="n"/>
      <c r="J7" s="667" t="n"/>
      <c r="N7" s="37" t="n"/>
      <c r="O7" s="51" t="n"/>
      <c r="P7" s="37" t="n"/>
    </row>
    <row r="8">
      <c r="B8" s="675" t="n"/>
      <c r="D8" s="115" t="n"/>
      <c r="E8" s="871">
        <f>SUM(E4:E7)</f>
        <v/>
      </c>
      <c r="F8" s="119" t="n"/>
      <c r="G8" s="675">
        <f>SUM(G4:G7)</f>
        <v/>
      </c>
      <c r="H8" s="119" t="n"/>
      <c r="J8" s="667" t="n"/>
      <c r="M8" s="872">
        <f>SUM(M4:M7)</f>
        <v/>
      </c>
      <c r="N8" s="37" t="n"/>
      <c r="O8" s="667">
        <f>SUM(O4:O7)</f>
        <v/>
      </c>
      <c r="P8" s="37" t="n"/>
    </row>
    <row r="9">
      <c r="B9" s="675" t="n"/>
      <c r="C9" s="676" t="n"/>
      <c r="D9" s="115" t="n"/>
      <c r="E9" s="871" t="n"/>
      <c r="F9" s="119" t="n"/>
      <c r="G9" s="676" t="n"/>
      <c r="H9" s="119" t="n"/>
      <c r="J9" s="667" t="n"/>
      <c r="K9" s="668" t="n"/>
      <c r="M9" s="872" t="n"/>
      <c r="N9" s="37" t="n"/>
      <c r="O9" s="668" t="n"/>
      <c r="P9" s="37" t="n"/>
    </row>
    <row r="10" ht="15.75" customHeight="1" thickBot="1">
      <c r="B10" s="116" t="n"/>
      <c r="C10" s="115" t="n"/>
      <c r="D10" s="115" t="n"/>
      <c r="E10" s="115" t="n"/>
      <c r="F10" s="117" t="n"/>
      <c r="G10" s="115" t="n"/>
      <c r="H10" s="117" t="n"/>
      <c r="J10" s="34" t="n"/>
      <c r="N10" s="35" t="n"/>
      <c r="P10" s="35" t="n"/>
    </row>
    <row r="11" ht="15.75" customHeight="1" thickBot="1">
      <c r="B11" s="675" t="inlineStr">
        <is>
          <t>Line 26000</t>
        </is>
      </c>
      <c r="C11" s="120">
        <f>(_xlfn.XLOOKUP(MainClient,Clients!D:D,Clients!AFS:AFS,2,0,1))</f>
        <v/>
      </c>
      <c r="D11" s="115" t="n"/>
      <c r="E11" s="115" t="n"/>
      <c r="F11" s="117" t="n"/>
      <c r="G11" s="116">
        <f>IF(E34&gt;E6,"other transferable credits","DTC Only")</f>
        <v/>
      </c>
      <c r="H11" s="117" t="n"/>
      <c r="J11" s="667" t="inlineStr">
        <is>
          <t>Line 26000</t>
        </is>
      </c>
      <c r="K11" s="36">
        <f>(_xlfn.XLOOKUP(MainClient,Clients!D:D,Clients!EX:EX,2,0,1))</f>
        <v/>
      </c>
      <c r="N11" s="35" t="n"/>
      <c r="O11" s="34">
        <f>IF(M34&gt;M6,"other transferable credits","DTC Only")</f>
        <v/>
      </c>
      <c r="P11" s="35" t="n"/>
    </row>
    <row r="12" ht="15.75" customHeight="1" thickBot="1">
      <c r="B12" s="116" t="n"/>
      <c r="C12" s="115" t="n"/>
      <c r="D12" s="115" t="n"/>
      <c r="E12" s="115" t="n"/>
      <c r="F12" s="117" t="n"/>
      <c r="G12" s="116" t="n"/>
      <c r="H12" s="117" t="n"/>
      <c r="J12" s="34" t="n"/>
      <c r="N12" s="35" t="n"/>
      <c r="O12" s="34" t="n"/>
      <c r="P12" s="35" t="n"/>
    </row>
    <row r="13" ht="15.75" customHeight="1" thickBot="1">
      <c r="B13" s="121" t="inlineStr">
        <is>
          <t>Line 58040</t>
        </is>
      </c>
      <c r="C13" s="120">
        <f>(_xlfn.XLOOKUP(ClientNumber,Clients!D:D,Clients!ANQ:ANQ,2,0,1))</f>
        <v/>
      </c>
      <c r="D13" s="115" t="n"/>
      <c r="E13" s="115" t="n"/>
      <c r="F13" s="117" t="n"/>
      <c r="G13" s="116" t="n"/>
      <c r="H13" s="117" t="n"/>
      <c r="J13" s="55" t="inlineStr">
        <is>
          <t>Line 58040</t>
        </is>
      </c>
      <c r="K13" s="36">
        <f>(_xlfn.XLOOKUP(MainClient,Clients!D:D,Clients!MV:MV,2,0,1))</f>
        <v/>
      </c>
      <c r="N13" s="35" t="n"/>
      <c r="O13" s="34" t="n"/>
      <c r="P13" s="35" t="n"/>
    </row>
    <row r="14" ht="15.75" customHeight="1" thickBot="1">
      <c r="B14" s="121" t="inlineStr">
        <is>
          <t>Line 58240</t>
        </is>
      </c>
      <c r="C14" s="120">
        <f>(_xlfn.XLOOKUP(ClientNumber,Clients!D:D,Clients!AOF:AOF,2,0,1))</f>
        <v/>
      </c>
      <c r="D14" s="115" t="n"/>
      <c r="E14" s="115" t="n"/>
      <c r="F14" s="117" t="n"/>
      <c r="G14" s="116" t="n"/>
      <c r="H14" s="117" t="n"/>
      <c r="J14" s="55" t="inlineStr">
        <is>
          <t>Line 58240</t>
        </is>
      </c>
      <c r="K14" s="36">
        <f>(_xlfn.XLOOKUP(MainClient,Clients!D:D,Clients!NK:NK,2,0,1))</f>
        <v/>
      </c>
      <c r="N14" s="35" t="n"/>
      <c r="O14" s="34" t="n"/>
      <c r="P14" s="35" t="n"/>
    </row>
    <row r="15" ht="15.75" customHeight="1" thickBot="1">
      <c r="B15" s="121" t="inlineStr">
        <is>
          <t>Line 58280</t>
        </is>
      </c>
      <c r="C15" s="120">
        <f>(_xlfn.XLOOKUP(ClientNumber,Clients!D:D,Clients!AOG:AOG,2,0,1))</f>
        <v/>
      </c>
      <c r="D15" s="115" t="n"/>
      <c r="E15" s="115" t="n"/>
      <c r="F15" s="117" t="n"/>
      <c r="G15" s="116" t="n"/>
      <c r="H15" s="117" t="n"/>
      <c r="J15" s="55" t="inlineStr">
        <is>
          <t>Line 58280</t>
        </is>
      </c>
      <c r="K15" s="36">
        <f>(_xlfn.XLOOKUP(MainClient,Clients!D:D,Clients!NL:NL,2,0,1))</f>
        <v/>
      </c>
      <c r="N15" s="35" t="n"/>
      <c r="P15" s="35" t="n"/>
    </row>
    <row r="16" ht="15.75" customHeight="1" thickBot="1">
      <c r="B16" s="121" t="inlineStr">
        <is>
          <t>Line 58300</t>
        </is>
      </c>
      <c r="C16" s="120">
        <f>(_xlfn.XLOOKUP(ClientNumber,Clients!D:D,Clients!AOH:AOH,2,0,1))</f>
        <v/>
      </c>
      <c r="D16" s="115" t="n"/>
      <c r="E16" s="115" t="n"/>
      <c r="F16" s="117" t="n"/>
      <c r="G16" s="116" t="n"/>
      <c r="H16" s="117" t="n"/>
      <c r="J16" s="55" t="inlineStr">
        <is>
          <t>Line 58300</t>
        </is>
      </c>
      <c r="K16" s="36">
        <f>(_xlfn.XLOOKUP(MainClient,Clients!D:D,Clients!NM:NM,2,0,1))</f>
        <v/>
      </c>
      <c r="N16" s="35" t="n"/>
      <c r="O16" s="34" t="n"/>
      <c r="P16" s="35" t="n"/>
    </row>
    <row r="17" ht="15.75" customHeight="1" thickBot="1">
      <c r="B17" s="121" t="inlineStr">
        <is>
          <t>Line 58305</t>
        </is>
      </c>
      <c r="C17" s="120">
        <f>(_xlfn.XLOOKUP(ClientNumber,Clients!D:D,Clients!AOI:AOI,2,0,1))</f>
        <v/>
      </c>
      <c r="D17" s="115" t="n"/>
      <c r="E17" s="115" t="n"/>
      <c r="F17" s="117" t="n"/>
      <c r="G17" s="116" t="n"/>
      <c r="H17" s="117" t="n"/>
      <c r="J17" s="55" t="inlineStr">
        <is>
          <t>Line 58305</t>
        </is>
      </c>
      <c r="K17" s="36">
        <f>(_xlfn.XLOOKUP(MainClient,Clients!D:D,Clients!NN:NN,2,0,1))</f>
        <v/>
      </c>
      <c r="N17" s="35" t="n"/>
      <c r="O17" s="34" t="n"/>
      <c r="P17" s="35" t="n"/>
    </row>
    <row r="18" ht="15.75" customHeight="1" thickBot="1">
      <c r="B18" s="121" t="inlineStr">
        <is>
          <t>Line 58330</t>
        </is>
      </c>
      <c r="C18" s="120">
        <f>(_xlfn.XLOOKUP(ClientNumber,Clients!D:D,Clients!AOP:AOP,2,0,1))</f>
        <v/>
      </c>
      <c r="D18" s="115" t="n"/>
      <c r="E18" s="115" t="n"/>
      <c r="F18" s="117" t="n"/>
      <c r="G18" s="116" t="n"/>
      <c r="H18" s="117" t="n"/>
      <c r="J18" s="55" t="inlineStr">
        <is>
          <t>Line 58330</t>
        </is>
      </c>
      <c r="K18" s="36">
        <f>(_xlfn.XLOOKUP(MainClient,Clients!D:D,Clients!NU:NU,2,0,1))</f>
        <v/>
      </c>
      <c r="N18" s="35" t="n"/>
      <c r="O18" s="34" t="n"/>
      <c r="P18" s="35" t="n"/>
    </row>
    <row r="19" ht="15.75" customHeight="1" thickBot="1">
      <c r="B19" s="121" t="inlineStr">
        <is>
          <t>Line 58560</t>
        </is>
      </c>
      <c r="C19" s="120">
        <f>(_xlfn.XLOOKUP(ClientNumber,Clients!D:D,Clients!AOX:AOX,2,0,1))</f>
        <v/>
      </c>
      <c r="D19" s="115" t="n"/>
      <c r="E19" s="115" t="n"/>
      <c r="F19" s="117" t="n"/>
      <c r="G19" s="116" t="n"/>
      <c r="H19" s="117" t="n"/>
      <c r="J19" s="55" t="inlineStr">
        <is>
          <t>Line 58560</t>
        </is>
      </c>
      <c r="K19" s="36">
        <f>(_xlfn.XLOOKUP(MainClient,Clients!D:D,Clients!OC:OC,2,0,1))</f>
        <v/>
      </c>
      <c r="N19" s="35" t="n"/>
      <c r="O19" s="34" t="n"/>
      <c r="P19" s="35" t="n"/>
    </row>
    <row r="20" ht="15.75" customHeight="1" thickBot="1">
      <c r="B20" s="121" t="n"/>
      <c r="C20" s="120" t="n"/>
      <c r="D20" s="115" t="n"/>
      <c r="E20" s="115" t="n"/>
      <c r="F20" s="117" t="n"/>
      <c r="G20" s="116" t="n"/>
      <c r="H20" s="117" t="n"/>
      <c r="J20" s="55" t="n"/>
      <c r="K20" s="36" t="n"/>
      <c r="N20" s="35" t="n"/>
      <c r="O20" s="34" t="n"/>
      <c r="P20" s="35" t="n"/>
    </row>
    <row r="21" ht="15.75" customHeight="1" thickBot="1">
      <c r="B21" s="121" t="n"/>
      <c r="C21" s="120" t="n"/>
      <c r="D21" s="115" t="n"/>
      <c r="E21" s="115" t="n"/>
      <c r="F21" s="117" t="n"/>
      <c r="G21" s="116" t="n"/>
      <c r="H21" s="117" t="n"/>
      <c r="J21" s="55" t="n"/>
      <c r="K21" s="36" t="n"/>
      <c r="N21" s="35" t="n"/>
      <c r="O21" s="34" t="n"/>
      <c r="P21" s="35" t="n"/>
    </row>
    <row r="22" ht="15.75" customHeight="1" thickBot="1">
      <c r="B22" s="121" t="n"/>
      <c r="C22" s="120" t="n"/>
      <c r="D22" s="115" t="n"/>
      <c r="E22" s="115" t="n"/>
      <c r="F22" s="117" t="n"/>
      <c r="G22" s="116" t="n"/>
      <c r="H22" s="117" t="n"/>
      <c r="J22" s="55" t="n"/>
      <c r="K22" s="36" t="n"/>
      <c r="N22" s="35" t="n"/>
      <c r="O22" s="34" t="n"/>
      <c r="P22" s="35" t="n"/>
    </row>
    <row r="23" ht="15.75" customHeight="1" thickBot="1">
      <c r="B23" s="121" t="n"/>
      <c r="C23" s="120" t="n"/>
      <c r="D23" s="115" t="n"/>
      <c r="E23" s="115" t="n"/>
      <c r="F23" s="117" t="n"/>
      <c r="G23" s="116" t="inlineStr">
        <is>
          <t>Line 326</t>
        </is>
      </c>
      <c r="H23" s="117">
        <f>IF(TransferName="NONE",0,(_xlfn.XLOOKUP(TransferNumber,Clients!D:D,Clients!CIH:CIH,2,0,1)))</f>
        <v/>
      </c>
      <c r="J23" s="55" t="n"/>
      <c r="K23" s="36" t="n"/>
      <c r="N23" s="35" t="n"/>
      <c r="O23" s="34" t="inlineStr">
        <is>
          <t>Line 58640</t>
        </is>
      </c>
      <c r="P23" s="35">
        <f>IFERROR(_xlfn.XLOOKUP(TransferNumber,Clients!D:D,Clients!OI:OI,2,0,1),0)</f>
        <v/>
      </c>
    </row>
    <row r="24" ht="15.75" customHeight="1" thickBot="1">
      <c r="B24" s="121" t="n"/>
      <c r="C24" s="120" t="n"/>
      <c r="D24" s="115" t="n"/>
      <c r="E24" s="115" t="n"/>
      <c r="F24" s="117" t="n"/>
      <c r="G24" s="116" t="n"/>
      <c r="H24" s="117" t="n"/>
      <c r="J24" s="55" t="n"/>
      <c r="K24" s="36" t="n"/>
      <c r="N24" s="35" t="n"/>
      <c r="O24" s="34" t="n"/>
      <c r="P24" s="35" t="n"/>
    </row>
    <row r="25" ht="15.75" customHeight="1" thickBot="1">
      <c r="B25" s="121" t="n"/>
      <c r="C25" s="120" t="n"/>
      <c r="D25" s="115" t="n"/>
      <c r="E25" s="115" t="n"/>
      <c r="F25" s="117" t="n"/>
      <c r="G25" s="116" t="n"/>
      <c r="H25" s="117" t="n"/>
      <c r="J25" s="55" t="n"/>
      <c r="K25" s="36" t="n"/>
      <c r="N25" s="35" t="n"/>
      <c r="O25" s="34" t="n"/>
      <c r="P25" s="35" t="n"/>
    </row>
    <row r="26" ht="15.75" customHeight="1" thickBot="1">
      <c r="B26" s="121" t="n"/>
      <c r="C26" s="120" t="n"/>
      <c r="D26" s="115" t="n"/>
      <c r="E26" s="115" t="n"/>
      <c r="F26" s="117" t="n"/>
      <c r="G26" s="116" t="n"/>
      <c r="H26" s="117" t="n"/>
      <c r="J26" s="55" t="n"/>
      <c r="K26" s="36" t="n"/>
      <c r="N26" s="35" t="n"/>
      <c r="O26" s="34" t="n"/>
      <c r="P26" s="35" t="n"/>
    </row>
    <row r="27" ht="15.75" customHeight="1" thickBot="1">
      <c r="B27" s="121" t="n"/>
      <c r="C27" s="120" t="n"/>
      <c r="D27" s="115" t="n"/>
      <c r="E27" s="115" t="n"/>
      <c r="F27" s="117" t="n"/>
      <c r="G27" s="116" t="n"/>
      <c r="H27" s="117">
        <f>IF(E32&gt;0,E8-G8,0)</f>
        <v/>
      </c>
      <c r="J27" s="55" t="n"/>
      <c r="K27" s="36" t="n"/>
      <c r="N27" s="35" t="n"/>
      <c r="O27" s="34" t="n"/>
      <c r="P27" s="35">
        <f>IF(M32&gt;0,M8-O8,0)</f>
        <v/>
      </c>
    </row>
    <row r="28" ht="15.75" customHeight="1" thickBot="1">
      <c r="B28" s="121" t="n"/>
      <c r="C28" s="120" t="n"/>
      <c r="D28" s="115" t="n"/>
      <c r="E28" s="115" t="n"/>
      <c r="F28" s="117" t="n"/>
      <c r="G28" s="115" t="n"/>
      <c r="H28" s="122">
        <f>IF(TransferName="NONE",F33,IF(H27&gt;0,(E32-G8)*0.0505,0))</f>
        <v/>
      </c>
      <c r="J28" s="55" t="n"/>
      <c r="K28" s="36" t="n"/>
      <c r="N28" s="35" t="n"/>
      <c r="P28" s="52">
        <f>IF(TransferName="NONE",N33,IF(P27&gt;0,(M32-O8)*0.0505,0))</f>
        <v/>
      </c>
    </row>
    <row r="29">
      <c r="B29" s="675" t="n"/>
      <c r="C29" s="115" t="n"/>
      <c r="D29" s="115" t="n"/>
      <c r="E29" s="115" t="n"/>
      <c r="F29" s="117" t="n"/>
      <c r="G29" s="116" t="inlineStr">
        <is>
          <t>Transferable</t>
        </is>
      </c>
      <c r="H29" s="122">
        <f>IF(H28&gt;0,H28,0)</f>
        <v/>
      </c>
      <c r="J29" s="667" t="n"/>
      <c r="N29" s="35" t="n"/>
      <c r="O29" s="34" t="inlineStr">
        <is>
          <t>Transferable</t>
        </is>
      </c>
      <c r="P29" s="52">
        <f>IF(P28&gt;0,P28,0)</f>
        <v/>
      </c>
    </row>
    <row r="30">
      <c r="B30" s="675" t="inlineStr">
        <is>
          <t>Adjusted Taxable Income</t>
        </is>
      </c>
      <c r="C30" s="115">
        <f>C11-(SUM(C13:C28))</f>
        <v/>
      </c>
      <c r="D30" s="124" t="inlineStr">
        <is>
          <t>Line 5864</t>
        </is>
      </c>
      <c r="E30" s="125">
        <f>IF(C30&gt;0,C30,0)</f>
        <v/>
      </c>
      <c r="F30" s="117" t="n"/>
      <c r="G30" s="116" t="n"/>
      <c r="H30" s="117" t="n"/>
      <c r="J30" s="667" t="inlineStr">
        <is>
          <t>Adjusted Taxable Income</t>
        </is>
      </c>
      <c r="K30">
        <f>K11-(SUM(K13:K28))</f>
        <v/>
      </c>
      <c r="L30" s="13" t="inlineStr">
        <is>
          <t>Line 5864</t>
        </is>
      </c>
      <c r="M30" s="39">
        <f>IF(K30&gt;0,K30,0)</f>
        <v/>
      </c>
      <c r="N30" s="35" t="n"/>
      <c r="O30" s="34" t="n"/>
      <c r="P30" s="35" t="n"/>
    </row>
    <row r="31" ht="15.75" customHeight="1" thickBot="1">
      <c r="B31" s="116" t="n"/>
      <c r="C31" s="115" t="n"/>
      <c r="D31" s="115" t="n"/>
      <c r="E31" s="115" t="n"/>
      <c r="F31" s="117" t="n"/>
      <c r="G31" s="116" t="n"/>
      <c r="H31" s="117" t="n"/>
      <c r="J31" s="34" t="n"/>
      <c r="N31" s="35" t="n"/>
      <c r="O31" s="34" t="n"/>
      <c r="P31" s="35" t="n"/>
    </row>
    <row r="32" ht="15.75" customHeight="1" thickBot="1">
      <c r="B32" s="116" t="n"/>
      <c r="C32" s="115" t="n"/>
      <c r="D32" s="126" t="inlineStr">
        <is>
          <t>Prov Trans</t>
        </is>
      </c>
      <c r="E32" s="120">
        <f>(E8-E30)</f>
        <v/>
      </c>
      <c r="F32" s="127" t="n"/>
      <c r="G32" s="116" t="n"/>
      <c r="H32" s="122" t="n"/>
      <c r="J32" s="34" t="n"/>
      <c r="L32" s="21" t="inlineStr">
        <is>
          <t>Prov Trans</t>
        </is>
      </c>
      <c r="M32" s="36">
        <f>(M8-M30)</f>
        <v/>
      </c>
      <c r="N32" s="40" t="n"/>
      <c r="O32" s="34" t="n"/>
      <c r="P32" s="52" t="n"/>
    </row>
    <row r="33" ht="15.75" customHeight="1" thickBot="1">
      <c r="B33" s="116" t="n"/>
      <c r="C33" s="664" t="inlineStr">
        <is>
          <t>DTC Transferable ESTIMATE</t>
        </is>
      </c>
      <c r="D33" s="35" t="n"/>
      <c r="E33" s="120">
        <f>IF(E32&lt;0,0,(IF(E32&gt;E6,E6,E32)))</f>
        <v/>
      </c>
      <c r="F33" s="127">
        <f>IF(E33&gt;0,E33*0.0505,"No Transfer Required")</f>
        <v/>
      </c>
      <c r="G33" s="666" t="n"/>
      <c r="H33" s="122" t="n"/>
      <c r="J33" s="34" t="n"/>
      <c r="K33" s="579" t="inlineStr">
        <is>
          <t>DTC Transferable ESTIMATE</t>
        </is>
      </c>
      <c r="L33" s="35" t="n"/>
      <c r="M33" s="36">
        <f>IF(M32&lt;0,0,(IF(M32&gt;M6,M6,M32)))</f>
        <v/>
      </c>
      <c r="N33" s="40">
        <f>IF(M33&gt;0,M33*0.0505,"No Transfer Required")</f>
        <v/>
      </c>
      <c r="O33" s="58" t="n"/>
      <c r="P33" s="52" t="n"/>
    </row>
    <row r="34" ht="15.75" customHeight="1" thickBot="1">
      <c r="B34" s="128" t="n"/>
      <c r="C34" s="129" t="n"/>
      <c r="D34" s="130" t="inlineStr">
        <is>
          <t>Net Transferable</t>
        </is>
      </c>
      <c r="E34" s="120">
        <f>IF(E32&lt;0,0,(IF(E32-G4-G5-G7&lt;0,E32,(E32-G4-G5-G7))))</f>
        <v/>
      </c>
      <c r="F34" s="131">
        <f>IF(E34&gt;0,E34*0.0505,"0")</f>
        <v/>
      </c>
      <c r="G34" s="42" t="n"/>
      <c r="H34" s="863" t="n"/>
      <c r="J34" s="42" t="n"/>
      <c r="K34" s="41" t="n"/>
      <c r="L34" s="43" t="inlineStr">
        <is>
          <t>Net Transferable</t>
        </is>
      </c>
      <c r="M34" s="36">
        <f>IF(M32&lt;0,0,(IF(M32-O4-O5-O7&lt;0,M32,(M32-O4-O5-O7))))</f>
        <v/>
      </c>
      <c r="N34" s="57">
        <f>IF(M34&gt;0,M34*0.0505,"0")</f>
        <v/>
      </c>
      <c r="O34" s="59" t="n"/>
      <c r="P34" s="864" t="n"/>
    </row>
    <row r="36" ht="15.75" customHeight="1" thickBot="1">
      <c r="E36">
        <f>Calculator!$D$5</f>
        <v/>
      </c>
      <c r="H36">
        <f>TransferName</f>
        <v/>
      </c>
      <c r="M36">
        <f>Calculator!$D$5</f>
        <v/>
      </c>
      <c r="P36">
        <f>TransferName</f>
        <v/>
      </c>
    </row>
    <row r="37" ht="15.75" customHeight="1" thickBot="1">
      <c r="B37" s="881" t="inlineStr">
        <is>
          <t>2022 ONTARIO Provincial</t>
        </is>
      </c>
      <c r="C37" s="778" t="n"/>
      <c r="D37" s="778" t="n"/>
      <c r="E37" s="778" t="n"/>
      <c r="F37" s="778" t="n"/>
      <c r="G37" s="778" t="n"/>
      <c r="H37" s="780" t="n"/>
      <c r="J37" s="881" t="inlineStr">
        <is>
          <t>2021 ONTARIO Provincial</t>
        </is>
      </c>
      <c r="K37" s="778" t="n"/>
      <c r="L37" s="778" t="n"/>
      <c r="M37" s="778" t="n"/>
      <c r="N37" s="778" t="n"/>
      <c r="O37" s="778" t="n"/>
      <c r="P37" s="780" t="n"/>
    </row>
    <row r="38" ht="15.75" customHeight="1" thickBot="1">
      <c r="B38" s="34" t="n"/>
      <c r="D38" t="inlineStr">
        <is>
          <t>Line</t>
        </is>
      </c>
      <c r="E38" t="inlineStr">
        <is>
          <t>Amt</t>
        </is>
      </c>
      <c r="F38" s="35" t="n"/>
      <c r="G38" s="667" t="inlineStr">
        <is>
          <t>Spouse</t>
        </is>
      </c>
      <c r="H38" s="35" t="inlineStr">
        <is>
          <t>S2 Adjustment</t>
        </is>
      </c>
      <c r="J38" s="34" t="n"/>
      <c r="L38" t="inlineStr">
        <is>
          <t>Line</t>
        </is>
      </c>
      <c r="M38" t="inlineStr">
        <is>
          <t>Amt</t>
        </is>
      </c>
      <c r="N38" s="35" t="n"/>
      <c r="O38" s="34" t="inlineStr">
        <is>
          <t>Spouse</t>
        </is>
      </c>
      <c r="P38" s="35" t="inlineStr">
        <is>
          <t>S2 Adjustment</t>
        </is>
      </c>
    </row>
    <row r="39" ht="15.75" customHeight="1" thickBot="1">
      <c r="B39" s="667" t="inlineStr">
        <is>
          <t>Age Amount</t>
        </is>
      </c>
      <c r="D39" t="inlineStr">
        <is>
          <t>Line 58080</t>
        </is>
      </c>
      <c r="E39" s="861">
        <f>(_xlfn.XLOOKUP(ClientNumber,Clients!D:D,Clients!ANR:ANR,2,0,1))</f>
        <v/>
      </c>
      <c r="F39" s="37" t="inlineStr">
        <is>
          <t>Line 59020</t>
        </is>
      </c>
      <c r="G39" s="51">
        <f>IF(TransferName="NONE",0,(_xlfn.XLOOKUP(TransferNumber,Clients!D:D,Clients!APT:APT,2,0,1)))</f>
        <v/>
      </c>
      <c r="H39" s="37">
        <f>IF(AND(E39&gt;0,G39=0),"Age Amount Can Be Transferred","No Action")</f>
        <v/>
      </c>
      <c r="J39" s="667" t="inlineStr">
        <is>
          <t>Age Amount</t>
        </is>
      </c>
      <c r="L39" t="inlineStr">
        <is>
          <t>Line 58080</t>
        </is>
      </c>
      <c r="M39" s="865">
        <f>(_xlfn.XLOOKUP(MainClient,Clients!D:D,Clients!BOM:BOM,2,0,1))</f>
        <v/>
      </c>
      <c r="N39" s="37" t="inlineStr">
        <is>
          <t>Line 59020</t>
        </is>
      </c>
      <c r="O39" s="51">
        <f>IF(TransferName="NONE",0,(_xlfn.XLOOKUP(TransferNumber,Clients!D:D,Clients!BQO:BQO,2,0,1)))</f>
        <v/>
      </c>
      <c r="P39" s="37">
        <f>IF(AND(M39&gt;0,O39=0),"Age Amount Can Be Transferred","No Action")</f>
        <v/>
      </c>
    </row>
    <row r="40" ht="15.75" customHeight="1" thickBot="1">
      <c r="B40" s="667" t="inlineStr">
        <is>
          <t>Pension Income Amount</t>
        </is>
      </c>
      <c r="D40" t="inlineStr">
        <is>
          <t>Line 58360 (mx 1491)</t>
        </is>
      </c>
      <c r="E40" s="861">
        <f>IF((_xlfn.XLOOKUP(ClientNumber,Clients!D:D,Clients!AOR:AOR,2,0,1)&lt;1541),(_xlfn.XLOOKUP(MainClient,Clients!D:D,Clients!AOR:AOR,2,0,1)),1541)</f>
        <v/>
      </c>
      <c r="F40" s="37" t="inlineStr">
        <is>
          <t>Line 59050</t>
        </is>
      </c>
      <c r="G40" s="51">
        <f>IF(TransferName="NONE",0,(_xlfn.XLOOKUP(TransferNumber,Clients!D:D,Clients!APW:APW,2,0,1)))</f>
        <v/>
      </c>
      <c r="H40" s="37">
        <f>IF(AND(E40&gt;0,G40=0),"Pension Income Amount Can Be Transferred","No Action")</f>
        <v/>
      </c>
      <c r="J40" s="667" t="inlineStr">
        <is>
          <t>Pension Income Amount</t>
        </is>
      </c>
      <c r="L40" t="inlineStr">
        <is>
          <t>Line 58360 (mx 1504)</t>
        </is>
      </c>
      <c r="M40" s="865">
        <f>IF((_xlfn.XLOOKUP(ClientNumber,Clients!D:D,Clients!BPM:BPM,2,0,1)&lt;1504),(_xlfn.XLOOKUP(MainClient,Clients!D:D,Clients!BPM:BPM,2,0,1)),1504)</f>
        <v/>
      </c>
      <c r="N40" s="37" t="inlineStr">
        <is>
          <t>Line 59050</t>
        </is>
      </c>
      <c r="O40" s="51">
        <f>IF(TransferName="NONE",0,(_xlfn.XLOOKUP(TransferNumber,Clients!D:D,Clients!BQR:BQR,2,0,1)))</f>
        <v/>
      </c>
      <c r="P40" s="37">
        <f>IF(AND(M40&gt;0,O40=0),"Pension Income Amount Can Be Transferred","No Action")</f>
        <v/>
      </c>
    </row>
    <row r="41" ht="15.75" customHeight="1" thickBot="1">
      <c r="B41" s="667" t="inlineStr">
        <is>
          <t>Disability Amount</t>
        </is>
      </c>
      <c r="D41" t="inlineStr">
        <is>
          <t>Line 58440</t>
        </is>
      </c>
      <c r="E41" s="861">
        <f>IF(_xlfn.XLOOKUP(ClientNumber,Clients!D:D,Clients!AOT:AOT,2,0,1)=0,9001,(_xlfn.XLOOKUP(MainClient,Clients!D:D,Clients!AOT:AOT,2,0,1)))</f>
        <v/>
      </c>
      <c r="F41" s="37" t="inlineStr">
        <is>
          <t>Line 59070</t>
        </is>
      </c>
      <c r="G41" s="51">
        <f>IF(TransferName="NONE",0,(_xlfn.XLOOKUP(TransferNumber,Clients!D:D,Clients!APX:APX,2,0,1)))</f>
        <v/>
      </c>
      <c r="H41" s="37">
        <f>IF(AND(E41&gt;0,G41=0),"DTC Transferable Not Claimed Can Be Transferred","No Action")</f>
        <v/>
      </c>
      <c r="J41" s="667" t="inlineStr">
        <is>
          <t>Disability Amount</t>
        </is>
      </c>
      <c r="L41" t="inlineStr">
        <is>
          <t>Line 58440</t>
        </is>
      </c>
      <c r="M41" s="865">
        <f>IF(_xlfn.XLOOKUP(ClientNumber,Clients!D:D,Clients!BPO:BPO,2,0,1)=0,8790,(_xlfn.XLOOKUP(MainClient,Clients!D:D,Clients!BPO:BPO,2,0,1)))</f>
        <v/>
      </c>
      <c r="N41" s="37" t="inlineStr">
        <is>
          <t>Line 59070</t>
        </is>
      </c>
      <c r="O41" s="51">
        <f>IF(TransferName="NONE",0,(_xlfn.XLOOKUP(TransferNumber,Clients!D:D,Clients!BQS:BQS,2,0,1)))</f>
        <v/>
      </c>
      <c r="P41" s="37">
        <f>IF(AND(M41&gt;0,O41=0),"DTC Transferable Not Claimed Can Be Transferred","No Action")</f>
        <v/>
      </c>
    </row>
    <row r="42">
      <c r="B42" s="667" t="n"/>
      <c r="F42" s="37" t="n"/>
      <c r="G42" s="51" t="n"/>
      <c r="H42" s="37" t="n"/>
      <c r="J42" s="667" t="n"/>
      <c r="N42" s="37" t="n"/>
      <c r="O42" s="51" t="n"/>
      <c r="P42" s="37" t="n"/>
    </row>
    <row r="43">
      <c r="B43" s="667" t="n"/>
      <c r="E43" s="771">
        <f>SUM(E39:E42)</f>
        <v/>
      </c>
      <c r="F43" s="37" t="n"/>
      <c r="G43" s="667">
        <f>SUM(G39:G42)</f>
        <v/>
      </c>
      <c r="H43" s="37" t="n"/>
      <c r="J43" s="667" t="n"/>
      <c r="M43" s="872">
        <f>SUM(M39:M42)</f>
        <v/>
      </c>
      <c r="N43" s="37" t="n"/>
      <c r="O43" s="667">
        <f>SUM(O39:O42)</f>
        <v/>
      </c>
      <c r="P43" s="37" t="n"/>
    </row>
    <row r="44">
      <c r="A44" t="inlineStr">
        <is>
          <t>`</t>
        </is>
      </c>
      <c r="B44" s="667" t="n"/>
      <c r="C44" s="668" t="n"/>
      <c r="E44" s="771" t="n"/>
      <c r="F44" s="37" t="n"/>
      <c r="G44" s="668" t="n"/>
      <c r="H44" s="37" t="n"/>
      <c r="J44" s="667" t="n"/>
      <c r="K44" s="668" t="n"/>
      <c r="M44" s="872" t="n"/>
      <c r="N44" s="37" t="n"/>
      <c r="O44" s="668" t="n"/>
      <c r="P44" s="37" t="n"/>
    </row>
    <row r="45" ht="15.75" customHeight="1" thickBot="1">
      <c r="B45" s="34" t="n"/>
      <c r="F45" s="35" t="n"/>
      <c r="H45" s="35" t="n"/>
      <c r="J45" s="34" t="n"/>
      <c r="N45" s="35" t="n"/>
      <c r="P45" s="35" t="n"/>
    </row>
    <row r="46" ht="15.75" customHeight="1" thickBot="1">
      <c r="B46" s="667" t="inlineStr">
        <is>
          <t>Line 26000</t>
        </is>
      </c>
      <c r="C46" s="36">
        <f>(_xlfn.XLOOKUP(MainClient,Clients!D:D,Clients!AFS:AFS,2,0,1))</f>
        <v/>
      </c>
      <c r="F46" s="35" t="n"/>
      <c r="G46" s="34">
        <f>IF(E69&gt;E41,"other transferable credits","DTC Only")</f>
        <v/>
      </c>
      <c r="H46" s="35" t="n"/>
      <c r="J46" s="667" t="inlineStr">
        <is>
          <t>Line 26000</t>
        </is>
      </c>
      <c r="K46" s="36">
        <f>(_xlfn.XLOOKUP(MainClient,Clients!D:D,Clients!BGN:BGN,2,0,1))</f>
        <v/>
      </c>
      <c r="N46" s="35" t="n"/>
      <c r="O46" s="34">
        <f>IF(M69&gt;M41,"other transferable credits","DTC Only")</f>
        <v/>
      </c>
      <c r="P46" s="35" t="n"/>
    </row>
    <row r="47" ht="15.75" customHeight="1" thickBot="1">
      <c r="B47" s="34" t="n"/>
      <c r="F47" s="35" t="n"/>
      <c r="G47" s="34" t="n"/>
      <c r="H47" s="35" t="n"/>
      <c r="J47" s="34" t="n"/>
      <c r="N47" s="35" t="n"/>
      <c r="O47" s="34" t="n"/>
      <c r="P47" s="35" t="n"/>
    </row>
    <row r="48" ht="15.75" customHeight="1" thickBot="1">
      <c r="B48" s="55" t="inlineStr">
        <is>
          <t>Line 58040</t>
        </is>
      </c>
      <c r="C48" s="36">
        <f>(_xlfn.XLOOKUP(ClientNumber,Clients!D:D,Clients!ANQ:ANQ,2,0,1))</f>
        <v/>
      </c>
      <c r="F48" s="35" t="n"/>
      <c r="G48" s="34" t="n"/>
      <c r="H48" s="35" t="n"/>
      <c r="J48" s="55" t="inlineStr">
        <is>
          <t>Line 58040</t>
        </is>
      </c>
      <c r="K48" s="36">
        <f>(_xlfn.XLOOKUP(MainClient,Clients!D:D,Clients!BOL:BOL,2,0,1))</f>
        <v/>
      </c>
      <c r="N48" s="35" t="n"/>
      <c r="O48" s="34" t="n"/>
      <c r="P48" s="35" t="n"/>
    </row>
    <row r="49" ht="15.75" customHeight="1" thickBot="1">
      <c r="B49" s="55" t="inlineStr">
        <is>
          <t>Line 58240</t>
        </is>
      </c>
      <c r="C49" s="36">
        <f>(_xlfn.XLOOKUP(ClientNumber,Clients!D:D,Clients!AOF:AOF,2,0,1))</f>
        <v/>
      </c>
      <c r="F49" s="35" t="n"/>
      <c r="G49" s="34" t="n"/>
      <c r="H49" s="35" t="n"/>
      <c r="J49" s="55" t="inlineStr">
        <is>
          <t>Line 58240</t>
        </is>
      </c>
      <c r="K49" s="36">
        <f>(_xlfn.XLOOKUP(MainClient,Clients!D:D,Clients!BPA:BPA,2,0,1))</f>
        <v/>
      </c>
      <c r="N49" s="35" t="n"/>
      <c r="O49" s="34" t="n"/>
      <c r="P49" s="35" t="n"/>
    </row>
    <row r="50" ht="15.75" customHeight="1" thickBot="1">
      <c r="B50" s="55" t="inlineStr">
        <is>
          <t>Line 58280</t>
        </is>
      </c>
      <c r="C50" s="36">
        <f>(_xlfn.XLOOKUP(ClientNumber,Clients!D:D,Clients!AOG:AOG,2,0,1))</f>
        <v/>
      </c>
      <c r="F50" s="35" t="n"/>
      <c r="G50" s="34" t="n"/>
      <c r="H50" s="35" t="n"/>
      <c r="J50" s="55" t="inlineStr">
        <is>
          <t>Line 58280</t>
        </is>
      </c>
      <c r="K50" s="36">
        <f>(_xlfn.XLOOKUP(MainClient,Clients!D:D,Clients!BPB:BPB,2,0,1))</f>
        <v/>
      </c>
      <c r="N50" s="35" t="n"/>
      <c r="P50" s="35" t="n"/>
    </row>
    <row r="51" ht="15.75" customHeight="1" thickBot="1">
      <c r="B51" s="55" t="inlineStr">
        <is>
          <t>Line 58300</t>
        </is>
      </c>
      <c r="C51" s="36">
        <f>(_xlfn.XLOOKUP(ClientNumber,Clients!D:D,Clients!AOH:AOH,2,0,1))</f>
        <v/>
      </c>
      <c r="F51" s="35" t="n"/>
      <c r="G51" s="34" t="n"/>
      <c r="H51" s="35" t="n"/>
      <c r="J51" s="55" t="inlineStr">
        <is>
          <t>Line 58300</t>
        </is>
      </c>
      <c r="K51" s="36">
        <f>(_xlfn.XLOOKUP(MainClient,Clients!D:D,Clients!BPC:BPC,2,0,1))</f>
        <v/>
      </c>
      <c r="N51" s="35" t="n"/>
      <c r="O51" s="34" t="n"/>
      <c r="P51" s="35" t="n"/>
    </row>
    <row r="52" ht="15.75" customHeight="1" thickBot="1">
      <c r="B52" s="55" t="inlineStr">
        <is>
          <t>Line 58305</t>
        </is>
      </c>
      <c r="C52" s="36">
        <f>(_xlfn.XLOOKUP(ClientNumber,Clients!D:D,Clients!AOI:AOI,2,0,1))</f>
        <v/>
      </c>
      <c r="F52" s="35" t="n"/>
      <c r="G52" s="34" t="n"/>
      <c r="H52" s="35" t="n"/>
      <c r="J52" s="55" t="inlineStr">
        <is>
          <t>Line 58305</t>
        </is>
      </c>
      <c r="K52" s="36">
        <f>(_xlfn.XLOOKUP(MainClient,Clients!D:D,Clients!BPD:BPD,2,0,1))</f>
        <v/>
      </c>
      <c r="N52" s="35" t="n"/>
      <c r="O52" s="34" t="n"/>
      <c r="P52" s="35" t="n"/>
    </row>
    <row r="53" ht="15.75" customHeight="1" thickBot="1">
      <c r="B53" s="55" t="inlineStr">
        <is>
          <t>Line 58330</t>
        </is>
      </c>
      <c r="C53" s="36">
        <f>(_xlfn.XLOOKUP(ClientNumber,Clients!D:D,Clients!AOP:AOP,2,0,1))</f>
        <v/>
      </c>
      <c r="F53" s="35" t="n"/>
      <c r="G53" s="34" t="n"/>
      <c r="H53" s="35" t="n"/>
      <c r="J53" s="55" t="inlineStr">
        <is>
          <t>Line 58330</t>
        </is>
      </c>
      <c r="K53" s="36">
        <f>(_xlfn.XLOOKUP(MainClient,Clients!D:D,Clients!BPK:BPK,2,0,1))</f>
        <v/>
      </c>
      <c r="N53" s="35" t="n"/>
      <c r="O53" s="34" t="n"/>
      <c r="P53" s="35" t="n"/>
    </row>
    <row r="54" ht="15.75" customHeight="1" thickBot="1">
      <c r="B54" s="55" t="inlineStr">
        <is>
          <t>Line 58560</t>
        </is>
      </c>
      <c r="C54" s="36">
        <f>(_xlfn.XLOOKUP(ClientNumber,Clients!D:D,Clients!AOX:AOX,2,0,1))</f>
        <v/>
      </c>
      <c r="F54" s="35" t="n"/>
      <c r="G54" s="34" t="n"/>
      <c r="H54" s="35" t="n"/>
      <c r="J54" s="55" t="inlineStr">
        <is>
          <t>Line 58560</t>
        </is>
      </c>
      <c r="K54" s="36">
        <f>(_xlfn.XLOOKUP(MainClient,Clients!D:D,Clients!BPS:BPS,2,0,1))</f>
        <v/>
      </c>
      <c r="N54" s="35" t="n"/>
      <c r="O54" s="34" t="n"/>
      <c r="P54" s="35" t="n"/>
    </row>
    <row r="55" ht="15.75" customHeight="1" thickBot="1">
      <c r="B55" s="55" t="n"/>
      <c r="C55" s="36" t="n"/>
      <c r="F55" s="35" t="n"/>
      <c r="G55" s="34" t="n"/>
      <c r="H55" s="35" t="n"/>
      <c r="J55" s="55" t="n"/>
      <c r="K55" s="36" t="n"/>
      <c r="N55" s="35" t="n"/>
      <c r="O55" s="34" t="n"/>
      <c r="P55" s="35" t="n"/>
    </row>
    <row r="56" ht="15.75" customHeight="1" thickBot="1">
      <c r="B56" s="55" t="n"/>
      <c r="C56" s="36" t="n"/>
      <c r="F56" s="35" t="n"/>
      <c r="G56" s="34" t="n"/>
      <c r="H56" s="35" t="n"/>
      <c r="J56" s="55" t="n"/>
      <c r="K56" s="36" t="n"/>
      <c r="N56" s="35" t="n"/>
      <c r="O56" s="34" t="n"/>
      <c r="P56" s="35" t="n"/>
    </row>
    <row r="57" ht="15.75" customHeight="1" thickBot="1">
      <c r="B57" s="55" t="n"/>
      <c r="C57" s="36" t="n"/>
      <c r="F57" s="35" t="n"/>
      <c r="G57" s="34" t="n"/>
      <c r="H57" s="35" t="n"/>
      <c r="J57" s="55" t="n"/>
      <c r="K57" s="36" t="n"/>
      <c r="N57" s="35" t="n"/>
      <c r="O57" s="34" t="n"/>
      <c r="P57" s="35" t="n"/>
    </row>
    <row r="58" ht="15.75" customHeight="1" thickBot="1">
      <c r="B58" s="55" t="n"/>
      <c r="C58" s="36" t="n"/>
      <c r="F58" s="35" t="n"/>
      <c r="G58" s="34" t="inlineStr">
        <is>
          <t>Line 326</t>
        </is>
      </c>
      <c r="H58" s="35">
        <f>IF(TransferName="NONE",0,(_xlfn.XLOOKUP(TransferNumber,Clients!D:D,Clients!CIH:CIH,2,0,1)))</f>
        <v/>
      </c>
      <c r="J58" s="55" t="n"/>
      <c r="K58" s="36" t="n"/>
      <c r="N58" s="35" t="n"/>
      <c r="O58" s="34" t="inlineStr">
        <is>
          <t>Line 326</t>
        </is>
      </c>
      <c r="P58" s="35">
        <f>IFERROR(_xlfn.XLOOKUP(TransferNumber,Clients!D:D,Clients!FJZ:FJZ,2,0,1),0)</f>
        <v/>
      </c>
    </row>
    <row r="59" ht="15.75" customHeight="1" thickBot="1">
      <c r="B59" s="55" t="n"/>
      <c r="C59" s="36" t="n"/>
      <c r="F59" s="35" t="n"/>
      <c r="G59" s="34" t="n"/>
      <c r="H59" s="35" t="n"/>
      <c r="J59" s="55" t="n"/>
      <c r="K59" s="36" t="n"/>
      <c r="N59" s="35" t="n"/>
      <c r="O59" s="34" t="n"/>
      <c r="P59" s="35" t="n"/>
    </row>
    <row r="60" ht="15.75" customHeight="1" thickBot="1">
      <c r="B60" s="55" t="n"/>
      <c r="C60" s="36" t="n"/>
      <c r="F60" s="35" t="n"/>
      <c r="G60" s="34" t="n"/>
      <c r="H60" s="35" t="n"/>
      <c r="J60" s="55" t="n"/>
      <c r="K60" s="36" t="n"/>
      <c r="N60" s="35" t="n"/>
      <c r="O60" s="34" t="n"/>
      <c r="P60" s="35" t="n"/>
    </row>
    <row r="61" ht="15.75" customHeight="1" thickBot="1">
      <c r="B61" s="55" t="n"/>
      <c r="C61" s="36" t="n"/>
      <c r="F61" s="35" t="n"/>
      <c r="G61" s="34" t="n"/>
      <c r="H61" s="35" t="n"/>
      <c r="J61" s="55" t="n"/>
      <c r="K61" s="36" t="n"/>
      <c r="N61" s="35" t="n"/>
      <c r="O61" s="34" t="n"/>
      <c r="P61" s="35" t="n"/>
    </row>
    <row r="62" ht="15.75" customHeight="1" thickBot="1">
      <c r="B62" s="55" t="n"/>
      <c r="C62" s="36" t="n"/>
      <c r="F62" s="35" t="n"/>
      <c r="G62" s="34" t="n"/>
      <c r="H62" s="35">
        <f>IF(E67&gt;0,E43-G43,0)</f>
        <v/>
      </c>
      <c r="J62" s="55" t="n"/>
      <c r="K62" s="36" t="n"/>
      <c r="N62" s="35" t="n"/>
      <c r="O62" s="34" t="n"/>
      <c r="P62" s="35">
        <f>IF(M67&gt;0,M43-O43,0)</f>
        <v/>
      </c>
    </row>
    <row r="63" ht="15.75" customHeight="1" thickBot="1">
      <c r="B63" s="55" t="n"/>
      <c r="C63" s="36" t="n"/>
      <c r="F63" s="35" t="n"/>
      <c r="H63" s="52">
        <f>IF(TransferName="NONE",F68,IF(H62&gt;0,(E67-G43)*0.0505,0))</f>
        <v/>
      </c>
      <c r="J63" s="55" t="n"/>
      <c r="K63" s="36" t="n"/>
      <c r="N63" s="35" t="n"/>
      <c r="P63" s="52">
        <f>IF(TransferName="NONE",N68,IF(P62&gt;0,(M67-O43)*0.0505,0))</f>
        <v/>
      </c>
    </row>
    <row r="64">
      <c r="B64" s="667" t="n"/>
      <c r="F64" s="35" t="n"/>
      <c r="G64" s="34" t="inlineStr">
        <is>
          <t>Transferable</t>
        </is>
      </c>
      <c r="H64" s="52">
        <f>IF(H63&gt;0,H63,0)</f>
        <v/>
      </c>
      <c r="J64" s="667" t="n"/>
      <c r="N64" s="35" t="n"/>
      <c r="O64" s="34" t="inlineStr">
        <is>
          <t>Transferable</t>
        </is>
      </c>
      <c r="P64" s="52">
        <f>IF(P63&gt;0,P63,0)</f>
        <v/>
      </c>
    </row>
    <row r="65">
      <c r="B65" s="667" t="inlineStr">
        <is>
          <t>Adjusted Taxable Income</t>
        </is>
      </c>
      <c r="C65">
        <f>C46-(SUM(C48:C63))</f>
        <v/>
      </c>
      <c r="D65" s="13" t="inlineStr">
        <is>
          <t>Line 5864</t>
        </is>
      </c>
      <c r="E65" s="39">
        <f>IF(C65&gt;0,C65,0)</f>
        <v/>
      </c>
      <c r="F65" s="35" t="n"/>
      <c r="G65" s="34" t="n"/>
      <c r="H65" s="35" t="n"/>
      <c r="J65" s="667" t="inlineStr">
        <is>
          <t>Adjusted Taxable Income</t>
        </is>
      </c>
      <c r="K65">
        <f>K46-(SUM(K48:K63))</f>
        <v/>
      </c>
      <c r="L65" s="13" t="inlineStr">
        <is>
          <t>Line 5864</t>
        </is>
      </c>
      <c r="M65" s="39">
        <f>IF(K65&gt;0,K65,0)</f>
        <v/>
      </c>
      <c r="N65" s="35" t="n"/>
      <c r="O65" s="34" t="n"/>
      <c r="P65" s="35" t="n"/>
    </row>
    <row r="66" ht="15.75" customHeight="1" thickBot="1">
      <c r="B66" s="34" t="n"/>
      <c r="F66" s="35" t="n"/>
      <c r="G66" s="34" t="n"/>
      <c r="H66" s="35" t="n"/>
      <c r="J66" s="34" t="n"/>
      <c r="N66" s="35" t="n"/>
      <c r="O66" s="34" t="n"/>
      <c r="P66" s="35" t="n"/>
    </row>
    <row r="67" ht="15.75" customHeight="1" thickBot="1">
      <c r="B67" s="34" t="n"/>
      <c r="D67" s="21" t="inlineStr">
        <is>
          <t>Prov Trans</t>
        </is>
      </c>
      <c r="E67" s="36">
        <f>(E43-E65)</f>
        <v/>
      </c>
      <c r="F67" s="40" t="n"/>
      <c r="G67" s="34" t="n"/>
      <c r="H67" s="52" t="n"/>
      <c r="J67" s="34" t="n"/>
      <c r="L67" s="21" t="inlineStr">
        <is>
          <t>Prov Trans</t>
        </is>
      </c>
      <c r="M67" s="36">
        <f>(M43-M65)</f>
        <v/>
      </c>
      <c r="N67" s="40" t="n"/>
      <c r="O67" s="34" t="n"/>
      <c r="P67" s="52" t="n"/>
    </row>
    <row r="68" ht="15.75" customHeight="1" thickBot="1">
      <c r="B68" s="34" t="n"/>
      <c r="C68" s="579" t="inlineStr">
        <is>
          <t>DTC Transferable ESTIMATE</t>
        </is>
      </c>
      <c r="D68" s="35" t="n"/>
      <c r="E68" s="36">
        <f>IF(E67&lt;0,0,(IF(E67&gt;E41,E41,E67)))</f>
        <v/>
      </c>
      <c r="F68" s="40">
        <f>IF(E68&gt;0,E68*0.0505,"No Transfer Required")</f>
        <v/>
      </c>
      <c r="G68" s="678" t="n"/>
      <c r="H68" s="52" t="n"/>
      <c r="J68" s="34" t="n"/>
      <c r="K68" s="579" t="inlineStr">
        <is>
          <t>DTC Transferable ESTIMATE</t>
        </is>
      </c>
      <c r="L68" s="35" t="n"/>
      <c r="M68" s="36">
        <f>IF(M67&lt;0,0,(IF(M67&gt;M41,M41,M67)))</f>
        <v/>
      </c>
      <c r="N68" s="40">
        <f>IF(M68&gt;0,M68*0.0505,"No Transfer Required")</f>
        <v/>
      </c>
      <c r="O68" s="58" t="n"/>
      <c r="P68" s="52" t="n"/>
    </row>
    <row r="69" ht="15.75" customHeight="1" thickBot="1">
      <c r="B69" s="42" t="n"/>
      <c r="C69" s="41" t="n"/>
      <c r="D69" s="43" t="inlineStr">
        <is>
          <t>Net Transferable</t>
        </is>
      </c>
      <c r="E69" s="36">
        <f>IF(E67&lt;0,0,(IF(E67-G39-G40-G42&lt;0,E67,(E67-G39-G40-G42))))</f>
        <v/>
      </c>
      <c r="F69" s="57">
        <f>IF(E69&gt;0,E69*0.0505,"0")</f>
        <v/>
      </c>
      <c r="G69" s="42" t="n"/>
      <c r="H69" s="864" t="n"/>
      <c r="J69" s="42" t="n"/>
      <c r="K69" s="41" t="n"/>
      <c r="L69" s="43" t="inlineStr">
        <is>
          <t>Net Transferable</t>
        </is>
      </c>
      <c r="M69" s="36">
        <f>IF(M67&lt;0,0,(IF(M67-O39-O40-O42&lt;0,M67,(M67-O39-O40-O42))))</f>
        <v/>
      </c>
      <c r="N69" s="57">
        <f>IF(M69&gt;0,M69*0.0505,"0")</f>
        <v/>
      </c>
      <c r="O69" s="59" t="n"/>
      <c r="P69" s="864" t="n"/>
    </row>
    <row r="71" ht="15" customHeight="1" thickBot="1">
      <c r="E71">
        <f>Calculator!$D$5</f>
        <v/>
      </c>
      <c r="H71">
        <f>TransferName</f>
        <v/>
      </c>
      <c r="M71">
        <f>Calculator!$D$5</f>
        <v/>
      </c>
      <c r="P71">
        <f>TransferName</f>
        <v/>
      </c>
    </row>
    <row r="72" ht="15.75" customHeight="1" thickBot="1">
      <c r="B72" s="881" t="inlineStr">
        <is>
          <t>2020 ONTARIO Provincial</t>
        </is>
      </c>
      <c r="C72" s="778" t="n"/>
      <c r="D72" s="778" t="n"/>
      <c r="E72" s="778" t="n"/>
      <c r="F72" s="778" t="n"/>
      <c r="G72" s="778" t="n"/>
      <c r="H72" s="780" t="n"/>
      <c r="J72" s="881" t="inlineStr">
        <is>
          <t>2019 ONTARIO Provincial</t>
        </is>
      </c>
      <c r="K72" s="778" t="n"/>
      <c r="L72" s="778" t="n"/>
      <c r="M72" s="778" t="n"/>
      <c r="N72" s="778" t="n"/>
      <c r="O72" s="778" t="n"/>
      <c r="P72" s="780" t="n"/>
    </row>
    <row r="73" ht="28.5" customHeight="1" thickBot="1">
      <c r="B73" s="34" t="n"/>
      <c r="D73" t="inlineStr">
        <is>
          <t>Line</t>
        </is>
      </c>
      <c r="E73" t="inlineStr">
        <is>
          <t>Amt</t>
        </is>
      </c>
      <c r="F73" s="35" t="n"/>
      <c r="G73" s="667" t="inlineStr">
        <is>
          <t>Spouse</t>
        </is>
      </c>
      <c r="H73" s="35" t="inlineStr">
        <is>
          <t>S2 Adjustment</t>
        </is>
      </c>
      <c r="J73" s="34" t="n"/>
      <c r="L73" t="inlineStr">
        <is>
          <t>Line</t>
        </is>
      </c>
      <c r="M73" t="inlineStr">
        <is>
          <t>Amt</t>
        </is>
      </c>
      <c r="N73" s="35" t="n"/>
      <c r="O73" s="34" t="inlineStr">
        <is>
          <t>Spouse</t>
        </is>
      </c>
      <c r="P73" s="35" t="inlineStr">
        <is>
          <t>S2 Adjustment</t>
        </is>
      </c>
    </row>
    <row r="74" ht="15.75" customHeight="1" thickBot="1">
      <c r="B74" s="667" t="inlineStr">
        <is>
          <t>Age Amount</t>
        </is>
      </c>
      <c r="D74" t="inlineStr">
        <is>
          <t>Line 58080</t>
        </is>
      </c>
      <c r="E74" s="861">
        <f>(_xlfn.XLOOKUP(ClientNumber,Clients!D:D,Clients!CPH:CPH,2,0,1))</f>
        <v/>
      </c>
      <c r="F74" s="37" t="inlineStr">
        <is>
          <t>Line 59020</t>
        </is>
      </c>
      <c r="G74" s="51">
        <f>IF(TransferName="NONE",0,(_xlfn.XLOOKUP(TransferNumber,Clients!D:D,Clients!CRJ:CRJ,2,0,1)))</f>
        <v/>
      </c>
      <c r="H74" s="37">
        <f>IF(AND(E74&gt;0,G74=0),"Age Amount Can Be Transferred","No Action")</f>
        <v/>
      </c>
      <c r="J74" s="667" t="inlineStr">
        <is>
          <t>Age Amount</t>
        </is>
      </c>
      <c r="L74" t="inlineStr">
        <is>
          <t>Line 58080</t>
        </is>
      </c>
      <c r="M74" s="865">
        <f>(_xlfn.XLOOKUP(MainClient,Clients!D:D,Clients!DQC:DQC,2,0,1))</f>
        <v/>
      </c>
      <c r="N74" s="37" t="inlineStr">
        <is>
          <t>Line 59020</t>
        </is>
      </c>
      <c r="O74" s="51">
        <f>IF(TransferName="NONE",0,(_xlfn.XLOOKUP(TransferNumber,Clients!D:D,Clients!DSE:DSE,2,0,1)))</f>
        <v/>
      </c>
      <c r="P74" s="37">
        <f>IF(AND(M74&gt;0,O74=0),"Age Amount Can Be Transferred","No Action")</f>
        <v/>
      </c>
    </row>
    <row r="75" ht="15.75" customHeight="1" thickBot="1">
      <c r="B75" s="667" t="inlineStr">
        <is>
          <t>Pension Income Amount</t>
        </is>
      </c>
      <c r="D75" t="inlineStr">
        <is>
          <t>Line 58360 (mx 1491)</t>
        </is>
      </c>
      <c r="E75" s="861">
        <f>IF((_xlfn.XLOOKUP(ClientNumber,Clients!D:D,Clients!CQH:CQH,2,0,1)&lt;1491),(_xlfn.XLOOKUP(MainClient,Clients!D:D,Clients!ERZ:ERZ,2,0,1)),1491)</f>
        <v/>
      </c>
      <c r="F75" s="37" t="inlineStr">
        <is>
          <t>Line 59050</t>
        </is>
      </c>
      <c r="G75" s="51">
        <f>IF(TransferName="NONE",0,(_xlfn.XLOOKUP(TransferNumber,Clients!D:D,Clients!CRM:CRM,2,0,1)))</f>
        <v/>
      </c>
      <c r="H75" s="37">
        <f>IF(AND(E75&gt;0,G75=0),"Pension Income Amount Can Be Transferred","No Action")</f>
        <v/>
      </c>
      <c r="J75" s="667" t="inlineStr">
        <is>
          <t>Pension Income Amount</t>
        </is>
      </c>
      <c r="L75" t="inlineStr">
        <is>
          <t>Line 58360 (mx 1463)</t>
        </is>
      </c>
      <c r="M75" s="865">
        <f>IF((_xlfn.XLOOKUP(ClientNumber,Clients!D:D,Clients!DRC:DRC,2,0,1)&lt;1463),(_xlfn.XLOOKUP(MainClient,Clients!D:D,Clients!DRC:DRC,2,0,1)),1463)</f>
        <v/>
      </c>
      <c r="N75" s="37" t="inlineStr">
        <is>
          <t>Line 59050</t>
        </is>
      </c>
      <c r="O75" s="51">
        <f>IF(TransferName="NONE",0,(_xlfn.XLOOKUP(TransferNumber,Clients!D:D,Clients!DSH:DSH,2,0,1)))</f>
        <v/>
      </c>
      <c r="P75" s="37">
        <f>IF(AND(M75&gt;0,O75=0),"Pension Income Amount Can Be Transferred","No Action")</f>
        <v/>
      </c>
    </row>
    <row r="76" ht="15.75" customHeight="1" thickBot="1">
      <c r="B76" s="667" t="inlineStr">
        <is>
          <t>Disability Amount</t>
        </is>
      </c>
      <c r="D76" t="inlineStr">
        <is>
          <t>Line 58440</t>
        </is>
      </c>
      <c r="E76" s="861">
        <f>IF(_xlfn.XLOOKUP(ClientNumber,Clients!D:D,Clients!CQJ:CQJ,2,0,1)=0,8712,(_xlfn.XLOOKUP(MainClient,Clients!D:D,Clients!CQJ:CQJ,2,0,1)))</f>
        <v/>
      </c>
      <c r="F76" s="37" t="inlineStr">
        <is>
          <t>Line 59070</t>
        </is>
      </c>
      <c r="G76" s="51">
        <f>IF(TransferName="NONE",0,(_xlfn.XLOOKUP(TransferNumber,Clients!D:D,Clients!CRN:CRN,2,0,1)))</f>
        <v/>
      </c>
      <c r="H76" s="37">
        <f>IF(AND(E76&gt;0,G76=0),"DTC Transferable Not Claimed Can Be Transferred","No Action")</f>
        <v/>
      </c>
      <c r="J76" s="667" t="inlineStr">
        <is>
          <t>Disability Amount</t>
        </is>
      </c>
      <c r="L76" t="inlineStr">
        <is>
          <t>Line 58440</t>
        </is>
      </c>
      <c r="M76" s="865">
        <f>IF(_xlfn.XLOOKUP(ClientNumber,Clients!D:D,Clients!DRE:DRE,2,0,1)=0,8549,(_xlfn.XLOOKUP(MainClient,Clients!D:D,Clients!DRE:DRE,2,0,1)))</f>
        <v/>
      </c>
      <c r="N76" s="37" t="inlineStr">
        <is>
          <t>Line 59070</t>
        </is>
      </c>
      <c r="O76" s="51">
        <f>IF(TransferName="NONE",0,(_xlfn.XLOOKUP(TransferNumber,Clients!D:D,Clients!DSI:DSI,2,0,1)))</f>
        <v/>
      </c>
      <c r="P76" s="37">
        <f>IF(AND(M76&gt;0,O76=0),"DTC Transferable Not Claimed Can Be Transferred","No Action")</f>
        <v/>
      </c>
    </row>
    <row r="77">
      <c r="B77" s="667" t="n"/>
      <c r="F77" s="37" t="n"/>
      <c r="G77" s="51" t="n"/>
      <c r="H77" s="37" t="n"/>
      <c r="J77" s="667" t="n"/>
      <c r="N77" s="37" t="n"/>
      <c r="O77" s="51" t="n"/>
      <c r="P77" s="37" t="n"/>
    </row>
    <row r="78">
      <c r="B78" s="667" t="n"/>
      <c r="E78" s="771">
        <f>SUM(E74:E77)</f>
        <v/>
      </c>
      <c r="F78" s="37" t="n"/>
      <c r="G78" s="667">
        <f>SUM(G74:G77)</f>
        <v/>
      </c>
      <c r="H78" s="37" t="n"/>
      <c r="J78" s="667" t="n"/>
      <c r="M78" s="872">
        <f>SUM(M74:M77)</f>
        <v/>
      </c>
      <c r="N78" s="37" t="n"/>
      <c r="O78" s="667">
        <f>SUM(O74:O77)</f>
        <v/>
      </c>
      <c r="P78" s="37" t="n"/>
    </row>
    <row r="79">
      <c r="B79" s="667" t="n"/>
      <c r="C79" s="668" t="n"/>
      <c r="E79" s="771" t="n"/>
      <c r="F79" s="37" t="n"/>
      <c r="G79" s="668" t="n"/>
      <c r="H79" s="37" t="n"/>
      <c r="J79" s="667" t="n"/>
      <c r="K79" s="668" t="n"/>
      <c r="M79" s="872" t="n"/>
      <c r="N79" s="37" t="n"/>
      <c r="O79" s="668" t="n"/>
      <c r="P79" s="37" t="n"/>
    </row>
    <row r="80" ht="15.75" customHeight="1" thickBot="1">
      <c r="B80" s="34" t="n"/>
      <c r="F80" s="35" t="n"/>
      <c r="H80" s="35" t="n"/>
      <c r="J80" s="34" t="n"/>
      <c r="N80" s="35" t="n"/>
      <c r="P80" s="35" t="n"/>
    </row>
    <row r="81" ht="15.75" customHeight="1" thickBot="1">
      <c r="B81" s="667" t="inlineStr">
        <is>
          <t>Line 26000</t>
        </is>
      </c>
      <c r="C81" s="36">
        <f>(_xlfn.XLOOKUP(MainClient,Clients!D:D,Clients!CHI:CHI,2,0,1))</f>
        <v/>
      </c>
      <c r="F81" s="35" t="n"/>
      <c r="G81" s="34">
        <f>IF(E104&gt;E76,"other transferable credits","DTC Only")</f>
        <v/>
      </c>
      <c r="H81" s="35" t="n"/>
      <c r="J81" s="667" t="inlineStr">
        <is>
          <t>Line 26000</t>
        </is>
      </c>
      <c r="K81" s="36">
        <f>(_xlfn.XLOOKUP(MainClient,Clients!D:D,Clients!DID:DID,2,0,1))</f>
        <v/>
      </c>
      <c r="N81" s="35" t="n"/>
      <c r="O81" s="34">
        <f>IF(M104&gt;M76,"other transferable credits","DTC Only")</f>
        <v/>
      </c>
      <c r="P81" s="35" t="n"/>
    </row>
    <row r="82" ht="15.75" customHeight="1" thickBot="1">
      <c r="B82" s="34" t="n"/>
      <c r="F82" s="35" t="n"/>
      <c r="G82" s="34" t="n"/>
      <c r="H82" s="35" t="n"/>
      <c r="J82" s="34" t="n"/>
      <c r="N82" s="35" t="n"/>
      <c r="O82" s="34" t="n"/>
      <c r="P82" s="35" t="n"/>
    </row>
    <row r="83" ht="15.75" customHeight="1" thickBot="1">
      <c r="B83" s="55" t="inlineStr">
        <is>
          <t>Line 58040</t>
        </is>
      </c>
      <c r="C83" s="36">
        <f>(_xlfn.XLOOKUP(ClientNumber,Clients!D:D,Clients!CPG:CPG,2,0,1))</f>
        <v/>
      </c>
      <c r="F83" s="35" t="n"/>
      <c r="G83" s="34" t="n"/>
      <c r="H83" s="35" t="n"/>
      <c r="J83" s="55" t="inlineStr">
        <is>
          <t>Line 58040</t>
        </is>
      </c>
      <c r="K83" s="36">
        <f>(_xlfn.XLOOKUP(MainClient,Clients!D:D,Clients!DQB:DQB,2,0,1))</f>
        <v/>
      </c>
      <c r="N83" s="35" t="n"/>
      <c r="O83" s="34" t="n"/>
      <c r="P83" s="35" t="n"/>
    </row>
    <row r="84" ht="15.75" customHeight="1" thickBot="1">
      <c r="B84" s="55" t="inlineStr">
        <is>
          <t>Line 58240</t>
        </is>
      </c>
      <c r="C84" s="36">
        <f>(_xlfn.XLOOKUP(ClientNumber,Clients!D:D,Clients!CHU:CHU,2,0,1))</f>
        <v/>
      </c>
      <c r="F84" s="35" t="n"/>
      <c r="G84" s="34" t="n"/>
      <c r="H84" s="35" t="n"/>
      <c r="J84" s="55" t="inlineStr">
        <is>
          <t>Line 58240</t>
        </is>
      </c>
      <c r="K84" s="36">
        <f>(_xlfn.XLOOKUP(MainClient,Clients!D:D,Clients!DQQ:DQQ,2,0,1))</f>
        <v/>
      </c>
      <c r="N84" s="35" t="n"/>
      <c r="O84" s="34" t="n"/>
      <c r="P84" s="35" t="n"/>
    </row>
    <row r="85" ht="15.75" customHeight="1" thickBot="1">
      <c r="B85" s="55" t="inlineStr">
        <is>
          <t>Line 58280</t>
        </is>
      </c>
      <c r="C85" s="36">
        <f>(_xlfn.XLOOKUP(ClientNumber,Clients!D:D,Clients!CHV:CHV,2,0,1))</f>
        <v/>
      </c>
      <c r="F85" s="35" t="n"/>
      <c r="G85" s="34" t="n"/>
      <c r="H85" s="35" t="n"/>
      <c r="J85" s="55" t="inlineStr">
        <is>
          <t>Line 58280</t>
        </is>
      </c>
      <c r="K85" s="36">
        <f>(_xlfn.XLOOKUP(MainClient,Clients!D:D,Clients!DQR:DQR,2,0,1))</f>
        <v/>
      </c>
      <c r="N85" s="35" t="n"/>
      <c r="P85" s="35" t="n"/>
    </row>
    <row r="86" ht="15.75" customHeight="1" thickBot="1">
      <c r="B86" s="55" t="inlineStr">
        <is>
          <t>Line 58300</t>
        </is>
      </c>
      <c r="C86" s="36">
        <f>(_xlfn.XLOOKUP(ClientNumber,Clients!D:D,Clients!CHW:CHW,2,0,1))</f>
        <v/>
      </c>
      <c r="F86" s="35" t="n"/>
      <c r="G86" s="34" t="n"/>
      <c r="H86" s="35" t="n"/>
      <c r="J86" s="55" t="inlineStr">
        <is>
          <t>Line 58300</t>
        </is>
      </c>
      <c r="K86" s="36">
        <f>(_xlfn.XLOOKUP(MainClient,Clients!D:D,Clients!DQS:DQS,2,0,1))</f>
        <v/>
      </c>
      <c r="N86" s="35" t="n"/>
      <c r="O86" s="34" t="n"/>
      <c r="P86" s="35" t="n"/>
    </row>
    <row r="87" ht="15.75" customHeight="1" thickBot="1">
      <c r="B87" s="55" t="inlineStr">
        <is>
          <t>Line 58305</t>
        </is>
      </c>
      <c r="C87" s="36">
        <f>(_xlfn.XLOOKUP(ClientNumber,Clients!D:D,Clients!CIA:CIA,2,0,1))</f>
        <v/>
      </c>
      <c r="F87" s="35" t="n"/>
      <c r="G87" s="34" t="n"/>
      <c r="H87" s="35" t="n"/>
      <c r="J87" s="55" t="inlineStr">
        <is>
          <t>Line 58305</t>
        </is>
      </c>
      <c r="K87" s="36">
        <f>(_xlfn.XLOOKUP(MainClient,Clients!D:D,Clients!DQT:DQT,2,0,1))</f>
        <v/>
      </c>
      <c r="N87" s="35" t="n"/>
      <c r="O87" s="34" t="n"/>
      <c r="P87" s="35" t="n"/>
    </row>
    <row r="88" ht="15.75" customHeight="1" thickBot="1">
      <c r="B88" s="55" t="inlineStr">
        <is>
          <t>Line 58330</t>
        </is>
      </c>
      <c r="C88" s="36">
        <f>(_xlfn.XLOOKUP(ClientNumber,Clients!D:D,Clients!CQF:CQF,2,0,1))</f>
        <v/>
      </c>
      <c r="F88" s="35" t="n"/>
      <c r="G88" s="34" t="n"/>
      <c r="H88" s="35" t="n"/>
      <c r="J88" s="55" t="inlineStr">
        <is>
          <t>Line 58330</t>
        </is>
      </c>
      <c r="K88" s="36">
        <f>(_xlfn.XLOOKUP(MainClient,Clients!D:D,Clients!DRA:DRA,2,0,1))</f>
        <v/>
      </c>
      <c r="N88" s="35" t="n"/>
      <c r="O88" s="34" t="n"/>
      <c r="P88" s="35" t="n"/>
    </row>
    <row r="89" ht="15.75" customHeight="1" thickBot="1">
      <c r="B89" s="55" t="inlineStr">
        <is>
          <t>Line 58560</t>
        </is>
      </c>
      <c r="C89" s="36">
        <f>(_xlfn.XLOOKUP(ClientNumber,Clients!D:D,Clients!CQN:CQN,2,0,1))</f>
        <v/>
      </c>
      <c r="F89" s="35" t="n"/>
      <c r="G89" s="34" t="n"/>
      <c r="H89" s="35" t="n"/>
      <c r="J89" s="55" t="inlineStr">
        <is>
          <t>Line 58560</t>
        </is>
      </c>
      <c r="K89" s="36">
        <f>(_xlfn.XLOOKUP(MainClient,Clients!D:D,Clients!DRI:DRI,2,0,1))</f>
        <v/>
      </c>
      <c r="N89" s="35" t="n"/>
      <c r="O89" s="34" t="n"/>
      <c r="P89" s="35" t="n"/>
    </row>
    <row r="90" ht="15.75" customHeight="1" thickBot="1">
      <c r="B90" s="55" t="n"/>
      <c r="C90" s="36" t="n"/>
      <c r="F90" s="35" t="n"/>
      <c r="G90" s="34" t="n"/>
      <c r="H90" s="35" t="n"/>
      <c r="J90" s="55" t="n"/>
      <c r="K90" s="36" t="n"/>
      <c r="N90" s="35" t="n"/>
      <c r="O90" s="34" t="n"/>
      <c r="P90" s="35" t="n"/>
    </row>
    <row r="91" ht="15.75" customHeight="1" thickBot="1">
      <c r="B91" s="55" t="n"/>
      <c r="C91" s="36" t="n"/>
      <c r="F91" s="35" t="n"/>
      <c r="G91" s="34" t="n"/>
      <c r="H91" s="35" t="n"/>
      <c r="J91" s="55" t="n"/>
      <c r="K91" s="36" t="n"/>
      <c r="N91" s="35" t="n"/>
      <c r="O91" s="34" t="n"/>
      <c r="P91" s="35" t="n"/>
    </row>
    <row r="92" ht="15.75" customHeight="1" thickBot="1">
      <c r="B92" s="55" t="n"/>
      <c r="C92" s="36" t="n"/>
      <c r="F92" s="35" t="n"/>
      <c r="G92" s="34" t="n"/>
      <c r="H92" s="35" t="n"/>
      <c r="J92" s="55" t="n"/>
      <c r="K92" s="36" t="n"/>
      <c r="N92" s="35" t="n"/>
      <c r="O92" s="34" t="n"/>
      <c r="P92" s="35" t="n"/>
    </row>
    <row r="93" ht="15.75" customHeight="1" thickBot="1">
      <c r="B93" s="55" t="n"/>
      <c r="C93" s="36" t="n"/>
      <c r="F93" s="35" t="n"/>
      <c r="G93" s="34" t="inlineStr">
        <is>
          <t>Line 326</t>
        </is>
      </c>
      <c r="H93" s="35">
        <f>IF(TransferName="NONE",0,(_xlfn.XLOOKUP(TransferNumber,Clients!D:D,Clients!CIH:CIH,2,0,1)))</f>
        <v/>
      </c>
      <c r="J93" s="55" t="n"/>
      <c r="K93" s="36" t="n"/>
      <c r="N93" s="35" t="n"/>
      <c r="O93" s="34" t="inlineStr">
        <is>
          <t>Line 326</t>
        </is>
      </c>
      <c r="P93" s="35">
        <f>IFERROR(_xlfn.XLOOKUP(TransferNumber,Clients!D:D,Clients!FJZ:FJZ,2,0,1),0)</f>
        <v/>
      </c>
    </row>
    <row r="94" ht="15.75" customHeight="1" thickBot="1">
      <c r="B94" s="38" t="n"/>
      <c r="C94" s="36" t="n"/>
      <c r="F94" s="35" t="n"/>
      <c r="G94" s="34" t="n"/>
      <c r="H94" s="35" t="n"/>
      <c r="J94" s="38" t="n"/>
      <c r="K94" s="36" t="n"/>
      <c r="N94" s="35" t="n"/>
      <c r="O94" s="34" t="n"/>
      <c r="P94" s="35" t="n"/>
    </row>
    <row r="95" ht="15.75" customHeight="1" thickBot="1">
      <c r="B95" s="38" t="n"/>
      <c r="C95" s="36" t="n"/>
      <c r="F95" s="35" t="n"/>
      <c r="G95" s="34" t="n"/>
      <c r="H95" s="35" t="n"/>
      <c r="J95" s="38" t="n"/>
      <c r="K95" s="36" t="n"/>
      <c r="N95" s="35" t="n"/>
      <c r="O95" s="34" t="n"/>
      <c r="P95" s="35" t="n"/>
    </row>
    <row r="96" ht="15.75" customHeight="1" thickBot="1">
      <c r="B96" s="38" t="n"/>
      <c r="C96" s="36" t="n"/>
      <c r="F96" s="35" t="n"/>
      <c r="G96" s="34" t="n"/>
      <c r="H96" s="35" t="n"/>
      <c r="J96" s="38" t="n"/>
      <c r="K96" s="36" t="n"/>
      <c r="N96" s="35" t="n"/>
      <c r="O96" s="34" t="n"/>
      <c r="P96" s="35" t="n"/>
    </row>
    <row r="97" ht="15.75" customHeight="1" thickBot="1">
      <c r="B97" s="38" t="n"/>
      <c r="C97" s="36" t="n"/>
      <c r="F97" s="35" t="n"/>
      <c r="G97" s="34" t="n"/>
      <c r="H97" s="35">
        <f>IF(E102&gt;0,E78-G78,0)</f>
        <v/>
      </c>
      <c r="J97" s="38" t="n"/>
      <c r="K97" s="36" t="n"/>
      <c r="N97" s="35" t="n"/>
      <c r="O97" s="34" t="n"/>
      <c r="P97" s="35">
        <f>IF(M102&gt;0,M78-O78,0)</f>
        <v/>
      </c>
    </row>
    <row r="98" ht="15.75" customHeight="1" thickBot="1">
      <c r="B98" s="38" t="n"/>
      <c r="C98" s="36" t="n"/>
      <c r="F98" s="35" t="n"/>
      <c r="H98" s="52">
        <f>IF(TransferName="NONE",F103,IF(H97&gt;0,(E102-G78)*0.0505,0))</f>
        <v/>
      </c>
      <c r="J98" s="38" t="n"/>
      <c r="K98" s="36" t="n"/>
      <c r="N98" s="35" t="n"/>
      <c r="P98" s="52">
        <f>IF(TransferName="NONE",N103,IF(P97&gt;0,(M102-O78)*0.0505,0))</f>
        <v/>
      </c>
    </row>
    <row r="99">
      <c r="B99" s="667" t="n"/>
      <c r="F99" s="35" t="n"/>
      <c r="G99" s="34" t="inlineStr">
        <is>
          <t>Transferable</t>
        </is>
      </c>
      <c r="H99" s="52">
        <f>IF(H98&gt;0,H98,0)</f>
        <v/>
      </c>
      <c r="J99" s="667" t="n"/>
      <c r="N99" s="35" t="n"/>
      <c r="O99" s="34" t="inlineStr">
        <is>
          <t>Transferable</t>
        </is>
      </c>
      <c r="P99" s="52">
        <f>IF(P98&gt;0,P98,0)</f>
        <v/>
      </c>
    </row>
    <row r="100">
      <c r="B100" s="667" t="inlineStr">
        <is>
          <t>Adjusted Taxable Income</t>
        </is>
      </c>
      <c r="C100">
        <f>C81-(SUM(C83:C98))</f>
        <v/>
      </c>
      <c r="D100" s="13" t="inlineStr">
        <is>
          <t>Line 5864</t>
        </is>
      </c>
      <c r="E100" s="39">
        <f>IF(C100&gt;0,C100,0)</f>
        <v/>
      </c>
      <c r="F100" s="35" t="n"/>
      <c r="G100" s="34" t="n"/>
      <c r="H100" s="35" t="n"/>
      <c r="J100" s="667" t="inlineStr">
        <is>
          <t>Adjusted Taxable Income</t>
        </is>
      </c>
      <c r="K100">
        <f>K81-(SUM(K83:K98))</f>
        <v/>
      </c>
      <c r="L100" s="13" t="inlineStr">
        <is>
          <t>Line 5864</t>
        </is>
      </c>
      <c r="M100" s="39">
        <f>IF(K100&gt;0,K100,0)</f>
        <v/>
      </c>
      <c r="N100" s="35" t="n"/>
      <c r="O100" s="34" t="n"/>
      <c r="P100" s="35" t="n"/>
    </row>
    <row r="101" ht="15.75" customHeight="1" thickBot="1">
      <c r="B101" s="34" t="n"/>
      <c r="F101" s="35" t="n"/>
      <c r="G101" s="34" t="n"/>
      <c r="H101" s="35" t="n"/>
      <c r="J101" s="34" t="n"/>
      <c r="N101" s="35" t="n"/>
      <c r="O101" s="34" t="n"/>
      <c r="P101" s="35" t="n"/>
    </row>
    <row r="102" ht="15.75" customHeight="1" thickBot="1">
      <c r="B102" s="34" t="n"/>
      <c r="D102" s="21" t="inlineStr">
        <is>
          <t>Prov Trans</t>
        </is>
      </c>
      <c r="E102" s="36">
        <f>(E78-E100)</f>
        <v/>
      </c>
      <c r="F102" s="40" t="n"/>
      <c r="G102" s="34" t="n"/>
      <c r="H102" s="52" t="n"/>
      <c r="J102" s="34" t="n"/>
      <c r="L102" s="21" t="inlineStr">
        <is>
          <t>Prov Trans</t>
        </is>
      </c>
      <c r="M102" s="36">
        <f>(M78-M100)</f>
        <v/>
      </c>
      <c r="N102" s="40" t="n"/>
      <c r="O102" s="34" t="n"/>
      <c r="P102" s="52" t="n"/>
    </row>
    <row r="103" ht="15.75" customHeight="1" thickBot="1">
      <c r="B103" s="34" t="n"/>
      <c r="C103" s="579" t="inlineStr">
        <is>
          <t>DTC Transferable ESTIMATE</t>
        </is>
      </c>
      <c r="D103" s="35" t="n"/>
      <c r="E103" s="36">
        <f>IF(E102&lt;0,0,(IF(E102&gt;E76,E76,E102)))</f>
        <v/>
      </c>
      <c r="F103" s="40">
        <f>IF(E103&gt;0,E103*0.0505,"No Transfer Required")</f>
        <v/>
      </c>
      <c r="G103" s="678" t="n"/>
      <c r="H103" s="52" t="n"/>
      <c r="J103" s="34" t="n"/>
      <c r="K103" s="579" t="inlineStr">
        <is>
          <t>DTC Transferable ESTIMATE</t>
        </is>
      </c>
      <c r="L103" s="35" t="n"/>
      <c r="M103" s="36">
        <f>IF(M102&lt;0,0,(IF(M102&gt;M76,M76,M102)))</f>
        <v/>
      </c>
      <c r="N103" s="40">
        <f>IF(M103&gt;0,M103*0.0505,"No Transfer Required")</f>
        <v/>
      </c>
      <c r="O103" s="58" t="n"/>
      <c r="P103" s="52" t="n"/>
    </row>
    <row r="104" ht="15.75" customHeight="1" thickBot="1">
      <c r="B104" s="42" t="n"/>
      <c r="C104" s="41" t="n"/>
      <c r="D104" s="43" t="inlineStr">
        <is>
          <t>Net Transferable</t>
        </is>
      </c>
      <c r="E104" s="36">
        <f>IF(E102&lt;0,0,(IF(E102-G74-G75-G77&lt;0,E102,(E102-G74-G75-G77))))</f>
        <v/>
      </c>
      <c r="F104" s="57">
        <f>IF(E104&gt;0,E104*0.0505,"0")</f>
        <v/>
      </c>
      <c r="G104" s="42" t="n"/>
      <c r="H104" s="864" t="n"/>
      <c r="J104" s="42" t="n"/>
      <c r="K104" s="41" t="n"/>
      <c r="L104" s="43" t="inlineStr">
        <is>
          <t>Net Transferable</t>
        </is>
      </c>
      <c r="M104" s="36">
        <f>IF(M102&lt;0,0,(IF(M102-O74-O75-O77&lt;0,M102,(M102-O74-O75-O77))))</f>
        <v/>
      </c>
      <c r="N104" s="57">
        <f>IF(M104&gt;0,M104*0.0505,"0")</f>
        <v/>
      </c>
      <c r="O104" s="59" t="n"/>
      <c r="P104" s="864" t="n"/>
    </row>
    <row r="106" ht="15.75" customHeight="1" thickBot="1">
      <c r="E106">
        <f>Calculator!$D$5</f>
        <v/>
      </c>
      <c r="H106">
        <f>TransferName</f>
        <v/>
      </c>
      <c r="M106">
        <f>Calculator!$D$5</f>
        <v/>
      </c>
      <c r="P106">
        <f>TransferName</f>
        <v/>
      </c>
    </row>
    <row r="107" ht="15.75" customHeight="1" thickBot="1">
      <c r="B107" s="881" t="inlineStr">
        <is>
          <t>2018 ONTARIO Provincial</t>
        </is>
      </c>
      <c r="C107" s="778" t="n"/>
      <c r="D107" s="778" t="n"/>
      <c r="E107" s="778" t="n"/>
      <c r="F107" s="778" t="n"/>
      <c r="G107" s="778" t="n"/>
      <c r="H107" s="780" t="n"/>
      <c r="J107" s="881" t="inlineStr">
        <is>
          <t>2017 ONTARIO Provincial</t>
        </is>
      </c>
      <c r="K107" s="778" t="n"/>
      <c r="L107" s="778" t="n"/>
      <c r="M107" s="778" t="n"/>
      <c r="N107" s="778" t="n"/>
      <c r="O107" s="778" t="n"/>
      <c r="P107" s="780" t="n"/>
    </row>
    <row r="108" ht="15.75" customHeight="1" thickBot="1">
      <c r="B108" s="34" t="n"/>
      <c r="D108" t="inlineStr">
        <is>
          <t>Line</t>
        </is>
      </c>
      <c r="E108" t="inlineStr">
        <is>
          <t>Amt</t>
        </is>
      </c>
      <c r="F108" s="35" t="n"/>
      <c r="G108" s="667" t="inlineStr">
        <is>
          <t>Spouse</t>
        </is>
      </c>
      <c r="H108" s="35" t="inlineStr">
        <is>
          <t>S2 Adjustment</t>
        </is>
      </c>
      <c r="J108" s="34" t="n"/>
      <c r="L108" t="inlineStr">
        <is>
          <t>Line</t>
        </is>
      </c>
      <c r="M108" t="inlineStr">
        <is>
          <t>Amt</t>
        </is>
      </c>
      <c r="N108" s="35" t="n"/>
      <c r="O108" s="34" t="inlineStr">
        <is>
          <t>Spouse</t>
        </is>
      </c>
      <c r="P108" s="35" t="inlineStr">
        <is>
          <t>S2 Adjustment</t>
        </is>
      </c>
    </row>
    <row r="109" ht="15.75" customHeight="1" thickBot="1">
      <c r="B109" s="667" t="inlineStr">
        <is>
          <t>Age Amount</t>
        </is>
      </c>
      <c r="D109" t="inlineStr">
        <is>
          <t>Line 5808</t>
        </is>
      </c>
      <c r="E109" s="861">
        <f>(_xlfn.XLOOKUP(ClientNumber,Clients!D:D,Clients!EQZ:EQZ,2,0,1))</f>
        <v/>
      </c>
      <c r="F109" s="37" t="inlineStr">
        <is>
          <t>Line 59020</t>
        </is>
      </c>
      <c r="G109" s="51">
        <f>IF(TransferName="NONE",0,(_xlfn.XLOOKUP(TransferNumber,Clients!D:D,Clients!ETB:ETB,2,0,1)))</f>
        <v/>
      </c>
      <c r="H109" s="37">
        <f>IF(AND(E109&gt;0,G109=0),"Age Amount Can Be Transferred","No Action")</f>
        <v/>
      </c>
      <c r="J109" s="667" t="inlineStr">
        <is>
          <t>Age Amount</t>
        </is>
      </c>
      <c r="L109" t="inlineStr">
        <is>
          <t>Line 5808</t>
        </is>
      </c>
      <c r="M109" s="865">
        <f>(_xlfn.XLOOKUP(MainClient,Clients!D:D,Clients!FRB:FRB,2,0,1))</f>
        <v/>
      </c>
      <c r="N109" s="45" t="inlineStr">
        <is>
          <t>Line 59020</t>
        </is>
      </c>
      <c r="O109" s="51">
        <f>IF(TransferName="NONE",0,(_xlfn.XLOOKUP(TransferNumber,Clients!D:D,Clients!FTD:FTD,2,0,1)))</f>
        <v/>
      </c>
      <c r="P109" s="37">
        <f>IF(AND(M109&gt;0,O109=0),"Age Amount Can Be Transferred","No Action")</f>
        <v/>
      </c>
    </row>
    <row r="110" ht="15.75" customHeight="1" thickBot="1">
      <c r="B110" s="667" t="inlineStr">
        <is>
          <t>Pension Income Amount</t>
        </is>
      </c>
      <c r="D110" t="inlineStr">
        <is>
          <t>Line 5836 (mx 1432)</t>
        </is>
      </c>
      <c r="E110" s="861">
        <f>IF((_xlfn.XLOOKUP(ClientNumber,Clients!D:D,Clients!ERZ:ERZ,2,0,1)&lt;1432),(_xlfn.XLOOKUP(MainClient,Clients!D:D,Clients!ERZ:ERZ,2,0,1)),1432)</f>
        <v/>
      </c>
      <c r="F110" s="37" t="inlineStr">
        <is>
          <t>Line 59050</t>
        </is>
      </c>
      <c r="G110" s="51">
        <f>IF(TransferName="NONE",0,(_xlfn.XLOOKUP(TransferNumber,Clients!D:D,Clients!ETE:ETE,2,0,1)))</f>
        <v/>
      </c>
      <c r="H110" s="37">
        <f>IF(AND(E110&gt;0,G110=0),"Pension Income Amount Can Be Transferred","No Action")</f>
        <v/>
      </c>
      <c r="J110" s="667" t="inlineStr">
        <is>
          <t>Pension Income Amount</t>
        </is>
      </c>
      <c r="L110" t="inlineStr">
        <is>
          <t>Line 5836 (mx 1406)</t>
        </is>
      </c>
      <c r="M110" s="865">
        <f>IF((_xlfn.XLOOKUP(ClientNumber,Clients!D:D,Clients!FSB:FSB,2,0,1)&lt;1406),(_xlfn.XLOOKUP(MainClient,Clients!D:D,Clients!FSB:FSB,2,0,1)),1406)</f>
        <v/>
      </c>
      <c r="N110" s="45" t="inlineStr">
        <is>
          <t>Line 59050</t>
        </is>
      </c>
      <c r="O110" s="51">
        <f>IF(TransferName="NONE",0,(_xlfn.XLOOKUP(TransferNumber,Clients!D:D,Clients!FTG:FTG,2,0,1)))</f>
        <v/>
      </c>
      <c r="P110" s="37">
        <f>IF(AND(M110&gt;0,O110=0),"Pension Income Amount Can Be Transferred","No Action")</f>
        <v/>
      </c>
    </row>
    <row r="111" ht="15.75" customHeight="1" thickBot="1">
      <c r="B111" s="667" t="inlineStr">
        <is>
          <t>Disability Amount</t>
        </is>
      </c>
      <c r="D111" t="inlineStr">
        <is>
          <t>Line 5844</t>
        </is>
      </c>
      <c r="E111" s="861">
        <f>IF(_xlfn.XLOOKUP(ClientNumber,Clients!D:D,Clients!ESB:ESB,2,0,1)=0,8365,(_xlfn.XLOOKUP(MainClient,Clients!D:D,Clients!ESB:ESB,2,0,1)))</f>
        <v/>
      </c>
      <c r="F111" s="37" t="inlineStr">
        <is>
          <t>Line 59070</t>
        </is>
      </c>
      <c r="G111" s="51">
        <f>IF(TransferName="NONE",0,(_xlfn.XLOOKUP(TransferNumber,Clients!D:D,Clients!ETF:ETF,2,0,1)))</f>
        <v/>
      </c>
      <c r="H111" s="37">
        <f>IF(AND(E111&gt;0,G111=0),"DTC Transferable Not Claimed Can Be Transferred","No Action")</f>
        <v/>
      </c>
      <c r="J111" s="667" t="inlineStr">
        <is>
          <t>Disability Amount</t>
        </is>
      </c>
      <c r="L111" t="inlineStr">
        <is>
          <t>Line 5844</t>
        </is>
      </c>
      <c r="M111" s="865">
        <f>IF(_xlfn.XLOOKUP(ClientNumber,Clients!D:D,Clients!FSD:FSD,2,0,1)=0,8217,(_xlfn.XLOOKUP(MainClient,Clients!D:D,Clients!FSD:FSD,2,0,1)))</f>
        <v/>
      </c>
      <c r="N111" s="45" t="inlineStr">
        <is>
          <t>Line 59070</t>
        </is>
      </c>
      <c r="O111" s="51">
        <f>IF(TransferName="NONE",0,(_xlfn.XLOOKUP(TransferNumber,Clients!D:D,Clients!FTH:FTH,2,0,1)))</f>
        <v/>
      </c>
      <c r="P111" s="37">
        <f>IF(AND(M111&gt;0,O111=0),"DTC Transferable Not Claimed Can Be Transferred","No Action")</f>
        <v/>
      </c>
    </row>
    <row r="112" ht="15.75" customHeight="1" thickBot="1">
      <c r="B112" s="667" t="n"/>
      <c r="F112" s="37" t="n"/>
      <c r="G112" s="51" t="n"/>
      <c r="H112" s="37" t="n"/>
      <c r="J112" s="667" t="inlineStr">
        <is>
          <t>Tuition Amount</t>
        </is>
      </c>
      <c r="L112" t="inlineStr">
        <is>
          <t>Line 5920</t>
        </is>
      </c>
      <c r="M112" s="865">
        <f>(_xlfn.XLOOKUP(MainClient,Clients!D:D,Clients!FTR:FTR,2,0,1))</f>
        <v/>
      </c>
      <c r="N112" s="45" t="inlineStr">
        <is>
          <t>Line 59090</t>
        </is>
      </c>
      <c r="O112" s="51">
        <f>IF(TransferName="NONE",0,(_xlfn.XLOOKUP(TransferNumber,Clients!D:D,Clients!FTI:FTI,2,0,1)))</f>
        <v/>
      </c>
      <c r="P112" s="37">
        <f>IF(AND(M112&gt;0,O112=0),"Tuition Can Be Transferred","No Action")</f>
        <v/>
      </c>
    </row>
    <row r="113">
      <c r="B113" s="667" t="n"/>
      <c r="E113" s="771">
        <f>SUM(E109:E112)</f>
        <v/>
      </c>
      <c r="F113" s="37" t="n"/>
      <c r="G113" s="667">
        <f>SUM(G109:G112)</f>
        <v/>
      </c>
      <c r="H113" s="37" t="n"/>
      <c r="J113" s="667" t="n"/>
      <c r="M113" s="872">
        <f>SUM(M109:M112)</f>
        <v/>
      </c>
      <c r="N113" s="37" t="n"/>
      <c r="O113" s="667">
        <f>SUM(O109:O112)</f>
        <v/>
      </c>
      <c r="P113" s="37" t="n"/>
    </row>
    <row r="114">
      <c r="B114" s="667" t="n"/>
      <c r="C114" s="668" t="n"/>
      <c r="E114" s="771" t="n"/>
      <c r="F114" s="37" t="n"/>
      <c r="G114" s="668" t="n"/>
      <c r="H114" s="37" t="n"/>
      <c r="J114" s="667" t="n"/>
      <c r="K114" s="668" t="n"/>
      <c r="M114" s="872" t="n"/>
      <c r="N114" s="37" t="n"/>
      <c r="O114" s="668" t="n"/>
      <c r="P114" s="37" t="n"/>
    </row>
    <row r="115" ht="15.75" customHeight="1" thickBot="1">
      <c r="B115" s="34" t="n"/>
      <c r="F115" s="35" t="n"/>
      <c r="H115" s="35" t="n"/>
      <c r="J115" s="34" t="n"/>
      <c r="N115" s="35" t="n"/>
      <c r="P115" s="35" t="n"/>
    </row>
    <row r="116" ht="15.75" customHeight="1" thickBot="1">
      <c r="B116" s="667" t="inlineStr">
        <is>
          <t>Line 260</t>
        </is>
      </c>
      <c r="C116" s="36">
        <f>(_xlfn.XLOOKUP(MainClient,Clients!D:D,Clients!EIY:EIY,2,0,1))</f>
        <v/>
      </c>
      <c r="F116" s="35" t="n"/>
      <c r="G116" s="34">
        <f>IF(E139&gt;E111,"other transferable credits","DTC Only")</f>
        <v/>
      </c>
      <c r="H116" s="35" t="n"/>
      <c r="J116" s="667" t="inlineStr">
        <is>
          <t>Line 260</t>
        </is>
      </c>
      <c r="K116" s="36">
        <f>(_xlfn.XLOOKUP(MainClient,Clients!D:D,Clients!FJA:FJA,2,0,1))</f>
        <v/>
      </c>
      <c r="N116" s="35" t="n"/>
      <c r="O116" s="34">
        <f>IF(M139&gt;M111,"other transferable credits","DTC Only")</f>
        <v/>
      </c>
      <c r="P116" s="35" t="n"/>
    </row>
    <row r="117" ht="15.75" customHeight="1" thickBot="1">
      <c r="B117" s="34" t="n"/>
      <c r="F117" s="35" t="n"/>
      <c r="G117" s="34" t="n"/>
      <c r="H117" s="35" t="n"/>
      <c r="J117" s="34" t="n"/>
      <c r="N117" s="35" t="n"/>
      <c r="O117" s="34" t="n"/>
      <c r="P117" s="35" t="n"/>
    </row>
    <row r="118" ht="15.75" customHeight="1" thickBot="1">
      <c r="B118" s="55" t="inlineStr">
        <is>
          <t>Line 5804</t>
        </is>
      </c>
      <c r="C118" s="36">
        <f>(_xlfn.XLOOKUP(ClientNumber,Clients!D:D,Clients!EQY:EQY,2,0,1))</f>
        <v/>
      </c>
      <c r="F118" s="35" t="n"/>
      <c r="G118" s="34" t="n"/>
      <c r="H118" s="35" t="n"/>
      <c r="J118" s="55" t="inlineStr">
        <is>
          <t>Line 5804</t>
        </is>
      </c>
      <c r="K118" s="36">
        <f>(_xlfn.XLOOKUP(MainClient,Clients!D:D,Clients!FRA:FRA,2,0,1))</f>
        <v/>
      </c>
      <c r="N118" s="35" t="n"/>
      <c r="O118" s="34" t="n"/>
      <c r="P118" s="35" t="n"/>
    </row>
    <row r="119" ht="15.75" customHeight="1" thickBot="1">
      <c r="B119" s="55" t="inlineStr">
        <is>
          <t>Line 5824</t>
        </is>
      </c>
      <c r="C119" s="36">
        <f>(_xlfn.XLOOKUP(ClientNumber,Clients!D:D,Clients!ERN:ERN,2,0,1))</f>
        <v/>
      </c>
      <c r="F119" s="35" t="n"/>
      <c r="G119" s="34" t="n"/>
      <c r="H119" s="35" t="n"/>
      <c r="J119" s="55" t="inlineStr">
        <is>
          <t>Line 5824</t>
        </is>
      </c>
      <c r="K119" s="36">
        <f>(_xlfn.XLOOKUP(MainClient,Clients!D:D,Clients!FRP:FRP,2,0,1))</f>
        <v/>
      </c>
      <c r="N119" s="35" t="n"/>
      <c r="O119" s="34" t="n"/>
      <c r="P119" s="35" t="n"/>
    </row>
    <row r="120" ht="15.75" customHeight="1" thickBot="1">
      <c r="B120" s="55" t="inlineStr">
        <is>
          <t>Line 5828</t>
        </is>
      </c>
      <c r="C120" s="36">
        <f>(_xlfn.XLOOKUP(ClientNumber,Clients!D:D,Clients!ERO:ERO,2,0,1))</f>
        <v/>
      </c>
      <c r="F120" s="35" t="n"/>
      <c r="G120" s="34" t="n"/>
      <c r="H120" s="35" t="n"/>
      <c r="J120" s="55" t="inlineStr">
        <is>
          <t>Line 5828</t>
        </is>
      </c>
      <c r="K120" s="36">
        <f>(_xlfn.XLOOKUP(MainClient,Clients!D:D,Clients!FRQ:FRQ,2,0,1))</f>
        <v/>
      </c>
      <c r="N120" s="35" t="n"/>
      <c r="P120" s="35" t="n"/>
    </row>
    <row r="121" ht="15.75" customHeight="1" thickBot="1">
      <c r="B121" s="55" t="inlineStr">
        <is>
          <t>Line 5832</t>
        </is>
      </c>
      <c r="C121" s="36">
        <f>(_xlfn.XLOOKUP(ClientNumber,Clients!D:D,Clients!ERP:ERP,2,0,1))</f>
        <v/>
      </c>
      <c r="F121" s="35" t="n"/>
      <c r="G121" s="34" t="n"/>
      <c r="H121" s="35" t="n"/>
      <c r="J121" s="55" t="inlineStr">
        <is>
          <t>Line 5832</t>
        </is>
      </c>
      <c r="K121" s="36">
        <f>(_xlfn.XLOOKUP(MainClient,Clients!D:D,Clients!FRR:FRR,2,0,1))</f>
        <v/>
      </c>
      <c r="N121" s="35" t="n"/>
      <c r="O121" s="34" t="n"/>
      <c r="P121" s="35" t="n"/>
    </row>
    <row r="122" ht="15.75" customHeight="1" thickBot="1">
      <c r="B122" s="55" t="inlineStr">
        <is>
          <t>Line 5829</t>
        </is>
      </c>
      <c r="C122" s="36">
        <f>(_xlfn.XLOOKUP(ClientNumber,Clients!D:D,Clients!ERQ:ERQ,2,0,1))</f>
        <v/>
      </c>
      <c r="F122" s="35" t="n"/>
      <c r="G122" s="34" t="n"/>
      <c r="H122" s="35" t="n"/>
      <c r="J122" s="55" t="inlineStr">
        <is>
          <t>Line 5829</t>
        </is>
      </c>
      <c r="K122" s="36">
        <f>(_xlfn.XLOOKUP(MainClient,Clients!D:D,Clients!FRS:FRS,2,0,1))</f>
        <v/>
      </c>
      <c r="N122" s="35" t="n"/>
      <c r="O122" s="34" t="n"/>
      <c r="P122" s="35" t="n"/>
    </row>
    <row r="123" ht="15.75" customHeight="1" thickBot="1">
      <c r="B123" s="55" t="inlineStr">
        <is>
          <t>Line 5833</t>
        </is>
      </c>
      <c r="C123" s="36">
        <f>(_xlfn.XLOOKUP(ClientNumber,Clients!D:D,Clients!ERX:ERX,2,0,1))</f>
        <v/>
      </c>
      <c r="F123" s="35" t="n"/>
      <c r="G123" s="34" t="n"/>
      <c r="H123" s="35" t="n"/>
      <c r="J123" s="55" t="inlineStr">
        <is>
          <t>Line 5833</t>
        </is>
      </c>
      <c r="K123" s="36">
        <f>(_xlfn.XLOOKUP(MainClient,Clients!D:D,Clients!FRZ:FRZ,2,0,1))</f>
        <v/>
      </c>
      <c r="N123" s="35" t="n"/>
      <c r="O123" s="34" t="n"/>
      <c r="P123" s="35" t="n"/>
    </row>
    <row r="124" ht="15.75" customHeight="1" thickBot="1">
      <c r="B124" s="55" t="inlineStr">
        <is>
          <t>Line 5856</t>
        </is>
      </c>
      <c r="C124" s="36">
        <f>(_xlfn.XLOOKUP(ClientNumber,Clients!D:D,Clients!ESF:ESF,2,0,1))</f>
        <v/>
      </c>
      <c r="F124" s="35" t="n"/>
      <c r="G124" s="34" t="n"/>
      <c r="H124" s="35" t="n"/>
      <c r="J124" s="55" t="inlineStr">
        <is>
          <t>Line 5856</t>
        </is>
      </c>
      <c r="K124" s="36">
        <f>(_xlfn.XLOOKUP(MainClient,Clients!D:D,Clients!FSH:FSH,2,0,1))</f>
        <v/>
      </c>
      <c r="N124" s="35" t="n"/>
      <c r="O124" s="34" t="n"/>
      <c r="P124" s="35" t="n"/>
    </row>
    <row r="125" ht="15.75" customHeight="1" thickBot="1">
      <c r="B125" s="55" t="n"/>
      <c r="C125" s="36" t="n"/>
      <c r="F125" s="35" t="n"/>
      <c r="G125" s="34" t="n"/>
      <c r="H125" s="35" t="n"/>
      <c r="J125" s="55" t="n"/>
      <c r="K125" s="36" t="n"/>
      <c r="N125" s="35" t="n"/>
      <c r="O125" s="34" t="n"/>
      <c r="P125" s="35" t="n"/>
    </row>
    <row r="126" ht="15.75" customHeight="1" thickBot="1">
      <c r="B126" s="55" t="n"/>
      <c r="C126" s="36" t="n"/>
      <c r="F126" s="35" t="n"/>
      <c r="G126" s="34" t="n"/>
      <c r="H126" s="35" t="n"/>
      <c r="J126" s="55" t="n"/>
      <c r="K126" s="36" t="n"/>
      <c r="N126" s="35" t="n"/>
      <c r="O126" s="34" t="n"/>
      <c r="P126" s="35" t="n"/>
    </row>
    <row r="127" ht="15.75" customHeight="1" thickBot="1">
      <c r="B127" s="55" t="n"/>
      <c r="C127" s="36" t="n"/>
      <c r="F127" s="35" t="n"/>
      <c r="G127" s="34" t="n"/>
      <c r="H127" s="35" t="n"/>
      <c r="J127" s="55" t="n"/>
      <c r="K127" s="36" t="n"/>
      <c r="N127" s="35" t="n"/>
      <c r="O127" s="34" t="n"/>
      <c r="P127" s="35" t="n"/>
    </row>
    <row r="128" ht="15.75" customHeight="1" thickBot="1">
      <c r="B128" s="55" t="n"/>
      <c r="C128" s="36" t="n"/>
      <c r="F128" s="35" t="n"/>
      <c r="G128" s="34" t="inlineStr">
        <is>
          <t>Line 326</t>
        </is>
      </c>
      <c r="H128" s="35">
        <f>IF(TransferName="NONE",0,(_xlfn.XLOOKUP(TransferNumber,Clients!D:D,Clients!EJX:EJX,2,0,1)))</f>
        <v/>
      </c>
      <c r="J128" s="55" t="n"/>
      <c r="K128" s="36" t="n"/>
      <c r="N128" s="35" t="n"/>
      <c r="O128" s="34" t="inlineStr">
        <is>
          <t>Line 326</t>
        </is>
      </c>
      <c r="P128" s="35">
        <f>IFERROR(_xlfn.XLOOKUP(TransferNumber,Clients!D:D,Clients!FJZ:FJZ,2,0,1),0)</f>
        <v/>
      </c>
    </row>
    <row r="129" ht="15.75" customHeight="1" thickBot="1">
      <c r="B129" s="38" t="n"/>
      <c r="C129" s="36" t="n"/>
      <c r="F129" s="35" t="n"/>
      <c r="G129" s="34" t="n"/>
      <c r="H129" s="35" t="n"/>
      <c r="J129" s="55" t="n"/>
      <c r="K129" s="36" t="n"/>
      <c r="N129" s="35" t="n"/>
      <c r="O129" s="34" t="n"/>
      <c r="P129" s="35" t="n"/>
    </row>
    <row r="130" ht="15.75" customHeight="1" thickBot="1">
      <c r="B130" s="38" t="n"/>
      <c r="C130" s="36" t="n"/>
      <c r="F130" s="35" t="n"/>
      <c r="G130" s="34" t="n"/>
      <c r="H130" s="35" t="n"/>
      <c r="J130" s="38" t="n"/>
      <c r="K130" s="36" t="n"/>
      <c r="N130" s="35" t="n"/>
      <c r="O130" s="34" t="n"/>
      <c r="P130" s="35" t="n"/>
    </row>
    <row r="131" ht="15.75" customHeight="1" thickBot="1">
      <c r="B131" s="38" t="n"/>
      <c r="C131" s="36" t="n"/>
      <c r="F131" s="35" t="n"/>
      <c r="G131" s="34" t="n"/>
      <c r="H131" s="35" t="n"/>
      <c r="J131" s="38" t="n"/>
      <c r="K131" s="36" t="n"/>
      <c r="N131" s="35" t="n"/>
      <c r="O131" s="34" t="n"/>
      <c r="P131" s="35" t="n"/>
    </row>
    <row r="132" ht="15.75" customHeight="1" thickBot="1">
      <c r="B132" s="38" t="n"/>
      <c r="C132" s="36" t="n"/>
      <c r="F132" s="35" t="n"/>
      <c r="G132" s="34" t="n"/>
      <c r="H132" s="35">
        <f>IF(E137&gt;0,E113-G113,0)</f>
        <v/>
      </c>
      <c r="J132" s="38" t="n"/>
      <c r="K132" s="36" t="n"/>
      <c r="N132" s="35" t="n"/>
      <c r="O132" s="34" t="n"/>
      <c r="P132" s="35">
        <f>IF(M137&gt;0,M113-O113,0)</f>
        <v/>
      </c>
    </row>
    <row r="133" ht="15.75" customHeight="1" thickBot="1">
      <c r="B133" s="38" t="n"/>
      <c r="C133" s="36" t="n"/>
      <c r="F133" s="35" t="n"/>
      <c r="H133" s="52">
        <f>IF(TransferName="NONE",F138,IF(H132&gt;0,(E137-G113)*0.0505,0))</f>
        <v/>
      </c>
      <c r="J133" s="38" t="n"/>
      <c r="K133" s="36" t="n"/>
      <c r="N133" s="35" t="n"/>
      <c r="P133" s="52">
        <f>IF(TransferName="NONE",N138,IF(P132&gt;0,(M137-O113)*0.0505,0))</f>
        <v/>
      </c>
    </row>
    <row r="134">
      <c r="B134" s="667" t="n"/>
      <c r="F134" s="35" t="n"/>
      <c r="G134" s="34" t="inlineStr">
        <is>
          <t>Transferable</t>
        </is>
      </c>
      <c r="H134" s="52">
        <f>IF(H133&gt;0,H133,0)</f>
        <v/>
      </c>
      <c r="J134" s="667" t="n"/>
      <c r="N134" s="35" t="n"/>
      <c r="O134" s="34" t="inlineStr">
        <is>
          <t>Transferable</t>
        </is>
      </c>
      <c r="P134" s="52">
        <f>IF(P133&gt;0,P133,0)</f>
        <v/>
      </c>
    </row>
    <row r="135">
      <c r="B135" s="667" t="inlineStr">
        <is>
          <t>Adjusted Taxable Income</t>
        </is>
      </c>
      <c r="C135">
        <f>C116-(SUM(C118:C133))</f>
        <v/>
      </c>
      <c r="D135" s="13" t="inlineStr">
        <is>
          <t>Line 5864</t>
        </is>
      </c>
      <c r="E135" s="39">
        <f>IF(C135&gt;0,C135,0)</f>
        <v/>
      </c>
      <c r="F135" s="35" t="n"/>
      <c r="G135" s="34" t="n"/>
      <c r="H135" s="35" t="n"/>
      <c r="J135" s="667" t="inlineStr">
        <is>
          <t>Adjusted Taxable Income</t>
        </is>
      </c>
      <c r="K135">
        <f>K116-(SUM(K118:K133))</f>
        <v/>
      </c>
      <c r="L135" s="13" t="inlineStr">
        <is>
          <t>Line 5864</t>
        </is>
      </c>
      <c r="M135" s="39">
        <f>IF(K135&gt;0,K135,0)</f>
        <v/>
      </c>
      <c r="N135" s="35" t="n"/>
      <c r="O135" s="34" t="n"/>
      <c r="P135" s="35" t="n"/>
    </row>
    <row r="136" ht="15.75" customHeight="1" thickBot="1">
      <c r="B136" s="34" t="n"/>
      <c r="F136" s="35" t="n"/>
      <c r="G136" s="34" t="n"/>
      <c r="H136" s="35" t="n"/>
      <c r="J136" s="34" t="n"/>
      <c r="N136" s="35" t="n"/>
      <c r="O136" s="34" t="n"/>
      <c r="P136" s="35" t="n"/>
    </row>
    <row r="137" ht="15.75" customHeight="1" thickBot="1">
      <c r="B137" s="34" t="n"/>
      <c r="D137" s="21" t="inlineStr">
        <is>
          <t>Prov Trans</t>
        </is>
      </c>
      <c r="E137" s="36">
        <f>(E113-E135)</f>
        <v/>
      </c>
      <c r="F137" s="40" t="n"/>
      <c r="G137" s="34" t="n"/>
      <c r="H137" s="52" t="n"/>
      <c r="J137" s="34" t="n"/>
      <c r="L137" s="21" t="inlineStr">
        <is>
          <t>Prov Trans</t>
        </is>
      </c>
      <c r="M137" s="36">
        <f>(M113-M135)</f>
        <v/>
      </c>
      <c r="N137" s="40" t="n"/>
      <c r="O137" s="34" t="n"/>
      <c r="P137" s="52" t="n"/>
    </row>
    <row r="138" ht="15.75" customHeight="1" thickBot="1">
      <c r="B138" s="34" t="n"/>
      <c r="C138" s="579" t="inlineStr">
        <is>
          <t>DTC Transferable ESTIMATE</t>
        </is>
      </c>
      <c r="D138" s="35" t="n"/>
      <c r="E138" s="36">
        <f>IF(E137&lt;0,0,(IF(E137&gt;E111,E111,E137)))</f>
        <v/>
      </c>
      <c r="F138" s="40">
        <f>IF(E138&gt;0,E138*0.0505,"No Transfer Required")</f>
        <v/>
      </c>
      <c r="G138" s="678" t="n"/>
      <c r="H138" s="52" t="n"/>
      <c r="J138" s="34" t="n"/>
      <c r="K138" s="579" t="inlineStr">
        <is>
          <t>DTC Transferable ESTIMATE</t>
        </is>
      </c>
      <c r="L138" s="35" t="n"/>
      <c r="M138" s="36">
        <f>IF(M137&lt;0,0,(IF(M137&gt;M111,M111,M137)))</f>
        <v/>
      </c>
      <c r="N138" s="40">
        <f>IF(M138&gt;0,M138*0.0505,"No Transfer Required")</f>
        <v/>
      </c>
      <c r="O138" s="58" t="n"/>
      <c r="P138" s="52" t="n"/>
    </row>
    <row r="139" ht="15.75" customHeight="1" thickBot="1">
      <c r="B139" s="42" t="n"/>
      <c r="C139" s="41" t="n"/>
      <c r="D139" s="43" t="inlineStr">
        <is>
          <t>Net Transferable</t>
        </is>
      </c>
      <c r="E139" s="36">
        <f>IF(E137&lt;0,0,(IF(E137-G109-G110-G112&lt;0,E137,(E137-G109-G110-G112))))</f>
        <v/>
      </c>
      <c r="F139" s="57">
        <f>IF(E139&gt;0,E139*0.0505,"0")</f>
        <v/>
      </c>
      <c r="G139" s="42" t="n"/>
      <c r="H139" s="864" t="n"/>
      <c r="J139" s="42" t="n"/>
      <c r="K139" s="41" t="n"/>
      <c r="L139" s="43" t="inlineStr">
        <is>
          <t>Net Transferable</t>
        </is>
      </c>
      <c r="M139" s="36">
        <f>IF(M137&lt;0,0,(IF(M137-O109-O110-O112&lt;0,M137,(M137-O109-O110-O112))))</f>
        <v/>
      </c>
      <c r="N139" s="57">
        <f>IF(M139&gt;0,M139*0.0505,"0")</f>
        <v/>
      </c>
      <c r="O139" s="59" t="n"/>
      <c r="P139" s="864" t="n"/>
    </row>
    <row r="141" ht="15.75" customHeight="1" thickBot="1">
      <c r="E141">
        <f>Calculator!$D$5</f>
        <v/>
      </c>
      <c r="H141">
        <f>TransferName</f>
        <v/>
      </c>
      <c r="M141">
        <f>Calculator!$D$5</f>
        <v/>
      </c>
      <c r="P141">
        <f>TransferName</f>
        <v/>
      </c>
    </row>
    <row r="142" ht="15.75" customHeight="1" thickBot="1">
      <c r="B142" s="881" t="inlineStr">
        <is>
          <t>2016 ONTARIO Provincial</t>
        </is>
      </c>
      <c r="C142" s="778" t="n"/>
      <c r="D142" s="778" t="n"/>
      <c r="E142" s="778" t="n"/>
      <c r="F142" s="778" t="n"/>
      <c r="G142" s="778" t="n"/>
      <c r="H142" s="780" t="n"/>
      <c r="J142" s="881" t="inlineStr">
        <is>
          <t>2015 ONTARIO Provincial</t>
        </is>
      </c>
      <c r="K142" s="778" t="n"/>
      <c r="L142" s="778" t="n"/>
      <c r="M142" s="778" t="n"/>
      <c r="N142" s="778" t="n"/>
      <c r="O142" s="778" t="n"/>
      <c r="P142" s="780" t="n"/>
    </row>
    <row r="143" ht="15.75" customHeight="1" thickBot="1">
      <c r="B143" s="34" t="n"/>
      <c r="D143" t="inlineStr">
        <is>
          <t>Line</t>
        </is>
      </c>
      <c r="E143" t="inlineStr">
        <is>
          <t>Amt</t>
        </is>
      </c>
      <c r="F143" s="35" t="n"/>
      <c r="G143" s="667" t="inlineStr">
        <is>
          <t>Spouse</t>
        </is>
      </c>
      <c r="H143" s="35" t="inlineStr">
        <is>
          <t>S2 Adjustment</t>
        </is>
      </c>
      <c r="J143" s="34" t="n"/>
      <c r="L143" t="inlineStr">
        <is>
          <t>Line</t>
        </is>
      </c>
      <c r="M143" t="inlineStr">
        <is>
          <t>Amt</t>
        </is>
      </c>
      <c r="N143" s="35" t="n"/>
      <c r="O143" s="34" t="inlineStr">
        <is>
          <t>Spouse</t>
        </is>
      </c>
      <c r="P143" s="35" t="inlineStr">
        <is>
          <t>S2 Adjustment</t>
        </is>
      </c>
    </row>
    <row r="144" ht="15.75" customHeight="1" thickBot="1">
      <c r="B144" s="667" t="inlineStr">
        <is>
          <t>Age Amount</t>
        </is>
      </c>
      <c r="D144" t="inlineStr">
        <is>
          <t>Line 5808</t>
        </is>
      </c>
      <c r="E144" s="861">
        <f>(_xlfn.XLOOKUP(ClientNumber,Clients!D:D,Clients!GRD:GRD,2,0,1))</f>
        <v/>
      </c>
      <c r="F144" s="37" t="inlineStr">
        <is>
          <t>Line 59020</t>
        </is>
      </c>
      <c r="G144" s="51">
        <f>IF(TransferName="NONE",0,(_xlfn.XLOOKUP(TransferNumber,Clients!D:D,Clients!GTF:GTF,2,0,1)))</f>
        <v/>
      </c>
      <c r="H144" s="37">
        <f>IF(AND(E144&gt;0,G144=0),"Age Amount Can Be Transferred","No Action")</f>
        <v/>
      </c>
      <c r="J144" s="667" t="inlineStr">
        <is>
          <t>Age Amount</t>
        </is>
      </c>
      <c r="L144" t="inlineStr">
        <is>
          <t>Line 5808</t>
        </is>
      </c>
      <c r="M144" s="865">
        <f>(_xlfn.XLOOKUP(MainClient,Clients!D:D,Clients!HRF:HRF,2,0,1))</f>
        <v/>
      </c>
      <c r="N144" s="45" t="inlineStr">
        <is>
          <t>Line 59020</t>
        </is>
      </c>
      <c r="O144" s="51">
        <f>IF(TransferName="NONE",0,(_xlfn.XLOOKUP(TransferNumber,Clients!D:D,Clients!HTH:HTH,2,0,1)))</f>
        <v/>
      </c>
      <c r="P144" s="37">
        <f>IF(AND(M144&gt;0,O144=0),"Age Amount Can Be Transferred","No Action")</f>
        <v/>
      </c>
    </row>
    <row r="145" ht="15.75" customHeight="1" thickBot="1">
      <c r="B145" s="667" t="inlineStr">
        <is>
          <t>Pension Income Amount</t>
        </is>
      </c>
      <c r="D145" t="inlineStr">
        <is>
          <t>Line 5836 (mx 1384)</t>
        </is>
      </c>
      <c r="E145" s="861">
        <f>IF((_xlfn.XLOOKUP(ClientNumber,Clients!D:D,Clients!GSD:GSD,2,0,1)&lt;1384),(_xlfn.XLOOKUP(MainClient,Clients!D:D,Clients!GSD:GSD,2,0,1)),1384)</f>
        <v/>
      </c>
      <c r="F145" s="37" t="inlineStr">
        <is>
          <t>Line 59050</t>
        </is>
      </c>
      <c r="G145" s="51">
        <f>IF(TransferName="NONE",0,(_xlfn.XLOOKUP(TransferNumber,Clients!D:D,Clients!GTI:GTI,2,0,1)))</f>
        <v/>
      </c>
      <c r="H145" s="37">
        <f>IF(AND(E145&gt;0,G145=0),"Pension Income Amount Can Be Transferred","No Action")</f>
        <v/>
      </c>
      <c r="J145" s="667" t="inlineStr">
        <is>
          <t>Pension Income Amount</t>
        </is>
      </c>
      <c r="L145" t="inlineStr">
        <is>
          <t>Line 5836 (mx 1364)</t>
        </is>
      </c>
      <c r="M145" s="865">
        <f>IF((_xlfn.XLOOKUP(ClientNumber,Clients!D:D,Clients!HSF:HSF,2,0,1)&lt;1364),(_xlfn.XLOOKUP(MainClient,Clients!D:D,Clients!HSF:HSF,2,0,1)),1364)</f>
        <v/>
      </c>
      <c r="N145" s="45" t="inlineStr">
        <is>
          <t>Line 59050</t>
        </is>
      </c>
      <c r="O145" s="51">
        <f>IF(TransferName="NONE",0,(_xlfn.XLOOKUP(TransferNumber,Clients!D:D,Clients!HTK:HTK,2,0,1)))</f>
        <v/>
      </c>
      <c r="P145" s="37">
        <f>IF(AND(M145&gt;0,O145=0),"Pension Income Amount Can Be Transferred","No Action")</f>
        <v/>
      </c>
    </row>
    <row r="146" ht="15.75" customHeight="1" thickBot="1">
      <c r="B146" s="667" t="inlineStr">
        <is>
          <t>Disability Amount</t>
        </is>
      </c>
      <c r="D146" t="inlineStr">
        <is>
          <t>Line 5844</t>
        </is>
      </c>
      <c r="E146" s="861">
        <f>IF(_xlfn.XLOOKUP(ClientNumber,Clients!D:D,Clients!GSF:GSF,2,0,1)=0,8088,(_xlfn.XLOOKUP(MainClient,Clients!D:D,Clients!GSF:GSF,2,0,1)))</f>
        <v/>
      </c>
      <c r="F146" s="37" t="inlineStr">
        <is>
          <t>Line 59070</t>
        </is>
      </c>
      <c r="G146" s="51">
        <f>IF(TransferName="NONE",0,(_xlfn.XLOOKUP(TransferNumber,Clients!D:D,Clients!GTJ:GTJ,2,0,1)))</f>
        <v/>
      </c>
      <c r="H146" s="37">
        <f>IF(AND(E146&gt;0,G146=0),"DTC Transferable Not Claimed Can Be Transferred","No Action")</f>
        <v/>
      </c>
      <c r="J146" s="667" t="inlineStr">
        <is>
          <t>Disability Amount</t>
        </is>
      </c>
      <c r="L146" t="inlineStr">
        <is>
          <t>Line 5844</t>
        </is>
      </c>
      <c r="M146" s="865">
        <f>IF(_xlfn.XLOOKUP(ClientNumber,Clients!D:D,Clients!HSH:HSH,2,0,1)=0,7968,(_xlfn.XLOOKUP(MainClient,Clients!D:D,Clients!HSH:HSH,2,0,1)))</f>
        <v/>
      </c>
      <c r="N146" s="45" t="inlineStr">
        <is>
          <t>Line 59070</t>
        </is>
      </c>
      <c r="O146" s="51">
        <f>IF(TransferName="NONE",0,(_xlfn.XLOOKUP(TransferNumber,Clients!D:D,Clients!HTL:HTL,2,0,1)))</f>
        <v/>
      </c>
      <c r="P146" s="37">
        <f>IF(AND(M146&gt;0,O146=0),"DTC Transferable Not Claimed Can Be Transferred","No Action")</f>
        <v/>
      </c>
    </row>
    <row r="147" ht="15.75" customHeight="1" thickBot="1">
      <c r="B147" s="667" t="inlineStr">
        <is>
          <t>Tuition Amount</t>
        </is>
      </c>
      <c r="D147" t="inlineStr">
        <is>
          <t>Line 5920</t>
        </is>
      </c>
      <c r="E147" s="861">
        <f>(_xlfn.XLOOKUP(ClientNumber,Clients!D:D,Clients!GTT:GTT,2,0,1))</f>
        <v/>
      </c>
      <c r="F147" s="37" t="inlineStr">
        <is>
          <t>Line 59090</t>
        </is>
      </c>
      <c r="G147" s="51">
        <f>IF(TransferName="NONE",0,(_xlfn.XLOOKUP(TransferNumber,Clients!D:D,Clients!GTK:GTK,2,0,1)))</f>
        <v/>
      </c>
      <c r="H147" s="37">
        <f>IF(AND(E147&gt;0,G147=0),"Tuition Can Be Transferred","No Action")</f>
        <v/>
      </c>
      <c r="J147" s="667" t="inlineStr">
        <is>
          <t>Tuition Amount</t>
        </is>
      </c>
      <c r="L147" t="inlineStr">
        <is>
          <t>Line 5920</t>
        </is>
      </c>
      <c r="M147" s="865">
        <f>(_xlfn.XLOOKUP(MainClient,Clients!D:D,Clients!HTV:HTV,2,0,1))</f>
        <v/>
      </c>
      <c r="N147" s="45" t="inlineStr">
        <is>
          <t>Line 59090</t>
        </is>
      </c>
      <c r="O147" s="51">
        <f>IF(TransferName="NONE",0,(_xlfn.XLOOKUP(TransferNumber,Clients!D:D,Clients!HTM:HTM,2,0,1)))</f>
        <v/>
      </c>
      <c r="P147" s="37">
        <f>IF(AND(M147&gt;0,O147=0),"Tuition Can Be Transferred","No Action")</f>
        <v/>
      </c>
    </row>
    <row r="148">
      <c r="B148" s="667" t="n"/>
      <c r="E148" s="771">
        <f>SUM(E144:E147)</f>
        <v/>
      </c>
      <c r="F148" s="37" t="n"/>
      <c r="G148" s="667">
        <f>SUM(G144:G147)</f>
        <v/>
      </c>
      <c r="H148" s="37" t="n"/>
      <c r="J148" s="667" t="n"/>
      <c r="M148" s="872">
        <f>SUM(M144:M147)</f>
        <v/>
      </c>
      <c r="N148" s="37" t="n"/>
      <c r="O148" s="667">
        <f>SUM(O144:O147)</f>
        <v/>
      </c>
      <c r="P148" s="37" t="n"/>
    </row>
    <row r="149" ht="15.75" customHeight="1" thickBot="1">
      <c r="B149" s="34" t="n"/>
      <c r="F149" s="35" t="n"/>
      <c r="G149" s="667" t="n"/>
      <c r="H149" s="35" t="n"/>
      <c r="J149" s="34" t="n"/>
      <c r="N149" s="35" t="n"/>
      <c r="O149" s="667" t="n"/>
      <c r="P149" s="35" t="n"/>
    </row>
    <row r="150" ht="15.75" customHeight="1" thickBot="1">
      <c r="B150" s="667" t="inlineStr">
        <is>
          <t>Line 260</t>
        </is>
      </c>
      <c r="C150" s="36">
        <f>(_xlfn.XLOOKUP(MainClient,Clients!D:D,Clients!GJC:GJC,2,0,1))</f>
        <v/>
      </c>
      <c r="F150" s="35" t="n"/>
      <c r="G150" s="34">
        <f>IF(E173&gt;E146,"other transferable credits","DTC Only")</f>
        <v/>
      </c>
      <c r="H150" s="35" t="n"/>
      <c r="J150" s="667" t="inlineStr">
        <is>
          <t>Line 260</t>
        </is>
      </c>
      <c r="K150" s="36">
        <f>(_xlfn.XLOOKUP(MainClient,Clients!D:D,Clients!HJE:HJE,2,0,1))</f>
        <v/>
      </c>
      <c r="N150" s="35" t="n"/>
      <c r="O150" s="34">
        <f>IF(M173&gt;M146,"other transferable credits","DTC Only")</f>
        <v/>
      </c>
      <c r="P150" s="35" t="n"/>
    </row>
    <row r="151" ht="15.75" customHeight="1" thickBot="1">
      <c r="B151" s="34" t="n"/>
      <c r="F151" s="35" t="n"/>
      <c r="G151" s="34" t="n"/>
      <c r="H151" s="35" t="n"/>
      <c r="J151" s="34" t="n"/>
      <c r="N151" s="35" t="n"/>
      <c r="O151" s="34" t="n"/>
      <c r="P151" s="35" t="n"/>
    </row>
    <row r="152" ht="15" customHeight="1" thickBot="1">
      <c r="B152" s="55" t="inlineStr">
        <is>
          <t>Line 5804</t>
        </is>
      </c>
      <c r="C152" s="36">
        <f>(_xlfn.XLOOKUP(ClientNumber,Clients!D:D,Clients!GRC:GRC,2,0,1))</f>
        <v/>
      </c>
      <c r="F152" s="35" t="n"/>
      <c r="G152" s="34" t="n"/>
      <c r="H152" s="35" t="n"/>
      <c r="J152" s="55" t="inlineStr">
        <is>
          <t>Line 5804</t>
        </is>
      </c>
      <c r="K152" s="36">
        <f>(_xlfn.XLOOKUP(MainClient,Clients!D:D,Clients!HRE:HRE,2,0,1))</f>
        <v/>
      </c>
      <c r="N152" s="35" t="n"/>
      <c r="O152" s="34" t="n"/>
      <c r="P152" s="35" t="n"/>
    </row>
    <row r="153" ht="15.75" customHeight="1" thickBot="1">
      <c r="B153" s="55" t="inlineStr">
        <is>
          <t>Line 5824</t>
        </is>
      </c>
      <c r="C153" s="36">
        <f>(_xlfn.XLOOKUP(ClientNumber,Clients!D:D,Clients!GRR:GRR,2,0,1))</f>
        <v/>
      </c>
      <c r="F153" s="35" t="n"/>
      <c r="G153" s="34" t="n"/>
      <c r="H153" s="35" t="n"/>
      <c r="J153" s="55" t="inlineStr">
        <is>
          <t>Line 5824</t>
        </is>
      </c>
      <c r="K153" s="36">
        <f>(_xlfn.XLOOKUP(MainClient,Clients!D:D,Clients!HRT:HRT,2,0,1))</f>
        <v/>
      </c>
      <c r="N153" s="35" t="n"/>
      <c r="O153" s="34" t="n"/>
      <c r="P153" s="35" t="n"/>
    </row>
    <row r="154" ht="15.75" customHeight="1" thickBot="1">
      <c r="B154" s="55" t="inlineStr">
        <is>
          <t>Line 5828</t>
        </is>
      </c>
      <c r="C154" s="36">
        <f>(_xlfn.XLOOKUP(ClientNumber,Clients!D:D,Clients!GRS:GRS,2,0,1))</f>
        <v/>
      </c>
      <c r="F154" s="35" t="n"/>
      <c r="G154" s="34" t="n"/>
      <c r="H154" s="35" t="n"/>
      <c r="J154" s="55" t="inlineStr">
        <is>
          <t>Line 5828</t>
        </is>
      </c>
      <c r="K154" s="36">
        <f>(_xlfn.XLOOKUP(MainClient,Clients!D:D,Clients!HRU:HRU,2,0,1))</f>
        <v/>
      </c>
      <c r="N154" s="35" t="n"/>
      <c r="P154" s="35" t="n"/>
    </row>
    <row r="155" ht="15.75" customHeight="1" thickBot="1">
      <c r="B155" s="55" t="inlineStr">
        <is>
          <t>Line 5832</t>
        </is>
      </c>
      <c r="C155" s="36">
        <f>(_xlfn.XLOOKUP(ClientNumber,Clients!D:D,Clients!GRT:GRT,2,0,1))</f>
        <v/>
      </c>
      <c r="F155" s="35" t="n"/>
      <c r="G155" s="34" t="n"/>
      <c r="H155" s="35" t="n"/>
      <c r="J155" s="55" t="inlineStr">
        <is>
          <t>Line 5832</t>
        </is>
      </c>
      <c r="K155" s="36">
        <f>(_xlfn.XLOOKUP(MainClient,Clients!D:D,Clients!HRV:HRV,2,0,1))</f>
        <v/>
      </c>
      <c r="N155" s="35" t="n"/>
      <c r="O155" s="34" t="n"/>
      <c r="P155" s="35" t="n"/>
    </row>
    <row r="156" ht="15.75" customHeight="1" thickBot="1">
      <c r="B156" s="55" t="inlineStr">
        <is>
          <t>Line 5829</t>
        </is>
      </c>
      <c r="C156" s="36">
        <f>(_xlfn.XLOOKUP(ClientNumber,Clients!D:D,Clients!GRU:GRU,2,0,1))</f>
        <v/>
      </c>
      <c r="F156" s="35" t="n"/>
      <c r="G156" s="34" t="n"/>
      <c r="H156" s="35" t="n"/>
      <c r="J156" s="55" t="inlineStr">
        <is>
          <t>Line 5829</t>
        </is>
      </c>
      <c r="K156" s="36">
        <f>(_xlfn.XLOOKUP(MainClient,Clients!D:D,Clients!HRW:HRW,2,0,1))</f>
        <v/>
      </c>
      <c r="N156" s="35" t="n"/>
      <c r="O156" s="34" t="n"/>
      <c r="P156" s="35" t="n"/>
    </row>
    <row r="157" ht="15.75" customHeight="1" thickBot="1">
      <c r="B157" s="55" t="inlineStr">
        <is>
          <t>Line 5833</t>
        </is>
      </c>
      <c r="C157" s="36">
        <f>(_xlfn.XLOOKUP(ClientNumber,Clients!D:D,Clients!GSB:GSB,2,0,1))</f>
        <v/>
      </c>
      <c r="F157" s="35" t="n"/>
      <c r="G157" s="34" t="n"/>
      <c r="H157" s="35" t="n"/>
      <c r="J157" s="55" t="inlineStr">
        <is>
          <t>Line 5833</t>
        </is>
      </c>
      <c r="K157" s="36">
        <f>(_xlfn.XLOOKUP(MainClient,Clients!D:D,Clients!HSD:HSD,2,0,1))</f>
        <v/>
      </c>
      <c r="N157" s="35" t="n"/>
      <c r="O157" s="34" t="n"/>
      <c r="P157" s="35" t="n"/>
    </row>
    <row r="158" ht="15.75" customHeight="1" thickBot="1">
      <c r="B158" s="55" t="inlineStr">
        <is>
          <t>Line  5856</t>
        </is>
      </c>
      <c r="C158" s="36">
        <f>(_xlfn.XLOOKUP(ClientNumber,Clients!D:D,Clients!GSJ:GSJ,2,0,1))</f>
        <v/>
      </c>
      <c r="F158" s="35" t="n"/>
      <c r="G158" s="34" t="n"/>
      <c r="H158" s="35" t="n"/>
      <c r="J158" s="55" t="inlineStr">
        <is>
          <t>Line  5856</t>
        </is>
      </c>
      <c r="K158" s="36">
        <f>(_xlfn.XLOOKUP(MainClient,Clients!D:D,Clients!HSL:HSL,2,0,1))</f>
        <v/>
      </c>
      <c r="N158" s="35" t="n"/>
      <c r="O158" s="34" t="n"/>
      <c r="P158" s="35" t="n"/>
    </row>
    <row r="159" ht="15.75" customHeight="1" thickBot="1">
      <c r="B159" s="55" t="n"/>
      <c r="C159" s="36" t="n"/>
      <c r="F159" s="35" t="n"/>
      <c r="G159" s="34" t="n"/>
      <c r="H159" s="35" t="n"/>
      <c r="J159" s="55" t="n"/>
      <c r="K159" s="36" t="n"/>
      <c r="N159" s="35" t="n"/>
      <c r="O159" s="34" t="n"/>
      <c r="P159" s="35" t="n"/>
    </row>
    <row r="160" ht="15.75" customHeight="1" thickBot="1">
      <c r="B160" s="55" t="n"/>
      <c r="C160" s="36" t="n"/>
      <c r="F160" s="35" t="n"/>
      <c r="G160" s="34" t="n"/>
      <c r="H160" s="35" t="n"/>
      <c r="J160" s="55" t="n"/>
      <c r="K160" s="36" t="n"/>
      <c r="N160" s="35" t="n"/>
      <c r="O160" s="34" t="n"/>
      <c r="P160" s="35" t="n"/>
    </row>
    <row r="161" ht="15.75" customHeight="1" thickBot="1">
      <c r="B161" s="55" t="n"/>
      <c r="C161" s="36" t="n"/>
      <c r="F161" s="35" t="n"/>
      <c r="G161" s="34" t="n"/>
      <c r="H161" s="35" t="n"/>
      <c r="J161" s="55" t="n"/>
      <c r="K161" s="36" t="n"/>
      <c r="N161" s="35" t="n"/>
      <c r="O161" s="34" t="n"/>
      <c r="P161" s="35" t="n"/>
    </row>
    <row r="162" ht="15.75" customHeight="1" thickBot="1">
      <c r="B162" s="55" t="n"/>
      <c r="C162" s="36" t="n"/>
      <c r="F162" s="35" t="n"/>
      <c r="G162" s="34" t="inlineStr">
        <is>
          <t>Line 326</t>
        </is>
      </c>
      <c r="H162" s="35">
        <f>IF(TransferName="NONE",0,(_xlfn.XLOOKUP(TransferNumber,Clients!D:D,Clients!GKB:GKB,2,0,1)))</f>
        <v/>
      </c>
      <c r="J162" s="55" t="n"/>
      <c r="K162" s="36" t="n"/>
      <c r="N162" s="35" t="n"/>
      <c r="O162" s="34" t="inlineStr">
        <is>
          <t>Line 326</t>
        </is>
      </c>
      <c r="P162" s="35">
        <f>IFERROR(_xlfn.XLOOKUP(TransferNumber,Clients!D:D,Clients!FJZ:FJZ,2,0,1),0)</f>
        <v/>
      </c>
    </row>
    <row r="163" ht="15.75" customHeight="1" thickBot="1">
      <c r="B163" s="55" t="n"/>
      <c r="C163" s="36" t="n"/>
      <c r="F163" s="35" t="n"/>
      <c r="G163" s="34" t="n"/>
      <c r="H163" s="35" t="n"/>
      <c r="J163" s="38" t="n"/>
      <c r="K163" s="36" t="n"/>
      <c r="N163" s="35" t="n"/>
      <c r="O163" s="34" t="n"/>
      <c r="P163" s="35" t="n"/>
    </row>
    <row r="164" ht="15.75" customHeight="1" thickBot="1">
      <c r="B164" s="38" t="n"/>
      <c r="C164" s="36" t="n"/>
      <c r="F164" s="35" t="n"/>
      <c r="G164" s="34" t="n"/>
      <c r="H164" s="35" t="n"/>
      <c r="J164" s="38" t="n"/>
      <c r="K164" s="36" t="n"/>
      <c r="N164" s="35" t="n"/>
      <c r="O164" s="34" t="n"/>
      <c r="P164" s="35" t="n"/>
    </row>
    <row r="165" ht="15.75" customHeight="1" thickBot="1">
      <c r="B165" s="38" t="n"/>
      <c r="C165" s="36" t="n"/>
      <c r="F165" s="35" t="n"/>
      <c r="G165" s="34" t="n"/>
      <c r="H165" s="35" t="n"/>
      <c r="J165" s="38" t="n"/>
      <c r="K165" s="36" t="n"/>
      <c r="N165" s="35" t="n"/>
      <c r="O165" s="34" t="n"/>
      <c r="P165" s="35" t="n"/>
    </row>
    <row r="166" ht="15.75" customHeight="1" thickBot="1">
      <c r="B166" s="38" t="n"/>
      <c r="C166" s="36" t="n"/>
      <c r="F166" s="35" t="n"/>
      <c r="G166" s="34" t="n"/>
      <c r="H166" s="35">
        <f>IF(E171&gt;0,E148-G148,0)</f>
        <v/>
      </c>
      <c r="J166" s="38" t="n"/>
      <c r="K166" s="36" t="n"/>
      <c r="N166" s="35" t="n"/>
      <c r="O166" s="34" t="n"/>
      <c r="P166" s="35">
        <f>IF(M171&gt;0,M148-O148,0)</f>
        <v/>
      </c>
    </row>
    <row r="167" ht="15.75" customHeight="1" thickBot="1">
      <c r="B167" s="38" t="n"/>
      <c r="C167" s="36" t="n"/>
      <c r="F167" s="35" t="n"/>
      <c r="H167" s="65">
        <f>IF(TransferName="NONE",F172,IF(H166&gt;0,(E171-G148)*0.0505,0))</f>
        <v/>
      </c>
      <c r="J167" s="38" t="n"/>
      <c r="K167" s="36" t="n"/>
      <c r="N167" s="35" t="n"/>
      <c r="P167" s="65">
        <f>IF(TransferName="NONE",N172,IF(P166&gt;0,(M171-O148)*0.0505,0))</f>
        <v/>
      </c>
    </row>
    <row r="168">
      <c r="B168" s="667" t="n"/>
      <c r="F168" s="35" t="n"/>
      <c r="G168" s="34" t="inlineStr">
        <is>
          <t>Transferable</t>
        </is>
      </c>
      <c r="H168" s="65">
        <f>IF(H167&gt;0,H167,0)</f>
        <v/>
      </c>
      <c r="J168" s="667" t="n"/>
      <c r="N168" s="35" t="n"/>
      <c r="O168" s="34" t="inlineStr">
        <is>
          <t>Transferable</t>
        </is>
      </c>
      <c r="P168" s="65">
        <f>IF(P167&gt;0,P167,0)</f>
        <v/>
      </c>
    </row>
    <row r="169">
      <c r="B169" s="667" t="inlineStr">
        <is>
          <t>Adjusted Taxable Income</t>
        </is>
      </c>
      <c r="C169">
        <f>C150-(SUM(C152:C167))</f>
        <v/>
      </c>
      <c r="D169" s="13" t="inlineStr">
        <is>
          <t>Line 5864</t>
        </is>
      </c>
      <c r="E169" s="39">
        <f>IF(C169&gt;0,C169,0)</f>
        <v/>
      </c>
      <c r="F169" s="35" t="n"/>
      <c r="G169" s="34" t="n"/>
      <c r="H169" s="35" t="n"/>
      <c r="J169" s="667" t="inlineStr">
        <is>
          <t>Adjusted Taxable Income</t>
        </is>
      </c>
      <c r="K169">
        <f>K150-(SUM(K152:K167))</f>
        <v/>
      </c>
      <c r="L169" s="13" t="inlineStr">
        <is>
          <t>Line 5864</t>
        </is>
      </c>
      <c r="M169" s="39">
        <f>IF(K169&gt;0,K169,0)</f>
        <v/>
      </c>
      <c r="N169" s="35" t="n"/>
      <c r="O169" s="34" t="n"/>
      <c r="P169" s="35" t="n"/>
    </row>
    <row r="170" ht="15.75" customHeight="1" thickBot="1">
      <c r="B170" s="34" t="n"/>
      <c r="F170" s="35" t="n"/>
      <c r="G170" s="34" t="n"/>
      <c r="H170" s="35" t="n"/>
      <c r="J170" s="34" t="n"/>
      <c r="N170" s="35" t="n"/>
      <c r="O170" s="34" t="n"/>
      <c r="P170" s="35" t="n"/>
    </row>
    <row r="171" ht="15.75" customHeight="1" thickBot="1">
      <c r="B171" s="34" t="n"/>
      <c r="D171" s="21" t="inlineStr">
        <is>
          <t>Prov Trans</t>
        </is>
      </c>
      <c r="E171" s="36">
        <f>(E148-E169)</f>
        <v/>
      </c>
      <c r="F171" s="40" t="n"/>
      <c r="G171" s="34" t="n"/>
      <c r="H171" s="52" t="n"/>
      <c r="J171" s="34" t="n"/>
      <c r="L171" s="21" t="inlineStr">
        <is>
          <t>Prov Trans</t>
        </is>
      </c>
      <c r="M171" s="36">
        <f>(M148-M169)</f>
        <v/>
      </c>
      <c r="N171" s="40" t="n"/>
      <c r="O171" s="34" t="n"/>
      <c r="P171" s="52" t="n"/>
    </row>
    <row r="172" ht="15.75" customHeight="1" thickBot="1">
      <c r="B172" s="34" t="n"/>
      <c r="C172" s="579" t="inlineStr">
        <is>
          <t>DTC Transferable ESTIMATE</t>
        </is>
      </c>
      <c r="D172" s="35" t="n"/>
      <c r="E172" s="36">
        <f>IF(E171&lt;0,0,(IF(E171&gt;E146,E146,E171)))</f>
        <v/>
      </c>
      <c r="F172" s="40">
        <f>IF(E172&gt;0,E172*0.0505,"No Transfer Required")</f>
        <v/>
      </c>
      <c r="G172" s="58" t="n"/>
      <c r="H172" s="52" t="n"/>
      <c r="J172" s="34" t="n"/>
      <c r="K172" s="579" t="inlineStr">
        <is>
          <t>DTC Transferable ESTIMATE</t>
        </is>
      </c>
      <c r="L172" s="35" t="n"/>
      <c r="M172" s="36">
        <f>IF(M171&lt;0,0,(IF(M171&gt;M146,M146,M171)))</f>
        <v/>
      </c>
      <c r="N172" s="40">
        <f>IF(M172&gt;0,M172*0.0505,"No Transfer Required")</f>
        <v/>
      </c>
      <c r="O172" s="58" t="n"/>
      <c r="P172" s="52" t="n"/>
    </row>
    <row r="173" ht="15.75" customHeight="1" thickBot="1">
      <c r="B173" s="42" t="n"/>
      <c r="C173" s="41" t="n"/>
      <c r="D173" s="43" t="inlineStr">
        <is>
          <t>Net Transferable</t>
        </is>
      </c>
      <c r="E173" s="36">
        <f>IF(E171&lt;0,0,(IF(E171-G144-G145-G147&lt;0,E171,(E171-G144-G145-G147))))</f>
        <v/>
      </c>
      <c r="F173" s="57">
        <f>IF(E173&gt;0,E173*0.0505,"0")</f>
        <v/>
      </c>
      <c r="G173" s="59" t="n"/>
      <c r="H173" s="864" t="n"/>
      <c r="J173" s="42" t="n"/>
      <c r="K173" s="41" t="n"/>
      <c r="L173" s="43" t="inlineStr">
        <is>
          <t>Net Transferable</t>
        </is>
      </c>
      <c r="M173" s="36">
        <f>IF(M171&lt;0,0,(IF(M171-O144-O145-O147&lt;0,M171,(M171-O144-O145-O147))))</f>
        <v/>
      </c>
      <c r="N173" s="57">
        <f>IF(M173&gt;0,M173*0.0505,"0")</f>
        <v/>
      </c>
      <c r="O173" s="59" t="n"/>
      <c r="P173" s="864" t="n"/>
    </row>
    <row r="174">
      <c r="D174" s="60" t="n"/>
      <c r="F174" s="61" t="n"/>
      <c r="G174" s="449" t="n"/>
      <c r="H174" s="866" t="n"/>
      <c r="L174" s="60" t="n"/>
      <c r="N174" s="866" t="n"/>
      <c r="O174" s="64" t="n"/>
      <c r="P174" s="866" t="n"/>
    </row>
    <row r="175" ht="15.75" customHeight="1" thickBot="1">
      <c r="E175">
        <f>Calculator!$D$5</f>
        <v/>
      </c>
      <c r="H175">
        <f>TransferName</f>
        <v/>
      </c>
      <c r="M175">
        <f>Calculator!$D$5</f>
        <v/>
      </c>
      <c r="P175">
        <f>TransferName</f>
        <v/>
      </c>
    </row>
    <row r="176" ht="15.75" customHeight="1" thickBot="1">
      <c r="B176" s="881" t="inlineStr">
        <is>
          <t>2014 ONTARIO Provincial</t>
        </is>
      </c>
      <c r="C176" s="778" t="n"/>
      <c r="D176" s="778" t="n"/>
      <c r="E176" s="778" t="n"/>
      <c r="F176" s="778" t="n"/>
      <c r="G176" s="778" t="n"/>
      <c r="H176" s="780" t="n"/>
      <c r="J176" s="881" t="inlineStr">
        <is>
          <t>2013 ONTARIO Provincial</t>
        </is>
      </c>
      <c r="K176" s="778" t="n"/>
      <c r="L176" s="778" t="n"/>
      <c r="M176" s="778" t="n"/>
      <c r="N176" s="778" t="n"/>
      <c r="O176" s="778" t="n"/>
      <c r="P176" s="780" t="n"/>
    </row>
    <row r="177" ht="15.75" customHeight="1" thickBot="1">
      <c r="B177" s="34" t="n"/>
      <c r="D177" t="inlineStr">
        <is>
          <t>Line</t>
        </is>
      </c>
      <c r="E177" t="inlineStr">
        <is>
          <t>Amt</t>
        </is>
      </c>
      <c r="F177" s="35" t="n"/>
      <c r="G177" s="667" t="inlineStr">
        <is>
          <t>Spouse</t>
        </is>
      </c>
      <c r="H177" s="35" t="inlineStr">
        <is>
          <t>S2 Adjustment</t>
        </is>
      </c>
      <c r="J177" s="34" t="n"/>
      <c r="L177" t="inlineStr">
        <is>
          <t>Line</t>
        </is>
      </c>
      <c r="M177" t="inlineStr">
        <is>
          <t>Amt</t>
        </is>
      </c>
      <c r="N177" s="35" t="n"/>
      <c r="O177" s="34" t="inlineStr">
        <is>
          <t>Spouse</t>
        </is>
      </c>
      <c r="P177" s="35" t="inlineStr">
        <is>
          <t>S2 Adjustment</t>
        </is>
      </c>
    </row>
    <row r="178" ht="15.75" customHeight="1" thickBot="1">
      <c r="B178" s="667" t="inlineStr">
        <is>
          <t>Age Amount</t>
        </is>
      </c>
      <c r="D178" t="inlineStr">
        <is>
          <t>Line 5808</t>
        </is>
      </c>
      <c r="E178" s="861">
        <f>(_xlfn.XLOOKUP(ClientNumber,Clients!D:D,Clients!IRH:IRH,2,0,1))</f>
        <v/>
      </c>
      <c r="F178" s="37" t="inlineStr">
        <is>
          <t>Line 59020</t>
        </is>
      </c>
      <c r="G178" s="51">
        <f>IF(TransferName="NONE",0,(_xlfn.XLOOKUP(TransferNumber,Clients!D:D,Clients!ITJ:ITJ,2,0,1)))</f>
        <v/>
      </c>
      <c r="H178" s="37">
        <f>IF(AND(E178&gt;0,G178=0),"Age Amount Can Be Transferred","No Action")</f>
        <v/>
      </c>
      <c r="J178" s="667" t="inlineStr">
        <is>
          <t>Age Amount</t>
        </is>
      </c>
      <c r="L178" t="inlineStr">
        <is>
          <t>Line 5808</t>
        </is>
      </c>
      <c r="M178" s="865">
        <f>(_xlfn.XLOOKUP(MainClient,Clients!D:D,Clients!JRJ:JRJ,2,0,1))</f>
        <v/>
      </c>
      <c r="N178" s="45" t="inlineStr">
        <is>
          <t>Line 59020</t>
        </is>
      </c>
      <c r="O178" s="51">
        <f>IF(TransferName="NONE",0,(_xlfn.XLOOKUP(TransferNumber,Clients!D:D,Clients!JTL:JTL,2,0,1)))</f>
        <v/>
      </c>
      <c r="P178" s="37">
        <f>IF(AND(M178&gt;0,O178=0),"Age Amount Can Be Transferred","No Action")</f>
        <v/>
      </c>
    </row>
    <row r="179" ht="15.75" customHeight="1" thickBot="1">
      <c r="B179" s="667" t="inlineStr">
        <is>
          <t>Pension Income Amount</t>
        </is>
      </c>
      <c r="D179" t="inlineStr">
        <is>
          <t>Line 5836 (mx 1337)</t>
        </is>
      </c>
      <c r="E179" s="861">
        <f>IF((_xlfn.XLOOKUP(ClientNumber,Clients!D:D,Clients!ISH:ISH,2,0,1)&lt;1337),(_xlfn.XLOOKUP(MainClient,Clients!D:D,Clients!ISH:ISH,2,0,1)),1337)</f>
        <v/>
      </c>
      <c r="F179" s="37" t="inlineStr">
        <is>
          <t>Line 59050</t>
        </is>
      </c>
      <c r="G179" s="51">
        <f>IF(TransferName="NONE",0,(_xlfn.XLOOKUP(TransferNumber,Clients!D:D,Clients!ITM:ITM,2,0,1)))</f>
        <v/>
      </c>
      <c r="H179" s="37">
        <f>IF(AND(E179&gt;0,G179=0),"Pension Income Amount Can Be Transferred","No Action")</f>
        <v/>
      </c>
      <c r="J179" s="667" t="inlineStr">
        <is>
          <t>Pension Income Amount</t>
        </is>
      </c>
      <c r="L179" t="inlineStr">
        <is>
          <t>Line 5836 (mx 1324)</t>
        </is>
      </c>
      <c r="M179" s="865">
        <f>IF((_xlfn.XLOOKUP(ClientNumber,Clients!D:D,Clients!JSJ:JSJ,2,0,1)&lt;1324),(_xlfn.XLOOKUP(MainClient,Clients!D:D,Clients!JSJ:JSJ,2,0,1)),1324)</f>
        <v/>
      </c>
      <c r="N179" s="45" t="inlineStr">
        <is>
          <t>Line 59050</t>
        </is>
      </c>
      <c r="O179" s="51">
        <f>IF(TransferName="NONE",0,(_xlfn.XLOOKUP(TransferNumber,Clients!D:D,Clients!JTO:JTO,2,0,1)))</f>
        <v/>
      </c>
      <c r="P179" s="37">
        <f>IF(AND(M179&gt;0,O179=0),"Pension Income Amount Can Be Transferred","No Action")</f>
        <v/>
      </c>
    </row>
    <row r="180" ht="15.75" customHeight="1" thickBot="1">
      <c r="B180" s="667" t="inlineStr">
        <is>
          <t>Disability Amount</t>
        </is>
      </c>
      <c r="D180" t="inlineStr">
        <is>
          <t>Line 5844</t>
        </is>
      </c>
      <c r="E180" s="861">
        <f>IF(_xlfn.XLOOKUP(ClientNumber,Clients!D:D,Clients!ISJ:ISJ,2,0,1)=0,7812,(_xlfn.XLOOKUP(MainClient,Clients!D:D,Clients!ISJ:ISJ,2,0,1)))</f>
        <v/>
      </c>
      <c r="F180" s="37" t="inlineStr">
        <is>
          <t>Line 59070</t>
        </is>
      </c>
      <c r="G180" s="51">
        <f>IF(TransferName="NONE",0,(_xlfn.XLOOKUP(TransferNumber,Clients!D:D,Clients!ITN:ITN,2,0,1)))</f>
        <v/>
      </c>
      <c r="H180" s="37">
        <f>IF(AND(E180&gt;0,G180=0),"DTC Transferable Not Claimed Can Be Transferred","No Action")</f>
        <v/>
      </c>
      <c r="J180" s="667" t="inlineStr">
        <is>
          <t>Disability Amount</t>
        </is>
      </c>
      <c r="L180" t="inlineStr">
        <is>
          <t>Line 5844</t>
        </is>
      </c>
      <c r="M180" s="865">
        <f>IF(_xlfn.XLOOKUP(ClientNumber,Clients!D:D,Clients!JSL:JSL,2,0,1)=0,7735,(_xlfn.XLOOKUP(MainClient,Clients!D:D,Clients!JSL:JSL,2,0,1)))</f>
        <v/>
      </c>
      <c r="N180" s="45" t="inlineStr">
        <is>
          <t>Line 59070</t>
        </is>
      </c>
      <c r="O180" s="51">
        <f>IF(TransferName="NONE",0,(_xlfn.XLOOKUP(TransferNumber,Clients!D:D,Clients!JTP:JTP,2,0,1)))</f>
        <v/>
      </c>
      <c r="P180" s="37">
        <f>IF(AND(M180&gt;0,O180=0),"DTC Transferable Not Claimed Can Be Transferred","No Action")</f>
        <v/>
      </c>
    </row>
    <row r="181" ht="15.75" customHeight="1" thickBot="1">
      <c r="B181" s="667" t="inlineStr">
        <is>
          <t>Tuition Amount</t>
        </is>
      </c>
      <c r="D181" t="inlineStr">
        <is>
          <t>Line 5920</t>
        </is>
      </c>
      <c r="E181" s="861">
        <f>(_xlfn.XLOOKUP(ClientNumber,Clients!D:D,Clients!ITX:ITX,2,0,1))</f>
        <v/>
      </c>
      <c r="F181" s="37" t="inlineStr">
        <is>
          <t>Line 59090</t>
        </is>
      </c>
      <c r="G181" s="51">
        <f>IF(TransferName="NONE",0,(_xlfn.XLOOKUP(TransferNumber,Clients!D:D,Clients!ITO:ITO,2,0,1)))</f>
        <v/>
      </c>
      <c r="H181" s="37">
        <f>IF(AND(E181&gt;0,G181=0),"Tuition Can Be Transferred","No Action")</f>
        <v/>
      </c>
      <c r="J181" s="667" t="inlineStr">
        <is>
          <t>Tuition Amount</t>
        </is>
      </c>
      <c r="L181" t="inlineStr">
        <is>
          <t>Line 5920</t>
        </is>
      </c>
      <c r="M181" s="865">
        <f>(_xlfn.XLOOKUP(MainClient,Clients!D:D,Clients!JTZ:JTZ,2,0,1))</f>
        <v/>
      </c>
      <c r="N181" s="45" t="inlineStr">
        <is>
          <t>Line 59090</t>
        </is>
      </c>
      <c r="O181" s="51">
        <f>IF(TransferName="NONE",0,(_xlfn.XLOOKUP(TransferNumber,Clients!D:D,Clients!JTQ:JTQ,2,0,1)))</f>
        <v/>
      </c>
      <c r="P181" s="37">
        <f>IF(AND(M181&gt;0,O181=0),"Tuition Can Be Transferred","No Action")</f>
        <v/>
      </c>
    </row>
    <row r="182">
      <c r="B182" s="667" t="n"/>
      <c r="E182" s="771">
        <f>SUM(E178:E181)</f>
        <v/>
      </c>
      <c r="F182" s="37" t="n"/>
      <c r="G182" s="667">
        <f>SUM(G178:G181)</f>
        <v/>
      </c>
      <c r="H182" s="37" t="n"/>
      <c r="J182" s="667" t="n"/>
      <c r="M182" s="872">
        <f>SUM(M178:M181)</f>
        <v/>
      </c>
      <c r="N182" s="37" t="n"/>
      <c r="O182" s="667">
        <f>SUM(O178:O181)</f>
        <v/>
      </c>
      <c r="P182" s="37" t="n"/>
    </row>
    <row r="183" ht="15.75" customHeight="1" thickBot="1">
      <c r="B183" s="34" t="n"/>
      <c r="F183" s="35" t="n"/>
      <c r="G183" s="667" t="n"/>
      <c r="H183" s="35" t="n"/>
      <c r="J183" s="34" t="n"/>
      <c r="N183" s="35" t="n"/>
      <c r="O183" s="667" t="n"/>
      <c r="P183" s="35" t="n"/>
    </row>
    <row r="184" ht="15.75" customHeight="1" thickBot="1">
      <c r="B184" s="667" t="inlineStr">
        <is>
          <t>Line 260</t>
        </is>
      </c>
      <c r="C184" s="36">
        <f>(_xlfn.XLOOKUP(MainClient,Clients!D:D,Clients!IJG:IJG,2,0,1))</f>
        <v/>
      </c>
      <c r="F184" s="35" t="n"/>
      <c r="G184" s="34">
        <f>IF(E207&gt;E180,"other transferable credits","DTC Only")</f>
        <v/>
      </c>
      <c r="H184" s="35" t="n"/>
      <c r="J184" s="667" t="inlineStr">
        <is>
          <t>Line 260</t>
        </is>
      </c>
      <c r="K184" s="36">
        <f>(_xlfn.XLOOKUP(MainClient,Clients!D:D,Clients!JJI:JJI,2,0,1))</f>
        <v/>
      </c>
      <c r="N184" s="35" t="n"/>
      <c r="O184" s="34">
        <f>IF(M207&gt;M180,"other transferable credits","DTC Only")</f>
        <v/>
      </c>
      <c r="P184" s="35" t="n"/>
    </row>
    <row r="185" ht="15.75" customHeight="1" thickBot="1">
      <c r="B185" s="34" t="n"/>
      <c r="F185" s="35" t="n"/>
      <c r="G185" s="34" t="n"/>
      <c r="H185" s="35" t="n"/>
      <c r="J185" s="34" t="n"/>
      <c r="N185" s="35" t="n"/>
      <c r="O185" s="34" t="n"/>
      <c r="P185" s="35" t="n"/>
    </row>
    <row r="186" ht="15.75" customHeight="1" thickBot="1">
      <c r="B186" s="55" t="inlineStr">
        <is>
          <t>Line 5804</t>
        </is>
      </c>
      <c r="C186" s="36">
        <f>(_xlfn.XLOOKUP(ClientNumber,Clients!D:D,Clients!IRG:IRG,2,0,1))</f>
        <v/>
      </c>
      <c r="F186" s="35" t="n"/>
      <c r="G186" s="34" t="n"/>
      <c r="H186" s="35" t="n"/>
      <c r="J186" s="55" t="inlineStr">
        <is>
          <t>Line 5804</t>
        </is>
      </c>
      <c r="K186" s="36">
        <f>(_xlfn.XLOOKUP(MainClient,Clients!D:D,Clients!JRI:JRI,2,0,1))</f>
        <v/>
      </c>
      <c r="N186" s="35" t="n"/>
      <c r="O186" s="34" t="n"/>
      <c r="P186" s="35" t="n"/>
    </row>
    <row r="187" ht="15.75" customHeight="1" thickBot="1">
      <c r="B187" s="55" t="inlineStr">
        <is>
          <t>Line 5824</t>
        </is>
      </c>
      <c r="C187" s="36">
        <f>(_xlfn.XLOOKUP(ClientNumber,Clients!D:D,Clients!IRV:IRV,2,0,1))</f>
        <v/>
      </c>
      <c r="F187" s="35" t="n"/>
      <c r="G187" s="34" t="n"/>
      <c r="H187" s="35" t="n"/>
      <c r="J187" s="55" t="inlineStr">
        <is>
          <t>Line 5824</t>
        </is>
      </c>
      <c r="K187" s="36">
        <f>(_xlfn.XLOOKUP(MainClient,Clients!D:D,Clients!JRX:JRX,2,0,1))</f>
        <v/>
      </c>
      <c r="N187" s="35" t="n"/>
      <c r="O187" s="34" t="n"/>
      <c r="P187" s="35" t="n"/>
    </row>
    <row r="188" ht="15.75" customHeight="1" thickBot="1">
      <c r="B188" s="55" t="inlineStr">
        <is>
          <t>Line 5828</t>
        </is>
      </c>
      <c r="C188" s="36">
        <f>(_xlfn.XLOOKUP(ClientNumber,Clients!D:D,Clients!IRW:IRW,2,0,1))</f>
        <v/>
      </c>
      <c r="F188" s="35" t="n"/>
      <c r="G188" s="34" t="n"/>
      <c r="H188" s="35" t="n"/>
      <c r="J188" s="55" t="inlineStr">
        <is>
          <t>Line 5828</t>
        </is>
      </c>
      <c r="K188" s="36">
        <f>(_xlfn.XLOOKUP(MainClient,Clients!D:D,Clients!JRY:JRY,2,0,1))</f>
        <v/>
      </c>
      <c r="N188" s="35" t="n"/>
      <c r="P188" s="35" t="n"/>
    </row>
    <row r="189" ht="15.75" customHeight="1" thickBot="1">
      <c r="B189" s="55" t="inlineStr">
        <is>
          <t>Line 5832</t>
        </is>
      </c>
      <c r="C189" s="36">
        <f>(_xlfn.XLOOKUP(ClientNumber,Clients!D:D,Clients!IRX:IRX,2,0,1))</f>
        <v/>
      </c>
      <c r="F189" s="35" t="n"/>
      <c r="G189" s="34" t="n"/>
      <c r="H189" s="35" t="n"/>
      <c r="J189" s="55" t="inlineStr">
        <is>
          <t>Line 5832</t>
        </is>
      </c>
      <c r="K189" s="36">
        <f>(_xlfn.XLOOKUP(MainClient,Clients!D:D,Clients!JRZ:JRZ,2,0,1))</f>
        <v/>
      </c>
      <c r="N189" s="35" t="n"/>
      <c r="O189" s="34" t="n"/>
      <c r="P189" s="35" t="n"/>
    </row>
    <row r="190" ht="15.75" customHeight="1" thickBot="1">
      <c r="B190" s="55" t="inlineStr">
        <is>
          <t>Line 5829</t>
        </is>
      </c>
      <c r="C190" s="36">
        <f>(_xlfn.XLOOKUP(ClientNumber,Clients!D:D,Clients!IRY:IRY,2,0,1))</f>
        <v/>
      </c>
      <c r="F190" s="35" t="n"/>
      <c r="G190" s="34" t="n"/>
      <c r="H190" s="35" t="n"/>
      <c r="J190" s="55" t="inlineStr">
        <is>
          <t>Line 5829</t>
        </is>
      </c>
      <c r="K190" s="36">
        <f>(_xlfn.XLOOKUP(MainClient,Clients!D:D,Clients!JSA:JSA,2,0,1))</f>
        <v/>
      </c>
      <c r="N190" s="35" t="n"/>
      <c r="O190" s="34" t="n"/>
      <c r="P190" s="35" t="n"/>
    </row>
    <row r="191" ht="15.75" customHeight="1" thickBot="1">
      <c r="B191" s="55" t="inlineStr">
        <is>
          <t>Line 5833</t>
        </is>
      </c>
      <c r="C191" s="36">
        <f>(_xlfn.XLOOKUP(ClientNumber,Clients!D:D,Clients!ISF:ISF,2,0,1))</f>
        <v/>
      </c>
      <c r="F191" s="35" t="n"/>
      <c r="G191" s="34" t="n"/>
      <c r="H191" s="35" t="n"/>
      <c r="J191" s="55" t="inlineStr">
        <is>
          <t>Line 5833</t>
        </is>
      </c>
      <c r="K191" s="36">
        <f>(_xlfn.XLOOKUP(MainClient,Clients!D:D,Clients!JSH:JSH,2,0,1))</f>
        <v/>
      </c>
      <c r="N191" s="35" t="n"/>
      <c r="O191" s="34" t="n"/>
      <c r="P191" s="35" t="n"/>
    </row>
    <row r="192" ht="15.75" customHeight="1" thickBot="1">
      <c r="B192" s="55" t="inlineStr">
        <is>
          <t>Line 5856</t>
        </is>
      </c>
      <c r="C192" s="36">
        <f>(_xlfn.XLOOKUP(ClientNumber,Clients!D:D,Clients!ISN:ISN,2,0,1))</f>
        <v/>
      </c>
      <c r="F192" s="35" t="n"/>
      <c r="G192" s="34" t="n"/>
      <c r="H192" s="35" t="n"/>
      <c r="J192" s="55" t="inlineStr">
        <is>
          <t>Line 5856</t>
        </is>
      </c>
      <c r="K192" s="36">
        <f>(_xlfn.XLOOKUP(MainClient,Clients!D:D,Clients!JSP:JSP,2,0,1))</f>
        <v/>
      </c>
      <c r="N192" s="35" t="n"/>
      <c r="O192" s="34" t="n"/>
      <c r="P192" s="35" t="n"/>
    </row>
    <row r="193" ht="15.75" customHeight="1" thickBot="1">
      <c r="B193" s="55" t="n"/>
      <c r="C193" s="36" t="n"/>
      <c r="F193" s="35" t="n"/>
      <c r="G193" s="34" t="n"/>
      <c r="H193" s="35" t="n"/>
      <c r="J193" s="55" t="n"/>
      <c r="K193" s="36" t="n"/>
      <c r="N193" s="35" t="n"/>
      <c r="O193" s="34" t="n"/>
      <c r="P193" s="35" t="n"/>
    </row>
    <row r="194" ht="15.75" customHeight="1" thickBot="1">
      <c r="B194" s="55" t="n"/>
      <c r="C194" s="36" t="n"/>
      <c r="F194" s="35" t="n"/>
      <c r="G194" s="34" t="n"/>
      <c r="H194" s="35" t="n"/>
      <c r="J194" s="55" t="n"/>
      <c r="K194" s="36" t="n"/>
      <c r="N194" s="35" t="n"/>
      <c r="O194" s="34" t="n"/>
      <c r="P194" s="35" t="n"/>
    </row>
    <row r="195" ht="15.75" customHeight="1" thickBot="1">
      <c r="B195" s="68" t="n"/>
      <c r="C195" s="36" t="n"/>
      <c r="F195" s="35" t="n"/>
      <c r="G195" s="34" t="n"/>
      <c r="H195" s="35" t="n"/>
      <c r="J195" s="55" t="n"/>
      <c r="K195" s="36" t="n"/>
      <c r="N195" s="35" t="n"/>
      <c r="O195" s="34" t="n"/>
      <c r="P195" s="35" t="n"/>
    </row>
    <row r="196" ht="15.75" customHeight="1" thickBot="1">
      <c r="B196" s="38" t="n"/>
      <c r="C196" s="36" t="n"/>
      <c r="F196" s="35" t="n"/>
      <c r="G196" s="34" t="inlineStr">
        <is>
          <t>Line 326</t>
        </is>
      </c>
      <c r="H196" s="35">
        <f>IF(TransferName="NONE",0,(_xlfn.XLOOKUP(TransferNumber,Clients!D:D,Clients!IKF:IKF,2,0,1)))</f>
        <v/>
      </c>
      <c r="J196" s="38" t="n"/>
      <c r="K196" s="36" t="n"/>
      <c r="N196" s="35" t="n"/>
      <c r="O196" s="34" t="inlineStr">
        <is>
          <t>Line 326</t>
        </is>
      </c>
      <c r="P196" s="35">
        <f>IFERROR(_xlfn.XLOOKUP(TransferNumber,Clients!D:D,Clients!JKH:JKH,2,0,1),0)</f>
        <v/>
      </c>
    </row>
    <row r="197" ht="15.75" customHeight="1" thickBot="1">
      <c r="A197" s="55" t="n"/>
      <c r="B197" s="38" t="n"/>
      <c r="C197" s="36" t="n"/>
      <c r="F197" s="35" t="n"/>
      <c r="G197" s="34" t="n"/>
      <c r="H197" s="35" t="n"/>
      <c r="J197" s="68" t="n"/>
      <c r="K197" s="36" t="n"/>
      <c r="N197" s="35" t="n"/>
      <c r="O197" s="34" t="n"/>
      <c r="P197" s="35" t="n"/>
    </row>
    <row r="198" ht="15.75" customHeight="1" thickBot="1">
      <c r="B198" s="38" t="n"/>
      <c r="C198" s="36" t="n"/>
      <c r="F198" s="35" t="n"/>
      <c r="G198" s="34" t="n"/>
      <c r="H198" s="35" t="n"/>
      <c r="J198" s="38" t="n"/>
      <c r="K198" s="36" t="n"/>
      <c r="N198" s="35" t="n"/>
      <c r="O198" s="34" t="n"/>
      <c r="P198" s="35" t="n"/>
    </row>
    <row r="199" ht="15.75" customHeight="1" thickBot="1">
      <c r="B199" s="38" t="n"/>
      <c r="C199" s="36" t="n"/>
      <c r="F199" s="35" t="n"/>
      <c r="G199" s="34" t="n"/>
      <c r="H199" s="35" t="n"/>
      <c r="J199" s="38" t="n"/>
      <c r="K199" s="36" t="n"/>
      <c r="N199" s="35" t="n"/>
      <c r="O199" s="34" t="n"/>
      <c r="P199" s="35" t="n"/>
    </row>
    <row r="200" ht="15.75" customHeight="1" thickBot="1">
      <c r="B200" s="38" t="n"/>
      <c r="C200" s="36" t="n"/>
      <c r="F200" s="35" t="n"/>
      <c r="G200" s="34" t="n"/>
      <c r="H200" s="35">
        <f>IF(E205&gt;0,E182-G182,0)</f>
        <v/>
      </c>
      <c r="J200" s="38" t="n"/>
      <c r="K200" s="36" t="n"/>
      <c r="N200" s="35" t="n"/>
      <c r="O200" s="34" t="n"/>
      <c r="P200" s="35">
        <f>IF(M205&gt;0,M182-O182,0)</f>
        <v/>
      </c>
    </row>
    <row r="201" ht="15.75" customHeight="1" thickBot="1">
      <c r="B201" s="38" t="n"/>
      <c r="C201" s="36" t="n"/>
      <c r="F201" s="35" t="n"/>
      <c r="H201" s="52">
        <f>IF(TransferName="NONE",F206,IF(H200&gt;0,(E205-G182)*0.0505,0))</f>
        <v/>
      </c>
      <c r="J201" s="38" t="n"/>
      <c r="K201" s="36" t="n"/>
      <c r="N201" s="35" t="n"/>
      <c r="P201" s="52">
        <f>IF(TransferName="NONE",N206,IF(P200&gt;0,(M205-O182)*0.0505,0))</f>
        <v/>
      </c>
    </row>
    <row r="202">
      <c r="B202" s="667" t="n"/>
      <c r="F202" s="35" t="n"/>
      <c r="G202" s="34" t="inlineStr">
        <is>
          <t>Transferable</t>
        </is>
      </c>
      <c r="H202" s="52">
        <f>IF(H201&gt;0,H201,0)</f>
        <v/>
      </c>
      <c r="J202" s="667" t="n"/>
      <c r="N202" s="35" t="n"/>
      <c r="O202" s="34" t="inlineStr">
        <is>
          <t>Transferable</t>
        </is>
      </c>
      <c r="P202" s="52">
        <f>IF(P201&gt;0,P201,0)</f>
        <v/>
      </c>
    </row>
    <row r="203">
      <c r="B203" s="667" t="inlineStr">
        <is>
          <t>Adjusted Taxable Income</t>
        </is>
      </c>
      <c r="C203">
        <f>C184-(SUM(C186:C201))</f>
        <v/>
      </c>
      <c r="D203" s="13" t="inlineStr">
        <is>
          <t>Line 5864</t>
        </is>
      </c>
      <c r="E203" s="39">
        <f>IF(C203&gt;0,C203,0)</f>
        <v/>
      </c>
      <c r="F203" s="35" t="n"/>
      <c r="G203" s="34" t="n"/>
      <c r="H203" s="35" t="n"/>
      <c r="J203" s="667" t="inlineStr">
        <is>
          <t>Adjusted Taxable Income</t>
        </is>
      </c>
      <c r="K203">
        <f>K184-(SUM(K186:K201))</f>
        <v/>
      </c>
      <c r="L203" s="13" t="inlineStr">
        <is>
          <t>Line 5864</t>
        </is>
      </c>
      <c r="M203" s="39">
        <f>IF(K203&gt;0,K203,0)</f>
        <v/>
      </c>
      <c r="N203" s="35" t="n"/>
      <c r="O203" s="34" t="n"/>
      <c r="P203" s="35" t="n"/>
    </row>
    <row r="204" ht="15.75" customHeight="1" thickBot="1">
      <c r="B204" s="34" t="n"/>
      <c r="F204" s="35" t="n"/>
      <c r="G204" s="34" t="n"/>
      <c r="H204" s="35" t="n"/>
      <c r="J204" s="34" t="n"/>
      <c r="N204" s="35" t="n"/>
      <c r="O204" s="34" t="n"/>
      <c r="P204" s="35" t="n"/>
    </row>
    <row r="205" ht="15.75" customHeight="1" thickBot="1">
      <c r="B205" s="34" t="n"/>
      <c r="D205" s="21" t="inlineStr">
        <is>
          <t>Prov Trans</t>
        </is>
      </c>
      <c r="E205" s="36">
        <f>(E182-E203)</f>
        <v/>
      </c>
      <c r="F205" s="40" t="n"/>
      <c r="G205" s="34" t="n"/>
      <c r="H205" s="52" t="n"/>
      <c r="J205" s="34" t="n"/>
      <c r="L205" s="21" t="inlineStr">
        <is>
          <t>Prov Trans</t>
        </is>
      </c>
      <c r="M205" s="36">
        <f>(M182-M203)</f>
        <v/>
      </c>
      <c r="N205" s="40" t="n"/>
      <c r="O205" s="34" t="n"/>
      <c r="P205" s="52" t="n"/>
    </row>
    <row r="206" ht="15.75" customHeight="1" thickBot="1">
      <c r="B206" s="34" t="n"/>
      <c r="C206" s="579" t="inlineStr">
        <is>
          <t>DTC Transferable ESTIMATE</t>
        </is>
      </c>
      <c r="D206" s="35" t="n"/>
      <c r="E206" s="36">
        <f>IF(E205&lt;0,0,(IF(E205&gt;E180,E180,E205)))</f>
        <v/>
      </c>
      <c r="F206" s="40">
        <f>IF(E206&gt;0,E206*0.0505,"No Transfer Required")</f>
        <v/>
      </c>
      <c r="G206" s="58" t="n"/>
      <c r="H206" s="52" t="n"/>
      <c r="J206" s="34" t="n"/>
      <c r="K206" s="579" t="inlineStr">
        <is>
          <t>DTC Transferable ESTIMATE</t>
        </is>
      </c>
      <c r="L206" s="35" t="n"/>
      <c r="M206" s="36">
        <f>IF(M205&lt;0,0,(IF(M205&gt;M180,M180,M205)))</f>
        <v/>
      </c>
      <c r="N206" s="40">
        <f>IF(M206&gt;0,M206*0.0505,"No Transfer Required")</f>
        <v/>
      </c>
      <c r="O206" s="58" t="n"/>
      <c r="P206" s="52" t="n"/>
    </row>
    <row r="207" ht="15.75" customHeight="1" thickBot="1">
      <c r="B207" s="42" t="n"/>
      <c r="C207" s="41" t="n"/>
      <c r="D207" s="43" t="inlineStr">
        <is>
          <t>Net Transferable</t>
        </is>
      </c>
      <c r="E207" s="36">
        <f>IF(E205&lt;0,0,(IF(E205-G178-G179-G181&lt;0,E205,(E205-G178-G179-G181))))</f>
        <v/>
      </c>
      <c r="F207" s="57">
        <f>IF(E207&gt;0,E207*0.0505,"0")</f>
        <v/>
      </c>
      <c r="G207" s="59" t="n"/>
      <c r="H207" s="864" t="n"/>
      <c r="J207" s="42" t="n"/>
      <c r="K207" s="41" t="n"/>
      <c r="L207" s="43" t="inlineStr">
        <is>
          <t>Net Transferable</t>
        </is>
      </c>
      <c r="M207" s="36">
        <f>IF(M205&lt;0,0,(IF(M205-O178-O179-O181&lt;0,M205,(M205-O178-O179-O181))))</f>
        <v/>
      </c>
      <c r="N207" s="57">
        <f>IF(M207&gt;0,M207*0.0505,"0")</f>
        <v/>
      </c>
      <c r="O207" s="59" t="n"/>
      <c r="P207" s="864" t="n"/>
    </row>
    <row r="208">
      <c r="D208" s="60" t="n"/>
      <c r="F208" s="61" t="n"/>
      <c r="G208" s="449" t="n"/>
      <c r="H208" s="866" t="n"/>
      <c r="L208" s="60" t="n"/>
      <c r="N208" s="866" t="n"/>
      <c r="O208" s="64" t="n"/>
      <c r="P208" s="866" t="n"/>
    </row>
  </sheetData>
  <mergeCells count="88">
    <mergeCell ref="J180:K180"/>
    <mergeCell ref="K33:L33"/>
    <mergeCell ref="C172:D172"/>
    <mergeCell ref="J146:K146"/>
    <mergeCell ref="B77:C77"/>
    <mergeCell ref="K138:L138"/>
    <mergeCell ref="G68:G69"/>
    <mergeCell ref="B182:C182"/>
    <mergeCell ref="J4:K4"/>
    <mergeCell ref="B78:C78"/>
    <mergeCell ref="G33:G34"/>
    <mergeCell ref="B112:C112"/>
    <mergeCell ref="J147:K147"/>
    <mergeCell ref="C138:D138"/>
    <mergeCell ref="B178:C178"/>
    <mergeCell ref="B2:H2"/>
    <mergeCell ref="B40:C40"/>
    <mergeCell ref="K172:L172"/>
    <mergeCell ref="B41:C41"/>
    <mergeCell ref="J110:K110"/>
    <mergeCell ref="B37:H37"/>
    <mergeCell ref="J181:K181"/>
    <mergeCell ref="B142:H142"/>
    <mergeCell ref="B180:C180"/>
    <mergeCell ref="J77:K77"/>
    <mergeCell ref="G103:G104"/>
    <mergeCell ref="B179:C179"/>
    <mergeCell ref="B72:H72"/>
    <mergeCell ref="B176:H176"/>
    <mergeCell ref="G138:G139"/>
    <mergeCell ref="J75:K75"/>
    <mergeCell ref="B107:H107"/>
    <mergeCell ref="B6:C6"/>
    <mergeCell ref="K206:L206"/>
    <mergeCell ref="J145:K145"/>
    <mergeCell ref="B144:C144"/>
    <mergeCell ref="K68:L68"/>
    <mergeCell ref="J111:K111"/>
    <mergeCell ref="B7:C7"/>
    <mergeCell ref="C68:D68"/>
    <mergeCell ref="J2:P2"/>
    <mergeCell ref="J142:P142"/>
    <mergeCell ref="J40:K40"/>
    <mergeCell ref="B43:C43"/>
    <mergeCell ref="B42:C42"/>
    <mergeCell ref="J182:K182"/>
    <mergeCell ref="J74:K74"/>
    <mergeCell ref="J179:K179"/>
    <mergeCell ref="J72:P72"/>
    <mergeCell ref="B148:C148"/>
    <mergeCell ref="J37:P37"/>
    <mergeCell ref="B146:C146"/>
    <mergeCell ref="J176:P176"/>
    <mergeCell ref="J113:K113"/>
    <mergeCell ref="J107:P107"/>
    <mergeCell ref="B5:C5"/>
    <mergeCell ref="B76:C76"/>
    <mergeCell ref="J42:K42"/>
    <mergeCell ref="B4:C4"/>
    <mergeCell ref="B75:C75"/>
    <mergeCell ref="J39:K39"/>
    <mergeCell ref="B109:C109"/>
    <mergeCell ref="J144:K144"/>
    <mergeCell ref="J5:K5"/>
    <mergeCell ref="C33:D33"/>
    <mergeCell ref="J112:K112"/>
    <mergeCell ref="J78:K78"/>
    <mergeCell ref="C206:D206"/>
    <mergeCell ref="B39:C39"/>
    <mergeCell ref="J6:K6"/>
    <mergeCell ref="C103:D103"/>
    <mergeCell ref="B111:C111"/>
    <mergeCell ref="B145:C145"/>
    <mergeCell ref="J178:K178"/>
    <mergeCell ref="B181:C181"/>
    <mergeCell ref="B8:C8"/>
    <mergeCell ref="J148:K148"/>
    <mergeCell ref="B147:C147"/>
    <mergeCell ref="J7:K7"/>
    <mergeCell ref="J41:K41"/>
    <mergeCell ref="J109:K109"/>
    <mergeCell ref="B74:C74"/>
    <mergeCell ref="J43:K43"/>
    <mergeCell ref="K103:L103"/>
    <mergeCell ref="J76:K76"/>
    <mergeCell ref="B110:C110"/>
    <mergeCell ref="J8:K8"/>
    <mergeCell ref="B113:C113"/>
  </mergeCells>
  <pageMargins left="0.7" right="0.7" top="0.75" bottom="0.75" header="0.3" footer="0.3"/>
  <pageSetup orientation="portrait" verticalDpi="597"/>
</worksheet>
</file>

<file path=xl/worksheets/sheet19.xml><?xml version="1.0" encoding="utf-8"?>
<worksheet xmlns="http://schemas.openxmlformats.org/spreadsheetml/2006/main">
  <sheetPr codeName="Sheet16">
    <tabColor rgb="FF92D050"/>
    <outlinePr summaryBelow="1" summaryRight="1"/>
    <pageSetUpPr/>
  </sheetPr>
  <dimension ref="A1:P208"/>
  <sheetViews>
    <sheetView topLeftCell="A176" zoomScale="60" zoomScaleNormal="60" workbookViewId="0">
      <selection activeCell="M206" sqref="M206"/>
    </sheetView>
  </sheetViews>
  <sheetFormatPr baseColWidth="8" defaultRowHeight="15"/>
  <cols>
    <col width="1.140625" customWidth="1" min="1" max="1"/>
    <col width="23.7109375" bestFit="1" customWidth="1" min="2" max="2"/>
    <col width="16" customWidth="1" min="3" max="3"/>
    <col width="19.42578125" bestFit="1" customWidth="1" min="4" max="4"/>
    <col width="13.5703125" bestFit="1" customWidth="1" min="5" max="5"/>
    <col width="13.42578125" customWidth="1" min="6" max="6"/>
    <col width="12.140625" bestFit="1" customWidth="1" min="7" max="7"/>
    <col width="59" customWidth="1" min="8" max="8"/>
    <col width="11.85546875" customWidth="1" min="9" max="9"/>
    <col width="23.7109375" bestFit="1" customWidth="1" min="10" max="10"/>
    <col width="11.85546875" customWidth="1" min="11" max="11"/>
    <col width="18.42578125" bestFit="1" customWidth="1" min="12" max="12"/>
    <col width="13.5703125" bestFit="1" customWidth="1" min="13" max="13"/>
    <col width="13.5703125" customWidth="1" min="14" max="14"/>
    <col width="12.140625" bestFit="1" customWidth="1" min="15" max="15"/>
    <col width="58.7109375" customWidth="1" min="16" max="16"/>
  </cols>
  <sheetData>
    <row r="1" ht="15.75" customHeight="1" thickBot="1">
      <c r="E1">
        <f>Calculator!$D$5</f>
        <v/>
      </c>
      <c r="H1">
        <f>TransferName</f>
        <v/>
      </c>
      <c r="M1">
        <f>Calculator!$D$5</f>
        <v/>
      </c>
      <c r="P1">
        <f>TransferName</f>
        <v/>
      </c>
    </row>
    <row r="2" ht="15.75" customHeight="1" thickBot="1">
      <c r="B2" s="867" t="inlineStr">
        <is>
          <t>2024 PRINCE EDWARD ISLAND Provincial</t>
        </is>
      </c>
      <c r="C2" s="778" t="n"/>
      <c r="D2" s="778" t="n"/>
      <c r="E2" s="778" t="n"/>
      <c r="F2" s="778" t="n"/>
      <c r="G2" s="778" t="n"/>
      <c r="H2" s="780" t="n"/>
      <c r="J2" s="868" t="inlineStr">
        <is>
          <t>2023 PRINCE EDWARD ISLAND Provincial</t>
        </is>
      </c>
      <c r="K2" s="778" t="n"/>
      <c r="L2" s="778" t="n"/>
      <c r="M2" s="778" t="n"/>
      <c r="N2" s="778" t="n"/>
      <c r="O2" s="778" t="n"/>
      <c r="P2" s="780" t="n"/>
    </row>
    <row r="3" ht="15.75" customHeight="1" thickBot="1">
      <c r="B3" s="116" t="n"/>
      <c r="C3" s="115" t="n"/>
      <c r="D3" s="115" t="inlineStr">
        <is>
          <t>Line</t>
        </is>
      </c>
      <c r="E3" s="115" t="inlineStr">
        <is>
          <t>Amt</t>
        </is>
      </c>
      <c r="F3" s="117" t="n"/>
      <c r="G3" s="675" t="inlineStr">
        <is>
          <t>Spouse</t>
        </is>
      </c>
      <c r="H3" s="117" t="inlineStr">
        <is>
          <t>S2 Adjustment</t>
        </is>
      </c>
      <c r="J3" s="34" t="n"/>
      <c r="L3" t="inlineStr">
        <is>
          <t>Line</t>
        </is>
      </c>
      <c r="M3" t="inlineStr">
        <is>
          <t>Amt</t>
        </is>
      </c>
      <c r="N3" s="35" t="n"/>
      <c r="O3" s="34" t="inlineStr">
        <is>
          <t>Spouse</t>
        </is>
      </c>
      <c r="P3" s="35" t="inlineStr">
        <is>
          <t>S2 Adjustment</t>
        </is>
      </c>
    </row>
    <row r="4" ht="15.75" customHeight="1" thickBot="1">
      <c r="B4" s="675" t="inlineStr">
        <is>
          <t>Age Amount</t>
        </is>
      </c>
      <c r="D4" s="115" t="inlineStr">
        <is>
          <t>Line 58080</t>
        </is>
      </c>
      <c r="E4" s="869">
        <f>(_xlfn.XLOOKUP(ClientNumber,Clients!D:D,Clients!ANR:ANR,2,0,1))</f>
        <v/>
      </c>
      <c r="F4" s="119" t="inlineStr">
        <is>
          <t>Line 59020</t>
        </is>
      </c>
      <c r="G4" s="141">
        <f>IF(TransferName="NONE",0,(_xlfn.XLOOKUP(TransferNumber,Clients!D:D,Clients!APT:APT,2,0,1)))</f>
        <v/>
      </c>
      <c r="H4" s="119">
        <f>IF(AND(E4&gt;0,G4=0),"Age Amount Can Be Transferred","No Action")</f>
        <v/>
      </c>
      <c r="J4" s="667" t="inlineStr">
        <is>
          <t>Age Amount</t>
        </is>
      </c>
      <c r="L4" t="inlineStr">
        <is>
          <t>Line 58080</t>
        </is>
      </c>
      <c r="M4" s="865">
        <f>(_xlfn.XLOOKUP(MainClient,Clients!D:D,Clients!MW:MW,2,0,1))</f>
        <v/>
      </c>
      <c r="N4" s="37" t="inlineStr">
        <is>
          <t>Line 59020</t>
        </is>
      </c>
      <c r="O4" s="51">
        <f>IF(TransferName="NONE",0,(_xlfn.XLOOKUP(TransferNumber,Clients!D:D,Clients!OY:OY,2,0,1)))</f>
        <v/>
      </c>
      <c r="P4" s="37">
        <f>IF(AND(M4&gt;0,O4=0),"Age Amount Can Be Transferred","No Action")</f>
        <v/>
      </c>
    </row>
    <row r="5" ht="15.75" customHeight="1" thickBot="1">
      <c r="B5" s="675" t="inlineStr">
        <is>
          <t>Pension Income Amount</t>
        </is>
      </c>
      <c r="D5" s="115" t="inlineStr">
        <is>
          <t>Line 58360 (mx 1000)</t>
        </is>
      </c>
      <c r="E5" s="869">
        <f>IF((_xlfn.XLOOKUP(ClientNumber,Clients!D:D,Clients!AOR:AOR,2,0,1)&lt;1000),(_xlfn.XLOOKUP(MainClient,Clients!D:D,Clients!AOR:AOR,2,0,1)),1000)</f>
        <v/>
      </c>
      <c r="F5" s="119" t="inlineStr">
        <is>
          <t>Line 59050</t>
        </is>
      </c>
      <c r="G5" s="141">
        <f>IF(TransferName="NONE",0,(_xlfn.XLOOKUP(TransferNumber,Clients!D:D,Clients!APW:APW,2,0,1)))</f>
        <v/>
      </c>
      <c r="H5" s="119">
        <f>IF(AND(E5&gt;0,G5=0),"Pension Income Amount Can Be Transferred","No Action")</f>
        <v/>
      </c>
      <c r="J5" s="667" t="inlineStr">
        <is>
          <t>Pension Income Amount</t>
        </is>
      </c>
      <c r="L5" t="inlineStr">
        <is>
          <t>Line 58360 (mx 1000)</t>
        </is>
      </c>
      <c r="M5" s="865">
        <f>IF((_xlfn.XLOOKUP(ClientNumber,Clients!D:D,Clients!NW:NW,2,0,1)&lt;1000),(_xlfn.XLOOKUP(MainClient,Clients!D:D,Clients!NW:NW,2,0,1)),1000)</f>
        <v/>
      </c>
      <c r="N5" s="37" t="inlineStr">
        <is>
          <t>Line 59050</t>
        </is>
      </c>
      <c r="O5" s="51">
        <f>IF(TransferName="NONE",0,(_xlfn.XLOOKUP(TransferNumber,Clients!D:D,Clients!PB:PB,2,0,1)))</f>
        <v/>
      </c>
      <c r="P5" s="37">
        <f>IF(AND(M5&gt;0,O5=0),"Pension Income Amount Can Be Transferred","No Action")</f>
        <v/>
      </c>
    </row>
    <row r="6" ht="15.75" customHeight="1" thickBot="1">
      <c r="B6" s="675" t="inlineStr">
        <is>
          <t>Disability Amount</t>
        </is>
      </c>
      <c r="D6" s="115" t="inlineStr">
        <is>
          <t>Line 58440</t>
        </is>
      </c>
      <c r="E6" s="869">
        <f>IF(_xlfn.XLOOKUP(ClientNumber,Clients!D:D,Clients!AOT:AOT,2,0,1)=0,6890,(_xlfn.XLOOKUP(MainClient,Clients!D:D,Clients!AOT:AOT,2,0,1)))</f>
        <v/>
      </c>
      <c r="F6" s="119" t="inlineStr">
        <is>
          <t>Line 59070</t>
        </is>
      </c>
      <c r="G6" s="141">
        <f>IF(TransferName="NONE",0,(_xlfn.XLOOKUP(TransferNumber,Clients!D:D,Clients!APX:APX,2,0,1)))</f>
        <v/>
      </c>
      <c r="H6" s="119">
        <f>IF(AND(E6&gt;0,G6=0),"DTC Transferable Not Claimed Can Be Transferred","No Action")</f>
        <v/>
      </c>
      <c r="J6" s="667" t="inlineStr">
        <is>
          <t>Disability Amount</t>
        </is>
      </c>
      <c r="L6" t="inlineStr">
        <is>
          <t>Line 58440</t>
        </is>
      </c>
      <c r="M6" s="865">
        <f>IF(_xlfn.XLOOKUP(ClientNumber,Clients!D:D,Clients!NY:NY,2,0,1)=0,6890,(_xlfn.XLOOKUP(MainClient,Clients!D:D,Clients!NY:NY,2,0,1)))</f>
        <v/>
      </c>
      <c r="N6" s="37" t="inlineStr">
        <is>
          <t>Line 59070</t>
        </is>
      </c>
      <c r="O6" s="51">
        <f>IF(TransferName="NONE",0,(_xlfn.XLOOKUP(TransferNumber,Clients!D:D,Clients!PC:PC,2,0,1)))</f>
        <v/>
      </c>
      <c r="P6" s="37">
        <f>IF(AND(M6&gt;0,O6=0),"DTC Transferable Not Claimed Can Be Transferred","No Action")</f>
        <v/>
      </c>
    </row>
    <row r="7" ht="15.75" customHeight="1" thickBot="1">
      <c r="B7" s="675" t="inlineStr">
        <is>
          <t>Tuition Amount</t>
        </is>
      </c>
      <c r="D7" s="115" t="inlineStr">
        <is>
          <t>Line 59200</t>
        </is>
      </c>
      <c r="E7" s="869">
        <f>(_xlfn.XLOOKUP(ClientNumber,Clients!D:D,Clients!AQI:AQI,2,0,1))</f>
        <v/>
      </c>
      <c r="F7" s="119" t="inlineStr">
        <is>
          <t>Line 59090</t>
        </is>
      </c>
      <c r="G7" s="141">
        <f>IF(TransferName="NONE",0,(_xlfn.XLOOKUP(TransferNumber,Clients!D:D,Clients!APY:APY,2,0,1)))</f>
        <v/>
      </c>
      <c r="H7" s="119">
        <f>IF(AND(E7&gt;0,G7=0),"Tuition Can Be Transferred","No Action")</f>
        <v/>
      </c>
      <c r="J7" s="667" t="inlineStr">
        <is>
          <t>Tuition Amount</t>
        </is>
      </c>
      <c r="L7" t="inlineStr">
        <is>
          <t>Line 59200</t>
        </is>
      </c>
      <c r="M7" s="865">
        <f>(_xlfn.XLOOKUP(MainClient,Clients!D:D,Clients!PN:PN,2,0,1))</f>
        <v/>
      </c>
      <c r="N7" s="37" t="inlineStr">
        <is>
          <t>Line 59090</t>
        </is>
      </c>
      <c r="O7" s="51">
        <f>IF(TransferName="NONE",0,(_xlfn.XLOOKUP(TransferNumber,Clients!D:D,Clients!PD:PD,2,0,1)))</f>
        <v/>
      </c>
      <c r="P7" s="37">
        <f>IF(AND(M7&gt;0,O7=0),"Tuition Can Be Transferred","No Action")</f>
        <v/>
      </c>
    </row>
    <row r="8">
      <c r="B8" s="675" t="n"/>
      <c r="D8" s="115" t="n"/>
      <c r="E8" s="871">
        <f>SUM(E4:E7)</f>
        <v/>
      </c>
      <c r="F8" s="119" t="n"/>
      <c r="G8" s="675">
        <f>SUM(G4:G7)</f>
        <v/>
      </c>
      <c r="H8" s="119" t="n"/>
      <c r="J8" s="667" t="n"/>
      <c r="M8" s="872">
        <f>SUM(M4:M7)</f>
        <v/>
      </c>
      <c r="N8" s="37" t="n"/>
      <c r="O8" s="667">
        <f>SUM(O4:O7)</f>
        <v/>
      </c>
      <c r="P8" s="37" t="n"/>
    </row>
    <row r="9">
      <c r="B9" s="675" t="n"/>
      <c r="C9" s="676" t="n"/>
      <c r="D9" s="115" t="n"/>
      <c r="E9" s="871" t="n"/>
      <c r="F9" s="119" t="n"/>
      <c r="G9" s="676" t="n"/>
      <c r="H9" s="119" t="n"/>
      <c r="J9" s="667" t="n"/>
      <c r="K9" s="668" t="n"/>
      <c r="M9" s="872" t="n"/>
      <c r="N9" s="37" t="n"/>
      <c r="O9" s="668" t="n"/>
      <c r="P9" s="37" t="n"/>
    </row>
    <row r="10" ht="15.75" customHeight="1" thickBot="1">
      <c r="B10" s="116" t="n"/>
      <c r="C10" s="115" t="n"/>
      <c r="D10" s="115" t="n"/>
      <c r="E10" s="115" t="n"/>
      <c r="F10" s="117" t="n"/>
      <c r="G10" s="115" t="n"/>
      <c r="H10" s="117" t="n"/>
      <c r="J10" s="34" t="n"/>
      <c r="N10" s="35" t="n"/>
      <c r="P10" s="35" t="n"/>
    </row>
    <row r="11" ht="15.75" customHeight="1" thickBot="1">
      <c r="B11" s="675" t="inlineStr">
        <is>
          <t>Line 260</t>
        </is>
      </c>
      <c r="C11" s="120">
        <f>(_xlfn.XLOOKUP(MainClient,Clients!D:D,Clients!AFS:AFS,2,0,1))</f>
        <v/>
      </c>
      <c r="D11" s="115" t="n"/>
      <c r="E11" s="115" t="n"/>
      <c r="F11" s="117" t="n"/>
      <c r="G11" s="116">
        <f>IF(E34&gt;E6,"other transferable credits","DTC Only")</f>
        <v/>
      </c>
      <c r="H11" s="117" t="n"/>
      <c r="J11" s="667" t="inlineStr">
        <is>
          <t>Line 26000</t>
        </is>
      </c>
      <c r="K11" s="36">
        <f>(_xlfn.XLOOKUP(MainClient,Clients!D:D,Clients!EX:EX,2,0,1))</f>
        <v/>
      </c>
      <c r="N11" s="35" t="n"/>
      <c r="O11" s="34">
        <f>IF(M34&gt;M6,"other transferable credits","DTC Only")</f>
        <v/>
      </c>
      <c r="P11" s="35" t="n"/>
    </row>
    <row r="12" ht="15.75" customHeight="1" thickBot="1">
      <c r="B12" s="116" t="n"/>
      <c r="C12" s="115" t="n"/>
      <c r="D12" s="115" t="n"/>
      <c r="E12" s="115" t="n"/>
      <c r="F12" s="117" t="n"/>
      <c r="G12" s="116" t="n"/>
      <c r="H12" s="117" t="n"/>
      <c r="J12" s="34" t="n"/>
      <c r="N12" s="35" t="n"/>
      <c r="O12" s="34" t="n"/>
      <c r="P12" s="35" t="n"/>
    </row>
    <row r="13" ht="15.75" customHeight="1" thickBot="1">
      <c r="B13" s="121" t="inlineStr">
        <is>
          <t>Line 58040</t>
        </is>
      </c>
      <c r="C13" s="120">
        <f>(_xlfn.XLOOKUP(ClientNumber,Clients!D:D,Clients!ANQ:ANQ,2,0,1))</f>
        <v/>
      </c>
      <c r="D13" s="115" t="n"/>
      <c r="E13" s="115" t="n"/>
      <c r="F13" s="117" t="n"/>
      <c r="G13" s="116" t="n"/>
      <c r="H13" s="117" t="n"/>
      <c r="J13" s="55" t="inlineStr">
        <is>
          <t>Line 58040</t>
        </is>
      </c>
      <c r="K13" s="36">
        <f>(_xlfn.XLOOKUP(MainClient,Clients!D:D,Clients!MV:MV,2,0,1))</f>
        <v/>
      </c>
      <c r="N13" s="35" t="n"/>
      <c r="O13" s="34" t="n"/>
      <c r="P13" s="35" t="n"/>
    </row>
    <row r="14" ht="15.75" customHeight="1" thickBot="1">
      <c r="B14" s="121" t="inlineStr">
        <is>
          <t>Line 58240</t>
        </is>
      </c>
      <c r="C14" s="120">
        <f>(_xlfn.XLOOKUP(ClientNumber,Clients!D:D,Clients!AOF:AOF,2,0,1))</f>
        <v/>
      </c>
      <c r="D14" s="115" t="n"/>
      <c r="E14" s="115" t="n"/>
      <c r="F14" s="117" t="n"/>
      <c r="G14" s="116" t="n"/>
      <c r="H14" s="117" t="n"/>
      <c r="J14" s="55" t="inlineStr">
        <is>
          <t>Line 58240</t>
        </is>
      </c>
      <c r="K14" s="36">
        <f>(_xlfn.XLOOKUP(MainClient,Clients!D:D,Clients!NK:NK,2,0,1))</f>
        <v/>
      </c>
      <c r="N14" s="35" t="n"/>
      <c r="O14" s="34" t="n"/>
      <c r="P14" s="35" t="n"/>
    </row>
    <row r="15" ht="15.75" customHeight="1" thickBot="1">
      <c r="B15" s="121" t="inlineStr">
        <is>
          <t>Line 58280</t>
        </is>
      </c>
      <c r="C15" s="120">
        <f>(_xlfn.XLOOKUP(ClientNumber,Clients!D:D,Clients!AOG:AOG,2,0,1))</f>
        <v/>
      </c>
      <c r="D15" s="115" t="n"/>
      <c r="E15" s="115" t="n"/>
      <c r="F15" s="117" t="n"/>
      <c r="G15" s="116" t="n"/>
      <c r="H15" s="117" t="n"/>
      <c r="J15" s="55" t="inlineStr">
        <is>
          <t>Line 58280</t>
        </is>
      </c>
      <c r="K15" s="36">
        <f>(_xlfn.XLOOKUP(MainClient,Clients!D:D,Clients!NL:NL,2,0,1))</f>
        <v/>
      </c>
      <c r="N15" s="35" t="n"/>
      <c r="P15" s="35" t="n"/>
    </row>
    <row r="16" ht="15.75" customHeight="1" thickBot="1">
      <c r="B16" s="121" t="inlineStr">
        <is>
          <t>Line 58300</t>
        </is>
      </c>
      <c r="C16" s="120">
        <f>(_xlfn.XLOOKUP(ClientNumber,Clients!D:D,Clients!AOH:AOH,2,0,1))</f>
        <v/>
      </c>
      <c r="D16" s="115" t="n"/>
      <c r="E16" s="115" t="n"/>
      <c r="F16" s="117" t="n"/>
      <c r="G16" s="116" t="n"/>
      <c r="H16" s="117" t="n"/>
      <c r="J16" s="55" t="inlineStr">
        <is>
          <t>Line 58300</t>
        </is>
      </c>
      <c r="K16" s="36">
        <f>(_xlfn.XLOOKUP(MainClient,Clients!D:D,Clients!NM:NM,2,0,1))</f>
        <v/>
      </c>
      <c r="N16" s="35" t="n"/>
      <c r="O16" s="34" t="n"/>
      <c r="P16" s="35" t="n"/>
    </row>
    <row r="17" ht="15.75" customHeight="1" thickBot="1">
      <c r="B17" s="121" t="inlineStr">
        <is>
          <t>Line 58305</t>
        </is>
      </c>
      <c r="C17" s="120">
        <f>(_xlfn.XLOOKUP(ClientNumber,Clients!D:D,Clients!AOI:AOI,2,0,1))</f>
        <v/>
      </c>
      <c r="D17" s="115" t="n"/>
      <c r="E17" s="115" t="n"/>
      <c r="F17" s="117" t="n"/>
      <c r="G17" s="116" t="n"/>
      <c r="H17" s="117" t="n"/>
      <c r="J17" s="55" t="inlineStr">
        <is>
          <t>Line 58305</t>
        </is>
      </c>
      <c r="K17" s="36">
        <f>(_xlfn.XLOOKUP(MainClient,Clients!D:D,Clients!NN:NN,2,0,1))</f>
        <v/>
      </c>
      <c r="N17" s="35" t="n"/>
      <c r="O17" s="34" t="n"/>
      <c r="P17" s="35" t="n"/>
    </row>
    <row r="18" ht="15.75" customHeight="1" thickBot="1">
      <c r="B18" s="121" t="inlineStr">
        <is>
          <t>Line 58560</t>
        </is>
      </c>
      <c r="C18" s="120">
        <f>(_xlfn.XLOOKUP(ClientNumber,Clients!D:D,Clients!AOX:AOX,2,0,1))</f>
        <v/>
      </c>
      <c r="D18" s="115" t="n"/>
      <c r="E18" s="115" t="n"/>
      <c r="F18" s="117" t="n"/>
      <c r="G18" s="116" t="n"/>
      <c r="H18" s="117" t="n"/>
      <c r="J18" s="55" t="inlineStr">
        <is>
          <t>Line 58560</t>
        </is>
      </c>
      <c r="K18" s="36">
        <f>(_xlfn.XLOOKUP(MainClient,Clients!D:D,Clients!OC:OC,2,0,1))</f>
        <v/>
      </c>
      <c r="N18" s="35" t="n"/>
      <c r="O18" s="34" t="n"/>
      <c r="P18" s="35" t="n"/>
    </row>
    <row r="19" ht="15.75" customHeight="1" thickBot="1">
      <c r="B19" s="121" t="n"/>
      <c r="C19" s="120" t="n"/>
      <c r="D19" s="115" t="n"/>
      <c r="E19" s="115" t="n"/>
      <c r="F19" s="117" t="n"/>
      <c r="G19" s="116" t="n"/>
      <c r="H19" s="117" t="n"/>
      <c r="J19" s="55" t="n"/>
      <c r="K19" s="36" t="n"/>
      <c r="N19" s="35" t="n"/>
      <c r="O19" s="34" t="n"/>
      <c r="P19" s="35" t="n"/>
    </row>
    <row r="20" ht="15.75" customHeight="1" thickBot="1">
      <c r="B20" s="121" t="n"/>
      <c r="C20" s="120" t="n"/>
      <c r="D20" s="115" t="n"/>
      <c r="E20" s="115" t="n"/>
      <c r="F20" s="117" t="n"/>
      <c r="G20" s="116" t="n"/>
      <c r="H20" s="117" t="n"/>
      <c r="J20" s="55" t="n"/>
      <c r="K20" s="36" t="n"/>
      <c r="N20" s="35" t="n"/>
      <c r="O20" s="34" t="n"/>
      <c r="P20" s="35" t="n"/>
    </row>
    <row r="21" ht="15.75" customHeight="1" thickBot="1">
      <c r="B21" s="121" t="n"/>
      <c r="C21" s="120" t="n"/>
      <c r="D21" s="115" t="n"/>
      <c r="E21" s="115" t="n"/>
      <c r="F21" s="117" t="n"/>
      <c r="G21" s="116" t="n"/>
      <c r="H21" s="117" t="n"/>
      <c r="J21" s="55" t="n"/>
      <c r="K21" s="36" t="n"/>
      <c r="N21" s="35" t="n"/>
      <c r="O21" s="34" t="n"/>
      <c r="P21" s="35" t="n"/>
    </row>
    <row r="22" ht="15.75" customHeight="1" thickBot="1">
      <c r="B22" s="121" t="n"/>
      <c r="C22" s="120" t="n"/>
      <c r="D22" s="115" t="n"/>
      <c r="E22" s="115" t="n"/>
      <c r="F22" s="117" t="n"/>
      <c r="G22" s="116" t="n"/>
      <c r="H22" s="117" t="n"/>
      <c r="J22" s="55" t="n"/>
      <c r="K22" s="36" t="n"/>
      <c r="N22" s="35" t="n"/>
      <c r="O22" s="34" t="n"/>
      <c r="P22" s="35" t="n"/>
    </row>
    <row r="23" ht="15.75" customHeight="1" thickBot="1">
      <c r="B23" s="121" t="n"/>
      <c r="C23" s="120" t="n"/>
      <c r="D23" s="115" t="n"/>
      <c r="E23" s="115" t="n"/>
      <c r="F23" s="117" t="n"/>
      <c r="G23" s="116" t="inlineStr">
        <is>
          <t>Line 326</t>
        </is>
      </c>
      <c r="H23" s="117">
        <f>IF(TransferName="NONE",0,(_xlfn.XLOOKUP(TransferNumber,Clients!D:D,Clients!CIH:CIH,2,0,1)))</f>
        <v/>
      </c>
      <c r="J23" s="55" t="n"/>
      <c r="K23" s="36" t="n"/>
      <c r="N23" s="35" t="n"/>
      <c r="O23" s="34" t="inlineStr">
        <is>
          <t>Line 58640</t>
        </is>
      </c>
      <c r="P23" s="35">
        <f>IFERROR(_xlfn.XLOOKUP(TransferNumber,Clients!D:D,Clients!OI:OI,2,0,1),0)</f>
        <v/>
      </c>
    </row>
    <row r="24" ht="15.75" customHeight="1" thickBot="1">
      <c r="B24" s="121" t="n"/>
      <c r="C24" s="120" t="n"/>
      <c r="D24" s="115" t="n"/>
      <c r="E24" s="115" t="n"/>
      <c r="F24" s="117" t="n"/>
      <c r="G24" s="116" t="n"/>
      <c r="H24" s="117" t="n"/>
      <c r="J24" s="55" t="n"/>
      <c r="K24" s="36" t="n"/>
      <c r="N24" s="35" t="n"/>
      <c r="O24" s="34" t="n"/>
      <c r="P24" s="35" t="n"/>
    </row>
    <row r="25" ht="15.75" customHeight="1" thickBot="1">
      <c r="B25" s="121" t="n"/>
      <c r="C25" s="120" t="n"/>
      <c r="D25" s="115" t="n"/>
      <c r="E25" s="115" t="n"/>
      <c r="F25" s="117" t="n"/>
      <c r="G25" s="116" t="n"/>
      <c r="H25" s="117" t="n"/>
      <c r="J25" s="55" t="n"/>
      <c r="K25" s="36" t="n"/>
      <c r="N25" s="35" t="n"/>
      <c r="O25" s="34" t="n"/>
      <c r="P25" s="35" t="n"/>
    </row>
    <row r="26" ht="15.75" customHeight="1" thickBot="1">
      <c r="B26" s="121" t="n"/>
      <c r="C26" s="120" t="n"/>
      <c r="D26" s="115" t="n"/>
      <c r="E26" s="115" t="n"/>
      <c r="F26" s="117" t="n"/>
      <c r="G26" s="116" t="n"/>
      <c r="H26" s="117" t="n"/>
      <c r="J26" s="55" t="n"/>
      <c r="K26" s="36" t="n"/>
      <c r="N26" s="35" t="n"/>
      <c r="O26" s="34" t="n"/>
      <c r="P26" s="35" t="n"/>
    </row>
    <row r="27" ht="15.75" customHeight="1" thickBot="1">
      <c r="B27" s="121" t="n"/>
      <c r="C27" s="120" t="n"/>
      <c r="D27" s="115" t="n"/>
      <c r="E27" s="115" t="n"/>
      <c r="F27" s="117" t="n"/>
      <c r="G27" s="116" t="n"/>
      <c r="H27" s="117">
        <f>IF(E32&gt;0,E8-G8,0)</f>
        <v/>
      </c>
      <c r="J27" s="55" t="n"/>
      <c r="K27" s="36" t="n"/>
      <c r="N27" s="35" t="n"/>
      <c r="O27" s="34" t="n"/>
      <c r="P27" s="35">
        <f>IF(M32&gt;0,M8-O8,0)</f>
        <v/>
      </c>
    </row>
    <row r="28" ht="15.75" customHeight="1" thickBot="1">
      <c r="B28" s="121" t="n"/>
      <c r="C28" s="120" t="n"/>
      <c r="D28" s="115" t="n"/>
      <c r="E28" s="115" t="n"/>
      <c r="F28" s="117" t="n"/>
      <c r="G28" s="115" t="n"/>
      <c r="H28" s="122">
        <f>IF(TransferName="NONE",F33,IF(H27&gt;0,(E32-G8)*0.098,0))</f>
        <v/>
      </c>
      <c r="J28" s="55" t="n"/>
      <c r="K28" s="36" t="n"/>
      <c r="N28" s="35" t="n"/>
      <c r="P28" s="52">
        <f>IF(TransferName="NONE",N33,IF(P27&gt;0,(M32-O8)*0.098,0))</f>
        <v/>
      </c>
    </row>
    <row r="29">
      <c r="B29" s="675" t="n"/>
      <c r="C29" s="115" t="n"/>
      <c r="D29" s="115" t="n"/>
      <c r="E29" s="115" t="n"/>
      <c r="F29" s="117" t="n"/>
      <c r="G29" s="116" t="inlineStr">
        <is>
          <t>Transferable</t>
        </is>
      </c>
      <c r="H29" s="122">
        <f>IF(H28&gt;0,H28,0)</f>
        <v/>
      </c>
      <c r="J29" s="667" t="n"/>
      <c r="N29" s="35" t="n"/>
      <c r="O29" s="34" t="inlineStr">
        <is>
          <t>Transferable</t>
        </is>
      </c>
      <c r="P29" s="52">
        <f>IF(P28&gt;0,P28,0)</f>
        <v/>
      </c>
    </row>
    <row r="30">
      <c r="B30" s="675" t="inlineStr">
        <is>
          <t>Adjusted Taxable Income</t>
        </is>
      </c>
      <c r="C30" s="115">
        <f>C11-(SUM(C13:C28))</f>
        <v/>
      </c>
      <c r="D30" s="124" t="inlineStr">
        <is>
          <t>Line 5864</t>
        </is>
      </c>
      <c r="E30" s="125">
        <f>IF(C30&gt;0,C30,0)</f>
        <v/>
      </c>
      <c r="F30" s="117" t="n"/>
      <c r="G30" s="116" t="n"/>
      <c r="H30" s="117" t="n"/>
      <c r="J30" s="667" t="inlineStr">
        <is>
          <t>Adjusted Taxable Income</t>
        </is>
      </c>
      <c r="K30">
        <f>K11-(SUM(K13:K28))</f>
        <v/>
      </c>
      <c r="L30" s="13" t="inlineStr">
        <is>
          <t>Line 5864</t>
        </is>
      </c>
      <c r="M30" s="39">
        <f>IF(K30&gt;0,K30,0)</f>
        <v/>
      </c>
      <c r="N30" s="35" t="n"/>
      <c r="O30" s="34" t="n"/>
      <c r="P30" s="35" t="n"/>
    </row>
    <row r="31" ht="15.75" customHeight="1" thickBot="1">
      <c r="B31" s="116" t="n"/>
      <c r="C31" s="115" t="n"/>
      <c r="D31" s="115" t="n"/>
      <c r="E31" s="115" t="n"/>
      <c r="F31" s="117" t="n"/>
      <c r="G31" s="116" t="n"/>
      <c r="H31" s="117" t="n"/>
      <c r="J31" s="34" t="n"/>
      <c r="N31" s="35" t="n"/>
      <c r="O31" s="34" t="n"/>
      <c r="P31" s="35" t="n"/>
    </row>
    <row r="32" ht="15.75" customHeight="1" thickBot="1">
      <c r="B32" s="116" t="n"/>
      <c r="C32" s="115" t="n"/>
      <c r="D32" s="126" t="inlineStr">
        <is>
          <t>Prov Trans</t>
        </is>
      </c>
      <c r="E32" s="120">
        <f>(E8-E30)</f>
        <v/>
      </c>
      <c r="F32" s="127" t="n"/>
      <c r="G32" s="116" t="n"/>
      <c r="H32" s="122" t="n"/>
      <c r="J32" s="34" t="n"/>
      <c r="L32" s="21" t="inlineStr">
        <is>
          <t>Prov Trans</t>
        </is>
      </c>
      <c r="M32" s="36">
        <f>(M8-M30)</f>
        <v/>
      </c>
      <c r="N32" s="40" t="n"/>
      <c r="O32" s="34" t="n"/>
      <c r="P32" s="52" t="n"/>
    </row>
    <row r="33" ht="15.75" customHeight="1" thickBot="1">
      <c r="B33" s="116" t="n"/>
      <c r="C33" s="664" t="inlineStr">
        <is>
          <t>DTC Transferable ESTIMATE</t>
        </is>
      </c>
      <c r="D33" s="35" t="n"/>
      <c r="E33" s="120">
        <f>IF(E32&lt;0,0,(IF(E32&gt;E6,E6,E32)))</f>
        <v/>
      </c>
      <c r="F33" s="127">
        <f>IF(E33&gt;0,E33*0.098,"No Transfer Required")</f>
        <v/>
      </c>
      <c r="G33" s="666" t="n"/>
      <c r="H33" s="122" t="n"/>
      <c r="J33" s="34" t="n"/>
      <c r="K33" s="579" t="inlineStr">
        <is>
          <t>DTC Transferable ESTIMATE</t>
        </is>
      </c>
      <c r="L33" s="35" t="n"/>
      <c r="M33" s="36">
        <f>IF(M32&lt;0,0,(IF(M32&gt;M6,M6,M32)))</f>
        <v/>
      </c>
      <c r="N33" s="40">
        <f>IF(M33&gt;0,M33*0.098,"No Transfer Required")</f>
        <v/>
      </c>
      <c r="O33" s="58" t="n"/>
      <c r="P33" s="52" t="n"/>
    </row>
    <row r="34" ht="15.75" customHeight="1" thickBot="1">
      <c r="B34" s="128" t="n"/>
      <c r="C34" s="129" t="n"/>
      <c r="D34" s="130" t="inlineStr">
        <is>
          <t>Net Transferable</t>
        </is>
      </c>
      <c r="E34" s="120">
        <f>IF(E32&lt;0,0,(IF(E32-G4-G5-G7&lt;0,E32,(E32-G4-G5-G7))))</f>
        <v/>
      </c>
      <c r="F34" s="131">
        <f>IF(E34&gt;0,E34*0.098,"0")</f>
        <v/>
      </c>
      <c r="G34" s="42" t="n"/>
      <c r="H34" s="863" t="n"/>
      <c r="J34" s="42" t="n"/>
      <c r="K34" s="41" t="n"/>
      <c r="L34" s="43" t="inlineStr">
        <is>
          <t>Net Transferable</t>
        </is>
      </c>
      <c r="M34" s="36">
        <f>IF(M32&lt;0,0,(IF(M32-O4-O5-O7&lt;0,M32,(M32-O4-O5-O7))))</f>
        <v/>
      </c>
      <c r="N34" s="57">
        <f>IF(M34&gt;0,M34*0.098,"0")</f>
        <v/>
      </c>
      <c r="O34" s="59" t="n"/>
      <c r="P34" s="864" t="n"/>
    </row>
    <row r="36" ht="15.75" customHeight="1" thickBot="1">
      <c r="E36">
        <f>Calculator!$D$5</f>
        <v/>
      </c>
      <c r="H36">
        <f>TransferName</f>
        <v/>
      </c>
      <c r="M36">
        <f>Calculator!$D$5</f>
        <v/>
      </c>
      <c r="P36">
        <f>TransferName</f>
        <v/>
      </c>
    </row>
    <row r="37" ht="15.75" customHeight="1" thickBot="1">
      <c r="B37" s="868" t="inlineStr">
        <is>
          <t>2022 PRINCE EDWARD ISLAND Provincial</t>
        </is>
      </c>
      <c r="C37" s="778" t="n"/>
      <c r="D37" s="778" t="n"/>
      <c r="E37" s="778" t="n"/>
      <c r="F37" s="778" t="n"/>
      <c r="G37" s="778" t="n"/>
      <c r="H37" s="780" t="n"/>
      <c r="J37" s="868" t="inlineStr">
        <is>
          <t>2021 PRINCE EDWARD ISLAND Provincial</t>
        </is>
      </c>
      <c r="K37" s="778" t="n"/>
      <c r="L37" s="778" t="n"/>
      <c r="M37" s="778" t="n"/>
      <c r="N37" s="778" t="n"/>
      <c r="O37" s="778" t="n"/>
      <c r="P37" s="780" t="n"/>
    </row>
    <row r="38" ht="15.75" customHeight="1" thickBot="1">
      <c r="B38" s="34" t="n"/>
      <c r="D38" t="inlineStr">
        <is>
          <t>Line</t>
        </is>
      </c>
      <c r="E38" t="inlineStr">
        <is>
          <t>Amt</t>
        </is>
      </c>
      <c r="F38" s="35" t="n"/>
      <c r="G38" s="667" t="inlineStr">
        <is>
          <t>Spouse</t>
        </is>
      </c>
      <c r="H38" s="35" t="inlineStr">
        <is>
          <t>S2 Adjustment</t>
        </is>
      </c>
      <c r="J38" s="34" t="n"/>
      <c r="L38" t="inlineStr">
        <is>
          <t>Line</t>
        </is>
      </c>
      <c r="M38" t="inlineStr">
        <is>
          <t>Amt</t>
        </is>
      </c>
      <c r="N38" s="35" t="n"/>
      <c r="O38" s="34" t="inlineStr">
        <is>
          <t>Spouse</t>
        </is>
      </c>
      <c r="P38" s="35" t="inlineStr">
        <is>
          <t>S2 Adjustment</t>
        </is>
      </c>
    </row>
    <row r="39" ht="15.75" customHeight="1" thickBot="1">
      <c r="B39" s="667" t="inlineStr">
        <is>
          <t>Age Amount</t>
        </is>
      </c>
      <c r="D39" t="inlineStr">
        <is>
          <t>Line 58080</t>
        </is>
      </c>
      <c r="E39" s="861">
        <f>(_xlfn.XLOOKUP(ClientNumber,Clients!D:D,Clients!ANR:ANR,2,0,1))</f>
        <v/>
      </c>
      <c r="F39" s="37" t="inlineStr">
        <is>
          <t>Line 59020</t>
        </is>
      </c>
      <c r="G39" s="51">
        <f>IF(TransferName="NONE",0,(_xlfn.XLOOKUP(TransferNumber,Clients!D:D,Clients!APT:APT,2,0,1)))</f>
        <v/>
      </c>
      <c r="H39" s="37">
        <f>IF(AND(E39&gt;0,G39=0),"Age Amount Can Be Transferred","No Action")</f>
        <v/>
      </c>
      <c r="J39" s="667" t="inlineStr">
        <is>
          <t>Age Amount</t>
        </is>
      </c>
      <c r="L39" t="inlineStr">
        <is>
          <t>Line 58080</t>
        </is>
      </c>
      <c r="M39" s="865">
        <f>(_xlfn.XLOOKUP(MainClient,Clients!D:D,Clients!BOM:BOM,2,0,1))</f>
        <v/>
      </c>
      <c r="N39" s="37" t="inlineStr">
        <is>
          <t>Line 59020</t>
        </is>
      </c>
      <c r="O39" s="51">
        <f>IF(TransferName="NONE",0,(_xlfn.XLOOKUP(TransferNumber,Clients!D:D,Clients!BQO:BQO,2,0,1)))</f>
        <v/>
      </c>
      <c r="P39" s="37">
        <f>IF(AND(M39&gt;0,O39=0),"Age Amount Can Be Transferred","No Action")</f>
        <v/>
      </c>
    </row>
    <row r="40" ht="15.75" customHeight="1" thickBot="1">
      <c r="B40" s="667" t="inlineStr">
        <is>
          <t>Pension Income Amount</t>
        </is>
      </c>
      <c r="D40" t="inlineStr">
        <is>
          <t>Line 58360 (mx 1000)</t>
        </is>
      </c>
      <c r="E40" s="861">
        <f>IF((_xlfn.XLOOKUP(ClientNumber,Clients!D:D,Clients!AOR:AOR,2,0,1)&lt;1000),(_xlfn.XLOOKUP(MainClient,Clients!D:D,Clients!AOR:AOR,2,0,1)),1000)</f>
        <v/>
      </c>
      <c r="F40" s="37" t="inlineStr">
        <is>
          <t>Line 59050</t>
        </is>
      </c>
      <c r="G40" s="51">
        <f>IF(TransferName="NONE",0,(_xlfn.XLOOKUP(TransferNumber,Clients!D:D,Clients!APW:APW,2,0,1)))</f>
        <v/>
      </c>
      <c r="H40" s="37">
        <f>IF(AND(E40&gt;0,G40=0),"Pension Income Amount Can Be Transferred","No Action")</f>
        <v/>
      </c>
      <c r="J40" s="667" t="inlineStr">
        <is>
          <t>Pension Income Amount</t>
        </is>
      </c>
      <c r="L40" t="inlineStr">
        <is>
          <t>Line 58360 (mx 1000)</t>
        </is>
      </c>
      <c r="M40" s="865">
        <f>IF((_xlfn.XLOOKUP(ClientNumber,Clients!D:D,Clients!BPM:BPM,2,0,1)&lt;1000),(_xlfn.XLOOKUP(MainClient,Clients!D:D,Clients!BPM:BPM,2,0,1)),1000)</f>
        <v/>
      </c>
      <c r="N40" s="37" t="inlineStr">
        <is>
          <t>Line 59050</t>
        </is>
      </c>
      <c r="O40" s="51">
        <f>IF(TransferName="NONE",0,(_xlfn.XLOOKUP(TransferNumber,Clients!D:D,Clients!BQR:BQR,2,0,1)))</f>
        <v/>
      </c>
      <c r="P40" s="37">
        <f>IF(AND(M40&gt;0,O40=0),"Pension Income Amount Can Be Transferred","No Action")</f>
        <v/>
      </c>
    </row>
    <row r="41" ht="15.75" customHeight="1" thickBot="1">
      <c r="B41" s="667" t="inlineStr">
        <is>
          <t>Disability Amount</t>
        </is>
      </c>
      <c r="D41" t="inlineStr">
        <is>
          <t>Line 58440</t>
        </is>
      </c>
      <c r="E41" s="861">
        <f>IF(_xlfn.XLOOKUP(ClientNumber,Clients!D:D,Clients!AOT:AOT,2,0,1)=0,6890,(_xlfn.XLOOKUP(MainClient,Clients!D:D,Clients!AOT:AOT,2,0,1)))</f>
        <v/>
      </c>
      <c r="F41" s="37" t="inlineStr">
        <is>
          <t>Line 59070</t>
        </is>
      </c>
      <c r="G41" s="51">
        <f>IF(TransferName="NONE",0,(_xlfn.XLOOKUP(TransferNumber,Clients!D:D,Clients!APX:APX,2,0,1)))</f>
        <v/>
      </c>
      <c r="H41" s="37">
        <f>IF(AND(E41&gt;0,G41=0),"DTC Transferable Not Claimed Can Be Transferred","No Action")</f>
        <v/>
      </c>
      <c r="J41" s="667" t="inlineStr">
        <is>
          <t>Disability Amount</t>
        </is>
      </c>
      <c r="L41" t="inlineStr">
        <is>
          <t>Line 58440</t>
        </is>
      </c>
      <c r="M41" s="865">
        <f>IF(_xlfn.XLOOKUP(ClientNumber,Clients!D:D,Clients!BPO:BPO,2,0,1)=0,6890,(_xlfn.XLOOKUP(MainClient,Clients!D:D,Clients!BPO:BPO,2,0,1)))</f>
        <v/>
      </c>
      <c r="N41" s="37" t="inlineStr">
        <is>
          <t>Line 59070</t>
        </is>
      </c>
      <c r="O41" s="51">
        <f>IF(TransferName="NONE",0,(_xlfn.XLOOKUP(TransferNumber,Clients!D:D,Clients!BQS:BQS,2,0,1)))</f>
        <v/>
      </c>
      <c r="P41" s="37">
        <f>IF(AND(M41&gt;0,O41=0),"DTC Transferable Not Claimed Can Be Transferred","No Action")</f>
        <v/>
      </c>
    </row>
    <row r="42" ht="15.75" customHeight="1" thickBot="1">
      <c r="B42" s="667" t="inlineStr">
        <is>
          <t>Tuition Amount</t>
        </is>
      </c>
      <c r="D42" t="inlineStr">
        <is>
          <t>Line 59200</t>
        </is>
      </c>
      <c r="E42" s="861">
        <f>(_xlfn.XLOOKUP(ClientNumber,Clients!D:D,Clients!AQI:AQI,2,0,1))</f>
        <v/>
      </c>
      <c r="F42" s="37" t="inlineStr">
        <is>
          <t>Line 59090</t>
        </is>
      </c>
      <c r="G42" s="51">
        <f>IF(TransferName="NONE",0,(_xlfn.XLOOKUP(TransferNumber,Clients!D:D,Clients!APY:APY,2,0,1)))</f>
        <v/>
      </c>
      <c r="H42" s="37">
        <f>IF(AND(E42&gt;0,G42=0),"Tuition Can Be Transferred","No Action")</f>
        <v/>
      </c>
      <c r="J42" s="667" t="inlineStr">
        <is>
          <t>Tuition Amount</t>
        </is>
      </c>
      <c r="L42" t="inlineStr">
        <is>
          <t>Line 59200</t>
        </is>
      </c>
      <c r="M42" s="865">
        <f>(_xlfn.XLOOKUP(MainClient,Clients!D:D,Clients!BRD:BRD,2,0,1))</f>
        <v/>
      </c>
      <c r="N42" s="37" t="inlineStr">
        <is>
          <t>Line 59090</t>
        </is>
      </c>
      <c r="O42" s="51">
        <f>IF(TransferName="NONE",0,(_xlfn.XLOOKUP(TransferNumber,Clients!D:D,Clients!BQT:BQT,2,0,1)))</f>
        <v/>
      </c>
      <c r="P42" s="37">
        <f>IF(AND(M42&gt;0,O42=0),"Tuition Can Be Transferred","No Action")</f>
        <v/>
      </c>
    </row>
    <row r="43">
      <c r="B43" s="667" t="n"/>
      <c r="E43" s="771">
        <f>SUM(E39:E42)</f>
        <v/>
      </c>
      <c r="F43" s="37" t="n"/>
      <c r="G43" s="667">
        <f>SUM(G39:G42)</f>
        <v/>
      </c>
      <c r="H43" s="37" t="n"/>
      <c r="J43" s="667" t="n"/>
      <c r="M43" s="872">
        <f>SUM(M39:M42)</f>
        <v/>
      </c>
      <c r="N43" s="37" t="n"/>
      <c r="O43" s="667">
        <f>SUM(O39:O42)</f>
        <v/>
      </c>
      <c r="P43" s="37" t="n"/>
    </row>
    <row r="44">
      <c r="A44" t="inlineStr">
        <is>
          <t>`</t>
        </is>
      </c>
      <c r="B44" s="667" t="n"/>
      <c r="C44" s="668" t="n"/>
      <c r="E44" s="771" t="n"/>
      <c r="F44" s="37" t="n"/>
      <c r="G44" s="668" t="n"/>
      <c r="H44" s="37" t="n"/>
      <c r="J44" s="667" t="n"/>
      <c r="K44" s="668" t="n"/>
      <c r="M44" s="872" t="n"/>
      <c r="N44" s="37" t="n"/>
      <c r="O44" s="668" t="n"/>
      <c r="P44" s="37" t="n"/>
    </row>
    <row r="45" ht="15.75" customHeight="1" thickBot="1">
      <c r="B45" s="34" t="n"/>
      <c r="F45" s="35" t="n"/>
      <c r="H45" s="35" t="n"/>
      <c r="J45" s="34" t="n"/>
      <c r="N45" s="35" t="n"/>
      <c r="P45" s="35" t="n"/>
    </row>
    <row r="46" ht="15.75" customHeight="1" thickBot="1">
      <c r="B46" s="667" t="inlineStr">
        <is>
          <t>Line 260</t>
        </is>
      </c>
      <c r="C46" s="36">
        <f>(_xlfn.XLOOKUP(MainClient,Clients!D:D,Clients!AFS:AFS,2,0,1))</f>
        <v/>
      </c>
      <c r="F46" s="35" t="n"/>
      <c r="G46" s="34">
        <f>IF(E69&gt;E41,"other transferable credits","DTC Only")</f>
        <v/>
      </c>
      <c r="H46" s="35" t="n"/>
      <c r="J46" s="667" t="inlineStr">
        <is>
          <t>Line 26000</t>
        </is>
      </c>
      <c r="K46" s="36">
        <f>(_xlfn.XLOOKUP(MainClient,Clients!D:D,Clients!BGN:BGN,2,0,1))</f>
        <v/>
      </c>
      <c r="N46" s="35" t="n"/>
      <c r="O46" s="34">
        <f>IF(M69&gt;M41,"other transferable credits","DTC Only")</f>
        <v/>
      </c>
      <c r="P46" s="35" t="n"/>
    </row>
    <row r="47" ht="15.75" customHeight="1" thickBot="1">
      <c r="B47" s="34" t="n"/>
      <c r="F47" s="35" t="n"/>
      <c r="G47" s="34" t="n"/>
      <c r="H47" s="35" t="n"/>
      <c r="J47" s="34" t="n"/>
      <c r="N47" s="35" t="n"/>
      <c r="O47" s="34" t="n"/>
      <c r="P47" s="35" t="n"/>
    </row>
    <row r="48" ht="15.75" customHeight="1" thickBot="1">
      <c r="B48" s="55" t="inlineStr">
        <is>
          <t>Line 58040</t>
        </is>
      </c>
      <c r="C48" s="36">
        <f>(_xlfn.XLOOKUP(ClientNumber,Clients!D:D,Clients!ANQ:ANQ,2,0,1))</f>
        <v/>
      </c>
      <c r="F48" s="35" t="n"/>
      <c r="G48" s="34" t="n"/>
      <c r="H48" s="35" t="n"/>
      <c r="J48" s="55" t="inlineStr">
        <is>
          <t>Line 58040</t>
        </is>
      </c>
      <c r="K48" s="36">
        <f>(_xlfn.XLOOKUP(MainClient,Clients!D:D,Clients!BOL:BOL,2,0,1))</f>
        <v/>
      </c>
      <c r="N48" s="35" t="n"/>
      <c r="O48" s="34" t="n"/>
      <c r="P48" s="35" t="n"/>
    </row>
    <row r="49" ht="15.75" customHeight="1" thickBot="1">
      <c r="B49" s="55" t="inlineStr">
        <is>
          <t>Line 58240</t>
        </is>
      </c>
      <c r="C49" s="36">
        <f>(_xlfn.XLOOKUP(ClientNumber,Clients!D:D,Clients!AOF:AOF,2,0,1))</f>
        <v/>
      </c>
      <c r="F49" s="35" t="n"/>
      <c r="G49" s="34" t="n"/>
      <c r="H49" s="35" t="n"/>
      <c r="J49" s="55" t="inlineStr">
        <is>
          <t>Line 58240</t>
        </is>
      </c>
      <c r="K49" s="36">
        <f>(_xlfn.XLOOKUP(MainClient,Clients!D:D,Clients!BPA:BPA,2,0,1))</f>
        <v/>
      </c>
      <c r="N49" s="35" t="n"/>
      <c r="O49" s="34" t="n"/>
      <c r="P49" s="35" t="n"/>
    </row>
    <row r="50" ht="15.75" customHeight="1" thickBot="1">
      <c r="B50" s="55" t="inlineStr">
        <is>
          <t>Line 58280</t>
        </is>
      </c>
      <c r="C50" s="36">
        <f>(_xlfn.XLOOKUP(ClientNumber,Clients!D:D,Clients!AOG:AOG,2,0,1))</f>
        <v/>
      </c>
      <c r="F50" s="35" t="n"/>
      <c r="G50" s="34" t="n"/>
      <c r="H50" s="35" t="n"/>
      <c r="J50" s="55" t="inlineStr">
        <is>
          <t>Line 58280</t>
        </is>
      </c>
      <c r="K50" s="36">
        <f>(_xlfn.XLOOKUP(MainClient,Clients!D:D,Clients!BPB:BPB,2,0,1))</f>
        <v/>
      </c>
      <c r="N50" s="35" t="n"/>
      <c r="P50" s="35" t="n"/>
    </row>
    <row r="51" ht="15.75" customHeight="1" thickBot="1">
      <c r="B51" s="55" t="inlineStr">
        <is>
          <t>Line 58300</t>
        </is>
      </c>
      <c r="C51" s="36">
        <f>(_xlfn.XLOOKUP(ClientNumber,Clients!D:D,Clients!AOH:AOH,2,0,1))</f>
        <v/>
      </c>
      <c r="F51" s="35" t="n"/>
      <c r="G51" s="34" t="n"/>
      <c r="H51" s="35" t="n"/>
      <c r="J51" s="55" t="inlineStr">
        <is>
          <t>Line 58300</t>
        </is>
      </c>
      <c r="K51" s="36">
        <f>(_xlfn.XLOOKUP(MainClient,Clients!D:D,Clients!BPC:BPC,2,0,1))</f>
        <v/>
      </c>
      <c r="N51" s="35" t="n"/>
      <c r="O51" s="34" t="n"/>
      <c r="P51" s="35" t="n"/>
    </row>
    <row r="52" ht="15.75" customHeight="1" thickBot="1">
      <c r="B52" s="55" t="inlineStr">
        <is>
          <t>Line 58305</t>
        </is>
      </c>
      <c r="C52" s="36">
        <f>(_xlfn.XLOOKUP(ClientNumber,Clients!D:D,Clients!AOI:AOI,2,0,1))</f>
        <v/>
      </c>
      <c r="F52" s="35" t="n"/>
      <c r="G52" s="34" t="n"/>
      <c r="H52" s="35" t="n"/>
      <c r="J52" s="55" t="inlineStr">
        <is>
          <t>Line 58305</t>
        </is>
      </c>
      <c r="K52" s="36">
        <f>(_xlfn.XLOOKUP(MainClient,Clients!D:D,Clients!BPD:BPD,2,0,1))</f>
        <v/>
      </c>
      <c r="N52" s="35" t="n"/>
      <c r="O52" s="34" t="n"/>
      <c r="P52" s="35" t="n"/>
    </row>
    <row r="53" ht="15.75" customHeight="1" thickBot="1">
      <c r="B53" s="55" t="inlineStr">
        <is>
          <t>Line 58560</t>
        </is>
      </c>
      <c r="C53" s="36">
        <f>(_xlfn.XLOOKUP(ClientNumber,Clients!D:D,Clients!AOX:AOX,2,0,1))</f>
        <v/>
      </c>
      <c r="F53" s="35" t="n"/>
      <c r="G53" s="34" t="n"/>
      <c r="H53" s="35" t="n"/>
      <c r="J53" s="55" t="inlineStr">
        <is>
          <t>Line 58560</t>
        </is>
      </c>
      <c r="K53" s="36">
        <f>(_xlfn.XLOOKUP(MainClient,Clients!D:D,Clients!BPS:BPS,2,0,1))</f>
        <v/>
      </c>
      <c r="N53" s="35" t="n"/>
      <c r="O53" s="34" t="n"/>
      <c r="P53" s="35" t="n"/>
    </row>
    <row r="54" ht="15.75" customHeight="1" thickBot="1">
      <c r="B54" s="55" t="n"/>
      <c r="C54" s="36" t="n"/>
      <c r="F54" s="35" t="n"/>
      <c r="G54" s="34" t="n"/>
      <c r="H54" s="35" t="n"/>
      <c r="J54" s="55" t="n"/>
      <c r="K54" s="36" t="n"/>
      <c r="N54" s="35" t="n"/>
      <c r="O54" s="34" t="n"/>
      <c r="P54" s="35" t="n"/>
    </row>
    <row r="55" ht="15.75" customHeight="1" thickBot="1">
      <c r="B55" s="55" t="n"/>
      <c r="C55" s="36" t="n"/>
      <c r="F55" s="35" t="n"/>
      <c r="G55" s="34" t="n"/>
      <c r="H55" s="35" t="n"/>
      <c r="J55" s="55" t="n"/>
      <c r="K55" s="36" t="n"/>
      <c r="N55" s="35" t="n"/>
      <c r="O55" s="34" t="n"/>
      <c r="P55" s="35" t="n"/>
    </row>
    <row r="56" ht="15.75" customHeight="1" thickBot="1">
      <c r="B56" s="55" t="n"/>
      <c r="C56" s="36" t="n"/>
      <c r="F56" s="35" t="n"/>
      <c r="G56" s="34" t="n"/>
      <c r="H56" s="35" t="n"/>
      <c r="J56" s="55" t="n"/>
      <c r="K56" s="36" t="n"/>
      <c r="N56" s="35" t="n"/>
      <c r="O56" s="34" t="n"/>
      <c r="P56" s="35" t="n"/>
    </row>
    <row r="57" ht="15.75" customHeight="1" thickBot="1">
      <c r="B57" s="55" t="n"/>
      <c r="C57" s="36" t="n"/>
      <c r="F57" s="35" t="n"/>
      <c r="G57" s="34" t="n"/>
      <c r="H57" s="35" t="n"/>
      <c r="J57" s="55" t="n"/>
      <c r="K57" s="36" t="n"/>
      <c r="N57" s="35" t="n"/>
      <c r="O57" s="34" t="n"/>
      <c r="P57" s="35" t="n"/>
    </row>
    <row r="58" ht="15.75" customHeight="1" thickBot="1">
      <c r="B58" s="55" t="n"/>
      <c r="C58" s="36" t="n"/>
      <c r="F58" s="35" t="n"/>
      <c r="G58" s="34" t="inlineStr">
        <is>
          <t>Line 326</t>
        </is>
      </c>
      <c r="H58" s="35">
        <f>IF(TransferName="NONE",0,(_xlfn.XLOOKUP(TransferNumber,Clients!D:D,Clients!CIH:CIH,2,0,1)))</f>
        <v/>
      </c>
      <c r="J58" s="55" t="n"/>
      <c r="K58" s="36" t="n"/>
      <c r="N58" s="35" t="n"/>
      <c r="O58" s="34" t="inlineStr">
        <is>
          <t>Line 326</t>
        </is>
      </c>
      <c r="P58" s="35">
        <f>IFERROR(_xlfn.XLOOKUP(TransferNumber,Clients!D:D,Clients!FJZ:FJZ,2,0,1),0)</f>
        <v/>
      </c>
    </row>
    <row r="59" ht="15.75" customHeight="1" thickBot="1">
      <c r="B59" s="55" t="n"/>
      <c r="C59" s="36" t="n"/>
      <c r="F59" s="35" t="n"/>
      <c r="G59" s="34" t="n"/>
      <c r="H59" s="35" t="n"/>
      <c r="J59" s="55" t="n"/>
      <c r="K59" s="36" t="n"/>
      <c r="N59" s="35" t="n"/>
      <c r="O59" s="34" t="n"/>
      <c r="P59" s="35" t="n"/>
    </row>
    <row r="60" ht="15.75" customHeight="1" thickBot="1">
      <c r="B60" s="55" t="n"/>
      <c r="C60" s="36" t="n"/>
      <c r="F60" s="35" t="n"/>
      <c r="G60" s="34" t="n"/>
      <c r="H60" s="35" t="n"/>
      <c r="J60" s="55" t="n"/>
      <c r="K60" s="36" t="n"/>
      <c r="N60" s="35" t="n"/>
      <c r="O60" s="34" t="n"/>
      <c r="P60" s="35" t="n"/>
    </row>
    <row r="61" ht="15.75" customHeight="1" thickBot="1">
      <c r="B61" s="55" t="n"/>
      <c r="C61" s="36" t="n"/>
      <c r="F61" s="35" t="n"/>
      <c r="G61" s="34" t="n"/>
      <c r="H61" s="35" t="n"/>
      <c r="J61" s="55" t="n"/>
      <c r="K61" s="36" t="n"/>
      <c r="N61" s="35" t="n"/>
      <c r="O61" s="34" t="n"/>
      <c r="P61" s="35" t="n"/>
    </row>
    <row r="62" ht="15.75" customHeight="1" thickBot="1">
      <c r="B62" s="55" t="n"/>
      <c r="C62" s="36" t="n"/>
      <c r="F62" s="35" t="n"/>
      <c r="G62" s="34" t="n"/>
      <c r="H62" s="35">
        <f>IF(E67&gt;0,E43-G43,0)</f>
        <v/>
      </c>
      <c r="J62" s="55" t="n"/>
      <c r="K62" s="36" t="n"/>
      <c r="N62" s="35" t="n"/>
      <c r="O62" s="34" t="n"/>
      <c r="P62" s="35">
        <f>IF(M67&gt;0,M43-O43,0)</f>
        <v/>
      </c>
    </row>
    <row r="63" ht="15.75" customHeight="1" thickBot="1">
      <c r="B63" s="55" t="n"/>
      <c r="C63" s="36" t="n"/>
      <c r="F63" s="35" t="n"/>
      <c r="H63" s="52">
        <f>IF(TransferName="NONE",F68,IF(H62&gt;0,(E67-G43)*0.098,0))</f>
        <v/>
      </c>
      <c r="J63" s="55" t="n"/>
      <c r="K63" s="36" t="n"/>
      <c r="N63" s="35" t="n"/>
      <c r="P63" s="52">
        <f>IF(TransferName="NONE",N68,IF(P62&gt;0,(M67-O43)*0.098,0))</f>
        <v/>
      </c>
    </row>
    <row r="64">
      <c r="B64" s="667" t="n"/>
      <c r="F64" s="35" t="n"/>
      <c r="G64" s="34" t="inlineStr">
        <is>
          <t>Transferable</t>
        </is>
      </c>
      <c r="H64" s="52">
        <f>IF(H63&gt;0,H63,0)</f>
        <v/>
      </c>
      <c r="J64" s="667" t="n"/>
      <c r="N64" s="35" t="n"/>
      <c r="O64" s="34" t="inlineStr">
        <is>
          <t>Transferable</t>
        </is>
      </c>
      <c r="P64" s="52">
        <f>IF(P63&gt;0,P63,0)</f>
        <v/>
      </c>
    </row>
    <row r="65">
      <c r="B65" s="667" t="inlineStr">
        <is>
          <t>Adjusted Taxable Income</t>
        </is>
      </c>
      <c r="C65">
        <f>C46-(SUM(C48:C63))</f>
        <v/>
      </c>
      <c r="D65" s="13" t="inlineStr">
        <is>
          <t>Line 5864</t>
        </is>
      </c>
      <c r="E65" s="39">
        <f>IF(C65&gt;0,C65,0)</f>
        <v/>
      </c>
      <c r="F65" s="35" t="n"/>
      <c r="G65" s="34" t="n"/>
      <c r="H65" s="35" t="n"/>
      <c r="J65" s="667" t="inlineStr">
        <is>
          <t>Adjusted Taxable Income</t>
        </is>
      </c>
      <c r="K65">
        <f>K46-(SUM(K48:K63))</f>
        <v/>
      </c>
      <c r="L65" s="13" t="inlineStr">
        <is>
          <t>Line 5864</t>
        </is>
      </c>
      <c r="M65" s="39">
        <f>IF(K65&gt;0,K65,0)</f>
        <v/>
      </c>
      <c r="N65" s="35" t="n"/>
      <c r="O65" s="34" t="n"/>
      <c r="P65" s="35" t="n"/>
    </row>
    <row r="66" ht="15.75" customHeight="1" thickBot="1">
      <c r="B66" s="34" t="n"/>
      <c r="F66" s="35" t="n"/>
      <c r="G66" s="34" t="n"/>
      <c r="H66" s="35" t="n"/>
      <c r="J66" s="34" t="n"/>
      <c r="N66" s="35" t="n"/>
      <c r="O66" s="34" t="n"/>
      <c r="P66" s="35" t="n"/>
    </row>
    <row r="67" ht="15.75" customHeight="1" thickBot="1">
      <c r="B67" s="34" t="n"/>
      <c r="D67" s="21" t="inlineStr">
        <is>
          <t>Prov Trans</t>
        </is>
      </c>
      <c r="E67" s="36">
        <f>(E43-E65)</f>
        <v/>
      </c>
      <c r="F67" s="40" t="n"/>
      <c r="G67" s="34" t="n"/>
      <c r="H67" s="52" t="n"/>
      <c r="J67" s="34" t="n"/>
      <c r="L67" s="21" t="inlineStr">
        <is>
          <t>Prov Trans</t>
        </is>
      </c>
      <c r="M67" s="36">
        <f>(M43-M65)</f>
        <v/>
      </c>
      <c r="N67" s="40" t="n"/>
      <c r="O67" s="34" t="n"/>
      <c r="P67" s="52" t="n"/>
    </row>
    <row r="68" ht="15.75" customHeight="1" thickBot="1">
      <c r="B68" s="34" t="n"/>
      <c r="C68" s="579" t="inlineStr">
        <is>
          <t>DTC Transferable ESTIMATE</t>
        </is>
      </c>
      <c r="D68" s="35" t="n"/>
      <c r="E68" s="36">
        <f>IF(E67&lt;0,0,(IF(E67&gt;E41,E41,E67)))</f>
        <v/>
      </c>
      <c r="F68" s="40">
        <f>IF(E68&gt;0,E68*0.098,"No Transfer Required")</f>
        <v/>
      </c>
      <c r="G68" s="678" t="n"/>
      <c r="H68" s="52" t="n"/>
      <c r="J68" s="34" t="n"/>
      <c r="K68" s="579" t="inlineStr">
        <is>
          <t>DTC Transferable ESTIMATE</t>
        </is>
      </c>
      <c r="L68" s="35" t="n"/>
      <c r="M68" s="36">
        <f>IF(M67&lt;0,0,(IF(M67&gt;M41,M41,M67)))</f>
        <v/>
      </c>
      <c r="N68" s="40">
        <f>IF(M68&gt;0,M68*0.098,"No Transfer Required")</f>
        <v/>
      </c>
      <c r="O68" s="58" t="n"/>
      <c r="P68" s="52" t="n"/>
    </row>
    <row r="69" ht="15.75" customHeight="1" thickBot="1">
      <c r="B69" s="42" t="n"/>
      <c r="C69" s="41" t="n"/>
      <c r="D69" s="43" t="inlineStr">
        <is>
          <t>Net Transferable</t>
        </is>
      </c>
      <c r="E69" s="36">
        <f>IF(E67&lt;0,0,(IF(E67-G39-G40-G42&lt;0,E67,(E67-G39-G40-G42))))</f>
        <v/>
      </c>
      <c r="F69" s="57">
        <f>IF(E69&gt;0,E69*0.098,"0")</f>
        <v/>
      </c>
      <c r="G69" s="42" t="n"/>
      <c r="H69" s="864" t="n"/>
      <c r="J69" s="42" t="n"/>
      <c r="K69" s="41" t="n"/>
      <c r="L69" s="43" t="inlineStr">
        <is>
          <t>Net Transferable</t>
        </is>
      </c>
      <c r="M69" s="36">
        <f>IF(M67&lt;0,0,(IF(M67-O39-O40-O42&lt;0,M67,(M67-O39-O40-O42))))</f>
        <v/>
      </c>
      <c r="N69" s="57">
        <f>IF(M69&gt;0,M69*0.098,"0")</f>
        <v/>
      </c>
      <c r="O69" s="59" t="n"/>
      <c r="P69" s="864" t="n"/>
    </row>
    <row r="71" ht="15.75" customHeight="1" thickBot="1">
      <c r="E71">
        <f>Calculator!$D$5</f>
        <v/>
      </c>
      <c r="H71">
        <f>TransferName</f>
        <v/>
      </c>
      <c r="M71">
        <f>Calculator!$D$5</f>
        <v/>
      </c>
      <c r="P71">
        <f>TransferName</f>
        <v/>
      </c>
    </row>
    <row r="72" ht="15.75" customHeight="1" thickBot="1">
      <c r="B72" s="868" t="inlineStr">
        <is>
          <t>2020 PRINCE EDWARD ISLAND Provincial</t>
        </is>
      </c>
      <c r="C72" s="778" t="n"/>
      <c r="D72" s="778" t="n"/>
      <c r="E72" s="778" t="n"/>
      <c r="F72" s="778" t="n"/>
      <c r="G72" s="778" t="n"/>
      <c r="H72" s="780" t="n"/>
      <c r="J72" s="868" t="inlineStr">
        <is>
          <t>2019 PRINCE EDWARD ISLAND Provincial</t>
        </is>
      </c>
      <c r="K72" s="778" t="n"/>
      <c r="L72" s="778" t="n"/>
      <c r="M72" s="778" t="n"/>
      <c r="N72" s="778" t="n"/>
      <c r="O72" s="778" t="n"/>
      <c r="P72" s="780" t="n"/>
    </row>
    <row r="73" ht="28.5" customHeight="1" thickBot="1">
      <c r="B73" s="34" t="n"/>
      <c r="D73" t="inlineStr">
        <is>
          <t>Line</t>
        </is>
      </c>
      <c r="E73" t="inlineStr">
        <is>
          <t>Amt</t>
        </is>
      </c>
      <c r="F73" s="35" t="n"/>
      <c r="G73" s="667" t="inlineStr">
        <is>
          <t>Spouse</t>
        </is>
      </c>
      <c r="H73" s="35" t="inlineStr">
        <is>
          <t>S2 Adjustment</t>
        </is>
      </c>
      <c r="J73" s="34" t="n"/>
      <c r="L73" t="inlineStr">
        <is>
          <t>Line</t>
        </is>
      </c>
      <c r="M73" t="inlineStr">
        <is>
          <t>Amt</t>
        </is>
      </c>
      <c r="N73" s="35" t="n"/>
      <c r="O73" s="34" t="inlineStr">
        <is>
          <t>Spouse</t>
        </is>
      </c>
      <c r="P73" s="35" t="inlineStr">
        <is>
          <t>S2 Adjustment</t>
        </is>
      </c>
    </row>
    <row r="74" ht="15.75" customHeight="1" thickBot="1">
      <c r="B74" s="667" t="inlineStr">
        <is>
          <t>Age Amount</t>
        </is>
      </c>
      <c r="D74" t="inlineStr">
        <is>
          <t>Line 58080</t>
        </is>
      </c>
      <c r="E74" s="861">
        <f>(_xlfn.XLOOKUP(ClientNumber,Clients!D:D,Clients!CPH:CPH,2,0,1))</f>
        <v/>
      </c>
      <c r="F74" s="37" t="inlineStr">
        <is>
          <t>Line 59020</t>
        </is>
      </c>
      <c r="G74" s="51">
        <f>IF(TransferName="NONE",0,(_xlfn.XLOOKUP(TransferNumber,Clients!D:D,Clients!CRJ:CRJ,2,0,1)))</f>
        <v/>
      </c>
      <c r="H74" s="37">
        <f>IF(AND(E74&gt;0,G74=0),"Age Amount Can Be Transferred","No Action")</f>
        <v/>
      </c>
      <c r="J74" s="667" t="inlineStr">
        <is>
          <t>Age Amount</t>
        </is>
      </c>
      <c r="L74" t="inlineStr">
        <is>
          <t>Line 58080</t>
        </is>
      </c>
      <c r="M74" s="865">
        <f>(_xlfn.XLOOKUP(MainClient,Clients!D:D,Clients!DQC:DQC,2,0,1))</f>
        <v/>
      </c>
      <c r="N74" s="37" t="inlineStr">
        <is>
          <t>Line 59020</t>
        </is>
      </c>
      <c r="O74" s="51">
        <f>IF(TransferName="NONE",0,(_xlfn.XLOOKUP(TransferNumber,Clients!D:D,Clients!DSE:DSE,2,0,1)))</f>
        <v/>
      </c>
      <c r="P74" s="37">
        <f>IF(AND(M74&gt;0,O74=0),"Age Amount Can Be Transferred","No Action")</f>
        <v/>
      </c>
    </row>
    <row r="75" ht="15.75" customHeight="1" thickBot="1">
      <c r="B75" s="667" t="inlineStr">
        <is>
          <t>Pension Income Amount</t>
        </is>
      </c>
      <c r="D75" t="inlineStr">
        <is>
          <t>Line 58360 (mx 1000)</t>
        </is>
      </c>
      <c r="E75" s="861">
        <f>IF((_xlfn.XLOOKUP(ClientNumber,Clients!D:D,Clients!CQH:CQH,2,0,1)&lt;1000),(_xlfn.XLOOKUP(MainClient,Clients!D:D,Clients!CQH:CQH,2,0,1)),1000)</f>
        <v/>
      </c>
      <c r="F75" s="37" t="inlineStr">
        <is>
          <t>Line 59050</t>
        </is>
      </c>
      <c r="G75" s="51">
        <f>IF(TransferName="NONE",0,(_xlfn.XLOOKUP(TransferNumber,Clients!D:D,Clients!CRM:CRM,2,0,1)))</f>
        <v/>
      </c>
      <c r="H75" s="37">
        <f>IF(AND(E75&gt;0,G75=0),"Pension Income Amount Can Be Transferred","No Action")</f>
        <v/>
      </c>
      <c r="J75" s="667" t="inlineStr">
        <is>
          <t>Pension Income Amount</t>
        </is>
      </c>
      <c r="L75" t="inlineStr">
        <is>
          <t>Line 58360 (mx 1000)</t>
        </is>
      </c>
      <c r="M75" s="865">
        <f>IF((_xlfn.XLOOKUP(ClientNumber,Clients!D:D,Clients!DRC:DRC,2,0,1)&lt;1000),(_xlfn.XLOOKUP(MainClient,Clients!D:D,Clients!DRC:DRC,2,0,1)),1000)</f>
        <v/>
      </c>
      <c r="N75" s="37" t="inlineStr">
        <is>
          <t>Line 59050</t>
        </is>
      </c>
      <c r="O75" s="51">
        <f>IF(TransferName="NONE",0,(_xlfn.XLOOKUP(TransferNumber,Clients!D:D,Clients!DSH:DSH,2,0,1)))</f>
        <v/>
      </c>
      <c r="P75" s="37">
        <f>IF(AND(M75&gt;0,O75=0),"Pension Income Amount Can Be Transferred","No Action")</f>
        <v/>
      </c>
    </row>
    <row r="76" ht="15.75" customHeight="1" thickBot="1">
      <c r="B76" s="667" t="inlineStr">
        <is>
          <t>Disability Amount</t>
        </is>
      </c>
      <c r="D76" t="inlineStr">
        <is>
          <t>Line 58440</t>
        </is>
      </c>
      <c r="E76" s="861">
        <f>IF(_xlfn.XLOOKUP(ClientNumber,Clients!D:D,Clients!CQJ:CQJ,2,0,1)=0,6890,(_xlfn.XLOOKUP(MainClient,Clients!D:D,Clients!CQJ:CQJ,2,0,1)))</f>
        <v/>
      </c>
      <c r="F76" s="37" t="inlineStr">
        <is>
          <t>Line 59070</t>
        </is>
      </c>
      <c r="G76" s="51">
        <f>IF(TransferName="NONE",0,(_xlfn.XLOOKUP(TransferNumber,Clients!D:D,Clients!CRN:CRN,2,0,1)))</f>
        <v/>
      </c>
      <c r="H76" s="37">
        <f>IF(AND(E76&gt;0,G76=0),"DTC Transferable Not Claimed Can Be Transferred","No Action")</f>
        <v/>
      </c>
      <c r="J76" s="667" t="inlineStr">
        <is>
          <t>Disability Amount</t>
        </is>
      </c>
      <c r="L76" t="inlineStr">
        <is>
          <t>Line 58440</t>
        </is>
      </c>
      <c r="M76" s="865">
        <f>IF(_xlfn.XLOOKUP(ClientNumber,Clients!D:D,Clients!DRE:DRE,2,0,1)=0,6890,(_xlfn.XLOOKUP(MainClient,Clients!D:D,Clients!DRE:DRE,2,0,1)))</f>
        <v/>
      </c>
      <c r="N76" s="37" t="inlineStr">
        <is>
          <t>Line 59070</t>
        </is>
      </c>
      <c r="O76" s="51">
        <f>IF(TransferName="NONE",0,(_xlfn.XLOOKUP(TransferNumber,Clients!D:D,Clients!DSI:DSI,2,0,1)))</f>
        <v/>
      </c>
      <c r="P76" s="37">
        <f>IF(AND(M76&gt;0,O76=0),"DTC Transferable Not Claimed Can Be Transferred","No Action")</f>
        <v/>
      </c>
    </row>
    <row r="77" ht="15.75" customHeight="1" thickBot="1">
      <c r="B77" s="667" t="inlineStr">
        <is>
          <t>Tuition Amount</t>
        </is>
      </c>
      <c r="D77" t="inlineStr">
        <is>
          <t>Line 59200</t>
        </is>
      </c>
      <c r="E77" s="861">
        <f>(_xlfn.XLOOKUP(ClientNumber,Clients!D:D,Clients!CRY:CRY,2,0,1))</f>
        <v/>
      </c>
      <c r="F77" s="37" t="inlineStr">
        <is>
          <t>Line 59090</t>
        </is>
      </c>
      <c r="G77" s="51">
        <f>IF(TransferName="NONE",0,(_xlfn.XLOOKUP(TransferNumber,Clients!D:D,Clients!CRO:CRO,2,0,1)))</f>
        <v/>
      </c>
      <c r="H77" s="37">
        <f>IF(AND(E77&gt;0,G77=0),"Tuition Can Be Transferred","No Action")</f>
        <v/>
      </c>
      <c r="J77" s="667" t="inlineStr">
        <is>
          <t>Tuition Amount</t>
        </is>
      </c>
      <c r="L77" t="inlineStr">
        <is>
          <t>Line 59200</t>
        </is>
      </c>
      <c r="M77" s="865">
        <f>(_xlfn.XLOOKUP(MainClient,Clients!D:D,Clients!DST:DST,2,0,1))</f>
        <v/>
      </c>
      <c r="N77" s="37" t="inlineStr">
        <is>
          <t>Line 59090</t>
        </is>
      </c>
      <c r="O77" s="51">
        <f>IF(TransferName="NONE",0,(_xlfn.XLOOKUP(TransferNumber,Clients!D:D,Clients!DSJ:DSJ,2,0,1)))</f>
        <v/>
      </c>
      <c r="P77" s="37">
        <f>IF(AND(M77&gt;0,O77=0),"Tuition Can Be Transferred","No Action")</f>
        <v/>
      </c>
    </row>
    <row r="78">
      <c r="B78" s="667" t="n"/>
      <c r="E78" s="771">
        <f>SUM(E74:E77)</f>
        <v/>
      </c>
      <c r="F78" s="37" t="n"/>
      <c r="G78" s="667">
        <f>SUM(G74:G77)</f>
        <v/>
      </c>
      <c r="H78" s="37" t="n"/>
      <c r="J78" s="667" t="n"/>
      <c r="M78" s="872">
        <f>SUM(M74:M77)</f>
        <v/>
      </c>
      <c r="N78" s="37" t="n"/>
      <c r="O78" s="667">
        <f>SUM(O74:O77)</f>
        <v/>
      </c>
      <c r="P78" s="37" t="n"/>
    </row>
    <row r="79">
      <c r="B79" s="667" t="n"/>
      <c r="C79" s="668" t="n"/>
      <c r="E79" s="771" t="n"/>
      <c r="F79" s="37" t="n"/>
      <c r="G79" s="668" t="n"/>
      <c r="H79" s="37" t="n"/>
      <c r="J79" s="667" t="n"/>
      <c r="K79" s="668" t="n"/>
      <c r="M79" s="872" t="n"/>
      <c r="N79" s="37" t="n"/>
      <c r="O79" s="668" t="n"/>
      <c r="P79" s="37" t="n"/>
    </row>
    <row r="80" ht="15.75" customHeight="1" thickBot="1">
      <c r="B80" s="34" t="n"/>
      <c r="F80" s="35" t="n"/>
      <c r="H80" s="35" t="n"/>
      <c r="J80" s="34" t="n"/>
      <c r="N80" s="35" t="n"/>
      <c r="P80" s="35" t="n"/>
    </row>
    <row r="81" ht="15.75" customHeight="1" thickBot="1">
      <c r="B81" s="667" t="inlineStr">
        <is>
          <t>Line 260</t>
        </is>
      </c>
      <c r="C81" s="36">
        <f>(_xlfn.XLOOKUP(MainClient,Clients!D:D,Clients!CHI:CHI,2,0,1))</f>
        <v/>
      </c>
      <c r="F81" s="35" t="n"/>
      <c r="G81" s="34">
        <f>IF(E104&gt;E76,"other transferable credits","DTC Only")</f>
        <v/>
      </c>
      <c r="H81" s="35" t="n"/>
      <c r="J81" s="667" t="inlineStr">
        <is>
          <t>Line 26000</t>
        </is>
      </c>
      <c r="K81" s="36">
        <f>(_xlfn.XLOOKUP(MainClient,Clients!D:D,Clients!DID:DID,2,0,1))</f>
        <v/>
      </c>
      <c r="N81" s="35" t="n"/>
      <c r="O81" s="34">
        <f>IF(M104&gt;M76,"other transferable credits","DTC Only")</f>
        <v/>
      </c>
      <c r="P81" s="35" t="n"/>
    </row>
    <row r="82" ht="15.75" customHeight="1" thickBot="1">
      <c r="B82" s="34" t="n"/>
      <c r="F82" s="35" t="n"/>
      <c r="G82" s="34" t="n"/>
      <c r="H82" s="35" t="n"/>
      <c r="J82" s="34" t="n"/>
      <c r="N82" s="35" t="n"/>
      <c r="O82" s="34" t="n"/>
      <c r="P82" s="35" t="n"/>
    </row>
    <row r="83" ht="15.75" customHeight="1" thickBot="1">
      <c r="B83" s="55" t="inlineStr">
        <is>
          <t>Line 58040</t>
        </is>
      </c>
      <c r="C83" s="36">
        <f>(_xlfn.XLOOKUP(ClientNumber,Clients!D:D,Clients!CPG:CPG,2,0,1))</f>
        <v/>
      </c>
      <c r="F83" s="35" t="n"/>
      <c r="G83" s="34" t="n"/>
      <c r="H83" s="35" t="n"/>
      <c r="J83" s="55" t="inlineStr">
        <is>
          <t>Line 58040</t>
        </is>
      </c>
      <c r="K83" s="36">
        <f>(_xlfn.XLOOKUP(MainClient,Clients!D:D,Clients!DQB:DQB,2,0,1))</f>
        <v/>
      </c>
      <c r="N83" s="35" t="n"/>
      <c r="O83" s="34" t="n"/>
      <c r="P83" s="35" t="n"/>
    </row>
    <row r="84" ht="15.75" customHeight="1" thickBot="1">
      <c r="B84" s="55" t="inlineStr">
        <is>
          <t>Line 58240</t>
        </is>
      </c>
      <c r="C84" s="36">
        <f>(_xlfn.XLOOKUP(ClientNumber,Clients!D:D,Clients!CHU:CHU,2,0,1))</f>
        <v/>
      </c>
      <c r="F84" s="35" t="n"/>
      <c r="G84" s="34" t="n"/>
      <c r="H84" s="35" t="n"/>
      <c r="J84" s="55" t="inlineStr">
        <is>
          <t>Line 58240</t>
        </is>
      </c>
      <c r="K84" s="36">
        <f>(_xlfn.XLOOKUP(MainClient,Clients!D:D,Clients!DQQ:DQQ,2,0,1))</f>
        <v/>
      </c>
      <c r="N84" s="35" t="n"/>
      <c r="O84" s="34" t="n"/>
      <c r="P84" s="35" t="n"/>
    </row>
    <row r="85" ht="15.75" customHeight="1" thickBot="1">
      <c r="B85" s="55" t="inlineStr">
        <is>
          <t>Line 58280</t>
        </is>
      </c>
      <c r="C85" s="36">
        <f>(_xlfn.XLOOKUP(ClientNumber,Clients!D:D,Clients!CHV:CHV,2,0,1))</f>
        <v/>
      </c>
      <c r="F85" s="35" t="n"/>
      <c r="G85" s="34" t="n"/>
      <c r="H85" s="35" t="n"/>
      <c r="J85" s="55" t="inlineStr">
        <is>
          <t>Line 58280</t>
        </is>
      </c>
      <c r="K85" s="36">
        <f>(_xlfn.XLOOKUP(MainClient,Clients!D:D,Clients!DQR:DQR,2,0,1))</f>
        <v/>
      </c>
      <c r="N85" s="35" t="n"/>
      <c r="P85" s="35" t="n"/>
    </row>
    <row r="86" ht="15.75" customHeight="1" thickBot="1">
      <c r="B86" s="55" t="inlineStr">
        <is>
          <t>Line 58300</t>
        </is>
      </c>
      <c r="C86" s="36">
        <f>(_xlfn.XLOOKUP(ClientNumber,Clients!D:D,Clients!CHW:CHW,2,0,1))</f>
        <v/>
      </c>
      <c r="F86" s="35" t="n"/>
      <c r="G86" s="34" t="n"/>
      <c r="H86" s="35" t="n"/>
      <c r="J86" s="55" t="inlineStr">
        <is>
          <t>Line 58300</t>
        </is>
      </c>
      <c r="K86" s="36">
        <f>(_xlfn.XLOOKUP(MainClient,Clients!D:D,Clients!DQS:DQS,2,0,1))</f>
        <v/>
      </c>
      <c r="N86" s="35" t="n"/>
      <c r="O86" s="34" t="n"/>
      <c r="P86" s="35" t="n"/>
    </row>
    <row r="87" ht="15.75" customHeight="1" thickBot="1">
      <c r="B87" s="55" t="inlineStr">
        <is>
          <t>Line 58305</t>
        </is>
      </c>
      <c r="C87" s="36">
        <f>(_xlfn.XLOOKUP(ClientNumber,Clients!D:D,Clients!CIA:CIA,2,0,1))</f>
        <v/>
      </c>
      <c r="F87" s="35" t="n"/>
      <c r="G87" s="34" t="n"/>
      <c r="H87" s="35" t="n"/>
      <c r="J87" s="55" t="inlineStr">
        <is>
          <t>Line 58305</t>
        </is>
      </c>
      <c r="K87" s="36">
        <f>(_xlfn.XLOOKUP(MainClient,Clients!D:D,Clients!DQT:DQT,2,0,1))</f>
        <v/>
      </c>
      <c r="N87" s="35" t="n"/>
      <c r="O87" s="34" t="n"/>
      <c r="P87" s="35" t="n"/>
    </row>
    <row r="88" ht="15.75" customHeight="1" thickBot="1">
      <c r="B88" s="55" t="inlineStr">
        <is>
          <t>Line 58560</t>
        </is>
      </c>
      <c r="C88" s="36">
        <f>(_xlfn.XLOOKUP(ClientNumber,Clients!D:D,Clients!CQN:CQN,2,0,1))</f>
        <v/>
      </c>
      <c r="F88" s="35" t="n"/>
      <c r="G88" s="34" t="n"/>
      <c r="H88" s="35" t="n"/>
      <c r="J88" s="55" t="inlineStr">
        <is>
          <t>Line 58560</t>
        </is>
      </c>
      <c r="K88" s="36">
        <f>(_xlfn.XLOOKUP(MainClient,Clients!D:D,Clients!DRI:DRI,2,0,1))</f>
        <v/>
      </c>
      <c r="N88" s="35" t="n"/>
      <c r="O88" s="34" t="n"/>
      <c r="P88" s="35" t="n"/>
    </row>
    <row r="89" ht="15.75" customHeight="1" thickBot="1">
      <c r="B89" s="55" t="n"/>
      <c r="C89" s="36" t="n"/>
      <c r="F89" s="35" t="n"/>
      <c r="G89" s="34" t="n"/>
      <c r="H89" s="35" t="n"/>
      <c r="J89" s="55" t="n"/>
      <c r="K89" s="36" t="n"/>
      <c r="N89" s="35" t="n"/>
      <c r="O89" s="34" t="n"/>
      <c r="P89" s="35" t="n"/>
    </row>
    <row r="90" ht="15.75" customHeight="1" thickBot="1">
      <c r="B90" s="55" t="n"/>
      <c r="C90" s="36" t="n"/>
      <c r="F90" s="35" t="n"/>
      <c r="G90" s="34" t="n"/>
      <c r="H90" s="35" t="n"/>
      <c r="J90" s="55" t="n"/>
      <c r="K90" s="36" t="n"/>
      <c r="N90" s="35" t="n"/>
      <c r="O90" s="34" t="n"/>
      <c r="P90" s="35" t="n"/>
    </row>
    <row r="91" ht="15.75" customHeight="1" thickBot="1">
      <c r="B91" s="55" t="n"/>
      <c r="C91" s="36" t="n"/>
      <c r="F91" s="35" t="n"/>
      <c r="G91" s="34" t="n"/>
      <c r="H91" s="35" t="n"/>
      <c r="J91" s="55" t="n"/>
      <c r="K91" s="36" t="n"/>
      <c r="N91" s="35" t="n"/>
      <c r="O91" s="34" t="n"/>
      <c r="P91" s="35" t="n"/>
    </row>
    <row r="92" ht="15.75" customHeight="1" thickBot="1">
      <c r="B92" s="55" t="n"/>
      <c r="C92" s="36" t="n"/>
      <c r="F92" s="35" t="n"/>
      <c r="G92" s="34" t="n"/>
      <c r="H92" s="35" t="n"/>
      <c r="J92" s="55" t="n"/>
      <c r="K92" s="36" t="n"/>
      <c r="N92" s="35" t="n"/>
      <c r="O92" s="34" t="n"/>
      <c r="P92" s="35" t="n"/>
    </row>
    <row r="93" ht="15.75" customHeight="1" thickBot="1">
      <c r="B93" s="55" t="n"/>
      <c r="C93" s="36" t="n"/>
      <c r="F93" s="35" t="n"/>
      <c r="G93" s="34" t="inlineStr">
        <is>
          <t>Line 326</t>
        </is>
      </c>
      <c r="H93" s="35">
        <f>IF(TransferName="NONE",0,(_xlfn.XLOOKUP(TransferNumber,Clients!D:D,Clients!CIH:CIH,2,0,1)))</f>
        <v/>
      </c>
      <c r="J93" s="55" t="n"/>
      <c r="K93" s="36" t="n"/>
      <c r="N93" s="35" t="n"/>
      <c r="O93" s="34" t="inlineStr">
        <is>
          <t>Line 326</t>
        </is>
      </c>
      <c r="P93" s="35">
        <f>IFERROR(_xlfn.XLOOKUP(TransferNumber,Clients!D:D,Clients!FJZ:FJZ,2,0,1),0)</f>
        <v/>
      </c>
    </row>
    <row r="94" ht="15.75" customHeight="1" thickBot="1">
      <c r="B94" s="38" t="n"/>
      <c r="C94" s="36" t="n"/>
      <c r="F94" s="35" t="n"/>
      <c r="G94" s="34" t="n"/>
      <c r="H94" s="35" t="n"/>
      <c r="J94" s="38" t="n"/>
      <c r="K94" s="36" t="n"/>
      <c r="N94" s="35" t="n"/>
      <c r="O94" s="34" t="n"/>
      <c r="P94" s="35" t="n"/>
    </row>
    <row r="95" ht="15.75" customHeight="1" thickBot="1">
      <c r="B95" s="38" t="n"/>
      <c r="C95" s="36" t="n"/>
      <c r="F95" s="35" t="n"/>
      <c r="G95" s="34" t="n"/>
      <c r="H95" s="35" t="n"/>
      <c r="J95" s="38" t="n"/>
      <c r="K95" s="36" t="n"/>
      <c r="N95" s="35" t="n"/>
      <c r="O95" s="34" t="n"/>
      <c r="P95" s="35" t="n"/>
    </row>
    <row r="96" ht="15.75" customHeight="1" thickBot="1">
      <c r="B96" s="38" t="n"/>
      <c r="C96" s="36" t="n"/>
      <c r="F96" s="35" t="n"/>
      <c r="G96" s="34" t="n"/>
      <c r="H96" s="35" t="n"/>
      <c r="J96" s="38" t="n"/>
      <c r="K96" s="36" t="n"/>
      <c r="N96" s="35" t="n"/>
      <c r="O96" s="34" t="n"/>
      <c r="P96" s="35" t="n"/>
    </row>
    <row r="97" ht="15.75" customHeight="1" thickBot="1">
      <c r="B97" s="38" t="n"/>
      <c r="C97" s="36" t="n"/>
      <c r="F97" s="35" t="n"/>
      <c r="G97" s="34" t="n"/>
      <c r="H97" s="35">
        <f>IF(E102&gt;0,E78-G78,0)</f>
        <v/>
      </c>
      <c r="J97" s="38" t="n"/>
      <c r="K97" s="36" t="n"/>
      <c r="N97" s="35" t="n"/>
      <c r="O97" s="34" t="n"/>
      <c r="P97" s="35">
        <f>IF(M102&gt;0,M78-O78,0)</f>
        <v/>
      </c>
    </row>
    <row r="98" ht="15.75" customHeight="1" thickBot="1">
      <c r="B98" s="38" t="n"/>
      <c r="C98" s="36" t="n"/>
      <c r="F98" s="35" t="n"/>
      <c r="H98" s="52">
        <f>IF(TransferName="NONE",F103,IF(H97&gt;0,(E102-G78)*0.098,0))</f>
        <v/>
      </c>
      <c r="J98" s="38" t="n"/>
      <c r="K98" s="36" t="n"/>
      <c r="N98" s="35" t="n"/>
      <c r="P98" s="52">
        <f>IF(TransferName="NONE",N103,IF(P97&gt;0,(M102-O78)*0.098,0))</f>
        <v/>
      </c>
    </row>
    <row r="99">
      <c r="B99" s="667" t="n"/>
      <c r="F99" s="35" t="n"/>
      <c r="G99" s="34" t="inlineStr">
        <is>
          <t>Transferable</t>
        </is>
      </c>
      <c r="H99" s="52">
        <f>IF(H98&gt;0,H98,0)</f>
        <v/>
      </c>
      <c r="J99" s="667" t="n"/>
      <c r="N99" s="35" t="n"/>
      <c r="O99" s="34" t="inlineStr">
        <is>
          <t>Transferable</t>
        </is>
      </c>
      <c r="P99" s="52">
        <f>IF(P98&gt;0,P98,0)</f>
        <v/>
      </c>
    </row>
    <row r="100">
      <c r="B100" s="667" t="inlineStr">
        <is>
          <t>Adjusted Taxable Income</t>
        </is>
      </c>
      <c r="C100">
        <f>C81-(SUM(C83:C98))</f>
        <v/>
      </c>
      <c r="D100" s="13" t="inlineStr">
        <is>
          <t>Line 5864</t>
        </is>
      </c>
      <c r="E100" s="39">
        <f>IF(C100&gt;0,C100,0)</f>
        <v/>
      </c>
      <c r="F100" s="35" t="n"/>
      <c r="G100" s="34" t="n"/>
      <c r="H100" s="35" t="n"/>
      <c r="J100" s="667" t="inlineStr">
        <is>
          <t>Adjusted Taxable Income</t>
        </is>
      </c>
      <c r="K100">
        <f>K81-(SUM(K83:K98))</f>
        <v/>
      </c>
      <c r="L100" s="13" t="inlineStr">
        <is>
          <t>Line 5864</t>
        </is>
      </c>
      <c r="M100" s="39">
        <f>IF(K100&gt;0,K100,0)</f>
        <v/>
      </c>
      <c r="N100" s="35" t="n"/>
      <c r="O100" s="34" t="n"/>
      <c r="P100" s="35" t="n"/>
    </row>
    <row r="101" ht="15.75" customHeight="1" thickBot="1">
      <c r="B101" s="34" t="n"/>
      <c r="F101" s="35" t="n"/>
      <c r="G101" s="34" t="n"/>
      <c r="H101" s="35" t="n"/>
      <c r="J101" s="34" t="n"/>
      <c r="N101" s="35" t="n"/>
      <c r="O101" s="34" t="n"/>
      <c r="P101" s="35" t="n"/>
    </row>
    <row r="102" ht="15.75" customHeight="1" thickBot="1">
      <c r="B102" s="34" t="n"/>
      <c r="D102" s="21" t="inlineStr">
        <is>
          <t>Prov Trans</t>
        </is>
      </c>
      <c r="E102" s="36">
        <f>(E78-E100)</f>
        <v/>
      </c>
      <c r="F102" s="40" t="n"/>
      <c r="G102" s="34" t="n"/>
      <c r="H102" s="52" t="n"/>
      <c r="J102" s="34" t="n"/>
      <c r="L102" s="21" t="inlineStr">
        <is>
          <t>Prov Trans</t>
        </is>
      </c>
      <c r="M102" s="36">
        <f>(M78-M100)</f>
        <v/>
      </c>
      <c r="N102" s="40" t="n"/>
      <c r="O102" s="34" t="n"/>
      <c r="P102" s="52" t="n"/>
    </row>
    <row r="103" ht="15.75" customHeight="1" thickBot="1">
      <c r="B103" s="34" t="n"/>
      <c r="C103" s="579" t="inlineStr">
        <is>
          <t>DTC Transferable ESTIMATE</t>
        </is>
      </c>
      <c r="D103" s="35" t="n"/>
      <c r="E103" s="36">
        <f>IF(E102&lt;0,0,(IF(E102&gt;E76,E76,E102)))</f>
        <v/>
      </c>
      <c r="F103" s="40">
        <f>IF(E103&gt;0,E103*0.098,"No Transfer Required")</f>
        <v/>
      </c>
      <c r="G103" s="678" t="n"/>
      <c r="H103" s="52" t="n"/>
      <c r="J103" s="34" t="n"/>
      <c r="K103" s="579" t="inlineStr">
        <is>
          <t>DTC Transferable ESTIMATE</t>
        </is>
      </c>
      <c r="L103" s="35" t="n"/>
      <c r="M103" s="36">
        <f>IF(M102&lt;0,0,(IF(M102&gt;M76,M76,M102)))</f>
        <v/>
      </c>
      <c r="N103" s="40">
        <f>IF(M103&gt;0,M103*0.098,"No Transfer Required")</f>
        <v/>
      </c>
      <c r="O103" s="58" t="n"/>
      <c r="P103" s="52" t="n"/>
    </row>
    <row r="104" ht="15.75" customHeight="1" thickBot="1">
      <c r="B104" s="42" t="n"/>
      <c r="C104" s="41" t="n"/>
      <c r="D104" s="43" t="inlineStr">
        <is>
          <t>Net Transferable</t>
        </is>
      </c>
      <c r="E104" s="36">
        <f>IF(E102&lt;0,0,(IF(E102-G74-G75-G77&lt;0,E102,(E102-G74-G75-G77))))</f>
        <v/>
      </c>
      <c r="F104" s="57">
        <f>IF(E104&gt;0,E104*0.098,"0")</f>
        <v/>
      </c>
      <c r="G104" s="42" t="n"/>
      <c r="H104" s="864" t="n"/>
      <c r="J104" s="42" t="n"/>
      <c r="K104" s="41" t="n"/>
      <c r="L104" s="43" t="inlineStr">
        <is>
          <t>Net Transferable</t>
        </is>
      </c>
      <c r="M104" s="36">
        <f>IF(M102&lt;0,0,(IF(M102-O74-O75-O77&lt;0,M102,(M102-O74-O75-O77))))</f>
        <v/>
      </c>
      <c r="N104" s="57">
        <f>IF(M104&gt;0,M104*0.098,"0")</f>
        <v/>
      </c>
      <c r="O104" s="59" t="n"/>
      <c r="P104" s="864" t="n"/>
    </row>
    <row r="106" ht="15.75" customHeight="1" thickBot="1">
      <c r="E106">
        <f>Calculator!$D$5</f>
        <v/>
      </c>
      <c r="H106">
        <f>TransferName</f>
        <v/>
      </c>
      <c r="M106">
        <f>Calculator!$D$5</f>
        <v/>
      </c>
      <c r="P106">
        <f>TransferName</f>
        <v/>
      </c>
    </row>
    <row r="107" ht="15.75" customHeight="1" thickBot="1">
      <c r="B107" s="868" t="inlineStr">
        <is>
          <t>2018 PRINCE EDWARD ISLAND Provincial</t>
        </is>
      </c>
      <c r="C107" s="778" t="n"/>
      <c r="D107" s="778" t="n"/>
      <c r="E107" s="778" t="n"/>
      <c r="F107" s="778" t="n"/>
      <c r="G107" s="778" t="n"/>
      <c r="H107" s="780" t="n"/>
      <c r="J107" s="868" t="inlineStr">
        <is>
          <t>2017 PRINCE EDWARD ISLAND Provincial</t>
        </is>
      </c>
      <c r="K107" s="778" t="n"/>
      <c r="L107" s="778" t="n"/>
      <c r="M107" s="778" t="n"/>
      <c r="N107" s="778" t="n"/>
      <c r="O107" s="778" t="n"/>
      <c r="P107" s="780" t="n"/>
    </row>
    <row r="108" ht="15.75" customHeight="1" thickBot="1">
      <c r="B108" s="34" t="n"/>
      <c r="D108" t="inlineStr">
        <is>
          <t>Line</t>
        </is>
      </c>
      <c r="E108" t="inlineStr">
        <is>
          <t>Amt</t>
        </is>
      </c>
      <c r="F108" s="35" t="n"/>
      <c r="G108" s="667" t="inlineStr">
        <is>
          <t>Spouse</t>
        </is>
      </c>
      <c r="H108" s="35" t="inlineStr">
        <is>
          <t>S2 Adjustment</t>
        </is>
      </c>
      <c r="J108" s="34" t="n"/>
      <c r="L108" t="inlineStr">
        <is>
          <t>Line</t>
        </is>
      </c>
      <c r="M108" t="inlineStr">
        <is>
          <t>Amt</t>
        </is>
      </c>
      <c r="N108" s="35" t="n"/>
      <c r="O108" s="34" t="inlineStr">
        <is>
          <t>Spouse</t>
        </is>
      </c>
      <c r="P108" s="35" t="inlineStr">
        <is>
          <t>S2 Adjustment</t>
        </is>
      </c>
    </row>
    <row r="109" ht="15.75" customHeight="1" thickBot="1">
      <c r="B109" s="667" t="inlineStr">
        <is>
          <t>Age Amount</t>
        </is>
      </c>
      <c r="D109" t="inlineStr">
        <is>
          <t>Line 5808</t>
        </is>
      </c>
      <c r="E109" s="861">
        <f>(_xlfn.XLOOKUP(ClientNumber,Clients!D:D,Clients!EQZ:EQZ,2,0,1))</f>
        <v/>
      </c>
      <c r="F109" s="37" t="inlineStr">
        <is>
          <t>Line 59020</t>
        </is>
      </c>
      <c r="G109" s="51">
        <f>IF(TransferName="NONE",0,(_xlfn.XLOOKUP(TransferNumber,Clients!D:D,Clients!ETB:ETB,2,0,1)))</f>
        <v/>
      </c>
      <c r="H109" s="37">
        <f>IF(AND(E109&gt;0,G109=0),"Age Amount Can Be Transferred","No Action")</f>
        <v/>
      </c>
      <c r="J109" s="667" t="inlineStr">
        <is>
          <t>Age Amount</t>
        </is>
      </c>
      <c r="L109" t="inlineStr">
        <is>
          <t>Line 5808</t>
        </is>
      </c>
      <c r="M109" s="865">
        <f>(_xlfn.XLOOKUP(MainClient,Clients!D:D,Clients!FRB:FRB,2,0,1))</f>
        <v/>
      </c>
      <c r="N109" s="45" t="inlineStr">
        <is>
          <t>Line 59020</t>
        </is>
      </c>
      <c r="O109" s="51">
        <f>IF(TransferName="NONE",0,(_xlfn.XLOOKUP(TransferNumber,Clients!D:D,Clients!FTD:FTD,2,0,1)))</f>
        <v/>
      </c>
      <c r="P109" s="37">
        <f>IF(AND(M109&gt;0,O109=0),"Age Amount Can Be Transferred","No Action")</f>
        <v/>
      </c>
    </row>
    <row r="110" ht="15.75" customHeight="1" thickBot="1">
      <c r="B110" s="667" t="inlineStr">
        <is>
          <t>Pension Income Amount</t>
        </is>
      </c>
      <c r="D110" t="inlineStr">
        <is>
          <t>Line 5836 (mx 1000)</t>
        </is>
      </c>
      <c r="E110" s="861">
        <f>IF((_xlfn.XLOOKUP(ClientNumber,Clients!D:D,Clients!ERZ:ERZ,2,0,1)&lt;1000),(_xlfn.XLOOKUP(MainClient,Clients!D:D,Clients!ERZ:ERZ,2,0,1)),1000)</f>
        <v/>
      </c>
      <c r="F110" s="37" t="inlineStr">
        <is>
          <t>Line 59050</t>
        </is>
      </c>
      <c r="G110" s="51">
        <f>IF(TransferName="NONE",0,(_xlfn.XLOOKUP(TransferNumber,Clients!D:D,Clients!ETE:ETE,2,0,1)))</f>
        <v/>
      </c>
      <c r="H110" s="37">
        <f>IF(AND(E110&gt;0,G110=0),"Pension Income Amount Can Be Transferred","No Action")</f>
        <v/>
      </c>
      <c r="J110" s="667" t="inlineStr">
        <is>
          <t>Pension Income Amount</t>
        </is>
      </c>
      <c r="L110" t="inlineStr">
        <is>
          <t>Line 5836 (mx 1000)</t>
        </is>
      </c>
      <c r="M110" s="865">
        <f>IF((_xlfn.XLOOKUP(ClientNumber,Clients!D:D,Clients!FSB:FSB,2,0,1)&lt;1000),(_xlfn.XLOOKUP(MainClient,Clients!D:D,Clients!FSB:FSB,2,0,1)),1000)</f>
        <v/>
      </c>
      <c r="N110" s="45" t="inlineStr">
        <is>
          <t>Line 59050</t>
        </is>
      </c>
      <c r="O110" s="51">
        <f>IF(TransferName="NONE",0,(_xlfn.XLOOKUP(TransferNumber,Clients!D:D,Clients!FTG:FTG,2,0,1)))</f>
        <v/>
      </c>
      <c r="P110" s="37">
        <f>IF(AND(M110&gt;0,O110=0),"Pension Income Amount Can Be Transferred","No Action")</f>
        <v/>
      </c>
    </row>
    <row r="111" ht="15.75" customHeight="1" thickBot="1">
      <c r="B111" s="667" t="inlineStr">
        <is>
          <t>Disability Amount</t>
        </is>
      </c>
      <c r="D111" t="inlineStr">
        <is>
          <t>Line 5844</t>
        </is>
      </c>
      <c r="E111" s="861">
        <f>IF(_xlfn.XLOOKUP(ClientNumber,Clients!D:D,Clients!ESB:ESB,2,0,1)=0,6890,(_xlfn.XLOOKUP(MainClient,Clients!D:D,Clients!ESB:ESB,2,0,1)))</f>
        <v/>
      </c>
      <c r="F111" s="37" t="inlineStr">
        <is>
          <t>Line 59070</t>
        </is>
      </c>
      <c r="G111" s="51">
        <f>IF(TransferName="NONE",0,(_xlfn.XLOOKUP(TransferNumber,Clients!D:D,Clients!ETF:ETF,2,0,1)))</f>
        <v/>
      </c>
      <c r="H111" s="37">
        <f>IF(AND(E111&gt;0,G111=0),"DTC Transferable Not Claimed Can Be Transferred","No Action")</f>
        <v/>
      </c>
      <c r="J111" s="667" t="inlineStr">
        <is>
          <t>Disability Amount</t>
        </is>
      </c>
      <c r="L111" t="inlineStr">
        <is>
          <t>Line 5844</t>
        </is>
      </c>
      <c r="M111" s="865">
        <f>IF(_xlfn.XLOOKUP(ClientNumber,Clients!D:D,Clients!FSD:FSD,2,0,1)=0,6890,(_xlfn.XLOOKUP(MainClient,Clients!D:D,Clients!FSD:FSD,2,0,1)))</f>
        <v/>
      </c>
      <c r="N111" s="45" t="inlineStr">
        <is>
          <t>Line 59070</t>
        </is>
      </c>
      <c r="O111" s="51">
        <f>IF(TransferName="NONE",0,(_xlfn.XLOOKUP(TransferNumber,Clients!D:D,Clients!FTH:FTH,2,0,1)))</f>
        <v/>
      </c>
      <c r="P111" s="37">
        <f>IF(AND(M111&gt;0,O111=0),"DTC Transferable Not Claimed Can Be Transferred","No Action")</f>
        <v/>
      </c>
    </row>
    <row r="112" ht="15.75" customHeight="1" thickBot="1">
      <c r="B112" s="667" t="inlineStr">
        <is>
          <t>Tuition Amount</t>
        </is>
      </c>
      <c r="D112" t="inlineStr">
        <is>
          <t>Line 5920</t>
        </is>
      </c>
      <c r="E112" s="861">
        <f>(_xlfn.XLOOKUP(ClientNumber,Clients!D:D,Clients!ETP:ETP,2,0,1))</f>
        <v/>
      </c>
      <c r="F112" s="37" t="inlineStr">
        <is>
          <t>Line 59090</t>
        </is>
      </c>
      <c r="G112" s="51">
        <f>IF(TransferName="NONE",0,(_xlfn.XLOOKUP(TransferNumber,Clients!D:D,Clients!ETG:ETG,2,0,1)))</f>
        <v/>
      </c>
      <c r="H112" s="37">
        <f>IF(AND(E112&gt;0,G112=0),"Tuition Can Be Transferred","No Action")</f>
        <v/>
      </c>
      <c r="J112" s="667" t="inlineStr">
        <is>
          <t>Tuition Amount</t>
        </is>
      </c>
      <c r="L112" t="inlineStr">
        <is>
          <t>Line 5920</t>
        </is>
      </c>
      <c r="M112" s="865">
        <f>(_xlfn.XLOOKUP(MainClient,Clients!D:D,Clients!FTR:FTR,2,0,1))</f>
        <v/>
      </c>
      <c r="N112" s="45" t="inlineStr">
        <is>
          <t>Line 59090</t>
        </is>
      </c>
      <c r="O112" s="51">
        <f>IF(TransferName="NONE",0,(_xlfn.XLOOKUP(TransferNumber,Clients!D:D,Clients!FTI:FTI,2,0,1)))</f>
        <v/>
      </c>
      <c r="P112" s="37">
        <f>IF(AND(M112&gt;0,O112=0),"Tuition Can Be Transferred","No Action")</f>
        <v/>
      </c>
    </row>
    <row r="113">
      <c r="B113" s="667" t="n"/>
      <c r="E113" s="771">
        <f>SUM(E109:E112)</f>
        <v/>
      </c>
      <c r="F113" s="37" t="n"/>
      <c r="G113" s="667">
        <f>SUM(G109:G112)</f>
        <v/>
      </c>
      <c r="H113" s="37" t="n"/>
      <c r="J113" s="667" t="n"/>
      <c r="M113" s="872">
        <f>SUM(M109:M112)</f>
        <v/>
      </c>
      <c r="N113" s="37" t="n"/>
      <c r="O113" s="667">
        <f>SUM(O109:O112)</f>
        <v/>
      </c>
      <c r="P113" s="37" t="n"/>
    </row>
    <row r="114">
      <c r="B114" s="667" t="n"/>
      <c r="C114" s="668" t="n"/>
      <c r="E114" s="771" t="n"/>
      <c r="F114" s="37" t="n"/>
      <c r="G114" s="668" t="n"/>
      <c r="H114" s="37" t="n"/>
      <c r="J114" s="667" t="n"/>
      <c r="K114" s="668" t="n"/>
      <c r="M114" s="872" t="n"/>
      <c r="N114" s="37" t="n"/>
      <c r="O114" s="668" t="n"/>
      <c r="P114" s="37" t="n"/>
    </row>
    <row r="115" ht="15.75" customHeight="1" thickBot="1">
      <c r="B115" s="34" t="n"/>
      <c r="F115" s="35" t="n"/>
      <c r="H115" s="35" t="n"/>
      <c r="J115" s="34" t="n"/>
      <c r="N115" s="35" t="n"/>
      <c r="P115" s="35" t="n"/>
    </row>
    <row r="116" ht="15.75" customHeight="1" thickBot="1">
      <c r="B116" s="667" t="inlineStr">
        <is>
          <t>Line 260</t>
        </is>
      </c>
      <c r="C116" s="36">
        <f>(_xlfn.XLOOKUP(MainClient,Clients!D:D,Clients!EIY:EIY,2,0,1))</f>
        <v/>
      </c>
      <c r="F116" s="35" t="n"/>
      <c r="G116" s="34">
        <f>IF(E139&gt;E111,"other transferable credits","DTC Only")</f>
        <v/>
      </c>
      <c r="H116" s="35" t="n"/>
      <c r="J116" s="667" t="inlineStr">
        <is>
          <t>Line 260</t>
        </is>
      </c>
      <c r="K116" s="36">
        <f>(_xlfn.XLOOKUP(MainClient,Clients!D:D,Clients!FJA:FJA,2,0,1))</f>
        <v/>
      </c>
      <c r="N116" s="35" t="n"/>
      <c r="O116" s="34">
        <f>IF(M139&gt;M111,"other transferable credits","DTC Only")</f>
        <v/>
      </c>
      <c r="P116" s="35" t="n"/>
    </row>
    <row r="117" ht="15.75" customHeight="1" thickBot="1">
      <c r="B117" s="34" t="n"/>
      <c r="F117" s="35" t="n"/>
      <c r="G117" s="34" t="n"/>
      <c r="H117" s="35" t="n"/>
      <c r="J117" s="34" t="n"/>
      <c r="N117" s="35" t="n"/>
      <c r="O117" s="34" t="n"/>
      <c r="P117" s="35" t="n"/>
    </row>
    <row r="118" ht="15.75" customHeight="1" thickBot="1">
      <c r="B118" s="55" t="inlineStr">
        <is>
          <t>Line 5804</t>
        </is>
      </c>
      <c r="C118" s="36">
        <f>(_xlfn.XLOOKUP(ClientNumber,Clients!D:D,Clients!EQY:EQY,2,0,1))</f>
        <v/>
      </c>
      <c r="F118" s="35" t="n"/>
      <c r="G118" s="34" t="n"/>
      <c r="H118" s="35" t="n"/>
      <c r="J118" s="55" t="inlineStr">
        <is>
          <t>Line 5804</t>
        </is>
      </c>
      <c r="K118" s="36">
        <f>(_xlfn.XLOOKUP(MainClient,Clients!D:D,Clients!FRA:FRA,2,0,1))</f>
        <v/>
      </c>
      <c r="N118" s="35" t="n"/>
      <c r="O118" s="34" t="n"/>
      <c r="P118" s="35" t="n"/>
    </row>
    <row r="119" ht="15.75" customHeight="1" thickBot="1">
      <c r="B119" s="55" t="inlineStr">
        <is>
          <t>Line 5824</t>
        </is>
      </c>
      <c r="C119" s="36">
        <f>(_xlfn.XLOOKUP(ClientNumber,Clients!D:D,Clients!ERN:ERN,2,0,1))</f>
        <v/>
      </c>
      <c r="F119" s="35" t="n"/>
      <c r="G119" s="34" t="n"/>
      <c r="H119" s="35" t="n"/>
      <c r="J119" s="55" t="inlineStr">
        <is>
          <t>Line 5824</t>
        </is>
      </c>
      <c r="K119" s="36">
        <f>(_xlfn.XLOOKUP(MainClient,Clients!D:D,Clients!FRP:FRP,2,0,1))</f>
        <v/>
      </c>
      <c r="N119" s="35" t="n"/>
      <c r="O119" s="34" t="n"/>
      <c r="P119" s="35" t="n"/>
    </row>
    <row r="120" ht="15.75" customHeight="1" thickBot="1">
      <c r="B120" s="55" t="inlineStr">
        <is>
          <t>Line 5828</t>
        </is>
      </c>
      <c r="C120" s="36">
        <f>(_xlfn.XLOOKUP(ClientNumber,Clients!D:D,Clients!ERO:ERO,2,0,1))</f>
        <v/>
      </c>
      <c r="F120" s="35" t="n"/>
      <c r="G120" s="34" t="n"/>
      <c r="H120" s="35" t="n"/>
      <c r="J120" s="55" t="inlineStr">
        <is>
          <t>Line 5828</t>
        </is>
      </c>
      <c r="K120" s="36">
        <f>(_xlfn.XLOOKUP(MainClient,Clients!D:D,Clients!FRQ:FRQ,2,0,1))</f>
        <v/>
      </c>
      <c r="N120" s="35" t="n"/>
      <c r="P120" s="35" t="n"/>
    </row>
    <row r="121" ht="15.75" customHeight="1" thickBot="1">
      <c r="B121" s="55" t="inlineStr">
        <is>
          <t>Line 5832</t>
        </is>
      </c>
      <c r="C121" s="36">
        <f>(_xlfn.XLOOKUP(ClientNumber,Clients!D:D,Clients!ERP:ERP,2,0,1))</f>
        <v/>
      </c>
      <c r="F121" s="35" t="n"/>
      <c r="G121" s="34" t="n"/>
      <c r="H121" s="35" t="n"/>
      <c r="J121" s="55" t="inlineStr">
        <is>
          <t>Line 5832</t>
        </is>
      </c>
      <c r="K121" s="36">
        <f>(_xlfn.XLOOKUP(MainClient,Clients!D:D,Clients!FRR:FRR,2,0,1))</f>
        <v/>
      </c>
      <c r="N121" s="35" t="n"/>
      <c r="O121" s="34" t="n"/>
      <c r="P121" s="35" t="n"/>
    </row>
    <row r="122" ht="15.75" customHeight="1" thickBot="1">
      <c r="B122" s="55" t="inlineStr">
        <is>
          <t>Line 5829</t>
        </is>
      </c>
      <c r="C122" s="36">
        <f>(_xlfn.XLOOKUP(ClientNumber,Clients!D:D,Clients!ERQ:ERQ,2,0,1))</f>
        <v/>
      </c>
      <c r="F122" s="35" t="n"/>
      <c r="G122" s="34" t="n"/>
      <c r="H122" s="35" t="n"/>
      <c r="J122" s="55" t="inlineStr">
        <is>
          <t>Line 5829</t>
        </is>
      </c>
      <c r="K122" s="36">
        <f>(_xlfn.XLOOKUP(MainClient,Clients!D:D,Clients!FRS:FRS,2,0,1))</f>
        <v/>
      </c>
      <c r="N122" s="35" t="n"/>
      <c r="O122" s="34" t="n"/>
      <c r="P122" s="35" t="n"/>
    </row>
    <row r="123" ht="15.75" customHeight="1" thickBot="1">
      <c r="B123" s="55" t="inlineStr">
        <is>
          <t>Line 5856</t>
        </is>
      </c>
      <c r="C123" s="36">
        <f>(_xlfn.XLOOKUP(ClientNumber,Clients!D:D,Clients!ESF:ESF,2,0,1))</f>
        <v/>
      </c>
      <c r="F123" s="35" t="n"/>
      <c r="G123" s="34" t="n"/>
      <c r="H123" s="35" t="n"/>
      <c r="J123" s="55" t="inlineStr">
        <is>
          <t>Line 5856</t>
        </is>
      </c>
      <c r="K123" s="36">
        <f>(_xlfn.XLOOKUP(MainClient,Clients!D:D,Clients!FSH:FSH,2,0,1))</f>
        <v/>
      </c>
      <c r="N123" s="35" t="n"/>
      <c r="O123" s="34" t="n"/>
      <c r="P123" s="35" t="n"/>
    </row>
    <row r="124" ht="15.75" customHeight="1" thickBot="1">
      <c r="B124" s="55" t="n"/>
      <c r="C124" s="36" t="n"/>
      <c r="F124" s="35" t="n"/>
      <c r="G124" s="34" t="n"/>
      <c r="H124" s="35" t="n"/>
      <c r="J124" s="55" t="n"/>
      <c r="K124" s="36" t="n"/>
      <c r="N124" s="35" t="n"/>
      <c r="O124" s="34" t="n"/>
      <c r="P124" s="35" t="n"/>
    </row>
    <row r="125" ht="15.75" customHeight="1" thickBot="1">
      <c r="B125" s="55" t="n"/>
      <c r="C125" s="36" t="n"/>
      <c r="F125" s="35" t="n"/>
      <c r="G125" s="34" t="n"/>
      <c r="H125" s="35" t="n"/>
      <c r="J125" s="55" t="n"/>
      <c r="K125" s="36" t="n"/>
      <c r="N125" s="35" t="n"/>
      <c r="O125" s="34" t="n"/>
      <c r="P125" s="35" t="n"/>
    </row>
    <row r="126" ht="15.75" customHeight="1" thickBot="1">
      <c r="B126" s="55" t="n"/>
      <c r="C126" s="36" t="n"/>
      <c r="F126" s="35" t="n"/>
      <c r="G126" s="34" t="n"/>
      <c r="H126" s="35" t="n"/>
      <c r="J126" s="55" t="n"/>
      <c r="K126" s="36" t="n"/>
      <c r="N126" s="35" t="n"/>
      <c r="O126" s="34" t="n"/>
      <c r="P126" s="35" t="n"/>
    </row>
    <row r="127" ht="15.75" customHeight="1" thickBot="1">
      <c r="B127" s="55" t="n"/>
      <c r="C127" s="36" t="n"/>
      <c r="F127" s="35" t="n"/>
      <c r="G127" s="34" t="n"/>
      <c r="H127" s="35" t="n"/>
      <c r="J127" s="55" t="n"/>
      <c r="K127" s="36" t="n"/>
      <c r="N127" s="35" t="n"/>
      <c r="O127" s="34" t="n"/>
      <c r="P127" s="35" t="n"/>
    </row>
    <row r="128" ht="15.75" customHeight="1" thickBot="1">
      <c r="B128" s="55" t="n"/>
      <c r="C128" s="36" t="n"/>
      <c r="F128" s="35" t="n"/>
      <c r="G128" s="34" t="inlineStr">
        <is>
          <t>Line 326</t>
        </is>
      </c>
      <c r="H128" s="35">
        <f>IF(TransferName="NONE",0,(_xlfn.XLOOKUP(TransferNumber,Clients!D:D,Clients!EJX:EJX,2,0,1)))</f>
        <v/>
      </c>
      <c r="J128" s="55" t="n"/>
      <c r="K128" s="36" t="n"/>
      <c r="N128" s="35" t="n"/>
      <c r="O128" s="34" t="inlineStr">
        <is>
          <t>Line 326</t>
        </is>
      </c>
      <c r="P128" s="35">
        <f>IFERROR(_xlfn.XLOOKUP(TransferNumber,Clients!D:D,Clients!FJZ:FJZ,2,0,1),0)</f>
        <v/>
      </c>
    </row>
    <row r="129" ht="15.75" customHeight="1" thickBot="1">
      <c r="B129" s="38" t="n"/>
      <c r="C129" s="36" t="n"/>
      <c r="F129" s="35" t="n"/>
      <c r="G129" s="34" t="n"/>
      <c r="H129" s="35" t="n"/>
      <c r="J129" s="55" t="n"/>
      <c r="K129" s="36" t="n"/>
      <c r="N129" s="35" t="n"/>
      <c r="O129" s="34" t="n"/>
      <c r="P129" s="35" t="n"/>
    </row>
    <row r="130" ht="15.75" customHeight="1" thickBot="1">
      <c r="B130" s="38" t="n"/>
      <c r="C130" s="36" t="n"/>
      <c r="F130" s="35" t="n"/>
      <c r="G130" s="34" t="n"/>
      <c r="H130" s="35" t="n"/>
      <c r="J130" s="38" t="n"/>
      <c r="K130" s="36" t="n"/>
      <c r="N130" s="35" t="n"/>
      <c r="O130" s="34" t="n"/>
      <c r="P130" s="35" t="n"/>
    </row>
    <row r="131" ht="15.75" customHeight="1" thickBot="1">
      <c r="B131" s="38" t="n"/>
      <c r="C131" s="36" t="n"/>
      <c r="F131" s="35" t="n"/>
      <c r="G131" s="34" t="n"/>
      <c r="H131" s="35" t="n"/>
      <c r="J131" s="38" t="n"/>
      <c r="K131" s="36" t="n"/>
      <c r="N131" s="35" t="n"/>
      <c r="O131" s="34" t="n"/>
      <c r="P131" s="35" t="n"/>
    </row>
    <row r="132" ht="15.75" customHeight="1" thickBot="1">
      <c r="B132" s="38" t="n"/>
      <c r="C132" s="36" t="n"/>
      <c r="F132" s="35" t="n"/>
      <c r="G132" s="34" t="n"/>
      <c r="H132" s="35">
        <f>IF(E137&gt;0,E113-G113,0)</f>
        <v/>
      </c>
      <c r="J132" s="38" t="n"/>
      <c r="K132" s="36" t="n"/>
      <c r="N132" s="35" t="n"/>
      <c r="O132" s="34" t="n"/>
      <c r="P132" s="35">
        <f>IF(M137&gt;0,M113-O113,0)</f>
        <v/>
      </c>
    </row>
    <row r="133" ht="15.75" customHeight="1" thickBot="1">
      <c r="B133" s="38" t="n"/>
      <c r="C133" s="36" t="n"/>
      <c r="F133" s="35" t="n"/>
      <c r="H133" s="52">
        <f>IF(TransferName="NONE",F138,IF(H132&gt;0,(E137-G113)*0.098,0))</f>
        <v/>
      </c>
      <c r="J133" s="38" t="n"/>
      <c r="K133" s="36" t="n"/>
      <c r="N133" s="35" t="n"/>
      <c r="P133" s="52">
        <f>IF(TransferName="NONE",N138,IF(P132&gt;0,(M137-O113)*0.098,0))</f>
        <v/>
      </c>
    </row>
    <row r="134">
      <c r="B134" s="667" t="n"/>
      <c r="F134" s="35" t="n"/>
      <c r="G134" s="34" t="inlineStr">
        <is>
          <t>Transferable</t>
        </is>
      </c>
      <c r="H134" s="52">
        <f>IF(H133&gt;0,H133,0)</f>
        <v/>
      </c>
      <c r="J134" s="667" t="n"/>
      <c r="N134" s="35" t="n"/>
      <c r="O134" s="34" t="inlineStr">
        <is>
          <t>Transferable</t>
        </is>
      </c>
      <c r="P134" s="52">
        <f>IF(P133&gt;0,P133,0)</f>
        <v/>
      </c>
    </row>
    <row r="135">
      <c r="B135" s="667" t="inlineStr">
        <is>
          <t>Adjusted Taxable Income</t>
        </is>
      </c>
      <c r="C135">
        <f>C116-(SUM(C118:C133))</f>
        <v/>
      </c>
      <c r="D135" s="13" t="inlineStr">
        <is>
          <t>Line 5864</t>
        </is>
      </c>
      <c r="E135" s="39">
        <f>IF(C135&gt;0,C135,0)</f>
        <v/>
      </c>
      <c r="F135" s="35" t="n"/>
      <c r="G135" s="34" t="n"/>
      <c r="H135" s="35" t="n"/>
      <c r="J135" s="667" t="inlineStr">
        <is>
          <t>Adjusted Taxable Income</t>
        </is>
      </c>
      <c r="K135">
        <f>K116-(SUM(K118:K133))</f>
        <v/>
      </c>
      <c r="L135" s="13" t="inlineStr">
        <is>
          <t>Line 5864</t>
        </is>
      </c>
      <c r="M135" s="39">
        <f>IF(K135&gt;0,K135,0)</f>
        <v/>
      </c>
      <c r="N135" s="35" t="n"/>
      <c r="O135" s="34" t="n"/>
      <c r="P135" s="35" t="n"/>
    </row>
    <row r="136" ht="15.75" customHeight="1" thickBot="1">
      <c r="B136" s="34" t="n"/>
      <c r="F136" s="35" t="n"/>
      <c r="G136" s="34" t="n"/>
      <c r="H136" s="35" t="n"/>
      <c r="J136" s="34" t="n"/>
      <c r="N136" s="35" t="n"/>
      <c r="O136" s="34" t="n"/>
      <c r="P136" s="35" t="n"/>
    </row>
    <row r="137" ht="15.75" customHeight="1" thickBot="1">
      <c r="B137" s="34" t="n"/>
      <c r="D137" s="21" t="inlineStr">
        <is>
          <t>Prov Trans</t>
        </is>
      </c>
      <c r="E137" s="36">
        <f>(E113-E135)</f>
        <v/>
      </c>
      <c r="F137" s="40" t="n"/>
      <c r="G137" s="34" t="n"/>
      <c r="H137" s="52" t="n"/>
      <c r="J137" s="34" t="n"/>
      <c r="L137" s="21" t="inlineStr">
        <is>
          <t>Prov Trans</t>
        </is>
      </c>
      <c r="M137" s="36">
        <f>(M113-M135)</f>
        <v/>
      </c>
      <c r="N137" s="40" t="n"/>
      <c r="O137" s="34" t="n"/>
      <c r="P137" s="52" t="n"/>
    </row>
    <row r="138" ht="15.75" customHeight="1" thickBot="1">
      <c r="B138" s="34" t="n"/>
      <c r="C138" s="579" t="inlineStr">
        <is>
          <t>DTC Transferable ESTIMATE</t>
        </is>
      </c>
      <c r="D138" s="35" t="n"/>
      <c r="E138" s="36">
        <f>IF(E137&lt;0,0,(IF(E137&gt;E111,E111,E137)))</f>
        <v/>
      </c>
      <c r="F138" s="40">
        <f>IF(E138&gt;0,E138*0.098,"No Transfer Required")</f>
        <v/>
      </c>
      <c r="G138" s="678" t="n"/>
      <c r="H138" s="52" t="n"/>
      <c r="J138" s="34" t="n"/>
      <c r="K138" s="579" t="inlineStr">
        <is>
          <t>DTC Transferable ESTIMATE</t>
        </is>
      </c>
      <c r="L138" s="35" t="n"/>
      <c r="M138" s="36">
        <f>IF(M137&lt;0,0,(IF(M137&gt;M111,M111,M137)))</f>
        <v/>
      </c>
      <c r="N138" s="40">
        <f>IF(M138&gt;0,M138*0.098,"No Transfer Required")</f>
        <v/>
      </c>
      <c r="O138" s="58" t="n"/>
      <c r="P138" s="52" t="n"/>
    </row>
    <row r="139" ht="15.75" customHeight="1" thickBot="1">
      <c r="B139" s="42" t="n"/>
      <c r="C139" s="41" t="n"/>
      <c r="D139" s="43" t="inlineStr">
        <is>
          <t>Net Transferable</t>
        </is>
      </c>
      <c r="E139" s="36">
        <f>IF(E137&lt;0,0,(IF(E137-G109-G110-G112&lt;0,E137,(E137-G109-G110-G112))))</f>
        <v/>
      </c>
      <c r="F139" s="57">
        <f>IF(E139&gt;0,E139*0.098,"0")</f>
        <v/>
      </c>
      <c r="G139" s="42" t="n"/>
      <c r="H139" s="864" t="n"/>
      <c r="J139" s="42" t="n"/>
      <c r="K139" s="41" t="n"/>
      <c r="L139" s="43" t="inlineStr">
        <is>
          <t>Net Transferable</t>
        </is>
      </c>
      <c r="M139" s="36">
        <f>IF(M137&lt;0,0,(IF(M137-O109-O110-O112&lt;0,M137,(M137-O109-O110-O112))))</f>
        <v/>
      </c>
      <c r="N139" s="57">
        <f>IF(M139&gt;0,M139*0.098,"0")</f>
        <v/>
      </c>
      <c r="O139" s="59" t="n"/>
      <c r="P139" s="864" t="n"/>
    </row>
    <row r="141" ht="15.75" customHeight="1" thickBot="1">
      <c r="E141">
        <f>Calculator!$D$5</f>
        <v/>
      </c>
      <c r="H141">
        <f>TransferName</f>
        <v/>
      </c>
      <c r="M141">
        <f>Calculator!$D$5</f>
        <v/>
      </c>
      <c r="P141">
        <f>TransferName</f>
        <v/>
      </c>
    </row>
    <row r="142" ht="15.75" customHeight="1" thickBot="1">
      <c r="B142" s="868" t="inlineStr">
        <is>
          <t>2016 PRINCE EDWARD ISLAND Provincial</t>
        </is>
      </c>
      <c r="C142" s="778" t="n"/>
      <c r="D142" s="778" t="n"/>
      <c r="E142" s="778" t="n"/>
      <c r="F142" s="778" t="n"/>
      <c r="G142" s="778" t="n"/>
      <c r="H142" s="780" t="n"/>
      <c r="J142" s="868" t="inlineStr">
        <is>
          <t>2015 PRINCE EDWARD ISLAND Provincial</t>
        </is>
      </c>
      <c r="K142" s="778" t="n"/>
      <c r="L142" s="778" t="n"/>
      <c r="M142" s="778" t="n"/>
      <c r="N142" s="778" t="n"/>
      <c r="O142" s="778" t="n"/>
      <c r="P142" s="780" t="n"/>
    </row>
    <row r="143" ht="15.75" customHeight="1" thickBot="1">
      <c r="B143" s="34" t="n"/>
      <c r="D143" t="inlineStr">
        <is>
          <t>Line</t>
        </is>
      </c>
      <c r="E143" t="inlineStr">
        <is>
          <t>Amt</t>
        </is>
      </c>
      <c r="F143" s="35" t="n"/>
      <c r="G143" s="667" t="inlineStr">
        <is>
          <t>Spouse</t>
        </is>
      </c>
      <c r="H143" s="35" t="inlineStr">
        <is>
          <t>S2 Adjustment</t>
        </is>
      </c>
      <c r="J143" s="34" t="n"/>
      <c r="L143" t="inlineStr">
        <is>
          <t>Line</t>
        </is>
      </c>
      <c r="M143" t="inlineStr">
        <is>
          <t>Amt</t>
        </is>
      </c>
      <c r="N143" s="35" t="n"/>
      <c r="O143" s="34" t="inlineStr">
        <is>
          <t>Spouse</t>
        </is>
      </c>
      <c r="P143" s="35" t="inlineStr">
        <is>
          <t>S2 Adjustment</t>
        </is>
      </c>
    </row>
    <row r="144" ht="15.75" customHeight="1" thickBot="1">
      <c r="B144" s="667" t="inlineStr">
        <is>
          <t>Age Amount</t>
        </is>
      </c>
      <c r="D144" t="inlineStr">
        <is>
          <t>Line 5808</t>
        </is>
      </c>
      <c r="E144" s="861">
        <f>(_xlfn.XLOOKUP(ClientNumber,Clients!D:D,Clients!GRD:GRD,2,0,1))</f>
        <v/>
      </c>
      <c r="F144" s="37" t="inlineStr">
        <is>
          <t>Line 59020</t>
        </is>
      </c>
      <c r="G144" s="51">
        <f>IF(TransferName="NONE",0,(_xlfn.XLOOKUP(TransferNumber,Clients!D:D,Clients!GTF:GTF,2,0,1)))</f>
        <v/>
      </c>
      <c r="H144" s="37">
        <f>IF(AND(E144&gt;0,G144=0),"Age Amount Can Be Transferred","No Action")</f>
        <v/>
      </c>
      <c r="J144" s="667" t="inlineStr">
        <is>
          <t>Age Amount</t>
        </is>
      </c>
      <c r="L144" t="inlineStr">
        <is>
          <t>Line 5808</t>
        </is>
      </c>
      <c r="M144" s="865">
        <f>(_xlfn.XLOOKUP(MainClient,Clients!D:D,Clients!HRF:HRF,2,0,1))</f>
        <v/>
      </c>
      <c r="N144" s="45" t="inlineStr">
        <is>
          <t>Line 59020</t>
        </is>
      </c>
      <c r="O144" s="51">
        <f>IF(TransferName="NONE",0,(_xlfn.XLOOKUP(TransferNumber,Clients!D:D,Clients!HTH:HTH,2,0,1)))</f>
        <v/>
      </c>
      <c r="P144" s="37">
        <f>IF(AND(M144&gt;0,O144=0),"Age Amount Can Be Transferred","No Action")</f>
        <v/>
      </c>
    </row>
    <row r="145" ht="15.75" customHeight="1" thickBot="1">
      <c r="B145" s="667" t="inlineStr">
        <is>
          <t>Pension Income Amount</t>
        </is>
      </c>
      <c r="D145" t="inlineStr">
        <is>
          <t>Line 5836 (mx 1000)</t>
        </is>
      </c>
      <c r="E145" s="861">
        <f>IF((_xlfn.XLOOKUP(ClientNumber,Clients!D:D,Clients!GSD:GSD,2,0,1)&lt;1000),(_xlfn.XLOOKUP(MainClient,Clients!D:D,Clients!GSD:GSD,2,0,1)),1000)</f>
        <v/>
      </c>
      <c r="F145" s="37" t="inlineStr">
        <is>
          <t>Line 59050</t>
        </is>
      </c>
      <c r="G145" s="51">
        <f>IF(TransferName="NONE",0,(_xlfn.XLOOKUP(TransferNumber,Clients!D:D,Clients!GTI:GTI,2,0,1)))</f>
        <v/>
      </c>
      <c r="H145" s="37">
        <f>IF(AND(E145&gt;0,G145=0),"Pension Income Amount Can Be Transferred","No Action")</f>
        <v/>
      </c>
      <c r="J145" s="667" t="inlineStr">
        <is>
          <t>Pension Income Amount</t>
        </is>
      </c>
      <c r="L145" t="inlineStr">
        <is>
          <t>Line 5836 (mx 1000)</t>
        </is>
      </c>
      <c r="M145" s="865">
        <f>IF((_xlfn.XLOOKUP(ClientNumber,Clients!D:D,Clients!HSF:HSF,2,0,1)&lt;1000),(_xlfn.XLOOKUP(MainClient,Clients!D:D,Clients!HSF:HSF,2,0,1)),1000)</f>
        <v/>
      </c>
      <c r="N145" s="45" t="inlineStr">
        <is>
          <t>Line 59050</t>
        </is>
      </c>
      <c r="O145" s="51">
        <f>IF(TransferName="NONE",0,(_xlfn.XLOOKUP(TransferNumber,Clients!D:D,Clients!HTK:HTK,2,0,1)))</f>
        <v/>
      </c>
      <c r="P145" s="37">
        <f>IF(AND(M145&gt;0,O145=0),"Pension Income Amount Can Be Transferred","No Action")</f>
        <v/>
      </c>
    </row>
    <row r="146" ht="15.75" customHeight="1" thickBot="1">
      <c r="B146" s="667" t="inlineStr">
        <is>
          <t>Disability Amount</t>
        </is>
      </c>
      <c r="D146" t="inlineStr">
        <is>
          <t>Line 5844</t>
        </is>
      </c>
      <c r="E146" s="861">
        <f>IF(_xlfn.XLOOKUP(ClientNumber,Clients!D:D,Clients!GSF:GSF,2,0,1)=0,6890,(_xlfn.XLOOKUP(MainClient,Clients!D:D,Clients!GSF:GSF,2,0,1)))</f>
        <v/>
      </c>
      <c r="F146" s="37" t="inlineStr">
        <is>
          <t>Line 59070</t>
        </is>
      </c>
      <c r="G146" s="51">
        <f>IF(TransferName="NONE",0,(_xlfn.XLOOKUP(TransferNumber,Clients!D:D,Clients!GTJ:GTJ,2,0,1)))</f>
        <v/>
      </c>
      <c r="H146" s="37">
        <f>IF(AND(E146&gt;0,G146=0),"DTC Transferable Not Claimed Can Be Transferred","No Action")</f>
        <v/>
      </c>
      <c r="J146" s="667" t="inlineStr">
        <is>
          <t>Disability Amount</t>
        </is>
      </c>
      <c r="L146" t="inlineStr">
        <is>
          <t>Line 5844</t>
        </is>
      </c>
      <c r="M146" s="865">
        <f>IF(_xlfn.XLOOKUP(ClientNumber,Clients!D:D,Clients!HSH:HSH,2,0,1)=0,6890,(_xlfn.XLOOKUP(MainClient,Clients!D:D,Clients!HSH:HSH,2,0,1)))</f>
        <v/>
      </c>
      <c r="N146" s="45" t="inlineStr">
        <is>
          <t>Line 59070</t>
        </is>
      </c>
      <c r="O146" s="51">
        <f>IF(TransferName="NONE",0,(_xlfn.XLOOKUP(TransferNumber,Clients!D:D,Clients!HTL:HTL,2,0,1)))</f>
        <v/>
      </c>
      <c r="P146" s="37">
        <f>IF(AND(M146&gt;0,O146=0),"DTC Transferable Not Claimed Can Be Transferred","No Action")</f>
        <v/>
      </c>
    </row>
    <row r="147" ht="15.75" customHeight="1" thickBot="1">
      <c r="B147" s="667" t="inlineStr">
        <is>
          <t>Tuition Amount</t>
        </is>
      </c>
      <c r="D147" t="inlineStr">
        <is>
          <t>Line 5920</t>
        </is>
      </c>
      <c r="E147" s="861">
        <f>(_xlfn.XLOOKUP(ClientNumber,Clients!D:D,Clients!GTT:GTT,2,0,1))</f>
        <v/>
      </c>
      <c r="F147" s="37" t="inlineStr">
        <is>
          <t>Line 59090</t>
        </is>
      </c>
      <c r="G147" s="51">
        <f>IF(TransferName="NONE",0,(_xlfn.XLOOKUP(TransferNumber,Clients!D:D,Clients!GTK:GTK,2,0,1)))</f>
        <v/>
      </c>
      <c r="H147" s="37">
        <f>IF(AND(E147&gt;0,G147=0),"Tuition Can Be Transferred","No Action")</f>
        <v/>
      </c>
      <c r="J147" s="667" t="inlineStr">
        <is>
          <t>Tuition Amount</t>
        </is>
      </c>
      <c r="L147" t="inlineStr">
        <is>
          <t>Line 5920</t>
        </is>
      </c>
      <c r="M147" s="865">
        <f>(_xlfn.XLOOKUP(MainClient,Clients!D:D,Clients!HTV:HTV,2,0,1))</f>
        <v/>
      </c>
      <c r="N147" s="45" t="inlineStr">
        <is>
          <t>Line 59090</t>
        </is>
      </c>
      <c r="O147" s="51">
        <f>IF(TransferName="NONE",0,(_xlfn.XLOOKUP(TransferNumber,Clients!D:D,Clients!HTM:HTM,2,0,1)))</f>
        <v/>
      </c>
      <c r="P147" s="37">
        <f>IF(AND(M147&gt;0,O147=0),"Tuition Can Be Transferred","No Action")</f>
        <v/>
      </c>
    </row>
    <row r="148">
      <c r="B148" s="667" t="n"/>
      <c r="E148" s="771">
        <f>SUM(E144:E147)</f>
        <v/>
      </c>
      <c r="F148" s="37" t="n"/>
      <c r="G148" s="667">
        <f>SUM(G144:G147)</f>
        <v/>
      </c>
      <c r="H148" s="37" t="n"/>
      <c r="J148" s="667" t="n"/>
      <c r="M148" s="872">
        <f>SUM(M144:M147)</f>
        <v/>
      </c>
      <c r="N148" s="37" t="n"/>
      <c r="O148" s="667">
        <f>SUM(O144:O147)</f>
        <v/>
      </c>
      <c r="P148" s="37" t="n"/>
    </row>
    <row r="149" ht="15.75" customHeight="1" thickBot="1">
      <c r="B149" s="34" t="n"/>
      <c r="F149" s="35" t="n"/>
      <c r="G149" s="667" t="n"/>
      <c r="H149" s="35" t="n"/>
      <c r="J149" s="34" t="n"/>
      <c r="N149" s="35" t="n"/>
      <c r="O149" s="667" t="n"/>
      <c r="P149" s="35" t="n"/>
    </row>
    <row r="150" ht="15.75" customHeight="1" thickBot="1">
      <c r="B150" s="667" t="inlineStr">
        <is>
          <t>Line 260</t>
        </is>
      </c>
      <c r="C150" s="36">
        <f>(_xlfn.XLOOKUP(MainClient,Clients!D:D,Clients!GJC:GJC,2,0,1))</f>
        <v/>
      </c>
      <c r="F150" s="35" t="n"/>
      <c r="G150" s="34">
        <f>IF(E173&gt;E146,"other transferable credits","DTC Only")</f>
        <v/>
      </c>
      <c r="H150" s="35" t="n"/>
      <c r="J150" s="667" t="inlineStr">
        <is>
          <t>Line 260</t>
        </is>
      </c>
      <c r="K150" s="36">
        <f>(_xlfn.XLOOKUP(MainClient,Clients!D:D,Clients!HJE:HJE,2,0,1))</f>
        <v/>
      </c>
      <c r="N150" s="35" t="n"/>
      <c r="O150" s="34">
        <f>IF(M173&gt;M146,"other transferable credits","DTC Only")</f>
        <v/>
      </c>
      <c r="P150" s="35" t="n"/>
    </row>
    <row r="151" ht="15.75" customHeight="1" thickBot="1">
      <c r="B151" s="34" t="n"/>
      <c r="F151" s="35" t="n"/>
      <c r="G151" s="34" t="n"/>
      <c r="H151" s="35" t="n"/>
      <c r="J151" s="34" t="n"/>
      <c r="N151" s="35" t="n"/>
      <c r="O151" s="34" t="n"/>
      <c r="P151" s="35" t="n"/>
    </row>
    <row r="152" ht="15" customHeight="1" thickBot="1">
      <c r="B152" s="55" t="inlineStr">
        <is>
          <t>Line 5804</t>
        </is>
      </c>
      <c r="C152" s="36">
        <f>(_xlfn.XLOOKUP(ClientNumber,Clients!D:D,Clients!GRC:GRC,2,0,1))</f>
        <v/>
      </c>
      <c r="F152" s="35" t="n"/>
      <c r="G152" s="34" t="n"/>
      <c r="H152" s="35" t="n"/>
      <c r="J152" s="55" t="inlineStr">
        <is>
          <t>Line 5804</t>
        </is>
      </c>
      <c r="K152" s="36">
        <f>(_xlfn.XLOOKUP(MainClient,Clients!D:D,Clients!HRE:HRE,2,0,1))</f>
        <v/>
      </c>
      <c r="N152" s="35" t="n"/>
      <c r="O152" s="34" t="n"/>
      <c r="P152" s="35" t="n"/>
    </row>
    <row r="153" ht="15.75" customHeight="1" thickBot="1">
      <c r="B153" s="55" t="inlineStr">
        <is>
          <t>Line 5824</t>
        </is>
      </c>
      <c r="C153" s="36">
        <f>(_xlfn.XLOOKUP(ClientNumber,Clients!D:D,Clients!GRR:GRR,2,0,1))</f>
        <v/>
      </c>
      <c r="F153" s="35" t="n"/>
      <c r="G153" s="34" t="n"/>
      <c r="H153" s="35" t="n"/>
      <c r="J153" s="55" t="inlineStr">
        <is>
          <t>Line 5824</t>
        </is>
      </c>
      <c r="K153" s="36">
        <f>(_xlfn.XLOOKUP(MainClient,Clients!D:D,Clients!HRT:HRT,2,0,1))</f>
        <v/>
      </c>
      <c r="N153" s="35" t="n"/>
      <c r="O153" s="34" t="n"/>
      <c r="P153" s="35" t="n"/>
    </row>
    <row r="154" ht="15.75" customHeight="1" thickBot="1">
      <c r="B154" s="55" t="inlineStr">
        <is>
          <t>Line 5828</t>
        </is>
      </c>
      <c r="C154" s="36">
        <f>(_xlfn.XLOOKUP(ClientNumber,Clients!D:D,Clients!GRS:GRS,2,0,1))</f>
        <v/>
      </c>
      <c r="F154" s="35" t="n"/>
      <c r="G154" s="34" t="n"/>
      <c r="H154" s="35" t="n"/>
      <c r="J154" s="55" t="inlineStr">
        <is>
          <t>Line 5828</t>
        </is>
      </c>
      <c r="K154" s="36">
        <f>(_xlfn.XLOOKUP(MainClient,Clients!D:D,Clients!HRU:HRU,2,0,1))</f>
        <v/>
      </c>
      <c r="N154" s="35" t="n"/>
      <c r="P154" s="35" t="n"/>
    </row>
    <row r="155" ht="15.75" customHeight="1" thickBot="1">
      <c r="B155" s="55" t="inlineStr">
        <is>
          <t>Line 5832</t>
        </is>
      </c>
      <c r="C155" s="36">
        <f>(_xlfn.XLOOKUP(ClientNumber,Clients!D:D,Clients!GRT:GRT,2,0,1))</f>
        <v/>
      </c>
      <c r="F155" s="35" t="n"/>
      <c r="G155" s="34" t="n"/>
      <c r="H155" s="35" t="n"/>
      <c r="J155" s="55" t="inlineStr">
        <is>
          <t>Line 5832</t>
        </is>
      </c>
      <c r="K155" s="36">
        <f>(_xlfn.XLOOKUP(MainClient,Clients!D:D,Clients!HRV:HRV,2,0,1))</f>
        <v/>
      </c>
      <c r="N155" s="35" t="n"/>
      <c r="O155" s="34" t="n"/>
      <c r="P155" s="35" t="n"/>
    </row>
    <row r="156" ht="15.75" customHeight="1" thickBot="1">
      <c r="B156" s="55" t="inlineStr">
        <is>
          <t>Line 5829</t>
        </is>
      </c>
      <c r="C156" s="36">
        <f>(_xlfn.XLOOKUP(ClientNumber,Clients!D:D,Clients!GRU:GRU,2,0,1))</f>
        <v/>
      </c>
      <c r="F156" s="35" t="n"/>
      <c r="G156" s="34" t="n"/>
      <c r="H156" s="35" t="n"/>
      <c r="J156" s="55" t="inlineStr">
        <is>
          <t>Line 5829</t>
        </is>
      </c>
      <c r="K156" s="36">
        <f>(_xlfn.XLOOKUP(MainClient,Clients!D:D,Clients!HRW:HRW,2,0,1))</f>
        <v/>
      </c>
      <c r="N156" s="35" t="n"/>
      <c r="O156" s="34" t="n"/>
      <c r="P156" s="35" t="n"/>
    </row>
    <row r="157" ht="15.75" customHeight="1" thickBot="1">
      <c r="B157" s="55" t="inlineStr">
        <is>
          <t>Line 5837</t>
        </is>
      </c>
      <c r="C157" s="36">
        <f>(_xlfn.XLOOKUP(ClientNumber,Clients!D:D,Clients!GRU:GRU,2,0,1))</f>
        <v/>
      </c>
      <c r="F157" s="35" t="n"/>
      <c r="G157" s="34" t="n"/>
      <c r="H157" s="35" t="n"/>
      <c r="J157" s="55" t="inlineStr">
        <is>
          <t>Line  5856</t>
        </is>
      </c>
      <c r="K157" s="36">
        <f>(_xlfn.XLOOKUP(MainClient,Clients!D:D,Clients!HSL:HSL,2,0,1))</f>
        <v/>
      </c>
      <c r="N157" s="35" t="n"/>
      <c r="O157" s="34" t="n"/>
      <c r="P157" s="35" t="n"/>
    </row>
    <row r="158" ht="15.75" customHeight="1" thickBot="1">
      <c r="B158" s="55" t="inlineStr">
        <is>
          <t>Line  5856</t>
        </is>
      </c>
      <c r="C158" s="36">
        <f>(_xlfn.XLOOKUP(ClientNumber,Clients!D:D,Clients!GSJ:GSJ,2,0,1))</f>
        <v/>
      </c>
      <c r="F158" s="35" t="n"/>
      <c r="G158" s="34" t="n"/>
      <c r="H158" s="35" t="n"/>
      <c r="J158" s="55" t="n"/>
      <c r="K158" s="36" t="n"/>
      <c r="N158" s="35" t="n"/>
      <c r="O158" s="34" t="n"/>
      <c r="P158" s="35" t="n"/>
    </row>
    <row r="159" ht="15.75" customHeight="1" thickBot="1">
      <c r="B159" s="55" t="n"/>
      <c r="C159" s="36" t="n"/>
      <c r="F159" s="35" t="n"/>
      <c r="G159" s="34" t="n"/>
      <c r="H159" s="35" t="n"/>
      <c r="J159" s="55" t="n"/>
      <c r="K159" s="36" t="n"/>
      <c r="N159" s="35" t="n"/>
      <c r="O159" s="34" t="n"/>
      <c r="P159" s="35" t="n"/>
    </row>
    <row r="160" ht="15.75" customHeight="1" thickBot="1">
      <c r="B160" s="55" t="n"/>
      <c r="C160" s="36" t="n"/>
      <c r="F160" s="35" t="n"/>
      <c r="G160" s="34" t="n"/>
      <c r="H160" s="35" t="n"/>
      <c r="J160" s="55" t="n"/>
      <c r="K160" s="36" t="n"/>
      <c r="N160" s="35" t="n"/>
      <c r="O160" s="34" t="n"/>
      <c r="P160" s="35" t="n"/>
    </row>
    <row r="161" ht="15.75" customHeight="1" thickBot="1">
      <c r="B161" s="55" t="n"/>
      <c r="C161" s="36" t="n"/>
      <c r="F161" s="35" t="n"/>
      <c r="G161" s="34" t="n"/>
      <c r="H161" s="35" t="n"/>
      <c r="J161" s="55" t="n"/>
      <c r="K161" s="36" t="n"/>
      <c r="N161" s="35" t="n"/>
      <c r="O161" s="34" t="n"/>
      <c r="P161" s="35" t="n"/>
    </row>
    <row r="162" ht="15.75" customHeight="1" thickBot="1">
      <c r="B162" s="55" t="n"/>
      <c r="C162" s="36" t="n"/>
      <c r="F162" s="35" t="n"/>
      <c r="G162" s="34" t="inlineStr">
        <is>
          <t>Line 326</t>
        </is>
      </c>
      <c r="H162" s="35">
        <f>IF(TransferName="NONE",0,(_xlfn.XLOOKUP(TransferNumber,Clients!D:D,Clients!GKB:GKB,2,0,1)))</f>
        <v/>
      </c>
      <c r="J162" s="55" t="n"/>
      <c r="K162" s="36" t="n"/>
      <c r="N162" s="35" t="n"/>
      <c r="O162" s="34" t="inlineStr">
        <is>
          <t>Line 326</t>
        </is>
      </c>
      <c r="P162" s="35">
        <f>IFERROR(_xlfn.XLOOKUP(TransferNumber,Clients!D:D,Clients!FJZ:FJZ,2,0,1),0)</f>
        <v/>
      </c>
    </row>
    <row r="163" ht="15.75" customHeight="1" thickBot="1">
      <c r="B163" s="55" t="n"/>
      <c r="C163" s="36" t="n"/>
      <c r="F163" s="35" t="n"/>
      <c r="G163" s="34" t="n"/>
      <c r="H163" s="35" t="n"/>
      <c r="J163" s="38" t="n"/>
      <c r="K163" s="36" t="n"/>
      <c r="N163" s="35" t="n"/>
      <c r="O163" s="34" t="n"/>
      <c r="P163" s="35" t="n"/>
    </row>
    <row r="164" ht="15.75" customHeight="1" thickBot="1">
      <c r="B164" s="38" t="n"/>
      <c r="C164" s="36" t="n"/>
      <c r="F164" s="35" t="n"/>
      <c r="G164" s="34" t="n"/>
      <c r="H164" s="35" t="n"/>
      <c r="J164" s="38" t="n"/>
      <c r="K164" s="36" t="n"/>
      <c r="N164" s="35" t="n"/>
      <c r="O164" s="34" t="n"/>
      <c r="P164" s="35" t="n"/>
    </row>
    <row r="165" ht="15.75" customHeight="1" thickBot="1">
      <c r="B165" s="38" t="n"/>
      <c r="C165" s="36" t="n"/>
      <c r="F165" s="35" t="n"/>
      <c r="G165" s="34" t="n"/>
      <c r="H165" s="35" t="n"/>
      <c r="J165" s="38" t="n"/>
      <c r="K165" s="36" t="n"/>
      <c r="N165" s="35" t="n"/>
      <c r="O165" s="34" t="n"/>
      <c r="P165" s="35" t="n"/>
    </row>
    <row r="166" ht="15.75" customHeight="1" thickBot="1">
      <c r="B166" s="38" t="n"/>
      <c r="C166" s="36" t="n"/>
      <c r="F166" s="35" t="n"/>
      <c r="G166" s="34" t="n"/>
      <c r="H166" s="35">
        <f>IF(E171&gt;0,E148-G148,0)</f>
        <v/>
      </c>
      <c r="J166" s="38" t="n"/>
      <c r="K166" s="36" t="n"/>
      <c r="N166" s="35" t="n"/>
      <c r="O166" s="34" t="n"/>
      <c r="P166" s="35">
        <f>IF(M171&gt;0,M148-O148,0)</f>
        <v/>
      </c>
    </row>
    <row r="167" ht="15.75" customHeight="1" thickBot="1">
      <c r="B167" s="38" t="n"/>
      <c r="C167" s="36" t="n"/>
      <c r="F167" s="35" t="n"/>
      <c r="H167" s="65">
        <f>IF(TransferName="NONE",F172,IF(H166&gt;0,(E171-G148)*0.098,0))</f>
        <v/>
      </c>
      <c r="J167" s="38" t="n"/>
      <c r="K167" s="36" t="n"/>
      <c r="N167" s="35" t="n"/>
      <c r="P167" s="65">
        <f>IF(TransferName="NONE",N172,IF(P166&gt;0,(M171-O148)*0.098,0))</f>
        <v/>
      </c>
    </row>
    <row r="168">
      <c r="B168" s="667" t="n"/>
      <c r="F168" s="35" t="n"/>
      <c r="G168" s="34" t="inlineStr">
        <is>
          <t>Transferable</t>
        </is>
      </c>
      <c r="H168" s="65">
        <f>IF(H167&gt;0,H167,0)</f>
        <v/>
      </c>
      <c r="J168" s="667" t="n"/>
      <c r="N168" s="35" t="n"/>
      <c r="O168" s="34" t="inlineStr">
        <is>
          <t>Transferable</t>
        </is>
      </c>
      <c r="P168" s="65">
        <f>IF(P167&gt;0,P167,0)</f>
        <v/>
      </c>
    </row>
    <row r="169">
      <c r="B169" s="667" t="inlineStr">
        <is>
          <t>Adjusted Taxable Income</t>
        </is>
      </c>
      <c r="C169">
        <f>C150-(SUM(C152:C167))</f>
        <v/>
      </c>
      <c r="D169" s="13" t="inlineStr">
        <is>
          <t>Line 5864</t>
        </is>
      </c>
      <c r="E169" s="39">
        <f>IF(C169&gt;0,C169,0)</f>
        <v/>
      </c>
      <c r="F169" s="35" t="n"/>
      <c r="G169" s="34" t="n"/>
      <c r="H169" s="35" t="n"/>
      <c r="J169" s="667" t="inlineStr">
        <is>
          <t>Adjusted Taxable Income</t>
        </is>
      </c>
      <c r="K169">
        <f>K150-(SUM(K152:K167))</f>
        <v/>
      </c>
      <c r="L169" s="13" t="inlineStr">
        <is>
          <t>Line 5864</t>
        </is>
      </c>
      <c r="M169" s="39">
        <f>IF(K169&gt;0,K169,0)</f>
        <v/>
      </c>
      <c r="N169" s="35" t="n"/>
      <c r="O169" s="34" t="n"/>
      <c r="P169" s="35" t="n"/>
    </row>
    <row r="170" ht="15.75" customHeight="1" thickBot="1">
      <c r="B170" s="34" t="n"/>
      <c r="F170" s="35" t="n"/>
      <c r="G170" s="34" t="n"/>
      <c r="H170" s="35" t="n"/>
      <c r="J170" s="34" t="n"/>
      <c r="N170" s="35" t="n"/>
      <c r="O170" s="34" t="n"/>
      <c r="P170" s="35" t="n"/>
    </row>
    <row r="171" ht="15.75" customHeight="1" thickBot="1">
      <c r="B171" s="34" t="n"/>
      <c r="D171" s="21" t="inlineStr">
        <is>
          <t>Prov Trans</t>
        </is>
      </c>
      <c r="E171" s="36">
        <f>(E148-E169)</f>
        <v/>
      </c>
      <c r="F171" s="40" t="n"/>
      <c r="G171" s="34" t="n"/>
      <c r="H171" s="52" t="n"/>
      <c r="J171" s="34" t="n"/>
      <c r="L171" s="21" t="inlineStr">
        <is>
          <t>Prov Trans</t>
        </is>
      </c>
      <c r="M171" s="36">
        <f>(M148-M169)</f>
        <v/>
      </c>
      <c r="N171" s="40" t="n"/>
      <c r="O171" s="34" t="n"/>
      <c r="P171" s="52" t="n"/>
    </row>
    <row r="172" ht="15.75" customHeight="1" thickBot="1">
      <c r="B172" s="34" t="n"/>
      <c r="C172" s="579" t="inlineStr">
        <is>
          <t>DTC Transferable ESTIMATE</t>
        </is>
      </c>
      <c r="D172" s="35" t="n"/>
      <c r="E172" s="36">
        <f>IF(E171&lt;0,0,(IF(E171&gt;E146,E146,E171)))</f>
        <v/>
      </c>
      <c r="F172" s="40">
        <f>IF(E172&gt;0,E172*0.098,"No Transfer Required")</f>
        <v/>
      </c>
      <c r="G172" s="58" t="n"/>
      <c r="H172" s="52" t="n"/>
      <c r="J172" s="34" t="n"/>
      <c r="K172" s="579" t="inlineStr">
        <is>
          <t>DTC Transferable ESTIMATE</t>
        </is>
      </c>
      <c r="L172" s="35" t="n"/>
      <c r="M172" s="36">
        <f>IF(M171&lt;0,0,(IF(M171&gt;M146,M146,M171)))</f>
        <v/>
      </c>
      <c r="N172" s="40">
        <f>IF(M172&gt;0,M172*0.098,"No Transfer Required")</f>
        <v/>
      </c>
      <c r="O172" s="58" t="n"/>
      <c r="P172" s="52" t="n"/>
    </row>
    <row r="173" ht="15.75" customHeight="1" thickBot="1">
      <c r="B173" s="42" t="n"/>
      <c r="C173" s="41" t="n"/>
      <c r="D173" s="43" t="inlineStr">
        <is>
          <t>Net Transferable</t>
        </is>
      </c>
      <c r="E173" s="36">
        <f>IF(E171&lt;0,0,(IF(E171-G144-G145-G147&lt;0,E171,(E171-G144-G145-G147))))</f>
        <v/>
      </c>
      <c r="F173" s="57">
        <f>IF(E173&gt;0,E173*0.098,"0")</f>
        <v/>
      </c>
      <c r="G173" s="59" t="n"/>
      <c r="H173" s="864" t="n"/>
      <c r="J173" s="42" t="n"/>
      <c r="K173" s="41" t="n"/>
      <c r="L173" s="43" t="inlineStr">
        <is>
          <t>Net Transferable</t>
        </is>
      </c>
      <c r="M173" s="36">
        <f>IF(M171&lt;0,0,(IF(M171-O144-O145-O147&lt;0,M171,(M171-O144-O145-O147))))</f>
        <v/>
      </c>
      <c r="N173" s="57">
        <f>IF(M173&gt;0,M173*0.098,"0")</f>
        <v/>
      </c>
      <c r="O173" s="59" t="n"/>
      <c r="P173" s="864" t="n"/>
    </row>
    <row r="174">
      <c r="D174" s="60" t="n"/>
      <c r="F174" s="61" t="n"/>
      <c r="G174" s="449" t="n"/>
      <c r="H174" s="866" t="n"/>
      <c r="L174" s="60" t="n"/>
      <c r="N174" s="866" t="n"/>
      <c r="O174" s="64" t="n"/>
      <c r="P174" s="866" t="n"/>
    </row>
    <row r="175" ht="15.75" customHeight="1" thickBot="1">
      <c r="E175">
        <f>Calculator!$D$5</f>
        <v/>
      </c>
      <c r="H175">
        <f>TransferName</f>
        <v/>
      </c>
      <c r="M175">
        <f>Calculator!$D$5</f>
        <v/>
      </c>
      <c r="P175">
        <f>TransferName</f>
        <v/>
      </c>
    </row>
    <row r="176" ht="15.75" customHeight="1" thickBot="1">
      <c r="B176" s="868" t="inlineStr">
        <is>
          <t>2014 PRINCE EDWARD ISLAND Provincial</t>
        </is>
      </c>
      <c r="C176" s="778" t="n"/>
      <c r="D176" s="778" t="n"/>
      <c r="E176" s="778" t="n"/>
      <c r="F176" s="778" t="n"/>
      <c r="G176" s="778" t="n"/>
      <c r="H176" s="780" t="n"/>
      <c r="J176" s="868" t="inlineStr">
        <is>
          <t>2013 PRINCE EDWARD ISLAND Provincial</t>
        </is>
      </c>
      <c r="K176" s="778" t="n"/>
      <c r="L176" s="778" t="n"/>
      <c r="M176" s="778" t="n"/>
      <c r="N176" s="778" t="n"/>
      <c r="O176" s="778" t="n"/>
      <c r="P176" s="780" t="n"/>
    </row>
    <row r="177" ht="15.75" customHeight="1" thickBot="1">
      <c r="B177" s="34" t="n"/>
      <c r="D177" t="inlineStr">
        <is>
          <t>Line</t>
        </is>
      </c>
      <c r="E177" t="inlineStr">
        <is>
          <t>Amt</t>
        </is>
      </c>
      <c r="F177" s="35" t="n"/>
      <c r="G177" s="667" t="inlineStr">
        <is>
          <t>Spouse</t>
        </is>
      </c>
      <c r="H177" s="35" t="inlineStr">
        <is>
          <t>S2 Adjustment</t>
        </is>
      </c>
      <c r="J177" s="34" t="n"/>
      <c r="L177" t="inlineStr">
        <is>
          <t>Line</t>
        </is>
      </c>
      <c r="M177" t="inlineStr">
        <is>
          <t>Amt</t>
        </is>
      </c>
      <c r="N177" s="35" t="n"/>
      <c r="O177" s="34" t="inlineStr">
        <is>
          <t>Spouse</t>
        </is>
      </c>
      <c r="P177" s="35" t="inlineStr">
        <is>
          <t>S2 Adjustment</t>
        </is>
      </c>
    </row>
    <row r="178" ht="15.75" customHeight="1" thickBot="1">
      <c r="B178" s="667" t="inlineStr">
        <is>
          <t>Age Amount</t>
        </is>
      </c>
      <c r="D178" t="inlineStr">
        <is>
          <t>Line 5808</t>
        </is>
      </c>
      <c r="E178" s="861">
        <f>(_xlfn.XLOOKUP(ClientNumber,Clients!D:D,Clients!IRH:IRH,2,0,1))</f>
        <v/>
      </c>
      <c r="F178" s="37" t="inlineStr">
        <is>
          <t>Line 59020</t>
        </is>
      </c>
      <c r="G178" s="51">
        <f>IF(TransferName="NONE",0,(_xlfn.XLOOKUP(TransferNumber,Clients!D:D,Clients!ITJ:ITJ,2,0,1)))</f>
        <v/>
      </c>
      <c r="H178" s="37">
        <f>IF(AND(E178&gt;0,G178=0),"Age Amount Can Be Transferred","No Action")</f>
        <v/>
      </c>
      <c r="J178" s="667" t="inlineStr">
        <is>
          <t>Age Amount</t>
        </is>
      </c>
      <c r="L178" t="inlineStr">
        <is>
          <t>Line 5808</t>
        </is>
      </c>
      <c r="M178" s="865">
        <f>(_xlfn.XLOOKUP(MainClient,Clients!D:D,Clients!JRJ:JRJ,2,0,1))</f>
        <v/>
      </c>
      <c r="N178" s="45" t="inlineStr">
        <is>
          <t>Line 59020</t>
        </is>
      </c>
      <c r="O178" s="51">
        <f>IF(TransferName="NONE",0,(_xlfn.XLOOKUP(TransferNumber,Clients!D:D,Clients!JTL:JTL,2,0,1)))</f>
        <v/>
      </c>
      <c r="P178" s="37">
        <f>IF(AND(M178&gt;0,O178=0),"Age Amount Can Be Transferred","No Action")</f>
        <v/>
      </c>
    </row>
    <row r="179" ht="15.75" customHeight="1" thickBot="1">
      <c r="B179" s="667" t="inlineStr">
        <is>
          <t>Pension Income Amount</t>
        </is>
      </c>
      <c r="D179" t="inlineStr">
        <is>
          <t>Line 5836 (mx 1000)</t>
        </is>
      </c>
      <c r="E179" s="861">
        <f>IF((_xlfn.XLOOKUP(ClientNumber,Clients!D:D,Clients!ISH:ISH,2,0,1)&lt;1000),(_xlfn.XLOOKUP(MainClient,Clients!D:D,Clients!ISH:ISH,2,0,1)),1000)</f>
        <v/>
      </c>
      <c r="F179" s="37" t="inlineStr">
        <is>
          <t>Line 59050</t>
        </is>
      </c>
      <c r="G179" s="51">
        <f>IF(TransferName="NONE",0,(_xlfn.XLOOKUP(TransferNumber,Clients!D:D,Clients!ITM:ITM,2,0,1)))</f>
        <v/>
      </c>
      <c r="H179" s="37">
        <f>IF(AND(E179&gt;0,G179=0),"Pension Income Amount Can Be Transferred","No Action")</f>
        <v/>
      </c>
      <c r="J179" s="667" t="inlineStr">
        <is>
          <t>Pension Income Amount</t>
        </is>
      </c>
      <c r="L179" t="inlineStr">
        <is>
          <t>Line 5836 (mx 1000)</t>
        </is>
      </c>
      <c r="M179" s="865">
        <f>IF((_xlfn.XLOOKUP(ClientNumber,Clients!D:D,Clients!JSJ:JSJ,2,0,1)&lt;1000),(_xlfn.XLOOKUP(MainClient,Clients!D:D,Clients!JSJ:JSJ,2,0,1)),1000)</f>
        <v/>
      </c>
      <c r="N179" s="45" t="inlineStr">
        <is>
          <t>Line 59050</t>
        </is>
      </c>
      <c r="O179" s="51">
        <f>IF(TransferName="NONE",0,(_xlfn.XLOOKUP(TransferNumber,Clients!D:D,Clients!JTO:JTO,2,0,1)))</f>
        <v/>
      </c>
      <c r="P179" s="37">
        <f>IF(AND(M179&gt;0,O179=0),"Pension Income Amount Can Be Transferred","No Action")</f>
        <v/>
      </c>
    </row>
    <row r="180" ht="15.75" customHeight="1" thickBot="1">
      <c r="B180" s="667" t="inlineStr">
        <is>
          <t>Disability Amount</t>
        </is>
      </c>
      <c r="D180" t="inlineStr">
        <is>
          <t>Line 5844</t>
        </is>
      </c>
      <c r="E180" s="861">
        <f>IF(_xlfn.XLOOKUP(ClientNumber,Clients!D:D,Clients!ISJ:ISJ,2,0,1)=0,6890,(_xlfn.XLOOKUP(MainClient,Clients!D:D,Clients!ISJ:ISJ,2,0,1)))</f>
        <v/>
      </c>
      <c r="F180" s="37" t="inlineStr">
        <is>
          <t>Line 59070</t>
        </is>
      </c>
      <c r="G180" s="51">
        <f>IF(TransferName="NONE",0,(_xlfn.XLOOKUP(TransferNumber,Clients!D:D,Clients!ITN:ITN,2,0,1)))</f>
        <v/>
      </c>
      <c r="H180" s="37">
        <f>IF(AND(E180&gt;0,G180=0),"DTC Transferable Not Claimed Can Be Transferred","No Action")</f>
        <v/>
      </c>
      <c r="J180" s="667" t="inlineStr">
        <is>
          <t>Disability Amount</t>
        </is>
      </c>
      <c r="L180" t="inlineStr">
        <is>
          <t>Line 5844</t>
        </is>
      </c>
      <c r="M180" s="865">
        <f>IF(_xlfn.XLOOKUP(ClientNumber,Clients!D:D,Clients!JSL:JSL,2,0,1)=0,6890,(_xlfn.XLOOKUP(MainClient,Clients!D:D,Clients!JSL:JSL,2,0,1)))</f>
        <v/>
      </c>
      <c r="N180" s="45" t="inlineStr">
        <is>
          <t>Line 59070</t>
        </is>
      </c>
      <c r="O180" s="51">
        <f>IF(TransferName="NONE",0,(_xlfn.XLOOKUP(TransferNumber,Clients!D:D,Clients!JTP:JTP,2,0,1)))</f>
        <v/>
      </c>
      <c r="P180" s="37">
        <f>IF(AND(M180&gt;0,O180=0),"DTC Transferable Not Claimed Can Be Transferred","No Action")</f>
        <v/>
      </c>
    </row>
    <row r="181" ht="15.75" customHeight="1" thickBot="1">
      <c r="B181" s="667" t="inlineStr">
        <is>
          <t>Tuition Amount</t>
        </is>
      </c>
      <c r="D181" t="inlineStr">
        <is>
          <t>Line 5920</t>
        </is>
      </c>
      <c r="E181" s="861">
        <f>(_xlfn.XLOOKUP(ClientNumber,Clients!D:D,Clients!ITX:ITX,2,0,1))</f>
        <v/>
      </c>
      <c r="F181" s="37" t="inlineStr">
        <is>
          <t>Line 59090</t>
        </is>
      </c>
      <c r="G181" s="51">
        <f>IF(TransferName="NONE",0,(_xlfn.XLOOKUP(TransferNumber,Clients!D:D,Clients!ITO:ITO,2,0,1)))</f>
        <v/>
      </c>
      <c r="H181" s="37">
        <f>IF(AND(E181&gt;0,G181=0),"Tuition Can Be Transferred","No Action")</f>
        <v/>
      </c>
      <c r="J181" s="667" t="inlineStr">
        <is>
          <t>Tuition Amount</t>
        </is>
      </c>
      <c r="L181" t="inlineStr">
        <is>
          <t>Line 5920</t>
        </is>
      </c>
      <c r="M181" s="865">
        <f>(_xlfn.XLOOKUP(MainClient,Clients!D:D,Clients!JTZ:JTZ,2,0,1))</f>
        <v/>
      </c>
      <c r="N181" s="45" t="inlineStr">
        <is>
          <t>Line 59090</t>
        </is>
      </c>
      <c r="O181" s="51">
        <f>IF(TransferName="NONE",0,(_xlfn.XLOOKUP(TransferNumber,Clients!D:D,Clients!JTR:JTR,2,0,1)))</f>
        <v/>
      </c>
      <c r="P181" s="37">
        <f>IF(AND(M181&gt;0,O181=0),"Tuition Can Be Transferred","No Action")</f>
        <v/>
      </c>
    </row>
    <row r="182">
      <c r="B182" s="667" t="n"/>
      <c r="E182" s="771">
        <f>SUM(E178:E181)</f>
        <v/>
      </c>
      <c r="F182" s="37" t="n"/>
      <c r="G182" s="667">
        <f>SUM(G178:G181)</f>
        <v/>
      </c>
      <c r="H182" s="37" t="n"/>
      <c r="J182" s="667" t="n"/>
      <c r="M182" s="872">
        <f>SUM(M178:M181)</f>
        <v/>
      </c>
      <c r="N182" s="37" t="n"/>
      <c r="O182" s="667">
        <f>SUM(O178:O181)</f>
        <v/>
      </c>
      <c r="P182" s="37" t="n"/>
    </row>
    <row r="183" ht="15.75" customHeight="1" thickBot="1">
      <c r="B183" s="34" t="n"/>
      <c r="F183" s="35" t="n"/>
      <c r="G183" s="667" t="n"/>
      <c r="H183" s="35" t="n"/>
      <c r="J183" s="34" t="n"/>
      <c r="N183" s="35" t="n"/>
      <c r="O183" s="667" t="n"/>
      <c r="P183" s="35" t="n"/>
    </row>
    <row r="184" ht="15.75" customHeight="1" thickBot="1">
      <c r="B184" s="667" t="inlineStr">
        <is>
          <t>Line 260</t>
        </is>
      </c>
      <c r="C184" s="36">
        <f>(_xlfn.XLOOKUP(MainClient,Clients!D:D,Clients!IJG:IJG,2,0,1))</f>
        <v/>
      </c>
      <c r="F184" s="35" t="n"/>
      <c r="G184" s="34">
        <f>IF(E207&gt;E180,"other transferable credits","DTC Only")</f>
        <v/>
      </c>
      <c r="H184" s="35" t="n"/>
      <c r="J184" s="667" t="inlineStr">
        <is>
          <t>Line 260</t>
        </is>
      </c>
      <c r="K184" s="36">
        <f>(_xlfn.XLOOKUP(MainClient,Clients!D:D,Clients!JJI:JJI,2,0,1))</f>
        <v/>
      </c>
      <c r="N184" s="35" t="n"/>
      <c r="O184" s="34">
        <f>IF(M207&gt;M180,"other transferable credits","DTC Only")</f>
        <v/>
      </c>
      <c r="P184" s="35" t="n"/>
    </row>
    <row r="185" ht="15.75" customHeight="1" thickBot="1">
      <c r="B185" s="34" t="n"/>
      <c r="F185" s="35" t="n"/>
      <c r="G185" s="34" t="n"/>
      <c r="H185" s="35" t="n"/>
      <c r="J185" s="34" t="n"/>
      <c r="N185" s="35" t="n"/>
      <c r="O185" s="34" t="n"/>
      <c r="P185" s="35" t="n"/>
    </row>
    <row r="186" ht="15.75" customHeight="1" thickBot="1">
      <c r="B186" s="55" t="inlineStr">
        <is>
          <t>Line 5804</t>
        </is>
      </c>
      <c r="C186" s="36">
        <f>(_xlfn.XLOOKUP(ClientNumber,Clients!D:D,Clients!IRG:IRG,2,0,1))</f>
        <v/>
      </c>
      <c r="F186" s="35" t="n"/>
      <c r="G186" s="34" t="n"/>
      <c r="H186" s="35" t="n"/>
      <c r="J186" s="55" t="inlineStr">
        <is>
          <t>Line 5804</t>
        </is>
      </c>
      <c r="K186" s="36">
        <f>(_xlfn.XLOOKUP(MainClient,Clients!D:D,Clients!JRI:JRI,2,0,1))</f>
        <v/>
      </c>
      <c r="N186" s="35" t="n"/>
      <c r="O186" s="34" t="n"/>
      <c r="P186" s="35" t="n"/>
    </row>
    <row r="187" ht="15.75" customHeight="1" thickBot="1">
      <c r="B187" s="55" t="inlineStr">
        <is>
          <t>Line 5824</t>
        </is>
      </c>
      <c r="C187" s="36">
        <f>(_xlfn.XLOOKUP(ClientNumber,Clients!D:D,Clients!IRV:IRV,2,0,1))</f>
        <v/>
      </c>
      <c r="F187" s="35" t="n"/>
      <c r="G187" s="34" t="n"/>
      <c r="H187" s="35" t="n"/>
      <c r="J187" s="55" t="inlineStr">
        <is>
          <t>Line 5824</t>
        </is>
      </c>
      <c r="K187" s="36">
        <f>(_xlfn.XLOOKUP(MainClient,Clients!D:D,Clients!JRX:JRX,2,0,1))</f>
        <v/>
      </c>
      <c r="N187" s="35" t="n"/>
      <c r="O187" s="34" t="n"/>
      <c r="P187" s="35" t="n"/>
    </row>
    <row r="188" ht="15.75" customHeight="1" thickBot="1">
      <c r="B188" s="55" t="inlineStr">
        <is>
          <t>Line 5828</t>
        </is>
      </c>
      <c r="C188" s="36">
        <f>(_xlfn.XLOOKUP(ClientNumber,Clients!D:D,Clients!IRW:IRW,2,0,1))</f>
        <v/>
      </c>
      <c r="F188" s="35" t="n"/>
      <c r="G188" s="34" t="n"/>
      <c r="H188" s="35" t="n"/>
      <c r="J188" s="55" t="inlineStr">
        <is>
          <t>Line 5828</t>
        </is>
      </c>
      <c r="K188" s="36">
        <f>(_xlfn.XLOOKUP(MainClient,Clients!D:D,Clients!JRY:JRY,2,0,1))</f>
        <v/>
      </c>
      <c r="N188" s="35" t="n"/>
      <c r="P188" s="35" t="n"/>
    </row>
    <row r="189" ht="15.75" customHeight="1" thickBot="1">
      <c r="B189" s="55" t="inlineStr">
        <is>
          <t>Line 5832</t>
        </is>
      </c>
      <c r="C189" s="36">
        <f>(_xlfn.XLOOKUP(ClientNumber,Clients!D:D,Clients!IRX:IRX,2,0,1))</f>
        <v/>
      </c>
      <c r="F189" s="35" t="n"/>
      <c r="G189" s="34" t="n"/>
      <c r="H189" s="35" t="n"/>
      <c r="J189" s="55" t="inlineStr">
        <is>
          <t>Line 5832</t>
        </is>
      </c>
      <c r="K189" s="36">
        <f>(_xlfn.XLOOKUP(MainClient,Clients!D:D,Clients!JRZ:JRZ,2,0,1))</f>
        <v/>
      </c>
      <c r="N189" s="35" t="n"/>
      <c r="O189" s="34" t="n"/>
      <c r="P189" s="35" t="n"/>
    </row>
    <row r="190" ht="15.75" customHeight="1" thickBot="1">
      <c r="B190" s="55" t="inlineStr">
        <is>
          <t>Line 5829</t>
        </is>
      </c>
      <c r="C190" s="36">
        <f>(_xlfn.XLOOKUP(ClientNumber,Clients!D:D,Clients!IRY:IRY,2,0,1))</f>
        <v/>
      </c>
      <c r="F190" s="35" t="n"/>
      <c r="G190" s="34" t="n"/>
      <c r="H190" s="35" t="n"/>
      <c r="J190" s="55" t="inlineStr">
        <is>
          <t>Line 5829</t>
        </is>
      </c>
      <c r="K190" s="36">
        <f>(_xlfn.XLOOKUP(MainClient,Clients!D:D,Clients!JSA:JSA,2,0,1))</f>
        <v/>
      </c>
      <c r="N190" s="35" t="n"/>
      <c r="O190" s="34" t="n"/>
      <c r="P190" s="35" t="n"/>
    </row>
    <row r="191" ht="15.75" customHeight="1" thickBot="1">
      <c r="B191" s="55" t="inlineStr">
        <is>
          <t>Line 5856</t>
        </is>
      </c>
      <c r="C191" s="36">
        <f>(_xlfn.XLOOKUP(ClientNumber,Clients!D:D,Clients!ISN:ISN,2,0,1))</f>
        <v/>
      </c>
      <c r="F191" s="35" t="n"/>
      <c r="G191" s="34" t="n"/>
      <c r="H191" s="35" t="n"/>
      <c r="J191" s="55" t="inlineStr">
        <is>
          <t>Line 5856</t>
        </is>
      </c>
      <c r="K191" s="36">
        <f>(_xlfn.XLOOKUP(MainClient,Clients!D:D,Clients!JSP:JSP,2,0,1))</f>
        <v/>
      </c>
      <c r="N191" s="35" t="n"/>
      <c r="O191" s="34" t="n"/>
      <c r="P191" s="35" t="n"/>
    </row>
    <row r="192" ht="15.75" customHeight="1" thickBot="1">
      <c r="B192" s="55" t="n"/>
      <c r="C192" s="36" t="n"/>
      <c r="F192" s="35" t="n"/>
      <c r="G192" s="34" t="n"/>
      <c r="H192" s="35" t="n"/>
      <c r="J192" s="55" t="n"/>
      <c r="K192" s="36" t="n"/>
      <c r="N192" s="35" t="n"/>
      <c r="O192" s="34" t="n"/>
      <c r="P192" s="35" t="n"/>
    </row>
    <row r="193" ht="15.75" customHeight="1" thickBot="1">
      <c r="B193" s="55" t="n"/>
      <c r="C193" s="36" t="n"/>
      <c r="F193" s="35" t="n"/>
      <c r="G193" s="34" t="n"/>
      <c r="H193" s="35" t="n"/>
      <c r="J193" s="55" t="n"/>
      <c r="K193" s="36" t="n"/>
      <c r="N193" s="35" t="n"/>
      <c r="O193" s="34" t="n"/>
      <c r="P193" s="35" t="n"/>
    </row>
    <row r="194" ht="15.75" customHeight="1" thickBot="1">
      <c r="B194" s="55" t="n"/>
      <c r="C194" s="36" t="n"/>
      <c r="F194" s="35" t="n"/>
      <c r="G194" s="34" t="n"/>
      <c r="H194" s="35" t="n"/>
      <c r="J194" s="55" t="n"/>
      <c r="K194" s="36" t="n"/>
      <c r="N194" s="35" t="n"/>
      <c r="O194" s="34" t="n"/>
      <c r="P194" s="35" t="n"/>
    </row>
    <row r="195" ht="15.75" customHeight="1" thickBot="1">
      <c r="B195" s="68" t="n"/>
      <c r="C195" s="36" t="n"/>
      <c r="F195" s="35" t="n"/>
      <c r="G195" s="34" t="n"/>
      <c r="H195" s="35" t="n"/>
      <c r="J195" s="55" t="n"/>
      <c r="K195" s="36" t="n"/>
      <c r="N195" s="35" t="n"/>
      <c r="O195" s="34" t="n"/>
      <c r="P195" s="35" t="n"/>
    </row>
    <row r="196" ht="15.75" customHeight="1" thickBot="1">
      <c r="B196" s="38" t="n"/>
      <c r="C196" s="36" t="n"/>
      <c r="F196" s="35" t="n"/>
      <c r="G196" s="34" t="inlineStr">
        <is>
          <t>Line 326</t>
        </is>
      </c>
      <c r="H196" s="35">
        <f>IF(TransferName="NONE",0,(_xlfn.XLOOKUP(TransferNumber,Clients!D:D,Clients!IKF:IKF,2,0,1)))</f>
        <v/>
      </c>
      <c r="J196" s="38" t="n"/>
      <c r="K196" s="36" t="n"/>
      <c r="N196" s="35" t="n"/>
      <c r="O196" s="34" t="inlineStr">
        <is>
          <t>Line 326</t>
        </is>
      </c>
      <c r="P196" s="35">
        <f>IFERROR(_xlfn.XLOOKUP(TransferNumber,Clients!D:D,Clients!JKH:JKH,2,0,1),0)</f>
        <v/>
      </c>
    </row>
    <row r="197" ht="15.75" customHeight="1" thickBot="1">
      <c r="A197" s="55" t="n"/>
      <c r="B197" s="38" t="n"/>
      <c r="C197" s="36" t="n"/>
      <c r="F197" s="35" t="n"/>
      <c r="G197" s="34" t="n"/>
      <c r="H197" s="35" t="n"/>
      <c r="J197" s="68" t="n"/>
      <c r="K197" s="36" t="n"/>
      <c r="N197" s="35" t="n"/>
      <c r="O197" s="34" t="n"/>
      <c r="P197" s="35" t="n"/>
    </row>
    <row r="198" ht="15.75" customHeight="1" thickBot="1">
      <c r="B198" s="38" t="n"/>
      <c r="C198" s="36" t="n"/>
      <c r="F198" s="35" t="n"/>
      <c r="G198" s="34" t="n"/>
      <c r="H198" s="35" t="n"/>
      <c r="J198" s="38" t="n"/>
      <c r="K198" s="36" t="n"/>
      <c r="N198" s="35" t="n"/>
      <c r="O198" s="34" t="n"/>
      <c r="P198" s="35" t="n"/>
    </row>
    <row r="199" ht="15.75" customHeight="1" thickBot="1">
      <c r="B199" s="38" t="n"/>
      <c r="C199" s="36" t="n"/>
      <c r="F199" s="35" t="n"/>
      <c r="G199" s="34" t="n"/>
      <c r="H199" s="35" t="n"/>
      <c r="J199" s="38" t="n"/>
      <c r="K199" s="36" t="n"/>
      <c r="N199" s="35" t="n"/>
      <c r="O199" s="34" t="n"/>
      <c r="P199" s="35" t="n"/>
    </row>
    <row r="200" ht="15.75" customHeight="1" thickBot="1">
      <c r="B200" s="38" t="n"/>
      <c r="C200" s="36" t="n"/>
      <c r="F200" s="35" t="n"/>
      <c r="G200" s="34" t="n"/>
      <c r="H200" s="35">
        <f>IF(E205&gt;0,E182-G182,0)</f>
        <v/>
      </c>
      <c r="J200" s="38" t="n"/>
      <c r="K200" s="36" t="n"/>
      <c r="N200" s="35" t="n"/>
      <c r="O200" s="34" t="n"/>
      <c r="P200" s="35">
        <f>IF(M205&gt;0,M182-O182,0)</f>
        <v/>
      </c>
    </row>
    <row r="201" ht="15.75" customHeight="1" thickBot="1">
      <c r="B201" s="38" t="n"/>
      <c r="C201" s="36" t="n"/>
      <c r="F201" s="35" t="n"/>
      <c r="H201" s="52">
        <f>IF(TransferName="NONE",F206,IF(H200&gt;0,(E205-G182)*0.098,0))</f>
        <v/>
      </c>
      <c r="J201" s="38" t="n"/>
      <c r="K201" s="36" t="n"/>
      <c r="N201" s="35" t="n"/>
      <c r="P201" s="52">
        <f>IF(TransferName="NONE",N206,IF(P200&gt;0,(M205-O182)*0.098,0))</f>
        <v/>
      </c>
    </row>
    <row r="202">
      <c r="B202" s="667" t="n"/>
      <c r="F202" s="35" t="n"/>
      <c r="G202" s="34" t="inlineStr">
        <is>
          <t>Transferable</t>
        </is>
      </c>
      <c r="H202" s="52">
        <f>IF(H201&gt;0,H201,0)</f>
        <v/>
      </c>
      <c r="J202" s="667" t="n"/>
      <c r="N202" s="35" t="n"/>
      <c r="O202" s="34" t="inlineStr">
        <is>
          <t>Transferable</t>
        </is>
      </c>
      <c r="P202" s="52">
        <f>IF(P201&gt;0,P201,0)</f>
        <v/>
      </c>
    </row>
    <row r="203">
      <c r="B203" s="667" t="inlineStr">
        <is>
          <t>Adjusted Taxable Income</t>
        </is>
      </c>
      <c r="C203">
        <f>C184-(SUM(C186:C201))</f>
        <v/>
      </c>
      <c r="D203" s="13" t="inlineStr">
        <is>
          <t>Line 5864</t>
        </is>
      </c>
      <c r="E203" s="39">
        <f>IF(C203&gt;0,C203,0)</f>
        <v/>
      </c>
      <c r="F203" s="35" t="n"/>
      <c r="G203" s="34" t="n"/>
      <c r="H203" s="35" t="n"/>
      <c r="J203" s="667" t="inlineStr">
        <is>
          <t>Adjusted Taxable Income</t>
        </is>
      </c>
      <c r="K203">
        <f>K184-(SUM(K186:K201))</f>
        <v/>
      </c>
      <c r="L203" s="13" t="inlineStr">
        <is>
          <t>Line 5864</t>
        </is>
      </c>
      <c r="M203" s="39">
        <f>IF(K203&gt;0,K203,0)</f>
        <v/>
      </c>
      <c r="N203" s="35" t="n"/>
      <c r="O203" s="34" t="n"/>
      <c r="P203" s="35" t="n"/>
    </row>
    <row r="204" ht="15.75" customHeight="1" thickBot="1">
      <c r="B204" s="34" t="n"/>
      <c r="F204" s="35" t="n"/>
      <c r="G204" s="34" t="n"/>
      <c r="H204" s="35" t="n"/>
      <c r="J204" s="34" t="n"/>
      <c r="N204" s="35" t="n"/>
      <c r="O204" s="34" t="n"/>
      <c r="P204" s="35" t="n"/>
    </row>
    <row r="205" ht="15.75" customHeight="1" thickBot="1">
      <c r="B205" s="34" t="n"/>
      <c r="D205" s="21" t="inlineStr">
        <is>
          <t>Prov Trans</t>
        </is>
      </c>
      <c r="E205" s="36">
        <f>(E182-E203)</f>
        <v/>
      </c>
      <c r="F205" s="40" t="n"/>
      <c r="G205" s="34" t="n"/>
      <c r="H205" s="52" t="n"/>
      <c r="J205" s="34" t="n"/>
      <c r="L205" s="21" t="inlineStr">
        <is>
          <t>Prov Trans</t>
        </is>
      </c>
      <c r="M205" s="36">
        <f>(M182-M203)</f>
        <v/>
      </c>
      <c r="N205" s="40" t="n"/>
      <c r="O205" s="34" t="n"/>
      <c r="P205" s="52" t="n"/>
    </row>
    <row r="206" ht="15.75" customHeight="1" thickBot="1">
      <c r="B206" s="34" t="n"/>
      <c r="C206" s="579" t="inlineStr">
        <is>
          <t>DTC Transferable ESTIMATE</t>
        </is>
      </c>
      <c r="D206" s="35" t="n"/>
      <c r="E206" s="36">
        <f>IF(E205&lt;0,0,(IF(E205&gt;E180,E180,E205)))</f>
        <v/>
      </c>
      <c r="F206" s="40">
        <f>IF(E206&gt;0,E206*0.098,"No Transfer Required")</f>
        <v/>
      </c>
      <c r="G206" s="58" t="n"/>
      <c r="H206" s="52" t="n"/>
      <c r="J206" s="34" t="n"/>
      <c r="K206" s="579" t="inlineStr">
        <is>
          <t>DTC Transferable ESTIMATE</t>
        </is>
      </c>
      <c r="L206" s="35" t="n"/>
      <c r="M206" s="36">
        <f>IF(M205&lt;0,0,(IF(M205&gt;M180,M180,M205)))</f>
        <v/>
      </c>
      <c r="N206" s="40">
        <f>IF(M206&gt;0,M206*0.098,"No Transfer Required")</f>
        <v/>
      </c>
      <c r="O206" s="58" t="n"/>
      <c r="P206" s="52" t="n"/>
    </row>
    <row r="207" ht="15.75" customHeight="1" thickBot="1">
      <c r="B207" s="42" t="n"/>
      <c r="C207" s="41" t="n"/>
      <c r="D207" s="43" t="inlineStr">
        <is>
          <t>Net Transferable</t>
        </is>
      </c>
      <c r="E207" s="36">
        <f>IF(E205&lt;0,0,(IF(E205-G178-G179-G181&lt;0,E205,(E205-G178-G179-G181))))</f>
        <v/>
      </c>
      <c r="F207" s="57">
        <f>IF(E207&gt;0,E207*0.098,"0")</f>
        <v/>
      </c>
      <c r="G207" s="59" t="n"/>
      <c r="H207" s="864" t="n"/>
      <c r="J207" s="42" t="n"/>
      <c r="K207" s="41" t="n"/>
      <c r="L207" s="43" t="inlineStr">
        <is>
          <t>Net Transferable</t>
        </is>
      </c>
      <c r="M207" s="36">
        <f>IF(M205&lt;0,0,(IF(M205-O178-O179-O181&lt;0,M205,(M205-O178-O179-O181))))</f>
        <v/>
      </c>
      <c r="N207" s="57">
        <f>IF(M207&gt;0,M207*0.098,"0")</f>
        <v/>
      </c>
      <c r="O207" s="59" t="n"/>
      <c r="P207" s="864" t="n"/>
    </row>
    <row r="208">
      <c r="D208" s="60" t="n"/>
      <c r="F208" s="61" t="n"/>
      <c r="G208" s="449" t="n"/>
      <c r="H208" s="866" t="n"/>
      <c r="L208" s="60" t="n"/>
      <c r="N208" s="866" t="n"/>
      <c r="O208" s="64" t="n"/>
      <c r="P208" s="866" t="n"/>
    </row>
  </sheetData>
  <mergeCells count="88">
    <mergeCell ref="J180:K180"/>
    <mergeCell ref="K33:L33"/>
    <mergeCell ref="C172:D172"/>
    <mergeCell ref="J146:K146"/>
    <mergeCell ref="B77:C77"/>
    <mergeCell ref="K138:L138"/>
    <mergeCell ref="G68:G69"/>
    <mergeCell ref="B182:C182"/>
    <mergeCell ref="J4:K4"/>
    <mergeCell ref="B78:C78"/>
    <mergeCell ref="G33:G34"/>
    <mergeCell ref="B112:C112"/>
    <mergeCell ref="J147:K147"/>
    <mergeCell ref="C138:D138"/>
    <mergeCell ref="B178:C178"/>
    <mergeCell ref="B2:H2"/>
    <mergeCell ref="B40:C40"/>
    <mergeCell ref="K172:L172"/>
    <mergeCell ref="B41:C41"/>
    <mergeCell ref="J110:K110"/>
    <mergeCell ref="B37:H37"/>
    <mergeCell ref="J181:K181"/>
    <mergeCell ref="B142:H142"/>
    <mergeCell ref="B180:C180"/>
    <mergeCell ref="J77:K77"/>
    <mergeCell ref="G103:G104"/>
    <mergeCell ref="B179:C179"/>
    <mergeCell ref="B72:H72"/>
    <mergeCell ref="B176:H176"/>
    <mergeCell ref="G138:G139"/>
    <mergeCell ref="J75:K75"/>
    <mergeCell ref="B107:H107"/>
    <mergeCell ref="B6:C6"/>
    <mergeCell ref="K206:L206"/>
    <mergeCell ref="J145:K145"/>
    <mergeCell ref="B144:C144"/>
    <mergeCell ref="K68:L68"/>
    <mergeCell ref="J111:K111"/>
    <mergeCell ref="B7:C7"/>
    <mergeCell ref="C68:D68"/>
    <mergeCell ref="J2:P2"/>
    <mergeCell ref="J142:P142"/>
    <mergeCell ref="J40:K40"/>
    <mergeCell ref="B43:C43"/>
    <mergeCell ref="B42:C42"/>
    <mergeCell ref="J182:K182"/>
    <mergeCell ref="J74:K74"/>
    <mergeCell ref="J179:K179"/>
    <mergeCell ref="J72:P72"/>
    <mergeCell ref="B148:C148"/>
    <mergeCell ref="J37:P37"/>
    <mergeCell ref="B146:C146"/>
    <mergeCell ref="J176:P176"/>
    <mergeCell ref="J113:K113"/>
    <mergeCell ref="J107:P107"/>
    <mergeCell ref="B5:C5"/>
    <mergeCell ref="B76:C76"/>
    <mergeCell ref="J42:K42"/>
    <mergeCell ref="B4:C4"/>
    <mergeCell ref="B75:C75"/>
    <mergeCell ref="J39:K39"/>
    <mergeCell ref="B109:C109"/>
    <mergeCell ref="J144:K144"/>
    <mergeCell ref="J5:K5"/>
    <mergeCell ref="C33:D33"/>
    <mergeCell ref="J112:K112"/>
    <mergeCell ref="J78:K78"/>
    <mergeCell ref="C206:D206"/>
    <mergeCell ref="B39:C39"/>
    <mergeCell ref="J6:K6"/>
    <mergeCell ref="C103:D103"/>
    <mergeCell ref="B111:C111"/>
    <mergeCell ref="B145:C145"/>
    <mergeCell ref="J178:K178"/>
    <mergeCell ref="B181:C181"/>
    <mergeCell ref="B8:C8"/>
    <mergeCell ref="J148:K148"/>
    <mergeCell ref="B147:C147"/>
    <mergeCell ref="J7:K7"/>
    <mergeCell ref="J41:K41"/>
    <mergeCell ref="J109:K109"/>
    <mergeCell ref="B74:C74"/>
    <mergeCell ref="J43:K43"/>
    <mergeCell ref="K103:L103"/>
    <mergeCell ref="J76:K76"/>
    <mergeCell ref="B110:C110"/>
    <mergeCell ref="J8:K8"/>
    <mergeCell ref="B113:C113"/>
  </mergeCells>
  <pageMargins left="0.7" right="0.7" top="0.75" bottom="0.75" header="0.3" footer="0.3"/>
  <pageSetup orientation="portrait" verticalDpi="597"/>
</worksheet>
</file>

<file path=xl/worksheets/sheet20.xml><?xml version="1.0" encoding="utf-8"?>
<worksheet xmlns="http://schemas.openxmlformats.org/spreadsheetml/2006/main">
  <sheetPr codeName="Sheet17">
    <tabColor rgb="FF92D050"/>
    <outlinePr summaryBelow="1" summaryRight="1"/>
    <pageSetUpPr/>
  </sheetPr>
  <dimension ref="A1:P213"/>
  <sheetViews>
    <sheetView topLeftCell="A106" zoomScale="60" zoomScaleNormal="60" workbookViewId="0">
      <selection activeCell="C136" sqref="C136"/>
    </sheetView>
  </sheetViews>
  <sheetFormatPr baseColWidth="8" defaultRowHeight="15"/>
  <cols>
    <col width="1.140625" customWidth="1" min="1" max="1"/>
    <col width="23.7109375" bestFit="1" customWidth="1" min="2" max="2"/>
    <col width="15.140625" customWidth="1" min="3" max="3"/>
    <col width="18.28515625" customWidth="1" min="4" max="4"/>
    <col width="13.5703125" bestFit="1" customWidth="1" min="5" max="5"/>
    <col width="13.42578125" customWidth="1" min="6" max="6"/>
    <col width="12.140625" bestFit="1" customWidth="1" min="7" max="7"/>
    <col width="59" customWidth="1" min="8" max="8"/>
    <col width="12.140625" customWidth="1" min="9" max="9"/>
    <col width="23.7109375" bestFit="1" customWidth="1" min="10" max="10"/>
    <col width="11.85546875" customWidth="1" min="11" max="11"/>
    <col width="18.42578125" bestFit="1" customWidth="1" min="12" max="12"/>
    <col width="13.5703125" bestFit="1" customWidth="1" min="13" max="13"/>
    <col width="13.5703125" customWidth="1" min="14" max="14"/>
    <col width="12.140625" bestFit="1" customWidth="1" min="15" max="15"/>
    <col width="58.7109375" customWidth="1" min="16" max="16"/>
  </cols>
  <sheetData>
    <row r="1" ht="15.75" customHeight="1" thickBot="1">
      <c r="E1">
        <f>Calculator!$D$5</f>
        <v/>
      </c>
      <c r="H1">
        <f>TransferName</f>
        <v/>
      </c>
      <c r="M1">
        <f>Calculator!$D$5</f>
        <v/>
      </c>
      <c r="P1">
        <f>TransferName</f>
        <v/>
      </c>
    </row>
    <row r="2" ht="15.75" customHeight="1" thickBot="1">
      <c r="B2" s="882" t="inlineStr">
        <is>
          <t>2024 SASKATCHEWAN Provincial</t>
        </is>
      </c>
      <c r="C2" s="778" t="n"/>
      <c r="D2" s="778" t="n"/>
      <c r="E2" s="778" t="n"/>
      <c r="F2" s="778" t="n"/>
      <c r="G2" s="778" t="n"/>
      <c r="H2" s="780" t="n"/>
      <c r="J2" s="879" t="inlineStr">
        <is>
          <t>2023 SASKATCHEWAN Provincial</t>
        </is>
      </c>
      <c r="K2" s="778" t="n"/>
      <c r="L2" s="778" t="n"/>
      <c r="M2" s="778" t="n"/>
      <c r="N2" s="778" t="n"/>
      <c r="O2" s="778" t="n"/>
      <c r="P2" s="780" t="n"/>
    </row>
    <row r="3" ht="15.75" customHeight="1" thickBot="1">
      <c r="B3" s="162" t="n"/>
      <c r="C3" s="134" t="n"/>
      <c r="D3" s="134" t="inlineStr">
        <is>
          <t>Line</t>
        </is>
      </c>
      <c r="E3" s="134" t="inlineStr">
        <is>
          <t>Amt</t>
        </is>
      </c>
      <c r="F3" s="135" t="n"/>
      <c r="G3" s="714" t="inlineStr">
        <is>
          <t>Spouse</t>
        </is>
      </c>
      <c r="H3" s="135" t="inlineStr">
        <is>
          <t>S2 Adjustment</t>
        </is>
      </c>
      <c r="J3" s="34" t="n"/>
      <c r="L3" t="inlineStr">
        <is>
          <t>Line</t>
        </is>
      </c>
      <c r="M3" t="inlineStr">
        <is>
          <t>Amt</t>
        </is>
      </c>
      <c r="N3" s="35" t="n"/>
      <c r="O3" s="34" t="inlineStr">
        <is>
          <t>Spouse</t>
        </is>
      </c>
      <c r="P3" s="35" t="inlineStr">
        <is>
          <t>S2 Adjustment</t>
        </is>
      </c>
    </row>
    <row r="4" ht="15.75" customHeight="1" thickBot="1">
      <c r="B4" s="714" t="inlineStr">
        <is>
          <t>Amount for dependent children born in 2001 or later</t>
        </is>
      </c>
      <c r="D4" s="134" t="inlineStr">
        <is>
          <t>Line 58210</t>
        </is>
      </c>
      <c r="E4" s="883">
        <f>(_xlfn.XLOOKUP(MainClient,Clients!D:D,Clients!AOB:AOB,2,0,1))</f>
        <v/>
      </c>
      <c r="F4" s="133" t="inlineStr">
        <is>
          <t>Line 59010</t>
        </is>
      </c>
      <c r="G4" s="138">
        <f>IF(TransferName="NONE",0,(_xlfn.XLOOKUP(TransferNumber,Clients!D:D,Clients!APS:APS,2,0,1)))</f>
        <v/>
      </c>
      <c r="H4" s="133">
        <f>IF(AND(E4&gt;0,G4=0),"Amount For Dependent Children Born in X or Later Can Be Transferred","No Action")</f>
        <v/>
      </c>
      <c r="J4" s="667" t="inlineStr">
        <is>
          <t>Amount for dependent children born in 2001 or later</t>
        </is>
      </c>
      <c r="L4" t="inlineStr">
        <is>
          <t>Line 58210</t>
        </is>
      </c>
      <c r="M4" s="865">
        <f>(_xlfn.XLOOKUP(MainClient,Clients!D:D,Clients!NG:NG,2,0,1))</f>
        <v/>
      </c>
      <c r="N4" s="37" t="inlineStr">
        <is>
          <t>Line 59010</t>
        </is>
      </c>
      <c r="O4" s="51">
        <f>IF(TransferName="NONE",0,(_xlfn.XLOOKUP(TransferNumber,Clients!D:D,Clients!OX:OX,2,0,1)))</f>
        <v/>
      </c>
      <c r="P4" s="37">
        <f>IF(AND(M4&gt;0,O4=0),"Amount For Dependent Children Born in X or Later Can Be Transferred","No Action")</f>
        <v/>
      </c>
    </row>
    <row r="5" ht="15.75" customHeight="1" thickBot="1">
      <c r="B5" s="714" t="inlineStr">
        <is>
          <t>Age Amount</t>
        </is>
      </c>
      <c r="D5" s="134" t="inlineStr">
        <is>
          <t>Line 58080</t>
        </is>
      </c>
      <c r="E5" s="883">
        <f>(_xlfn.XLOOKUP(MainClient,Clients!D:D,Clients!ANR:ANR,2,0,1))</f>
        <v/>
      </c>
      <c r="F5" s="133" t="inlineStr">
        <is>
          <t>Line 59020</t>
        </is>
      </c>
      <c r="G5" s="138">
        <f>IF(TransferName="NONE",0,(_xlfn.XLOOKUP(TransferNumber,Clients!D:D,Clients!APT:APT,2,0,1)))</f>
        <v/>
      </c>
      <c r="H5" s="133">
        <f>IF(AND(E5&gt;0,G5=0),"Age Amount Can Be Transferred","No Action")</f>
        <v/>
      </c>
      <c r="J5" s="667" t="inlineStr">
        <is>
          <t>Age Amount</t>
        </is>
      </c>
      <c r="L5" t="inlineStr">
        <is>
          <t>Line 58080</t>
        </is>
      </c>
      <c r="M5" s="865">
        <f>(_xlfn.XLOOKUP(MainClient,Clients!D:D,Clients!MW:MW,2,0,1))</f>
        <v/>
      </c>
      <c r="N5" s="37" t="inlineStr">
        <is>
          <t>Line 59020</t>
        </is>
      </c>
      <c r="O5" s="51">
        <f>IF(TransferName="NONE",0,(_xlfn.XLOOKUP(TransferNumber,Clients!D:D,Clients!OY:OY,2,0,1)))</f>
        <v/>
      </c>
      <c r="P5" s="37">
        <f>IF(AND(M5&gt;0,O5=0),"Age Amount Can Be Transferred","No Action")</f>
        <v/>
      </c>
    </row>
    <row r="6" ht="15.75" customHeight="1" thickBot="1">
      <c r="B6" s="714" t="inlineStr">
        <is>
          <t>Senior supplementary amount</t>
        </is>
      </c>
      <c r="D6" s="134" t="inlineStr">
        <is>
          <t>Line 58220</t>
        </is>
      </c>
      <c r="E6" s="883">
        <f>(_xlfn.XLOOKUP(MainClient,Clients!D:D,Clients!AOC:AOC,2,0,1))</f>
        <v/>
      </c>
      <c r="F6" s="133" t="inlineStr">
        <is>
          <t>Line 59030</t>
        </is>
      </c>
      <c r="G6" s="138">
        <f>IF(TransferName="NONE",0,(_xlfn.XLOOKUP(TransferNumber,Clients!D:D,Clients!APU:APU,2,0,1)))</f>
        <v/>
      </c>
      <c r="H6" s="133">
        <f>IF(AND(E6&gt;0,G6=0),"Senior Supplementary Amount Can Be Transferred","No Action")</f>
        <v/>
      </c>
      <c r="J6" s="667" t="inlineStr">
        <is>
          <t>Senior Supplementary Amount</t>
        </is>
      </c>
      <c r="L6" t="inlineStr">
        <is>
          <t>Line 58220</t>
        </is>
      </c>
      <c r="M6" s="865">
        <f>(_xlfn.XLOOKUP(MainClient,Clients!D:D,Clients!NH:NH,2,0,1))</f>
        <v/>
      </c>
      <c r="N6" s="37" t="inlineStr">
        <is>
          <t>Line 59030</t>
        </is>
      </c>
      <c r="O6" s="51">
        <f>IF(TransferName="NONE",0,(_xlfn.XLOOKUP(TransferNumber,Clients!D:D,Clients!OZ:OZ,2,0,1)))</f>
        <v/>
      </c>
      <c r="P6" s="37">
        <f>IF(AND(M6&gt;0,O6=0),"Senior Supplementary Amount Can Be Transferred","No Action")</f>
        <v/>
      </c>
    </row>
    <row r="7" ht="15.75" customHeight="1" thickBot="1">
      <c r="B7" s="714" t="inlineStr">
        <is>
          <t>Pension Income Amount</t>
        </is>
      </c>
      <c r="D7" s="134" t="inlineStr">
        <is>
          <t>Line 58360 (mx 1000)</t>
        </is>
      </c>
      <c r="E7" s="883">
        <f>IF((_xlfn.XLOOKUP(ClientNumber,Clients!D:D,Clients!AOR:AOR,2,0,1)&lt;1000),(_xlfn.XLOOKUP(MainClient,Clients!D:D,Clients!AOR:AOR,2,0,1)),1000)</f>
        <v/>
      </c>
      <c r="F7" s="133" t="inlineStr">
        <is>
          <t>Line 59050</t>
        </is>
      </c>
      <c r="G7" s="138">
        <f>IF(TransferName="NONE",0,(_xlfn.XLOOKUP(TransferNumber,Clients!D:D,Clients!APW:APW,2,0,1)))</f>
        <v/>
      </c>
      <c r="H7" s="133">
        <f>IF(AND(E7&gt;0,G7=0),"Pension Income Amount Can Be Transferred","No Action")</f>
        <v/>
      </c>
      <c r="J7" s="667" t="inlineStr">
        <is>
          <t>Pension Income Amount</t>
        </is>
      </c>
      <c r="L7" t="inlineStr">
        <is>
          <t>Line 58360 (mx 1000)</t>
        </is>
      </c>
      <c r="M7" s="865">
        <f>IF((_xlfn.XLOOKUP(ClientNumber,Clients!D:D,Clients!NW:NW,2,0,1)&lt;1000),(_xlfn.XLOOKUP(MainClient,Clients!D:D,Clients!NW:NW,2,0,1)),1000)</f>
        <v/>
      </c>
      <c r="N7" s="37" t="inlineStr">
        <is>
          <t>Line 59050</t>
        </is>
      </c>
      <c r="O7" s="51">
        <f>IF(TransferName="NONE",0,(_xlfn.XLOOKUP(TransferNumber,Clients!D:D,Clients!PB:PB,2,0,1)))</f>
        <v/>
      </c>
      <c r="P7" s="37">
        <f>IF(AND(M7&gt;0,O7=0),"Pension Income Amount Can Be Transferred","No Action")</f>
        <v/>
      </c>
    </row>
    <row r="8" ht="15.75" customHeight="1" thickBot="1">
      <c r="B8" s="714" t="inlineStr">
        <is>
          <t>Disability Amount</t>
        </is>
      </c>
      <c r="D8" s="134" t="inlineStr">
        <is>
          <t>Line 58440</t>
        </is>
      </c>
      <c r="E8" s="883">
        <f>IF(_xlfn.XLOOKUP(ClientNumber,Clients!D:D,Clients!AOT:AOT,2,0,1)=0,9789,(_xlfn.XLOOKUP(MainClient,Clients!D:D,Clients!AOT:AOT,2,0,1)))</f>
        <v/>
      </c>
      <c r="F8" s="133" t="inlineStr">
        <is>
          <t>Line 59070</t>
        </is>
      </c>
      <c r="G8" s="138">
        <f>IF(TransferName="NONE",0,(_xlfn.XLOOKUP(TransferNumber,Clients!D:D,Clients!APX:APX,2,0,1)))</f>
        <v/>
      </c>
      <c r="H8" s="133">
        <f>IF(AND(E8&gt;0,G8=0),"DTC Transferable Not Claimed Can Be Transferred","No Action")</f>
        <v/>
      </c>
      <c r="J8" s="667" t="inlineStr">
        <is>
          <t>Disability Amount</t>
        </is>
      </c>
      <c r="L8" t="inlineStr">
        <is>
          <t>Line 58440</t>
        </is>
      </c>
      <c r="M8" s="865">
        <f>IF(_xlfn.XLOOKUP(ClientNumber,Clients!D:D,Clients!NY:NY,2,0,1)=0,10405,(_xlfn.XLOOKUP(MainClient,Clients!D:D,Clients!NY:NY,2,0,1)))</f>
        <v/>
      </c>
      <c r="N8" s="37" t="inlineStr">
        <is>
          <t>Line 59070</t>
        </is>
      </c>
      <c r="O8" s="51">
        <f>IF(TransferName="NONE",0,(_xlfn.XLOOKUP(TransferNumber,Clients!D:D,Clients!PC:PC,2,0,1)))</f>
        <v/>
      </c>
      <c r="P8" s="37">
        <f>IF(AND(M8&gt;0,O8=0),"DTC Transferable Not Claimed Can Be Transferred","No Action")</f>
        <v/>
      </c>
    </row>
    <row r="9">
      <c r="B9" s="714" t="n"/>
      <c r="D9" s="134" t="n"/>
      <c r="E9" s="884">
        <f>SUM(E4:E8)</f>
        <v/>
      </c>
      <c r="F9" s="133" t="n"/>
      <c r="G9" s="714">
        <f>SUM(G4:G8)</f>
        <v/>
      </c>
      <c r="H9" s="133" t="n"/>
      <c r="J9" s="667" t="n"/>
      <c r="M9" s="872">
        <f>SUM(M4:M8)</f>
        <v/>
      </c>
      <c r="N9" s="37" t="n"/>
      <c r="O9" s="667">
        <f>SUM(O4:O8)</f>
        <v/>
      </c>
      <c r="P9" s="37" t="n"/>
    </row>
    <row r="10" ht="15.75" customHeight="1" thickBot="1">
      <c r="B10" s="162" t="n"/>
      <c r="C10" s="134" t="n"/>
      <c r="D10" s="134" t="n"/>
      <c r="E10" s="134" t="n"/>
      <c r="F10" s="135" t="n"/>
      <c r="G10" s="134" t="n"/>
      <c r="H10" s="135" t="n"/>
      <c r="J10" s="34" t="n"/>
      <c r="N10" s="35" t="n"/>
      <c r="P10" s="35" t="n"/>
    </row>
    <row r="11" ht="15.75" customHeight="1" thickBot="1">
      <c r="B11" s="714" t="inlineStr">
        <is>
          <t>Line 26000</t>
        </is>
      </c>
      <c r="C11" s="165">
        <f>(_xlfn.XLOOKUP(MainClient,Clients!D:D,Clients!AFS:AFS,2,0,1))</f>
        <v/>
      </c>
      <c r="D11" s="134" t="n"/>
      <c r="E11" s="134" t="n"/>
      <c r="F11" s="135" t="n"/>
      <c r="G11" s="162">
        <f>IF(E34&gt;E7,"other transferable credits","DTC Only")</f>
        <v/>
      </c>
      <c r="H11" s="135" t="n"/>
      <c r="J11" s="667" t="inlineStr">
        <is>
          <t>Line 26000</t>
        </is>
      </c>
      <c r="K11" s="36">
        <f>(_xlfn.XLOOKUP(MainClient,Clients!D:D,Clients!EX:EX,2,0,1))</f>
        <v/>
      </c>
      <c r="N11" s="35" t="n"/>
      <c r="O11" s="34">
        <f>IF(M34&gt;M7,"other transferable credits","DTC Only")</f>
        <v/>
      </c>
      <c r="P11" s="35" t="n"/>
    </row>
    <row r="12" ht="15.75" customHeight="1" thickBot="1">
      <c r="B12" s="162" t="n"/>
      <c r="C12" s="134" t="n"/>
      <c r="D12" s="134" t="n"/>
      <c r="E12" s="134" t="n"/>
      <c r="F12" s="135" t="n"/>
      <c r="G12" s="162" t="n"/>
      <c r="H12" s="135" t="n"/>
      <c r="J12" s="34" t="n"/>
      <c r="N12" s="35" t="n"/>
      <c r="O12" s="34" t="n"/>
      <c r="P12" s="35" t="n"/>
    </row>
    <row r="13" ht="15.75" customHeight="1" thickBot="1">
      <c r="B13" s="166" t="inlineStr">
        <is>
          <t>Line 58040</t>
        </is>
      </c>
      <c r="C13" s="165">
        <f>(_xlfn.XLOOKUP(ClientNumber,Clients!D:D,Clients!ANQ:ANQ,2,0,1))</f>
        <v/>
      </c>
      <c r="D13" s="134" t="n"/>
      <c r="E13" s="134" t="n"/>
      <c r="F13" s="135" t="n"/>
      <c r="G13" s="162" t="n"/>
      <c r="H13" s="135" t="n"/>
      <c r="J13" s="55" t="inlineStr">
        <is>
          <t>Line 58040</t>
        </is>
      </c>
      <c r="K13" s="36">
        <f>(_xlfn.XLOOKUP(MainClient,Clients!D:D,Clients!MV:MV,2,0,1))</f>
        <v/>
      </c>
      <c r="N13" s="35" t="n"/>
      <c r="O13" s="34" t="n"/>
      <c r="P13" s="35" t="n"/>
    </row>
    <row r="14" ht="15.75" customHeight="1" thickBot="1">
      <c r="B14" s="166" t="inlineStr">
        <is>
          <t>Line 58240</t>
        </is>
      </c>
      <c r="C14" s="165">
        <f>(_xlfn.XLOOKUP(ClientNumber,Clients!D:D,Clients!AOF:AOF,2,0,1))</f>
        <v/>
      </c>
      <c r="D14" s="134" t="n"/>
      <c r="E14" s="134" t="n"/>
      <c r="F14" s="135" t="n"/>
      <c r="G14" s="162" t="n"/>
      <c r="H14" s="135" t="n"/>
      <c r="J14" s="55" t="inlineStr">
        <is>
          <t>Line 58240</t>
        </is>
      </c>
      <c r="K14" s="36">
        <f>(_xlfn.XLOOKUP(MainClient,Clients!D:D,Clients!NK:NK,2,0,1))</f>
        <v/>
      </c>
      <c r="N14" s="35" t="n"/>
      <c r="O14" s="34" t="n"/>
      <c r="P14" s="35" t="n"/>
    </row>
    <row r="15" ht="15.75" customHeight="1" thickBot="1">
      <c r="B15" s="166" t="inlineStr">
        <is>
          <t>Line 58280</t>
        </is>
      </c>
      <c r="C15" s="165">
        <f>(_xlfn.XLOOKUP(ClientNumber,Clients!D:D,Clients!AOG:AOG,2,0,1))</f>
        <v/>
      </c>
      <c r="D15" s="134" t="n"/>
      <c r="E15" s="134" t="n"/>
      <c r="F15" s="135" t="n"/>
      <c r="G15" s="162" t="n"/>
      <c r="H15" s="135" t="n"/>
      <c r="J15" s="55" t="inlineStr">
        <is>
          <t>Line 58280</t>
        </is>
      </c>
      <c r="K15" s="36">
        <f>(_xlfn.XLOOKUP(MainClient,Clients!D:D,Clients!NL:NL,2,0,1))</f>
        <v/>
      </c>
      <c r="N15" s="35" t="n"/>
      <c r="P15" s="35" t="n"/>
    </row>
    <row r="16" ht="15.75" customHeight="1" thickBot="1">
      <c r="B16" s="166" t="inlineStr">
        <is>
          <t>Line 58300</t>
        </is>
      </c>
      <c r="C16" s="165">
        <f>(_xlfn.XLOOKUP(ClientNumber,Clients!D:D,Clients!AOH:AOH,2,0,1))</f>
        <v/>
      </c>
      <c r="D16" s="134" t="n"/>
      <c r="E16" s="134" t="n"/>
      <c r="F16" s="135" t="n"/>
      <c r="G16" s="162" t="n"/>
      <c r="H16" s="135" t="n"/>
      <c r="J16" s="55" t="inlineStr">
        <is>
          <t>Line 58300</t>
        </is>
      </c>
      <c r="K16" s="36">
        <f>(_xlfn.XLOOKUP(MainClient,Clients!D:D,Clients!NM:NM,2,0,1))</f>
        <v/>
      </c>
      <c r="N16" s="35" t="n"/>
      <c r="O16" s="34" t="n"/>
      <c r="P16" s="35" t="n"/>
    </row>
    <row r="17" ht="15.75" customHeight="1" thickBot="1">
      <c r="B17" s="166" t="inlineStr">
        <is>
          <t>Line 58305</t>
        </is>
      </c>
      <c r="C17" s="165">
        <f>(_xlfn.XLOOKUP(ClientNumber,Clients!D:D,Clients!AOI:AOI,2,0,1))</f>
        <v/>
      </c>
      <c r="D17" s="134" t="n"/>
      <c r="E17" s="134" t="n"/>
      <c r="F17" s="135" t="n"/>
      <c r="G17" s="162" t="n"/>
      <c r="H17" s="135" t="n"/>
      <c r="J17" s="55" t="inlineStr">
        <is>
          <t>Line 58305</t>
        </is>
      </c>
      <c r="K17" s="36">
        <f>(_xlfn.XLOOKUP(MainClient,Clients!D:D,Clients!NN:NN,2,0,1))</f>
        <v/>
      </c>
      <c r="N17" s="35" t="n"/>
      <c r="O17" s="34" t="n"/>
      <c r="P17" s="35" t="n"/>
    </row>
    <row r="18" ht="15.75" customHeight="1" thickBot="1">
      <c r="B18" s="166" t="inlineStr">
        <is>
          <t>Line 58315</t>
        </is>
      </c>
      <c r="C18" s="165">
        <f>(_xlfn.XLOOKUP(ClientNumber,Clients!D:D,Clients!AOK:AOK,2,0,1))</f>
        <v/>
      </c>
      <c r="D18" s="134" t="n"/>
      <c r="E18" s="134" t="n"/>
      <c r="F18" s="135" t="n"/>
      <c r="G18" s="162" t="n"/>
      <c r="H18" s="135" t="n"/>
      <c r="J18" s="55" t="inlineStr">
        <is>
          <t>Line 58357</t>
        </is>
      </c>
      <c r="K18" s="36">
        <f>(_xlfn.XLOOKUP(MainClient,Clients!D:D,Clients!NV:NV,2,0,1))</f>
        <v/>
      </c>
      <c r="N18" s="35" t="n"/>
      <c r="O18" s="34" t="n"/>
      <c r="P18" s="35" t="n"/>
    </row>
    <row r="19" ht="15.75" customHeight="1" thickBot="1">
      <c r="B19" s="166" t="inlineStr">
        <is>
          <t>Line 58316</t>
        </is>
      </c>
      <c r="C19" s="165">
        <f>(_xlfn.XLOOKUP(ClientNumber,Clients!D:D,Clients!AOL:AOL,2,0,1))</f>
        <v/>
      </c>
      <c r="D19" s="134" t="n"/>
      <c r="E19" s="134" t="n"/>
      <c r="F19" s="135" t="n"/>
      <c r="G19" s="162" t="n"/>
      <c r="H19" s="135" t="n"/>
      <c r="J19" s="55" t="inlineStr">
        <is>
          <t>Line 58560</t>
        </is>
      </c>
      <c r="K19" s="36">
        <f>(_xlfn.XLOOKUP(MainClient,Clients!D:D,Clients!OC:OC,2,0,1))</f>
        <v/>
      </c>
      <c r="N19" s="35" t="n"/>
      <c r="O19" s="34" t="n"/>
      <c r="P19" s="35" t="n"/>
    </row>
    <row r="20" ht="15.75" customHeight="1" thickBot="1">
      <c r="B20" s="166" t="inlineStr">
        <is>
          <t>Line 58317</t>
        </is>
      </c>
      <c r="C20" s="165" t="n"/>
      <c r="D20" s="134" t="n"/>
      <c r="E20" s="134" t="n"/>
      <c r="F20" s="135" t="n"/>
      <c r="G20" s="162" t="n"/>
      <c r="H20" s="135" t="n"/>
      <c r="J20" s="55" t="n"/>
      <c r="K20" s="36" t="n"/>
      <c r="N20" s="35" t="n"/>
      <c r="O20" s="34" t="n"/>
      <c r="P20" s="35" t="n"/>
    </row>
    <row r="21" ht="15.75" customHeight="1" thickBot="1">
      <c r="B21" s="166" t="inlineStr">
        <is>
          <t>Line 58340</t>
        </is>
      </c>
      <c r="C21" s="165" t="n"/>
      <c r="D21" s="134" t="n"/>
      <c r="E21" s="134" t="n"/>
      <c r="F21" s="135" t="n"/>
      <c r="G21" s="162" t="n"/>
      <c r="H21" s="135" t="n"/>
      <c r="J21" s="55" t="n"/>
      <c r="K21" s="36" t="n"/>
      <c r="N21" s="35" t="n"/>
      <c r="O21" s="34" t="n"/>
      <c r="P21" s="35" t="n"/>
    </row>
    <row r="22" ht="15.75" customHeight="1" thickBot="1">
      <c r="B22" s="166" t="inlineStr">
        <is>
          <t>Line 58357</t>
        </is>
      </c>
      <c r="C22" s="165">
        <f>(_xlfn.XLOOKUP(ClientNumber,Clients!D:D,Clients!AOQ:AOQ,2,0,1))</f>
        <v/>
      </c>
      <c r="D22" s="134" t="n"/>
      <c r="E22" s="134" t="n"/>
      <c r="F22" s="135" t="n"/>
      <c r="G22" s="162" t="n"/>
      <c r="H22" s="135" t="n"/>
      <c r="J22" s="55" t="n"/>
      <c r="K22" s="36" t="n"/>
      <c r="N22" s="35" t="n"/>
      <c r="O22" s="34" t="n"/>
      <c r="P22" s="35" t="n"/>
    </row>
    <row r="23" ht="15.75" customHeight="1" thickBot="1">
      <c r="B23" s="166" t="inlineStr">
        <is>
          <t>Line 58560</t>
        </is>
      </c>
      <c r="C23" s="165">
        <f>(_xlfn.XLOOKUP(ClientNumber,Clients!D:D,Clients!AOX:AOX,2,0,1))</f>
        <v/>
      </c>
      <c r="D23" s="134" t="n"/>
      <c r="E23" s="134" t="n"/>
      <c r="F23" s="135" t="n"/>
      <c r="G23" s="162" t="inlineStr">
        <is>
          <t>Line 32600</t>
        </is>
      </c>
      <c r="H23" s="135">
        <f>IF(TransferName="NONE",0,(_xlfn.XLOOKUP(TransferNumber,Clients!D:D,Clients!CIH:CIH,2,0,1)))</f>
        <v/>
      </c>
      <c r="J23" s="55" t="n"/>
      <c r="K23" s="36" t="n"/>
      <c r="N23" s="35" t="n"/>
      <c r="O23" s="34" t="inlineStr">
        <is>
          <t>Line 58640</t>
        </is>
      </c>
      <c r="P23" s="35">
        <f>IFERROR(_xlfn.XLOOKUP(TransferNumber,Clients!D:D,Clients!OI:OI,2,0,1),0)</f>
        <v/>
      </c>
    </row>
    <row r="24" ht="15.75" customHeight="1" thickBot="1">
      <c r="B24" s="166" t="n"/>
      <c r="C24" s="165" t="n"/>
      <c r="D24" s="134" t="n"/>
      <c r="E24" s="134" t="n"/>
      <c r="F24" s="135" t="n"/>
      <c r="G24" s="162" t="n"/>
      <c r="H24" s="135" t="n"/>
      <c r="J24" s="55" t="n"/>
      <c r="K24" s="36" t="n"/>
      <c r="N24" s="35" t="n"/>
      <c r="O24" s="34" t="n"/>
      <c r="P24" s="35" t="n"/>
    </row>
    <row r="25" ht="15.75" customHeight="1" thickBot="1">
      <c r="B25" s="166" t="n"/>
      <c r="C25" s="165" t="n"/>
      <c r="D25" s="134" t="n"/>
      <c r="E25" s="134" t="n"/>
      <c r="F25" s="135" t="n"/>
      <c r="G25" s="162" t="n"/>
      <c r="H25" s="135" t="n"/>
      <c r="J25" s="55" t="n"/>
      <c r="K25" s="36" t="n"/>
      <c r="N25" s="35" t="n"/>
      <c r="O25" s="34" t="n"/>
      <c r="P25" s="35" t="n"/>
    </row>
    <row r="26" ht="15.75" customHeight="1" thickBot="1">
      <c r="B26" s="166" t="n"/>
      <c r="C26" s="165" t="n"/>
      <c r="D26" s="134" t="n"/>
      <c r="E26" s="134" t="n"/>
      <c r="F26" s="135" t="n"/>
      <c r="G26" s="162" t="n"/>
      <c r="H26" s="135" t="n"/>
      <c r="J26" s="55" t="n"/>
      <c r="K26" s="36" t="n"/>
      <c r="N26" s="35" t="n"/>
      <c r="O26" s="34" t="n"/>
      <c r="P26" s="35" t="n"/>
    </row>
    <row r="27" ht="15.75" customHeight="1" thickBot="1">
      <c r="B27" s="166" t="n"/>
      <c r="C27" s="165" t="n"/>
      <c r="D27" s="134" t="n"/>
      <c r="E27" s="134" t="n"/>
      <c r="F27" s="135" t="n"/>
      <c r="G27" s="162" t="n"/>
      <c r="H27" s="135">
        <f>IF(E32&gt;0,E9-G9,0)</f>
        <v/>
      </c>
      <c r="J27" s="55" t="n"/>
      <c r="K27" s="36" t="n"/>
      <c r="N27" s="35" t="n"/>
      <c r="O27" s="34" t="n"/>
      <c r="P27" s="35">
        <f>IF(M32&gt;0,M9-O9,0)</f>
        <v/>
      </c>
    </row>
    <row r="28" ht="15.75" customHeight="1" thickBot="1">
      <c r="B28" s="166" t="n"/>
      <c r="C28" s="165" t="n"/>
      <c r="D28" s="134" t="n"/>
      <c r="E28" s="134" t="n"/>
      <c r="F28" s="135" t="n"/>
      <c r="G28" s="134" t="n"/>
      <c r="H28" s="167">
        <f>IF(TransferName="NONE",F33,IF(H27&gt;0,(E32-G9)*0.105,0))</f>
        <v/>
      </c>
      <c r="J28" s="55" t="n"/>
      <c r="K28" s="36" t="n"/>
      <c r="N28" s="35" t="n"/>
      <c r="P28" s="52">
        <f>IF(TransferName="NONE",N33,IF(P27&gt;0,(M32-O9)*0.105,0))</f>
        <v/>
      </c>
    </row>
    <row r="29">
      <c r="B29" s="714" t="n"/>
      <c r="C29" s="134" t="n"/>
      <c r="D29" s="134" t="n"/>
      <c r="E29" s="134" t="n"/>
      <c r="F29" s="135" t="n"/>
      <c r="G29" s="162" t="inlineStr">
        <is>
          <t>Transferable</t>
        </is>
      </c>
      <c r="H29" s="167">
        <f>IF(H28&gt;0,H28,0)</f>
        <v/>
      </c>
      <c r="J29" s="667" t="n"/>
      <c r="N29" s="35" t="n"/>
      <c r="O29" s="34" t="inlineStr">
        <is>
          <t>Transferable</t>
        </is>
      </c>
      <c r="P29" s="52">
        <f>IF(P28&gt;0,P28,0)</f>
        <v/>
      </c>
    </row>
    <row r="30">
      <c r="B30" s="714" t="inlineStr">
        <is>
          <t>Adjusted Taxable Income</t>
        </is>
      </c>
      <c r="C30" s="134">
        <f>C11-(SUM(C13:C28))</f>
        <v/>
      </c>
      <c r="D30" s="168" t="inlineStr">
        <is>
          <t>Line 58640</t>
        </is>
      </c>
      <c r="E30" s="169">
        <f>IF(C30&gt;0,C30,0)</f>
        <v/>
      </c>
      <c r="F30" s="135" t="n"/>
      <c r="G30" s="162" t="n"/>
      <c r="H30" s="135" t="n"/>
      <c r="J30" s="667" t="inlineStr">
        <is>
          <t>Adjusted Taxable Income</t>
        </is>
      </c>
      <c r="K30">
        <f>K11-(SUM(K13:K28))</f>
        <v/>
      </c>
      <c r="L30" s="13" t="inlineStr">
        <is>
          <t>Line 5864</t>
        </is>
      </c>
      <c r="M30" s="39">
        <f>IF(K30&gt;0,K30,0)</f>
        <v/>
      </c>
      <c r="N30" s="35" t="n"/>
      <c r="O30" s="34" t="n"/>
      <c r="P30" s="35" t="n"/>
    </row>
    <row r="31" ht="15.75" customHeight="1" thickBot="1">
      <c r="B31" s="162" t="n"/>
      <c r="C31" s="134" t="n"/>
      <c r="D31" s="134" t="n"/>
      <c r="E31" s="134" t="n"/>
      <c r="F31" s="135" t="n"/>
      <c r="G31" s="162" t="n"/>
      <c r="H31" s="135" t="n"/>
      <c r="J31" s="34" t="n"/>
      <c r="N31" s="35" t="n"/>
      <c r="O31" s="34" t="n"/>
      <c r="P31" s="35" t="n"/>
    </row>
    <row r="32" ht="15.75" customHeight="1" thickBot="1">
      <c r="B32" s="162" t="n"/>
      <c r="C32" s="134" t="n"/>
      <c r="D32" s="170" t="inlineStr">
        <is>
          <t>Prov Trans</t>
        </is>
      </c>
      <c r="E32" s="165">
        <f>(E9-E30)</f>
        <v/>
      </c>
      <c r="F32" s="171" t="n"/>
      <c r="G32" s="162" t="n"/>
      <c r="H32" s="167" t="n"/>
      <c r="J32" s="34" t="n"/>
      <c r="L32" s="21" t="inlineStr">
        <is>
          <t>Prov Trans</t>
        </is>
      </c>
      <c r="M32" s="36">
        <f>(M9-M30)</f>
        <v/>
      </c>
      <c r="N32" s="40" t="n"/>
      <c r="O32" s="34" t="n"/>
      <c r="P32" s="52" t="n"/>
    </row>
    <row r="33" ht="15.75" customHeight="1" thickBot="1">
      <c r="B33" s="162" t="n"/>
      <c r="C33" s="717" t="inlineStr">
        <is>
          <t>DTC Transferable ESTIMATE</t>
        </is>
      </c>
      <c r="D33" s="35" t="n"/>
      <c r="E33" s="165">
        <f>IF(E32&lt;0,0,(IF(E32&gt;E7,E7,E32)))</f>
        <v/>
      </c>
      <c r="F33" s="171">
        <f>IF(E33&gt;0,E33*0.105,"No Transfer Required")</f>
        <v/>
      </c>
      <c r="G33" s="719" t="n"/>
      <c r="H33" s="167" t="n"/>
      <c r="J33" s="34" t="n"/>
      <c r="K33" s="579" t="inlineStr">
        <is>
          <t>DTC Transferable ESTIMATE</t>
        </is>
      </c>
      <c r="L33" s="35" t="n"/>
      <c r="M33" s="36">
        <f>IF(M32&lt;0,0,(IF(M32&gt;M8,M8,M32)))</f>
        <v/>
      </c>
      <c r="N33" s="40">
        <f>IF(M33&gt;0,M33*0.105,"No Transfer Required")</f>
        <v/>
      </c>
      <c r="O33" s="58" t="n"/>
      <c r="P33" s="52" t="n"/>
    </row>
    <row r="34" ht="15.75" customHeight="1" thickBot="1">
      <c r="B34" s="172" t="n"/>
      <c r="C34" s="173" t="n"/>
      <c r="D34" s="173" t="inlineStr">
        <is>
          <t>Net Transferable</t>
        </is>
      </c>
      <c r="E34" s="165">
        <f>IF(E32&lt;0,0,(IF(E32-G4-G5-G6-G8&lt;0,E32,(E32-G4-G5-G6-G8))))</f>
        <v/>
      </c>
      <c r="F34" s="174">
        <f>IF(E34&gt;0,E34*0.105,"0")</f>
        <v/>
      </c>
      <c r="G34" s="42" t="n"/>
      <c r="H34" s="885" t="n"/>
      <c r="J34" s="42" t="n"/>
      <c r="K34" s="41" t="n"/>
      <c r="L34" s="43" t="inlineStr">
        <is>
          <t>Net Transferable</t>
        </is>
      </c>
      <c r="M34" s="36">
        <f>IF(M32&lt;0,0,(IF(M32-O4-O5-O6-O7&lt;0,M32,(M32-O4-O5-O6-O7))))</f>
        <v/>
      </c>
      <c r="N34" s="57">
        <f>IF(M34&gt;0,M34*0.105,"0")</f>
        <v/>
      </c>
      <c r="O34" s="59" t="n"/>
      <c r="P34" s="864" t="n"/>
    </row>
    <row r="35">
      <c r="B35" s="70" t="n"/>
      <c r="C35" s="70" t="n"/>
      <c r="D35" s="70" t="n"/>
      <c r="E35" s="70" t="n"/>
      <c r="F35" s="176" t="n"/>
      <c r="G35" s="177" t="n"/>
      <c r="H35" s="886" t="n"/>
      <c r="L35" s="60" t="n"/>
      <c r="N35" s="61" t="n"/>
      <c r="O35" s="64" t="n"/>
      <c r="P35" s="866" t="n"/>
    </row>
    <row r="36" ht="15.75" customHeight="1" thickBot="1">
      <c r="B36" s="70" t="n"/>
      <c r="C36" s="70" t="n"/>
      <c r="D36" s="70" t="n"/>
      <c r="E36" s="70">
        <f>Calculator!$D$5</f>
        <v/>
      </c>
      <c r="F36" s="70" t="n"/>
      <c r="G36" s="70" t="n"/>
      <c r="H36" s="70">
        <f>TransferName</f>
        <v/>
      </c>
      <c r="I36" s="60" t="n"/>
      <c r="J36" s="60" t="n"/>
      <c r="K36" s="60" t="n"/>
      <c r="L36" s="70" t="n"/>
      <c r="M36" s="70">
        <f>Calculator!$D$5</f>
        <v/>
      </c>
      <c r="N36" s="70" t="n"/>
      <c r="O36" s="70" t="n"/>
      <c r="P36" s="70">
        <f>TransferName</f>
        <v/>
      </c>
    </row>
    <row r="37" ht="15.75" customHeight="1" thickBot="1">
      <c r="B37" s="887" t="inlineStr">
        <is>
          <t>2022 SASKATCHEWAN Provincial</t>
        </is>
      </c>
      <c r="C37" s="778" t="n"/>
      <c r="D37" s="778" t="n"/>
      <c r="E37" s="778" t="n"/>
      <c r="F37" s="778" t="n"/>
      <c r="G37" s="778" t="n"/>
      <c r="H37" s="780" t="n"/>
      <c r="I37" s="60" t="n"/>
      <c r="J37" s="887" t="inlineStr">
        <is>
          <t>2021 SASKATCHEWAN Provincial</t>
        </is>
      </c>
      <c r="K37" s="778" t="n"/>
      <c r="L37" s="778" t="n"/>
      <c r="M37" s="778" t="n"/>
      <c r="N37" s="778" t="n"/>
      <c r="O37" s="778" t="n"/>
      <c r="P37" s="780" t="n"/>
    </row>
    <row r="38" ht="15.75" customHeight="1" thickBot="1">
      <c r="B38" s="146" t="n"/>
      <c r="C38" s="70" t="n"/>
      <c r="D38" s="70" t="inlineStr">
        <is>
          <t>Line</t>
        </is>
      </c>
      <c r="E38" s="70" t="inlineStr">
        <is>
          <t>Amt</t>
        </is>
      </c>
      <c r="F38" s="73" t="n"/>
      <c r="G38" s="723" t="inlineStr">
        <is>
          <t>Spouse</t>
        </is>
      </c>
      <c r="H38" s="73" t="inlineStr">
        <is>
          <t>S2 Adjustment</t>
        </is>
      </c>
      <c r="I38" s="60" t="n"/>
      <c r="J38" s="146" t="n"/>
      <c r="K38" s="70" t="n"/>
      <c r="L38" s="70" t="inlineStr">
        <is>
          <t>Line</t>
        </is>
      </c>
      <c r="M38" s="70" t="inlineStr">
        <is>
          <t>Amt</t>
        </is>
      </c>
      <c r="N38" s="73" t="n"/>
      <c r="O38" s="146" t="inlineStr">
        <is>
          <t>Spouse</t>
        </is>
      </c>
      <c r="P38" s="73" t="inlineStr">
        <is>
          <t>S2 Adjustment</t>
        </is>
      </c>
    </row>
    <row r="39" ht="15.75" customHeight="1" thickBot="1">
      <c r="B39" s="723" t="inlineStr">
        <is>
          <t>Amount for dependent children born in 2001 or later</t>
        </is>
      </c>
      <c r="D39" s="70" t="inlineStr">
        <is>
          <t>Line 58210</t>
        </is>
      </c>
      <c r="E39" s="870">
        <f>(_xlfn.XLOOKUP(MainClient,Clients!D:D,Clients!AOB:AOB,2,0,1))</f>
        <v/>
      </c>
      <c r="F39" s="148" t="inlineStr">
        <is>
          <t>Line 59010</t>
        </is>
      </c>
      <c r="G39" s="149">
        <f>IF(TransferName="NONE",0,(_xlfn.XLOOKUP(TransferNumber,Clients!D:D,Clients!APS:APS,2,0,1)))</f>
        <v/>
      </c>
      <c r="H39" s="148">
        <f>IF(AND(E39&gt;0,G39=0),"Amount For Dependent Children Born in X or Later Can Be Transferred","No Action")</f>
        <v/>
      </c>
      <c r="I39" s="60" t="n"/>
      <c r="J39" s="723" t="inlineStr">
        <is>
          <t>Amount for dependent children born in 2001 or later</t>
        </is>
      </c>
      <c r="L39" s="70" t="inlineStr">
        <is>
          <t>Line 58210</t>
        </is>
      </c>
      <c r="M39" s="870">
        <f>(_xlfn.XLOOKUP(MainClient,Clients!D:D,Clients!BOW:BOW,2,0,1))</f>
        <v/>
      </c>
      <c r="N39" s="148" t="inlineStr">
        <is>
          <t>Line 59010</t>
        </is>
      </c>
      <c r="O39" s="149">
        <f>IF(TransferName="NONE",0,(_xlfn.XLOOKUP(TransferNumber,Clients!D:D,Clients!BQN:BQN,2,0,1)))</f>
        <v/>
      </c>
      <c r="P39" s="148">
        <f>IF(AND(M39&gt;0,O39=0),"Amount For Dependent Children Born in X or Later Can Be Transferred","No Action")</f>
        <v/>
      </c>
    </row>
    <row r="40" ht="15.75" customHeight="1" thickBot="1">
      <c r="B40" s="723" t="inlineStr">
        <is>
          <t>Age Amount</t>
        </is>
      </c>
      <c r="D40" s="70" t="inlineStr">
        <is>
          <t>Line 58080</t>
        </is>
      </c>
      <c r="E40" s="870">
        <f>(_xlfn.XLOOKUP(MainClient,Clients!D:D,Clients!ANR:ANR,2,0,1))</f>
        <v/>
      </c>
      <c r="F40" s="148" t="inlineStr">
        <is>
          <t>Line 59020</t>
        </is>
      </c>
      <c r="G40" s="149">
        <f>IF(TransferName="NONE",0,(_xlfn.XLOOKUP(TransferNumber,Clients!D:D,Clients!APT:APT,2,0,1)))</f>
        <v/>
      </c>
      <c r="H40" s="148">
        <f>IF(AND(E40&gt;0,G40=0),"Age Amount Can Be Transferred","No Action")</f>
        <v/>
      </c>
      <c r="I40" s="60" t="n"/>
      <c r="J40" s="723" t="inlineStr">
        <is>
          <t>Age Amount</t>
        </is>
      </c>
      <c r="L40" s="70" t="inlineStr">
        <is>
          <t>Line 58080</t>
        </is>
      </c>
      <c r="M40" s="870">
        <f>(_xlfn.XLOOKUP(MainClient,Clients!D:D,Clients!BOM:BOM,2,0,1))</f>
        <v/>
      </c>
      <c r="N40" s="148" t="inlineStr">
        <is>
          <t>Line 59020</t>
        </is>
      </c>
      <c r="O40" s="149">
        <f>IF(TransferName="NONE",0,(_xlfn.XLOOKUP(TransferNumber,Clients!D:D,Clients!BQO:BQO,2,0,1)))</f>
        <v/>
      </c>
      <c r="P40" s="148">
        <f>IF(AND(M40&gt;0,O40=0),"Age Amount Can Be Transferred","No Action")</f>
        <v/>
      </c>
    </row>
    <row r="41" ht="15.75" customHeight="1" thickBot="1">
      <c r="B41" s="667" t="inlineStr">
        <is>
          <t>Senior Supplementary Amount</t>
        </is>
      </c>
      <c r="D41" s="70" t="inlineStr">
        <is>
          <t>Line 58220</t>
        </is>
      </c>
      <c r="E41" s="870">
        <f>(_xlfn.XLOOKUP(MainClient,Clients!D:D,Clients!AOC:AOC,2,0,1))</f>
        <v/>
      </c>
      <c r="F41" s="148" t="inlineStr">
        <is>
          <t>Line 59030</t>
        </is>
      </c>
      <c r="G41" s="149">
        <f>IF(TransferName="NONE",0,(_xlfn.XLOOKUP(TransferNumber,Clients!D:D,Clients!APU:APU,2,0,1)))</f>
        <v/>
      </c>
      <c r="H41" s="148">
        <f>IF(AND(E41&gt;0,G41=0),"Senior Supplementary Amount Can Be Transferred","No Action")</f>
        <v/>
      </c>
      <c r="I41" s="60" t="n"/>
      <c r="J41" s="667" t="inlineStr">
        <is>
          <t>Senior Supplementary Amount</t>
        </is>
      </c>
      <c r="L41" s="70" t="inlineStr">
        <is>
          <t>Line 58220</t>
        </is>
      </c>
      <c r="M41" s="870">
        <f>(_xlfn.XLOOKUP(MainClient,Clients!D:D,Clients!BOX:BOX,2,0,1))</f>
        <v/>
      </c>
      <c r="N41" s="148" t="inlineStr">
        <is>
          <t>Line 59030</t>
        </is>
      </c>
      <c r="O41" s="149">
        <f>IF(TransferName="NONE",0,(_xlfn.XLOOKUP(TransferNumber,Clients!D:D,Clients!BQP:BQP,2,0,1)))</f>
        <v/>
      </c>
      <c r="P41" s="148">
        <f>IF(AND(M41&gt;0,O41=0),"Senior Supplementary Amount Can Be Transferred","No Action")</f>
        <v/>
      </c>
    </row>
    <row r="42" ht="15.75" customHeight="1" thickBot="1">
      <c r="B42" s="723" t="inlineStr">
        <is>
          <t>Pension Income Amount</t>
        </is>
      </c>
      <c r="D42" s="70" t="inlineStr">
        <is>
          <t>Line 58360 (mx 1000)</t>
        </is>
      </c>
      <c r="E42" s="870">
        <f>IF((_xlfn.XLOOKUP(ClientNumber,Clients!D:D,Clients!AOR:AOR,2,0,1)&lt;1000),(_xlfn.XLOOKUP(MainClient,Clients!D:D,Clients!AOR:AOR,2,0,1)),1000)</f>
        <v/>
      </c>
      <c r="F42" s="148" t="inlineStr">
        <is>
          <t>Line 59050</t>
        </is>
      </c>
      <c r="G42" s="149">
        <f>IF(TransferName="NONE",0,(_xlfn.XLOOKUP(TransferNumber,Clients!D:D,Clients!APW:APW,2,0,1)))</f>
        <v/>
      </c>
      <c r="H42" s="148">
        <f>IF(AND(E42&gt;0,G42=0),"DTC Transferable Not Claimed Can Be Transferred","No Action")</f>
        <v/>
      </c>
      <c r="I42" s="60" t="n"/>
      <c r="J42" s="723" t="inlineStr">
        <is>
          <t>Pension Income Amount</t>
        </is>
      </c>
      <c r="L42" s="70" t="inlineStr">
        <is>
          <t>Line 58360 (mx 1000)</t>
        </is>
      </c>
      <c r="M42" s="870">
        <f>IF((_xlfn.XLOOKUP(ClientNumber,Clients!D:D,Clients!BPM:BPM,2,0,1)&lt;1000),(_xlfn.XLOOKUP(MainClient,Clients!D:D,Clients!BPM:BPM,2,0,1)),1000)</f>
        <v/>
      </c>
      <c r="N42" s="148" t="inlineStr">
        <is>
          <t>Line 59050</t>
        </is>
      </c>
      <c r="O42" s="149">
        <f>IF(TransferName="NONE",0,(_xlfn.XLOOKUP(TransferNumber,Clients!D:D,Clients!BQR:BQR,2,0,1)))</f>
        <v/>
      </c>
      <c r="P42" s="148">
        <f>IF(AND(M42&gt;0,O42=0),"Pension Income Amount Can Be Transferred","No Action")</f>
        <v/>
      </c>
    </row>
    <row r="43" ht="15.75" customHeight="1" thickBot="1">
      <c r="A43" t="inlineStr">
        <is>
          <t>`</t>
        </is>
      </c>
      <c r="B43" s="723" t="inlineStr">
        <is>
          <t>Disability Amount</t>
        </is>
      </c>
      <c r="D43" s="70" t="inlineStr">
        <is>
          <t>Line 58440</t>
        </is>
      </c>
      <c r="E43" s="870">
        <f>IF(_xlfn.XLOOKUP(ClientNumber,Clients!D:D,Clients!AOT:AOT,2,0,1)=0,9789,(_xlfn.XLOOKUP(MainClient,Clients!D:D,Clients!AOT:AOT,2,0,1)))</f>
        <v/>
      </c>
      <c r="F43" s="148" t="inlineStr">
        <is>
          <t>Line 59070</t>
        </is>
      </c>
      <c r="G43" s="149">
        <f>IF(TransferName="NONE",0,(_xlfn.XLOOKUP(TransferNumber,Clients!D:D,Clients!APX:APX,2,0,1)))</f>
        <v/>
      </c>
      <c r="H43" s="148">
        <f>IF(AND(E43&gt;0,G43=0),"DTC Transferable Not Claimed Can Be Transferred","No Action")</f>
        <v/>
      </c>
      <c r="I43" s="60" t="n"/>
      <c r="J43" s="723" t="inlineStr">
        <is>
          <t>Disability Amount</t>
        </is>
      </c>
      <c r="L43" s="70" t="inlineStr">
        <is>
          <t>Line 58440</t>
        </is>
      </c>
      <c r="M43" s="870">
        <f>IF(_xlfn.XLOOKUP(ClientNumber,Clients!D:D,Clients!BPO:BPO,2,0,1)=0,9559,(_xlfn.XLOOKUP(MainClient,Clients!D:D,Clients!BPO:BPO,2,0,1)))</f>
        <v/>
      </c>
      <c r="N43" s="148" t="inlineStr">
        <is>
          <t>Line 59070</t>
        </is>
      </c>
      <c r="O43" s="149">
        <f>IF(TransferName="NONE",0,(_xlfn.XLOOKUP(TransferNumber,Clients!D:D,Clients!BQS:BQS,2,0,1)))</f>
        <v/>
      </c>
      <c r="P43" s="148">
        <f>IF(AND(M43&gt;0,O43=0),"DTC Transferable Not Claimed Can Be Transferred","No Action")</f>
        <v/>
      </c>
    </row>
    <row r="44">
      <c r="B44" s="723" t="n"/>
      <c r="D44" s="70" t="n"/>
      <c r="E44" s="888">
        <f>SUM(E39:E43)</f>
        <v/>
      </c>
      <c r="F44" s="148" t="n"/>
      <c r="G44" s="723">
        <f>SUM(G39:G43)</f>
        <v/>
      </c>
      <c r="H44" s="148" t="n"/>
      <c r="I44" s="60" t="n"/>
      <c r="J44" s="723" t="n"/>
      <c r="L44" s="70" t="n"/>
      <c r="M44" s="889">
        <f>SUM(M39:M43)</f>
        <v/>
      </c>
      <c r="N44" s="148" t="n"/>
      <c r="O44" s="723">
        <f>SUM(O39:O43)</f>
        <v/>
      </c>
      <c r="P44" s="148" t="n"/>
    </row>
    <row r="45" ht="15.75" customHeight="1" thickBot="1">
      <c r="B45" s="146" t="n"/>
      <c r="C45" s="70" t="n"/>
      <c r="D45" s="70" t="n"/>
      <c r="E45" s="70" t="n"/>
      <c r="F45" s="73" t="n"/>
      <c r="G45" s="70" t="n"/>
      <c r="H45" s="73" t="n"/>
      <c r="I45" s="60" t="n"/>
      <c r="J45" s="146" t="n"/>
      <c r="K45" s="70" t="n"/>
      <c r="L45" s="70" t="n"/>
      <c r="M45" s="70" t="n"/>
      <c r="N45" s="73" t="n"/>
      <c r="O45" s="70" t="n"/>
      <c r="P45" s="73" t="n"/>
    </row>
    <row r="46" ht="15.75" customHeight="1" thickBot="1">
      <c r="B46" s="723" t="inlineStr">
        <is>
          <t>Line 26000</t>
        </is>
      </c>
      <c r="C46" s="151">
        <f>(_xlfn.XLOOKUP(MainClient,Clients!D:D,Clients!AFS:AFS,2,0,1))</f>
        <v/>
      </c>
      <c r="D46" s="70" t="n"/>
      <c r="E46" s="70" t="n"/>
      <c r="F46" s="73" t="n"/>
      <c r="G46" s="146">
        <f>IF(E69&gt;E42,"other transferable credits","DTC Only")</f>
        <v/>
      </c>
      <c r="H46" s="73" t="n"/>
      <c r="I46" s="60" t="n"/>
      <c r="J46" s="723" t="inlineStr">
        <is>
          <t>Line 26000</t>
        </is>
      </c>
      <c r="K46" s="151">
        <f>(_xlfn.XLOOKUP(MainClient,Clients!D:D,Clients!BGN:BGN,2,0,1))</f>
        <v/>
      </c>
      <c r="L46" s="70" t="n"/>
      <c r="M46" s="70" t="n"/>
      <c r="N46" s="73" t="n"/>
      <c r="O46" s="146">
        <f>IF(M69&gt;M42,"other transferable credits","DTC Only")</f>
        <v/>
      </c>
      <c r="P46" s="73" t="n"/>
    </row>
    <row r="47" ht="15.75" customHeight="1" thickBot="1">
      <c r="B47" s="146" t="n"/>
      <c r="C47" s="70" t="n"/>
      <c r="D47" s="70" t="n"/>
      <c r="E47" s="70" t="n"/>
      <c r="F47" s="73" t="n"/>
      <c r="G47" s="146" t="n"/>
      <c r="H47" s="73" t="n"/>
      <c r="I47" s="60" t="n"/>
      <c r="J47" s="146" t="n"/>
      <c r="K47" s="70" t="n"/>
      <c r="L47" s="70" t="n"/>
      <c r="M47" s="70" t="n"/>
      <c r="N47" s="73" t="n"/>
      <c r="O47" s="146" t="n"/>
      <c r="P47" s="73" t="n"/>
    </row>
    <row r="48" ht="15.75" customHeight="1" thickBot="1">
      <c r="B48" s="152" t="inlineStr">
        <is>
          <t>Line 58040</t>
        </is>
      </c>
      <c r="C48" s="151">
        <f>(_xlfn.XLOOKUP(ClientNumber,Clients!D:D,Clients!ANQ:ANQ,2,0,1))</f>
        <v/>
      </c>
      <c r="D48" s="70" t="n"/>
      <c r="E48" s="70" t="n"/>
      <c r="F48" s="73" t="n"/>
      <c r="G48" s="146" t="n"/>
      <c r="H48" s="73" t="n"/>
      <c r="I48" s="60" t="n"/>
      <c r="J48" s="152" t="inlineStr">
        <is>
          <t>Line 58040</t>
        </is>
      </c>
      <c r="K48" s="151">
        <f>(_xlfn.XLOOKUP(MainClient,Clients!D:D,Clients!BOL:BOL,2,0,1))</f>
        <v/>
      </c>
      <c r="L48" s="70" t="n"/>
      <c r="M48" s="70" t="n"/>
      <c r="N48" s="73" t="n"/>
      <c r="O48" s="146" t="n"/>
      <c r="P48" s="73" t="n"/>
    </row>
    <row r="49" ht="15.75" customHeight="1" thickBot="1">
      <c r="B49" s="152" t="inlineStr">
        <is>
          <t>Line 58240</t>
        </is>
      </c>
      <c r="C49" s="151">
        <f>(_xlfn.XLOOKUP(ClientNumber,Clients!D:D,Clients!AOF:AOF,2,0,1))</f>
        <v/>
      </c>
      <c r="D49" s="70" t="n"/>
      <c r="E49" s="70" t="n"/>
      <c r="F49" s="73" t="n"/>
      <c r="G49" s="146" t="n"/>
      <c r="H49" s="73" t="n"/>
      <c r="I49" s="60" t="n"/>
      <c r="J49" s="152" t="inlineStr">
        <is>
          <t>Line 58240</t>
        </is>
      </c>
      <c r="K49" s="151">
        <f>(_xlfn.XLOOKUP(MainClient,Clients!D:D,Clients!BPA:BPA,2,0,1))</f>
        <v/>
      </c>
      <c r="L49" s="70" t="n"/>
      <c r="M49" s="70" t="n"/>
      <c r="N49" s="73" t="n"/>
      <c r="O49" s="146" t="n"/>
      <c r="P49" s="73" t="n"/>
    </row>
    <row r="50" ht="15.75" customHeight="1" thickBot="1">
      <c r="B50" s="152" t="inlineStr">
        <is>
          <t>Line 58280</t>
        </is>
      </c>
      <c r="C50" s="151">
        <f>(_xlfn.XLOOKUP(ClientNumber,Clients!D:D,Clients!AOG:AOG,2,0,1))</f>
        <v/>
      </c>
      <c r="D50" s="70" t="n"/>
      <c r="E50" s="70" t="n"/>
      <c r="F50" s="73" t="n"/>
      <c r="G50" s="146" t="n"/>
      <c r="H50" s="73" t="n"/>
      <c r="I50" s="60" t="n"/>
      <c r="J50" s="152" t="inlineStr">
        <is>
          <t>Line 58280</t>
        </is>
      </c>
      <c r="K50" s="151">
        <f>(_xlfn.XLOOKUP(MainClient,Clients!D:D,Clients!BPB:BPB,2,0,1))</f>
        <v/>
      </c>
      <c r="L50" s="70" t="n"/>
      <c r="M50" s="70" t="n"/>
      <c r="N50" s="73" t="n"/>
      <c r="O50" s="70" t="n"/>
      <c r="P50" s="73" t="n"/>
    </row>
    <row r="51" ht="15.75" customHeight="1" thickBot="1">
      <c r="B51" s="152" t="inlineStr">
        <is>
          <t>Line 58300</t>
        </is>
      </c>
      <c r="C51" s="151">
        <f>(_xlfn.XLOOKUP(ClientNumber,Clients!D:D,Clients!AOH:AOH,2,0,1))</f>
        <v/>
      </c>
      <c r="D51" s="70" t="n"/>
      <c r="E51" s="70" t="n"/>
      <c r="F51" s="73" t="n"/>
      <c r="G51" s="146" t="n"/>
      <c r="H51" s="73" t="n"/>
      <c r="I51" s="60" t="n"/>
      <c r="J51" s="152" t="inlineStr">
        <is>
          <t>Line 58300</t>
        </is>
      </c>
      <c r="K51" s="151">
        <f>(_xlfn.XLOOKUP(MainClient,Clients!D:D,Clients!BPC:BPC,2,0,1))</f>
        <v/>
      </c>
      <c r="L51" s="70" t="n"/>
      <c r="M51" s="70" t="n"/>
      <c r="N51" s="73" t="n"/>
      <c r="O51" s="146" t="n"/>
      <c r="P51" s="73" t="n"/>
    </row>
    <row r="52" ht="15.75" customHeight="1" thickBot="1">
      <c r="B52" s="152" t="inlineStr">
        <is>
          <t>Line 58305</t>
        </is>
      </c>
      <c r="C52" s="151">
        <f>(_xlfn.XLOOKUP(ClientNumber,Clients!D:D,Clients!AOI:AOI,2,0,1))</f>
        <v/>
      </c>
      <c r="D52" s="70" t="n"/>
      <c r="E52" s="70" t="n"/>
      <c r="F52" s="73" t="n"/>
      <c r="G52" s="146" t="n"/>
      <c r="H52" s="73" t="n"/>
      <c r="I52" s="60" t="n"/>
      <c r="J52" s="152" t="inlineStr">
        <is>
          <t>Line 58305</t>
        </is>
      </c>
      <c r="K52" s="151">
        <f>(_xlfn.XLOOKUP(MainClient,Clients!D:D,Clients!BPD:BPD,2,0,1))</f>
        <v/>
      </c>
      <c r="L52" s="70" t="n"/>
      <c r="M52" s="70" t="n"/>
      <c r="N52" s="73" t="n"/>
      <c r="O52" s="146" t="n"/>
      <c r="P52" s="73" t="n"/>
    </row>
    <row r="53" ht="15.75" customHeight="1" thickBot="1">
      <c r="B53" s="152" t="inlineStr">
        <is>
          <t>Line 58315</t>
        </is>
      </c>
      <c r="C53" s="151">
        <f>(_xlfn.XLOOKUP(ClientNumber,Clients!D:D,Clients!AOK:AOK,2,0,1))</f>
        <v/>
      </c>
      <c r="D53" s="70" t="n"/>
      <c r="E53" s="70" t="n"/>
      <c r="F53" s="73" t="n"/>
      <c r="G53" s="146" t="n"/>
      <c r="H53" s="73" t="n"/>
      <c r="I53" s="60" t="n"/>
      <c r="J53" s="152" t="inlineStr">
        <is>
          <t>Line 58357</t>
        </is>
      </c>
      <c r="K53" s="151">
        <f>(_xlfn.XLOOKUP(MainClient,Clients!D:D,Clients!BPL:BPL,2,0,1))</f>
        <v/>
      </c>
      <c r="L53" s="70" t="n"/>
      <c r="M53" s="70" t="n"/>
      <c r="N53" s="73" t="n"/>
      <c r="O53" s="146" t="n"/>
      <c r="P53" s="73" t="n"/>
    </row>
    <row r="54" ht="15.75" customHeight="1" thickBot="1">
      <c r="B54" s="152" t="inlineStr">
        <is>
          <t>Line 58316</t>
        </is>
      </c>
      <c r="C54" s="151">
        <f>(_xlfn.XLOOKUP(ClientNumber,Clients!D:D,Clients!AOL:AOL,2,0,1))</f>
        <v/>
      </c>
      <c r="D54" s="70" t="n"/>
      <c r="E54" s="70" t="n"/>
      <c r="F54" s="73" t="n"/>
      <c r="G54" s="146" t="n"/>
      <c r="H54" s="73" t="n"/>
      <c r="I54" s="60" t="n"/>
      <c r="J54" s="152" t="inlineStr">
        <is>
          <t>Line 58560</t>
        </is>
      </c>
      <c r="K54" s="151">
        <f>(_xlfn.XLOOKUP(MainClient,Clients!D:D,Clients!BPS:BPS,2,0,1))</f>
        <v/>
      </c>
      <c r="L54" s="70" t="n"/>
      <c r="M54" s="70" t="n"/>
      <c r="N54" s="73" t="n"/>
      <c r="O54" s="146" t="n"/>
      <c r="P54" s="73" t="n"/>
    </row>
    <row r="55" ht="15.75" customHeight="1" thickBot="1">
      <c r="B55" s="152" t="inlineStr">
        <is>
          <t>Line 58317</t>
        </is>
      </c>
      <c r="C55" s="151" t="n"/>
      <c r="D55" s="70" t="n"/>
      <c r="E55" s="70" t="n"/>
      <c r="F55" s="73" t="n"/>
      <c r="G55" s="146" t="n"/>
      <c r="H55" s="73" t="n"/>
      <c r="I55" s="60" t="n"/>
      <c r="J55" s="152" t="n"/>
      <c r="K55" s="151" t="n"/>
      <c r="L55" s="70" t="n"/>
      <c r="M55" s="70" t="n"/>
      <c r="N55" s="73" t="n"/>
      <c r="O55" s="146" t="n"/>
      <c r="P55" s="73" t="n"/>
    </row>
    <row r="56" ht="15.75" customHeight="1" thickBot="1">
      <c r="B56" s="152" t="inlineStr">
        <is>
          <t>Line 58340</t>
        </is>
      </c>
      <c r="C56" s="151" t="n"/>
      <c r="D56" s="70" t="n"/>
      <c r="E56" s="70" t="n"/>
      <c r="F56" s="73" t="n"/>
      <c r="G56" s="146" t="n"/>
      <c r="H56" s="73" t="n"/>
      <c r="I56" s="60" t="n"/>
      <c r="J56" s="152" t="n"/>
      <c r="K56" s="151" t="n"/>
      <c r="L56" s="70" t="n"/>
      <c r="M56" s="70" t="n"/>
      <c r="N56" s="73" t="n"/>
      <c r="O56" s="146" t="n"/>
      <c r="P56" s="73" t="n"/>
    </row>
    <row r="57" ht="15.75" customHeight="1" thickBot="1">
      <c r="B57" s="152" t="inlineStr">
        <is>
          <t>Line 58357</t>
        </is>
      </c>
      <c r="C57" s="151">
        <f>(_xlfn.XLOOKUP(ClientNumber,Clients!D:D,Clients!AOQ:AOQ,2,0,1))</f>
        <v/>
      </c>
      <c r="D57" s="70" t="n"/>
      <c r="E57" s="70" t="n"/>
      <c r="F57" s="73" t="n"/>
      <c r="G57" s="146" t="n"/>
      <c r="H57" s="73" t="n"/>
      <c r="I57" s="60" t="n"/>
      <c r="J57" s="152" t="n"/>
      <c r="K57" s="151" t="n"/>
      <c r="L57" s="70" t="n"/>
      <c r="M57" s="70" t="n"/>
      <c r="N57" s="73" t="n"/>
      <c r="O57" s="146" t="n"/>
      <c r="P57" s="73" t="n"/>
    </row>
    <row r="58" ht="15.75" customHeight="1" thickBot="1">
      <c r="B58" s="152" t="inlineStr">
        <is>
          <t>Line 58560</t>
        </is>
      </c>
      <c r="C58" s="151">
        <f>(_xlfn.XLOOKUP(ClientNumber,Clients!D:D,Clients!AOX:AOX,2,0,1))</f>
        <v/>
      </c>
      <c r="D58" s="70" t="n"/>
      <c r="E58" s="70" t="n"/>
      <c r="F58" s="73" t="n"/>
      <c r="G58" s="146" t="inlineStr">
        <is>
          <t>Line 32600</t>
        </is>
      </c>
      <c r="H58" s="73">
        <f>IF(TransferName="NONE",0,(_xlfn.XLOOKUP(TransferNumber,Clients!D:D,Clients!CIH:CIH,2,0,1)))</f>
        <v/>
      </c>
      <c r="I58" s="60" t="n"/>
      <c r="J58" s="152" t="n"/>
      <c r="K58" s="151" t="n"/>
      <c r="L58" s="70" t="n"/>
      <c r="M58" s="70" t="n"/>
      <c r="N58" s="73" t="n"/>
      <c r="O58" s="146" t="inlineStr">
        <is>
          <t>Line 58640</t>
        </is>
      </c>
      <c r="P58" s="73">
        <f>IFERROR(_xlfn.XLOOKUP(TransferNumber,Clients!D:D,Clients!OI:OI,2,0,1),0)</f>
        <v/>
      </c>
    </row>
    <row r="59" ht="15.75" customHeight="1" thickBot="1">
      <c r="B59" s="152" t="n"/>
      <c r="C59" s="151" t="n"/>
      <c r="D59" s="70" t="n"/>
      <c r="E59" s="70" t="n"/>
      <c r="F59" s="73" t="n"/>
      <c r="G59" s="146" t="n"/>
      <c r="H59" s="73" t="n"/>
      <c r="I59" s="60" t="n"/>
      <c r="J59" s="152" t="n"/>
      <c r="K59" s="151" t="n"/>
      <c r="L59" s="70" t="n"/>
      <c r="M59" s="70" t="n"/>
      <c r="N59" s="73" t="n"/>
      <c r="O59" s="146" t="n"/>
      <c r="P59" s="73" t="n"/>
    </row>
    <row r="60" ht="15.75" customHeight="1" thickBot="1">
      <c r="B60" s="152" t="n"/>
      <c r="C60" s="151" t="n"/>
      <c r="D60" s="70" t="n"/>
      <c r="E60" s="70" t="n"/>
      <c r="F60" s="73" t="n"/>
      <c r="G60" s="146" t="n"/>
      <c r="H60" s="73" t="n"/>
      <c r="I60" s="60" t="n"/>
      <c r="J60" s="152" t="n"/>
      <c r="K60" s="151" t="n"/>
      <c r="L60" s="70" t="n"/>
      <c r="M60" s="70" t="n"/>
      <c r="N60" s="73" t="n"/>
      <c r="O60" s="146" t="n"/>
      <c r="P60" s="73" t="n"/>
    </row>
    <row r="61" ht="15.75" customHeight="1" thickBot="1">
      <c r="B61" s="152" t="n"/>
      <c r="C61" s="151" t="n"/>
      <c r="D61" s="70" t="n"/>
      <c r="E61" s="70" t="n"/>
      <c r="F61" s="73" t="n"/>
      <c r="G61" s="146" t="n"/>
      <c r="H61" s="73" t="n"/>
      <c r="I61" s="60" t="n"/>
      <c r="J61" s="152" t="n"/>
      <c r="K61" s="151" t="n"/>
      <c r="L61" s="70" t="n"/>
      <c r="M61" s="70" t="n"/>
      <c r="N61" s="73" t="n"/>
      <c r="O61" s="146" t="n"/>
      <c r="P61" s="73" t="n"/>
    </row>
    <row r="62" ht="15.75" customHeight="1" thickBot="1">
      <c r="B62" s="152" t="n"/>
      <c r="C62" s="151" t="n"/>
      <c r="D62" s="70" t="n"/>
      <c r="E62" s="70" t="n"/>
      <c r="F62" s="73" t="n"/>
      <c r="G62" s="146" t="n"/>
      <c r="H62" s="73">
        <f>IF(E67&gt;0,E44-G44,0)</f>
        <v/>
      </c>
      <c r="I62" s="60" t="n"/>
      <c r="J62" s="152" t="n"/>
      <c r="K62" s="151" t="n"/>
      <c r="L62" s="70" t="n"/>
      <c r="M62" s="70" t="n"/>
      <c r="N62" s="73" t="n"/>
      <c r="O62" s="146" t="n"/>
      <c r="P62" s="73">
        <f>IF(M67&gt;0,M44-O44,0)</f>
        <v/>
      </c>
    </row>
    <row r="63" ht="15.75" customHeight="1" thickBot="1">
      <c r="B63" s="152" t="n"/>
      <c r="C63" s="151" t="n"/>
      <c r="D63" s="70" t="n"/>
      <c r="E63" s="70" t="n"/>
      <c r="F63" s="73" t="n"/>
      <c r="G63" s="70" t="n"/>
      <c r="H63" s="153">
        <f>IF(TransferName="NONE",F68,IF(H62&gt;0,(E67-G44)*0.105,0))</f>
        <v/>
      </c>
      <c r="I63" s="60" t="n"/>
      <c r="J63" s="152" t="n"/>
      <c r="K63" s="151" t="n"/>
      <c r="L63" s="70" t="n"/>
      <c r="M63" s="70" t="n"/>
      <c r="N63" s="73" t="n"/>
      <c r="O63" s="70" t="n"/>
      <c r="P63" s="153">
        <f>IF(TransferName="NONE",N68,IF(P62&gt;0,(M67-O44)*0.105,0))</f>
        <v/>
      </c>
    </row>
    <row r="64">
      <c r="B64" s="723" t="n"/>
      <c r="C64" s="70" t="n"/>
      <c r="D64" s="70" t="n"/>
      <c r="E64" s="70" t="n"/>
      <c r="F64" s="73" t="n"/>
      <c r="G64" s="146" t="inlineStr">
        <is>
          <t>Transferable</t>
        </is>
      </c>
      <c r="H64" s="153">
        <f>IF(H63&gt;0,H63,0)</f>
        <v/>
      </c>
      <c r="I64" s="60" t="n"/>
      <c r="J64" s="723" t="n"/>
      <c r="K64" s="70" t="n"/>
      <c r="L64" s="70" t="n"/>
      <c r="M64" s="70" t="n"/>
      <c r="N64" s="73" t="n"/>
      <c r="O64" s="146" t="inlineStr">
        <is>
          <t>Transferable</t>
        </is>
      </c>
      <c r="P64" s="153">
        <f>IF(P63&gt;0,P63,0)</f>
        <v/>
      </c>
    </row>
    <row r="65">
      <c r="B65" s="723" t="inlineStr">
        <is>
          <t>Adjusted Taxable Income</t>
        </is>
      </c>
      <c r="C65" s="70">
        <f>C46-(SUM(C48:C63))</f>
        <v/>
      </c>
      <c r="D65" s="154" t="inlineStr">
        <is>
          <t>Line 58640</t>
        </is>
      </c>
      <c r="E65" s="155">
        <f>IF(C65&gt;0,C65,0)</f>
        <v/>
      </c>
      <c r="F65" s="73" t="n"/>
      <c r="G65" s="146" t="n"/>
      <c r="H65" s="73" t="n"/>
      <c r="I65" s="60" t="n"/>
      <c r="J65" s="723" t="inlineStr">
        <is>
          <t>Adjusted Taxable Income</t>
        </is>
      </c>
      <c r="K65" s="70">
        <f>K46-(SUM(K48:K63))</f>
        <v/>
      </c>
      <c r="L65" s="154" t="inlineStr">
        <is>
          <t>Line 5864</t>
        </is>
      </c>
      <c r="M65" s="155">
        <f>IF(K65&gt;0,K65,0)</f>
        <v/>
      </c>
      <c r="N65" s="73" t="n"/>
      <c r="O65" s="146" t="n"/>
      <c r="P65" s="73" t="n"/>
    </row>
    <row r="66" ht="15.75" customHeight="1" thickBot="1">
      <c r="B66" s="146" t="n"/>
      <c r="C66" s="70" t="n"/>
      <c r="D66" s="70" t="n"/>
      <c r="E66" s="70" t="n"/>
      <c r="F66" s="73" t="n"/>
      <c r="G66" s="146" t="n"/>
      <c r="H66" s="73" t="n"/>
      <c r="I66" s="60" t="n"/>
      <c r="J66" s="146" t="n"/>
      <c r="K66" s="70" t="n"/>
      <c r="L66" s="70" t="n"/>
      <c r="M66" s="70" t="n"/>
      <c r="N66" s="73" t="n"/>
      <c r="O66" s="146" t="n"/>
      <c r="P66" s="73" t="n"/>
    </row>
    <row r="67" ht="15.75" customHeight="1" thickBot="1">
      <c r="B67" s="146" t="n"/>
      <c r="C67" s="70" t="n"/>
      <c r="D67" s="156" t="inlineStr">
        <is>
          <t>Prov Trans</t>
        </is>
      </c>
      <c r="E67" s="151">
        <f>(E44-E65)</f>
        <v/>
      </c>
      <c r="F67" s="157" t="n"/>
      <c r="G67" s="146" t="n"/>
      <c r="H67" s="153" t="n"/>
      <c r="I67" s="60" t="n"/>
      <c r="J67" s="146" t="n"/>
      <c r="K67" s="70" t="n"/>
      <c r="L67" s="156" t="inlineStr">
        <is>
          <t>Prov Trans</t>
        </is>
      </c>
      <c r="M67" s="151">
        <f>(M44-M65)</f>
        <v/>
      </c>
      <c r="N67" s="157" t="n"/>
      <c r="O67" s="146" t="n"/>
      <c r="P67" s="153" t="n"/>
    </row>
    <row r="68" ht="15.75" customHeight="1" thickBot="1">
      <c r="B68" s="146" t="n"/>
      <c r="C68" s="726" t="inlineStr">
        <is>
          <t>DTC Transferable ESTIMATE</t>
        </is>
      </c>
      <c r="D68" s="35" t="n"/>
      <c r="E68" s="151">
        <f>IF(E67&lt;0,0,(IF(E67&gt;E43,E43,E67)))</f>
        <v/>
      </c>
      <c r="F68" s="157">
        <f>IF(E68&gt;0,E68*0.105,"No Transfer Required")</f>
        <v/>
      </c>
      <c r="G68" s="728" t="n"/>
      <c r="H68" s="153" t="n"/>
      <c r="I68" s="60" t="n"/>
      <c r="J68" s="146" t="n"/>
      <c r="K68" s="726" t="inlineStr">
        <is>
          <t>DTC Transferable ESTIMATE</t>
        </is>
      </c>
      <c r="L68" s="35" t="n"/>
      <c r="M68" s="151">
        <f>IF(M67&lt;0,0,(IF(M67&gt;M43,M43,M67)))</f>
        <v/>
      </c>
      <c r="N68" s="157">
        <f>IF(M68&gt;0,M68*0.105,"No Transfer Required")</f>
        <v/>
      </c>
      <c r="O68" s="181" t="n"/>
      <c r="P68" s="153" t="n"/>
    </row>
    <row r="69" ht="15.75" customHeight="1" thickBot="1">
      <c r="B69" s="158" t="n"/>
      <c r="C69" s="159" t="n"/>
      <c r="D69" s="159" t="inlineStr">
        <is>
          <t>Net Transferable</t>
        </is>
      </c>
      <c r="E69" s="151">
        <f>IF(E67&lt;0,0,(IF(E67-G39-G40-G41-G43&lt;0,E67,(E67-G39-G40-G41-G43))))</f>
        <v/>
      </c>
      <c r="F69" s="160">
        <f>IF(E69&gt;0,E69*0.105,"0")</f>
        <v/>
      </c>
      <c r="G69" s="42" t="n"/>
      <c r="H69" s="890" t="n"/>
      <c r="I69" s="60" t="n"/>
      <c r="J69" s="158" t="n"/>
      <c r="K69" s="159" t="n"/>
      <c r="L69" s="159" t="inlineStr">
        <is>
          <t>Net Transferable</t>
        </is>
      </c>
      <c r="M69" s="151">
        <f>IF(M67&lt;0,0,(IF(M67-O39-O40-O41-O42&lt;0,M67,(M67-O39-O40-O41-O42))))</f>
        <v/>
      </c>
      <c r="N69" s="160">
        <f>IF(M69&gt;0,M69*0.105,"0")</f>
        <v/>
      </c>
      <c r="O69" s="182" t="n"/>
      <c r="P69" s="890" t="n"/>
    </row>
    <row r="70">
      <c r="B70" s="70" t="n"/>
      <c r="C70" s="70" t="n"/>
      <c r="D70" s="70" t="n"/>
      <c r="E70" s="70" t="n"/>
      <c r="F70" s="176" t="n"/>
      <c r="G70" s="177" t="n"/>
      <c r="H70" s="886" t="n"/>
      <c r="L70" s="60" t="n"/>
      <c r="N70" s="61" t="n"/>
      <c r="O70" s="64" t="n"/>
      <c r="P70" s="866" t="n"/>
    </row>
    <row r="71" ht="15.75" customHeight="1" thickBot="1">
      <c r="E71">
        <f>Calculator!$D$5</f>
        <v/>
      </c>
      <c r="H71">
        <f>TransferName</f>
        <v/>
      </c>
      <c r="M71">
        <f>Calculator!$D$5</f>
        <v/>
      </c>
      <c r="P71">
        <f>TransferName</f>
        <v/>
      </c>
    </row>
    <row r="72" ht="15.75" customHeight="1" thickBot="1">
      <c r="B72" s="879" t="inlineStr">
        <is>
          <t>2020 SASKATCHEWAN Provincial</t>
        </is>
      </c>
      <c r="C72" s="778" t="n"/>
      <c r="D72" s="778" t="n"/>
      <c r="E72" s="778" t="n"/>
      <c r="F72" s="778" t="n"/>
      <c r="G72" s="778" t="n"/>
      <c r="H72" s="780" t="n"/>
      <c r="J72" s="879" t="inlineStr">
        <is>
          <t>2019 SASKATCHEWAN Provincial</t>
        </is>
      </c>
      <c r="K72" s="778" t="n"/>
      <c r="L72" s="778" t="n"/>
      <c r="M72" s="778" t="n"/>
      <c r="N72" s="778" t="n"/>
      <c r="O72" s="778" t="n"/>
      <c r="P72" s="780" t="n"/>
    </row>
    <row r="73" ht="28.5" customHeight="1" thickBot="1">
      <c r="B73" s="34" t="n"/>
      <c r="D73" t="inlineStr">
        <is>
          <t>Line</t>
        </is>
      </c>
      <c r="E73" t="inlineStr">
        <is>
          <t>Amt</t>
        </is>
      </c>
      <c r="F73" s="35" t="n"/>
      <c r="G73" s="667" t="inlineStr">
        <is>
          <t>Spouse</t>
        </is>
      </c>
      <c r="H73" s="35" t="inlineStr">
        <is>
          <t>S2 Adjustment</t>
        </is>
      </c>
      <c r="J73" s="34" t="n"/>
      <c r="L73" t="inlineStr">
        <is>
          <t>Line</t>
        </is>
      </c>
      <c r="M73" t="inlineStr">
        <is>
          <t>Amt</t>
        </is>
      </c>
      <c r="N73" s="35" t="n"/>
      <c r="O73" s="34" t="inlineStr">
        <is>
          <t>Spouse</t>
        </is>
      </c>
      <c r="P73" s="35" t="inlineStr">
        <is>
          <t>S2 Adjustment</t>
        </is>
      </c>
    </row>
    <row r="74" ht="15.75" customHeight="1" thickBot="1">
      <c r="B74" s="667" t="inlineStr">
        <is>
          <t>Amount for dependent children born in 2001 or later</t>
        </is>
      </c>
      <c r="D74" t="inlineStr">
        <is>
          <t>Line 58210</t>
        </is>
      </c>
      <c r="E74" s="865">
        <f>(_xlfn.XLOOKUP(MainClient,Clients!D:D,Clients!CPR:CPR,2,0,1))</f>
        <v/>
      </c>
      <c r="F74" s="37" t="inlineStr">
        <is>
          <t>Line 59010</t>
        </is>
      </c>
      <c r="G74" s="51">
        <f>IF(TransferName="NONE",0,(_xlfn.XLOOKUP(TransferNumber,Clients!D:D,Clients!CRI:CRI,2,0,1)))</f>
        <v/>
      </c>
      <c r="H74" s="37">
        <f>IF(AND(E74&gt;0,G74=0),"Amount For Dependent Children Born in X or Later Can Be Transferred","No Action")</f>
        <v/>
      </c>
      <c r="J74" s="667" t="inlineStr">
        <is>
          <t>Amount for dependent children born in 2001 or later</t>
        </is>
      </c>
      <c r="L74" t="inlineStr">
        <is>
          <t>Line 58210</t>
        </is>
      </c>
      <c r="M74" s="865">
        <f>(_xlfn.XLOOKUP(MainClient,Clients!D:D,Clients!DQM:DQM,2,0,1))</f>
        <v/>
      </c>
      <c r="N74" s="37" t="inlineStr">
        <is>
          <t>Line 59010</t>
        </is>
      </c>
      <c r="O74" s="51">
        <f>IF(TransferName="NONE",0,(_xlfn.XLOOKUP(TransferNumber,Clients!D:D,Clients!DSD:DSD,2,0,1)))</f>
        <v/>
      </c>
      <c r="P74" s="37">
        <f>IF(AND(M74&gt;0,O74=0),"Amount For Dependent Children Born in X or Later Can Be Transferred","No Action")</f>
        <v/>
      </c>
    </row>
    <row r="75" ht="15.75" customHeight="1" thickBot="1">
      <c r="B75" s="667" t="inlineStr">
        <is>
          <t>Age Amount</t>
        </is>
      </c>
      <c r="D75" t="inlineStr">
        <is>
          <t>Line 58080</t>
        </is>
      </c>
      <c r="E75" s="865">
        <f>(_xlfn.XLOOKUP(MainClient,Clients!D:D,Clients!CPH:CPH,2,0,1))</f>
        <v/>
      </c>
      <c r="F75" s="37" t="inlineStr">
        <is>
          <t>Line 59020</t>
        </is>
      </c>
      <c r="G75" s="51">
        <f>IF(TransferName="NONE",0,(_xlfn.XLOOKUP(TransferNumber,Clients!D:D,Clients!CRJ:CRJ,2,0,1)))</f>
        <v/>
      </c>
      <c r="H75" s="37">
        <f>IF(AND(E75&gt;0,G75=0),"Age Amount Can Be Transferred","No Action")</f>
        <v/>
      </c>
      <c r="J75" s="667" t="inlineStr">
        <is>
          <t>Age Amount</t>
        </is>
      </c>
      <c r="L75" t="inlineStr">
        <is>
          <t>Line 58080</t>
        </is>
      </c>
      <c r="M75" s="865">
        <f>(_xlfn.XLOOKUP(MainClient,Clients!D:D,Clients!DQC:DQC,2,0,1))</f>
        <v/>
      </c>
      <c r="N75" s="37" t="inlineStr">
        <is>
          <t>Line 59020</t>
        </is>
      </c>
      <c r="O75" s="51">
        <f>IF(TransferName="NONE",0,(_xlfn.XLOOKUP(TransferNumber,Clients!D:D,Clients!DSE:DSE,2,0,1)))</f>
        <v/>
      </c>
      <c r="P75" s="37">
        <f>IF(AND(M75&gt;0,O75=0),"Age Amount Can Be Transferred","No Action")</f>
        <v/>
      </c>
    </row>
    <row r="76" ht="15.75" customHeight="1" thickBot="1">
      <c r="B76" s="667" t="inlineStr">
        <is>
          <t>Senior Supplementary Amount</t>
        </is>
      </c>
      <c r="D76" t="inlineStr">
        <is>
          <t>Line 58220</t>
        </is>
      </c>
      <c r="E76" s="865">
        <f>(_xlfn.XLOOKUP(MainClient,Clients!D:D,Clients!CPS:CPS,2,0,1))</f>
        <v/>
      </c>
      <c r="F76" s="37" t="inlineStr">
        <is>
          <t>Line 59030</t>
        </is>
      </c>
      <c r="G76" s="51">
        <f>IF(TransferName="NONE",0,(_xlfn.XLOOKUP(TransferNumber,Clients!D:D,Clients!CRK:CRK,2,0,1)))</f>
        <v/>
      </c>
      <c r="H76" s="37">
        <f>IF(AND(E76&gt;0,G76=0),"Senior Supplementary Amount Can Be Transferred","No Action")</f>
        <v/>
      </c>
      <c r="J76" s="667" t="inlineStr">
        <is>
          <t>Senior Supplementary Amount</t>
        </is>
      </c>
      <c r="L76" t="inlineStr">
        <is>
          <t>Line 58220</t>
        </is>
      </c>
      <c r="M76" s="865">
        <f>(_xlfn.XLOOKUP(MainClient,Clients!D:D,Clients!DQN:DQN,2,0,1))</f>
        <v/>
      </c>
      <c r="N76" s="37" t="inlineStr">
        <is>
          <t>Line 59030</t>
        </is>
      </c>
      <c r="O76" s="51">
        <f>IF(TransferName="NONE",0,(_xlfn.XLOOKUP(TransferNumber,Clients!D:D,Clients!DSF:DSF,2,0,1)))</f>
        <v/>
      </c>
      <c r="P76" s="37">
        <f>IF(AND(M76&gt;0,O76=0),"Senior Supplementary Amount Can Be Transferred","No Action")</f>
        <v/>
      </c>
    </row>
    <row r="77" ht="15.75" customHeight="1" thickBot="1">
      <c r="B77" s="667" t="inlineStr">
        <is>
          <t>Pension Income Amount</t>
        </is>
      </c>
      <c r="D77" t="inlineStr">
        <is>
          <t>Line 58360 (mx 1000)</t>
        </is>
      </c>
      <c r="E77" s="865">
        <f>IF((_xlfn.XLOOKUP(ClientNumber,Clients!D:D,Clients!CQH:CQH,2,0,1)&lt;1000),(_xlfn.XLOOKUP(MainClient,Clients!D:D,Clients!CQH:CQH,2,0,1)),1000)</f>
        <v/>
      </c>
      <c r="F77" s="37" t="inlineStr">
        <is>
          <t>Line 59050</t>
        </is>
      </c>
      <c r="G77" s="51">
        <f>IF(TransferName="NONE",0,(_xlfn.XLOOKUP(TransferNumber,Clients!D:D,Clients!CRM:CRM,2,0,1)))</f>
        <v/>
      </c>
      <c r="H77" s="37">
        <f>IF(AND(E77&gt;0,G77=0),"DTC Transferable Not Claimed Can Be Transferred","No Action")</f>
        <v/>
      </c>
      <c r="J77" s="667" t="inlineStr">
        <is>
          <t>Pension Income Amount</t>
        </is>
      </c>
      <c r="L77" t="inlineStr">
        <is>
          <t>Line 58360 (mx 1000)</t>
        </is>
      </c>
      <c r="M77" s="865">
        <f>IF((_xlfn.XLOOKUP(ClientNumber,Clients!D:D,Clients!DRC:DRC,2,0,1)&lt;1000),(_xlfn.XLOOKUP(MainClient,Clients!D:D,Clients!DRC:DRC,2,0,1)),1000)</f>
        <v/>
      </c>
      <c r="N77" s="37" t="inlineStr">
        <is>
          <t>Line 59050</t>
        </is>
      </c>
      <c r="O77" s="51">
        <f>IF(TransferName="NONE",0,(_xlfn.XLOOKUP(TransferNumber,Clients!D:D,Clients!DSH:DSH,2,0,1)))</f>
        <v/>
      </c>
      <c r="P77" s="37">
        <f>IF(AND(M77&gt;0,O77=0),"Pension Income Amount Can Be Transferred","No Action")</f>
        <v/>
      </c>
    </row>
    <row r="78" ht="15.75" customHeight="1" thickBot="1">
      <c r="B78" s="667" t="inlineStr">
        <is>
          <t>Disability Amount</t>
        </is>
      </c>
      <c r="D78" t="inlineStr">
        <is>
          <t>Line 58440</t>
        </is>
      </c>
      <c r="E78" s="865">
        <f>IF(_xlfn.XLOOKUP(ClientNumber,Clients!D:D,Clients!CQJ:CQJ,2,0,1)=0,9464,(_xlfn.XLOOKUP(MainClient,Clients!D:D,Clients!CQJ:CQJ,2,0,1)))</f>
        <v/>
      </c>
      <c r="F78" s="37" t="inlineStr">
        <is>
          <t>Line 59070</t>
        </is>
      </c>
      <c r="G78" s="51">
        <f>IF(TransferName="NONE",0,(_xlfn.XLOOKUP(TransferNumber,Clients!D:D,Clients!CRN:CRN,2,0,1)))</f>
        <v/>
      </c>
      <c r="H78" s="37">
        <f>IF(AND(E78&gt;0,G78=0),"DTC Transferable Not Claimed Can Be Transferred","No Action")</f>
        <v/>
      </c>
      <c r="J78" s="667" t="inlineStr">
        <is>
          <t>Disability Amount</t>
        </is>
      </c>
      <c r="L78" t="inlineStr">
        <is>
          <t>Line 58440</t>
        </is>
      </c>
      <c r="M78" s="865">
        <f>IF(_xlfn.XLOOKUP(ClientNumber,Clients!D:D,Clients!DRE:DRE,2,0,1)=0,9464,(_xlfn.XLOOKUP(MainClient,Clients!D:D,Clients!DRE:DRE,2,0,1)))</f>
        <v/>
      </c>
      <c r="N78" s="37" t="inlineStr">
        <is>
          <t>Line 59070</t>
        </is>
      </c>
      <c r="O78" s="51">
        <f>IF(TransferName="NONE",0,(_xlfn.XLOOKUP(TransferNumber,Clients!D:D,Clients!DSI:DSI,2,0,1)))</f>
        <v/>
      </c>
      <c r="P78" s="37">
        <f>IF(AND(M78&gt;0,O78=0),"DTC Transferable Not Claimed Can Be Transferred","No Action")</f>
        <v/>
      </c>
    </row>
    <row r="79">
      <c r="B79" s="667" t="n"/>
      <c r="E79" s="771">
        <f>SUM(E74:E78)</f>
        <v/>
      </c>
      <c r="F79" s="37" t="n"/>
      <c r="G79" s="667">
        <f>SUM(G74:G78)</f>
        <v/>
      </c>
      <c r="H79" s="37" t="n"/>
      <c r="J79" s="667" t="n"/>
      <c r="M79" s="872">
        <f>SUM(M74:M78)</f>
        <v/>
      </c>
      <c r="N79" s="37" t="n"/>
      <c r="O79" s="667">
        <f>SUM(O74:O78)</f>
        <v/>
      </c>
      <c r="P79" s="37" t="n"/>
    </row>
    <row r="80" ht="15.75" customHeight="1" thickBot="1">
      <c r="B80" s="34" t="n"/>
      <c r="F80" s="35" t="n"/>
      <c r="H80" s="35" t="n"/>
      <c r="J80" s="34" t="n"/>
      <c r="N80" s="35" t="n"/>
      <c r="P80" s="35" t="n"/>
    </row>
    <row r="81" ht="15.75" customHeight="1" thickBot="1">
      <c r="B81" s="667" t="inlineStr">
        <is>
          <t>Line 26000</t>
        </is>
      </c>
      <c r="C81" s="36">
        <f>(_xlfn.XLOOKUP(MainClient,Clients!D:D,Clients!CHI:CHI,2,0,1))</f>
        <v/>
      </c>
      <c r="F81" s="35" t="n"/>
      <c r="G81" s="34">
        <f>IF(E104&gt;E77,"other transferable credits","DTC Only")</f>
        <v/>
      </c>
      <c r="H81" s="35" t="n"/>
      <c r="J81" s="667" t="inlineStr">
        <is>
          <t>Line 26000</t>
        </is>
      </c>
      <c r="K81" s="36">
        <f>(_xlfn.XLOOKUP(MainClient,Clients!D:D,Clients!DID:DID,2,0,1))</f>
        <v/>
      </c>
      <c r="N81" s="35" t="n"/>
      <c r="O81" s="34">
        <f>IF(M104&gt;M77,"other transferable credits","DTC Only")</f>
        <v/>
      </c>
      <c r="P81" s="35" t="n"/>
    </row>
    <row r="82" ht="15.75" customHeight="1" thickBot="1">
      <c r="B82" s="34" t="n"/>
      <c r="F82" s="35" t="n"/>
      <c r="G82" s="34" t="n"/>
      <c r="H82" s="35" t="n"/>
      <c r="J82" s="34" t="n"/>
      <c r="N82" s="35" t="n"/>
      <c r="O82" s="34" t="n"/>
      <c r="P82" s="35" t="n"/>
    </row>
    <row r="83" ht="15.75" customHeight="1" thickBot="1">
      <c r="B83" s="55" t="inlineStr">
        <is>
          <t>Line 58040</t>
        </is>
      </c>
      <c r="C83" s="36">
        <f>(_xlfn.XLOOKUP(ClientNumber,Clients!D:D,Clients!CPG:CPG,2,0,1))</f>
        <v/>
      </c>
      <c r="F83" s="35" t="n"/>
      <c r="G83" s="34" t="n"/>
      <c r="H83" s="35" t="n"/>
      <c r="J83" s="55" t="inlineStr">
        <is>
          <t>Line 58040</t>
        </is>
      </c>
      <c r="K83" s="36">
        <f>(_xlfn.XLOOKUP(MainClient,Clients!D:D,Clients!DQB:DQB,2,0,1))</f>
        <v/>
      </c>
      <c r="N83" s="35" t="n"/>
      <c r="O83" s="34" t="n"/>
      <c r="P83" s="35" t="n"/>
    </row>
    <row r="84" ht="15.75" customHeight="1" thickBot="1">
      <c r="B84" s="55" t="inlineStr">
        <is>
          <t>Line 58240</t>
        </is>
      </c>
      <c r="C84" s="36">
        <f>(_xlfn.XLOOKUP(ClientNumber,Clients!D:D,Clients!CHU:CHU,2,0,1))</f>
        <v/>
      </c>
      <c r="F84" s="35" t="n"/>
      <c r="G84" s="34" t="n"/>
      <c r="H84" s="35" t="n"/>
      <c r="J84" s="55" t="inlineStr">
        <is>
          <t>Line 58240</t>
        </is>
      </c>
      <c r="K84" s="36">
        <f>(_xlfn.XLOOKUP(MainClient,Clients!D:D,Clients!DQQ:DQQ,2,0,1))</f>
        <v/>
      </c>
      <c r="N84" s="35" t="n"/>
      <c r="O84" s="34" t="n"/>
      <c r="P84" s="35" t="n"/>
    </row>
    <row r="85" ht="15.75" customHeight="1" thickBot="1">
      <c r="B85" s="55" t="inlineStr">
        <is>
          <t>Line 58280</t>
        </is>
      </c>
      <c r="C85" s="36">
        <f>(_xlfn.XLOOKUP(ClientNumber,Clients!D:D,Clients!CHV:CHV,2,0,1))</f>
        <v/>
      </c>
      <c r="F85" s="35" t="n"/>
      <c r="G85" s="34" t="n"/>
      <c r="H85" s="35" t="n"/>
      <c r="J85" s="55" t="inlineStr">
        <is>
          <t>Line 58280</t>
        </is>
      </c>
      <c r="K85" s="36">
        <f>(_xlfn.XLOOKUP(MainClient,Clients!D:D,Clients!DQR:DQR,2,0,1))</f>
        <v/>
      </c>
      <c r="N85" s="35" t="n"/>
      <c r="P85" s="35" t="n"/>
    </row>
    <row r="86" ht="15.75" customHeight="1" thickBot="1">
      <c r="B86" s="55" t="inlineStr">
        <is>
          <t>Line 58300</t>
        </is>
      </c>
      <c r="C86" s="36">
        <f>(_xlfn.XLOOKUP(ClientNumber,Clients!D:D,Clients!CHW:CHW,2,0,1))</f>
        <v/>
      </c>
      <c r="F86" s="35" t="n"/>
      <c r="G86" s="34" t="n"/>
      <c r="H86" s="35" t="n"/>
      <c r="J86" s="55" t="inlineStr">
        <is>
          <t>Line 58300</t>
        </is>
      </c>
      <c r="K86" s="36">
        <f>(_xlfn.XLOOKUP(MainClient,Clients!D:D,Clients!DQS:DQS,2,0,1))</f>
        <v/>
      </c>
      <c r="N86" s="35" t="n"/>
      <c r="O86" s="34" t="n"/>
      <c r="P86" s="35" t="n"/>
    </row>
    <row r="87" ht="15.75" customHeight="1" thickBot="1">
      <c r="B87" s="55" t="inlineStr">
        <is>
          <t>Line 58305</t>
        </is>
      </c>
      <c r="C87" s="36">
        <f>(_xlfn.XLOOKUP(ClientNumber,Clients!D:D,Clients!CIA:CIA,2,0,1))</f>
        <v/>
      </c>
      <c r="F87" s="35" t="n"/>
      <c r="G87" s="34" t="n"/>
      <c r="H87" s="35" t="n"/>
      <c r="J87" s="55" t="inlineStr">
        <is>
          <t>Line 58305</t>
        </is>
      </c>
      <c r="K87" s="36">
        <f>(_xlfn.XLOOKUP(MainClient,Clients!D:D,Clients!DQT:DQT,2,0,1))</f>
        <v/>
      </c>
      <c r="N87" s="35" t="n"/>
      <c r="O87" s="34" t="n"/>
      <c r="P87" s="35" t="n"/>
    </row>
    <row r="88" ht="15.75" customHeight="1" thickBot="1">
      <c r="B88" s="55" t="inlineStr">
        <is>
          <t>Line 58315</t>
        </is>
      </c>
      <c r="C88" s="36">
        <f>(_xlfn.XLOOKUP(ClientNumber,Clients!D:D,Clients!CQA:CQA,2,0,1))</f>
        <v/>
      </c>
      <c r="F88" s="35" t="n"/>
      <c r="G88" s="34" t="n"/>
      <c r="H88" s="35" t="n"/>
      <c r="J88" s="55" t="inlineStr">
        <is>
          <t>Line 58357</t>
        </is>
      </c>
      <c r="K88" s="36">
        <f>(_xlfn.XLOOKUP(MainClient,Clients!D:D,Clients!DRB:DRB,2,0,1))</f>
        <v/>
      </c>
      <c r="N88" s="35" t="n"/>
      <c r="O88" s="34" t="n"/>
      <c r="P88" s="35" t="n"/>
    </row>
    <row r="89" ht="15.75" customHeight="1" thickBot="1">
      <c r="B89" s="55" t="inlineStr">
        <is>
          <t>Line 58316</t>
        </is>
      </c>
      <c r="C89" s="36">
        <f>(_xlfn.XLOOKUP(ClientNumber,Clients!D:D,Clients!CQB:CQB,2,0,1))</f>
        <v/>
      </c>
      <c r="F89" s="35" t="n"/>
      <c r="G89" s="34" t="n"/>
      <c r="H89" s="35" t="n"/>
      <c r="J89" s="55" t="inlineStr">
        <is>
          <t>Line 58560</t>
        </is>
      </c>
      <c r="K89" s="36">
        <f>(_xlfn.XLOOKUP(MainClient,Clients!D:D,Clients!DRI:DRI,2,0,1))</f>
        <v/>
      </c>
      <c r="N89" s="35" t="n"/>
      <c r="O89" s="34" t="n"/>
      <c r="P89" s="35" t="n"/>
    </row>
    <row r="90" ht="15.75" customHeight="1" thickBot="1">
      <c r="B90" s="88" t="inlineStr">
        <is>
          <t>Line 58317</t>
        </is>
      </c>
      <c r="C90" s="36" t="n"/>
      <c r="F90" s="35" t="n"/>
      <c r="G90" s="34" t="n"/>
      <c r="H90" s="35" t="n"/>
      <c r="J90" s="55" t="n"/>
      <c r="K90" s="36" t="n"/>
      <c r="N90" s="35" t="n"/>
      <c r="O90" s="34" t="n"/>
      <c r="P90" s="35" t="n"/>
    </row>
    <row r="91" ht="15.75" customHeight="1" thickBot="1">
      <c r="B91" s="55" t="inlineStr">
        <is>
          <t>Line 58357</t>
        </is>
      </c>
      <c r="C91" s="36">
        <f>(_xlfn.XLOOKUP(ClientNumber,Clients!D:D,Clients!CQG:CQG,2,0,1))</f>
        <v/>
      </c>
      <c r="F91" s="35" t="n"/>
      <c r="G91" s="34" t="n"/>
      <c r="H91" s="35" t="n"/>
      <c r="J91" s="55" t="n"/>
      <c r="K91" s="36" t="n"/>
      <c r="N91" s="35" t="n"/>
      <c r="O91" s="34" t="n"/>
      <c r="P91" s="35" t="n"/>
    </row>
    <row r="92" ht="15.75" customHeight="1" thickBot="1">
      <c r="B92" s="55" t="inlineStr">
        <is>
          <t>Line 58560</t>
        </is>
      </c>
      <c r="C92" s="36">
        <f>(_xlfn.XLOOKUP(ClientNumber,Clients!D:D,Clients!ERQ:ERQ,2,0,1))</f>
        <v/>
      </c>
      <c r="F92" s="35" t="n"/>
      <c r="G92" s="34" t="n"/>
      <c r="H92" s="35" t="n"/>
      <c r="J92" s="55" t="n"/>
      <c r="K92" s="36" t="n"/>
      <c r="N92" s="35" t="n"/>
      <c r="O92" s="34" t="n"/>
      <c r="P92" s="35" t="n"/>
    </row>
    <row r="93" ht="15.75" customHeight="1" thickBot="1">
      <c r="B93" s="38" t="n"/>
      <c r="C93" s="36" t="n"/>
      <c r="F93" s="35" t="n"/>
      <c r="G93" s="34" t="inlineStr">
        <is>
          <t>Line 32600</t>
        </is>
      </c>
      <c r="H93" s="35">
        <f>IF(TransferName="NONE",0,(_xlfn.XLOOKUP(TransferNumber,Clients!D:D,Clients!CIH:CIH,2,0,1)))</f>
        <v/>
      </c>
      <c r="J93" s="55" t="n"/>
      <c r="K93" s="36" t="n"/>
      <c r="N93" s="35" t="n"/>
      <c r="O93" s="34" t="inlineStr">
        <is>
          <t>Line 32600</t>
        </is>
      </c>
      <c r="P93" s="35">
        <f>IFERROR(_xlfn.XLOOKUP(TransferNumber,Clients!D:D,Clients!FJZ:FJZ,2,0,1),0)</f>
        <v/>
      </c>
    </row>
    <row r="94" ht="15.75" customHeight="1" thickBot="1">
      <c r="B94" s="38" t="n"/>
      <c r="C94" s="36" t="n"/>
      <c r="F94" s="35" t="n"/>
      <c r="G94" s="34" t="n"/>
      <c r="H94" s="35" t="n"/>
      <c r="J94" s="38" t="n"/>
      <c r="K94" s="36" t="n"/>
      <c r="N94" s="35" t="n"/>
      <c r="O94" s="34" t="n"/>
      <c r="P94" s="35" t="n"/>
    </row>
    <row r="95" ht="15.75" customHeight="1" thickBot="1">
      <c r="B95" s="38" t="n"/>
      <c r="C95" s="36" t="n"/>
      <c r="F95" s="35" t="n"/>
      <c r="G95" s="34" t="n"/>
      <c r="H95" s="35" t="n"/>
      <c r="J95" s="38" t="n"/>
      <c r="K95" s="36" t="n"/>
      <c r="N95" s="35" t="n"/>
      <c r="O95" s="34" t="n"/>
      <c r="P95" s="35" t="n"/>
    </row>
    <row r="96" ht="15.75" customHeight="1" thickBot="1">
      <c r="B96" s="38" t="n"/>
      <c r="C96" s="36" t="n"/>
      <c r="F96" s="35" t="n"/>
      <c r="G96" s="34" t="n"/>
      <c r="H96" s="35" t="n"/>
      <c r="J96" s="38" t="n"/>
      <c r="K96" s="36" t="n"/>
      <c r="N96" s="35" t="n"/>
      <c r="O96" s="34" t="n"/>
      <c r="P96" s="35" t="n"/>
    </row>
    <row r="97" ht="15.75" customHeight="1" thickBot="1">
      <c r="B97" s="38" t="n"/>
      <c r="C97" s="36" t="n"/>
      <c r="F97" s="35" t="n"/>
      <c r="G97" s="34" t="n"/>
      <c r="H97" s="35">
        <f>IF(E102&gt;0,E79-G79,0)</f>
        <v/>
      </c>
      <c r="J97" s="38" t="n"/>
      <c r="K97" s="36" t="n"/>
      <c r="N97" s="35" t="n"/>
      <c r="O97" s="34" t="n"/>
      <c r="P97" s="35">
        <f>IF(M102&gt;0,M79-O79,0)</f>
        <v/>
      </c>
    </row>
    <row r="98" ht="15.75" customHeight="1" thickBot="1">
      <c r="B98" s="38" t="n"/>
      <c r="C98" s="36" t="n"/>
      <c r="F98" s="35" t="n"/>
      <c r="H98" s="52">
        <f>IF(TransferName="NONE",F103,IF(H97&gt;0,(E102-G79)*0.105,0))</f>
        <v/>
      </c>
      <c r="J98" s="38" t="n"/>
      <c r="K98" s="36" t="n"/>
      <c r="N98" s="35" t="n"/>
      <c r="P98" s="52">
        <f>IF(TransferName="NONE",N103,IF(P97&gt;0,(M102-O79)*0.105,0))</f>
        <v/>
      </c>
    </row>
    <row r="99">
      <c r="B99" s="667" t="n"/>
      <c r="F99" s="35" t="n"/>
      <c r="G99" s="34" t="inlineStr">
        <is>
          <t>Transferable</t>
        </is>
      </c>
      <c r="H99" s="52">
        <f>IF(H98&gt;0,H98,0)</f>
        <v/>
      </c>
      <c r="J99" s="667" t="n"/>
      <c r="N99" s="35" t="n"/>
      <c r="O99" s="34" t="inlineStr">
        <is>
          <t>Transferable</t>
        </is>
      </c>
      <c r="P99" s="52">
        <f>IF(P98&gt;0,P98,0)</f>
        <v/>
      </c>
    </row>
    <row r="100">
      <c r="B100" s="667" t="inlineStr">
        <is>
          <t>Adjusted Taxable Income</t>
        </is>
      </c>
      <c r="C100">
        <f>C81-(SUM(C83:C98))</f>
        <v/>
      </c>
      <c r="D100" s="13" t="inlineStr">
        <is>
          <t>Line 58640</t>
        </is>
      </c>
      <c r="E100" s="39">
        <f>IF(C100&gt;0,C100,0)</f>
        <v/>
      </c>
      <c r="F100" s="35" t="n"/>
      <c r="G100" s="34" t="n"/>
      <c r="H100" s="35" t="n"/>
      <c r="J100" s="667" t="inlineStr">
        <is>
          <t>Adjusted Taxable Income</t>
        </is>
      </c>
      <c r="K100">
        <f>K81-(SUM(K83:K98))</f>
        <v/>
      </c>
      <c r="L100" s="13" t="inlineStr">
        <is>
          <t>Line 5864</t>
        </is>
      </c>
      <c r="M100" s="39">
        <f>IF(K100&gt;0,K100,0)</f>
        <v/>
      </c>
      <c r="N100" s="35" t="n"/>
      <c r="O100" s="34" t="n"/>
      <c r="P100" s="35" t="n"/>
    </row>
    <row r="101" ht="15.75" customHeight="1" thickBot="1">
      <c r="B101" s="34" t="n"/>
      <c r="F101" s="35" t="n"/>
      <c r="G101" s="34" t="n"/>
      <c r="H101" s="35" t="n"/>
      <c r="J101" s="34" t="n"/>
      <c r="N101" s="35" t="n"/>
      <c r="O101" s="34" t="n"/>
      <c r="P101" s="35" t="n"/>
    </row>
    <row r="102" ht="15.75" customHeight="1" thickBot="1">
      <c r="B102" s="34" t="n"/>
      <c r="D102" s="21" t="inlineStr">
        <is>
          <t>Prov Trans</t>
        </is>
      </c>
      <c r="E102" s="36">
        <f>(E79-E100)</f>
        <v/>
      </c>
      <c r="F102" s="40" t="n"/>
      <c r="G102" s="34" t="n"/>
      <c r="H102" s="52" t="n"/>
      <c r="J102" s="34" t="n"/>
      <c r="L102" s="21" t="inlineStr">
        <is>
          <t>Prov Trans</t>
        </is>
      </c>
      <c r="M102" s="36">
        <f>(M79-M100)</f>
        <v/>
      </c>
      <c r="N102" s="40" t="n"/>
      <c r="O102" s="34" t="n"/>
      <c r="P102" s="52" t="n"/>
    </row>
    <row r="103" ht="15.75" customHeight="1" thickBot="1">
      <c r="B103" s="34" t="n"/>
      <c r="C103" s="579" t="inlineStr">
        <is>
          <t>DTC Transferable ESTIMATE</t>
        </is>
      </c>
      <c r="D103" s="35" t="n"/>
      <c r="E103" s="36">
        <f>IF(E102&lt;0,0,(IF(E102&gt;E78,E78,E102)))</f>
        <v/>
      </c>
      <c r="F103" s="40">
        <f>IF(E103&gt;0,E103*0.105,"No Transfer Required")</f>
        <v/>
      </c>
      <c r="G103" s="678" t="n"/>
      <c r="H103" s="52" t="n"/>
      <c r="J103" s="34" t="n"/>
      <c r="K103" s="579" t="inlineStr">
        <is>
          <t>DTC Transferable ESTIMATE</t>
        </is>
      </c>
      <c r="L103" s="35" t="n"/>
      <c r="M103" s="36">
        <f>IF(M102&lt;0,0,(IF(M102&gt;M78,M78,M102)))</f>
        <v/>
      </c>
      <c r="N103" s="40">
        <f>IF(M103&gt;0,M103*0.105,"No Transfer Required")</f>
        <v/>
      </c>
      <c r="O103" s="58" t="n"/>
      <c r="P103" s="52" t="n"/>
    </row>
    <row r="104" ht="15.75" customHeight="1" thickBot="1">
      <c r="B104" s="42" t="n"/>
      <c r="C104" s="41" t="n"/>
      <c r="D104" s="43" t="inlineStr">
        <is>
          <t>Net Transferable</t>
        </is>
      </c>
      <c r="E104" s="36">
        <f>IF(E102&lt;0,0,(IF(E102-G74-G75-G76-G78&lt;0,E102,(E102-G74-G75-G76-G78))))</f>
        <v/>
      </c>
      <c r="F104" s="57">
        <f>IF(E104&gt;0,E104*0.105,"0")</f>
        <v/>
      </c>
      <c r="G104" s="42" t="n"/>
      <c r="H104" s="864" t="n"/>
      <c r="J104" s="42" t="n"/>
      <c r="K104" s="41" t="n"/>
      <c r="L104" s="43" t="inlineStr">
        <is>
          <t>Net Transferable</t>
        </is>
      </c>
      <c r="M104" s="36">
        <f>IF(M102&lt;0,0,(IF(M102-O74-O75-O76-O77&lt;0,M102,(M102-O74-O75-O76-O77))))</f>
        <v/>
      </c>
      <c r="N104" s="57">
        <f>IF(M104&gt;0,M104*0.105,"0")</f>
        <v/>
      </c>
      <c r="O104" s="59" t="n"/>
      <c r="P104" s="864" t="n"/>
    </row>
    <row r="106" ht="15.75" customHeight="1" thickBot="1">
      <c r="E106">
        <f>Calculator!$D$5</f>
        <v/>
      </c>
      <c r="H106">
        <f>TransferName</f>
        <v/>
      </c>
      <c r="M106">
        <f>Calculator!$D$5</f>
        <v/>
      </c>
      <c r="P106">
        <f>TransferName</f>
        <v/>
      </c>
    </row>
    <row r="107" ht="15.75" customHeight="1" thickBot="1">
      <c r="B107" s="879" t="inlineStr">
        <is>
          <t>2018 SASKATCHEWAN Provincial</t>
        </is>
      </c>
      <c r="C107" s="778" t="n"/>
      <c r="D107" s="778" t="n"/>
      <c r="E107" s="778" t="n"/>
      <c r="F107" s="778" t="n"/>
      <c r="G107" s="778" t="n"/>
      <c r="H107" s="780" t="n"/>
      <c r="J107" s="879" t="inlineStr">
        <is>
          <t>2017 SASKATCHEWAN Provincial</t>
        </is>
      </c>
      <c r="K107" s="778" t="n"/>
      <c r="L107" s="778" t="n"/>
      <c r="M107" s="778" t="n"/>
      <c r="N107" s="778" t="n"/>
      <c r="O107" s="778" t="n"/>
      <c r="P107" s="780" t="n"/>
    </row>
    <row r="108" ht="15.75" customHeight="1" thickBot="1">
      <c r="B108" s="34" t="n"/>
      <c r="D108" t="inlineStr">
        <is>
          <t>Line</t>
        </is>
      </c>
      <c r="E108" t="inlineStr">
        <is>
          <t>Amt</t>
        </is>
      </c>
      <c r="F108" s="35" t="n"/>
      <c r="G108" s="667" t="inlineStr">
        <is>
          <t>Spouse</t>
        </is>
      </c>
      <c r="H108" s="35" t="inlineStr">
        <is>
          <t>S2 Adjustment</t>
        </is>
      </c>
      <c r="J108" s="34" t="n"/>
      <c r="L108" t="inlineStr">
        <is>
          <t>Line</t>
        </is>
      </c>
      <c r="M108" t="inlineStr">
        <is>
          <t>Amt</t>
        </is>
      </c>
      <c r="N108" s="35" t="n"/>
      <c r="O108" s="34" t="inlineStr">
        <is>
          <t>Spouse</t>
        </is>
      </c>
      <c r="P108" s="35" t="inlineStr">
        <is>
          <t>S2 Adjustment</t>
        </is>
      </c>
    </row>
    <row r="109" ht="15.75" customHeight="1" thickBot="1">
      <c r="B109" s="706" t="inlineStr">
        <is>
          <t>Amount for dependent children born in 2000 or later:</t>
        </is>
      </c>
      <c r="D109" s="35" t="inlineStr">
        <is>
          <t>Line 5821</t>
        </is>
      </c>
      <c r="E109" s="861">
        <f>(_xlfn.XLOOKUP(ClientNumber,Clients!D:D,Clients!ERJ:ERJ,2,0,1))</f>
        <v/>
      </c>
      <c r="F109" s="37" t="inlineStr">
        <is>
          <t>Line 59010</t>
        </is>
      </c>
      <c r="G109" s="51">
        <f>IF(TransferName="NONE",0,(_xlfn.XLOOKUP(TransferNumber,Clients!D:D,Clients!ETA:ETA,2,0,1)))</f>
        <v/>
      </c>
      <c r="H109" s="37">
        <f>IF(AND(E109&gt;0,G109=0),"Amount For Dependent Children Born in X or Later Can Be Transferred","No Action")</f>
        <v/>
      </c>
      <c r="J109" s="706" t="inlineStr">
        <is>
          <t>Amount for dependent children born in 1999 or later:</t>
        </is>
      </c>
      <c r="L109" s="35" t="inlineStr">
        <is>
          <t>Line 5821</t>
        </is>
      </c>
      <c r="M109" s="861">
        <f>(_xlfn.XLOOKUP(ClientNumber,Clients!D:D,Clients!FRL:FRL,2,0,1))</f>
        <v/>
      </c>
      <c r="N109" s="37" t="inlineStr">
        <is>
          <t>Line 59010</t>
        </is>
      </c>
      <c r="O109" s="51">
        <f>IF(TransferName="NONE",0,(_xlfn.XLOOKUP(TransferNumber,Clients!D:D,Clients!FTC:FTC,2,0,1)))</f>
        <v/>
      </c>
      <c r="P109" s="37">
        <f>IF(AND(M109&gt;0,O109=0),"Amount For Dependent Children Born in X or Later Can Be Transferred","No Action")</f>
        <v/>
      </c>
    </row>
    <row r="110" ht="15.75" customHeight="1" thickBot="1">
      <c r="B110" s="667" t="inlineStr">
        <is>
          <t>Age Amount</t>
        </is>
      </c>
      <c r="D110" t="inlineStr">
        <is>
          <t>Line 5808</t>
        </is>
      </c>
      <c r="E110" s="861">
        <f>(_xlfn.XLOOKUP(ClientNumber,Clients!D:D,Clients!EQZ:EQZ,2,0,1))</f>
        <v/>
      </c>
      <c r="F110" s="37" t="inlineStr">
        <is>
          <t>Line 59020</t>
        </is>
      </c>
      <c r="G110" s="51">
        <f>IF(TransferName="NONE",0,(_xlfn.XLOOKUP(TransferNumber,Clients!D:D,Clients!ETB:ETB,2,0,1)))</f>
        <v/>
      </c>
      <c r="H110" s="37">
        <f>IF(AND(E110&gt;0,G110=0),"Age Amount Can Be Transferred","No Action")</f>
        <v/>
      </c>
      <c r="J110" s="667" t="inlineStr">
        <is>
          <t>Age Amount</t>
        </is>
      </c>
      <c r="L110" t="inlineStr">
        <is>
          <t>Line 5808</t>
        </is>
      </c>
      <c r="M110" s="865">
        <f>(_xlfn.XLOOKUP(ClientNumber,Clients!D:D,Clients!FRB:FRB,2,0,1))</f>
        <v/>
      </c>
      <c r="N110" s="45" t="inlineStr">
        <is>
          <t>Line 59020</t>
        </is>
      </c>
      <c r="O110" s="51">
        <f>IF(TransferName="NONE",0,(_xlfn.XLOOKUP(TransferNumber,Clients!D:D,Clients!FTD:FTD,2,0,1)))</f>
        <v/>
      </c>
      <c r="P110" s="37">
        <f>IF(AND(M110&gt;0,O110=0),"Age Amount Can Be Transferred","No Action")</f>
        <v/>
      </c>
    </row>
    <row r="111" ht="15.75" customHeight="1" thickBot="1">
      <c r="B111" s="667" t="inlineStr">
        <is>
          <t>Senior Supplementary Amount</t>
        </is>
      </c>
      <c r="D111" t="inlineStr">
        <is>
          <t>Line 5822</t>
        </is>
      </c>
      <c r="E111" s="861">
        <f>(_xlfn.XLOOKUP(ClientNumber,Clients!D:D,Clients!ERK:ERK,2,0,1))</f>
        <v/>
      </c>
      <c r="F111" s="37" t="inlineStr">
        <is>
          <t>Line 59030</t>
        </is>
      </c>
      <c r="G111" s="51">
        <f>IF(TransferName="NONE",0,(_xlfn.XLOOKUP(TransferNumber,Clients!D:D,Clients!ETC:ETC,2,0,1)))</f>
        <v/>
      </c>
      <c r="H111" s="37">
        <f>IF(AND(E111&gt;0,G111=0),"Senior Supplementary Amount Can Be Transferred","No Action")</f>
        <v/>
      </c>
      <c r="J111" s="667" t="inlineStr">
        <is>
          <t>Senior Supplementary Amount</t>
        </is>
      </c>
      <c r="L111" t="inlineStr">
        <is>
          <t>Line 5822</t>
        </is>
      </c>
      <c r="M111" s="861">
        <f>(_xlfn.XLOOKUP(ClientNumber,Clients!D:D,Clients!FRM:FRM,2,0,1))</f>
        <v/>
      </c>
      <c r="N111" s="37" t="inlineStr">
        <is>
          <t>Line 59030</t>
        </is>
      </c>
      <c r="O111" s="51">
        <f>IF(TransferName="NONE",0,(_xlfn.XLOOKUP(TransferNumber,Clients!D:D,Clients!FTE:FTE,2,0,1)))</f>
        <v/>
      </c>
      <c r="P111" s="37">
        <f>IF(AND(M111&gt;0,O111=0),"Senior Supplementary Amount Can Be Transferred","No Action")</f>
        <v/>
      </c>
    </row>
    <row r="112" ht="15.75" customHeight="1" thickBot="1">
      <c r="B112" s="667" t="inlineStr">
        <is>
          <t>Pension Income Amount</t>
        </is>
      </c>
      <c r="D112" t="inlineStr">
        <is>
          <t>Line 5836 (mx 1000)</t>
        </is>
      </c>
      <c r="E112" s="861">
        <f>IF((_xlfn.XLOOKUP(ClientNumber,Clients!D:D,Clients!ERZ:ERZ,2,0,1)&lt;1000),(_xlfn.XLOOKUP(MainClient,Clients!D:D,Clients!ERZ:ERZ,2,0,1)),1000)</f>
        <v/>
      </c>
      <c r="F112" s="37" t="inlineStr">
        <is>
          <t>Line 59050</t>
        </is>
      </c>
      <c r="G112" s="51">
        <f>IF(TransferName="NONE",0,(_xlfn.XLOOKUP(TransferNumber,Clients!D:D,Clients!ETE:ETE,2,0,1)))</f>
        <v/>
      </c>
      <c r="H112" s="37">
        <f>IF(AND(E112&gt;0,G112=0),"Pension Income Amount Can Be Transferred","No Action")</f>
        <v/>
      </c>
      <c r="J112" s="667" t="inlineStr">
        <is>
          <t>Pension Income Amount</t>
        </is>
      </c>
      <c r="L112" t="inlineStr">
        <is>
          <t>Line 5836 (mx 1000)</t>
        </is>
      </c>
      <c r="M112" s="865">
        <f>IF((_xlfn.XLOOKUP(ClientNumber,Clients!D:D,Clients!FSB:FSB,2,0,1)&lt;1000),(_xlfn.XLOOKUP(MainClient,Clients!D:D,Clients!FSB:FSB,2,0,1)),1000)</f>
        <v/>
      </c>
      <c r="N112" s="45" t="inlineStr">
        <is>
          <t>Line 59050</t>
        </is>
      </c>
      <c r="O112" s="51">
        <f>IF(TransferName="NONE",0,(_xlfn.XLOOKUP(TransferNumber,Clients!D:D,Clients!FTG:FTG,2,0,1)))</f>
        <v/>
      </c>
      <c r="P112" s="37">
        <f>IF(AND(M112&gt;0,O112=0),"Pension Income Amount Can Be Transferred","No Action")</f>
        <v/>
      </c>
    </row>
    <row r="113" ht="15.75" customHeight="1" thickBot="1">
      <c r="B113" s="667" t="inlineStr">
        <is>
          <t>Disability Amount</t>
        </is>
      </c>
      <c r="D113" t="inlineStr">
        <is>
          <t>Line 5844</t>
        </is>
      </c>
      <c r="E113" s="861">
        <f>IF(_xlfn.XLOOKUP(ClientNumber,Clients!D:D,Clients!ESB:ESB,2,0,1)=0,9464,(_xlfn.XLOOKUP(MainClient,Clients!D:D,Clients!ESB:ESB,2,0,1)))</f>
        <v/>
      </c>
      <c r="F113" s="37" t="inlineStr">
        <is>
          <t>Line 59070</t>
        </is>
      </c>
      <c r="G113" s="51">
        <f>IF(TransferName="NONE",0,(_xlfn.XLOOKUP(TransferNumber,Clients!D:D,Clients!ETF:ETF,2,0,1)))</f>
        <v/>
      </c>
      <c r="H113" s="37">
        <f>IF(AND(E113&gt;0,G113=0),"DTC Transferable Not Claimed Can Be Transferred","No Action")</f>
        <v/>
      </c>
      <c r="J113" s="667" t="inlineStr">
        <is>
          <t>Disability Amount</t>
        </is>
      </c>
      <c r="L113" t="inlineStr">
        <is>
          <t>Line 5844</t>
        </is>
      </c>
      <c r="M113" s="865">
        <f>IF(_xlfn.XLOOKUP(ClientNumber,Clients!D:D,Clients!FSD:FSD,2,0,1)=0,9464,(_xlfn.XLOOKUP(MainClient,Clients!D:D,Clients!FSD:FSD,2,0,1)))</f>
        <v/>
      </c>
      <c r="N113" s="45" t="inlineStr">
        <is>
          <t>Line 59070</t>
        </is>
      </c>
      <c r="O113" s="51">
        <f>IF(TransferName="NONE",0,(_xlfn.XLOOKUP(TransferNumber,Clients!D:D,Clients!FTH:FTH,2,0,1)))</f>
        <v/>
      </c>
      <c r="P113" s="37">
        <f>IF(AND(M113&gt;0,O113=0),"DTC Transferable Not Claimed Can Be Transferred","No Action")</f>
        <v/>
      </c>
    </row>
    <row r="114" ht="15.75" customHeight="1" thickBot="1">
      <c r="B114" s="667" t="inlineStr">
        <is>
          <t>Tuition Amount</t>
        </is>
      </c>
      <c r="D114" t="inlineStr">
        <is>
          <t>Line 5920</t>
        </is>
      </c>
      <c r="E114" s="861">
        <f>(_xlfn.XLOOKUP(ClientNumber,Clients!D:D,Clients!ETP:ETP,2,0,1))</f>
        <v/>
      </c>
      <c r="F114" s="37" t="inlineStr">
        <is>
          <t>Line 59090</t>
        </is>
      </c>
      <c r="G114" s="51">
        <f>IF(TransferName="NONE",0,(_xlfn.XLOOKUP(TransferNumber,Clients!D:D,Clients!ETG:ETG,2,0,1)))</f>
        <v/>
      </c>
      <c r="H114" s="37">
        <f>IF(AND(E114&gt;0,G114=0),"Tuition Can Be Transferred","No Action")</f>
        <v/>
      </c>
      <c r="J114" s="667" t="inlineStr">
        <is>
          <t>Tuition Amount</t>
        </is>
      </c>
      <c r="L114" t="inlineStr">
        <is>
          <t>Line 5920</t>
        </is>
      </c>
      <c r="M114" s="865">
        <f>(_xlfn.XLOOKUP(MainClient,Clients!D:D,Clients!FTR:FTR,2,0,1))</f>
        <v/>
      </c>
      <c r="N114" s="45" t="inlineStr">
        <is>
          <t>Line 59090</t>
        </is>
      </c>
      <c r="O114" s="51">
        <f>IF(TransferName="NONE",0,(_xlfn.XLOOKUP(TransferNumber,Clients!D:D,Clients!FTI:FTI,2,0,1)))</f>
        <v/>
      </c>
      <c r="P114" s="37">
        <f>IF(AND(M114&gt;0,O114=0),"Tuition Can Be Transferred","No Action")</f>
        <v/>
      </c>
    </row>
    <row r="115" ht="13.15" customHeight="1" thickBot="1">
      <c r="B115" s="667" t="n"/>
      <c r="E115" s="771">
        <f>SUM(E109:E114)</f>
        <v/>
      </c>
      <c r="F115" s="37" t="n"/>
      <c r="G115" s="667">
        <f>SUM(G109:G114)</f>
        <v/>
      </c>
      <c r="H115" s="37" t="n"/>
      <c r="J115" s="667" t="n"/>
      <c r="M115" s="872">
        <f>SUM(M109:M114)</f>
        <v/>
      </c>
      <c r="N115" s="37" t="n"/>
      <c r="O115" s="667">
        <f>SUM(O109:O114)</f>
        <v/>
      </c>
      <c r="P115" s="37" t="n"/>
    </row>
    <row r="116" ht="15.75" customHeight="1" thickBot="1">
      <c r="B116" s="667" t="inlineStr">
        <is>
          <t>Line 260</t>
        </is>
      </c>
      <c r="C116" s="36">
        <f>(_xlfn.XLOOKUP(MainClient,Clients!D:D,Clients!EIY:EIY,2,0,1))</f>
        <v/>
      </c>
      <c r="F116" s="35" t="n"/>
      <c r="G116" s="34">
        <f>IF(E139&gt;E113,"other transferable credits","DTC Only")</f>
        <v/>
      </c>
      <c r="H116" s="35" t="n"/>
      <c r="J116" s="667" t="inlineStr">
        <is>
          <t>Line 260</t>
        </is>
      </c>
      <c r="K116" s="36">
        <f>(_xlfn.XLOOKUP(MainClient,Clients!D:D,Clients!FJA:FJA,2,0,1))</f>
        <v/>
      </c>
      <c r="N116" s="35" t="n"/>
      <c r="O116" s="34">
        <f>IF(M139&gt;M113,"other transferable credits","DTC Only")</f>
        <v/>
      </c>
      <c r="P116" s="35" t="n"/>
    </row>
    <row r="117" ht="15.75" customHeight="1" thickBot="1">
      <c r="B117" s="34" t="n"/>
      <c r="F117" s="35" t="n"/>
      <c r="G117" s="34" t="n"/>
      <c r="H117" s="35" t="n"/>
      <c r="J117" s="34" t="n"/>
      <c r="N117" s="35" t="n"/>
      <c r="O117" s="34" t="n"/>
      <c r="P117" s="35" t="n"/>
    </row>
    <row r="118" ht="15.75" customHeight="1" thickBot="1">
      <c r="B118" s="55" t="inlineStr">
        <is>
          <t>Line 5804</t>
        </is>
      </c>
      <c r="C118" s="36">
        <f>(_xlfn.XLOOKUP(ClientNumber,Clients!D:D,Clients!EQY:EQY,2,0,1))</f>
        <v/>
      </c>
      <c r="F118" s="35" t="n"/>
      <c r="G118" s="34" t="n"/>
      <c r="H118" s="35" t="n"/>
      <c r="J118" s="55" t="inlineStr">
        <is>
          <t>Line 5804</t>
        </is>
      </c>
      <c r="K118" s="36">
        <f>(_xlfn.XLOOKUP(MainClient,Clients!D:D,Clients!FRA:FRA,2,0,1))</f>
        <v/>
      </c>
      <c r="N118" s="35" t="n"/>
      <c r="O118" s="34" t="n"/>
      <c r="P118" s="35" t="n"/>
    </row>
    <row r="119" ht="15.75" customHeight="1" thickBot="1">
      <c r="B119" s="55" t="inlineStr">
        <is>
          <t>Line 5824</t>
        </is>
      </c>
      <c r="C119" s="36">
        <f>(_xlfn.XLOOKUP(ClientNumber,Clients!D:D,Clients!ERN:ERN,2,0,1))</f>
        <v/>
      </c>
      <c r="F119" s="35" t="n"/>
      <c r="G119" s="34" t="n"/>
      <c r="H119" s="35" t="n"/>
      <c r="J119" s="55" t="inlineStr">
        <is>
          <t>Line 5824</t>
        </is>
      </c>
      <c r="K119" s="36">
        <f>(_xlfn.XLOOKUP(MainClient,Clients!D:D,Clients!FRP:FRP,2,0,1))</f>
        <v/>
      </c>
      <c r="N119" s="35" t="n"/>
      <c r="O119" s="34" t="n"/>
      <c r="P119" s="35" t="n"/>
    </row>
    <row r="120" ht="15.75" customHeight="1" thickBot="1">
      <c r="B120" s="55" t="inlineStr">
        <is>
          <t>Line 5828</t>
        </is>
      </c>
      <c r="C120" s="36">
        <f>(_xlfn.XLOOKUP(ClientNumber,Clients!D:D,Clients!ERO:ERO,2,0,1))</f>
        <v/>
      </c>
      <c r="F120" s="35" t="n"/>
      <c r="G120" s="34" t="n"/>
      <c r="H120" s="35" t="n"/>
      <c r="J120" s="55" t="inlineStr">
        <is>
          <t>Line 5828</t>
        </is>
      </c>
      <c r="K120" s="36">
        <f>(_xlfn.XLOOKUP(MainClient,Clients!D:D,Clients!FRQ:FRQ,2,0,1))</f>
        <v/>
      </c>
      <c r="N120" s="35" t="n"/>
      <c r="P120" s="35" t="n"/>
    </row>
    <row r="121" ht="15.75" customHeight="1" thickBot="1">
      <c r="B121" s="55" t="inlineStr">
        <is>
          <t>Line 5832</t>
        </is>
      </c>
      <c r="C121" s="36">
        <f>(_xlfn.XLOOKUP(ClientNumber,Clients!D:D,Clients!ERP:ERP,2,0,1))</f>
        <v/>
      </c>
      <c r="F121" s="35" t="n"/>
      <c r="G121" s="34" t="n"/>
      <c r="H121" s="35" t="n"/>
      <c r="J121" s="55" t="inlineStr">
        <is>
          <t>Line 5832</t>
        </is>
      </c>
      <c r="K121" s="36">
        <f>(_xlfn.XLOOKUP(MainClient,Clients!D:D,Clients!FRR:FRR,2,0,1))</f>
        <v/>
      </c>
      <c r="N121" s="35" t="n"/>
      <c r="O121" s="34" t="n"/>
      <c r="P121" s="35" t="n"/>
    </row>
    <row r="122" ht="15.75" customHeight="1" thickBot="1">
      <c r="B122" s="55" t="inlineStr">
        <is>
          <t>Line 5829</t>
        </is>
      </c>
      <c r="C122" s="36">
        <f>(_xlfn.XLOOKUP(ClientNumber,Clients!D:D,Clients!ERQ:ERQ,2,0,1))</f>
        <v/>
      </c>
      <c r="F122" s="35" t="n"/>
      <c r="G122" s="34" t="n"/>
      <c r="H122" s="35" t="n"/>
      <c r="J122" s="55" t="inlineStr">
        <is>
          <t>Line 5829</t>
        </is>
      </c>
      <c r="K122" s="36">
        <f>(_xlfn.XLOOKUP(MainClient,Clients!D:D,Clients!FRS:FRS,2,0,1))</f>
        <v/>
      </c>
      <c r="N122" s="35" t="n"/>
      <c r="O122" s="34" t="n"/>
      <c r="P122" s="35" t="n"/>
    </row>
    <row r="123" ht="15.75" customHeight="1" thickBot="1">
      <c r="B123" s="55" t="inlineStr">
        <is>
          <t>Line 5837</t>
        </is>
      </c>
      <c r="C123" s="36">
        <f>(_xlfn.XLOOKUP(ClientNumber,Clients!D:D,Clients!ERY:ERY,2,0,1))</f>
        <v/>
      </c>
      <c r="F123" s="35" t="n"/>
      <c r="G123" s="34" t="n"/>
      <c r="H123" s="35" t="n"/>
      <c r="J123" s="55" t="inlineStr">
        <is>
          <t>Line 5837</t>
        </is>
      </c>
      <c r="K123" s="36">
        <f>(_xlfn.XLOOKUP(MainClient,Clients!D:D,Clients!FSA:FSA,2,0,1))</f>
        <v/>
      </c>
      <c r="N123" s="35" t="n"/>
      <c r="O123" s="34" t="n"/>
      <c r="P123" s="35" t="n"/>
    </row>
    <row r="124" ht="15.75" customHeight="1" thickBot="1">
      <c r="B124" s="55" t="inlineStr">
        <is>
          <t>Line 5856</t>
        </is>
      </c>
      <c r="C124" s="36">
        <f>(_xlfn.XLOOKUP(ClientNumber,Clients!D:D,Clients!ESF:ESF,2,0,1))</f>
        <v/>
      </c>
      <c r="F124" s="35" t="n"/>
      <c r="G124" s="34" t="n"/>
      <c r="H124" s="35" t="n"/>
      <c r="J124" s="55" t="inlineStr">
        <is>
          <t>Line 5856</t>
        </is>
      </c>
      <c r="K124" s="36">
        <f>(_xlfn.XLOOKUP(MainClient,Clients!D:D,Clients!FSH:FSH,2,0,1))</f>
        <v/>
      </c>
      <c r="N124" s="35" t="n"/>
      <c r="O124" s="34" t="n"/>
      <c r="P124" s="35" t="n"/>
    </row>
    <row r="125" ht="15.75" customHeight="1" thickBot="1">
      <c r="B125" s="55" t="n"/>
      <c r="C125" s="36" t="n"/>
      <c r="F125" s="35" t="n"/>
      <c r="G125" s="34" t="n"/>
      <c r="H125" s="35" t="n"/>
      <c r="J125" s="55" t="n"/>
      <c r="K125" s="36" t="n"/>
      <c r="N125" s="35" t="n"/>
      <c r="O125" s="34" t="n"/>
      <c r="P125" s="35" t="n"/>
    </row>
    <row r="126" ht="15.75" customHeight="1" thickBot="1">
      <c r="B126" s="55" t="n"/>
      <c r="C126" s="36" t="n"/>
      <c r="F126" s="35" t="n"/>
      <c r="G126" s="34" t="n"/>
      <c r="H126" s="35" t="n"/>
      <c r="J126" s="55" t="n"/>
      <c r="K126" s="36" t="n"/>
      <c r="N126" s="35" t="n"/>
      <c r="O126" s="34" t="n"/>
      <c r="P126" s="35" t="n"/>
    </row>
    <row r="127" ht="15.75" customHeight="1" thickBot="1">
      <c r="B127" s="55" t="n"/>
      <c r="C127" s="36" t="n"/>
      <c r="F127" s="35" t="n"/>
      <c r="G127" s="34" t="n"/>
      <c r="H127" s="35" t="n"/>
      <c r="J127" s="55" t="n"/>
      <c r="K127" s="36" t="n"/>
      <c r="N127" s="35" t="n"/>
      <c r="O127" s="34" t="n"/>
      <c r="P127" s="35" t="n"/>
    </row>
    <row r="128" ht="15.75" customHeight="1" thickBot="1">
      <c r="B128" s="55" t="n"/>
      <c r="C128" s="36" t="n"/>
      <c r="F128" s="35" t="n"/>
      <c r="G128" s="34" t="inlineStr">
        <is>
          <t>Line 326</t>
        </is>
      </c>
      <c r="H128" s="35">
        <f>IF(TransferName="NONE",0,(_xlfn.XLOOKUP(TransferNumber,Clients!D:D,Clients!EJX:EJX,2,0,1)))</f>
        <v/>
      </c>
      <c r="J128" s="55" t="n"/>
      <c r="K128" s="36" t="n"/>
      <c r="N128" s="35" t="n"/>
      <c r="O128" s="34" t="inlineStr">
        <is>
          <t>Line 326</t>
        </is>
      </c>
      <c r="P128" s="35">
        <f>IFERROR(_xlfn.XLOOKUP(TransferNumber,Clients!D:D,Clients!FJZ:FJZ,2,0,1),0)</f>
        <v/>
      </c>
    </row>
    <row r="129" ht="15.75" customHeight="1" thickBot="1">
      <c r="B129" s="38" t="n"/>
      <c r="C129" s="36" t="n"/>
      <c r="F129" s="35" t="n"/>
      <c r="G129" s="34" t="n"/>
      <c r="H129" s="35" t="n"/>
      <c r="J129" s="55" t="n"/>
      <c r="K129" s="36" t="n"/>
      <c r="N129" s="35" t="n"/>
      <c r="O129" s="34" t="n"/>
      <c r="P129" s="35" t="n"/>
    </row>
    <row r="130" ht="15.75" customHeight="1" thickBot="1">
      <c r="B130" s="38" t="n"/>
      <c r="C130" s="36" t="n"/>
      <c r="F130" s="35" t="n"/>
      <c r="G130" s="34" t="n"/>
      <c r="H130" s="35" t="n"/>
      <c r="J130" s="38" t="n"/>
      <c r="K130" s="36" t="n"/>
      <c r="N130" s="35" t="n"/>
      <c r="O130" s="34" t="n"/>
      <c r="P130" s="35" t="n"/>
    </row>
    <row r="131" ht="15.75" customHeight="1" thickBot="1">
      <c r="B131" s="38" t="n"/>
      <c r="C131" s="36" t="n"/>
      <c r="F131" s="35" t="n"/>
      <c r="G131" s="34" t="n"/>
      <c r="H131" s="35" t="n"/>
      <c r="J131" s="38" t="n"/>
      <c r="K131" s="36" t="n"/>
      <c r="N131" s="35" t="n"/>
      <c r="O131" s="34" t="n"/>
      <c r="P131" s="35" t="n"/>
    </row>
    <row r="132" ht="15.75" customHeight="1" thickBot="1">
      <c r="B132" s="38" t="n"/>
      <c r="C132" s="36" t="n"/>
      <c r="F132" s="35" t="n"/>
      <c r="G132" s="34" t="n"/>
      <c r="H132" s="35">
        <f>IF(E137&gt;0,E115-G115,0)</f>
        <v/>
      </c>
      <c r="J132" s="38" t="n"/>
      <c r="K132" s="36" t="n"/>
      <c r="N132" s="35" t="n"/>
      <c r="O132" s="34" t="n"/>
      <c r="P132" s="35">
        <f>IF(M137&gt;0,M115-O115,0)</f>
        <v/>
      </c>
    </row>
    <row r="133" ht="15.75" customHeight="1" thickBot="1">
      <c r="B133" s="38" t="n"/>
      <c r="C133" s="36" t="n"/>
      <c r="F133" s="35" t="n"/>
      <c r="H133" s="52">
        <f>IF(TransferName="NONE",F138,IF(H132&gt;0,(E137-G115)*0.105,0))</f>
        <v/>
      </c>
      <c r="J133" s="38" t="n"/>
      <c r="K133" s="36" t="n"/>
      <c r="N133" s="35" t="n"/>
      <c r="P133" s="52">
        <f>IF(TransferName="NONE",N138,IF(P132&gt;0,(M137-O115)*0.105,0))</f>
        <v/>
      </c>
    </row>
    <row r="134">
      <c r="B134" s="667" t="n"/>
      <c r="F134" s="35" t="n"/>
      <c r="G134" s="34" t="inlineStr">
        <is>
          <t>Transferable</t>
        </is>
      </c>
      <c r="H134" s="52">
        <f>IF(H133&gt;0,H133,0)</f>
        <v/>
      </c>
      <c r="J134" s="667" t="n"/>
      <c r="N134" s="35" t="n"/>
      <c r="O134" s="34" t="inlineStr">
        <is>
          <t>Transferable</t>
        </is>
      </c>
      <c r="P134" s="52">
        <f>IF(P133&gt;0,P133,0)</f>
        <v/>
      </c>
    </row>
    <row r="135">
      <c r="B135" s="667" t="inlineStr">
        <is>
          <t>Adjusted Taxable Income</t>
        </is>
      </c>
      <c r="C135">
        <f>C116-(SUM(C118:C133))</f>
        <v/>
      </c>
      <c r="D135" s="13" t="inlineStr">
        <is>
          <t>Line 5864</t>
        </is>
      </c>
      <c r="E135" s="39">
        <f>IF(C135&gt;0,C135,0)</f>
        <v/>
      </c>
      <c r="F135" s="35" t="n"/>
      <c r="G135" s="34" t="n"/>
      <c r="H135" s="35" t="n"/>
      <c r="J135" s="667" t="inlineStr">
        <is>
          <t>Adjusted Taxable Income</t>
        </is>
      </c>
      <c r="K135">
        <f>K116-(SUM(K118:K133))</f>
        <v/>
      </c>
      <c r="L135" s="13" t="inlineStr">
        <is>
          <t>Line 5864</t>
        </is>
      </c>
      <c r="M135" s="39">
        <f>IF(K135&gt;0,K135,0)</f>
        <v/>
      </c>
      <c r="N135" s="35" t="n"/>
      <c r="O135" s="34" t="n"/>
      <c r="P135" s="35" t="n"/>
    </row>
    <row r="136" ht="15.75" customHeight="1" thickBot="1">
      <c r="B136" s="34" t="n"/>
      <c r="F136" s="35" t="n"/>
      <c r="G136" s="34" t="n"/>
      <c r="H136" s="35" t="n"/>
      <c r="J136" s="34" t="n"/>
      <c r="N136" s="35" t="n"/>
      <c r="O136" s="34" t="n"/>
      <c r="P136" s="35" t="n"/>
    </row>
    <row r="137" ht="15.75" customHeight="1" thickBot="1">
      <c r="B137" s="34" t="n"/>
      <c r="D137" s="21" t="inlineStr">
        <is>
          <t>Prov Trans</t>
        </is>
      </c>
      <c r="E137" s="36">
        <f>(E115-E135)</f>
        <v/>
      </c>
      <c r="F137" s="40" t="n"/>
      <c r="G137" s="34" t="n"/>
      <c r="H137" s="52" t="n"/>
      <c r="J137" s="34" t="n"/>
      <c r="L137" s="21" t="inlineStr">
        <is>
          <t>Prov Trans</t>
        </is>
      </c>
      <c r="M137" s="36">
        <f>(M115-M135)</f>
        <v/>
      </c>
      <c r="N137" s="40" t="n"/>
      <c r="O137" s="34" t="n"/>
      <c r="P137" s="52" t="n"/>
    </row>
    <row r="138" ht="15.75" customHeight="1" thickBot="1">
      <c r="B138" s="34" t="n"/>
      <c r="C138" s="579" t="inlineStr">
        <is>
          <t>DTC Transferable ESTIMATE</t>
        </is>
      </c>
      <c r="D138" s="35" t="n"/>
      <c r="E138" s="36">
        <f>IF(E137&lt;0,0,(IF(E137&gt;E113,E113,E137)))</f>
        <v/>
      </c>
      <c r="F138" s="40">
        <f>IF(E138&gt;0,E138*0.105,"No Transfer Required")</f>
        <v/>
      </c>
      <c r="G138" s="678" t="n"/>
      <c r="H138" s="52" t="n"/>
      <c r="J138" s="34" t="n"/>
      <c r="K138" s="579" t="inlineStr">
        <is>
          <t>DTC Transferable ESTIMATE</t>
        </is>
      </c>
      <c r="L138" s="35" t="n"/>
      <c r="M138" s="36">
        <f>IF(M137&lt;0,0,(IF(M137&gt;M113,M113,M137)))</f>
        <v/>
      </c>
      <c r="N138" s="40">
        <f>IF(M138&gt;0,M138*0.105,"No Transfer Required")</f>
        <v/>
      </c>
      <c r="O138" s="58" t="n"/>
      <c r="P138" s="52" t="n"/>
    </row>
    <row r="139" ht="15.75" customHeight="1" thickBot="1">
      <c r="B139" s="42" t="n"/>
      <c r="C139" s="41" t="n"/>
      <c r="D139" s="43" t="inlineStr">
        <is>
          <t>Net Transferable</t>
        </is>
      </c>
      <c r="E139" s="36">
        <f>IF(E137&lt;0,0,(IF(E137-G109-G110-G112-G114&lt;0,E137,(E137-G109-G110-G112-G114))))</f>
        <v/>
      </c>
      <c r="F139" s="57">
        <f>IF(E139&gt;0,E139*0.105,"0")</f>
        <v/>
      </c>
      <c r="G139" s="42" t="n"/>
      <c r="H139" s="864" t="n"/>
      <c r="J139" s="42" t="n"/>
      <c r="K139" s="41" t="n"/>
      <c r="L139" s="43" t="inlineStr">
        <is>
          <t>Net Transferable</t>
        </is>
      </c>
      <c r="M139" s="36">
        <f>IF(M137&lt;0,0,(IF(M137-O109-O110-O112-O114&lt;0,M137,(M137-O109-O110-O112-O114))))</f>
        <v/>
      </c>
      <c r="N139" s="57">
        <f>IF(M139&gt;0,M139*0.105,"0")</f>
        <v/>
      </c>
      <c r="O139" s="59" t="n"/>
      <c r="P139" s="864" t="n"/>
    </row>
    <row r="141" ht="15.75" customHeight="1" thickBot="1">
      <c r="E141">
        <f>Calculator!$D$5</f>
        <v/>
      </c>
      <c r="H141">
        <f>TransferName</f>
        <v/>
      </c>
      <c r="M141">
        <f>Calculator!$D$5</f>
        <v/>
      </c>
      <c r="P141">
        <f>TransferName</f>
        <v/>
      </c>
    </row>
    <row r="142" ht="15.75" customHeight="1" thickBot="1">
      <c r="B142" s="879" t="inlineStr">
        <is>
          <t>2016 SASKATCHEWAN Provincial</t>
        </is>
      </c>
      <c r="C142" s="778" t="n"/>
      <c r="D142" s="778" t="n"/>
      <c r="E142" s="778" t="n"/>
      <c r="F142" s="778" t="n"/>
      <c r="G142" s="778" t="n"/>
      <c r="H142" s="780" t="n"/>
      <c r="J142" s="879" t="inlineStr">
        <is>
          <t>2015 SASKATCHEWAN Provincial</t>
        </is>
      </c>
      <c r="K142" s="778" t="n"/>
      <c r="L142" s="778" t="n"/>
      <c r="M142" s="778" t="n"/>
      <c r="N142" s="778" t="n"/>
      <c r="O142" s="778" t="n"/>
      <c r="P142" s="780" t="n"/>
    </row>
    <row r="143" ht="15.75" customHeight="1" thickBot="1">
      <c r="B143" s="34" t="n"/>
      <c r="D143" t="inlineStr">
        <is>
          <t>Line</t>
        </is>
      </c>
      <c r="E143" t="inlineStr">
        <is>
          <t>Amt</t>
        </is>
      </c>
      <c r="F143" s="35" t="n"/>
      <c r="G143" s="667" t="inlineStr">
        <is>
          <t>Spouse</t>
        </is>
      </c>
      <c r="H143" s="35" t="inlineStr">
        <is>
          <t>S2 Adjustment</t>
        </is>
      </c>
      <c r="J143" s="34" t="n"/>
      <c r="L143" t="inlineStr">
        <is>
          <t>Line</t>
        </is>
      </c>
      <c r="M143" t="inlineStr">
        <is>
          <t>Amt</t>
        </is>
      </c>
      <c r="N143" s="35" t="n"/>
      <c r="O143" s="34" t="inlineStr">
        <is>
          <t>Spouse</t>
        </is>
      </c>
      <c r="P143" s="35" t="inlineStr">
        <is>
          <t>S2 Adjustment</t>
        </is>
      </c>
    </row>
    <row r="144" ht="15.75" customHeight="1" thickBot="1">
      <c r="B144" s="706" t="inlineStr">
        <is>
          <t>Amount for dependent children born in 1998 or later:</t>
        </is>
      </c>
      <c r="D144" s="35" t="inlineStr">
        <is>
          <t>Line 5821</t>
        </is>
      </c>
      <c r="E144" s="861">
        <f>(_xlfn.XLOOKUP(ClientNumber,Clients!D:D,Clients!GRN:GRN,2,0,1))</f>
        <v/>
      </c>
      <c r="F144" s="37" t="inlineStr">
        <is>
          <t>Line 59010</t>
        </is>
      </c>
      <c r="G144" s="51">
        <f>IF(TransferName="NONE",0,(_xlfn.XLOOKUP(TransferNumber,Clients!D:D,Clients!GTE:GTE,2,0,1)))</f>
        <v/>
      </c>
      <c r="H144" s="37">
        <f>IF(AND(E144&gt;0,G144=0),"Amount For Dependent Children Born in X or Later Can Be Transferred","No Action")</f>
        <v/>
      </c>
      <c r="J144" s="706" t="inlineStr">
        <is>
          <t>Amount for dependent children born in 1997 or later:</t>
        </is>
      </c>
      <c r="L144" s="35" t="inlineStr">
        <is>
          <t>Line 5821</t>
        </is>
      </c>
      <c r="M144" s="861">
        <f>(_xlfn.XLOOKUP(ClientNumber,Clients!D:D,Clients!HRP:HRP,2,0,1))</f>
        <v/>
      </c>
      <c r="N144" s="37" t="inlineStr">
        <is>
          <t>Line 59010</t>
        </is>
      </c>
      <c r="O144" s="51">
        <f>IFERROR(_xlfn.XLOOKUP(TransferNumber,Clients!D:D,Clients!HTG:HTG,2,0,1),0)</f>
        <v/>
      </c>
      <c r="P144" s="37">
        <f>IF(AND(M144&gt;0,O144=0),"Amount For Dependent Children Born in X or Later Can Be Transferred","No Action")</f>
        <v/>
      </c>
    </row>
    <row r="145" ht="15.75" customHeight="1" thickBot="1">
      <c r="B145" s="667" t="inlineStr">
        <is>
          <t>Age Amount</t>
        </is>
      </c>
      <c r="D145" t="inlineStr">
        <is>
          <t>Line 5808</t>
        </is>
      </c>
      <c r="E145" s="861">
        <f>(_xlfn.XLOOKUP(ClientNumber,Clients!D:D,Clients!GRD:GRD,2,0,1))</f>
        <v/>
      </c>
      <c r="F145" s="37" t="inlineStr">
        <is>
          <t>Line 59020</t>
        </is>
      </c>
      <c r="G145" s="51">
        <f>IF(TransferName="NONE",0,(_xlfn.XLOOKUP(TransferNumber,Clients!D:D,Clients!GTF:GTF,2,0,1)))</f>
        <v/>
      </c>
      <c r="H145" s="37">
        <f>IF(AND(E145&gt;0,G145=0),"Age Amount Can Be Transferred","No Action")</f>
        <v/>
      </c>
      <c r="J145" s="667" t="inlineStr">
        <is>
          <t>Age Amount</t>
        </is>
      </c>
      <c r="L145" t="inlineStr">
        <is>
          <t>Line 5808</t>
        </is>
      </c>
      <c r="M145" s="865">
        <f>(_xlfn.XLOOKUP(MainClient,Clients!D:D,Clients!HRF:HRF,2,0,1))</f>
        <v/>
      </c>
      <c r="N145" s="45" t="inlineStr">
        <is>
          <t>Line 59020</t>
        </is>
      </c>
      <c r="O145" s="51">
        <f>IFERROR(_xlfn.XLOOKUP(TransferNumber,Clients!D:D,Clients!HTH:HTH,2,0,1),0)</f>
        <v/>
      </c>
      <c r="P145" s="37">
        <f>IF(AND(M145&gt;0,O145=0),"Age Amount Can Be Transferred","No Action")</f>
        <v/>
      </c>
    </row>
    <row r="146" ht="15.75" customHeight="1" thickBot="1">
      <c r="B146" s="667" t="inlineStr">
        <is>
          <t>Senior Supplementary Amount</t>
        </is>
      </c>
      <c r="D146" t="inlineStr">
        <is>
          <t>Line 5822</t>
        </is>
      </c>
      <c r="E146" s="861">
        <f>(_xlfn.XLOOKUP(ClientNumber,Clients!D:D,Clients!GRO:GRO,2,0,1))</f>
        <v/>
      </c>
      <c r="F146" s="37" t="inlineStr">
        <is>
          <t>Line 59030</t>
        </is>
      </c>
      <c r="G146" s="51">
        <f>IF(TransferName="NONE",0,(_xlfn.XLOOKUP(TransferNumber,Clients!D:D,Clients!GTG:GTG,2,0,1)))</f>
        <v/>
      </c>
      <c r="H146" s="37">
        <f>IF(AND(E146&gt;0,G146=0),"Senior Supplementary Amount Can Be Transferred","No Action")</f>
        <v/>
      </c>
      <c r="J146" s="667" t="inlineStr">
        <is>
          <t>Senior Supplementary Amount</t>
        </is>
      </c>
      <c r="L146" t="inlineStr">
        <is>
          <t>Line 5822</t>
        </is>
      </c>
      <c r="M146" s="861">
        <f>(_xlfn.XLOOKUP(ClientNumber,Clients!D:D,Clients!HRQ:HRQ,2,0,1))</f>
        <v/>
      </c>
      <c r="N146" s="37" t="inlineStr">
        <is>
          <t>Line 59030</t>
        </is>
      </c>
      <c r="O146" s="51">
        <f>IF(TransferName="NONE",0,(_xlfn.XLOOKUP(TransferNumber,Clients!D:D,Clients!HTI:HTI,2,0,1)))</f>
        <v/>
      </c>
      <c r="P146" s="37">
        <f>IF(AND(M146&gt;0,O146=0),"Senior Supplementary Amount Can Be Transferred","No Action")</f>
        <v/>
      </c>
    </row>
    <row r="147" ht="15.75" customHeight="1" thickBot="1">
      <c r="B147" s="667" t="inlineStr">
        <is>
          <t>Pension Income Amount</t>
        </is>
      </c>
      <c r="D147" t="inlineStr">
        <is>
          <t>Line 5836 (mx 1000)</t>
        </is>
      </c>
      <c r="E147" s="861">
        <f>IF((_xlfn.XLOOKUP(ClientNumber,Clients!D:D,Clients!GSD:GSD,2,0,1)&lt;1000),(_xlfn.XLOOKUP(MainClient,Clients!D:D,Clients!GSD:GSD,2,0,1)),1000)</f>
        <v/>
      </c>
      <c r="F147" s="37" t="inlineStr">
        <is>
          <t>Line 59050</t>
        </is>
      </c>
      <c r="G147" s="51">
        <f>IF(TransferName="NONE",0,(_xlfn.XLOOKUP(TransferNumber,Clients!D:D,Clients!GTI:GTI,2,0,1)))</f>
        <v/>
      </c>
      <c r="H147" s="37">
        <f>IF(AND(E147&gt;0,G147=0),"Pension Income Amount Can Be Transferred","No Action")</f>
        <v/>
      </c>
      <c r="J147" s="667" t="inlineStr">
        <is>
          <t>Pension Income Amount</t>
        </is>
      </c>
      <c r="L147" t="inlineStr">
        <is>
          <t>Line 5836 (mx 2000)</t>
        </is>
      </c>
      <c r="M147" s="865">
        <f>IF((_xlfn.XLOOKUP(ClientNumber,Clients!D:D,Clients!HSF:HSF,2,0,1)&lt;2000),(_xlfn.XLOOKUP(MainClient,Clients!D:D,Clients!HSF:HSF,2,0,1)),2000)</f>
        <v/>
      </c>
      <c r="N147" s="45" t="inlineStr">
        <is>
          <t>Line 59050</t>
        </is>
      </c>
      <c r="O147" s="51">
        <f>IFERROR(_xlfn.XLOOKUP(TransferNumber,Clients!D:D,Clients!HTK:HTK,2,0,1),0)</f>
        <v/>
      </c>
      <c r="P147" s="37">
        <f>IF(AND(M147&gt;0,O147=0),"Pension Income Amount Can Be Transferred","No Action")</f>
        <v/>
      </c>
    </row>
    <row r="148" ht="15.75" customHeight="1" thickBot="1">
      <c r="B148" s="667" t="inlineStr">
        <is>
          <t>Disability Amount</t>
        </is>
      </c>
      <c r="D148" t="inlineStr">
        <is>
          <t>Line 5844</t>
        </is>
      </c>
      <c r="E148" s="861">
        <f>IF(_xlfn.XLOOKUP(ClientNumber,Clients!D:D,Clients!GSF:GSF,2,0,1)=0,9334,(_xlfn.XLOOKUP(MainClient,Clients!D:D,Clients!GSF:GSF,2,0,1)))</f>
        <v/>
      </c>
      <c r="F148" s="37" t="inlineStr">
        <is>
          <t>Line 59070</t>
        </is>
      </c>
      <c r="G148" s="51">
        <f>IF(TransferName="NONE",0,(_xlfn.XLOOKUP(TransferNumber,Clients!D:D,Clients!GTJ:GTJ,2,0,1)))</f>
        <v/>
      </c>
      <c r="H148" s="37">
        <f>IF(AND(E148&gt;0,G148=0),"DTC Transferable Not Claimed Can Be Transferred","No Action")</f>
        <v/>
      </c>
      <c r="J148" s="667" t="inlineStr">
        <is>
          <t>Disability Amount</t>
        </is>
      </c>
      <c r="L148" t="inlineStr">
        <is>
          <t>Line 5844</t>
        </is>
      </c>
      <c r="M148" s="865">
        <f>IF(_xlfn.XLOOKUP(ClientNumber,Clients!D:D,Clients!HSH:HSH,2,0,1)=0,9214,(_xlfn.XLOOKUP(MainClient,Clients!D:D,Clients!HSH:HSH,2,0,1)))</f>
        <v/>
      </c>
      <c r="N148" s="45" t="inlineStr">
        <is>
          <t>Line 59070</t>
        </is>
      </c>
      <c r="O148" s="51">
        <f>IFERROR(_xlfn.XLOOKUP(TransferNumber,Clients!D:D,Clients!HTL:HTL,2,0,1),0)</f>
        <v/>
      </c>
      <c r="P148" s="37">
        <f>IF(AND(M148&gt;0,O148=0),"DTC Transferable Not Claimed Can Be Transferred","No Action")</f>
        <v/>
      </c>
    </row>
    <row r="149" ht="15.75" customHeight="1" thickBot="1">
      <c r="B149" s="667" t="inlineStr">
        <is>
          <t>Tuition Amount</t>
        </is>
      </c>
      <c r="D149" t="inlineStr">
        <is>
          <t>Line 5920</t>
        </is>
      </c>
      <c r="E149" s="861">
        <f>(_xlfn.XLOOKUP(ClientNumber,Clients!D:D,Clients!GTT:GTT,2,0,1))</f>
        <v/>
      </c>
      <c r="F149" s="37" t="inlineStr">
        <is>
          <t>Line 59090</t>
        </is>
      </c>
      <c r="G149" s="51">
        <f>IF(TransferName="NONE",0,(_xlfn.XLOOKUP(TransferNumber,Clients!D:D,Clients!GTK:GTK,2,0,1)))</f>
        <v/>
      </c>
      <c r="H149" s="37">
        <f>IF(AND(E149&gt;0,G149=0),"Tuition Can Be Transferred","No Action")</f>
        <v/>
      </c>
      <c r="J149" s="667" t="inlineStr">
        <is>
          <t>Tuition Amount</t>
        </is>
      </c>
      <c r="L149" t="inlineStr">
        <is>
          <t>Line 5920</t>
        </is>
      </c>
      <c r="M149" s="865">
        <f>(_xlfn.XLOOKUP(MainClient,Clients!D:D,Clients!HTV:HTV,2,0,1))</f>
        <v/>
      </c>
      <c r="N149" s="45" t="inlineStr">
        <is>
          <t>Line 59090</t>
        </is>
      </c>
      <c r="O149" s="51">
        <f>IFERROR(_xlfn.XLOOKUP(TransferNumber,Clients!D:D,Clients!HTM:HTM,2,0,1),0)</f>
        <v/>
      </c>
      <c r="P149" s="37">
        <f>IF(AND(M149&gt;0,O149=0),"Tuition Can Be Transferred","No Action")</f>
        <v/>
      </c>
    </row>
    <row r="150" ht="15.75" customHeight="1" thickBot="1">
      <c r="B150" s="667" t="n"/>
      <c r="E150" s="771">
        <f>SUM(E144:E149)</f>
        <v/>
      </c>
      <c r="F150" s="37" t="n"/>
      <c r="G150" s="667">
        <f>SUM(G144:G149)</f>
        <v/>
      </c>
      <c r="H150" s="37" t="n"/>
      <c r="J150" s="667" t="n"/>
      <c r="M150" s="872">
        <f>SUM(M144:M149)</f>
        <v/>
      </c>
      <c r="N150" s="37" t="n"/>
      <c r="O150" s="667">
        <f>SUM(O144:O149)</f>
        <v/>
      </c>
      <c r="P150" s="37" t="n"/>
    </row>
    <row r="151" ht="15.75" customHeight="1" thickBot="1">
      <c r="B151" s="34" t="n"/>
      <c r="F151" s="35" t="n"/>
      <c r="G151" s="667" t="n"/>
      <c r="H151" s="35" t="n"/>
      <c r="J151" s="34" t="n"/>
      <c r="N151" s="35" t="n"/>
      <c r="O151" s="667" t="n"/>
      <c r="P151" s="35" t="n"/>
    </row>
    <row r="152" ht="15.75" customHeight="1" thickBot="1">
      <c r="B152" s="667" t="inlineStr">
        <is>
          <t>Line 260</t>
        </is>
      </c>
      <c r="C152" s="36">
        <f>(_xlfn.XLOOKUP(MainClient,Clients!D:D,Clients!GJC:GJC,2,0,1))</f>
        <v/>
      </c>
      <c r="F152" s="35" t="n"/>
      <c r="G152" s="34">
        <f>IF(E175&gt;E148,"other transferable credits","DTC Only")</f>
        <v/>
      </c>
      <c r="H152" s="35" t="n"/>
      <c r="J152" s="667" t="inlineStr">
        <is>
          <t>Line 260</t>
        </is>
      </c>
      <c r="K152" s="36">
        <f>(_xlfn.XLOOKUP(MainClient,Clients!D:D,Clients!HJE:HJE,2,0,1))</f>
        <v/>
      </c>
      <c r="N152" s="35" t="n"/>
      <c r="O152" s="34">
        <f>IF(M175&gt;M148,"other transferable credits","DTC Only")</f>
        <v/>
      </c>
      <c r="P152" s="35" t="n"/>
    </row>
    <row r="153" ht="15.75" customHeight="1" thickBot="1">
      <c r="B153" s="34" t="n"/>
      <c r="F153" s="35" t="n"/>
      <c r="G153" s="34" t="n"/>
      <c r="H153" s="35" t="n"/>
      <c r="J153" s="34" t="n"/>
      <c r="N153" s="35" t="n"/>
      <c r="O153" s="34" t="n"/>
      <c r="P153" s="35" t="n"/>
    </row>
    <row r="154" ht="15" customHeight="1" thickBot="1">
      <c r="B154" s="55" t="inlineStr">
        <is>
          <t>Line 5804</t>
        </is>
      </c>
      <c r="C154" s="36">
        <f>(_xlfn.XLOOKUP(ClientNumber,Clients!D:D,Clients!GRC:GRC,2,0,1))</f>
        <v/>
      </c>
      <c r="F154" s="35" t="n"/>
      <c r="G154" s="34" t="n"/>
      <c r="H154" s="35" t="n"/>
      <c r="J154" s="55" t="inlineStr">
        <is>
          <t>Line 5804</t>
        </is>
      </c>
      <c r="K154" s="36">
        <f>(_xlfn.XLOOKUP(MainClient,Clients!D:D,Clients!HRE:HRE,2,0,1))</f>
        <v/>
      </c>
      <c r="N154" s="35" t="n"/>
      <c r="O154" s="34" t="n"/>
      <c r="P154" s="35" t="n"/>
    </row>
    <row r="155" ht="15.75" customHeight="1" thickBot="1">
      <c r="B155" s="55" t="inlineStr">
        <is>
          <t>Line 5824</t>
        </is>
      </c>
      <c r="C155" s="36">
        <f>(_xlfn.XLOOKUP(ClientNumber,Clients!D:D,Clients!GRR:GRR,2,0,1))</f>
        <v/>
      </c>
      <c r="F155" s="35" t="n"/>
      <c r="G155" s="34" t="n"/>
      <c r="H155" s="35" t="n"/>
      <c r="J155" s="55" t="inlineStr">
        <is>
          <t>Line 5824</t>
        </is>
      </c>
      <c r="K155" s="36">
        <f>(_xlfn.XLOOKUP(MainClient,Clients!D:D,Clients!HRT:HRT,2,0,1))</f>
        <v/>
      </c>
      <c r="N155" s="35" t="n"/>
      <c r="O155" s="34" t="n"/>
      <c r="P155" s="35" t="n"/>
    </row>
    <row r="156" ht="15.75" customHeight="1" thickBot="1">
      <c r="B156" s="55" t="inlineStr">
        <is>
          <t>Line 5828</t>
        </is>
      </c>
      <c r="C156" s="36">
        <f>(_xlfn.XLOOKUP(ClientNumber,Clients!D:D,Clients!GRS:GRS,2,0,1))</f>
        <v/>
      </c>
      <c r="F156" s="35" t="n"/>
      <c r="G156" s="34" t="n"/>
      <c r="H156" s="35" t="n"/>
      <c r="J156" s="55" t="inlineStr">
        <is>
          <t>Line 5828</t>
        </is>
      </c>
      <c r="K156" s="36">
        <f>(_xlfn.XLOOKUP(MainClient,Clients!D:D,Clients!HRU:HRU,2,0,1))</f>
        <v/>
      </c>
      <c r="N156" s="35" t="n"/>
      <c r="P156" s="35" t="n"/>
    </row>
    <row r="157" ht="15.75" customHeight="1" thickBot="1">
      <c r="B157" s="55" t="inlineStr">
        <is>
          <t>Line 5832</t>
        </is>
      </c>
      <c r="C157" s="36">
        <f>(_xlfn.XLOOKUP(ClientNumber,Clients!D:D,Clients!GRT:GRT,2,0,1))</f>
        <v/>
      </c>
      <c r="F157" s="35" t="n"/>
      <c r="G157" s="34" t="n"/>
      <c r="H157" s="35" t="n"/>
      <c r="J157" s="55" t="inlineStr">
        <is>
          <t>Line 5832</t>
        </is>
      </c>
      <c r="K157" s="36">
        <f>(_xlfn.XLOOKUP(MainClient,Clients!D:D,Clients!HRV:HRV,2,0,1))</f>
        <v/>
      </c>
      <c r="N157" s="35" t="n"/>
      <c r="O157" s="34" t="n"/>
      <c r="P157" s="35" t="n"/>
    </row>
    <row r="158" ht="15.75" customHeight="1" thickBot="1">
      <c r="B158" s="55" t="inlineStr">
        <is>
          <t>Line 5829</t>
        </is>
      </c>
      <c r="C158" s="36">
        <f>(_xlfn.XLOOKUP(ClientNumber,Clients!D:D,Clients!GRU:GRU,2,0,1))</f>
        <v/>
      </c>
      <c r="F158" s="35" t="n"/>
      <c r="G158" s="34" t="n"/>
      <c r="H158" s="35" t="n"/>
      <c r="J158" s="55" t="inlineStr">
        <is>
          <t>Line 5829</t>
        </is>
      </c>
      <c r="K158" s="36">
        <f>(_xlfn.XLOOKUP(MainClient,Clients!D:D,Clients!HRW:HRW,2,0,1))</f>
        <v/>
      </c>
      <c r="N158" s="35" t="n"/>
      <c r="O158" s="34" t="n"/>
      <c r="P158" s="35" t="n"/>
    </row>
    <row r="159" ht="15.75" customHeight="1" thickBot="1">
      <c r="B159" s="55" t="inlineStr">
        <is>
          <t>Line  5837</t>
        </is>
      </c>
      <c r="C159" s="36">
        <f>(_xlfn.XLOOKUP(ClientNumber,Clients!D:D,Clients!GSC:GSC,2,0,1))</f>
        <v/>
      </c>
      <c r="F159" s="35" t="n"/>
      <c r="G159" s="34" t="n"/>
      <c r="H159" s="35" t="n"/>
      <c r="J159" s="55" t="inlineStr">
        <is>
          <t>Line  5837</t>
        </is>
      </c>
      <c r="K159" s="36">
        <f>(_xlfn.XLOOKUP(MainClient,Clients!D:D,Clients!HSE:HSE,2,0,1))</f>
        <v/>
      </c>
      <c r="N159" s="35" t="n"/>
      <c r="O159" s="34" t="n"/>
      <c r="P159" s="35" t="n"/>
    </row>
    <row r="160" ht="15.75" customHeight="1" thickBot="1">
      <c r="B160" s="55" t="inlineStr">
        <is>
          <t>Line  5856</t>
        </is>
      </c>
      <c r="C160" s="36">
        <f>(_xlfn.XLOOKUP(ClientNumber,Clients!D:D,Clients!GSJ:GSJ,2,0,1))</f>
        <v/>
      </c>
      <c r="F160" s="35" t="n"/>
      <c r="G160" s="34" t="n"/>
      <c r="H160" s="35" t="n"/>
      <c r="J160" s="55" t="inlineStr">
        <is>
          <t>Line  5856</t>
        </is>
      </c>
      <c r="K160" s="36">
        <f>(_xlfn.XLOOKUP(MainClient,Clients!D:D,Clients!HSL:HSL,2,0,1))</f>
        <v/>
      </c>
      <c r="N160" s="35" t="n"/>
      <c r="O160" s="34" t="n"/>
      <c r="P160" s="35" t="n"/>
    </row>
    <row r="161" ht="15.75" customHeight="1" thickBot="1">
      <c r="B161" s="55" t="n"/>
      <c r="C161" s="36" t="n"/>
      <c r="F161" s="35" t="n"/>
      <c r="G161" s="34" t="n"/>
      <c r="H161" s="35" t="n"/>
      <c r="J161" s="55" t="n"/>
      <c r="K161" s="36" t="n"/>
      <c r="N161" s="35" t="n"/>
      <c r="O161" s="34" t="n"/>
      <c r="P161" s="35" t="n"/>
    </row>
    <row r="162" ht="15.75" customHeight="1" thickBot="1">
      <c r="B162" s="55" t="n"/>
      <c r="C162" s="36" t="n"/>
      <c r="F162" s="35" t="n"/>
      <c r="G162" s="34" t="n"/>
      <c r="H162" s="35" t="n"/>
      <c r="J162" s="55" t="n"/>
      <c r="K162" s="36" t="n"/>
      <c r="N162" s="35" t="n"/>
      <c r="O162" s="34" t="n"/>
      <c r="P162" s="35" t="n"/>
    </row>
    <row r="163" ht="15.75" customHeight="1" thickBot="1">
      <c r="B163" s="55" t="n"/>
      <c r="C163" s="36" t="n"/>
      <c r="F163" s="35" t="n"/>
      <c r="G163" s="34" t="n"/>
      <c r="H163" s="35" t="n"/>
      <c r="J163" s="55" t="n"/>
      <c r="K163" s="36" t="n"/>
      <c r="N163" s="35" t="n"/>
      <c r="O163" s="34" t="n"/>
      <c r="P163" s="35" t="n"/>
    </row>
    <row r="164" ht="15.75" customHeight="1" thickBot="1">
      <c r="B164" s="55" t="n"/>
      <c r="C164" s="36" t="n"/>
      <c r="F164" s="35" t="n"/>
      <c r="G164" s="34" t="inlineStr">
        <is>
          <t>Line 326</t>
        </is>
      </c>
      <c r="H164" s="35">
        <f>IF(TransferName="NONE",0,(_xlfn.XLOOKUP(TransferNumber,Clients!D:D,Clients!GKB:GKB,2,0,1)))</f>
        <v/>
      </c>
      <c r="J164" s="55" t="n"/>
      <c r="K164" s="36" t="n"/>
      <c r="N164" s="35" t="n"/>
      <c r="O164" s="34" t="inlineStr">
        <is>
          <t>Line 326</t>
        </is>
      </c>
      <c r="P164" s="35">
        <f>IFERROR(_xlfn.XLOOKUP(TransferNumber,Clients!D:D,Clients!FJZ:FJZ,2,0,1),0)</f>
        <v/>
      </c>
    </row>
    <row r="165" ht="15.75" customHeight="1" thickBot="1">
      <c r="B165" s="55" t="n"/>
      <c r="C165" s="36" t="n"/>
      <c r="F165" s="35" t="n"/>
      <c r="G165" s="34" t="n"/>
      <c r="H165" s="35" t="n"/>
      <c r="J165" s="38" t="n"/>
      <c r="K165" s="36" t="n"/>
      <c r="N165" s="35" t="n"/>
      <c r="O165" s="34" t="n"/>
      <c r="P165" s="35" t="n"/>
    </row>
    <row r="166" ht="15.75" customHeight="1" thickBot="1">
      <c r="B166" s="38" t="n"/>
      <c r="C166" s="36" t="n"/>
      <c r="F166" s="35" t="n"/>
      <c r="G166" s="34" t="n"/>
      <c r="H166" s="35" t="n"/>
      <c r="J166" s="38" t="n"/>
      <c r="K166" s="36" t="n"/>
      <c r="N166" s="35" t="n"/>
      <c r="O166" s="34" t="n"/>
      <c r="P166" s="35" t="n"/>
    </row>
    <row r="167" ht="15.75" customHeight="1" thickBot="1">
      <c r="B167" s="38" t="n"/>
      <c r="C167" s="36" t="n"/>
      <c r="F167" s="35" t="n"/>
      <c r="G167" s="34" t="n"/>
      <c r="H167" s="35" t="n"/>
      <c r="J167" s="38" t="n"/>
      <c r="K167" s="36" t="n"/>
      <c r="N167" s="35" t="n"/>
      <c r="O167" s="34" t="n"/>
      <c r="P167" s="35" t="n"/>
    </row>
    <row r="168" ht="15.75" customHeight="1" thickBot="1">
      <c r="B168" s="38" t="n"/>
      <c r="C168" s="36" t="n"/>
      <c r="F168" s="35" t="n"/>
      <c r="G168" s="34" t="n"/>
      <c r="H168" s="35">
        <f>IF(E173&gt;0,E150-G150,0)</f>
        <v/>
      </c>
      <c r="J168" s="38" t="n"/>
      <c r="K168" s="36" t="n"/>
      <c r="N168" s="35" t="n"/>
      <c r="O168" s="34" t="n"/>
      <c r="P168" s="35">
        <f>IF(M173&gt;0,M150-O150,0)</f>
        <v/>
      </c>
    </row>
    <row r="169" ht="15.75" customHeight="1" thickBot="1">
      <c r="B169" s="38" t="n"/>
      <c r="C169" s="36" t="n"/>
      <c r="F169" s="35" t="n"/>
      <c r="H169" s="65">
        <f>IF(TransferName="NONE",F174,IF(H168&gt;0,(E173-G150)*0.105,0))</f>
        <v/>
      </c>
      <c r="J169" s="38" t="n"/>
      <c r="K169" s="36" t="n"/>
      <c r="N169" s="35" t="n"/>
      <c r="P169" s="65">
        <f>IF(TransferName="NONE",N174,IF(P168&gt;0,(M173-O150)*0.105,0))</f>
        <v/>
      </c>
    </row>
    <row r="170">
      <c r="B170" s="667" t="n"/>
      <c r="F170" s="35" t="n"/>
      <c r="G170" s="34" t="inlineStr">
        <is>
          <t>Transferable</t>
        </is>
      </c>
      <c r="H170" s="65">
        <f>IF(H169&gt;0,H169,0)</f>
        <v/>
      </c>
      <c r="J170" s="667" t="n"/>
      <c r="N170" s="35" t="n"/>
      <c r="O170" s="34" t="inlineStr">
        <is>
          <t>Transferable</t>
        </is>
      </c>
      <c r="P170" s="65">
        <f>IF(P169&gt;0,P169,0)</f>
        <v/>
      </c>
    </row>
    <row r="171">
      <c r="B171" s="667" t="inlineStr">
        <is>
          <t>Adjusted Taxable Income</t>
        </is>
      </c>
      <c r="C171">
        <f>C152-(SUM(C154:C169))</f>
        <v/>
      </c>
      <c r="D171" s="13" t="inlineStr">
        <is>
          <t>Line 5864</t>
        </is>
      </c>
      <c r="E171" s="39">
        <f>IF(C171&gt;0,C171,0)</f>
        <v/>
      </c>
      <c r="F171" s="35" t="n"/>
      <c r="G171" s="34" t="n"/>
      <c r="H171" s="35" t="n"/>
      <c r="J171" s="667" t="inlineStr">
        <is>
          <t>Adjusted Taxable Income</t>
        </is>
      </c>
      <c r="K171">
        <f>K152-(SUM(K154:K169))</f>
        <v/>
      </c>
      <c r="L171" s="13" t="inlineStr">
        <is>
          <t>Line 5864</t>
        </is>
      </c>
      <c r="M171" s="39">
        <f>IF(K171&gt;0,K171,0)</f>
        <v/>
      </c>
      <c r="N171" s="35" t="n"/>
      <c r="O171" s="34" t="n"/>
      <c r="P171" s="35" t="n"/>
    </row>
    <row r="172" ht="15.75" customHeight="1" thickBot="1">
      <c r="B172" s="34" t="n"/>
      <c r="F172" s="35" t="n"/>
      <c r="G172" s="34" t="n"/>
      <c r="H172" s="35" t="n"/>
      <c r="J172" s="34" t="n"/>
      <c r="N172" s="35" t="n"/>
      <c r="O172" s="34" t="n"/>
      <c r="P172" s="35" t="n"/>
    </row>
    <row r="173" ht="15.75" customHeight="1" thickBot="1">
      <c r="B173" s="34" t="n"/>
      <c r="D173" s="21" t="inlineStr">
        <is>
          <t>Prov Trans</t>
        </is>
      </c>
      <c r="E173" s="36">
        <f>(E150-E171)</f>
        <v/>
      </c>
      <c r="F173" s="40" t="n"/>
      <c r="G173" s="34" t="n"/>
      <c r="H173" s="52" t="n"/>
      <c r="J173" s="34" t="n"/>
      <c r="L173" s="21" t="inlineStr">
        <is>
          <t>Prov Trans</t>
        </is>
      </c>
      <c r="M173" s="36">
        <f>(M150-M171)</f>
        <v/>
      </c>
      <c r="N173" s="40" t="n"/>
      <c r="O173" s="34" t="n"/>
      <c r="P173" s="52" t="n"/>
    </row>
    <row r="174" ht="15.75" customHeight="1" thickBot="1">
      <c r="B174" s="34" t="n"/>
      <c r="C174" s="579" t="inlineStr">
        <is>
          <t>DTC Transferable ESTIMATE</t>
        </is>
      </c>
      <c r="D174" s="35" t="n"/>
      <c r="E174" s="36">
        <f>IF(E173&lt;0,0,(IF(E173&gt;E148,E148,E173)))</f>
        <v/>
      </c>
      <c r="F174" s="40">
        <f>IF(E174&gt;0,E174*0.105,"No Transfer Required")</f>
        <v/>
      </c>
      <c r="G174" s="58" t="n"/>
      <c r="H174" s="52" t="n"/>
      <c r="J174" s="34" t="n"/>
      <c r="K174" s="579" t="inlineStr">
        <is>
          <t>DTC Transferable ESTIMATE</t>
        </is>
      </c>
      <c r="L174" s="35" t="n"/>
      <c r="M174" s="36">
        <f>IF(M173&lt;0,0,(IF(M173&gt;M148,M148,M173)))</f>
        <v/>
      </c>
      <c r="N174" s="40">
        <f>IF(M174&gt;0,M174*0.105,"No Transfer Required")</f>
        <v/>
      </c>
      <c r="O174" s="58" t="n"/>
      <c r="P174" s="52" t="n"/>
    </row>
    <row r="175" ht="15.75" customHeight="1" thickBot="1">
      <c r="B175" s="42" t="n"/>
      <c r="C175" s="41" t="n"/>
      <c r="D175" s="43" t="inlineStr">
        <is>
          <t>Net Transferable</t>
        </is>
      </c>
      <c r="E175" s="36">
        <f>IF(E173&lt;0,0,(IF(E173-G144-G145-G147-G149&lt;0,E173,(E173-G144-G145-G147-G149))))</f>
        <v/>
      </c>
      <c r="F175" s="57">
        <f>IF(E175&gt;0,E175*0.105,"0")</f>
        <v/>
      </c>
      <c r="G175" s="59" t="n"/>
      <c r="H175" s="864" t="n"/>
      <c r="J175" s="42" t="n"/>
      <c r="K175" s="41" t="n"/>
      <c r="L175" s="43" t="inlineStr">
        <is>
          <t>Net Transferable</t>
        </is>
      </c>
      <c r="M175" s="36">
        <f>IF(M173&lt;0,0,(IF(M173-O144-O145-O147-O149&lt;0,M173,(M173-O144-O145-O147-O149))))</f>
        <v/>
      </c>
      <c r="N175" s="57">
        <f>IF(M175&gt;0,M175*0.105,"0")</f>
        <v/>
      </c>
      <c r="O175" s="59" t="n"/>
      <c r="P175" s="864" t="n"/>
    </row>
    <row r="176">
      <c r="D176" s="60" t="n"/>
      <c r="F176" s="61" t="n"/>
      <c r="G176" s="449" t="n"/>
      <c r="H176" s="866" t="n"/>
      <c r="L176" s="60" t="n"/>
      <c r="N176" s="866" t="n"/>
      <c r="O176" s="64" t="n"/>
      <c r="P176" s="866" t="n"/>
    </row>
    <row r="177" ht="15.75" customHeight="1" thickBot="1">
      <c r="E177">
        <f>Calculator!$D$5</f>
        <v/>
      </c>
      <c r="H177">
        <f>TransferName</f>
        <v/>
      </c>
      <c r="M177">
        <f>Calculator!$D$5</f>
        <v/>
      </c>
      <c r="P177">
        <f>TransferName</f>
        <v/>
      </c>
    </row>
    <row r="178" ht="15.75" customHeight="1" thickBot="1">
      <c r="B178" s="879" t="inlineStr">
        <is>
          <t>2014 SASKATCHEWAN Provincial</t>
        </is>
      </c>
      <c r="C178" s="778" t="n"/>
      <c r="D178" s="778" t="n"/>
      <c r="E178" s="778" t="n"/>
      <c r="F178" s="778" t="n"/>
      <c r="G178" s="778" t="n"/>
      <c r="H178" s="780" t="n"/>
      <c r="J178" s="879" t="inlineStr">
        <is>
          <t>2013 SASKATCHEWAN Provincial</t>
        </is>
      </c>
      <c r="K178" s="778" t="n"/>
      <c r="L178" s="778" t="n"/>
      <c r="M178" s="778" t="n"/>
      <c r="N178" s="778" t="n"/>
      <c r="O178" s="778" t="n"/>
      <c r="P178" s="780" t="n"/>
    </row>
    <row r="179" ht="15.75" customHeight="1" thickBot="1">
      <c r="B179" s="34" t="n"/>
      <c r="D179" t="inlineStr">
        <is>
          <t>Line</t>
        </is>
      </c>
      <c r="E179" t="inlineStr">
        <is>
          <t>Amt</t>
        </is>
      </c>
      <c r="F179" s="35" t="n"/>
      <c r="G179" s="667" t="inlineStr">
        <is>
          <t>Spouse</t>
        </is>
      </c>
      <c r="H179" s="35" t="inlineStr">
        <is>
          <t>S2 Adjustment</t>
        </is>
      </c>
      <c r="J179" s="34" t="n"/>
      <c r="L179" t="inlineStr">
        <is>
          <t>Line</t>
        </is>
      </c>
      <c r="M179" t="inlineStr">
        <is>
          <t>Amt</t>
        </is>
      </c>
      <c r="N179" s="35" t="n"/>
      <c r="O179" s="34" t="inlineStr">
        <is>
          <t>Spouse</t>
        </is>
      </c>
      <c r="P179" s="35" t="inlineStr">
        <is>
          <t>S2 Adjustment</t>
        </is>
      </c>
    </row>
    <row r="180" ht="15.75" customHeight="1" thickBot="1">
      <c r="B180" s="706" t="inlineStr">
        <is>
          <t>Amount for dependent children born in 1996 or later</t>
        </is>
      </c>
      <c r="D180" s="35" t="inlineStr">
        <is>
          <t>Line 5821</t>
        </is>
      </c>
      <c r="E180" s="861">
        <f>(_xlfn.XLOOKUP(ClientNumber,Clients!D:D,Clients!IRR:IRR,2,0,1))</f>
        <v/>
      </c>
      <c r="F180" s="37" t="inlineStr">
        <is>
          <t>Line 59010</t>
        </is>
      </c>
      <c r="G180" s="51">
        <f>IF(TransferName="NONE",0,(_xlfn.XLOOKUP(TransferNumber,Clients!D:D,Clients!ITI:ITI,2,0,1)))</f>
        <v/>
      </c>
      <c r="H180" s="37">
        <f>IF(AND(E180&gt;0,G180=0),"Amount For Dependent Children Born in 1996 or Later can Be transferred","No Action")</f>
        <v/>
      </c>
      <c r="J180" s="706" t="inlineStr">
        <is>
          <t>Amount for dependent children born in 1995 or later</t>
        </is>
      </c>
      <c r="L180" s="35" t="inlineStr">
        <is>
          <t>Line 5821</t>
        </is>
      </c>
      <c r="M180" s="861">
        <f>(_xlfn.XLOOKUP(ClientNumber,Clients!D:D,Clients!JRT:JRT,2,0,1))</f>
        <v/>
      </c>
      <c r="N180" s="37" t="inlineStr">
        <is>
          <t>Line 59010</t>
        </is>
      </c>
      <c r="O180" s="51">
        <f>IFERROR(_xlfn.XLOOKUP(TransferNumber,Clients!D:D,Clients!JTK:JTK,2,0,1),0)</f>
        <v/>
      </c>
      <c r="P180" s="37">
        <f>IF(AND(M180&gt;0,O180=0),"Amount for dependent children born in 1995 or later can Be transferred","No Action")</f>
        <v/>
      </c>
    </row>
    <row r="181" ht="16.5" customHeight="1" thickBot="1">
      <c r="B181" s="667" t="inlineStr">
        <is>
          <t>Age Amount</t>
        </is>
      </c>
      <c r="D181" t="inlineStr">
        <is>
          <t>Line 5808</t>
        </is>
      </c>
      <c r="E181" s="861">
        <f>(_xlfn.XLOOKUP(ClientNumber,Clients!D:D,Clients!IRH:IRH,2,0,1))</f>
        <v/>
      </c>
      <c r="F181" s="37" t="inlineStr">
        <is>
          <t>Line 59020</t>
        </is>
      </c>
      <c r="G181" s="51">
        <f>IF(TransferName="NONE",0,(_xlfn.XLOOKUP(TransferNumber,Clients!D:D,Clients!ITJ:ITJ,2,0,1)))</f>
        <v/>
      </c>
      <c r="H181" s="37">
        <f>IF(AND(E181&gt;0,G181=0),"Age Amount Can Be Transferred","No Action")</f>
        <v/>
      </c>
      <c r="J181" s="667" t="inlineStr">
        <is>
          <t>Age Amount</t>
        </is>
      </c>
      <c r="L181" t="inlineStr">
        <is>
          <t>Line 5808</t>
        </is>
      </c>
      <c r="M181" s="865">
        <f>(_xlfn.XLOOKUP(MainClient,Clients!D:D,Clients!JRJ:JRJ,2,0,1))</f>
        <v/>
      </c>
      <c r="N181" s="45" t="inlineStr">
        <is>
          <t>Line 59020</t>
        </is>
      </c>
      <c r="O181" s="51">
        <f>IFERROR(_xlfn.XLOOKUP(TransferNumber,Clients!D:D,Clients!JTL:JTL,2,0,1),0)</f>
        <v/>
      </c>
      <c r="P181" s="37">
        <f>IF(AND(M181&gt;0,O181=0),"Age Amount Can Be Transferred","No Action")</f>
        <v/>
      </c>
    </row>
    <row r="182" ht="16.5" customHeight="1" thickBot="1">
      <c r="B182" s="667" t="inlineStr">
        <is>
          <t>Senior Supplementary Amount</t>
        </is>
      </c>
      <c r="D182" t="inlineStr">
        <is>
          <t>Line 5822</t>
        </is>
      </c>
      <c r="E182" s="861">
        <f>(_xlfn.XLOOKUP(ClientNumber,Clients!D:D,Clients!GRO:GRO,2,0,1))</f>
        <v/>
      </c>
      <c r="F182" s="37" t="inlineStr">
        <is>
          <t>Line 59030</t>
        </is>
      </c>
      <c r="G182" s="51">
        <f>IF(TransferName="NONE",0,(_xlfn.XLOOKUP(TransferNumber,Clients!D:D,Clients!GTG:GTG,2,0,1)))</f>
        <v/>
      </c>
      <c r="H182" s="37">
        <f>IF(AND(E182&gt;0,G182=0),"Sr Supplentary Amount can Be transferred","No Action")</f>
        <v/>
      </c>
      <c r="J182" s="667" t="inlineStr">
        <is>
          <t>Senior Supplementary Amount</t>
        </is>
      </c>
      <c r="L182" t="inlineStr">
        <is>
          <t>Line 5822</t>
        </is>
      </c>
      <c r="M182" s="861">
        <f>(_xlfn.XLOOKUP(ClientNumber,Clients!D:D,Clients!HRQ:HRQ,2,0,1))</f>
        <v/>
      </c>
      <c r="N182" s="37" t="inlineStr">
        <is>
          <t>Line 59030</t>
        </is>
      </c>
      <c r="O182" s="51">
        <f>IF(TransferName="NONE",0,(_xlfn.XLOOKUP(TransferNumber,Clients!D:D,Clients!HTI:HTI,2,0,1)))</f>
        <v/>
      </c>
      <c r="P182" s="37">
        <f>IF(AND(M182&gt;0,O182=0),"Senior Supplementary Amount Can Be Transferred","No Action")</f>
        <v/>
      </c>
    </row>
    <row r="183" ht="15.75" customHeight="1" thickBot="1">
      <c r="B183" s="667" t="inlineStr">
        <is>
          <t>Pension Income Amount</t>
        </is>
      </c>
      <c r="D183" t="inlineStr">
        <is>
          <t>Line 5836 (mx 1000)</t>
        </is>
      </c>
      <c r="E183" s="861">
        <f>IF((_xlfn.XLOOKUP(ClientNumber,Clients!D:D,Clients!ISH:ISH,2,0,1)&lt;1000),(_xlfn.XLOOKUP(MainClient,Clients!D:D,Clients!ISH:ISH,2,0,1)),1000)</f>
        <v/>
      </c>
      <c r="F183" s="37" t="inlineStr">
        <is>
          <t>Line 59050</t>
        </is>
      </c>
      <c r="G183" s="51">
        <f>IF(TransferName="NONE",0,(_xlfn.XLOOKUP(TransferNumber,Clients!D:D,Clients!ITM:ITM,2,0,1)))</f>
        <v/>
      </c>
      <c r="H183" s="37">
        <f>IF(AND(E183&gt;0,G183=0),"Pension Income Amount Can Be Transferred","No Action")</f>
        <v/>
      </c>
      <c r="J183" s="667" t="inlineStr">
        <is>
          <t>Pension Income Amount</t>
        </is>
      </c>
      <c r="L183" t="inlineStr">
        <is>
          <t>Line 5836 (mx 1000)</t>
        </is>
      </c>
      <c r="M183" s="865">
        <f>IF((_xlfn.XLOOKUP(ClientNumber,Clients!D:D,Clients!JSJ:JSJ,2,0,1)&lt;1000),(_xlfn.XLOOKUP(MainClient,Clients!D:D,Clients!JSJ:JSJ,2,0,1)),1000)</f>
        <v/>
      </c>
      <c r="N183" s="45" t="inlineStr">
        <is>
          <t>Line 59050</t>
        </is>
      </c>
      <c r="O183" s="51">
        <f>IFERROR(_xlfn.XLOOKUP(TransferNumber,Clients!D:D,Clients!JTO:JTO,2,0,1),0)</f>
        <v/>
      </c>
      <c r="P183" s="37">
        <f>IF(AND(M183&gt;0,O183=0),"Pension Income Amount Can Be Transferred","No Action")</f>
        <v/>
      </c>
    </row>
    <row r="184" ht="15.75" customHeight="1" thickBot="1">
      <c r="B184" s="667" t="inlineStr">
        <is>
          <t>Disability Amount</t>
        </is>
      </c>
      <c r="D184" t="inlineStr">
        <is>
          <t>Line 5844</t>
        </is>
      </c>
      <c r="E184" s="861">
        <f>IF(_xlfn.XLOOKUP(ClientNumber,Clients!D:D,Clients!ISJ:ISJ,2,0,1)=0,9060,(_xlfn.XLOOKUP(MainClient,Clients!D:D,Clients!ISJ:ISJ,2,0,1)))</f>
        <v/>
      </c>
      <c r="F184" s="37" t="inlineStr">
        <is>
          <t>Line 59070</t>
        </is>
      </c>
      <c r="G184" s="51">
        <f>IF(TransferName="NONE",0,(_xlfn.XLOOKUP(TransferNumber,Clients!D:D,Clients!ITN:ITN,2,0,1)))</f>
        <v/>
      </c>
      <c r="H184" s="37">
        <f>IF(AND(E184&gt;0,G184=0),"DTC Transferable Not Claimed Can Be Transferred","No Action")</f>
        <v/>
      </c>
      <c r="J184" s="667" t="inlineStr">
        <is>
          <t>Disability Amount</t>
        </is>
      </c>
      <c r="L184" t="inlineStr">
        <is>
          <t>Line 5844</t>
        </is>
      </c>
      <c r="M184" s="865">
        <f>IF(_xlfn.XLOOKUP(ClientNumber,Clients!D:D,Clients!JSL:JSL,2,0,1)=0,8979,(_xlfn.XLOOKUP(MainClient,Clients!D:D,Clients!JSL:JSL,2,0,1)))</f>
        <v/>
      </c>
      <c r="N184" s="45" t="inlineStr">
        <is>
          <t>Line 59070</t>
        </is>
      </c>
      <c r="O184" s="51">
        <f>IFERROR(_xlfn.XLOOKUP(TransferNumber,Clients!D:D,Clients!JTP:JTP,2,0,1),0)</f>
        <v/>
      </c>
      <c r="P184" s="37">
        <f>IF(AND(M184&gt;0,O184=0),"DTC Transferable Not Claimed Can Be Transferred","No Action")</f>
        <v/>
      </c>
    </row>
    <row r="185" ht="15.75" customHeight="1" thickBot="1">
      <c r="B185" s="667" t="inlineStr">
        <is>
          <t>Tuition Amount</t>
        </is>
      </c>
      <c r="D185" t="inlineStr">
        <is>
          <t>Line 5920</t>
        </is>
      </c>
      <c r="E185" s="861">
        <f>(_xlfn.XLOOKUP(ClientNumber,Clients!D:D,Clients!ITX:ITX,2,0,1))</f>
        <v/>
      </c>
      <c r="F185" s="37" t="inlineStr">
        <is>
          <t>Line 59090</t>
        </is>
      </c>
      <c r="G185" s="51">
        <f>IF(TransferName="NONE",0,(_xlfn.XLOOKUP(TransferNumber,Clients!D:D,Clients!ITO:ITO,2,0,1)))</f>
        <v/>
      </c>
      <c r="H185" s="37">
        <f>IF(AND(E185&gt;0,G185=0),"Tuition Can Be Transferred","No Action")</f>
        <v/>
      </c>
      <c r="J185" s="667" t="inlineStr">
        <is>
          <t>Tuition Amount</t>
        </is>
      </c>
      <c r="L185" t="inlineStr">
        <is>
          <t>Line 5920</t>
        </is>
      </c>
      <c r="M185" s="865">
        <f>(_xlfn.XLOOKUP(MainClient,Clients!D:D,Clients!JTZ:JTZ,2,0,1))</f>
        <v/>
      </c>
      <c r="N185" s="45" t="inlineStr">
        <is>
          <t>Line 59090</t>
        </is>
      </c>
      <c r="O185" s="51">
        <f>IFERROR(_xlfn.XLOOKUP(TransferNumber,Clients!D:D,Clients!JTQ:JTQ,2,0,1),0)</f>
        <v/>
      </c>
      <c r="P185" s="37">
        <f>IF(AND(M185&gt;0,O185=0),"Age Amount Can Be Transferred","No Action")</f>
        <v/>
      </c>
    </row>
    <row r="186">
      <c r="B186" s="667" t="n"/>
      <c r="E186" s="771">
        <f>SUM(E180:E185)</f>
        <v/>
      </c>
      <c r="F186" s="37" t="n"/>
      <c r="G186" s="667">
        <f>SUM(G180:G185)</f>
        <v/>
      </c>
      <c r="H186" s="37" t="n"/>
      <c r="J186" s="667" t="n"/>
      <c r="M186" s="872">
        <f>SUM(M180:M185)</f>
        <v/>
      </c>
      <c r="N186" s="37" t="n"/>
      <c r="O186" s="667">
        <f>SUM(O180:O185)</f>
        <v/>
      </c>
      <c r="P186" s="37" t="n"/>
    </row>
    <row r="187" ht="15.75" customHeight="1" thickBot="1">
      <c r="B187" s="34" t="n"/>
      <c r="F187" s="35" t="n"/>
      <c r="G187" s="667" t="n"/>
      <c r="H187" s="35" t="n"/>
      <c r="J187" s="34" t="n"/>
      <c r="N187" s="35" t="n"/>
      <c r="O187" s="667" t="n"/>
      <c r="P187" s="35" t="n"/>
    </row>
    <row r="188" ht="15.75" customHeight="1" thickBot="1">
      <c r="B188" s="667" t="inlineStr">
        <is>
          <t>Line 260</t>
        </is>
      </c>
      <c r="C188" s="36">
        <f>(_xlfn.XLOOKUP(MainClient,Clients!D:D,Clients!IJG:IJG,2,0,1))</f>
        <v/>
      </c>
      <c r="F188" s="35" t="n"/>
      <c r="G188" s="34">
        <f>IF(E212&gt;E184,"other transferable credits","DTC Only")</f>
        <v/>
      </c>
      <c r="H188" s="35" t="n"/>
      <c r="J188" s="667" t="inlineStr">
        <is>
          <t>Line 260</t>
        </is>
      </c>
      <c r="K188" s="36">
        <f>(_xlfn.XLOOKUP(MainClient,Clients!D:D,Clients!JJI:JJI,2,0,1))</f>
        <v/>
      </c>
      <c r="N188" s="35" t="n"/>
      <c r="O188" s="34">
        <f>IF(M212&gt;M184,"other transferable credits","DTC Only")</f>
        <v/>
      </c>
      <c r="P188" s="35" t="n"/>
    </row>
    <row r="189" ht="15.75" customHeight="1" thickBot="1">
      <c r="B189" s="34" t="n"/>
      <c r="F189" s="35" t="n"/>
      <c r="G189" s="34" t="n"/>
      <c r="H189" s="35" t="n"/>
      <c r="J189" s="34" t="n"/>
      <c r="N189" s="35" t="n"/>
      <c r="O189" s="34" t="n"/>
      <c r="P189" s="35" t="n"/>
    </row>
    <row r="190" ht="15.75" customHeight="1" thickBot="1">
      <c r="B190" s="55" t="inlineStr">
        <is>
          <t>Line 5804</t>
        </is>
      </c>
      <c r="C190" s="36">
        <f>(_xlfn.XLOOKUP(ClientNumber,Clients!D:D,Clients!IRG:IRG,2,0,1))</f>
        <v/>
      </c>
      <c r="F190" s="35" t="n"/>
      <c r="G190" s="34" t="n"/>
      <c r="H190" s="35" t="n"/>
      <c r="J190" s="55" t="inlineStr">
        <is>
          <t>Line 5804</t>
        </is>
      </c>
      <c r="K190" s="36">
        <f>(_xlfn.XLOOKUP(MainClient,Clients!D:D,Clients!JRI:JRI,2,0,1))</f>
        <v/>
      </c>
      <c r="N190" s="35" t="n"/>
      <c r="O190" s="34" t="n"/>
      <c r="P190" s="35" t="n"/>
    </row>
    <row r="191" ht="15.75" customHeight="1" thickBot="1">
      <c r="B191" s="55" t="inlineStr">
        <is>
          <t>Line 5824</t>
        </is>
      </c>
      <c r="C191" s="36">
        <f>(_xlfn.XLOOKUP(ClientNumber,Clients!D:D,Clients!IRV:IRV,2,0,1))</f>
        <v/>
      </c>
      <c r="F191" s="35" t="n"/>
      <c r="G191" s="34" t="n"/>
      <c r="H191" s="35" t="n"/>
      <c r="J191" s="55" t="inlineStr">
        <is>
          <t>Line 5824</t>
        </is>
      </c>
      <c r="K191" s="36">
        <f>(_xlfn.XLOOKUP(MainClient,Clients!D:D,Clients!JRX:JRX,2,0,1))</f>
        <v/>
      </c>
      <c r="N191" s="35" t="n"/>
      <c r="O191" s="34" t="n"/>
      <c r="P191" s="35" t="n"/>
    </row>
    <row r="192" ht="15.75" customHeight="1" thickBot="1">
      <c r="B192" s="55" t="inlineStr">
        <is>
          <t>Line 5828</t>
        </is>
      </c>
      <c r="C192" s="36">
        <f>(_xlfn.XLOOKUP(ClientNumber,Clients!D:D,Clients!IRW:IRW,2,0,1))</f>
        <v/>
      </c>
      <c r="F192" s="35" t="n"/>
      <c r="G192" s="34" t="n"/>
      <c r="H192" s="35" t="n"/>
      <c r="J192" s="55" t="inlineStr">
        <is>
          <t>Line 5828</t>
        </is>
      </c>
      <c r="K192" s="36">
        <f>(_xlfn.XLOOKUP(MainClient,Clients!D:D,Clients!JRY:JRY,2,0,1))</f>
        <v/>
      </c>
      <c r="N192" s="35" t="n"/>
      <c r="P192" s="35" t="n"/>
    </row>
    <row r="193" ht="15.75" customHeight="1" thickBot="1">
      <c r="B193" s="55" t="inlineStr">
        <is>
          <t>Line 5832</t>
        </is>
      </c>
      <c r="C193" s="36">
        <f>(_xlfn.XLOOKUP(ClientNumber,Clients!D:D,Clients!IRX:IRX,2,0,1))</f>
        <v/>
      </c>
      <c r="F193" s="35" t="n"/>
      <c r="G193" s="34" t="n"/>
      <c r="H193" s="35" t="n"/>
      <c r="J193" s="55" t="inlineStr">
        <is>
          <t>Line 5832</t>
        </is>
      </c>
      <c r="K193" s="36">
        <f>(_xlfn.XLOOKUP(MainClient,Clients!D:D,Clients!JRZ:JRZ,2,0,1))</f>
        <v/>
      </c>
      <c r="N193" s="35" t="n"/>
      <c r="O193" s="34" t="n"/>
      <c r="P193" s="35" t="n"/>
    </row>
    <row r="194" ht="15.75" customHeight="1" thickBot="1">
      <c r="B194" s="55" t="inlineStr">
        <is>
          <t>Line 5829</t>
        </is>
      </c>
      <c r="C194" s="36">
        <f>(_xlfn.XLOOKUP(ClientNumber,Clients!D:D,Clients!IRY:IRY,2,0,1))</f>
        <v/>
      </c>
      <c r="F194" s="35" t="n"/>
      <c r="G194" s="34" t="n"/>
      <c r="H194" s="35" t="n"/>
      <c r="J194" s="55" t="inlineStr">
        <is>
          <t>Line 5829</t>
        </is>
      </c>
      <c r="K194" s="36">
        <f>(_xlfn.XLOOKUP(MainClient,Clients!D:D,Clients!JSA:JSA,2,0,1))</f>
        <v/>
      </c>
      <c r="N194" s="35" t="n"/>
      <c r="O194" s="34" t="n"/>
      <c r="P194" s="35" t="n"/>
    </row>
    <row r="195" ht="15.75" customHeight="1" thickBot="1">
      <c r="B195" s="55" t="inlineStr">
        <is>
          <t>Line  5837</t>
        </is>
      </c>
      <c r="C195" s="36">
        <f>(_xlfn.XLOOKUP(ClientNumber,Clients!D:D,Clients!ISG:ISG,2,0,1))</f>
        <v/>
      </c>
      <c r="F195" s="35" t="n"/>
      <c r="G195" s="34" t="n"/>
      <c r="H195" s="35" t="n"/>
      <c r="J195" s="55" t="inlineStr">
        <is>
          <t>Line  5837</t>
        </is>
      </c>
      <c r="K195" s="36">
        <f>(_xlfn.XLOOKUP(MainClient,Clients!D:D,Clients!JSI:JSI,2,0,1))</f>
        <v/>
      </c>
      <c r="N195" s="35" t="n"/>
      <c r="O195" s="34" t="n"/>
      <c r="P195" s="35" t="n"/>
    </row>
    <row r="196" ht="15.75" customHeight="1" thickBot="1">
      <c r="B196" s="55" t="inlineStr">
        <is>
          <t>Line 5856</t>
        </is>
      </c>
      <c r="C196" s="36">
        <f>(_xlfn.XLOOKUP(ClientNumber,Clients!D:D,Clients!ISN:ISN,2,0,1))</f>
        <v/>
      </c>
      <c r="F196" s="35" t="n"/>
      <c r="G196" s="34" t="n"/>
      <c r="H196" s="35" t="n"/>
      <c r="J196" s="55" t="inlineStr">
        <is>
          <t>Line 5856</t>
        </is>
      </c>
      <c r="K196" s="36">
        <f>(_xlfn.XLOOKUP(MainClient,Clients!D:D,Clients!JSP:JSP,2,0,1))</f>
        <v/>
      </c>
      <c r="N196" s="35" t="n"/>
      <c r="O196" s="34" t="n"/>
      <c r="P196" s="35" t="n"/>
    </row>
    <row r="197" ht="15.75" customHeight="1" thickBot="1">
      <c r="B197" s="55" t="n"/>
      <c r="C197" s="36" t="n"/>
      <c r="F197" s="35" t="n"/>
      <c r="G197" s="34" t="n"/>
      <c r="H197" s="35" t="n"/>
      <c r="J197" s="55" t="n"/>
      <c r="K197" s="36" t="n"/>
      <c r="N197" s="35" t="n"/>
      <c r="O197" s="34" t="n"/>
      <c r="P197" s="35" t="n"/>
    </row>
    <row r="198" ht="15.75" customHeight="1" thickBot="1">
      <c r="B198" s="55" t="n"/>
      <c r="C198" s="36" t="n"/>
      <c r="F198" s="35" t="n"/>
      <c r="G198" s="34" t="n"/>
      <c r="H198" s="35" t="n"/>
      <c r="J198" s="55" t="n"/>
      <c r="K198" s="36" t="n"/>
      <c r="N198" s="35" t="n"/>
      <c r="O198" s="34" t="n"/>
      <c r="P198" s="35" t="n"/>
    </row>
    <row r="199" ht="15.75" customHeight="1" thickBot="1">
      <c r="A199" s="55" t="n"/>
      <c r="B199" s="55" t="n"/>
      <c r="C199" s="36" t="n"/>
      <c r="F199" s="35" t="n"/>
      <c r="G199" s="34" t="n"/>
      <c r="H199" s="35" t="n"/>
      <c r="J199" s="55" t="n"/>
      <c r="K199" s="36" t="n"/>
      <c r="N199" s="35" t="n"/>
      <c r="O199" s="34" t="n"/>
      <c r="P199" s="35" t="n"/>
    </row>
    <row r="200" ht="15.75" customHeight="1" thickBot="1">
      <c r="B200" s="68" t="n"/>
      <c r="C200" s="36" t="n"/>
      <c r="F200" s="35" t="n"/>
      <c r="G200" s="34" t="n"/>
      <c r="H200" s="35" t="n"/>
      <c r="J200" s="55" t="n"/>
      <c r="K200" s="36" t="n"/>
      <c r="N200" s="35" t="n"/>
      <c r="O200" s="34" t="n"/>
      <c r="P200" s="35" t="n"/>
    </row>
    <row r="201" ht="15.75" customHeight="1" thickBot="1">
      <c r="B201" s="38" t="n"/>
      <c r="C201" s="36" t="n"/>
      <c r="F201" s="35" t="n"/>
      <c r="G201" s="34" t="inlineStr">
        <is>
          <t>Line 326</t>
        </is>
      </c>
      <c r="H201" s="35">
        <f>IF(TransferName="NONE",0,(_xlfn.XLOOKUP(TransferNumber,Clients!D:D,Clients!IKF:IKF,2,0,1)))</f>
        <v/>
      </c>
      <c r="J201" s="38" t="n"/>
      <c r="K201" s="36" t="n"/>
      <c r="N201" s="35" t="n"/>
      <c r="O201" s="34" t="inlineStr">
        <is>
          <t>Line 326</t>
        </is>
      </c>
      <c r="P201" s="35">
        <f>IFERROR(_xlfn.XLOOKUP(TransferNumber,Clients!D:D,Clients!JKH:JKH,2,0,1),0)</f>
        <v/>
      </c>
    </row>
    <row r="202" ht="15.75" customHeight="1" thickBot="1">
      <c r="B202" s="38" t="n"/>
      <c r="C202" s="36" t="n"/>
      <c r="F202" s="35" t="n"/>
      <c r="G202" s="34" t="n"/>
      <c r="H202" s="35" t="n"/>
      <c r="J202" s="68" t="n"/>
      <c r="K202" s="36" t="n"/>
      <c r="N202" s="35" t="n"/>
      <c r="O202" s="34" t="n"/>
      <c r="P202" s="35" t="n"/>
    </row>
    <row r="203" ht="15.75" customHeight="1" thickBot="1">
      <c r="B203" s="38" t="n"/>
      <c r="C203" s="36" t="n"/>
      <c r="F203" s="35" t="n"/>
      <c r="G203" s="34" t="n"/>
      <c r="H203" s="35" t="n"/>
      <c r="J203" s="38" t="n"/>
      <c r="K203" s="36" t="n"/>
      <c r="N203" s="35" t="n"/>
      <c r="O203" s="34" t="n"/>
      <c r="P203" s="35" t="n"/>
    </row>
    <row r="204" ht="15.75" customHeight="1" thickBot="1">
      <c r="B204" s="38" t="n"/>
      <c r="C204" s="36" t="n"/>
      <c r="F204" s="35" t="n"/>
      <c r="G204" s="34" t="n"/>
      <c r="H204" s="35" t="n"/>
      <c r="J204" s="38" t="n"/>
      <c r="K204" s="36" t="n"/>
      <c r="N204" s="35" t="n"/>
      <c r="O204" s="34" t="n"/>
      <c r="P204" s="35" t="n"/>
    </row>
    <row r="205" ht="15.75" customHeight="1" thickBot="1">
      <c r="B205" s="38" t="n"/>
      <c r="C205" s="36" t="n"/>
      <c r="F205" s="35" t="n"/>
      <c r="G205" s="34" t="n"/>
      <c r="H205" s="35">
        <f>IF(E210&gt;0,E186-G186,0)</f>
        <v/>
      </c>
      <c r="J205" s="38" t="n"/>
      <c r="K205" s="36" t="n"/>
      <c r="N205" s="35" t="n"/>
      <c r="O205" s="34" t="n"/>
      <c r="P205" s="35">
        <f>IF(M210&gt;0,M186-O186,0)</f>
        <v/>
      </c>
    </row>
    <row r="206" ht="15.75" customHeight="1" thickBot="1">
      <c r="B206" s="38" t="n"/>
      <c r="C206" s="36" t="n"/>
      <c r="F206" s="35" t="n"/>
      <c r="H206" s="52">
        <f>IF(TransferName="NONE",F211,IF(H205&gt;0,(E210-G186)*0.105,0))</f>
        <v/>
      </c>
      <c r="J206" s="38" t="n"/>
      <c r="K206" s="36" t="n"/>
      <c r="N206" s="35" t="n"/>
      <c r="P206" s="52">
        <f>IF(TransferName="NONE",N211,IF(P205&gt;0,(M210-O186)*0.105,0))</f>
        <v/>
      </c>
    </row>
    <row r="207">
      <c r="B207" s="667" t="n"/>
      <c r="F207" s="35" t="n"/>
      <c r="G207" s="34" t="inlineStr">
        <is>
          <t>Transferable</t>
        </is>
      </c>
      <c r="H207" s="52">
        <f>IF(H206&gt;0,H206,0)</f>
        <v/>
      </c>
      <c r="J207" s="667" t="n"/>
      <c r="N207" s="35" t="n"/>
      <c r="O207" s="34" t="inlineStr">
        <is>
          <t>Transferable</t>
        </is>
      </c>
      <c r="P207" s="52">
        <f>IF(P206&gt;0,P206,0)</f>
        <v/>
      </c>
    </row>
    <row r="208">
      <c r="B208" s="667" t="inlineStr">
        <is>
          <t>Adjusted Taxable Income</t>
        </is>
      </c>
      <c r="C208">
        <f>C188-(SUM(C190:C206))</f>
        <v/>
      </c>
      <c r="D208" s="13" t="inlineStr">
        <is>
          <t>Line 5864</t>
        </is>
      </c>
      <c r="E208" s="39">
        <f>IF(C208&gt;0,C208,0)</f>
        <v/>
      </c>
      <c r="F208" s="35" t="n"/>
      <c r="G208" s="34" t="n"/>
      <c r="H208" s="35" t="n"/>
      <c r="J208" s="667" t="inlineStr">
        <is>
          <t>Adjusted Taxable Income</t>
        </is>
      </c>
      <c r="K208">
        <f>K188-(SUM(K190:K206))</f>
        <v/>
      </c>
      <c r="L208" s="13" t="inlineStr">
        <is>
          <t>Line 5864</t>
        </is>
      </c>
      <c r="M208" s="39">
        <f>IF(K208&gt;0,K208,0)</f>
        <v/>
      </c>
      <c r="N208" s="35" t="n"/>
      <c r="O208" s="34" t="n"/>
      <c r="P208" s="35" t="n"/>
    </row>
    <row r="209" ht="15.75" customHeight="1" thickBot="1">
      <c r="B209" s="34" t="n"/>
      <c r="F209" s="35" t="n"/>
      <c r="G209" s="34" t="n"/>
      <c r="H209" s="35" t="n"/>
      <c r="J209" s="34" t="n"/>
      <c r="N209" s="35" t="n"/>
      <c r="O209" s="34" t="n"/>
      <c r="P209" s="35" t="n"/>
    </row>
    <row r="210" ht="15.75" customHeight="1" thickBot="1">
      <c r="B210" s="34" t="n"/>
      <c r="D210" s="21" t="inlineStr">
        <is>
          <t>Prov Trans</t>
        </is>
      </c>
      <c r="E210" s="36">
        <f>(E186-E208)</f>
        <v/>
      </c>
      <c r="F210" s="40" t="n"/>
      <c r="G210" s="34" t="n"/>
      <c r="H210" s="52" t="n"/>
      <c r="J210" s="34" t="n"/>
      <c r="L210" s="21" t="inlineStr">
        <is>
          <t>Prov Trans</t>
        </is>
      </c>
      <c r="M210" s="36">
        <f>(M186-M208)</f>
        <v/>
      </c>
      <c r="N210" s="40" t="n"/>
      <c r="O210" s="34" t="n"/>
      <c r="P210" s="52" t="n"/>
    </row>
    <row r="211" ht="15.75" customHeight="1" thickBot="1">
      <c r="B211" s="34" t="n"/>
      <c r="C211" s="579" t="inlineStr">
        <is>
          <t>DTC Transferable ESTIMATE</t>
        </is>
      </c>
      <c r="D211" s="35" t="n"/>
      <c r="E211" s="36">
        <f>IF(E210&lt;0,0,(IF(E210&gt;E184,E184,E210)))</f>
        <v/>
      </c>
      <c r="F211" s="40">
        <f>IF(E211&gt;0,E211*0.105,"No Transfer Required")</f>
        <v/>
      </c>
      <c r="G211" s="58" t="n"/>
      <c r="H211" s="52" t="n"/>
      <c r="J211" s="34" t="n"/>
      <c r="K211" s="579" t="inlineStr">
        <is>
          <t>DTC Transferable ESTIMATE</t>
        </is>
      </c>
      <c r="L211" s="35" t="n"/>
      <c r="M211" s="36">
        <f>IF(M210&lt;0,0,(IF(M210&gt;M184,M184,M210)))</f>
        <v/>
      </c>
      <c r="N211" s="40">
        <f>IF(M211&gt;0,M211*0.105,"No Transfer Required")</f>
        <v/>
      </c>
      <c r="O211" s="58" t="n"/>
      <c r="P211" s="52" t="n"/>
    </row>
    <row r="212" ht="15.75" customHeight="1" thickBot="1">
      <c r="B212" s="42" t="n"/>
      <c r="C212" s="41" t="n"/>
      <c r="D212" s="43" t="inlineStr">
        <is>
          <t>Net Transferable</t>
        </is>
      </c>
      <c r="E212" s="36">
        <f>IF(E210&lt;0,0,(IF(E210-G180-G181-G183-G185&lt;0,E210,(E210-G180-G181-G183-G185))))</f>
        <v/>
      </c>
      <c r="F212" s="57">
        <f>IF(E212&gt;0,E212*0.105,"0")</f>
        <v/>
      </c>
      <c r="G212" s="59" t="n"/>
      <c r="H212" s="864" t="n"/>
      <c r="J212" s="42" t="n"/>
      <c r="K212" s="41" t="n"/>
      <c r="L212" s="43" t="inlineStr">
        <is>
          <t>Net Transferable</t>
        </is>
      </c>
      <c r="M212" s="36">
        <f>IF(M210&lt;0,0,(IF(M210-O180-O181-O183-O185&lt;0,M210,(M210-O180-O181-O183-O185))))</f>
        <v/>
      </c>
      <c r="N212" s="57">
        <f>IF(M212&gt;0,M212*0.105,"0")</f>
        <v/>
      </c>
      <c r="O212" s="59" t="n"/>
      <c r="P212" s="864" t="n"/>
    </row>
    <row r="213">
      <c r="D213" s="60" t="n"/>
      <c r="F213" s="61" t="n"/>
      <c r="G213" s="449" t="n"/>
      <c r="H213" s="866" t="n"/>
      <c r="L213" s="60" t="n"/>
      <c r="N213" s="866" t="n"/>
      <c r="O213" s="64" t="n"/>
      <c r="P213" s="866" t="n"/>
    </row>
  </sheetData>
  <mergeCells count="106">
    <mergeCell ref="J180:K180"/>
    <mergeCell ref="K33:L33"/>
    <mergeCell ref="B115:C115"/>
    <mergeCell ref="B149:C149"/>
    <mergeCell ref="J146:K146"/>
    <mergeCell ref="J9:K9"/>
    <mergeCell ref="B77:C77"/>
    <mergeCell ref="K138:L138"/>
    <mergeCell ref="G68:G69"/>
    <mergeCell ref="B182:C182"/>
    <mergeCell ref="J4:K4"/>
    <mergeCell ref="B78:C78"/>
    <mergeCell ref="G33:G34"/>
    <mergeCell ref="B112:C112"/>
    <mergeCell ref="J147:K147"/>
    <mergeCell ref="C138:D138"/>
    <mergeCell ref="B2:H2"/>
    <mergeCell ref="B40:C40"/>
    <mergeCell ref="B183:C183"/>
    <mergeCell ref="J185:K185"/>
    <mergeCell ref="B41:C41"/>
    <mergeCell ref="B37:H37"/>
    <mergeCell ref="J110:K110"/>
    <mergeCell ref="J181:K181"/>
    <mergeCell ref="B142:H142"/>
    <mergeCell ref="B180:C180"/>
    <mergeCell ref="J77:K77"/>
    <mergeCell ref="G103:G104"/>
    <mergeCell ref="C211:D211"/>
    <mergeCell ref="B72:H72"/>
    <mergeCell ref="B186:C186"/>
    <mergeCell ref="J183:K183"/>
    <mergeCell ref="G138:G139"/>
    <mergeCell ref="K211:L211"/>
    <mergeCell ref="J75:K75"/>
    <mergeCell ref="B107:H107"/>
    <mergeCell ref="J114:K114"/>
    <mergeCell ref="B6:C6"/>
    <mergeCell ref="C174:D174"/>
    <mergeCell ref="J145:K145"/>
    <mergeCell ref="B79:C79"/>
    <mergeCell ref="B144:C144"/>
    <mergeCell ref="K68:L68"/>
    <mergeCell ref="C68:D68"/>
    <mergeCell ref="J111:K111"/>
    <mergeCell ref="B185:C185"/>
    <mergeCell ref="B7:C7"/>
    <mergeCell ref="J184:K184"/>
    <mergeCell ref="B184:C184"/>
    <mergeCell ref="J2:P2"/>
    <mergeCell ref="J142:P142"/>
    <mergeCell ref="J40:K40"/>
    <mergeCell ref="B43:C43"/>
    <mergeCell ref="J186:K186"/>
    <mergeCell ref="B42:C42"/>
    <mergeCell ref="J182:K182"/>
    <mergeCell ref="J74:K74"/>
    <mergeCell ref="J72:P72"/>
    <mergeCell ref="B148:C148"/>
    <mergeCell ref="J37:P37"/>
    <mergeCell ref="B44:C44"/>
    <mergeCell ref="B146:C146"/>
    <mergeCell ref="J113:K113"/>
    <mergeCell ref="B9:C9"/>
    <mergeCell ref="J149:K149"/>
    <mergeCell ref="J107:P107"/>
    <mergeCell ref="J178:P178"/>
    <mergeCell ref="J115:K115"/>
    <mergeCell ref="B5:C5"/>
    <mergeCell ref="B76:C76"/>
    <mergeCell ref="J42:K42"/>
    <mergeCell ref="B178:H178"/>
    <mergeCell ref="B4:C4"/>
    <mergeCell ref="J150:K150"/>
    <mergeCell ref="B75:C75"/>
    <mergeCell ref="J39:K39"/>
    <mergeCell ref="B109:C109"/>
    <mergeCell ref="J144:K144"/>
    <mergeCell ref="J44:K44"/>
    <mergeCell ref="J5:K5"/>
    <mergeCell ref="C33:D33"/>
    <mergeCell ref="B150:C150"/>
    <mergeCell ref="J112:K112"/>
    <mergeCell ref="J78:K78"/>
    <mergeCell ref="B39:C39"/>
    <mergeCell ref="J6:K6"/>
    <mergeCell ref="C103:D103"/>
    <mergeCell ref="B111:C111"/>
    <mergeCell ref="B145:C145"/>
    <mergeCell ref="K174:L174"/>
    <mergeCell ref="B181:C181"/>
    <mergeCell ref="B8:C8"/>
    <mergeCell ref="J79:K79"/>
    <mergeCell ref="J148:K148"/>
    <mergeCell ref="B147:C147"/>
    <mergeCell ref="J7:K7"/>
    <mergeCell ref="J41:K41"/>
    <mergeCell ref="J109:K109"/>
    <mergeCell ref="B74:C74"/>
    <mergeCell ref="J43:K43"/>
    <mergeCell ref="K103:L103"/>
    <mergeCell ref="B114:C114"/>
    <mergeCell ref="J76:K76"/>
    <mergeCell ref="B110:C110"/>
    <mergeCell ref="J8:K8"/>
    <mergeCell ref="B113:C113"/>
  </mergeCells>
  <pageMargins left="0.7" right="0.7" top="0.75" bottom="0.75" header="0.3" footer="0.3"/>
  <pageSetup orientation="portrait" verticalDpi="597"/>
</worksheet>
</file>

<file path=xl/worksheets/sheet21.xml><?xml version="1.0" encoding="utf-8"?>
<worksheet xmlns="http://schemas.openxmlformats.org/spreadsheetml/2006/main">
  <sheetPr codeName="Sheet19">
    <tabColor rgb="FF92D050"/>
    <outlinePr summaryBelow="1" summaryRight="1"/>
    <pageSetUpPr/>
  </sheetPr>
  <dimension ref="A1:P211"/>
  <sheetViews>
    <sheetView topLeftCell="A64" zoomScale="60" zoomScaleNormal="60" workbookViewId="0">
      <selection activeCell="M209" sqref="M209"/>
    </sheetView>
  </sheetViews>
  <sheetFormatPr baseColWidth="8" defaultRowHeight="15"/>
  <cols>
    <col width="1.140625" customWidth="1" min="1" max="1"/>
    <col width="23.7109375" bestFit="1" customWidth="1" min="2" max="2"/>
    <col width="16" customWidth="1" min="3" max="3"/>
    <col width="19.42578125" bestFit="1" customWidth="1" min="4" max="4"/>
    <col width="13.5703125" bestFit="1" customWidth="1" min="5" max="5"/>
    <col width="13.42578125" customWidth="1" min="6" max="6"/>
    <col width="12.140625" bestFit="1" customWidth="1" min="7" max="7"/>
    <col width="59" customWidth="1" min="8" max="8"/>
    <col width="11.85546875" customWidth="1" min="9" max="9"/>
    <col width="23.7109375" bestFit="1" customWidth="1" min="10" max="10"/>
    <col width="11.85546875" customWidth="1" min="11" max="11"/>
    <col width="18.42578125" bestFit="1" customWidth="1" min="12" max="12"/>
    <col width="13.5703125" bestFit="1" customWidth="1" min="13" max="13"/>
    <col width="13.5703125" customWidth="1" min="14" max="14"/>
    <col width="12.140625" bestFit="1" customWidth="1" min="15" max="15"/>
    <col width="58.7109375" customWidth="1" min="16" max="16"/>
  </cols>
  <sheetData>
    <row r="1" ht="15.75" customHeight="1" thickBot="1">
      <c r="E1">
        <f>Calculator!$D$5</f>
        <v/>
      </c>
      <c r="H1">
        <f>TransferName</f>
        <v/>
      </c>
      <c r="M1">
        <f>Calculator!$D$5</f>
        <v/>
      </c>
      <c r="P1">
        <f>TransferName</f>
        <v/>
      </c>
    </row>
    <row r="2" ht="15.75" customHeight="1" thickBot="1">
      <c r="B2" s="867" t="inlineStr">
        <is>
          <t>2024 YUKON Provincial</t>
        </is>
      </c>
      <c r="C2" s="778" t="n"/>
      <c r="D2" s="778" t="n"/>
      <c r="E2" s="778" t="n"/>
      <c r="F2" s="778" t="n"/>
      <c r="G2" s="778" t="n"/>
      <c r="H2" s="780" t="n"/>
      <c r="J2" s="891" t="inlineStr">
        <is>
          <t>2023 YUKON Provincial</t>
        </is>
      </c>
      <c r="K2" s="778" t="n"/>
      <c r="L2" s="778" t="n"/>
      <c r="M2" s="778" t="n"/>
      <c r="N2" s="778" t="n"/>
      <c r="O2" s="778" t="n"/>
      <c r="P2" s="780" t="n"/>
    </row>
    <row r="3" ht="15.75" customHeight="1" thickBot="1">
      <c r="B3" s="116" t="n"/>
      <c r="C3" s="115" t="n"/>
      <c r="D3" s="115" t="inlineStr">
        <is>
          <t>Line</t>
        </is>
      </c>
      <c r="E3" s="115" t="inlineStr">
        <is>
          <t>Amt</t>
        </is>
      </c>
      <c r="F3" s="117" t="n"/>
      <c r="G3" s="675" t="inlineStr">
        <is>
          <t>Spouse</t>
        </is>
      </c>
      <c r="H3" s="117" t="inlineStr">
        <is>
          <t>S2 Adjustment</t>
        </is>
      </c>
      <c r="J3" s="34" t="n"/>
      <c r="L3" t="inlineStr">
        <is>
          <t>Line</t>
        </is>
      </c>
      <c r="M3" t="inlineStr">
        <is>
          <t>Amt</t>
        </is>
      </c>
      <c r="N3" s="35" t="n"/>
      <c r="O3" s="34" t="inlineStr">
        <is>
          <t>Spouse</t>
        </is>
      </c>
      <c r="P3" s="35" t="inlineStr">
        <is>
          <t>S2 Adjustment</t>
        </is>
      </c>
    </row>
    <row r="4" ht="15.75" customHeight="1" thickBot="1">
      <c r="B4" s="675" t="inlineStr">
        <is>
          <t>Age Amount</t>
        </is>
      </c>
      <c r="D4" s="115" t="inlineStr">
        <is>
          <t>Line 58080</t>
        </is>
      </c>
      <c r="E4" s="869">
        <f>(_xlfn.XLOOKUP(ClientNumber,Clients!D:D,Clients!ANR:ANR,2,0,1))</f>
        <v/>
      </c>
      <c r="F4" s="119" t="inlineStr">
        <is>
          <t>Line 59020</t>
        </is>
      </c>
      <c r="G4" s="141">
        <f>IF(TransferName="NONE",0,(_xlfn.XLOOKUP(TransferNumber,Clients!D:D,Clients!APT:APT,2,0,1)))</f>
        <v/>
      </c>
      <c r="H4" s="119">
        <f>IF(AND(E4&gt;0,G4=0),"Age Amount Can Be Transferred","No Action")</f>
        <v/>
      </c>
      <c r="J4" s="667" t="inlineStr">
        <is>
          <t>Age Amount</t>
        </is>
      </c>
      <c r="L4" t="inlineStr">
        <is>
          <t>Line 58080</t>
        </is>
      </c>
      <c r="M4" s="865">
        <f>(_xlfn.XLOOKUP(MainClient,Clients!D:D,Clients!MW:MW,2,0,1))</f>
        <v/>
      </c>
      <c r="N4" s="37" t="inlineStr">
        <is>
          <t>Line 59020</t>
        </is>
      </c>
      <c r="O4" s="51">
        <f>IF(TransferName="NONE",0,(_xlfn.XLOOKUP(TransferNumber,Clients!D:D,Clients!OY:OY,2,0,1)))</f>
        <v/>
      </c>
      <c r="P4" s="37">
        <f>IF(AND(M4&gt;0,O4=0),"Age Amount Can Be Transferred","No Action")</f>
        <v/>
      </c>
    </row>
    <row r="5" ht="15.75" customHeight="1" thickBot="1">
      <c r="B5" s="675" t="inlineStr">
        <is>
          <t>Caregiver amount for infrim children under 18 years of age</t>
        </is>
      </c>
      <c r="D5" s="115" t="inlineStr">
        <is>
          <t>Line 58189</t>
        </is>
      </c>
      <c r="E5" s="869">
        <f>(_xlfn.XLOOKUP(ClientNumber,Clients!D:D,Clients!ANY:ANY,2,0,1))</f>
        <v/>
      </c>
      <c r="F5" s="119" t="inlineStr">
        <is>
          <t>Line 59040</t>
        </is>
      </c>
      <c r="G5" s="141">
        <f>IF(TransferName="NONE",0,(_xlfn.XLOOKUP(TransferNumber,Clients!D:D,Clients!APV:APV,2,0,1)))</f>
        <v/>
      </c>
      <c r="H5" s="119">
        <f>IF(AND(E5&gt;0,G5=0),"Amount For Infirm Children Under 18 Can Be Transferred","No Action")</f>
        <v/>
      </c>
      <c r="J5" s="667" t="inlineStr">
        <is>
          <t>Caregiver amount for infrim children under 18 years of age</t>
        </is>
      </c>
      <c r="L5" t="inlineStr">
        <is>
          <t>Line 58189</t>
        </is>
      </c>
      <c r="M5" s="865">
        <f>(_xlfn.XLOOKUP(MainClient,Clients!D:D,Clients!ND:ND,2,0,1))</f>
        <v/>
      </c>
      <c r="N5" s="37" t="inlineStr">
        <is>
          <t>Line 59040</t>
        </is>
      </c>
      <c r="O5" s="51">
        <f>IF(TransferName="NONE",0,(_xlfn.XLOOKUP(TransferNumber,Clients!D:D,Clients!PA:PA,2,0,1)))</f>
        <v/>
      </c>
      <c r="P5" s="37">
        <f>IF(AND(M5&gt;0,O5=0),"Amount For Infirm Children Under 18 Can Be Transferred","No Action")</f>
        <v/>
      </c>
    </row>
    <row r="6" ht="15.75" customHeight="1" thickBot="1">
      <c r="B6" s="675" t="inlineStr">
        <is>
          <t>Pension Income Amount</t>
        </is>
      </c>
      <c r="D6" s="115" t="inlineStr">
        <is>
          <t>Line 58360 (mx 1000)</t>
        </is>
      </c>
      <c r="E6" s="869">
        <f>IF((_xlfn.XLOOKUP(ClientNumber,Clients!D:D,Clients!AOR:AOR,2,0,1)&lt;1000),(_xlfn.XLOOKUP(MainClient,Clients!D:D,Clients!AOR:AOR,2,0,1)),1000)</f>
        <v/>
      </c>
      <c r="F6" s="119" t="inlineStr">
        <is>
          <t>Line 59050</t>
        </is>
      </c>
      <c r="G6" s="141">
        <f>IF(TransferName="NONE",0,(_xlfn.XLOOKUP(TransferNumber,Clients!D:D,Clients!APW:APW,2,0,1)))</f>
        <v/>
      </c>
      <c r="H6" s="119">
        <f>IF(AND(E6&gt;0,G6=0),"Pension Income Amount Can Be Transferred","No Action")</f>
        <v/>
      </c>
      <c r="J6" s="667" t="inlineStr">
        <is>
          <t>Pension Income Amount</t>
        </is>
      </c>
      <c r="L6" t="inlineStr">
        <is>
          <t>Line 58360 (mx 1000)</t>
        </is>
      </c>
      <c r="M6" s="865">
        <f>IF((_xlfn.XLOOKUP(ClientNumber,Clients!D:D,Clients!NW:NW,2,0,1)&lt;1000),(_xlfn.XLOOKUP(MainClient,Clients!D:D,Clients!NW:NW,2,0,1)),1000)</f>
        <v/>
      </c>
      <c r="N6" s="37" t="inlineStr">
        <is>
          <t>Line 59050</t>
        </is>
      </c>
      <c r="O6" s="51">
        <f>IF(TransferName="NONE",0,(_xlfn.XLOOKUP(TransferNumber,Clients!D:D,Clients!PB:PB,2,0,1)))</f>
        <v/>
      </c>
      <c r="P6" s="37">
        <f>IF(AND(M6&gt;0,O6=0),"Pension Income Amount Can Be Transferred","No Action")</f>
        <v/>
      </c>
    </row>
    <row r="7" ht="15.75" customHeight="1" thickBot="1">
      <c r="B7" s="675" t="inlineStr">
        <is>
          <t>Disability Amount</t>
        </is>
      </c>
      <c r="D7" s="115" t="inlineStr">
        <is>
          <t>Line 58440</t>
        </is>
      </c>
      <c r="E7" s="869">
        <f>IF(_xlfn.XLOOKUP(ClientNumber,Clients!D:D,Clients!AOT:AOT,2,0,1)=0,8870,(_xlfn.XLOOKUP(MainClient,Clients!D:D,Clients!AOT:AOT,2,0,1)))</f>
        <v/>
      </c>
      <c r="F7" s="119" t="inlineStr">
        <is>
          <t>Line 59070</t>
        </is>
      </c>
      <c r="G7" s="141">
        <f>IF(TransferName="NONE",0,(_xlfn.XLOOKUP(TransferNumber,Clients!D:D,Clients!APX:APX,2,0,1)))</f>
        <v/>
      </c>
      <c r="H7" s="119">
        <f>IF(AND(E7&gt;0,G7=0),"DTC Transferable Not Claimed Can Be Transferred","No Action")</f>
        <v/>
      </c>
      <c r="J7" s="667" t="inlineStr">
        <is>
          <t>Disability Amount</t>
        </is>
      </c>
      <c r="L7" t="inlineStr">
        <is>
          <t>Line 58440</t>
        </is>
      </c>
      <c r="M7" s="865">
        <f>IF(_xlfn.XLOOKUP(ClientNumber,Clients!D:D,Clients!NY:NY,2,0,1)=0,9428,(_xlfn.XLOOKUP(MainClient,Clients!D:D,Clients!NY:NY,2,0,1)))</f>
        <v/>
      </c>
      <c r="N7" s="37" t="inlineStr">
        <is>
          <t>Line 59070</t>
        </is>
      </c>
      <c r="O7" s="51">
        <f>IF(TransferName="NONE",0,(_xlfn.XLOOKUP(TransferNumber,Clients!D:D,Clients!PC:PC,2,0,1)))</f>
        <v/>
      </c>
      <c r="P7" s="37">
        <f>IF(AND(M7&gt;0,O7=0),"DTC Transferable Not Claimed Can Be Transferred","No Action")</f>
        <v/>
      </c>
    </row>
    <row r="8" ht="15.75" customHeight="1" thickBot="1">
      <c r="B8" s="675" t="inlineStr">
        <is>
          <t>Tuition Amount</t>
        </is>
      </c>
      <c r="D8" s="115" t="inlineStr">
        <is>
          <t>Line 59200</t>
        </is>
      </c>
      <c r="E8" s="869">
        <f>(_xlfn.XLOOKUP(ClientNumber,Clients!D:D,Clients!AQI:AQI,2,0,1))</f>
        <v/>
      </c>
      <c r="F8" s="119" t="inlineStr">
        <is>
          <t>Line 59090</t>
        </is>
      </c>
      <c r="G8" s="141">
        <f>IF(TransferName="NONE",0,(_xlfn.XLOOKUP(TransferNumber,Clients!D:D,Clients!AQI:AQI,2,0,1)))</f>
        <v/>
      </c>
      <c r="H8" s="119">
        <f>IF(AND(E8&gt;0,G8=0),"Tuition Can Be Transferred","No Action")</f>
        <v/>
      </c>
      <c r="J8" s="667" t="inlineStr">
        <is>
          <t>Tuition Amount</t>
        </is>
      </c>
      <c r="L8" t="inlineStr">
        <is>
          <t>Line 59200</t>
        </is>
      </c>
      <c r="M8" s="865">
        <f>(_xlfn.XLOOKUP(MainClient,Clients!D:D,Clients!PN:PN,2,0,1))</f>
        <v/>
      </c>
      <c r="N8" s="37" t="inlineStr">
        <is>
          <t>Line 59090</t>
        </is>
      </c>
      <c r="O8" s="51">
        <f>IF(TransferName="NONE",0,(_xlfn.XLOOKUP(TransferNumber,Clients!D:D,Clients!PD:PD,2,0,1)))</f>
        <v/>
      </c>
      <c r="P8" s="37">
        <f>IF(AND(M8&gt;0,O8=0),"Tuition Can Be Transferred","No Action")</f>
        <v/>
      </c>
    </row>
    <row r="9">
      <c r="B9" s="675" t="n"/>
      <c r="D9" s="115" t="n"/>
      <c r="E9" s="871">
        <f>SUM(E4:E8)</f>
        <v/>
      </c>
      <c r="F9" s="119" t="n"/>
      <c r="G9" s="675">
        <f>SUM(G4:G8)</f>
        <v/>
      </c>
      <c r="H9" s="119" t="n"/>
      <c r="J9" s="667" t="n"/>
      <c r="M9" s="872">
        <f>SUM(M4:M8)</f>
        <v/>
      </c>
      <c r="N9" s="37" t="n"/>
      <c r="O9" s="667">
        <f>SUM(O4:O8)</f>
        <v/>
      </c>
      <c r="P9" s="37" t="n"/>
    </row>
    <row r="10" ht="15.75" customHeight="1" thickBot="1">
      <c r="B10" s="116" t="n"/>
      <c r="C10" s="115" t="n"/>
      <c r="D10" s="115" t="n"/>
      <c r="E10" s="115" t="n"/>
      <c r="F10" s="117" t="n"/>
      <c r="G10" s="115" t="n"/>
      <c r="H10" s="117" t="n"/>
      <c r="J10" s="34" t="n"/>
      <c r="N10" s="35" t="n"/>
      <c r="P10" s="35" t="n"/>
    </row>
    <row r="11" ht="15.75" customHeight="1" thickBot="1">
      <c r="B11" s="675" t="inlineStr">
        <is>
          <t>Line 260</t>
        </is>
      </c>
      <c r="C11" s="120">
        <f>(_xlfn.XLOOKUP(MainClient,Clients!D:D,Clients!AFS:AFS,2,0,1))</f>
        <v/>
      </c>
      <c r="D11" s="115" t="n"/>
      <c r="E11" s="115" t="n"/>
      <c r="F11" s="117" t="n"/>
      <c r="G11" s="116">
        <f>IF(E34&gt;E7,"other transferable credits","DTC Only")</f>
        <v/>
      </c>
      <c r="H11" s="117" t="n"/>
      <c r="J11" s="667" t="inlineStr">
        <is>
          <t>Line 26000</t>
        </is>
      </c>
      <c r="K11" s="36">
        <f>(_xlfn.XLOOKUP(MainClient,Clients!D:D,Clients!EX:EX,2,0,1))</f>
        <v/>
      </c>
      <c r="N11" s="35" t="n"/>
      <c r="O11" s="34">
        <f>IF(M34&gt;M7,"other transferable credits","DTC Only")</f>
        <v/>
      </c>
      <c r="P11" s="35" t="n"/>
    </row>
    <row r="12" ht="15.75" customHeight="1" thickBot="1">
      <c r="B12" s="116" t="n"/>
      <c r="C12" s="115" t="n"/>
      <c r="D12" s="115" t="n"/>
      <c r="E12" s="115" t="n"/>
      <c r="F12" s="117" t="n"/>
      <c r="G12" s="116" t="n"/>
      <c r="H12" s="117" t="n"/>
      <c r="J12" s="34" t="n"/>
      <c r="N12" s="35" t="n"/>
      <c r="O12" s="34" t="n"/>
      <c r="P12" s="35" t="n"/>
    </row>
    <row r="13" ht="15.75" customHeight="1" thickBot="1">
      <c r="B13" s="121" t="inlineStr">
        <is>
          <t>Line 58040</t>
        </is>
      </c>
      <c r="C13" s="120">
        <f>(_xlfn.XLOOKUP(ClientNumber,Clients!D:D,Clients!ANQ:ANQ,2,0,1))</f>
        <v/>
      </c>
      <c r="D13" s="115" t="n"/>
      <c r="E13" s="115" t="n"/>
      <c r="F13" s="117" t="n"/>
      <c r="G13" s="116" t="n"/>
      <c r="H13" s="117" t="n"/>
      <c r="J13" s="55" t="inlineStr">
        <is>
          <t>Line 58040</t>
        </is>
      </c>
      <c r="K13" s="36">
        <f>(_xlfn.XLOOKUP(MainClient,Clients!D:D,Clients!MV:MV,2,0,1))</f>
        <v/>
      </c>
      <c r="N13" s="35" t="n"/>
      <c r="O13" s="34" t="n"/>
      <c r="P13" s="35" t="n"/>
    </row>
    <row r="14" ht="15.75" customHeight="1" thickBot="1">
      <c r="B14" s="121" t="inlineStr">
        <is>
          <t>Line 58240</t>
        </is>
      </c>
      <c r="C14" s="120">
        <f>(_xlfn.XLOOKUP(ClientNumber,Clients!D:D,Clients!AOF:AOF,2,0,1))</f>
        <v/>
      </c>
      <c r="D14" s="115" t="n"/>
      <c r="E14" s="115" t="n"/>
      <c r="F14" s="117" t="n"/>
      <c r="G14" s="116" t="n"/>
      <c r="H14" s="117" t="n"/>
      <c r="J14" s="55" t="inlineStr">
        <is>
          <t>Line 58240</t>
        </is>
      </c>
      <c r="K14" s="36">
        <f>(_xlfn.XLOOKUP(MainClient,Clients!D:D,Clients!NK:NK,2,0,1))</f>
        <v/>
      </c>
      <c r="N14" s="35" t="n"/>
      <c r="O14" s="34" t="n"/>
      <c r="P14" s="35" t="n"/>
    </row>
    <row r="15" ht="15.75" customHeight="1" thickBot="1">
      <c r="B15" s="121" t="inlineStr">
        <is>
          <t>Line 58280</t>
        </is>
      </c>
      <c r="C15" s="120">
        <f>(_xlfn.XLOOKUP(ClientNumber,Clients!D:D,Clients!AOG:AOG,2,0,1))</f>
        <v/>
      </c>
      <c r="D15" s="115" t="n"/>
      <c r="E15" s="115" t="n"/>
      <c r="F15" s="117" t="n"/>
      <c r="G15" s="116" t="n"/>
      <c r="H15" s="117" t="n"/>
      <c r="J15" s="55" t="inlineStr">
        <is>
          <t>Line 58280</t>
        </is>
      </c>
      <c r="K15" s="36">
        <f>(_xlfn.XLOOKUP(MainClient,Clients!D:D,Clients!NL:NL,2,0,1))</f>
        <v/>
      </c>
      <c r="N15" s="35" t="n"/>
      <c r="P15" s="35" t="n"/>
    </row>
    <row r="16" ht="15.75" customHeight="1" thickBot="1">
      <c r="B16" s="121" t="inlineStr">
        <is>
          <t>Line 58300</t>
        </is>
      </c>
      <c r="C16" s="120">
        <f>(_xlfn.XLOOKUP(ClientNumber,Clients!D:D,Clients!AOH:AOH,2,0,1))</f>
        <v/>
      </c>
      <c r="D16" s="115" t="n"/>
      <c r="E16" s="115" t="n"/>
      <c r="F16" s="117" t="n"/>
      <c r="G16" s="116" t="n"/>
      <c r="H16" s="117" t="n"/>
      <c r="J16" s="55" t="inlineStr">
        <is>
          <t>Line 58300</t>
        </is>
      </c>
      <c r="K16" s="36">
        <f>(_xlfn.XLOOKUP(MainClient,Clients!D:D,Clients!NM:NM,2,0,1))</f>
        <v/>
      </c>
      <c r="N16" s="35" t="n"/>
      <c r="O16" s="34" t="n"/>
      <c r="P16" s="35" t="n"/>
    </row>
    <row r="17" ht="15.75" customHeight="1" thickBot="1">
      <c r="B17" s="121" t="inlineStr">
        <is>
          <t>Line 58305</t>
        </is>
      </c>
      <c r="C17" s="120">
        <f>(_xlfn.XLOOKUP(ClientNumber,Clients!D:D,Clients!AOI:AOI,2,0,1))</f>
        <v/>
      </c>
      <c r="D17" s="115" t="n"/>
      <c r="E17" s="115" t="n"/>
      <c r="F17" s="117" t="n"/>
      <c r="G17" s="116" t="n"/>
      <c r="H17" s="117" t="n"/>
      <c r="J17" s="55" t="inlineStr">
        <is>
          <t>Line 58305</t>
        </is>
      </c>
      <c r="K17" s="36">
        <f>(_xlfn.XLOOKUP(MainClient,Clients!D:D,Clients!NN:NN,2,0,1))</f>
        <v/>
      </c>
      <c r="N17" s="35" t="n"/>
      <c r="O17" s="34" t="n"/>
      <c r="P17" s="35" t="n"/>
    </row>
    <row r="18" ht="15.75" customHeight="1" thickBot="1">
      <c r="B18" s="121" t="inlineStr">
        <is>
          <t>Line 58310</t>
        </is>
      </c>
      <c r="C18" s="120">
        <f>(_xlfn.XLOOKUP(ClientNumber,Clients!D:D,Clients!AOJ:AOJ,2,0,1))</f>
        <v/>
      </c>
      <c r="D18" s="115" t="n"/>
      <c r="E18" s="115" t="n"/>
      <c r="F18" s="117" t="n"/>
      <c r="G18" s="116" t="n"/>
      <c r="H18" s="117" t="n"/>
      <c r="J18" s="55" t="inlineStr">
        <is>
          <t>Line 58310</t>
        </is>
      </c>
      <c r="K18" s="36">
        <f>(_xlfn.XLOOKUP(MainClient,Clients!D:D,Clients!NO:NO,2,0,1))</f>
        <v/>
      </c>
      <c r="N18" s="35" t="n"/>
      <c r="O18" s="34" t="n"/>
      <c r="P18" s="35" t="n"/>
    </row>
    <row r="19" ht="15.75" customHeight="1" thickBot="1">
      <c r="B19" s="121" t="inlineStr">
        <is>
          <t>Line 58326</t>
        </is>
      </c>
      <c r="C19" s="120">
        <f>(_xlfn.XLOOKUP(ClientNumber,Clients!D:D,Clients!AOO:AOO,2,0,1))</f>
        <v/>
      </c>
      <c r="D19" s="115" t="n"/>
      <c r="E19" s="115" t="n"/>
      <c r="F19" s="117" t="n"/>
      <c r="G19" s="116" t="n"/>
      <c r="H19" s="117" t="n"/>
      <c r="J19" s="55" t="inlineStr">
        <is>
          <t>Line 58326</t>
        </is>
      </c>
      <c r="K19" s="36">
        <f>(_xlfn.XLOOKUP(MainClient,Clients!D:D,Clients!NT:NT,2,0,1))</f>
        <v/>
      </c>
      <c r="N19" s="35" t="n"/>
      <c r="O19" s="34" t="n"/>
      <c r="P19" s="35" t="n"/>
    </row>
    <row r="20" ht="15.75" customHeight="1" thickBot="1">
      <c r="B20" s="121" t="inlineStr">
        <is>
          <t>Line 58330</t>
        </is>
      </c>
      <c r="C20" s="120">
        <f>(_xlfn.XLOOKUP(ClientNumber,Clients!D:D,Clients!AOP:AOP,2,0,1))</f>
        <v/>
      </c>
      <c r="D20" s="115" t="n"/>
      <c r="E20" s="115" t="n"/>
      <c r="F20" s="117" t="n"/>
      <c r="G20" s="116" t="n"/>
      <c r="H20" s="117" t="n"/>
      <c r="J20" s="55" t="inlineStr">
        <is>
          <t>Line 58330</t>
        </is>
      </c>
      <c r="K20" s="36">
        <f>(_xlfn.XLOOKUP(MainClient,Clients!D:D,Clients!NU:NU,2,0,1))</f>
        <v/>
      </c>
      <c r="N20" s="35" t="n"/>
      <c r="O20" s="34" t="n"/>
      <c r="P20" s="35" t="n"/>
    </row>
    <row r="21" ht="15.75" customHeight="1" thickBot="1">
      <c r="B21" s="121" t="inlineStr">
        <is>
          <t>Line 58560</t>
        </is>
      </c>
      <c r="C21" s="120">
        <f>(_xlfn.XLOOKUP(ClientNumber,Clients!D:D,Clients!AOX:AOX,2,0,1))</f>
        <v/>
      </c>
      <c r="D21" s="115" t="n"/>
      <c r="E21" s="115" t="n"/>
      <c r="F21" s="117" t="n"/>
      <c r="G21" s="116" t="n"/>
      <c r="H21" s="117" t="n"/>
      <c r="J21" s="55" t="inlineStr">
        <is>
          <t>Line 58560</t>
        </is>
      </c>
      <c r="K21" s="36">
        <f>(_xlfn.XLOOKUP(MainClient,Clients!D:D,Clients!OC:OC,2,0,1))</f>
        <v/>
      </c>
      <c r="N21" s="35" t="n"/>
      <c r="O21" s="34" t="n"/>
      <c r="P21" s="35" t="n"/>
    </row>
    <row r="22" ht="15.75" customHeight="1" thickBot="1">
      <c r="B22" s="121" t="n"/>
      <c r="C22" s="120" t="n"/>
      <c r="D22" s="115" t="n"/>
      <c r="E22" s="115" t="n"/>
      <c r="F22" s="117" t="n"/>
      <c r="G22" s="116" t="n"/>
      <c r="H22" s="117" t="n"/>
      <c r="J22" s="55" t="n"/>
      <c r="K22" s="36" t="n"/>
      <c r="N22" s="35" t="n"/>
      <c r="O22" s="34" t="n"/>
      <c r="P22" s="35" t="n"/>
    </row>
    <row r="23" ht="15.75" customHeight="1" thickBot="1">
      <c r="B23" s="121" t="n"/>
      <c r="C23" s="120" t="n"/>
      <c r="D23" s="115" t="n"/>
      <c r="E23" s="115" t="n"/>
      <c r="F23" s="117" t="n"/>
      <c r="G23" s="116" t="inlineStr">
        <is>
          <t>Line 326</t>
        </is>
      </c>
      <c r="H23" s="117">
        <f>IF(TransferName="NONE",0,(_xlfn.XLOOKUP(TransferNumber,Clients!D:D,Clients!CIH:CIH,2,0,1)))</f>
        <v/>
      </c>
      <c r="J23" s="55" t="n"/>
      <c r="K23" s="36" t="n"/>
      <c r="N23" s="35" t="n"/>
      <c r="O23" s="34" t="inlineStr">
        <is>
          <t>Line 58640</t>
        </is>
      </c>
      <c r="P23" s="35">
        <f>IFERROR(_xlfn.XLOOKUP(TransferNumber,Clients!D:D,Clients!OI:OI,2,0,1),0)</f>
        <v/>
      </c>
    </row>
    <row r="24" ht="15.75" customHeight="1" thickBot="1">
      <c r="B24" s="121" t="n"/>
      <c r="C24" s="120" t="n"/>
      <c r="D24" s="115" t="n"/>
      <c r="E24" s="115" t="n"/>
      <c r="F24" s="117" t="n"/>
      <c r="G24" s="116" t="n"/>
      <c r="H24" s="117" t="n"/>
      <c r="J24" s="55" t="n"/>
      <c r="K24" s="36" t="n"/>
      <c r="N24" s="35" t="n"/>
      <c r="O24" s="34" t="n"/>
      <c r="P24" s="35" t="n"/>
    </row>
    <row r="25" ht="15.75" customHeight="1" thickBot="1">
      <c r="B25" s="121" t="n"/>
      <c r="C25" s="120" t="n"/>
      <c r="D25" s="115" t="n"/>
      <c r="E25" s="115" t="n"/>
      <c r="F25" s="117" t="n"/>
      <c r="G25" s="116" t="n"/>
      <c r="H25" s="117" t="n"/>
      <c r="J25" s="55" t="n"/>
      <c r="K25" s="36" t="n"/>
      <c r="N25" s="35" t="n"/>
      <c r="O25" s="34" t="n"/>
      <c r="P25" s="35" t="n"/>
    </row>
    <row r="26" ht="15.75" customHeight="1" thickBot="1">
      <c r="B26" s="121" t="n"/>
      <c r="C26" s="120" t="n"/>
      <c r="D26" s="115" t="n"/>
      <c r="E26" s="115" t="n"/>
      <c r="F26" s="117" t="n"/>
      <c r="G26" s="116" t="n"/>
      <c r="H26" s="117" t="n"/>
      <c r="J26" s="55" t="n"/>
      <c r="K26" s="36" t="n"/>
      <c r="N26" s="35" t="n"/>
      <c r="O26" s="34" t="n"/>
      <c r="P26" s="35" t="n"/>
    </row>
    <row r="27" ht="15.75" customHeight="1" thickBot="1">
      <c r="B27" s="121" t="n"/>
      <c r="C27" s="120" t="n"/>
      <c r="D27" s="115" t="n"/>
      <c r="E27" s="115" t="n"/>
      <c r="F27" s="117" t="n"/>
      <c r="G27" s="116" t="n"/>
      <c r="H27" s="117">
        <f>IF(E32&gt;0,E9-G9,0)</f>
        <v/>
      </c>
      <c r="J27" s="55" t="n"/>
      <c r="K27" s="36" t="n"/>
      <c r="N27" s="35" t="n"/>
      <c r="O27" s="34" t="n"/>
      <c r="P27" s="35">
        <f>IF(M32&gt;0,M9-O9,0)</f>
        <v/>
      </c>
    </row>
    <row r="28" ht="15.75" customHeight="1" thickBot="1">
      <c r="B28" s="121" t="n"/>
      <c r="C28" s="120" t="n"/>
      <c r="D28" s="115" t="n"/>
      <c r="E28" s="115" t="n"/>
      <c r="F28" s="117" t="n"/>
      <c r="G28" s="115" t="n"/>
      <c r="H28" s="122">
        <f>IF(TransferName="NONE",F33,IF(H27&gt;0,(E32-G9)*0.098,0))</f>
        <v/>
      </c>
      <c r="J28" s="55" t="n"/>
      <c r="K28" s="36" t="n"/>
      <c r="N28" s="35" t="n"/>
      <c r="P28" s="52">
        <f>IF(TransferName="NONE",N33,IF(P27&gt;0,(M32-O9)*0.098,0))</f>
        <v/>
      </c>
    </row>
    <row r="29">
      <c r="B29" s="675" t="n"/>
      <c r="C29" s="115" t="n"/>
      <c r="D29" s="115" t="n"/>
      <c r="E29" s="115" t="n"/>
      <c r="F29" s="117" t="n"/>
      <c r="G29" s="116" t="inlineStr">
        <is>
          <t>Transferable</t>
        </is>
      </c>
      <c r="H29" s="122">
        <f>IF(H28&gt;0,H28,0)</f>
        <v/>
      </c>
      <c r="J29" s="667" t="n"/>
      <c r="N29" s="35" t="n"/>
      <c r="O29" s="34" t="inlineStr">
        <is>
          <t>Transferable</t>
        </is>
      </c>
      <c r="P29" s="52">
        <f>IF(P28&gt;0,P28,0)</f>
        <v/>
      </c>
    </row>
    <row r="30">
      <c r="B30" s="675" t="inlineStr">
        <is>
          <t>Adjusted Taxable Income</t>
        </is>
      </c>
      <c r="C30" s="115">
        <f>C11-(SUM(C13:C28))</f>
        <v/>
      </c>
      <c r="D30" s="124" t="inlineStr">
        <is>
          <t>Line 5864</t>
        </is>
      </c>
      <c r="E30" s="125">
        <f>IF(C30&gt;0,C30,0)</f>
        <v/>
      </c>
      <c r="F30" s="117" t="n"/>
      <c r="G30" s="116" t="n"/>
      <c r="H30" s="117" t="n"/>
      <c r="J30" s="667" t="inlineStr">
        <is>
          <t>Adjusted Taxable Income</t>
        </is>
      </c>
      <c r="K30">
        <f>K11-(SUM(K13:K28))</f>
        <v/>
      </c>
      <c r="L30" s="13" t="inlineStr">
        <is>
          <t>Line 5864</t>
        </is>
      </c>
      <c r="M30" s="39">
        <f>IF(K30&gt;0,K30,0)</f>
        <v/>
      </c>
      <c r="N30" s="35" t="n"/>
      <c r="O30" s="34" t="n"/>
      <c r="P30" s="35" t="n"/>
    </row>
    <row r="31" ht="15.75" customHeight="1" thickBot="1">
      <c r="B31" s="116" t="n"/>
      <c r="C31" s="115" t="n"/>
      <c r="D31" s="115" t="n"/>
      <c r="E31" s="115" t="n"/>
      <c r="F31" s="117" t="n"/>
      <c r="G31" s="116" t="n"/>
      <c r="H31" s="117" t="n"/>
      <c r="J31" s="34" t="n"/>
      <c r="N31" s="35" t="n"/>
      <c r="O31" s="34" t="n"/>
      <c r="P31" s="35" t="n"/>
    </row>
    <row r="32" ht="15.75" customHeight="1" thickBot="1">
      <c r="B32" s="116" t="n"/>
      <c r="C32" s="115" t="n"/>
      <c r="D32" s="126" t="inlineStr">
        <is>
          <t>Prov Trans</t>
        </is>
      </c>
      <c r="E32" s="120">
        <f>(E9-E30)</f>
        <v/>
      </c>
      <c r="F32" s="127" t="n"/>
      <c r="G32" s="116" t="n"/>
      <c r="H32" s="122" t="n"/>
      <c r="J32" s="34" t="n"/>
      <c r="L32" s="21" t="inlineStr">
        <is>
          <t>Prov Trans</t>
        </is>
      </c>
      <c r="M32" s="36">
        <f>(M9-M30)</f>
        <v/>
      </c>
      <c r="N32" s="40" t="n"/>
      <c r="O32" s="34" t="n"/>
      <c r="P32" s="52" t="n"/>
    </row>
    <row r="33" ht="15.75" customHeight="1" thickBot="1">
      <c r="B33" s="116" t="n"/>
      <c r="C33" s="664" t="inlineStr">
        <is>
          <t>DTC Transferable ESTIMATE</t>
        </is>
      </c>
      <c r="D33" s="35" t="n"/>
      <c r="E33" s="120">
        <f>IF(E32&lt;0,0,(IF(E32&gt;E7,E7,E32)))</f>
        <v/>
      </c>
      <c r="F33" s="127">
        <f>IF(E33&gt;0,E33*0.098,"No Transfer Required")</f>
        <v/>
      </c>
      <c r="G33" s="666" t="n"/>
      <c r="H33" s="122" t="n"/>
      <c r="J33" s="34" t="n"/>
      <c r="K33" s="579" t="inlineStr">
        <is>
          <t>DTC Transferable ESTIMATE</t>
        </is>
      </c>
      <c r="L33" s="35" t="n"/>
      <c r="M33" s="36">
        <f>IF(M32&lt;0,0,(IF(M32&gt;M7,M7,M32)))</f>
        <v/>
      </c>
      <c r="N33" s="40">
        <f>IF(M33&gt;0,M33*0.098,"No Transfer Required")</f>
        <v/>
      </c>
      <c r="O33" s="58" t="n"/>
      <c r="P33" s="52" t="n"/>
    </row>
    <row r="34" ht="15.75" customHeight="1" thickBot="1">
      <c r="B34" s="128" t="n"/>
      <c r="C34" s="129" t="n"/>
      <c r="D34" s="130" t="inlineStr">
        <is>
          <t>Net Transferable</t>
        </is>
      </c>
      <c r="E34" s="120">
        <f>IF(E32&lt;0,0,(IF(E32-G4-G6-G8&lt;0,E32,(E32-G4-G6-G8))))</f>
        <v/>
      </c>
      <c r="F34" s="131">
        <f>IF(E34&gt;0,E34*0.098,"0")</f>
        <v/>
      </c>
      <c r="G34" s="42" t="n"/>
      <c r="H34" s="863" t="n"/>
      <c r="J34" s="42" t="n"/>
      <c r="K34" s="41" t="n"/>
      <c r="L34" s="43" t="inlineStr">
        <is>
          <t>Net Transferable</t>
        </is>
      </c>
      <c r="M34" s="36">
        <f>IF(M32&lt;0,0,(IF(M32-O4-O6-O8&lt;0,M32,(M32-O4-O6-O8))))</f>
        <v/>
      </c>
      <c r="N34" s="57">
        <f>IF(M34&gt;0,M34*0.098,"0")</f>
        <v/>
      </c>
      <c r="O34" s="59" t="n"/>
      <c r="P34" s="864" t="n"/>
    </row>
    <row r="36" ht="15.75" customHeight="1" thickBot="1">
      <c r="E36">
        <f>Calculator!$D$5</f>
        <v/>
      </c>
      <c r="H36">
        <f>TransferName</f>
        <v/>
      </c>
      <c r="M36">
        <f>Calculator!$D$5</f>
        <v/>
      </c>
      <c r="P36">
        <f>TransferName</f>
        <v/>
      </c>
    </row>
    <row r="37" ht="15.75" customHeight="1" thickBot="1">
      <c r="B37" s="891" t="inlineStr">
        <is>
          <t>2022 YUKON Provincial</t>
        </is>
      </c>
      <c r="C37" s="778" t="n"/>
      <c r="D37" s="778" t="n"/>
      <c r="E37" s="778" t="n"/>
      <c r="F37" s="778" t="n"/>
      <c r="G37" s="778" t="n"/>
      <c r="H37" s="780" t="n"/>
      <c r="J37" s="891" t="inlineStr">
        <is>
          <t>2021 YUKON Provincial</t>
        </is>
      </c>
      <c r="K37" s="778" t="n"/>
      <c r="L37" s="778" t="n"/>
      <c r="M37" s="778" t="n"/>
      <c r="N37" s="778" t="n"/>
      <c r="O37" s="778" t="n"/>
      <c r="P37" s="780" t="n"/>
    </row>
    <row r="38" ht="15.75" customHeight="1" thickBot="1">
      <c r="B38" s="34" t="n"/>
      <c r="D38" t="inlineStr">
        <is>
          <t>Line</t>
        </is>
      </c>
      <c r="E38" t="inlineStr">
        <is>
          <t>Amt</t>
        </is>
      </c>
      <c r="F38" s="35" t="n"/>
      <c r="G38" s="667" t="inlineStr">
        <is>
          <t>Spouse</t>
        </is>
      </c>
      <c r="H38" s="35" t="inlineStr">
        <is>
          <t>S2 Adjustment</t>
        </is>
      </c>
      <c r="J38" s="34" t="n"/>
      <c r="L38" t="inlineStr">
        <is>
          <t>Line</t>
        </is>
      </c>
      <c r="M38" t="inlineStr">
        <is>
          <t>Amt</t>
        </is>
      </c>
      <c r="N38" s="35" t="n"/>
      <c r="O38" s="34" t="inlineStr">
        <is>
          <t>Spouse</t>
        </is>
      </c>
      <c r="P38" s="35" t="inlineStr">
        <is>
          <t>S2 Adjustment</t>
        </is>
      </c>
    </row>
    <row r="39" ht="15.75" customHeight="1" thickBot="1">
      <c r="B39" s="667" t="inlineStr">
        <is>
          <t>Age Amount</t>
        </is>
      </c>
      <c r="D39" t="inlineStr">
        <is>
          <t>Line 58080</t>
        </is>
      </c>
      <c r="E39" s="861">
        <f>(_xlfn.XLOOKUP(ClientNumber,Clients!D:D,Clients!ANR:ANR,2,0,1))</f>
        <v/>
      </c>
      <c r="F39" s="37" t="inlineStr">
        <is>
          <t>Line 59020</t>
        </is>
      </c>
      <c r="G39" s="51">
        <f>IF(TransferName="NONE",0,(_xlfn.XLOOKUP(TransferNumber,Clients!D:D,Clients!APT:APT,2,0,1)))</f>
        <v/>
      </c>
      <c r="H39" s="37">
        <f>IF(AND(E39&gt;0,G39=0),"Age Amount Can Be Transferred","No Action")</f>
        <v/>
      </c>
      <c r="J39" s="667" t="inlineStr">
        <is>
          <t>Age Amount</t>
        </is>
      </c>
      <c r="L39" t="inlineStr">
        <is>
          <t>Line 58080</t>
        </is>
      </c>
      <c r="M39" s="865">
        <f>(_xlfn.XLOOKUP(MainClient,Clients!D:D,Clients!BOM:BOM,2,0,1))</f>
        <v/>
      </c>
      <c r="N39" s="37" t="inlineStr">
        <is>
          <t>Line 59020</t>
        </is>
      </c>
      <c r="O39" s="51">
        <f>IF(TransferName="NONE",0,(_xlfn.XLOOKUP(TransferNumber,Clients!D:D,Clients!BQO:BQO,2,0,1)))</f>
        <v/>
      </c>
      <c r="P39" s="37">
        <f>IF(AND(M39&gt;0,O39=0),"Age Amount Can Be Transferred","No Action")</f>
        <v/>
      </c>
    </row>
    <row r="40" ht="15.75" customHeight="1" thickBot="1">
      <c r="B40" s="667" t="inlineStr">
        <is>
          <t>Caregiver amount for infrim children under 18 years of age</t>
        </is>
      </c>
      <c r="D40" t="inlineStr">
        <is>
          <t>Line 58189</t>
        </is>
      </c>
      <c r="E40" s="861">
        <f>(_xlfn.XLOOKUP(ClientNumber,Clients!D:D,Clients!ANY:ANY,2,0,1))</f>
        <v/>
      </c>
      <c r="F40" s="37" t="inlineStr">
        <is>
          <t>Line 59040</t>
        </is>
      </c>
      <c r="G40" s="51">
        <f>IF(TransferName="NONE",0,(_xlfn.XLOOKUP(TransferNumber,Clients!D:D,Clients!APV:APV,2,0,1)))</f>
        <v/>
      </c>
      <c r="H40" s="37">
        <f>IF(AND(E40&gt;0,G40=0),"Amount For Infirm Children Under 18 Can Be Transferred","No Action")</f>
        <v/>
      </c>
      <c r="J40" s="667" t="inlineStr">
        <is>
          <t>Caregiver amount for infrim children under 18 years of age</t>
        </is>
      </c>
      <c r="L40" t="inlineStr">
        <is>
          <t>Line 58189</t>
        </is>
      </c>
      <c r="M40" s="865">
        <f>(_xlfn.XLOOKUP(MainClient,Clients!D:D,Clients!BOT:BOT,2,0,1))</f>
        <v/>
      </c>
      <c r="N40" s="37" t="inlineStr">
        <is>
          <t>Line 59040</t>
        </is>
      </c>
      <c r="O40" s="51">
        <f>IF(TransferName="NONE",0,(_xlfn.XLOOKUP(TransferNumber,Clients!D:D,Clients!BQQ:BQQ,2,0,1)))</f>
        <v/>
      </c>
      <c r="P40" s="37">
        <f>IF(AND(M40&gt;0,O40=0),"Amount For Infirm Children Under 18 Can Be Transferred","No Action")</f>
        <v/>
      </c>
    </row>
    <row r="41" ht="15.75" customHeight="1" thickBot="1">
      <c r="B41" s="667" t="inlineStr">
        <is>
          <t>Pension Income Amount</t>
        </is>
      </c>
      <c r="D41" t="inlineStr">
        <is>
          <t>Line 58360 (mx 1000)</t>
        </is>
      </c>
      <c r="E41" s="861">
        <f>IF((_xlfn.XLOOKUP(ClientNumber,Clients!D:D,Clients!AOR:AOR,2,0,1)&lt;1000),(_xlfn.XLOOKUP(MainClient,Clients!D:D,Clients!AOR:AOR,2,0,1)),1000)</f>
        <v/>
      </c>
      <c r="F41" s="37" t="inlineStr">
        <is>
          <t>Line 59050</t>
        </is>
      </c>
      <c r="G41" s="51">
        <f>IF(TransferName="NONE",0,(_xlfn.XLOOKUP(TransferNumber,Clients!D:D,Clients!APW:APW,2,0,1)))</f>
        <v/>
      </c>
      <c r="H41" s="37">
        <f>IF(AND(E41&gt;0,G41=0),"Pension Income Amount Can Be Transferred","No Action")</f>
        <v/>
      </c>
      <c r="J41" s="667" t="inlineStr">
        <is>
          <t>Pension Income Amount</t>
        </is>
      </c>
      <c r="L41" t="inlineStr">
        <is>
          <t>Line 58360 (mx 1000)</t>
        </is>
      </c>
      <c r="M41" s="865">
        <f>IF((_xlfn.XLOOKUP(ClientNumber,Clients!D:D,Clients!BPM:BPM,2,0,1)&lt;1000),(_xlfn.XLOOKUP(MainClient,Clients!D:D,Clients!BPM:BPM,2,0,1)),1000)</f>
        <v/>
      </c>
      <c r="N41" s="37" t="inlineStr">
        <is>
          <t>Line 59050</t>
        </is>
      </c>
      <c r="O41" s="51">
        <f>IF(TransferName="NONE",0,(_xlfn.XLOOKUP(TransferNumber,Clients!D:D,Clients!BQR:BQR,2,0,1)))</f>
        <v/>
      </c>
      <c r="P41" s="37">
        <f>IF(AND(M41&gt;0,O41=0),"Pension Income Amount Can Be Transferred","No Action")</f>
        <v/>
      </c>
    </row>
    <row r="42" ht="15.75" customHeight="1" thickBot="1">
      <c r="B42" s="667" t="inlineStr">
        <is>
          <t>Disability Amount</t>
        </is>
      </c>
      <c r="D42" t="inlineStr">
        <is>
          <t>Line 58440</t>
        </is>
      </c>
      <c r="E42" s="861">
        <f>IF(_xlfn.XLOOKUP(ClientNumber,Clients!D:D,Clients!AOT:AOT,2,0,1)=0,8870,(_xlfn.XLOOKUP(MainClient,Clients!D:D,Clients!AOT:AOT,2,0,1)))</f>
        <v/>
      </c>
      <c r="F42" s="37" t="inlineStr">
        <is>
          <t>Line 59070</t>
        </is>
      </c>
      <c r="G42" s="51">
        <f>IF(TransferName="NONE",0,(_xlfn.XLOOKUP(TransferNumber,Clients!D:D,Clients!APX:APX,2,0,1)))</f>
        <v/>
      </c>
      <c r="H42" s="37">
        <f>IF(AND(E42&gt;0,G42=0),"DTC Transferable Not Claimed Can Be Transferred","No Action")</f>
        <v/>
      </c>
      <c r="J42" s="667" t="inlineStr">
        <is>
          <t>Disability Amount</t>
        </is>
      </c>
      <c r="L42" t="inlineStr">
        <is>
          <t>Line 58440</t>
        </is>
      </c>
      <c r="M42" s="865">
        <f>IF(_xlfn.XLOOKUP(ClientNumber,Clients!D:D,Clients!BPO:BPO,2,0,1)=0,8662,(_xlfn.XLOOKUP(MainClient,Clients!D:D,Clients!BPO:BPO,2,0,1)))</f>
        <v/>
      </c>
      <c r="N42" s="37" t="inlineStr">
        <is>
          <t>Line 59070</t>
        </is>
      </c>
      <c r="O42" s="51">
        <f>IF(TransferName="NONE",0,(_xlfn.XLOOKUP(TransferNumber,Clients!D:D,Clients!BQS:BQS,2,0,1)))</f>
        <v/>
      </c>
      <c r="P42" s="37">
        <f>IF(AND(M42&gt;0,O42=0),"DTC Transferable Not Claimed Can Be Transferred","No Action")</f>
        <v/>
      </c>
    </row>
    <row r="43" ht="15.75" customHeight="1" thickBot="1">
      <c r="A43" t="inlineStr">
        <is>
          <t>`</t>
        </is>
      </c>
      <c r="B43" s="667" t="inlineStr">
        <is>
          <t>Tuition Amount</t>
        </is>
      </c>
      <c r="D43" t="inlineStr">
        <is>
          <t>Line 59200</t>
        </is>
      </c>
      <c r="E43" s="861">
        <f>(_xlfn.XLOOKUP(ClientNumber,Clients!D:D,Clients!AQI:AQI,2,0,1))</f>
        <v/>
      </c>
      <c r="F43" s="37" t="inlineStr">
        <is>
          <t>Line 59090</t>
        </is>
      </c>
      <c r="G43" s="51">
        <f>IF(TransferName="NONE",0,(_xlfn.XLOOKUP(TransferNumber,Clients!D:D,Clients!AQI:AQI,2,0,1)))</f>
        <v/>
      </c>
      <c r="H43" s="37">
        <f>IF(AND(E43&gt;0,G43=0),"Tuition Can Be Transferred","No Action")</f>
        <v/>
      </c>
      <c r="J43" s="667" t="inlineStr">
        <is>
          <t>Tuition Amount</t>
        </is>
      </c>
      <c r="L43" t="inlineStr">
        <is>
          <t>Line 59200</t>
        </is>
      </c>
      <c r="M43" s="865">
        <f>(_xlfn.XLOOKUP(MainClient,Clients!D:D,Clients!DST:DST,2,0,1))</f>
        <v/>
      </c>
      <c r="N43" s="37" t="inlineStr">
        <is>
          <t>Line 59090</t>
        </is>
      </c>
      <c r="O43" s="51">
        <f>IF(TransferName="NONE",0,(_xlfn.XLOOKUP(TransferNumber,Clients!D:D,Clients!BRD:BRD,2,0,1)))</f>
        <v/>
      </c>
      <c r="P43" s="37">
        <f>IF(AND(M43&gt;0,O43=0),"Tuition Can Be Transferred","No Action")</f>
        <v/>
      </c>
    </row>
    <row r="44">
      <c r="B44" s="667" t="n"/>
      <c r="E44" s="771">
        <f>SUM(E39:E43)</f>
        <v/>
      </c>
      <c r="F44" s="37" t="n"/>
      <c r="G44" s="667">
        <f>SUM(G39:G43)</f>
        <v/>
      </c>
      <c r="H44" s="37" t="n"/>
      <c r="J44" s="667" t="n"/>
      <c r="M44" s="872">
        <f>SUM(M39:M43)</f>
        <v/>
      </c>
      <c r="N44" s="37" t="n"/>
      <c r="O44" s="667">
        <f>SUM(O39:O43)</f>
        <v/>
      </c>
      <c r="P44" s="37" t="n"/>
    </row>
    <row r="45" ht="15.75" customHeight="1" thickBot="1">
      <c r="B45" s="34" t="n"/>
      <c r="F45" s="35" t="n"/>
      <c r="H45" s="35" t="n"/>
      <c r="J45" s="34" t="n"/>
      <c r="N45" s="35" t="n"/>
      <c r="P45" s="35" t="n"/>
    </row>
    <row r="46" ht="15.75" customHeight="1" thickBot="1">
      <c r="B46" s="667" t="inlineStr">
        <is>
          <t>Line 260</t>
        </is>
      </c>
      <c r="C46" s="36">
        <f>(_xlfn.XLOOKUP(MainClient,Clients!D:D,Clients!AFS:AFS,2,0,1))</f>
        <v/>
      </c>
      <c r="F46" s="35" t="n"/>
      <c r="G46" s="34">
        <f>IF(E69&gt;E42,"other transferable credits","DTC Only")</f>
        <v/>
      </c>
      <c r="H46" s="35" t="n"/>
      <c r="J46" s="667" t="inlineStr">
        <is>
          <t>Line 26000</t>
        </is>
      </c>
      <c r="K46" s="36">
        <f>(_xlfn.XLOOKUP(MainClient,Clients!D:D,Clients!BGN:BGN,2,0,1))</f>
        <v/>
      </c>
      <c r="N46" s="35" t="n"/>
      <c r="O46" s="34">
        <f>IF(M69&gt;M42,"other transferable credits","DTC Only")</f>
        <v/>
      </c>
      <c r="P46" s="35" t="n"/>
    </row>
    <row r="47" ht="15.75" customHeight="1" thickBot="1">
      <c r="B47" s="34" t="n"/>
      <c r="F47" s="35" t="n"/>
      <c r="G47" s="34" t="n"/>
      <c r="H47" s="35" t="n"/>
      <c r="J47" s="34" t="n"/>
      <c r="N47" s="35" t="n"/>
      <c r="O47" s="34" t="n"/>
      <c r="P47" s="35" t="n"/>
    </row>
    <row r="48" ht="15.75" customHeight="1" thickBot="1">
      <c r="B48" s="55" t="inlineStr">
        <is>
          <t>Line 58040</t>
        </is>
      </c>
      <c r="C48" s="36">
        <f>(_xlfn.XLOOKUP(ClientNumber,Clients!D:D,Clients!ANQ:ANQ,2,0,1))</f>
        <v/>
      </c>
      <c r="F48" s="35" t="n"/>
      <c r="G48" s="34" t="n"/>
      <c r="H48" s="35" t="n"/>
      <c r="J48" s="55" t="inlineStr">
        <is>
          <t>Line 58040</t>
        </is>
      </c>
      <c r="K48" s="36">
        <f>(_xlfn.XLOOKUP(MainClient,Clients!D:D,Clients!BOL:BOL,2,0,1))</f>
        <v/>
      </c>
      <c r="N48" s="35" t="n"/>
      <c r="O48" s="34" t="n"/>
      <c r="P48" s="35" t="n"/>
    </row>
    <row r="49" ht="15.75" customHeight="1" thickBot="1">
      <c r="B49" s="55" t="inlineStr">
        <is>
          <t>Line 58240</t>
        </is>
      </c>
      <c r="C49" s="36">
        <f>(_xlfn.XLOOKUP(ClientNumber,Clients!D:D,Clients!AOF:AOF,2,0,1))</f>
        <v/>
      </c>
      <c r="F49" s="35" t="n"/>
      <c r="G49" s="34" t="n"/>
      <c r="H49" s="35" t="n"/>
      <c r="J49" s="55" t="inlineStr">
        <is>
          <t>Line 58240</t>
        </is>
      </c>
      <c r="K49" s="36">
        <f>(_xlfn.XLOOKUP(MainClient,Clients!D:D,Clients!BPA:BPA,2,0,1))</f>
        <v/>
      </c>
      <c r="N49" s="35" t="n"/>
      <c r="O49" s="34" t="n"/>
      <c r="P49" s="35" t="n"/>
    </row>
    <row r="50" ht="15.75" customHeight="1" thickBot="1">
      <c r="B50" s="55" t="inlineStr">
        <is>
          <t>Line 58280</t>
        </is>
      </c>
      <c r="C50" s="36">
        <f>(_xlfn.XLOOKUP(ClientNumber,Clients!D:D,Clients!AOG:AOG,2,0,1))</f>
        <v/>
      </c>
      <c r="F50" s="35" t="n"/>
      <c r="G50" s="34" t="n"/>
      <c r="H50" s="35" t="n"/>
      <c r="J50" s="55" t="inlineStr">
        <is>
          <t>Line 58280</t>
        </is>
      </c>
      <c r="K50" s="36">
        <f>(_xlfn.XLOOKUP(MainClient,Clients!D:D,Clients!BPB:BPB,2,0,1))</f>
        <v/>
      </c>
      <c r="N50" s="35" t="n"/>
      <c r="P50" s="35" t="n"/>
    </row>
    <row r="51" ht="15.75" customHeight="1" thickBot="1">
      <c r="B51" s="55" t="inlineStr">
        <is>
          <t>Line 58300</t>
        </is>
      </c>
      <c r="C51" s="36">
        <f>(_xlfn.XLOOKUP(ClientNumber,Clients!D:D,Clients!AOH:AOH,2,0,1))</f>
        <v/>
      </c>
      <c r="F51" s="35" t="n"/>
      <c r="G51" s="34" t="n"/>
      <c r="H51" s="35" t="n"/>
      <c r="J51" s="55" t="inlineStr">
        <is>
          <t>Line 58300</t>
        </is>
      </c>
      <c r="K51" s="36">
        <f>(_xlfn.XLOOKUP(MainClient,Clients!D:D,Clients!BPC:BPC,2,0,1))</f>
        <v/>
      </c>
      <c r="N51" s="35" t="n"/>
      <c r="O51" s="34" t="n"/>
      <c r="P51" s="35" t="n"/>
    </row>
    <row r="52" ht="15.75" customHeight="1" thickBot="1">
      <c r="B52" s="55" t="inlineStr">
        <is>
          <t>Line 58305</t>
        </is>
      </c>
      <c r="C52" s="36">
        <f>(_xlfn.XLOOKUP(ClientNumber,Clients!D:D,Clients!AOI:AOI,2,0,1))</f>
        <v/>
      </c>
      <c r="F52" s="35" t="n"/>
      <c r="G52" s="34" t="n"/>
      <c r="H52" s="35" t="n"/>
      <c r="J52" s="55" t="inlineStr">
        <is>
          <t>Line 58305</t>
        </is>
      </c>
      <c r="K52" s="36">
        <f>(_xlfn.XLOOKUP(MainClient,Clients!D:D,Clients!BPD:BPD,2,0,1))</f>
        <v/>
      </c>
      <c r="N52" s="35" t="n"/>
      <c r="O52" s="34" t="n"/>
      <c r="P52" s="35" t="n"/>
    </row>
    <row r="53" ht="15.75" customHeight="1" thickBot="1">
      <c r="B53" s="55" t="inlineStr">
        <is>
          <t>Line 58310</t>
        </is>
      </c>
      <c r="C53" s="36">
        <f>(_xlfn.XLOOKUP(ClientNumber,Clients!D:D,Clients!AOJ:AOJ,2,0,1))</f>
        <v/>
      </c>
      <c r="F53" s="35" t="n"/>
      <c r="G53" s="34" t="n"/>
      <c r="H53" s="35" t="n"/>
      <c r="J53" s="55" t="inlineStr">
        <is>
          <t>Line 58310</t>
        </is>
      </c>
      <c r="K53" s="36">
        <f>(_xlfn.XLOOKUP(MainClient,Clients!D:D,Clients!BPE:BPE,2,0,1))</f>
        <v/>
      </c>
      <c r="N53" s="35" t="n"/>
      <c r="O53" s="34" t="n"/>
      <c r="P53" s="35" t="n"/>
    </row>
    <row r="54" ht="15.75" customHeight="1" thickBot="1">
      <c r="B54" s="55" t="inlineStr">
        <is>
          <t>Line 58326</t>
        </is>
      </c>
      <c r="C54" s="36">
        <f>(_xlfn.XLOOKUP(ClientNumber,Clients!D:D,Clients!AOO:AOO,2,0,1))</f>
        <v/>
      </c>
      <c r="F54" s="35" t="n"/>
      <c r="G54" s="34" t="n"/>
      <c r="H54" s="35" t="n"/>
      <c r="J54" s="55" t="inlineStr">
        <is>
          <t>Line 58326</t>
        </is>
      </c>
      <c r="K54" s="36">
        <f>(_xlfn.XLOOKUP(MainClient,Clients!D:D,Clients!BPJ:BPJ,2,0,1))</f>
        <v/>
      </c>
      <c r="N54" s="35" t="n"/>
      <c r="O54" s="34" t="n"/>
      <c r="P54" s="35" t="n"/>
    </row>
    <row r="55" ht="15.75" customHeight="1" thickBot="1">
      <c r="B55" s="55" t="inlineStr">
        <is>
          <t>Line 58330</t>
        </is>
      </c>
      <c r="C55" s="36">
        <f>(_xlfn.XLOOKUP(ClientNumber,Clients!D:D,Clients!AOP:AOP,2,0,1))</f>
        <v/>
      </c>
      <c r="F55" s="35" t="n"/>
      <c r="G55" s="34" t="n"/>
      <c r="H55" s="35" t="n"/>
      <c r="J55" s="55" t="inlineStr">
        <is>
          <t>Line 58330</t>
        </is>
      </c>
      <c r="K55" s="36">
        <f>(_xlfn.XLOOKUP(MainClient,Clients!D:D,Clients!BPK:BPK,2,0,1))</f>
        <v/>
      </c>
      <c r="N55" s="35" t="n"/>
      <c r="O55" s="34" t="n"/>
      <c r="P55" s="35" t="n"/>
    </row>
    <row r="56" ht="15.75" customHeight="1" thickBot="1">
      <c r="B56" s="55" t="inlineStr">
        <is>
          <t>Line 58560</t>
        </is>
      </c>
      <c r="C56" s="36">
        <f>(_xlfn.XLOOKUP(ClientNumber,Clients!D:D,Clients!AOX:AOX,2,0,1))</f>
        <v/>
      </c>
      <c r="F56" s="35" t="n"/>
      <c r="G56" s="34" t="n"/>
      <c r="H56" s="35" t="n"/>
      <c r="J56" s="55" t="inlineStr">
        <is>
          <t>Line 58560</t>
        </is>
      </c>
      <c r="K56" s="36">
        <f>(_xlfn.XLOOKUP(MainClient,Clients!D:D,Clients!BPS:BPS,2,0,1))</f>
        <v/>
      </c>
      <c r="N56" s="35" t="n"/>
      <c r="O56" s="34" t="n"/>
      <c r="P56" s="35" t="n"/>
    </row>
    <row r="57" ht="15.75" customHeight="1" thickBot="1">
      <c r="B57" s="55" t="n"/>
      <c r="C57" s="36" t="n"/>
      <c r="F57" s="35" t="n"/>
      <c r="G57" s="34" t="n"/>
      <c r="H57" s="35" t="n"/>
      <c r="J57" s="55" t="n"/>
      <c r="K57" s="36" t="n"/>
      <c r="N57" s="35" t="n"/>
      <c r="O57" s="34" t="n"/>
      <c r="P57" s="35" t="n"/>
    </row>
    <row r="58" ht="15.75" customHeight="1" thickBot="1">
      <c r="B58" s="55" t="n"/>
      <c r="C58" s="36" t="n"/>
      <c r="F58" s="35" t="n"/>
      <c r="G58" s="34" t="inlineStr">
        <is>
          <t>Line 326</t>
        </is>
      </c>
      <c r="H58" s="35">
        <f>IF(TransferName="NONE",0,(_xlfn.XLOOKUP(TransferNumber,Clients!D:D,Clients!CIH:CIH,2,0,1)))</f>
        <v/>
      </c>
      <c r="J58" s="55" t="n"/>
      <c r="K58" s="36" t="n"/>
      <c r="N58" s="35" t="n"/>
      <c r="O58" s="34" t="inlineStr">
        <is>
          <t>Line 326</t>
        </is>
      </c>
      <c r="P58" s="35">
        <f>IFERROR(_xlfn.XLOOKUP(TransferNumber,Clients!D:D,Clients!FJZ:FJZ,2,0,1),0)</f>
        <v/>
      </c>
    </row>
    <row r="59" ht="15.75" customHeight="1" thickBot="1">
      <c r="B59" s="55" t="n"/>
      <c r="C59" s="36" t="n"/>
      <c r="F59" s="35" t="n"/>
      <c r="G59" s="34" t="n"/>
      <c r="H59" s="35" t="n"/>
      <c r="J59" s="55" t="n"/>
      <c r="K59" s="36" t="n"/>
      <c r="N59" s="35" t="n"/>
      <c r="O59" s="34" t="n"/>
      <c r="P59" s="35" t="n"/>
    </row>
    <row r="60" ht="15.75" customHeight="1" thickBot="1">
      <c r="B60" s="55" t="n"/>
      <c r="C60" s="36" t="n"/>
      <c r="F60" s="35" t="n"/>
      <c r="G60" s="34" t="n"/>
      <c r="H60" s="35" t="n"/>
      <c r="J60" s="55" t="n"/>
      <c r="K60" s="36" t="n"/>
      <c r="N60" s="35" t="n"/>
      <c r="O60" s="34" t="n"/>
      <c r="P60" s="35" t="n"/>
    </row>
    <row r="61" ht="15.75" customHeight="1" thickBot="1">
      <c r="B61" s="55" t="n"/>
      <c r="C61" s="36" t="n"/>
      <c r="F61" s="35" t="n"/>
      <c r="G61" s="34" t="n"/>
      <c r="H61" s="35" t="n"/>
      <c r="J61" s="55" t="n"/>
      <c r="K61" s="36" t="n"/>
      <c r="N61" s="35" t="n"/>
      <c r="O61" s="34" t="n"/>
      <c r="P61" s="35" t="n"/>
    </row>
    <row r="62" ht="15.75" customHeight="1" thickBot="1">
      <c r="B62" s="55" t="n"/>
      <c r="C62" s="36" t="n"/>
      <c r="F62" s="35" t="n"/>
      <c r="G62" s="34" t="n"/>
      <c r="H62" s="35">
        <f>IF(E67&gt;0,E44-G44,0)</f>
        <v/>
      </c>
      <c r="J62" s="55" t="n"/>
      <c r="K62" s="36" t="n"/>
      <c r="N62" s="35" t="n"/>
      <c r="O62" s="34" t="n"/>
      <c r="P62" s="35">
        <f>IF(M67&gt;0,M44-O44,0)</f>
        <v/>
      </c>
    </row>
    <row r="63" ht="15.75" customHeight="1" thickBot="1">
      <c r="B63" s="55" t="n"/>
      <c r="C63" s="36" t="n"/>
      <c r="F63" s="35" t="n"/>
      <c r="H63" s="52">
        <f>IF(TransferName="NONE",F68,IF(H62&gt;0,(E67-G44)*0.098,0))</f>
        <v/>
      </c>
      <c r="J63" s="55" t="n"/>
      <c r="K63" s="36" t="n"/>
      <c r="N63" s="35" t="n"/>
      <c r="P63" s="52">
        <f>IF(TransferName="NONE",N68,IF(P62&gt;0,(M67-O44)*0.098,0))</f>
        <v/>
      </c>
    </row>
    <row r="64">
      <c r="B64" s="667" t="n"/>
      <c r="F64" s="35" t="n"/>
      <c r="G64" s="34" t="inlineStr">
        <is>
          <t>Transferable</t>
        </is>
      </c>
      <c r="H64" s="52">
        <f>IF(H63&gt;0,H63,0)</f>
        <v/>
      </c>
      <c r="J64" s="667" t="n"/>
      <c r="N64" s="35" t="n"/>
      <c r="O64" s="34" t="inlineStr">
        <is>
          <t>Transferable</t>
        </is>
      </c>
      <c r="P64" s="52">
        <f>IF(P63&gt;0,P63,0)</f>
        <v/>
      </c>
    </row>
    <row r="65">
      <c r="B65" s="667" t="inlineStr">
        <is>
          <t>Adjusted Taxable Income</t>
        </is>
      </c>
      <c r="C65">
        <f>C46-(SUM(C48:C63))</f>
        <v/>
      </c>
      <c r="D65" s="13" t="inlineStr">
        <is>
          <t>Line 5864</t>
        </is>
      </c>
      <c r="E65" s="39">
        <f>IF(C65&gt;0,C65,0)</f>
        <v/>
      </c>
      <c r="F65" s="35" t="n"/>
      <c r="G65" s="34" t="n"/>
      <c r="H65" s="35" t="n"/>
      <c r="J65" s="667" t="inlineStr">
        <is>
          <t>Adjusted Taxable Income</t>
        </is>
      </c>
      <c r="K65">
        <f>K46-(SUM(K48:K63))</f>
        <v/>
      </c>
      <c r="L65" s="13" t="inlineStr">
        <is>
          <t>Line 5864</t>
        </is>
      </c>
      <c r="M65" s="39">
        <f>IF(K65&gt;0,K65,0)</f>
        <v/>
      </c>
      <c r="N65" s="35" t="n"/>
      <c r="O65" s="34" t="n"/>
      <c r="P65" s="35" t="n"/>
    </row>
    <row r="66" ht="15.75" customHeight="1" thickBot="1">
      <c r="B66" s="34" t="n"/>
      <c r="F66" s="35" t="n"/>
      <c r="G66" s="34" t="n"/>
      <c r="H66" s="35" t="n"/>
      <c r="J66" s="34" t="n"/>
      <c r="N66" s="35" t="n"/>
      <c r="O66" s="34" t="n"/>
      <c r="P66" s="35" t="n"/>
    </row>
    <row r="67" ht="15.75" customHeight="1" thickBot="1">
      <c r="B67" s="34" t="n"/>
      <c r="D67" s="21" t="inlineStr">
        <is>
          <t>Prov Trans</t>
        </is>
      </c>
      <c r="E67" s="36">
        <f>(E44-E65)</f>
        <v/>
      </c>
      <c r="F67" s="40" t="n"/>
      <c r="G67" s="34" t="n"/>
      <c r="H67" s="52" t="n"/>
      <c r="J67" s="34" t="n"/>
      <c r="L67" s="21" t="inlineStr">
        <is>
          <t>Prov Trans</t>
        </is>
      </c>
      <c r="M67" s="36">
        <f>(M44-M65)</f>
        <v/>
      </c>
      <c r="N67" s="40" t="n"/>
      <c r="O67" s="34" t="n"/>
      <c r="P67" s="52" t="n"/>
    </row>
    <row r="68" ht="15.75" customHeight="1" thickBot="1">
      <c r="B68" s="34" t="n"/>
      <c r="C68" s="579" t="inlineStr">
        <is>
          <t>DTC Transferable ESTIMATE</t>
        </is>
      </c>
      <c r="D68" s="35" t="n"/>
      <c r="E68" s="36">
        <f>IF(E67&lt;0,0,(IF(E67&gt;E42,E42,E67)))</f>
        <v/>
      </c>
      <c r="F68" s="40">
        <f>IF(E68&gt;0,E68*0.098,"No Transfer Required")</f>
        <v/>
      </c>
      <c r="G68" s="678" t="n"/>
      <c r="H68" s="52" t="n"/>
      <c r="J68" s="34" t="n"/>
      <c r="K68" s="579" t="inlineStr">
        <is>
          <t>DTC Transferable ESTIMATE</t>
        </is>
      </c>
      <c r="L68" s="35" t="n"/>
      <c r="M68" s="36">
        <f>IF(M67&lt;0,0,(IF(M67&gt;M42,M42,M67)))</f>
        <v/>
      </c>
      <c r="N68" s="40">
        <f>IF(M68&gt;0,M68*0.098,"No Transfer Required")</f>
        <v/>
      </c>
      <c r="O68" s="58" t="n"/>
      <c r="P68" s="52" t="n"/>
    </row>
    <row r="69" ht="15.75" customHeight="1" thickBot="1">
      <c r="B69" s="42" t="n"/>
      <c r="C69" s="41" t="n"/>
      <c r="D69" s="43" t="inlineStr">
        <is>
          <t>Net Transferable</t>
        </is>
      </c>
      <c r="E69" s="36">
        <f>IF(E67&lt;0,0,(IF(E67-G39-G41-G43&lt;0,E67,(E67-G39-G41-G43))))</f>
        <v/>
      </c>
      <c r="F69" s="57">
        <f>IF(E69&gt;0,E69*0.098,"0")</f>
        <v/>
      </c>
      <c r="G69" s="42" t="n"/>
      <c r="H69" s="864" t="n"/>
      <c r="J69" s="42" t="n"/>
      <c r="K69" s="41" t="n"/>
      <c r="L69" s="43" t="inlineStr">
        <is>
          <t>Net Transferable</t>
        </is>
      </c>
      <c r="M69" s="36">
        <f>IF(M67&lt;0,0,(IF(M67-O39-O41-O43&lt;0,M67,(M67-O39-O41-O43))))</f>
        <v/>
      </c>
      <c r="N69" s="57">
        <f>IF(M69&gt;0,M69*0.098,"0")</f>
        <v/>
      </c>
      <c r="O69" s="59" t="n"/>
      <c r="P69" s="864" t="n"/>
    </row>
    <row r="71" ht="15.75" customHeight="1" thickBot="1">
      <c r="E71">
        <f>Calculator!$D$5</f>
        <v/>
      </c>
      <c r="H71">
        <f>TransferName</f>
        <v/>
      </c>
      <c r="M71">
        <f>Calculator!$D$5</f>
        <v/>
      </c>
      <c r="P71">
        <f>TransferName</f>
        <v/>
      </c>
    </row>
    <row r="72" ht="15.75" customHeight="1" thickBot="1">
      <c r="B72" s="891" t="inlineStr">
        <is>
          <t>2020 YUKON Provincial</t>
        </is>
      </c>
      <c r="C72" s="778" t="n"/>
      <c r="D72" s="778" t="n"/>
      <c r="E72" s="778" t="n"/>
      <c r="F72" s="778" t="n"/>
      <c r="G72" s="778" t="n"/>
      <c r="H72" s="780" t="n"/>
      <c r="J72" s="891" t="inlineStr">
        <is>
          <t>2019 YUKON Provincial</t>
        </is>
      </c>
      <c r="K72" s="778" t="n"/>
      <c r="L72" s="778" t="n"/>
      <c r="M72" s="778" t="n"/>
      <c r="N72" s="778" t="n"/>
      <c r="O72" s="778" t="n"/>
      <c r="P72" s="780" t="n"/>
    </row>
    <row r="73" ht="28.5" customHeight="1" thickBot="1">
      <c r="B73" s="34" t="n"/>
      <c r="D73" t="inlineStr">
        <is>
          <t>Line</t>
        </is>
      </c>
      <c r="E73" t="inlineStr">
        <is>
          <t>Amt</t>
        </is>
      </c>
      <c r="F73" s="35" t="n"/>
      <c r="G73" s="667" t="inlineStr">
        <is>
          <t>Spouse</t>
        </is>
      </c>
      <c r="H73" s="35" t="inlineStr">
        <is>
          <t>S2 Adjustment</t>
        </is>
      </c>
      <c r="J73" s="34" t="n"/>
      <c r="L73" t="inlineStr">
        <is>
          <t>Line</t>
        </is>
      </c>
      <c r="M73" t="inlineStr">
        <is>
          <t>Amt</t>
        </is>
      </c>
      <c r="N73" s="35" t="n"/>
      <c r="O73" s="34" t="inlineStr">
        <is>
          <t>Spouse</t>
        </is>
      </c>
      <c r="P73" s="35" t="inlineStr">
        <is>
          <t>S2 Adjustment</t>
        </is>
      </c>
    </row>
    <row r="74" ht="15.75" customHeight="1" thickBot="1">
      <c r="B74" s="667" t="inlineStr">
        <is>
          <t>Age Amount</t>
        </is>
      </c>
      <c r="D74" t="inlineStr">
        <is>
          <t>Line 58080</t>
        </is>
      </c>
      <c r="E74" s="861">
        <f>(_xlfn.XLOOKUP(ClientNumber,Clients!D:D,Clients!CPH:CPH,2,0,1))</f>
        <v/>
      </c>
      <c r="F74" s="37" t="inlineStr">
        <is>
          <t>Line 59020</t>
        </is>
      </c>
      <c r="G74" s="51">
        <f>IF(TransferName="NONE",0,(_xlfn.XLOOKUP(TransferNumber,Clients!D:D,Clients!CRJ:CRJ,2,0,1)))</f>
        <v/>
      </c>
      <c r="H74" s="37">
        <f>IF(AND(E74&gt;0,G74=0),"Age Amount Can Be Transferred","No Action")</f>
        <v/>
      </c>
      <c r="J74" s="667" t="inlineStr">
        <is>
          <t>Age Amount</t>
        </is>
      </c>
      <c r="L74" t="inlineStr">
        <is>
          <t>Line 58080</t>
        </is>
      </c>
      <c r="M74" s="865">
        <f>(_xlfn.XLOOKUP(MainClient,Clients!D:D,Clients!DQC:DQC,2,0,1))</f>
        <v/>
      </c>
      <c r="N74" s="37" t="inlineStr">
        <is>
          <t>Line 59020</t>
        </is>
      </c>
      <c r="O74" s="51">
        <f>IF(TransferName="NONE",0,(_xlfn.XLOOKUP(TransferNumber,Clients!D:D,Clients!DSE:DSE,2,0,1)))</f>
        <v/>
      </c>
      <c r="P74" s="37">
        <f>IF(AND(M74&gt;0,O74=0),"Age Amount Can Be Transferred","No Action")</f>
        <v/>
      </c>
    </row>
    <row r="75" ht="15.75" customHeight="1" thickBot="1">
      <c r="B75" s="667" t="inlineStr">
        <is>
          <t>Caregiver amount for infrim children under 18 years of age</t>
        </is>
      </c>
      <c r="D75" t="inlineStr">
        <is>
          <t>Line 58189</t>
        </is>
      </c>
      <c r="E75" s="861">
        <f>(_xlfn.XLOOKUP(ClientNumber,Clients!D:D,Clients!CPO:CPO,2,0,1))</f>
        <v/>
      </c>
      <c r="F75" s="37" t="inlineStr">
        <is>
          <t>Line 59040</t>
        </is>
      </c>
      <c r="G75" s="51">
        <f>IF(TransferName="NONE",0,(_xlfn.XLOOKUP(TransferNumber,Clients!D:D,Clients!CRL:CRL,2,0,1)))</f>
        <v/>
      </c>
      <c r="H75" s="37">
        <f>IF(AND(E75&gt;0,G75=0),"Amount For Infirm Children Under 18 Can Be Transferred","No Action")</f>
        <v/>
      </c>
      <c r="J75" s="667" t="inlineStr">
        <is>
          <t>Caregiver amount for infrim children under 18 years of age</t>
        </is>
      </c>
      <c r="L75" t="inlineStr">
        <is>
          <t>Line 58189</t>
        </is>
      </c>
      <c r="M75" s="865">
        <f>(_xlfn.XLOOKUP(MainClient,Clients!D:D,Clients!DQJ:DQJ,2,0,1))</f>
        <v/>
      </c>
      <c r="N75" s="37" t="inlineStr">
        <is>
          <t>Line 59040</t>
        </is>
      </c>
      <c r="O75" s="51">
        <f>IF(TransferName="NONE",0,(_xlfn.XLOOKUP(TransferNumber,Clients!D:D,Clients!DSG:DSG,2,0,1)))</f>
        <v/>
      </c>
      <c r="P75" s="37">
        <f>IF(AND(M75&gt;0,O75=0),"Amount For Infirm Children Under 18 Can Be Transferred","No Action")</f>
        <v/>
      </c>
    </row>
    <row r="76" ht="15.75" customHeight="1" thickBot="1">
      <c r="B76" s="667" t="inlineStr">
        <is>
          <t>Pension Income Amount</t>
        </is>
      </c>
      <c r="D76" t="inlineStr">
        <is>
          <t>Line 58360 (mx 1000)</t>
        </is>
      </c>
      <c r="E76" s="861">
        <f>IF((_xlfn.XLOOKUP(ClientNumber,Clients!D:D,Clients!CQH:CQH,2,0,1)&lt;1000),(_xlfn.XLOOKUP(MainClient,Clients!D:D,Clients!CQH:CQH,2,0,1)),1000)</f>
        <v/>
      </c>
      <c r="F76" s="37" t="inlineStr">
        <is>
          <t>Line 59050</t>
        </is>
      </c>
      <c r="G76" s="51">
        <f>IF(TransferName="NONE",0,(_xlfn.XLOOKUP(TransferNumber,Clients!D:D,Clients!CRM:CRM,2,0,1)))</f>
        <v/>
      </c>
      <c r="H76" s="37">
        <f>IF(AND(E76&gt;0,G76=0),"Pension Income Amount Can Be Transferred","No Action")</f>
        <v/>
      </c>
      <c r="J76" s="667" t="inlineStr">
        <is>
          <t>Pension Income Amount</t>
        </is>
      </c>
      <c r="L76" t="inlineStr">
        <is>
          <t>Line 58360 (mx 1000)</t>
        </is>
      </c>
      <c r="M76" s="865">
        <f>IF((_xlfn.XLOOKUP(ClientNumber,Clients!D:D,Clients!DRC:DRC,2,0,1)&lt;1000),(_xlfn.XLOOKUP(MainClient,Clients!D:D,Clients!DRC:DRC,2,0,1)),1000)</f>
        <v/>
      </c>
      <c r="N76" s="37" t="inlineStr">
        <is>
          <t>Line 59050</t>
        </is>
      </c>
      <c r="O76" s="51">
        <f>IF(TransferName="NONE",0,(_xlfn.XLOOKUP(TransferNumber,Clients!D:D,Clients!DSH:DSH,2,0,1)))</f>
        <v/>
      </c>
      <c r="P76" s="37">
        <f>IF(AND(M76&gt;0,O76=0),"Pension Income Amount Can Be Transferred","No Action")</f>
        <v/>
      </c>
    </row>
    <row r="77" ht="15.75" customHeight="1" thickBot="1">
      <c r="B77" s="667" t="inlineStr">
        <is>
          <t>Disability Amount</t>
        </is>
      </c>
      <c r="D77" t="inlineStr">
        <is>
          <t>Line 58440</t>
        </is>
      </c>
      <c r="E77" s="861">
        <f>IF(_xlfn.XLOOKUP(ClientNumber,Clients!D:D,Clients!CQJ:CQJ,2,0,1)=0,8576,(_xlfn.XLOOKUP(MainClient,Clients!D:D,Clients!CQJ:CQJ,2,0,1)))</f>
        <v/>
      </c>
      <c r="F77" s="37" t="inlineStr">
        <is>
          <t>Line 59070</t>
        </is>
      </c>
      <c r="G77" s="51">
        <f>IF(TransferName="NONE",0,(_xlfn.XLOOKUP(TransferNumber,Clients!D:D,Clients!CRN:CRN,2,0,1)))</f>
        <v/>
      </c>
      <c r="H77" s="37">
        <f>IF(AND(E77&gt;0,G77=0),"DTC Transferable Not Claimed Can Be Transferred","No Action")</f>
        <v/>
      </c>
      <c r="J77" s="667" t="inlineStr">
        <is>
          <t>Disability Amount</t>
        </is>
      </c>
      <c r="L77" t="inlineStr">
        <is>
          <t>Line 58440</t>
        </is>
      </c>
      <c r="M77" s="865">
        <f>IF(_xlfn.XLOOKUP(ClientNumber,Clients!D:D,Clients!DRE:DRE,2,0,1)=0,8416,(_xlfn.XLOOKUP(MainClient,Clients!D:D,Clients!DRE:DRE,2,0,1)))</f>
        <v/>
      </c>
      <c r="N77" s="37" t="inlineStr">
        <is>
          <t>Line 59070</t>
        </is>
      </c>
      <c r="O77" s="51">
        <f>IF(TransferName="NONE",0,(_xlfn.XLOOKUP(TransferNumber,Clients!D:D,Clients!DSI:DSI,2,0,1)))</f>
        <v/>
      </c>
      <c r="P77" s="37">
        <f>IF(AND(M77&gt;0,O77=0),"DTC Transferable Not Claimed Can Be Transferred","No Action")</f>
        <v/>
      </c>
    </row>
    <row r="78" ht="15.75" customHeight="1" thickBot="1">
      <c r="B78" s="667" t="inlineStr">
        <is>
          <t>Tuition Amount</t>
        </is>
      </c>
      <c r="D78" t="inlineStr">
        <is>
          <t>Line 59200</t>
        </is>
      </c>
      <c r="E78" s="861">
        <f>(_xlfn.XLOOKUP(ClientNumber,Clients!D:D,Clients!CRY:CRY,2,0,1))</f>
        <v/>
      </c>
      <c r="F78" s="37" t="inlineStr">
        <is>
          <t>Line 59090</t>
        </is>
      </c>
      <c r="G78" s="51">
        <f>IF(TransferName="NONE",0,(_xlfn.XLOOKUP(TransferNumber,Clients!D:D,Clients!CRO:CRO,2,0,1)))</f>
        <v/>
      </c>
      <c r="H78" s="37">
        <f>IF(AND(E78&gt;0,G78=0),"Tuition Can Be Transferred","No Action")</f>
        <v/>
      </c>
      <c r="J78" s="667" t="inlineStr">
        <is>
          <t>Tuition Amount</t>
        </is>
      </c>
      <c r="L78" t="inlineStr">
        <is>
          <t>Line 59200</t>
        </is>
      </c>
      <c r="M78" s="865">
        <f>(_xlfn.XLOOKUP(MainClient,Clients!D:D,Clients!DST:DST,2,0,1))</f>
        <v/>
      </c>
      <c r="N78" s="37" t="inlineStr">
        <is>
          <t>Line 59090</t>
        </is>
      </c>
      <c r="O78" s="51">
        <f>IF(TransferName="NONE",0,(_xlfn.XLOOKUP(TransferNumber,Clients!D:D,Clients!DSJ:DSJ,2,0,1)))</f>
        <v/>
      </c>
      <c r="P78" s="37">
        <f>IF(AND(M78&gt;0,O78=0),"Tuition Can Be Transferred","No Action")</f>
        <v/>
      </c>
    </row>
    <row r="79">
      <c r="B79" s="667" t="n"/>
      <c r="E79" s="771">
        <f>SUM(E74:E78)</f>
        <v/>
      </c>
      <c r="F79" s="37" t="n"/>
      <c r="G79" s="667">
        <f>SUM(G74:G78)</f>
        <v/>
      </c>
      <c r="H79" s="37" t="n"/>
      <c r="J79" s="667" t="n"/>
      <c r="M79" s="872">
        <f>SUM(M74:M78)</f>
        <v/>
      </c>
      <c r="N79" s="37" t="n"/>
      <c r="O79" s="667">
        <f>SUM(O74:O78)</f>
        <v/>
      </c>
      <c r="P79" s="37" t="n"/>
    </row>
    <row r="80" ht="15.75" customHeight="1" thickBot="1">
      <c r="B80" s="34" t="n"/>
      <c r="F80" s="35" t="n"/>
      <c r="H80" s="35" t="n"/>
      <c r="J80" s="34" t="n"/>
      <c r="N80" s="35" t="n"/>
      <c r="P80" s="35" t="n"/>
    </row>
    <row r="81" ht="15.75" customHeight="1" thickBot="1">
      <c r="B81" s="667" t="inlineStr">
        <is>
          <t>Line 260</t>
        </is>
      </c>
      <c r="C81" s="36">
        <f>(_xlfn.XLOOKUP(MainClient,Clients!D:D,Clients!CHI:CHI,2,0,1))</f>
        <v/>
      </c>
      <c r="F81" s="35" t="n"/>
      <c r="G81" s="34">
        <f>IF(E104&gt;E77,"other transferable credits","DTC Only")</f>
        <v/>
      </c>
      <c r="H81" s="35" t="n"/>
      <c r="J81" s="667" t="inlineStr">
        <is>
          <t>Line 26000</t>
        </is>
      </c>
      <c r="K81" s="36">
        <f>(_xlfn.XLOOKUP(MainClient,Clients!D:D,Clients!DID:DID,2,0,1))</f>
        <v/>
      </c>
      <c r="N81" s="35" t="n"/>
      <c r="O81" s="34">
        <f>IF(M104&gt;M77,"other transferable credits","DTC Only")</f>
        <v/>
      </c>
      <c r="P81" s="35" t="n"/>
    </row>
    <row r="82" ht="15.75" customHeight="1" thickBot="1">
      <c r="B82" s="34" t="n"/>
      <c r="F82" s="35" t="n"/>
      <c r="G82" s="34" t="n"/>
      <c r="H82" s="35" t="n"/>
      <c r="J82" s="34" t="n"/>
      <c r="N82" s="35" t="n"/>
      <c r="O82" s="34" t="n"/>
      <c r="P82" s="35" t="n"/>
    </row>
    <row r="83" ht="15.75" customHeight="1" thickBot="1">
      <c r="B83" s="55" t="inlineStr">
        <is>
          <t>Line 58040</t>
        </is>
      </c>
      <c r="C83" s="36">
        <f>(_xlfn.XLOOKUP(ClientNumber,Clients!D:D,Clients!CPG:CPG,2,0,1))</f>
        <v/>
      </c>
      <c r="F83" s="35" t="n"/>
      <c r="G83" s="34" t="n"/>
      <c r="H83" s="35" t="n"/>
      <c r="J83" s="55" t="inlineStr">
        <is>
          <t>Line 58040</t>
        </is>
      </c>
      <c r="K83" s="36">
        <f>(_xlfn.XLOOKUP(MainClient,Clients!D:D,Clients!DQB:DQB,2,0,1))</f>
        <v/>
      </c>
      <c r="N83" s="35" t="n"/>
      <c r="O83" s="34" t="n"/>
      <c r="P83" s="35" t="n"/>
    </row>
    <row r="84" ht="15.75" customHeight="1" thickBot="1">
      <c r="B84" s="55" t="inlineStr">
        <is>
          <t>Line 58240</t>
        </is>
      </c>
      <c r="C84" s="36">
        <f>(_xlfn.XLOOKUP(ClientNumber,Clients!D:D,Clients!CHU:CHU,2,0,1))</f>
        <v/>
      </c>
      <c r="F84" s="35" t="n"/>
      <c r="G84" s="34" t="n"/>
      <c r="H84" s="35" t="n"/>
      <c r="J84" s="55" t="inlineStr">
        <is>
          <t>Line 58240</t>
        </is>
      </c>
      <c r="K84" s="36">
        <f>(_xlfn.XLOOKUP(MainClient,Clients!D:D,Clients!DQQ:DQQ,2,0,1))</f>
        <v/>
      </c>
      <c r="N84" s="35" t="n"/>
      <c r="O84" s="34" t="n"/>
      <c r="P84" s="35" t="n"/>
    </row>
    <row r="85" ht="15.75" customHeight="1" thickBot="1">
      <c r="B85" s="55" t="inlineStr">
        <is>
          <t>Line 58280</t>
        </is>
      </c>
      <c r="C85" s="36">
        <f>(_xlfn.XLOOKUP(ClientNumber,Clients!D:D,Clients!CHV:CHV,2,0,1))</f>
        <v/>
      </c>
      <c r="F85" s="35" t="n"/>
      <c r="G85" s="34" t="n"/>
      <c r="H85" s="35" t="n"/>
      <c r="J85" s="55" t="inlineStr">
        <is>
          <t>Line 58280</t>
        </is>
      </c>
      <c r="K85" s="36">
        <f>(_xlfn.XLOOKUP(MainClient,Clients!D:D,Clients!DQR:DQR,2,0,1))</f>
        <v/>
      </c>
      <c r="N85" s="35" t="n"/>
      <c r="P85" s="35" t="n"/>
    </row>
    <row r="86" ht="15.75" customHeight="1" thickBot="1">
      <c r="B86" s="55" t="inlineStr">
        <is>
          <t>Line 58300</t>
        </is>
      </c>
      <c r="C86" s="36">
        <f>(_xlfn.XLOOKUP(ClientNumber,Clients!D:D,Clients!CHW:CHW,2,0,1))</f>
        <v/>
      </c>
      <c r="F86" s="35" t="n"/>
      <c r="G86" s="34" t="n"/>
      <c r="H86" s="35" t="n"/>
      <c r="J86" s="55" t="inlineStr">
        <is>
          <t>Line 58300</t>
        </is>
      </c>
      <c r="K86" s="36">
        <f>(_xlfn.XLOOKUP(MainClient,Clients!D:D,Clients!DQS:DQS,2,0,1))</f>
        <v/>
      </c>
      <c r="N86" s="35" t="n"/>
      <c r="O86" s="34" t="n"/>
      <c r="P86" s="35" t="n"/>
    </row>
    <row r="87" ht="15.75" customHeight="1" thickBot="1">
      <c r="B87" s="55" t="inlineStr">
        <is>
          <t>Line 58305</t>
        </is>
      </c>
      <c r="C87" s="36">
        <f>(_xlfn.XLOOKUP(ClientNumber,Clients!D:D,Clients!CIA:CIA,2,0,1))</f>
        <v/>
      </c>
      <c r="F87" s="35" t="n"/>
      <c r="G87" s="34" t="n"/>
      <c r="H87" s="35" t="n"/>
      <c r="J87" s="55" t="inlineStr">
        <is>
          <t>Line 58305</t>
        </is>
      </c>
      <c r="K87" s="36">
        <f>(_xlfn.XLOOKUP(MainClient,Clients!D:D,Clients!DQT:DQT,2,0,1))</f>
        <v/>
      </c>
      <c r="N87" s="35" t="n"/>
      <c r="O87" s="34" t="n"/>
      <c r="P87" s="35" t="n"/>
    </row>
    <row r="88" ht="15.75" customHeight="1" thickBot="1">
      <c r="B88" s="55" t="inlineStr">
        <is>
          <t>Line 58310</t>
        </is>
      </c>
      <c r="C88" s="36">
        <f>(_xlfn.XLOOKUP(ClientNumber,Clients!D:D,Clients!CPZ:CPZ,2,0,1))</f>
        <v/>
      </c>
      <c r="F88" s="35" t="n"/>
      <c r="G88" s="34" t="n"/>
      <c r="H88" s="35" t="n"/>
      <c r="J88" s="55" t="inlineStr">
        <is>
          <t>Line 58310</t>
        </is>
      </c>
      <c r="K88" s="36">
        <f>(_xlfn.XLOOKUP(MainClient,Clients!D:D,Clients!DQU:DQU,2,0,1))</f>
        <v/>
      </c>
      <c r="N88" s="35" t="n"/>
      <c r="O88" s="34" t="n"/>
      <c r="P88" s="35" t="n"/>
    </row>
    <row r="89" ht="15.75" customHeight="1" thickBot="1">
      <c r="B89" s="55" t="inlineStr">
        <is>
          <t>Line 58326</t>
        </is>
      </c>
      <c r="C89" s="36">
        <f>(_xlfn.XLOOKUP(ClientNumber,Clients!D:D,Clients!CQE:CQE,2,0,1))</f>
        <v/>
      </c>
      <c r="F89" s="35" t="n"/>
      <c r="G89" s="34" t="n"/>
      <c r="H89" s="35" t="n"/>
      <c r="J89" s="55" t="inlineStr">
        <is>
          <t>Line 58326</t>
        </is>
      </c>
      <c r="K89" s="36">
        <f>(_xlfn.XLOOKUP(MainClient,Clients!D:D,Clients!DQZ:DQZ,2,0,1))</f>
        <v/>
      </c>
      <c r="N89" s="35" t="n"/>
      <c r="O89" s="34" t="n"/>
      <c r="P89" s="35" t="n"/>
    </row>
    <row r="90" ht="15.75" customHeight="1" thickBot="1">
      <c r="B90" s="55" t="inlineStr">
        <is>
          <t>Line 58330</t>
        </is>
      </c>
      <c r="C90" s="36">
        <f>(_xlfn.XLOOKUP(ClientNumber,Clients!D:D,Clients!CQF:CQF,2,0,1))</f>
        <v/>
      </c>
      <c r="F90" s="35" t="n"/>
      <c r="G90" s="34" t="n"/>
      <c r="H90" s="35" t="n"/>
      <c r="J90" s="55" t="inlineStr">
        <is>
          <t>Line 58330</t>
        </is>
      </c>
      <c r="K90" s="36">
        <f>(_xlfn.XLOOKUP(MainClient,Clients!D:D,Clients!DRA:DRA,2,0,1))</f>
        <v/>
      </c>
      <c r="N90" s="35" t="n"/>
      <c r="O90" s="34" t="n"/>
      <c r="P90" s="35" t="n"/>
    </row>
    <row r="91" ht="15.75" customHeight="1" thickBot="1">
      <c r="B91" s="55" t="inlineStr">
        <is>
          <t>Line 58560</t>
        </is>
      </c>
      <c r="C91" s="36">
        <f>(_xlfn.XLOOKUP(ClientNumber,Clients!D:D,Clients!CQN:CQN,2,0,1))</f>
        <v/>
      </c>
      <c r="F91" s="35" t="n"/>
      <c r="G91" s="34" t="n"/>
      <c r="H91" s="35" t="n"/>
      <c r="J91" s="55" t="inlineStr">
        <is>
          <t>Line 58560</t>
        </is>
      </c>
      <c r="K91" s="36">
        <f>(_xlfn.XLOOKUP(MainClient,Clients!D:D,Clients!DRI:DRI,2,0,1))</f>
        <v/>
      </c>
      <c r="N91" s="35" t="n"/>
      <c r="O91" s="34" t="n"/>
      <c r="P91" s="35" t="n"/>
    </row>
    <row r="92" ht="15.75" customHeight="1" thickBot="1">
      <c r="B92" s="55" t="n"/>
      <c r="C92" s="36" t="n"/>
      <c r="F92" s="35" t="n"/>
      <c r="G92" s="34" t="n"/>
      <c r="H92" s="35" t="n"/>
      <c r="J92" s="55" t="n"/>
      <c r="K92" s="36" t="n"/>
      <c r="N92" s="35" t="n"/>
      <c r="O92" s="34" t="n"/>
      <c r="P92" s="35" t="n"/>
    </row>
    <row r="93" ht="15.75" customHeight="1" thickBot="1">
      <c r="B93" s="55" t="n"/>
      <c r="C93" s="36" t="n"/>
      <c r="F93" s="35" t="n"/>
      <c r="G93" s="34" t="inlineStr">
        <is>
          <t>Line 326</t>
        </is>
      </c>
      <c r="H93" s="35">
        <f>IF(TransferName="NONE",0,(_xlfn.XLOOKUP(TransferNumber,Clients!D:D,Clients!CIH:CIH,2,0,1)))</f>
        <v/>
      </c>
      <c r="J93" s="55" t="n"/>
      <c r="K93" s="36" t="n"/>
      <c r="N93" s="35" t="n"/>
      <c r="O93" s="34" t="inlineStr">
        <is>
          <t>Line 326</t>
        </is>
      </c>
      <c r="P93" s="35">
        <f>IFERROR(_xlfn.XLOOKUP(TransferNumber,Clients!D:D,Clients!FJZ:FJZ,2,0,1),0)</f>
        <v/>
      </c>
    </row>
    <row r="94" ht="15.75" customHeight="1" thickBot="1">
      <c r="B94" s="38" t="n"/>
      <c r="C94" s="36" t="n"/>
      <c r="F94" s="35" t="n"/>
      <c r="G94" s="34" t="n"/>
      <c r="H94" s="35" t="n"/>
      <c r="J94" s="38" t="n"/>
      <c r="K94" s="36" t="n"/>
      <c r="N94" s="35" t="n"/>
      <c r="O94" s="34" t="n"/>
      <c r="P94" s="35" t="n"/>
    </row>
    <row r="95" ht="15.75" customHeight="1" thickBot="1">
      <c r="B95" s="38" t="n"/>
      <c r="C95" s="36" t="n"/>
      <c r="F95" s="35" t="n"/>
      <c r="G95" s="34" t="n"/>
      <c r="H95" s="35" t="n"/>
      <c r="J95" s="38" t="n"/>
      <c r="K95" s="36" t="n"/>
      <c r="N95" s="35" t="n"/>
      <c r="O95" s="34" t="n"/>
      <c r="P95" s="35" t="n"/>
    </row>
    <row r="96" ht="15.75" customHeight="1" thickBot="1">
      <c r="B96" s="38" t="n"/>
      <c r="C96" s="36" t="n"/>
      <c r="F96" s="35" t="n"/>
      <c r="G96" s="34" t="n"/>
      <c r="H96" s="35" t="n"/>
      <c r="J96" s="38" t="n"/>
      <c r="K96" s="36" t="n"/>
      <c r="N96" s="35" t="n"/>
      <c r="O96" s="34" t="n"/>
      <c r="P96" s="35" t="n"/>
    </row>
    <row r="97" ht="15.75" customHeight="1" thickBot="1">
      <c r="B97" s="38" t="n"/>
      <c r="C97" s="36" t="n"/>
      <c r="F97" s="35" t="n"/>
      <c r="G97" s="34" t="n"/>
      <c r="H97" s="35">
        <f>IF(E102&gt;0,E79-G79,0)</f>
        <v/>
      </c>
      <c r="J97" s="38" t="n"/>
      <c r="K97" s="36" t="n"/>
      <c r="N97" s="35" t="n"/>
      <c r="O97" s="34" t="n"/>
      <c r="P97" s="35">
        <f>IF(M102&gt;0,M79-O79,0)</f>
        <v/>
      </c>
    </row>
    <row r="98" ht="15.75" customHeight="1" thickBot="1">
      <c r="B98" s="38" t="n"/>
      <c r="C98" s="36" t="n"/>
      <c r="F98" s="35" t="n"/>
      <c r="H98" s="52">
        <f>IF(TransferName="NONE",F103,IF(H97&gt;0,(E102-G79)*0.098,0))</f>
        <v/>
      </c>
      <c r="J98" s="38" t="n"/>
      <c r="K98" s="36" t="n"/>
      <c r="N98" s="35" t="n"/>
      <c r="P98" s="52">
        <f>IF(TransferName="NONE",N103,IF(P97&gt;0,(M102-O79)*0.098,0))</f>
        <v/>
      </c>
    </row>
    <row r="99">
      <c r="B99" s="667" t="n"/>
      <c r="F99" s="35" t="n"/>
      <c r="G99" s="34" t="inlineStr">
        <is>
          <t>Transferable</t>
        </is>
      </c>
      <c r="H99" s="52">
        <f>IF(H98&gt;0,H98,0)</f>
        <v/>
      </c>
      <c r="J99" s="667" t="n"/>
      <c r="N99" s="35" t="n"/>
      <c r="O99" s="34" t="inlineStr">
        <is>
          <t>Transferable</t>
        </is>
      </c>
      <c r="P99" s="52">
        <f>IF(P98&gt;0,P98,0)</f>
        <v/>
      </c>
    </row>
    <row r="100">
      <c r="B100" s="667" t="inlineStr">
        <is>
          <t>Adjusted Taxable Income</t>
        </is>
      </c>
      <c r="C100">
        <f>C81-(SUM(C83:C98))</f>
        <v/>
      </c>
      <c r="D100" s="13" t="inlineStr">
        <is>
          <t>Line 5864</t>
        </is>
      </c>
      <c r="E100" s="39">
        <f>IF(C100&gt;0,C100,0)</f>
        <v/>
      </c>
      <c r="F100" s="35" t="n"/>
      <c r="G100" s="34" t="n"/>
      <c r="H100" s="35" t="n"/>
      <c r="J100" s="667" t="inlineStr">
        <is>
          <t>Adjusted Taxable Income</t>
        </is>
      </c>
      <c r="K100">
        <f>K81-(SUM(K83:K98))</f>
        <v/>
      </c>
      <c r="L100" s="13" t="inlineStr">
        <is>
          <t>Line 5864</t>
        </is>
      </c>
      <c r="M100" s="39">
        <f>IF(K100&gt;0,K100,0)</f>
        <v/>
      </c>
      <c r="N100" s="35" t="n"/>
      <c r="O100" s="34" t="n"/>
      <c r="P100" s="35" t="n"/>
    </row>
    <row r="101" ht="15.75" customHeight="1" thickBot="1">
      <c r="B101" s="34" t="n"/>
      <c r="F101" s="35" t="n"/>
      <c r="G101" s="34" t="n"/>
      <c r="H101" s="35" t="n"/>
      <c r="J101" s="34" t="n"/>
      <c r="N101" s="35" t="n"/>
      <c r="O101" s="34" t="n"/>
      <c r="P101" s="35" t="n"/>
    </row>
    <row r="102" ht="15.75" customHeight="1" thickBot="1">
      <c r="B102" s="34" t="n"/>
      <c r="D102" s="21" t="inlineStr">
        <is>
          <t>Prov Trans</t>
        </is>
      </c>
      <c r="E102" s="36">
        <f>(E79-E100)</f>
        <v/>
      </c>
      <c r="F102" s="40" t="n"/>
      <c r="G102" s="34" t="n"/>
      <c r="H102" s="52" t="n"/>
      <c r="J102" s="34" t="n"/>
      <c r="L102" s="21" t="inlineStr">
        <is>
          <t>Prov Trans</t>
        </is>
      </c>
      <c r="M102" s="36">
        <f>(M79-M100)</f>
        <v/>
      </c>
      <c r="N102" s="40" t="n"/>
      <c r="O102" s="34" t="n"/>
      <c r="P102" s="52" t="n"/>
    </row>
    <row r="103" ht="15.75" customHeight="1" thickBot="1">
      <c r="B103" s="34" t="n"/>
      <c r="C103" s="579" t="inlineStr">
        <is>
          <t>DTC Transferable ESTIMATE</t>
        </is>
      </c>
      <c r="D103" s="35" t="n"/>
      <c r="E103" s="36">
        <f>IF(E102&lt;0,0,(IF(E102&gt;E77,E77,E102)))</f>
        <v/>
      </c>
      <c r="F103" s="40">
        <f>IF(E103&gt;0,E103*0.098,"No Transfer Required")</f>
        <v/>
      </c>
      <c r="G103" s="678" t="n"/>
      <c r="H103" s="52" t="n"/>
      <c r="J103" s="34" t="n"/>
      <c r="K103" s="579" t="inlineStr">
        <is>
          <t>DTC Transferable ESTIMATE</t>
        </is>
      </c>
      <c r="L103" s="35" t="n"/>
      <c r="M103" s="36">
        <f>IF(M102&lt;0,0,(IF(M102&gt;M77,M77,M102)))</f>
        <v/>
      </c>
      <c r="N103" s="40">
        <f>IF(M103&gt;0,M103*0.098,"No Transfer Required")</f>
        <v/>
      </c>
      <c r="O103" s="58" t="n"/>
      <c r="P103" s="52" t="n"/>
    </row>
    <row r="104" ht="15.75" customHeight="1" thickBot="1">
      <c r="B104" s="42" t="n"/>
      <c r="C104" s="41" t="n"/>
      <c r="D104" s="43" t="inlineStr">
        <is>
          <t>Net Transferable</t>
        </is>
      </c>
      <c r="E104" s="36">
        <f>IF(E102&lt;0,0,(IF(E102-G74-G76-G78&lt;0,E102,(E102-G74-G76-G78))))</f>
        <v/>
      </c>
      <c r="F104" s="57">
        <f>IF(E104&gt;0,E104*0.098,"0")</f>
        <v/>
      </c>
      <c r="G104" s="42" t="n"/>
      <c r="H104" s="864" t="n"/>
      <c r="J104" s="42" t="n"/>
      <c r="K104" s="41" t="n"/>
      <c r="L104" s="43" t="inlineStr">
        <is>
          <t>Net Transferable</t>
        </is>
      </c>
      <c r="M104" s="36">
        <f>IF(M102&lt;0,0,(IF(M102-O74-O76-O78&lt;0,M102,(M102-O74-O76-O78))))</f>
        <v/>
      </c>
      <c r="N104" s="57">
        <f>IF(M104&gt;0,M104*0.098,"0")</f>
        <v/>
      </c>
      <c r="O104" s="59" t="n"/>
      <c r="P104" s="864" t="n"/>
    </row>
    <row r="106" ht="15.75" customHeight="1" thickBot="1">
      <c r="E106">
        <f>Calculator!$D$5</f>
        <v/>
      </c>
      <c r="H106">
        <f>TransferName</f>
        <v/>
      </c>
      <c r="M106">
        <f>Calculator!$D$5</f>
        <v/>
      </c>
      <c r="P106">
        <f>TransferName</f>
        <v/>
      </c>
    </row>
    <row r="107" ht="15.75" customHeight="1" thickBot="1">
      <c r="B107" s="891" t="inlineStr">
        <is>
          <t>2018 YUKON Provincial</t>
        </is>
      </c>
      <c r="C107" s="778" t="n"/>
      <c r="D107" s="778" t="n"/>
      <c r="E107" s="778" t="n"/>
      <c r="F107" s="778" t="n"/>
      <c r="G107" s="778" t="n"/>
      <c r="H107" s="780" t="n"/>
      <c r="J107" s="891" t="inlineStr">
        <is>
          <t>2017 YUKON Provincial</t>
        </is>
      </c>
      <c r="K107" s="778" t="n"/>
      <c r="L107" s="778" t="n"/>
      <c r="M107" s="778" t="n"/>
      <c r="N107" s="778" t="n"/>
      <c r="O107" s="778" t="n"/>
      <c r="P107" s="780" t="n"/>
    </row>
    <row r="108" ht="15.75" customHeight="1" thickBot="1">
      <c r="B108" s="34" t="n"/>
      <c r="D108" t="inlineStr">
        <is>
          <t>Line</t>
        </is>
      </c>
      <c r="E108" t="inlineStr">
        <is>
          <t>Amt</t>
        </is>
      </c>
      <c r="F108" s="35" t="n"/>
      <c r="G108" s="667" t="inlineStr">
        <is>
          <t>Spouse</t>
        </is>
      </c>
      <c r="H108" s="35" t="inlineStr">
        <is>
          <t>S2 Adjustment</t>
        </is>
      </c>
      <c r="J108" s="34" t="n"/>
      <c r="L108" t="inlineStr">
        <is>
          <t>Line</t>
        </is>
      </c>
      <c r="M108" t="inlineStr">
        <is>
          <t>Amt</t>
        </is>
      </c>
      <c r="N108" s="35" t="n"/>
      <c r="O108" s="34" t="inlineStr">
        <is>
          <t>Spouse</t>
        </is>
      </c>
      <c r="P108" s="35" t="inlineStr">
        <is>
          <t>S2 Adjustment</t>
        </is>
      </c>
    </row>
    <row r="109" ht="15.75" customHeight="1" thickBot="1">
      <c r="B109" s="667" t="inlineStr">
        <is>
          <t>Age Amount</t>
        </is>
      </c>
      <c r="D109" t="inlineStr">
        <is>
          <t>Line 5808</t>
        </is>
      </c>
      <c r="E109" s="861">
        <f>(_xlfn.XLOOKUP(ClientNumber,Clients!D:D,Clients!EQZ:EQZ,2,0,1))</f>
        <v/>
      </c>
      <c r="F109" s="37" t="inlineStr">
        <is>
          <t>Line 59020</t>
        </is>
      </c>
      <c r="G109" s="51">
        <f>IF(TransferName="NONE",0,(_xlfn.XLOOKUP(TransferNumber,Clients!D:D,Clients!ETB:ETB,2,0,1)))</f>
        <v/>
      </c>
      <c r="H109" s="37">
        <f>IF(AND(E109&gt;0,G109=0),"Age Amount Can Be Transferred","No Action")</f>
        <v/>
      </c>
      <c r="J109" s="667" t="inlineStr">
        <is>
          <t>Age Amount</t>
        </is>
      </c>
      <c r="L109" t="inlineStr">
        <is>
          <t>Line 5808</t>
        </is>
      </c>
      <c r="M109" s="865">
        <f>(_xlfn.XLOOKUP(MainClient,Clients!D:D,Clients!FRB:FRB,2,0,1))</f>
        <v/>
      </c>
      <c r="N109" s="45" t="inlineStr">
        <is>
          <t>Line 59020</t>
        </is>
      </c>
      <c r="O109" s="51">
        <f>IF(TransferName="NONE",0,(_xlfn.XLOOKUP(TransferNumber,Clients!D:D,Clients!FTD:FTD,2,0,1)))</f>
        <v/>
      </c>
      <c r="P109" s="37">
        <f>IF(AND(M109&gt;0,O109=0),"Age Amount Can Be Transferred","No Action")</f>
        <v/>
      </c>
    </row>
    <row r="110" ht="15.75" customHeight="1" thickBot="1">
      <c r="B110" s="667" t="inlineStr">
        <is>
          <t>Caregiver amount for infrim children under 18 years of age</t>
        </is>
      </c>
      <c r="D110" t="inlineStr">
        <is>
          <t>Line 5825</t>
        </is>
      </c>
      <c r="E110" s="861">
        <f>(_xlfn.XLOOKUP(ClientNumber,Clients!D:D,Clients!ERG:ERG,2,0,1))</f>
        <v/>
      </c>
      <c r="F110" s="37" t="inlineStr">
        <is>
          <t>Line 5904</t>
        </is>
      </c>
      <c r="G110" s="51">
        <f>IF(TransferName="NONE",0,(_xlfn.XLOOKUP(TransferNumber,Clients!D:D,Clients!ETD:ETD,2,0,1)))</f>
        <v/>
      </c>
      <c r="H110" s="37">
        <f>IF(AND(E110&gt;0,G110=0),"Amount For Infirm Children Under 18 Can Be Transferred","No Action")</f>
        <v/>
      </c>
      <c r="J110" s="667" t="inlineStr">
        <is>
          <t>Caregiver amount for infrim children under 18 years of age</t>
        </is>
      </c>
      <c r="L110" t="inlineStr">
        <is>
          <t>Line 5825</t>
        </is>
      </c>
      <c r="M110" s="865">
        <f>(_xlfn.XLOOKUP(MainClient,Clients!D:D,Clients!FRI:FRI,2,0,1))</f>
        <v/>
      </c>
      <c r="N110" s="37" t="inlineStr">
        <is>
          <t>Line 5904</t>
        </is>
      </c>
      <c r="O110" s="51">
        <f>IF(TransferName="NONE",0,(_xlfn.XLOOKUP(TransferNumber,Clients!D:D,Clients!FTF:FTF,2,0,1)))</f>
        <v/>
      </c>
      <c r="P110" s="37">
        <f>IF(AND(M110&gt;0,O110=0),"Amount For Infirm Children Under 18 Can Be Transferred","No Action")</f>
        <v/>
      </c>
    </row>
    <row r="111" ht="15.75" customHeight="1" thickBot="1">
      <c r="B111" s="667" t="inlineStr">
        <is>
          <t>Pension Income Amount</t>
        </is>
      </c>
      <c r="D111" t="inlineStr">
        <is>
          <t>Line 5836 (mx 1000)</t>
        </is>
      </c>
      <c r="E111" s="861">
        <f>IF((_xlfn.XLOOKUP(ClientNumber,Clients!D:D,Clients!ERZ:ERZ,2,0,1)&lt;1000),(_xlfn.XLOOKUP(MainClient,Clients!D:D,Clients!ERZ:ERZ,2,0,1)),1000)</f>
        <v/>
      </c>
      <c r="F111" s="37" t="inlineStr">
        <is>
          <t>Line 59050</t>
        </is>
      </c>
      <c r="G111" s="51">
        <f>IF(TransferName="NONE",0,(_xlfn.XLOOKUP(TransferNumber,Clients!D:D,Clients!ETE:ETE,2,0,1)))</f>
        <v/>
      </c>
      <c r="H111" s="37">
        <f>IF(AND(E111&gt;0,G111=0),"Pension Income Amount Can Be Transferred","No Action")</f>
        <v/>
      </c>
      <c r="J111" s="667" t="inlineStr">
        <is>
          <t>Pension Income Amount</t>
        </is>
      </c>
      <c r="L111" t="inlineStr">
        <is>
          <t>Line 5836 (mx 1000)</t>
        </is>
      </c>
      <c r="M111" s="865">
        <f>IF((_xlfn.XLOOKUP(ClientNumber,Clients!D:D,Clients!FSB:FSB,2,0,1)&lt;1000),(_xlfn.XLOOKUP(MainClient,Clients!D:D,Clients!FSB:FSB,2,0,1)),1000)</f>
        <v/>
      </c>
      <c r="N111" s="45" t="inlineStr">
        <is>
          <t>Line 59050</t>
        </is>
      </c>
      <c r="O111" s="51">
        <f>IF(TransferName="NONE",0,(_xlfn.XLOOKUP(TransferNumber,Clients!D:D,Clients!FTG:FTG,2,0,1)))</f>
        <v/>
      </c>
      <c r="P111" s="37">
        <f>IF(AND(M111&gt;0,O111=0),"Pension Income Amount Can Be Transferred","No Action")</f>
        <v/>
      </c>
    </row>
    <row r="112" ht="15.75" customHeight="1" thickBot="1">
      <c r="B112" s="667" t="inlineStr">
        <is>
          <t>Disability Amount</t>
        </is>
      </c>
      <c r="D112" t="inlineStr">
        <is>
          <t>Line 5844</t>
        </is>
      </c>
      <c r="E112" s="861">
        <f>IF(_xlfn.XLOOKUP(ClientNumber,Clients!D:D,Clients!ESB:ESB,2,0,1)=0,8235,(_xlfn.XLOOKUP(MainClient,Clients!D:D,Clients!ESB:ESB,2,0,1)))</f>
        <v/>
      </c>
      <c r="F112" s="37" t="inlineStr">
        <is>
          <t>Line 59070</t>
        </is>
      </c>
      <c r="G112" s="51">
        <f>IF(TransferName="NONE",0,(_xlfn.XLOOKUP(TransferNumber,Clients!D:D,Clients!ETF:ETF,2,0,1)))</f>
        <v/>
      </c>
      <c r="H112" s="37">
        <f>IF(AND(E112&gt;0,G112=0),"DTC Transferable Not Claimed Can Be Transferred","No Action")</f>
        <v/>
      </c>
      <c r="J112" s="667" t="inlineStr">
        <is>
          <t>Disability Amount</t>
        </is>
      </c>
      <c r="L112" t="inlineStr">
        <is>
          <t>Line 5844</t>
        </is>
      </c>
      <c r="M112" s="865">
        <f>IF(_xlfn.XLOOKUP(ClientNumber,Clients!D:D,Clients!FSD:FSD,2,0,1)=0,8113,(_xlfn.XLOOKUP(MainClient,Clients!D:D,Clients!FSD:FSD,2,0,1)))</f>
        <v/>
      </c>
      <c r="N112" s="45" t="inlineStr">
        <is>
          <t>Line 59070</t>
        </is>
      </c>
      <c r="O112" s="51">
        <f>IF(TransferName="NONE",0,(_xlfn.XLOOKUP(TransferNumber,Clients!D:D,Clients!FTH:FTH,2,0,1)))</f>
        <v/>
      </c>
      <c r="P112" s="37">
        <f>IF(AND(M112&gt;0,O112=0),"DTC Transferable Not Claimed Can Be Transferred","No Action")</f>
        <v/>
      </c>
    </row>
    <row r="113" ht="15.75" customHeight="1" thickBot="1">
      <c r="B113" s="667" t="inlineStr">
        <is>
          <t>Tuition Amount</t>
        </is>
      </c>
      <c r="D113" t="inlineStr">
        <is>
          <t>Line 5920</t>
        </is>
      </c>
      <c r="E113" s="861">
        <f>(_xlfn.XLOOKUP(ClientNumber,Clients!D:D,Clients!ETP:ETP,2,0,1))</f>
        <v/>
      </c>
      <c r="F113" s="37" t="inlineStr">
        <is>
          <t>Line 59090</t>
        </is>
      </c>
      <c r="G113" s="51">
        <f>IF(TransferName="NONE",0,(_xlfn.XLOOKUP(TransferNumber,Clients!D:D,Clients!ETG:ETG,2,0,1)))</f>
        <v/>
      </c>
      <c r="H113" s="37">
        <f>IF(AND(E113&gt;0,G113=0),"Tuition Can Be Transferred","No Action")</f>
        <v/>
      </c>
      <c r="J113" s="667" t="inlineStr">
        <is>
          <t>Tuition Amount</t>
        </is>
      </c>
      <c r="L113" t="inlineStr">
        <is>
          <t>Line 5920</t>
        </is>
      </c>
      <c r="M113" s="865">
        <f>(_xlfn.XLOOKUP(MainClient,Clients!D:D,Clients!FTR:FTR,2,0,1))</f>
        <v/>
      </c>
      <c r="N113" s="45" t="inlineStr">
        <is>
          <t>Line 59090</t>
        </is>
      </c>
      <c r="O113" s="51">
        <f>IF(TransferName="NONE",0,(_xlfn.XLOOKUP(TransferNumber,Clients!D:D,Clients!FTI:FTI,2,0,1)))</f>
        <v/>
      </c>
      <c r="P113" s="37">
        <f>IF(AND(M113&gt;0,O113=0),"Tuition Can Be Transferred","No Action")</f>
        <v/>
      </c>
    </row>
    <row r="114">
      <c r="B114" s="667" t="n"/>
      <c r="E114" s="771">
        <f>SUM(E109:E113)</f>
        <v/>
      </c>
      <c r="F114" s="37" t="n"/>
      <c r="G114" s="667">
        <f>SUM(G109:G113)</f>
        <v/>
      </c>
      <c r="H114" s="37" t="n"/>
      <c r="J114" s="667" t="n"/>
      <c r="M114" s="872">
        <f>SUM(M109:M113)</f>
        <v/>
      </c>
      <c r="N114" s="37" t="n"/>
      <c r="O114" s="667">
        <f>SUM(O109:O113)</f>
        <v/>
      </c>
      <c r="P114" s="37" t="n"/>
    </row>
    <row r="115" ht="15.75" customHeight="1" thickBot="1">
      <c r="B115" s="667" t="n"/>
      <c r="C115" s="668" t="n"/>
      <c r="E115" s="771" t="n"/>
      <c r="F115" s="37" t="n"/>
      <c r="G115" s="668" t="n"/>
      <c r="H115" s="37" t="n"/>
      <c r="J115" s="667" t="n"/>
      <c r="K115" s="668" t="n"/>
      <c r="M115" s="872" t="n"/>
      <c r="N115" s="37" t="n"/>
      <c r="O115" s="668" t="n"/>
      <c r="P115" s="37" t="n"/>
    </row>
    <row r="116" ht="15.75" customHeight="1" thickBot="1">
      <c r="B116" s="667" t="inlineStr">
        <is>
          <t>Line 260</t>
        </is>
      </c>
      <c r="C116" s="36">
        <f>(_xlfn.XLOOKUP(MainClient,Clients!D:D,Clients!EIY:EIY,2,0,1))</f>
        <v/>
      </c>
      <c r="F116" s="35" t="n"/>
      <c r="G116" s="34">
        <f>IF(E139&gt;E112,"other transferable credits","DTC Only")</f>
        <v/>
      </c>
      <c r="H116" s="35" t="n"/>
      <c r="J116" s="667" t="inlineStr">
        <is>
          <t>Line 260</t>
        </is>
      </c>
      <c r="K116" s="36">
        <f>(_xlfn.XLOOKUP(MainClient,Clients!D:D,Clients!FJA:FJA,2,0,1))</f>
        <v/>
      </c>
      <c r="N116" s="35" t="n"/>
      <c r="O116" s="34">
        <f>IF(M139&gt;M112,"other transferable credits","DTC Only")</f>
        <v/>
      </c>
      <c r="P116" s="35" t="n"/>
    </row>
    <row r="117" ht="15.75" customHeight="1" thickBot="1">
      <c r="B117" s="34" t="n"/>
      <c r="F117" s="35" t="n"/>
      <c r="G117" s="34" t="n"/>
      <c r="H117" s="35" t="n"/>
      <c r="J117" s="34" t="n"/>
      <c r="N117" s="35" t="n"/>
      <c r="O117" s="34" t="n"/>
      <c r="P117" s="35" t="n"/>
    </row>
    <row r="118" ht="15.75" customHeight="1" thickBot="1">
      <c r="B118" s="55" t="inlineStr">
        <is>
          <t>Line 5804</t>
        </is>
      </c>
      <c r="C118" s="36">
        <f>(_xlfn.XLOOKUP(ClientNumber,Clients!D:D,Clients!EQY:EQY,2,0,1))</f>
        <v/>
      </c>
      <c r="F118" s="35" t="n"/>
      <c r="G118" s="34" t="n"/>
      <c r="H118" s="35" t="n"/>
      <c r="J118" s="55" t="inlineStr">
        <is>
          <t>Line 5804</t>
        </is>
      </c>
      <c r="K118" s="36">
        <f>(_xlfn.XLOOKUP(MainClient,Clients!D:D,Clients!FRA:FRA,2,0,1))</f>
        <v/>
      </c>
      <c r="N118" s="35" t="n"/>
      <c r="O118" s="34" t="n"/>
      <c r="P118" s="35" t="n"/>
    </row>
    <row r="119" ht="15.75" customHeight="1" thickBot="1">
      <c r="B119" s="55" t="inlineStr">
        <is>
          <t>Line 5824</t>
        </is>
      </c>
      <c r="C119" s="36">
        <f>(_xlfn.XLOOKUP(ClientNumber,Clients!D:D,Clients!ERN:ERN,2,0,1))</f>
        <v/>
      </c>
      <c r="F119" s="35" t="n"/>
      <c r="G119" s="34" t="n"/>
      <c r="H119" s="35" t="n"/>
      <c r="J119" s="55" t="inlineStr">
        <is>
          <t>Line 5824</t>
        </is>
      </c>
      <c r="K119" s="36">
        <f>(_xlfn.XLOOKUP(MainClient,Clients!D:D,Clients!FRP:FRP,2,0,1))</f>
        <v/>
      </c>
      <c r="N119" s="35" t="n"/>
      <c r="O119" s="34" t="n"/>
      <c r="P119" s="35" t="n"/>
    </row>
    <row r="120" ht="15.75" customHeight="1" thickBot="1">
      <c r="B120" s="55" t="inlineStr">
        <is>
          <t>Line 5828</t>
        </is>
      </c>
      <c r="C120" s="36">
        <f>(_xlfn.XLOOKUP(ClientNumber,Clients!D:D,Clients!ERO:ERO,2,0,1))</f>
        <v/>
      </c>
      <c r="F120" s="35" t="n"/>
      <c r="G120" s="34" t="n"/>
      <c r="H120" s="35" t="n"/>
      <c r="J120" s="55" t="inlineStr">
        <is>
          <t>Line 5828</t>
        </is>
      </c>
      <c r="K120" s="36">
        <f>(_xlfn.XLOOKUP(MainClient,Clients!D:D,Clients!FRQ:FRQ,2,0,1))</f>
        <v/>
      </c>
      <c r="N120" s="35" t="n"/>
      <c r="P120" s="35" t="n"/>
    </row>
    <row r="121" ht="15.75" customHeight="1" thickBot="1">
      <c r="B121" s="55" t="inlineStr">
        <is>
          <t>Line 5832</t>
        </is>
      </c>
      <c r="C121" s="36">
        <f>(_xlfn.XLOOKUP(ClientNumber,Clients!D:D,Clients!ERP:ERP,2,0,1))</f>
        <v/>
      </c>
      <c r="F121" s="35" t="n"/>
      <c r="G121" s="34" t="n"/>
      <c r="H121" s="35" t="n"/>
      <c r="J121" s="55" t="inlineStr">
        <is>
          <t>Line 5832</t>
        </is>
      </c>
      <c r="K121" s="36">
        <f>(_xlfn.XLOOKUP(MainClient,Clients!D:D,Clients!FRR:FRR,2,0,1))</f>
        <v/>
      </c>
      <c r="N121" s="35" t="n"/>
      <c r="O121" s="34" t="n"/>
      <c r="P121" s="35" t="n"/>
    </row>
    <row r="122" ht="15.75" customHeight="1" thickBot="1">
      <c r="B122" s="55" t="inlineStr">
        <is>
          <t>Line 5829</t>
        </is>
      </c>
      <c r="C122" s="36">
        <f>(_xlfn.XLOOKUP(ClientNumber,Clients!D:D,Clients!ERQ:ERQ,2,0,1))</f>
        <v/>
      </c>
      <c r="F122" s="35" t="n"/>
      <c r="G122" s="34" t="n"/>
      <c r="H122" s="35" t="n"/>
      <c r="J122" s="55" t="inlineStr">
        <is>
          <t>Line 5829</t>
        </is>
      </c>
      <c r="K122" s="36">
        <f>(_xlfn.XLOOKUP(MainClient,Clients!D:D,Clients!FRS:FRS,2,0,1))</f>
        <v/>
      </c>
      <c r="N122" s="35" t="n"/>
      <c r="O122" s="34" t="n"/>
      <c r="P122" s="35" t="n"/>
    </row>
    <row r="123" ht="15.75" customHeight="1" thickBot="1">
      <c r="B123" s="55" t="inlineStr">
        <is>
          <t>Line 5834</t>
        </is>
      </c>
      <c r="C123" s="36">
        <f>(_xlfn.XLOOKUP(ClientNumber,Clients!D:D,Clients!ERR:ERR,2,0,1))</f>
        <v/>
      </c>
      <c r="F123" s="35" t="n"/>
      <c r="G123" s="34" t="n"/>
      <c r="H123" s="35" t="n"/>
      <c r="J123" s="55" t="inlineStr">
        <is>
          <t>Line 5834</t>
        </is>
      </c>
      <c r="K123" s="36">
        <f>(_xlfn.XLOOKUP(MainClient,Clients!D:D,Clients!FRT:FRT,2,0,1))</f>
        <v/>
      </c>
      <c r="N123" s="35" t="n"/>
      <c r="O123" s="34" t="n"/>
      <c r="P123" s="35" t="n"/>
    </row>
    <row r="124" ht="15.75" customHeight="1" thickBot="1">
      <c r="B124" s="55" t="inlineStr">
        <is>
          <t>Line 5841</t>
        </is>
      </c>
      <c r="C124" s="36">
        <f>(_xlfn.XLOOKUP(ClientNumber,Clients!D:D,Clients!ERW:ERW,2,0,1))</f>
        <v/>
      </c>
      <c r="F124" s="35" t="n"/>
      <c r="G124" s="34" t="n"/>
      <c r="H124" s="35" t="n"/>
      <c r="J124" s="55" t="inlineStr">
        <is>
          <t>Line 5835</t>
        </is>
      </c>
      <c r="K124" s="36" t="n"/>
      <c r="N124" s="35" t="n"/>
      <c r="O124" s="34" t="n"/>
      <c r="P124" s="35" t="n"/>
    </row>
    <row r="125" ht="15.75" customHeight="1" thickBot="1">
      <c r="B125" s="55" t="inlineStr">
        <is>
          <t>Line 5833</t>
        </is>
      </c>
      <c r="C125" s="36">
        <f>(_xlfn.XLOOKUP(ClientNumber,Clients!D:D,Clients!ERX:ERX,2,0,1))</f>
        <v/>
      </c>
      <c r="F125" s="35" t="n"/>
      <c r="G125" s="34" t="n"/>
      <c r="H125" s="35" t="n"/>
      <c r="J125" s="55" t="inlineStr">
        <is>
          <t>Line 5841</t>
        </is>
      </c>
      <c r="K125" s="36">
        <f>(_xlfn.XLOOKUP(MainClient,Clients!D:D,Clients!FRY:FRY,2,0,1))</f>
        <v/>
      </c>
      <c r="N125" s="35" t="n"/>
      <c r="O125" s="34" t="n"/>
      <c r="P125" s="35" t="n"/>
    </row>
    <row r="126" ht="15.75" customHeight="1" thickBot="1">
      <c r="B126" s="55" t="inlineStr">
        <is>
          <t>Line 5856</t>
        </is>
      </c>
      <c r="C126" s="36">
        <f>(_xlfn.XLOOKUP(ClientNumber,Clients!D:D,Clients!ESF:ESF,2,0,1))</f>
        <v/>
      </c>
      <c r="F126" s="35" t="n"/>
      <c r="G126" s="34" t="n"/>
      <c r="H126" s="35" t="n"/>
      <c r="J126" s="55" t="inlineStr">
        <is>
          <t>Line 5833</t>
        </is>
      </c>
      <c r="K126" s="36">
        <f>(_xlfn.XLOOKUP(MainClient,Clients!D:D,Clients!FRZ:FRZ,2,0,1))</f>
        <v/>
      </c>
      <c r="N126" s="35" t="n"/>
      <c r="O126" s="34" t="n"/>
      <c r="P126" s="35" t="n"/>
    </row>
    <row r="127" ht="15.75" customHeight="1" thickBot="1">
      <c r="B127" s="55" t="n"/>
      <c r="C127" s="36" t="n"/>
      <c r="F127" s="35" t="n"/>
      <c r="G127" s="34" t="n"/>
      <c r="H127" s="35" t="n"/>
      <c r="J127" s="55" t="inlineStr">
        <is>
          <t>Line 5856</t>
        </is>
      </c>
      <c r="K127" s="36">
        <f>(_xlfn.XLOOKUP(MainClient,Clients!D:D,Clients!FSH:FSH,2,0,1))</f>
        <v/>
      </c>
      <c r="N127" s="35" t="n"/>
      <c r="O127" s="34" t="n"/>
      <c r="P127" s="35" t="n"/>
    </row>
    <row r="128" ht="15.75" customHeight="1" thickBot="1">
      <c r="B128" s="55" t="n"/>
      <c r="C128" s="36" t="n"/>
      <c r="F128" s="35" t="n"/>
      <c r="G128" s="34" t="inlineStr">
        <is>
          <t>Line 326</t>
        </is>
      </c>
      <c r="H128" s="35">
        <f>IF(TransferName="NONE",0,(_xlfn.XLOOKUP(TransferNumber,Clients!D:D,Clients!EJX:EJX,2,0,1)))</f>
        <v/>
      </c>
      <c r="J128" s="55" t="n"/>
      <c r="K128" s="36" t="n"/>
      <c r="N128" s="35" t="n"/>
      <c r="O128" s="34" t="inlineStr">
        <is>
          <t>Line 326</t>
        </is>
      </c>
      <c r="P128" s="35">
        <f>IFERROR(_xlfn.XLOOKUP(TransferNumber,Clients!D:D,Clients!FJZ:FJZ,2,0,1),0)</f>
        <v/>
      </c>
    </row>
    <row r="129" ht="15.75" customHeight="1" thickBot="1">
      <c r="B129" s="38" t="n"/>
      <c r="C129" s="36" t="n"/>
      <c r="F129" s="35" t="n"/>
      <c r="G129" s="34" t="n"/>
      <c r="H129" s="35" t="n"/>
      <c r="J129" s="55" t="n"/>
      <c r="K129" s="36" t="n"/>
      <c r="N129" s="35" t="n"/>
      <c r="O129" s="34" t="n"/>
      <c r="P129" s="35" t="n"/>
    </row>
    <row r="130" ht="15.75" customHeight="1" thickBot="1">
      <c r="B130" s="38" t="n"/>
      <c r="C130" s="36" t="n"/>
      <c r="F130" s="35" t="n"/>
      <c r="G130" s="34" t="n"/>
      <c r="H130" s="35" t="n"/>
      <c r="J130" s="38" t="n"/>
      <c r="K130" s="36" t="n"/>
      <c r="N130" s="35" t="n"/>
      <c r="O130" s="34" t="n"/>
      <c r="P130" s="35" t="n"/>
    </row>
    <row r="131" ht="15.75" customHeight="1" thickBot="1">
      <c r="B131" s="38" t="n"/>
      <c r="C131" s="36" t="n"/>
      <c r="F131" s="35" t="n"/>
      <c r="G131" s="34" t="n"/>
      <c r="H131" s="35" t="n"/>
      <c r="J131" s="38" t="n"/>
      <c r="K131" s="36" t="n"/>
      <c r="N131" s="35" t="n"/>
      <c r="O131" s="34" t="n"/>
      <c r="P131" s="35" t="n"/>
    </row>
    <row r="132" ht="15.75" customHeight="1" thickBot="1">
      <c r="B132" s="38" t="n"/>
      <c r="C132" s="36" t="n"/>
      <c r="F132" s="35" t="n"/>
      <c r="G132" s="34" t="n"/>
      <c r="H132" s="35">
        <f>IF(E137&gt;0,E114-G114,0)</f>
        <v/>
      </c>
      <c r="J132" s="38" t="n"/>
      <c r="K132" s="36" t="n"/>
      <c r="N132" s="35" t="n"/>
      <c r="O132" s="34" t="n"/>
      <c r="P132" s="35">
        <f>IF(M137&gt;0,M114-O114,0)</f>
        <v/>
      </c>
    </row>
    <row r="133" ht="15.75" customHeight="1" thickBot="1">
      <c r="B133" s="38" t="n"/>
      <c r="C133" s="36" t="n"/>
      <c r="F133" s="35" t="n"/>
      <c r="H133" s="52">
        <f>IF(TransferName="NONE",F138,IF(H132&gt;0,(E137-G114)*0.098,0))</f>
        <v/>
      </c>
      <c r="J133" s="38" t="n"/>
      <c r="K133" s="36" t="n"/>
      <c r="N133" s="35" t="n"/>
      <c r="P133" s="52">
        <f>IF(TransferName="NONE",N138,IF(P132&gt;0,(M137-O114)*0.098,0))</f>
        <v/>
      </c>
    </row>
    <row r="134">
      <c r="B134" s="667" t="n"/>
      <c r="F134" s="35" t="n"/>
      <c r="G134" s="34" t="inlineStr">
        <is>
          <t>Transferable</t>
        </is>
      </c>
      <c r="H134" s="52">
        <f>IF(H133&gt;0,H133,0)</f>
        <v/>
      </c>
      <c r="J134" s="667" t="n"/>
      <c r="N134" s="35" t="n"/>
      <c r="O134" s="34" t="inlineStr">
        <is>
          <t>Transferable</t>
        </is>
      </c>
      <c r="P134" s="52">
        <f>IF(P133&gt;0,P133,0)</f>
        <v/>
      </c>
    </row>
    <row r="135">
      <c r="B135" s="667" t="inlineStr">
        <is>
          <t>Adjusted Taxable Income</t>
        </is>
      </c>
      <c r="C135">
        <f>C116-(SUM(C118:C133))</f>
        <v/>
      </c>
      <c r="D135" s="13" t="inlineStr">
        <is>
          <t>Line 5864</t>
        </is>
      </c>
      <c r="E135" s="39">
        <f>IF(C135&gt;0,C135,0)</f>
        <v/>
      </c>
      <c r="F135" s="35" t="n"/>
      <c r="G135" s="34" t="n"/>
      <c r="H135" s="35" t="n"/>
      <c r="J135" s="667" t="inlineStr">
        <is>
          <t>Adjusted Taxable Income</t>
        </is>
      </c>
      <c r="K135">
        <f>K116-(SUM(K118:K133))</f>
        <v/>
      </c>
      <c r="L135" s="13" t="inlineStr">
        <is>
          <t>Line 5864</t>
        </is>
      </c>
      <c r="M135" s="39">
        <f>IF(K135&gt;0,K135,0)</f>
        <v/>
      </c>
      <c r="N135" s="35" t="n"/>
      <c r="O135" s="34" t="n"/>
      <c r="P135" s="35" t="n"/>
    </row>
    <row r="136" ht="15.75" customHeight="1" thickBot="1">
      <c r="B136" s="34" t="n"/>
      <c r="F136" s="35" t="n"/>
      <c r="G136" s="34" t="n"/>
      <c r="H136" s="35" t="n"/>
      <c r="J136" s="34" t="n"/>
      <c r="N136" s="35" t="n"/>
      <c r="O136" s="34" t="n"/>
      <c r="P136" s="35" t="n"/>
    </row>
    <row r="137" ht="15.75" customHeight="1" thickBot="1">
      <c r="B137" s="34" t="n"/>
      <c r="D137" s="21" t="inlineStr">
        <is>
          <t>Prov Trans</t>
        </is>
      </c>
      <c r="E137" s="36">
        <f>(E114-E135)</f>
        <v/>
      </c>
      <c r="F137" s="40" t="n"/>
      <c r="G137" s="34" t="n"/>
      <c r="H137" s="52" t="n"/>
      <c r="J137" s="34" t="n"/>
      <c r="L137" s="21" t="inlineStr">
        <is>
          <t>Prov Trans</t>
        </is>
      </c>
      <c r="M137" s="36">
        <f>(M114-M135)</f>
        <v/>
      </c>
      <c r="N137" s="40" t="n"/>
      <c r="O137" s="34" t="n"/>
      <c r="P137" s="52" t="n"/>
    </row>
    <row r="138" ht="15.75" customHeight="1" thickBot="1">
      <c r="B138" s="34" t="n"/>
      <c r="C138" s="579" t="inlineStr">
        <is>
          <t>DTC Transferable ESTIMATE</t>
        </is>
      </c>
      <c r="D138" s="35" t="n"/>
      <c r="E138" s="36">
        <f>IF(E137&lt;0,0,(IF(E137&gt;E112,E112,E137)))</f>
        <v/>
      </c>
      <c r="F138" s="40">
        <f>IF(E138&gt;0,E138*0.098,"No Transfer Required")</f>
        <v/>
      </c>
      <c r="G138" s="678" t="n"/>
      <c r="H138" s="52" t="n"/>
      <c r="J138" s="34" t="n"/>
      <c r="K138" s="579" t="inlineStr">
        <is>
          <t>DTC Transferable ESTIMATE</t>
        </is>
      </c>
      <c r="L138" s="35" t="n"/>
      <c r="M138" s="36">
        <f>IF(M137&lt;0,0,(IF(M137&gt;M112,M112,M137)))</f>
        <v/>
      </c>
      <c r="N138" s="40">
        <f>IF(M138&gt;0,M138*0.098,"No Transfer Required")</f>
        <v/>
      </c>
      <c r="O138" s="58" t="n"/>
      <c r="P138" s="52" t="n"/>
    </row>
    <row r="139" ht="15.75" customHeight="1" thickBot="1">
      <c r="B139" s="42" t="n"/>
      <c r="C139" s="41" t="n"/>
      <c r="D139" s="43" t="inlineStr">
        <is>
          <t>Net Transferable</t>
        </is>
      </c>
      <c r="E139" s="36">
        <f>IF(E137&lt;0,0,(IF(E137-G109-G111-G113&lt;0,E137,(E137-G109-G111-G113))))</f>
        <v/>
      </c>
      <c r="F139" s="57">
        <f>IF(E139&gt;0,E139*0.098,"0")</f>
        <v/>
      </c>
      <c r="G139" s="42" t="n"/>
      <c r="H139" s="864" t="n"/>
      <c r="J139" s="42" t="n"/>
      <c r="K139" s="41" t="n"/>
      <c r="L139" s="43" t="inlineStr">
        <is>
          <t>Net Transferable</t>
        </is>
      </c>
      <c r="M139" s="36">
        <f>IF(M137&lt;0,0,(IF(M137-O109-O111-O113&lt;0,M137,(M137-O109-O111-O113))))</f>
        <v/>
      </c>
      <c r="N139" s="57">
        <f>IF(M139&gt;0,M139*0.098,"0")</f>
        <v/>
      </c>
      <c r="O139" s="59" t="n"/>
      <c r="P139" s="864" t="n"/>
    </row>
    <row r="141" ht="15.75" customHeight="1" thickBot="1">
      <c r="E141">
        <f>Calculator!$D$5</f>
        <v/>
      </c>
      <c r="H141">
        <f>TransferName</f>
        <v/>
      </c>
      <c r="M141">
        <f>Calculator!$D$5</f>
        <v/>
      </c>
      <c r="P141">
        <f>TransferName</f>
        <v/>
      </c>
    </row>
    <row r="142" ht="15.75" customHeight="1" thickBot="1">
      <c r="B142" s="891" t="inlineStr">
        <is>
          <t>2016 YUKON Provincial</t>
        </is>
      </c>
      <c r="C142" s="778" t="n"/>
      <c r="D142" s="778" t="n"/>
      <c r="E142" s="778" t="n"/>
      <c r="F142" s="778" t="n"/>
      <c r="G142" s="778" t="n"/>
      <c r="H142" s="780" t="n"/>
      <c r="J142" s="891" t="inlineStr">
        <is>
          <t>2015 YUKON Provincial</t>
        </is>
      </c>
      <c r="K142" s="778" t="n"/>
      <c r="L142" s="778" t="n"/>
      <c r="M142" s="778" t="n"/>
      <c r="N142" s="778" t="n"/>
      <c r="O142" s="778" t="n"/>
      <c r="P142" s="780" t="n"/>
    </row>
    <row r="143" ht="15.75" customHeight="1" thickBot="1">
      <c r="B143" s="34" t="n"/>
      <c r="D143" t="inlineStr">
        <is>
          <t>Line</t>
        </is>
      </c>
      <c r="E143" t="inlineStr">
        <is>
          <t>Amt</t>
        </is>
      </c>
      <c r="F143" s="35" t="n"/>
      <c r="G143" s="667" t="inlineStr">
        <is>
          <t>Spouse</t>
        </is>
      </c>
      <c r="H143" s="35" t="inlineStr">
        <is>
          <t>S2 Adjustment</t>
        </is>
      </c>
      <c r="J143" s="34" t="n"/>
      <c r="L143" t="inlineStr">
        <is>
          <t>Line</t>
        </is>
      </c>
      <c r="M143" t="inlineStr">
        <is>
          <t>Amt</t>
        </is>
      </c>
      <c r="N143" s="35" t="n"/>
      <c r="O143" s="34" t="inlineStr">
        <is>
          <t>Spouse</t>
        </is>
      </c>
      <c r="P143" s="35" t="inlineStr">
        <is>
          <t>S2 Adjustment</t>
        </is>
      </c>
    </row>
    <row r="144" ht="15.75" customHeight="1" thickBot="1">
      <c r="B144" s="667" t="inlineStr">
        <is>
          <t>Age Amount</t>
        </is>
      </c>
      <c r="D144" t="inlineStr">
        <is>
          <t>Line 5808</t>
        </is>
      </c>
      <c r="E144" s="861">
        <f>(_xlfn.XLOOKUP(ClientNumber,Clients!D:D,Clients!GRD:GRD,2,0,1))</f>
        <v/>
      </c>
      <c r="F144" s="37" t="inlineStr">
        <is>
          <t>Line 59020</t>
        </is>
      </c>
      <c r="G144" s="51">
        <f>IF(TransferName="NONE",0,(_xlfn.XLOOKUP(TransferNumber,Clients!D:D,Clients!GTF:GTF,2,0,1)))</f>
        <v/>
      </c>
      <c r="H144" s="37">
        <f>IF(AND(E144&gt;0,G144=0),"Age Amount Can Be Transferred","No Action")</f>
        <v/>
      </c>
      <c r="J144" s="667" t="inlineStr">
        <is>
          <t>Age Amount</t>
        </is>
      </c>
      <c r="L144" t="inlineStr">
        <is>
          <t>Line 5808</t>
        </is>
      </c>
      <c r="M144" s="865">
        <f>(_xlfn.XLOOKUP(MainClient,Clients!D:D,Clients!HRF:HRF,2,0,1))</f>
        <v/>
      </c>
      <c r="N144" s="45" t="inlineStr">
        <is>
          <t>Line 59020</t>
        </is>
      </c>
      <c r="O144" s="51">
        <f>IF(TransferName="NONE",0,(_xlfn.XLOOKUP(TransferNumber,Clients!D:D,Clients!HTH:HTH,2,0,1)))</f>
        <v/>
      </c>
      <c r="P144" s="37">
        <f>IF(AND(M144&gt;0,O144=0),"Age Amount Can Be Transferred","No Action")</f>
        <v/>
      </c>
    </row>
    <row r="145" ht="15.75" customHeight="1" thickBot="1">
      <c r="B145" s="667" t="inlineStr">
        <is>
          <t>Caregiver amount for infrim children under 18 years of age</t>
        </is>
      </c>
      <c r="D145" t="inlineStr">
        <is>
          <t>Line 5825</t>
        </is>
      </c>
      <c r="E145" s="861">
        <f>(_xlfn.XLOOKUP(ClientNumber,Clients!D:D,Clients!GRK:GRK,2,0,1))</f>
        <v/>
      </c>
      <c r="F145" s="37" t="inlineStr">
        <is>
          <t>Line 5904</t>
        </is>
      </c>
      <c r="G145" s="51">
        <f>IF(TransferName="NONE",0,(_xlfn.XLOOKUP(TransferNumber,Clients!D:D,Clients!GTH:GTH,2,0,1)))</f>
        <v/>
      </c>
      <c r="H145" s="37">
        <f>IF(AND(E145&gt;0,G145=0),"Amount For Infirm Children Under 18 Can Be Transferred","No Action")</f>
        <v/>
      </c>
      <c r="J145" s="667" t="inlineStr">
        <is>
          <t>Caregiver amount for infrim children under 18 years of age</t>
        </is>
      </c>
      <c r="L145" t="inlineStr">
        <is>
          <t>Line 5825</t>
        </is>
      </c>
      <c r="M145" s="865">
        <f>(_xlfn.XLOOKUP(MainClient,Clients!D:D,Clients!HRM:HRM,2,0,1))</f>
        <v/>
      </c>
      <c r="N145" s="37" t="inlineStr">
        <is>
          <t>Line 5904</t>
        </is>
      </c>
      <c r="O145" s="51">
        <f>IF(TransferName="NONE",0,(_xlfn.XLOOKUP(TransferNumber,Clients!D:D,Clients!HTJ:HTJ,2,0,1)))</f>
        <v/>
      </c>
      <c r="P145" s="37">
        <f>IF(AND(M145&gt;0,O145=0),"Amount For Infirm Children Under 18 Can Be Transferred","No Action")</f>
        <v/>
      </c>
    </row>
    <row r="146" ht="15.75" customHeight="1" thickBot="1">
      <c r="B146" s="667" t="inlineStr">
        <is>
          <t>Pension Income Amount</t>
        </is>
      </c>
      <c r="D146" t="inlineStr">
        <is>
          <t>Line 5836 (mx 1000)</t>
        </is>
      </c>
      <c r="E146" s="861">
        <f>IF((_xlfn.XLOOKUP(ClientNumber,Clients!D:D,Clients!GSD:GSD,2,0,1)&lt;1000),(_xlfn.XLOOKUP(MainClient,Clients!D:D,Clients!GSD:GSD,2,0,1)),1000)</f>
        <v/>
      </c>
      <c r="F146" s="37" t="inlineStr">
        <is>
          <t>Line 59050</t>
        </is>
      </c>
      <c r="G146" s="51">
        <f>IF(TransferName="NONE",0,(_xlfn.XLOOKUP(TransferNumber,Clients!D:D,Clients!GTI:GTI,2,0,1)))</f>
        <v/>
      </c>
      <c r="H146" s="37">
        <f>IF(AND(E146&gt;0,G146=0),"Pension Income Amount Can Be Transferred","No Action")</f>
        <v/>
      </c>
      <c r="J146" s="667" t="inlineStr">
        <is>
          <t>Pension Income Amount</t>
        </is>
      </c>
      <c r="L146" t="inlineStr">
        <is>
          <t>Line 5836 (mx 1000)</t>
        </is>
      </c>
      <c r="M146" s="865">
        <f>IF((_xlfn.XLOOKUP(ClientNumber,Clients!D:D,Clients!HSF:HSF,2,0,1)&lt;1000),(_xlfn.XLOOKUP(MainClient,Clients!D:D,Clients!HSF:HSF,2,0,1)),1000)</f>
        <v/>
      </c>
      <c r="N146" s="45" t="inlineStr">
        <is>
          <t>Line 59050</t>
        </is>
      </c>
      <c r="O146" s="51">
        <f>IF(TransferName="NONE",0,(_xlfn.XLOOKUP(TransferNumber,Clients!D:D,Clients!HTK:HTK,2,0,1)))</f>
        <v/>
      </c>
      <c r="P146" s="37">
        <f>IF(AND(M146&gt;0,O146=0),"Pension Income Amount Can Be Transferred","No Action")</f>
        <v/>
      </c>
    </row>
    <row r="147" ht="15.75" customHeight="1" thickBot="1">
      <c r="B147" s="667" t="inlineStr">
        <is>
          <t>Disability Amount</t>
        </is>
      </c>
      <c r="D147" t="inlineStr">
        <is>
          <t>Line 5844</t>
        </is>
      </c>
      <c r="E147" s="861">
        <f>IF(_xlfn.XLOOKUP(ClientNumber,Clients!D:D,Clients!GSF:GSF,2,0,1)=0,8001,(_xlfn.XLOOKUP(MainClient,Clients!D:D,Clients!GSF:GSF,2,0,1)))</f>
        <v/>
      </c>
      <c r="F147" s="37" t="inlineStr">
        <is>
          <t>Line 59070</t>
        </is>
      </c>
      <c r="G147" s="51">
        <f>IF(TransferName="NONE",0,(_xlfn.XLOOKUP(TransferNumber,Clients!D:D,Clients!GTJ:GTJ,2,0,1)))</f>
        <v/>
      </c>
      <c r="H147" s="37">
        <f>IF(AND(E147&gt;0,G147=0),"DTC Transferable Not Claimed Can Be Transferred","No Action")</f>
        <v/>
      </c>
      <c r="J147" s="667" t="inlineStr">
        <is>
          <t>Disability Amount</t>
        </is>
      </c>
      <c r="L147" t="inlineStr">
        <is>
          <t>Line 5844</t>
        </is>
      </c>
      <c r="M147" s="865">
        <f>IF(_xlfn.XLOOKUP(ClientNumber,Clients!D:D,Clients!HSH:HSH,2,0,1)=0,7899,(_xlfn.XLOOKUP(MainClient,Clients!D:D,Clients!HSH:HSH,2,0,1)))</f>
        <v/>
      </c>
      <c r="N147" s="45" t="inlineStr">
        <is>
          <t>Line 59070</t>
        </is>
      </c>
      <c r="O147" s="51">
        <f>IF(TransferName="NONE",0,(_xlfn.XLOOKUP(TransferNumber,Clients!D:D,Clients!HTL:HTL,2,0,1)))</f>
        <v/>
      </c>
      <c r="P147" s="37">
        <f>IF(AND(M147&gt;0,O147=0),"DTC Transferable Not Claimed Can Be Transferred","No Action")</f>
        <v/>
      </c>
    </row>
    <row r="148" ht="15.75" customHeight="1" thickBot="1">
      <c r="B148" s="667" t="inlineStr">
        <is>
          <t>Tuition Amount</t>
        </is>
      </c>
      <c r="D148" t="inlineStr">
        <is>
          <t>Line 5920</t>
        </is>
      </c>
      <c r="E148" s="861">
        <f>(_xlfn.XLOOKUP(ClientNumber,Clients!D:D,Clients!GTT:GTT,2,0,1))</f>
        <v/>
      </c>
      <c r="F148" s="37" t="inlineStr">
        <is>
          <t>Line 59090</t>
        </is>
      </c>
      <c r="G148" s="51">
        <f>IF(TransferName="NONE",0,(_xlfn.XLOOKUP(TransferNumber,Clients!D:D,Clients!GTK:GTK,2,0,1)))</f>
        <v/>
      </c>
      <c r="H148" s="37">
        <f>IF(AND(E148&gt;0,G148=0),"Tuition Can Be Transferred","No Action")</f>
        <v/>
      </c>
      <c r="J148" s="667" t="inlineStr">
        <is>
          <t>Tuition Amount</t>
        </is>
      </c>
      <c r="L148" t="inlineStr">
        <is>
          <t>Line 5920</t>
        </is>
      </c>
      <c r="M148" s="865">
        <f>(_xlfn.XLOOKUP(MainClient,Clients!D:D,Clients!HTV:HTV,2,0,1))</f>
        <v/>
      </c>
      <c r="N148" s="45" t="inlineStr">
        <is>
          <t>Line 59090</t>
        </is>
      </c>
      <c r="O148" s="51">
        <f>IF(TransferName="NONE",0,(_xlfn.XLOOKUP(TransferNumber,Clients!D:D,Clients!HTM:HTM,2,0,1)))</f>
        <v/>
      </c>
      <c r="P148" s="37">
        <f>IF(AND(M148&gt;0,O148=0),"Tuition Can Be Transferred","No Action")</f>
        <v/>
      </c>
    </row>
    <row r="149">
      <c r="B149" s="667" t="n"/>
      <c r="E149" s="771">
        <f>SUM(E144:E148)</f>
        <v/>
      </c>
      <c r="F149" s="37" t="n"/>
      <c r="G149" s="667">
        <f>SUM(G144:G148)</f>
        <v/>
      </c>
      <c r="H149" s="37" t="n"/>
      <c r="J149" s="667" t="n"/>
      <c r="M149" s="872">
        <f>SUM(M144:M148)</f>
        <v/>
      </c>
      <c r="N149" s="37" t="n"/>
      <c r="O149" s="667">
        <f>SUM(O144:O148)</f>
        <v/>
      </c>
      <c r="P149" s="37" t="n"/>
    </row>
    <row r="150" ht="15.75" customHeight="1" thickBot="1">
      <c r="B150" s="34" t="n"/>
      <c r="F150" s="35" t="n"/>
      <c r="G150" s="667" t="n"/>
      <c r="H150" s="35" t="n"/>
      <c r="J150" s="34" t="n"/>
      <c r="N150" s="35" t="n"/>
      <c r="O150" s="667" t="n"/>
      <c r="P150" s="35" t="n"/>
    </row>
    <row r="151" ht="15.75" customHeight="1" thickBot="1">
      <c r="B151" s="667" t="inlineStr">
        <is>
          <t>Line 260</t>
        </is>
      </c>
      <c r="C151" s="36">
        <f>(_xlfn.XLOOKUP(MainClient,Clients!D:D,Clients!GJC:GJC,2,0,1))</f>
        <v/>
      </c>
      <c r="F151" s="35" t="n"/>
      <c r="G151" s="34">
        <f>IF(E174&gt;E147,"other transferable credits","DTC Only")</f>
        <v/>
      </c>
      <c r="H151" s="35" t="n"/>
      <c r="J151" s="667" t="inlineStr">
        <is>
          <t>Line 260</t>
        </is>
      </c>
      <c r="K151" s="36">
        <f>(_xlfn.XLOOKUP(MainClient,Clients!D:D,Clients!HJE:HJE,2,0,1))</f>
        <v/>
      </c>
      <c r="N151" s="35" t="n"/>
      <c r="O151" s="34">
        <f>IF(M174&gt;M147,"other transferable credits","DTC Only")</f>
        <v/>
      </c>
      <c r="P151" s="35" t="n"/>
    </row>
    <row r="152" ht="15.75" customHeight="1" thickBot="1">
      <c r="B152" s="34" t="n"/>
      <c r="F152" s="35" t="n"/>
      <c r="G152" s="34" t="n"/>
      <c r="H152" s="35" t="n"/>
      <c r="J152" s="34" t="n"/>
      <c r="N152" s="35" t="n"/>
      <c r="O152" s="34" t="n"/>
      <c r="P152" s="35" t="n"/>
    </row>
    <row r="153" ht="15" customHeight="1" thickBot="1">
      <c r="B153" s="55" t="inlineStr">
        <is>
          <t>Line 5804</t>
        </is>
      </c>
      <c r="C153" s="36">
        <f>(_xlfn.XLOOKUP(ClientNumber,Clients!D:D,Clients!GRC:GRC,2,0,1))</f>
        <v/>
      </c>
      <c r="F153" s="35" t="n"/>
      <c r="G153" s="34" t="n"/>
      <c r="H153" s="35" t="n"/>
      <c r="J153" s="55" t="inlineStr">
        <is>
          <t>Line 5804</t>
        </is>
      </c>
      <c r="K153" s="36">
        <f>(_xlfn.XLOOKUP(MainClient,Clients!D:D,Clients!HRE:HRE,2,0,1))</f>
        <v/>
      </c>
      <c r="N153" s="35" t="n"/>
      <c r="O153" s="34" t="n"/>
      <c r="P153" s="35" t="n"/>
    </row>
    <row r="154" ht="15.75" customHeight="1" thickBot="1">
      <c r="B154" s="55" t="inlineStr">
        <is>
          <t>Line 5824</t>
        </is>
      </c>
      <c r="C154" s="36">
        <f>(_xlfn.XLOOKUP(ClientNumber,Clients!D:D,Clients!GRR:GRR,2,0,1))</f>
        <v/>
      </c>
      <c r="F154" s="35" t="n"/>
      <c r="G154" s="34" t="n"/>
      <c r="H154" s="35" t="n"/>
      <c r="J154" s="55" t="inlineStr">
        <is>
          <t>Line 5824</t>
        </is>
      </c>
      <c r="K154" s="36">
        <f>(_xlfn.XLOOKUP(MainClient,Clients!D:D,Clients!HRT:HRT,2,0,1))</f>
        <v/>
      </c>
      <c r="N154" s="35" t="n"/>
      <c r="O154" s="34" t="n"/>
      <c r="P154" s="35" t="n"/>
    </row>
    <row r="155" ht="15.75" customHeight="1" thickBot="1">
      <c r="B155" s="55" t="inlineStr">
        <is>
          <t>Line 5828</t>
        </is>
      </c>
      <c r="C155" s="36">
        <f>(_xlfn.XLOOKUP(ClientNumber,Clients!D:D,Clients!GRS:GRS,2,0,1))</f>
        <v/>
      </c>
      <c r="F155" s="35" t="n"/>
      <c r="G155" s="34" t="n"/>
      <c r="H155" s="35" t="n"/>
      <c r="J155" s="55" t="inlineStr">
        <is>
          <t>Line 5828</t>
        </is>
      </c>
      <c r="K155" s="36">
        <f>(_xlfn.XLOOKUP(MainClient,Clients!D:D,Clients!HRU:HRU,2,0,1))</f>
        <v/>
      </c>
      <c r="N155" s="35" t="n"/>
      <c r="P155" s="35" t="n"/>
    </row>
    <row r="156" ht="15.75" customHeight="1" thickBot="1">
      <c r="B156" s="55" t="inlineStr">
        <is>
          <t>Line 5832</t>
        </is>
      </c>
      <c r="C156" s="36">
        <f>(_xlfn.XLOOKUP(ClientNumber,Clients!D:D,Clients!GRT:GRT,2,0,1))</f>
        <v/>
      </c>
      <c r="F156" s="35" t="n"/>
      <c r="G156" s="34" t="n"/>
      <c r="H156" s="35" t="n"/>
      <c r="J156" s="55" t="inlineStr">
        <is>
          <t>Line 5832</t>
        </is>
      </c>
      <c r="K156" s="36">
        <f>(_xlfn.XLOOKUP(MainClient,Clients!D:D,Clients!HRV:HRV,2,0,1))</f>
        <v/>
      </c>
      <c r="N156" s="35" t="n"/>
      <c r="O156" s="34" t="n"/>
      <c r="P156" s="35" t="n"/>
    </row>
    <row r="157" ht="15.75" customHeight="1" thickBot="1">
      <c r="B157" s="55" t="inlineStr">
        <is>
          <t>Line 5829</t>
        </is>
      </c>
      <c r="C157" s="36">
        <f>(_xlfn.XLOOKUP(ClientNumber,Clients!D:D,Clients!GRU:GRU,2,0,1))</f>
        <v/>
      </c>
      <c r="F157" s="35" t="n"/>
      <c r="G157" s="34" t="n"/>
      <c r="H157" s="35" t="n"/>
      <c r="J157" s="55" t="inlineStr">
        <is>
          <t>Line 5829</t>
        </is>
      </c>
      <c r="K157" s="36">
        <f>(_xlfn.XLOOKUP(MainClient,Clients!D:D,Clients!HRW:HRW,2,0,1))</f>
        <v/>
      </c>
      <c r="N157" s="35" t="n"/>
      <c r="O157" s="34" t="n"/>
      <c r="P157" s="35" t="n"/>
    </row>
    <row r="158" ht="15.75" customHeight="1" thickBot="1">
      <c r="B158" s="55" t="inlineStr">
        <is>
          <t>Line 5834</t>
        </is>
      </c>
      <c r="C158" s="36">
        <f>(_xlfn.XLOOKUP(ClientNumber,Clients!D:D,Clients!GRV:GRV,2,0,1))</f>
        <v/>
      </c>
      <c r="F158" s="35" t="n"/>
      <c r="G158" s="34" t="n"/>
      <c r="H158" s="35" t="n"/>
      <c r="J158" s="55" t="inlineStr">
        <is>
          <t>Line 5834</t>
        </is>
      </c>
      <c r="K158" s="36">
        <f>(_xlfn.XLOOKUP(MainClient,Clients!D:D,Clients!HRX:HRX,2,0,1))</f>
        <v/>
      </c>
      <c r="N158" s="35" t="n"/>
      <c r="O158" s="34" t="n"/>
      <c r="P158" s="35" t="n"/>
    </row>
    <row r="159" ht="15.75" customHeight="1" thickBot="1">
      <c r="B159" s="55" t="inlineStr">
        <is>
          <t>Line 5835</t>
        </is>
      </c>
      <c r="C159" s="36" t="n"/>
      <c r="F159" s="35" t="n"/>
      <c r="G159" s="34" t="n"/>
      <c r="H159" s="35" t="n"/>
      <c r="J159" s="55" t="inlineStr">
        <is>
          <t>Line 5835</t>
        </is>
      </c>
      <c r="K159" s="36" t="n"/>
      <c r="N159" s="35" t="n"/>
      <c r="O159" s="34" t="n"/>
      <c r="P159" s="35" t="n"/>
    </row>
    <row r="160" ht="15.75" customHeight="1" thickBot="1">
      <c r="B160" s="55" t="inlineStr">
        <is>
          <t>Line 5841</t>
        </is>
      </c>
      <c r="C160" s="36">
        <f>(_xlfn.XLOOKUP(ClientNumber,Clients!D:D,Clients!GSA:GSA,2,0,1))</f>
        <v/>
      </c>
      <c r="F160" s="35" t="n"/>
      <c r="G160" s="34" t="n"/>
      <c r="H160" s="35" t="n"/>
      <c r="J160" s="55" t="inlineStr">
        <is>
          <t>Line 5841</t>
        </is>
      </c>
      <c r="K160" s="36">
        <f>(_xlfn.XLOOKUP(MainClient,Clients!D:D,Clients!HSC:HSC,2,0,1))</f>
        <v/>
      </c>
      <c r="N160" s="35" t="n"/>
      <c r="O160" s="34" t="n"/>
      <c r="P160" s="35" t="n"/>
    </row>
    <row r="161" ht="15.75" customHeight="1" thickBot="1">
      <c r="B161" s="55" t="inlineStr">
        <is>
          <t>Line 5833</t>
        </is>
      </c>
      <c r="C161" s="36">
        <f>(_xlfn.XLOOKUP(ClientNumber,Clients!D:D,Clients!GSB:GSB,2,0,1))</f>
        <v/>
      </c>
      <c r="F161" s="35" t="n"/>
      <c r="G161" s="34" t="n"/>
      <c r="H161" s="35" t="n"/>
      <c r="J161" s="55" t="inlineStr">
        <is>
          <t>Line 5833</t>
        </is>
      </c>
      <c r="K161" s="36">
        <f>(_xlfn.XLOOKUP(MainClient,Clients!D:D,Clients!HSD:HSD,2,0,1))</f>
        <v/>
      </c>
      <c r="N161" s="35" t="n"/>
      <c r="O161" s="34" t="n"/>
      <c r="P161" s="35" t="n"/>
    </row>
    <row r="162" ht="15.75" customHeight="1" thickBot="1">
      <c r="B162" s="55" t="inlineStr">
        <is>
          <t>Line  5856</t>
        </is>
      </c>
      <c r="C162" s="36">
        <f>(_xlfn.XLOOKUP(ClientNumber,Clients!D:D,Clients!GSJ:GSJ,2,0,1))</f>
        <v/>
      </c>
      <c r="F162" s="35" t="n"/>
      <c r="G162" s="34" t="n"/>
      <c r="H162" s="35" t="n"/>
      <c r="J162" s="55" t="inlineStr">
        <is>
          <t>Line  5856</t>
        </is>
      </c>
      <c r="K162" s="36">
        <f>(_xlfn.XLOOKUP(MainClient,Clients!D:D,Clients!HSL:HSL,2,0,1))</f>
        <v/>
      </c>
      <c r="N162" s="35" t="n"/>
      <c r="O162" s="34" t="n"/>
      <c r="P162" s="35" t="n"/>
    </row>
    <row r="163" ht="15.75" customHeight="1" thickBot="1">
      <c r="B163" s="55" t="n"/>
      <c r="C163" s="36" t="n"/>
      <c r="F163" s="35" t="n"/>
      <c r="G163" s="34" t="inlineStr">
        <is>
          <t>Line 326</t>
        </is>
      </c>
      <c r="H163" s="35">
        <f>IF(TransferName="NONE",0,(_xlfn.XLOOKUP(TransferNumber,Clients!D:D,Clients!GKB:GKB,2,0,1)))</f>
        <v/>
      </c>
      <c r="J163" s="55" t="n"/>
      <c r="K163" s="36" t="n"/>
      <c r="N163" s="35" t="n"/>
      <c r="O163" s="34" t="inlineStr">
        <is>
          <t>Line 326</t>
        </is>
      </c>
      <c r="P163" s="35">
        <f>IFERROR(_xlfn.XLOOKUP(TransferNumber,Clients!D:D,Clients!FJZ:FJZ,2,0,1),0)</f>
        <v/>
      </c>
    </row>
    <row r="164" ht="15.75" customHeight="1" thickBot="1">
      <c r="B164" s="55" t="n"/>
      <c r="C164" s="36" t="n"/>
      <c r="F164" s="35" t="n"/>
      <c r="G164" s="34" t="n"/>
      <c r="H164" s="35" t="n"/>
      <c r="J164" s="38" t="n"/>
      <c r="K164" s="36" t="n"/>
      <c r="N164" s="35" t="n"/>
      <c r="O164" s="34" t="n"/>
      <c r="P164" s="35" t="n"/>
    </row>
    <row r="165" ht="15.75" customHeight="1" thickBot="1">
      <c r="B165" s="38" t="n"/>
      <c r="C165" s="36" t="n"/>
      <c r="F165" s="35" t="n"/>
      <c r="G165" s="34" t="n"/>
      <c r="H165" s="35" t="n"/>
      <c r="J165" s="38" t="n"/>
      <c r="K165" s="36" t="n"/>
      <c r="N165" s="35" t="n"/>
      <c r="O165" s="34" t="n"/>
      <c r="P165" s="35" t="n"/>
    </row>
    <row r="166" ht="15.75" customHeight="1" thickBot="1">
      <c r="B166" s="38" t="n"/>
      <c r="C166" s="36" t="n"/>
      <c r="F166" s="35" t="n"/>
      <c r="G166" s="34" t="n"/>
      <c r="H166" s="35" t="n"/>
      <c r="J166" s="38" t="n"/>
      <c r="K166" s="36" t="n"/>
      <c r="N166" s="35" t="n"/>
      <c r="O166" s="34" t="n"/>
      <c r="P166" s="35" t="n"/>
    </row>
    <row r="167" ht="15.75" customHeight="1" thickBot="1">
      <c r="B167" s="38" t="n"/>
      <c r="C167" s="36" t="n"/>
      <c r="F167" s="35" t="n"/>
      <c r="G167" s="34" t="n"/>
      <c r="H167" s="35">
        <f>IF(E172&gt;0,E149-G149,0)</f>
        <v/>
      </c>
      <c r="J167" s="38" t="n"/>
      <c r="K167" s="36" t="n"/>
      <c r="N167" s="35" t="n"/>
      <c r="O167" s="34" t="n"/>
      <c r="P167" s="35">
        <f>IF(M172&gt;0,M149-O149,0)</f>
        <v/>
      </c>
    </row>
    <row r="168" ht="15.75" customHeight="1" thickBot="1">
      <c r="B168" s="38" t="n"/>
      <c r="C168" s="36" t="n"/>
      <c r="F168" s="35" t="n"/>
      <c r="H168" s="65">
        <f>IF(TransferName="NONE",F173,IF(H167&gt;0,(E172-G149)*0.098,0))</f>
        <v/>
      </c>
      <c r="J168" s="38" t="n"/>
      <c r="K168" s="36" t="n"/>
      <c r="N168" s="35" t="n"/>
      <c r="P168" s="65">
        <f>IF(TransferName="NONE",N173,IF(P167&gt;0,(M172-O149)*0.098,0))</f>
        <v/>
      </c>
    </row>
    <row r="169">
      <c r="B169" s="667" t="n"/>
      <c r="F169" s="35" t="n"/>
      <c r="G169" s="34" t="inlineStr">
        <is>
          <t>Transferable</t>
        </is>
      </c>
      <c r="H169" s="65">
        <f>IF(H168&gt;0,H168,0)</f>
        <v/>
      </c>
      <c r="J169" s="667" t="n"/>
      <c r="N169" s="35" t="n"/>
      <c r="O169" s="34" t="inlineStr">
        <is>
          <t>Transferable</t>
        </is>
      </c>
      <c r="P169" s="65">
        <f>IF(P168&gt;0,P168,0)</f>
        <v/>
      </c>
    </row>
    <row r="170">
      <c r="B170" s="667" t="inlineStr">
        <is>
          <t>Adjusted Taxable Income</t>
        </is>
      </c>
      <c r="C170">
        <f>C151-(SUM(C153:C168))</f>
        <v/>
      </c>
      <c r="D170" s="13" t="inlineStr">
        <is>
          <t>Line 5864</t>
        </is>
      </c>
      <c r="E170" s="39">
        <f>IF(C170&gt;0,C170,0)</f>
        <v/>
      </c>
      <c r="F170" s="35" t="n"/>
      <c r="G170" s="34" t="n"/>
      <c r="H170" s="35" t="n"/>
      <c r="J170" s="667" t="inlineStr">
        <is>
          <t>Adjusted Taxable Income</t>
        </is>
      </c>
      <c r="K170">
        <f>K151-(SUM(K153:K168))</f>
        <v/>
      </c>
      <c r="L170" s="13" t="inlineStr">
        <is>
          <t>Line 5864</t>
        </is>
      </c>
      <c r="M170" s="39">
        <f>IF(K170&gt;0,K170,0)</f>
        <v/>
      </c>
      <c r="N170" s="35" t="n"/>
      <c r="O170" s="34" t="n"/>
      <c r="P170" s="35" t="n"/>
    </row>
    <row r="171" ht="15.75" customHeight="1" thickBot="1">
      <c r="B171" s="34" t="n"/>
      <c r="F171" s="35" t="n"/>
      <c r="G171" s="34" t="n"/>
      <c r="H171" s="35" t="n"/>
      <c r="J171" s="34" t="n"/>
      <c r="N171" s="35" t="n"/>
      <c r="O171" s="34" t="n"/>
      <c r="P171" s="35" t="n"/>
    </row>
    <row r="172" ht="15.75" customHeight="1" thickBot="1">
      <c r="B172" s="34" t="n"/>
      <c r="D172" s="21" t="inlineStr">
        <is>
          <t>Prov Trans</t>
        </is>
      </c>
      <c r="E172" s="36">
        <f>(E149-E170)</f>
        <v/>
      </c>
      <c r="F172" s="40" t="n"/>
      <c r="G172" s="34" t="n"/>
      <c r="H172" s="52" t="n"/>
      <c r="J172" s="34" t="n"/>
      <c r="L172" s="21" t="inlineStr">
        <is>
          <t>Prov Trans</t>
        </is>
      </c>
      <c r="M172" s="36">
        <f>(M149-M170)</f>
        <v/>
      </c>
      <c r="N172" s="40" t="n"/>
      <c r="O172" s="34" t="n"/>
      <c r="P172" s="52" t="n"/>
    </row>
    <row r="173" ht="15.75" customHeight="1" thickBot="1">
      <c r="B173" s="34" t="n"/>
      <c r="C173" s="579" t="inlineStr">
        <is>
          <t>DTC Transferable ESTIMATE</t>
        </is>
      </c>
      <c r="D173" s="35" t="n"/>
      <c r="E173" s="36">
        <f>IF(E172&lt;0,0,(IF(E172&gt;E147,E147,E172)))</f>
        <v/>
      </c>
      <c r="F173" s="40">
        <f>IF(E173&gt;0,E173*0.098,"No Transfer Required")</f>
        <v/>
      </c>
      <c r="G173" s="58" t="n"/>
      <c r="H173" s="52" t="n"/>
      <c r="J173" s="34" t="n"/>
      <c r="K173" s="579" t="inlineStr">
        <is>
          <t>DTC Transferable ESTIMATE</t>
        </is>
      </c>
      <c r="L173" s="35" t="n"/>
      <c r="M173" s="36">
        <f>IF(M172&lt;0,0,(IF(M172&gt;M147,M147,M172)))</f>
        <v/>
      </c>
      <c r="N173" s="40">
        <f>IF(M173&gt;0,M173*0.098,"No Transfer Required")</f>
        <v/>
      </c>
      <c r="O173" s="58" t="n"/>
      <c r="P173" s="52" t="n"/>
    </row>
    <row r="174" ht="15.75" customHeight="1" thickBot="1">
      <c r="B174" s="42" t="n"/>
      <c r="C174" s="41" t="n"/>
      <c r="D174" s="43" t="inlineStr">
        <is>
          <t>Net Transferable</t>
        </is>
      </c>
      <c r="E174" s="36">
        <f>IF(E172&lt;0,0,(IF(E172-G144-G146-G148&lt;0,E172,(E172-G144-G146-G148))))</f>
        <v/>
      </c>
      <c r="F174" s="57">
        <f>IF(E174&gt;0,E174*0.098,"0")</f>
        <v/>
      </c>
      <c r="G174" s="59" t="n"/>
      <c r="H174" s="864" t="n"/>
      <c r="J174" s="42" t="n"/>
      <c r="K174" s="41" t="n"/>
      <c r="L174" s="43" t="inlineStr">
        <is>
          <t>Net Transferable</t>
        </is>
      </c>
      <c r="M174" s="36">
        <f>IF(M172&lt;0,0,(IF(M172-O144-O146-O148&lt;0,M172,(M172-O144-O146-O148))))</f>
        <v/>
      </c>
      <c r="N174" s="57">
        <f>IF(M174&gt;0,M174*0.098,"0")</f>
        <v/>
      </c>
      <c r="O174" s="59" t="n"/>
      <c r="P174" s="864" t="n"/>
    </row>
    <row r="175">
      <c r="D175" s="60" t="n"/>
      <c r="F175" s="61" t="n"/>
      <c r="G175" s="449" t="n"/>
      <c r="H175" s="866" t="n"/>
      <c r="L175" s="60" t="n"/>
      <c r="N175" s="866" t="n"/>
      <c r="O175" s="64" t="n"/>
      <c r="P175" s="866" t="n"/>
    </row>
    <row r="176">
      <c r="D176" s="60" t="n"/>
      <c r="F176" s="61" t="n"/>
      <c r="G176" s="449" t="n"/>
      <c r="H176" s="866" t="n"/>
      <c r="L176" s="60" t="n"/>
      <c r="N176" s="866" t="n"/>
      <c r="O176" s="64" t="n"/>
      <c r="P176" s="866" t="n"/>
    </row>
    <row r="177" ht="15.75" customHeight="1" thickBot="1">
      <c r="E177">
        <f>Calculator!$D$5</f>
        <v/>
      </c>
      <c r="H177">
        <f>TransferName</f>
        <v/>
      </c>
      <c r="M177">
        <f>Calculator!$D$5</f>
        <v/>
      </c>
      <c r="P177">
        <f>TransferName</f>
        <v/>
      </c>
    </row>
    <row r="178" ht="15.75" customHeight="1" thickBot="1">
      <c r="B178" s="891" t="inlineStr">
        <is>
          <t>2014 YUKON Provincial</t>
        </is>
      </c>
      <c r="C178" s="778" t="n"/>
      <c r="D178" s="778" t="n"/>
      <c r="E178" s="778" t="n"/>
      <c r="F178" s="778" t="n"/>
      <c r="G178" s="778" t="n"/>
      <c r="H178" s="780" t="n"/>
      <c r="J178" s="891" t="inlineStr">
        <is>
          <t>2013 YUKON Provincial</t>
        </is>
      </c>
      <c r="K178" s="778" t="n"/>
      <c r="L178" s="778" t="n"/>
      <c r="M178" s="778" t="n"/>
      <c r="N178" s="778" t="n"/>
      <c r="O178" s="778" t="n"/>
      <c r="P178" s="780" t="n"/>
    </row>
    <row r="179" ht="15.75" customHeight="1" thickBot="1">
      <c r="B179" s="34" t="n"/>
      <c r="D179" t="inlineStr">
        <is>
          <t>Line</t>
        </is>
      </c>
      <c r="E179" t="inlineStr">
        <is>
          <t>Amt</t>
        </is>
      </c>
      <c r="F179" s="35" t="n"/>
      <c r="G179" s="667" t="inlineStr">
        <is>
          <t>Spouse</t>
        </is>
      </c>
      <c r="H179" s="35" t="inlineStr">
        <is>
          <t>S2 Adjustment</t>
        </is>
      </c>
      <c r="J179" s="34" t="n"/>
      <c r="L179" t="inlineStr">
        <is>
          <t>Line</t>
        </is>
      </c>
      <c r="M179" t="inlineStr">
        <is>
          <t>Amt</t>
        </is>
      </c>
      <c r="N179" s="35" t="n"/>
      <c r="O179" s="34" t="inlineStr">
        <is>
          <t>Spouse</t>
        </is>
      </c>
      <c r="P179" s="35" t="inlineStr">
        <is>
          <t>S2 Adjustment</t>
        </is>
      </c>
    </row>
    <row r="180" ht="15.75" customHeight="1" thickBot="1">
      <c r="B180" s="667" t="inlineStr">
        <is>
          <t>Age Amount</t>
        </is>
      </c>
      <c r="D180" t="inlineStr">
        <is>
          <t>Line 5808</t>
        </is>
      </c>
      <c r="E180" s="861">
        <f>(_xlfn.XLOOKUP(ClientNumber,Clients!D:D,Clients!IRH:IRH,2,0,1))</f>
        <v/>
      </c>
      <c r="F180" s="37" t="inlineStr">
        <is>
          <t>Line 59020</t>
        </is>
      </c>
      <c r="G180" s="51">
        <f>IF(TransferName="NONE",0,(_xlfn.XLOOKUP(TransferNumber,Clients!D:D,Clients!ITJ:ITJ,2,0,1)))</f>
        <v/>
      </c>
      <c r="H180" s="37">
        <f>IF(AND(E180&gt;0,G180=0),"Age Amount Can Be Transferred","No Action")</f>
        <v/>
      </c>
      <c r="J180" s="667" t="inlineStr">
        <is>
          <t>Age Amount</t>
        </is>
      </c>
      <c r="L180" t="inlineStr">
        <is>
          <t>Line 5808</t>
        </is>
      </c>
      <c r="M180" s="865">
        <f>(_xlfn.XLOOKUP(MainClient,Clients!D:D,Clients!JRJ:JRJ,2,0,1))</f>
        <v/>
      </c>
      <c r="N180" s="45" t="inlineStr">
        <is>
          <t>Line 59020</t>
        </is>
      </c>
      <c r="O180" s="51">
        <f>IF(TransferName="NONE",0,(_xlfn.XLOOKUP(TransferNumber,Clients!D:D,Clients!JTL:JTL,2,0,1)))</f>
        <v/>
      </c>
      <c r="P180" s="37">
        <f>IF(AND(M180&gt;0,O180=0),"Age Amount Can Be Transferred","No Action")</f>
        <v/>
      </c>
    </row>
    <row r="181" ht="15.75" customHeight="1" thickBot="1">
      <c r="B181" s="667" t="inlineStr">
        <is>
          <t>Amount for children born in 1997 or later</t>
        </is>
      </c>
      <c r="D181" t="inlineStr">
        <is>
          <t>Line 5825</t>
        </is>
      </c>
      <c r="E181" s="861">
        <f>(_xlfn.XLOOKUP(ClientNumber,Clients!D:D,Clients!IRO:IRO,2,0,1))</f>
        <v/>
      </c>
      <c r="F181" s="37" t="inlineStr">
        <is>
          <t>Line 5904</t>
        </is>
      </c>
      <c r="G181" s="51">
        <f>IF(TransferName="NONE",0,(_xlfn.XLOOKUP(TransferNumber,Clients!D:D,Clients!ITL:ITL,2,0,1)))</f>
        <v/>
      </c>
      <c r="H181" s="37">
        <f>IF(AND(E181&gt;0,G181=0),"Amount For Infirm Children Under 18 Can Be Transferred","No Action")</f>
        <v/>
      </c>
      <c r="J181" s="667" t="inlineStr">
        <is>
          <t>Amount for children born in 1996 or later</t>
        </is>
      </c>
      <c r="L181" t="inlineStr">
        <is>
          <t>Line 5825</t>
        </is>
      </c>
      <c r="M181" s="865">
        <f>(_xlfn.XLOOKUP(MainClient,Clients!D:D,Clients!JRQ:JRQ,2,0,1))</f>
        <v/>
      </c>
      <c r="N181" s="37" t="inlineStr">
        <is>
          <t>Line 5904</t>
        </is>
      </c>
      <c r="O181" s="51">
        <f>IF(TransferName="NONE",0,(_xlfn.XLOOKUP(TransferNumber,Clients!D:D,Clients!JTN:JTN,2,0,1)))</f>
        <v/>
      </c>
      <c r="P181" s="37">
        <f>IF(AND(M181&gt;0,O181=0),"Amount For Infirm Children Under 18 Can Be Transferred","No Action")</f>
        <v/>
      </c>
    </row>
    <row r="182" ht="15.75" customHeight="1" thickBot="1">
      <c r="B182" s="667" t="inlineStr">
        <is>
          <t>Pension Income Amount</t>
        </is>
      </c>
      <c r="D182" t="inlineStr">
        <is>
          <t>Line 5836 (mx 1000)</t>
        </is>
      </c>
      <c r="E182" s="861">
        <f>IF((_xlfn.XLOOKUP(ClientNumber,Clients!D:D,Clients!ISH:ISH,2,0,1)&lt;1000),(_xlfn.XLOOKUP(MainClient,Clients!D:D,Clients!ISH:ISH,2,0,1)),1000)</f>
        <v/>
      </c>
      <c r="F182" s="37" t="inlineStr">
        <is>
          <t>Line 59050</t>
        </is>
      </c>
      <c r="G182" s="51">
        <f>IF(TransferName="NONE",0,(_xlfn.XLOOKUP(TransferNumber,Clients!D:D,Clients!ITM:ITM,2,0,1)))</f>
        <v/>
      </c>
      <c r="H182" s="37">
        <f>IF(AND(E182&gt;0,G182=0),"Pension Income Amount Can Be Transferred","No Action")</f>
        <v/>
      </c>
      <c r="J182" s="667" t="inlineStr">
        <is>
          <t>Pension Income Amount</t>
        </is>
      </c>
      <c r="L182" t="inlineStr">
        <is>
          <t>Line 5836 (mx 1000)</t>
        </is>
      </c>
      <c r="M182" s="865">
        <f>IF((_xlfn.XLOOKUP(ClientNumber,Clients!D:D,Clients!JSJ:JSJ,2,0,1)&lt;1000),(_xlfn.XLOOKUP(MainClient,Clients!D:D,Clients!JSJ:JSJ,2,0,1)),1000)</f>
        <v/>
      </c>
      <c r="N182" s="45" t="inlineStr">
        <is>
          <t>Line 59050</t>
        </is>
      </c>
      <c r="O182" s="51">
        <f>IF(TransferName="NONE",0,(_xlfn.XLOOKUP(TransferNumber,Clients!D:D,Clients!JTO:JTO,2,0,1)))</f>
        <v/>
      </c>
      <c r="P182" s="37">
        <f>IF(AND(M182&gt;0,O182=0),"Pension Income Amount Can Be Transferred","No Action")</f>
        <v/>
      </c>
    </row>
    <row r="183" ht="15.75" customHeight="1" thickBot="1">
      <c r="B183" s="667" t="inlineStr">
        <is>
          <t>Disability Amount</t>
        </is>
      </c>
      <c r="D183" t="inlineStr">
        <is>
          <t>Line 5844</t>
        </is>
      </c>
      <c r="E183" s="861">
        <f>IF(_xlfn.XLOOKUP(ClientNumber,Clients!D:D,Clients!ISJ:ISJ,2,0,1)=0,7766,(_xlfn.XLOOKUP(MainClient,Clients!D:D,Clients!ISJ:ISJ,2,0,1)))</f>
        <v/>
      </c>
      <c r="F183" s="37" t="inlineStr">
        <is>
          <t>Line 59070</t>
        </is>
      </c>
      <c r="G183" s="51">
        <f>IF(TransferName="NONE",0,(_xlfn.XLOOKUP(TransferNumber,Clients!D:D,Clients!ITN:ITN,2,0,1)))</f>
        <v/>
      </c>
      <c r="H183" s="37">
        <f>IF(AND(E183&gt;0,G183=0),"DTC Transferable Not Claimed Can Be Transferred","No Action")</f>
        <v/>
      </c>
      <c r="J183" s="667" t="inlineStr">
        <is>
          <t>Disability Amount</t>
        </is>
      </c>
      <c r="L183" t="inlineStr">
        <is>
          <t>Line 5844</t>
        </is>
      </c>
      <c r="M183" s="865">
        <f>IF(_xlfn.XLOOKUP(ClientNumber,Clients!D:D,Clients!JSL:JSL,2,0,1)=0,7697,(_xlfn.XLOOKUP(MainClient,Clients!D:D,Clients!JSL:JSL,2,0,1)))</f>
        <v/>
      </c>
      <c r="N183" s="45" t="inlineStr">
        <is>
          <t>Line 59070</t>
        </is>
      </c>
      <c r="O183" s="51">
        <f>IF(TransferName="NONE",0,(_xlfn.XLOOKUP(TransferNumber,Clients!D:D,Clients!JTP:JTP,2,0,1)))</f>
        <v/>
      </c>
      <c r="P183" s="37">
        <f>IF(AND(M183&gt;0,O183=0),"DTC Transferable Not Claimed Can Be Transferred","No Action")</f>
        <v/>
      </c>
    </row>
    <row r="184" ht="15.75" customHeight="1" thickBot="1">
      <c r="B184" s="667" t="inlineStr">
        <is>
          <t>Tuition Amount</t>
        </is>
      </c>
      <c r="D184" t="inlineStr">
        <is>
          <t>Line 5920</t>
        </is>
      </c>
      <c r="E184" s="861">
        <f>(_xlfn.XLOOKUP(ClientNumber,Clients!D:D,Clients!ITX:ITX,2,0,1))</f>
        <v/>
      </c>
      <c r="F184" s="37" t="inlineStr">
        <is>
          <t>Line 59090</t>
        </is>
      </c>
      <c r="G184" s="51">
        <f>IF(TransferName="NONE",0,(_xlfn.XLOOKUP(TransferNumber,Clients!D:D,Clients!ITO:ITO,2,0,1)))</f>
        <v/>
      </c>
      <c r="H184" s="37">
        <f>IF(AND(E184&gt;0,G184=0),"Tuition Can Be Transferred","No Action")</f>
        <v/>
      </c>
      <c r="J184" s="667" t="inlineStr">
        <is>
          <t>Tuition Amount</t>
        </is>
      </c>
      <c r="L184" t="inlineStr">
        <is>
          <t>Line 5920</t>
        </is>
      </c>
      <c r="M184" s="865">
        <f>(_xlfn.XLOOKUP(MainClient,Clients!D:D,Clients!JTZ:JTZ,2,0,1))</f>
        <v/>
      </c>
      <c r="N184" s="45" t="inlineStr">
        <is>
          <t>Line 59090</t>
        </is>
      </c>
      <c r="O184" s="51">
        <f>IF(TransferName="NONE",0,(_xlfn.XLOOKUP(TransferNumber,Clients!D:D,Clients!JTR:JTR,2,0,1)))</f>
        <v/>
      </c>
      <c r="P184" s="37">
        <f>IF(AND(M184&gt;0,O184=0),"Tuition Can Be Transferred","No Action")</f>
        <v/>
      </c>
    </row>
    <row r="185">
      <c r="B185" s="667" t="n"/>
      <c r="E185" s="771">
        <f>SUM(E180:E184)</f>
        <v/>
      </c>
      <c r="F185" s="37" t="n"/>
      <c r="G185" s="667">
        <f>SUM(G180:G184)</f>
        <v/>
      </c>
      <c r="H185" s="37" t="n"/>
      <c r="J185" s="667" t="n"/>
      <c r="M185" s="872">
        <f>SUM(M180:M184)</f>
        <v/>
      </c>
      <c r="N185" s="37" t="n"/>
      <c r="O185" s="667">
        <f>SUM(O180:O184)</f>
        <v/>
      </c>
      <c r="P185" s="37" t="n"/>
    </row>
    <row r="186" ht="15.75" customHeight="1" thickBot="1">
      <c r="B186" s="34" t="n"/>
      <c r="F186" s="35" t="n"/>
      <c r="G186" s="667" t="n"/>
      <c r="H186" s="35" t="n"/>
      <c r="J186" s="34" t="n"/>
      <c r="N186" s="35" t="n"/>
      <c r="O186" s="667" t="n"/>
      <c r="P186" s="35" t="n"/>
    </row>
    <row r="187" ht="15.75" customHeight="1" thickBot="1">
      <c r="B187" s="667" t="inlineStr">
        <is>
          <t>Line 260</t>
        </is>
      </c>
      <c r="C187" s="36">
        <f>(_xlfn.XLOOKUP(MainClient,Clients!D:D,Clients!IJG:IJG,2,0,1))</f>
        <v/>
      </c>
      <c r="F187" s="35" t="n"/>
      <c r="G187" s="34">
        <f>IF(E210&gt;E183,"other transferable credits","DTC Only")</f>
        <v/>
      </c>
      <c r="H187" s="35" t="n"/>
      <c r="J187" s="667" t="inlineStr">
        <is>
          <t>Line 260</t>
        </is>
      </c>
      <c r="K187" s="36">
        <f>(_xlfn.XLOOKUP(MainClient,Clients!D:D,Clients!JJI:JJI,2,0,1))</f>
        <v/>
      </c>
      <c r="N187" s="35" t="n"/>
      <c r="O187" s="34">
        <f>IF(M210&gt;M183,"other transferable credits","DTC Only")</f>
        <v/>
      </c>
      <c r="P187" s="35" t="n"/>
    </row>
    <row r="188" ht="15.75" customHeight="1" thickBot="1">
      <c r="B188" s="34" t="n"/>
      <c r="F188" s="35" t="n"/>
      <c r="G188" s="34" t="n"/>
      <c r="H188" s="35" t="n"/>
      <c r="J188" s="34" t="n"/>
      <c r="N188" s="35" t="n"/>
      <c r="O188" s="34" t="n"/>
      <c r="P188" s="35" t="n"/>
    </row>
    <row r="189" ht="15.75" customHeight="1" thickBot="1">
      <c r="B189" s="55" t="inlineStr">
        <is>
          <t>Line 5804</t>
        </is>
      </c>
      <c r="C189" s="36">
        <f>(_xlfn.XLOOKUP(ClientNumber,Clients!D:D,Clients!IRG:IRG,2,0,1))</f>
        <v/>
      </c>
      <c r="F189" s="35" t="n"/>
      <c r="G189" s="34" t="n"/>
      <c r="H189" s="35" t="n"/>
      <c r="J189" s="55" t="inlineStr">
        <is>
          <t>Line 5804</t>
        </is>
      </c>
      <c r="K189" s="36">
        <f>(_xlfn.XLOOKUP(MainClient,Clients!D:D,Clients!JRI:JRI,2,0,1))</f>
        <v/>
      </c>
      <c r="N189" s="35" t="n"/>
      <c r="O189" s="34" t="n"/>
      <c r="P189" s="35" t="n"/>
    </row>
    <row r="190" ht="15.75" customHeight="1" thickBot="1">
      <c r="B190" s="55" t="inlineStr">
        <is>
          <t>Line 5824</t>
        </is>
      </c>
      <c r="C190" s="36">
        <f>(_xlfn.XLOOKUP(ClientNumber,Clients!D:D,Clients!IRV:IRV,2,0,1))</f>
        <v/>
      </c>
      <c r="F190" s="35" t="n"/>
      <c r="G190" s="34" t="n"/>
      <c r="H190" s="35" t="n"/>
      <c r="J190" s="55" t="inlineStr">
        <is>
          <t>Line 5824</t>
        </is>
      </c>
      <c r="K190" s="36">
        <f>(_xlfn.XLOOKUP(MainClient,Clients!D:D,Clients!JRX:JRX,2,0,1))</f>
        <v/>
      </c>
      <c r="N190" s="35" t="n"/>
      <c r="O190" s="34" t="n"/>
      <c r="P190" s="35" t="n"/>
    </row>
    <row r="191" ht="15.75" customHeight="1" thickBot="1">
      <c r="B191" s="55" t="inlineStr">
        <is>
          <t>Line 5828</t>
        </is>
      </c>
      <c r="C191" s="36">
        <f>(_xlfn.XLOOKUP(ClientNumber,Clients!D:D,Clients!IRW:IRW,2,0,1))</f>
        <v/>
      </c>
      <c r="F191" s="35" t="n"/>
      <c r="G191" s="34" t="n"/>
      <c r="H191" s="35" t="n"/>
      <c r="J191" s="55" t="inlineStr">
        <is>
          <t>Line 5828</t>
        </is>
      </c>
      <c r="K191" s="36">
        <f>(_xlfn.XLOOKUP(MainClient,Clients!D:D,Clients!JRY:JRY,2,0,1))</f>
        <v/>
      </c>
      <c r="N191" s="35" t="n"/>
      <c r="P191" s="35" t="n"/>
    </row>
    <row r="192" ht="15.75" customHeight="1" thickBot="1">
      <c r="B192" s="55" t="inlineStr">
        <is>
          <t>Line 5832</t>
        </is>
      </c>
      <c r="C192" s="36">
        <f>(_xlfn.XLOOKUP(ClientNumber,Clients!D:D,Clients!IRX:IRX,2,0,1))</f>
        <v/>
      </c>
      <c r="F192" s="35" t="n"/>
      <c r="G192" s="34" t="n"/>
      <c r="H192" s="35" t="n"/>
      <c r="J192" s="55" t="inlineStr">
        <is>
          <t>Line 5832</t>
        </is>
      </c>
      <c r="K192" s="36">
        <f>(_xlfn.XLOOKUP(MainClient,Clients!D:D,Clients!JRZ:JRZ,2,0,1))</f>
        <v/>
      </c>
      <c r="N192" s="35" t="n"/>
      <c r="O192" s="34" t="n"/>
      <c r="P192" s="35" t="n"/>
    </row>
    <row r="193" ht="15.75" customHeight="1" thickBot="1">
      <c r="B193" s="55" t="inlineStr">
        <is>
          <t>Line 5829</t>
        </is>
      </c>
      <c r="C193" s="36">
        <f>(_xlfn.XLOOKUP(ClientNumber,Clients!D:D,Clients!IRY:IRY,2,0,1))</f>
        <v/>
      </c>
      <c r="F193" s="35" t="n"/>
      <c r="G193" s="34" t="n"/>
      <c r="H193" s="35" t="n"/>
      <c r="J193" s="55" t="inlineStr">
        <is>
          <t>Line 5829</t>
        </is>
      </c>
      <c r="K193" s="36">
        <f>(_xlfn.XLOOKUP(MainClient,Clients!D:D,Clients!JSA:JSA,2,0,1))</f>
        <v/>
      </c>
      <c r="N193" s="35" t="n"/>
      <c r="O193" s="34" t="n"/>
      <c r="P193" s="35" t="n"/>
    </row>
    <row r="194" ht="15.75" customHeight="1" thickBot="1">
      <c r="B194" s="55" t="inlineStr">
        <is>
          <t>Line 5834</t>
        </is>
      </c>
      <c r="C194" s="36">
        <f>(_xlfn.XLOOKUP(ClientNumber,Clients!D:D,Clients!IRZ:IRZ,2,0,1))</f>
        <v/>
      </c>
      <c r="F194" s="35" t="n"/>
      <c r="G194" s="34" t="n"/>
      <c r="H194" s="35" t="n"/>
      <c r="J194" s="55" t="inlineStr">
        <is>
          <t>Line 5834</t>
        </is>
      </c>
      <c r="K194" s="36">
        <f>(_xlfn.XLOOKUP(MainClient,Clients!D:D,Clients!JSB:JSB,2,0,1))</f>
        <v/>
      </c>
      <c r="N194" s="35" t="n"/>
      <c r="O194" s="34" t="n"/>
      <c r="P194" s="35" t="n"/>
    </row>
    <row r="195" ht="15.75" customHeight="1" thickBot="1">
      <c r="B195" s="55" t="inlineStr">
        <is>
          <t>Line 5835</t>
        </is>
      </c>
      <c r="C195" s="36" t="n"/>
      <c r="F195" s="35" t="n"/>
      <c r="G195" s="34" t="n"/>
      <c r="H195" s="35" t="n"/>
      <c r="J195" s="55" t="inlineStr">
        <is>
          <t>Line 5835</t>
        </is>
      </c>
      <c r="K195" s="36" t="n"/>
      <c r="N195" s="35" t="n"/>
      <c r="O195" s="34" t="n"/>
      <c r="P195" s="35" t="n"/>
    </row>
    <row r="196" ht="15.75" customHeight="1" thickBot="1">
      <c r="B196" s="55" t="inlineStr">
        <is>
          <t>Line 5838</t>
        </is>
      </c>
      <c r="C196" s="36" t="n"/>
      <c r="F196" s="35" t="n"/>
      <c r="G196" s="34" t="n"/>
      <c r="H196" s="35" t="n"/>
      <c r="J196" s="55" t="inlineStr">
        <is>
          <t>Line 5838</t>
        </is>
      </c>
      <c r="K196" s="36" t="n"/>
      <c r="N196" s="35" t="n"/>
      <c r="O196" s="34" t="n"/>
      <c r="P196" s="35" t="n"/>
    </row>
    <row r="197" ht="15.75" customHeight="1" thickBot="1">
      <c r="B197" s="55" t="inlineStr">
        <is>
          <t>Line 5841</t>
        </is>
      </c>
      <c r="C197" s="36">
        <f>(_xlfn.XLOOKUP(ClientNumber,Clients!D:D,Clients!ISE:ISE,2,0,1))</f>
        <v/>
      </c>
      <c r="F197" s="35" t="n"/>
      <c r="G197" s="34" t="n"/>
      <c r="H197" s="35" t="n"/>
      <c r="J197" s="55" t="inlineStr">
        <is>
          <t>Line 5841</t>
        </is>
      </c>
      <c r="K197" s="36">
        <f>(_xlfn.XLOOKUP(MainClient,Clients!D:D,Clients!JSG:JSG,2,0,1))</f>
        <v/>
      </c>
      <c r="N197" s="35" t="n"/>
      <c r="O197" s="34" t="n"/>
      <c r="P197" s="35" t="n"/>
    </row>
    <row r="198" ht="15.75" customHeight="1" thickBot="1">
      <c r="B198" s="55" t="inlineStr">
        <is>
          <t>Line 5833</t>
        </is>
      </c>
      <c r="C198" s="36">
        <f>(_xlfn.XLOOKUP(ClientNumber,Clients!D:D,Clients!ISF:ISF,2,0,1))</f>
        <v/>
      </c>
      <c r="F198" s="35" t="n"/>
      <c r="G198" s="34" t="n"/>
      <c r="H198" s="35" t="n"/>
      <c r="J198" s="55" t="inlineStr">
        <is>
          <t>Line 5833</t>
        </is>
      </c>
      <c r="K198" s="36">
        <f>(_xlfn.XLOOKUP(MainClient,Clients!D:D,Clients!JSH:JSH,2,0,1))</f>
        <v/>
      </c>
      <c r="N198" s="35" t="n"/>
      <c r="O198" s="34" t="n"/>
      <c r="P198" s="35" t="n"/>
    </row>
    <row r="199" ht="15.75" customHeight="1" thickBot="1">
      <c r="B199" s="55" t="inlineStr">
        <is>
          <t>Line 5856</t>
        </is>
      </c>
      <c r="C199" s="36">
        <f>(_xlfn.XLOOKUP(ClientNumber,Clients!D:D,Clients!ISN:ISN,2,0,1))</f>
        <v/>
      </c>
      <c r="F199" s="35" t="n"/>
      <c r="G199" s="34" t="inlineStr">
        <is>
          <t>Line 326</t>
        </is>
      </c>
      <c r="H199" s="35">
        <f>IF(TransferName="NONE",0,(_xlfn.XLOOKUP(TransferNumber,Clients!D:D,Clients!IKF:IKF,2,0,1)))</f>
        <v/>
      </c>
      <c r="J199" s="55" t="inlineStr">
        <is>
          <t>Line 5856</t>
        </is>
      </c>
      <c r="K199" s="36">
        <f>(_xlfn.XLOOKUP(MainClient,Clients!D:D,Clients!JSP:JSP,2,0,1))</f>
        <v/>
      </c>
      <c r="N199" s="35" t="n"/>
      <c r="O199" s="34" t="inlineStr">
        <is>
          <t>Line 326</t>
        </is>
      </c>
      <c r="P199" s="35">
        <f>IFERROR(_xlfn.XLOOKUP(TransferNumber,Clients!D:D,Clients!JKH:JKH,2,0,1),0)</f>
        <v/>
      </c>
    </row>
    <row r="200" ht="15.75" customHeight="1" thickBot="1">
      <c r="A200" s="55" t="n"/>
      <c r="B200" s="38" t="n"/>
      <c r="C200" s="36" t="n"/>
      <c r="F200" s="35" t="n"/>
      <c r="G200" s="34" t="n"/>
      <c r="H200" s="35" t="n"/>
      <c r="J200" s="68" t="n"/>
      <c r="K200" s="36" t="n"/>
      <c r="N200" s="35" t="n"/>
      <c r="O200" s="34" t="n"/>
      <c r="P200" s="35" t="n"/>
    </row>
    <row r="201" ht="15.75" customHeight="1" thickBot="1">
      <c r="B201" s="38" t="n"/>
      <c r="C201" s="36" t="n"/>
      <c r="F201" s="35" t="n"/>
      <c r="G201" s="34" t="n"/>
      <c r="H201" s="35" t="n"/>
      <c r="J201" s="38" t="n"/>
      <c r="K201" s="36" t="n"/>
      <c r="N201" s="35" t="n"/>
      <c r="O201" s="34" t="n"/>
      <c r="P201" s="35" t="n"/>
    </row>
    <row r="202" ht="15.75" customHeight="1" thickBot="1">
      <c r="B202" s="38" t="n"/>
      <c r="C202" s="36" t="n"/>
      <c r="F202" s="35" t="n"/>
      <c r="G202" s="34" t="n"/>
      <c r="H202" s="35" t="n"/>
      <c r="J202" s="38" t="n"/>
      <c r="K202" s="36" t="n"/>
      <c r="N202" s="35" t="n"/>
      <c r="O202" s="34" t="n"/>
      <c r="P202" s="35" t="n"/>
    </row>
    <row r="203" ht="15.75" customHeight="1" thickBot="1">
      <c r="B203" s="38" t="n"/>
      <c r="C203" s="36" t="n"/>
      <c r="F203" s="35" t="n"/>
      <c r="G203" s="34" t="n"/>
      <c r="H203" s="35">
        <f>IF(E208&gt;0,E185-G185,0)</f>
        <v/>
      </c>
      <c r="J203" s="38" t="n"/>
      <c r="K203" s="36" t="n"/>
      <c r="N203" s="35" t="n"/>
      <c r="O203" s="34" t="n"/>
      <c r="P203" s="35">
        <f>IF(M208&gt;0,M185-O185,0)</f>
        <v/>
      </c>
    </row>
    <row r="204" ht="15.75" customHeight="1" thickBot="1">
      <c r="B204" s="38" t="n"/>
      <c r="C204" s="36" t="n"/>
      <c r="F204" s="35" t="n"/>
      <c r="H204" s="52">
        <f>IF(TransferName="NONE",F209,IF(H203&gt;0,(E208-G185)*0.098,0))</f>
        <v/>
      </c>
      <c r="J204" s="38" t="n"/>
      <c r="K204" s="36" t="n"/>
      <c r="N204" s="35" t="n"/>
      <c r="P204" s="52">
        <f>IF(TransferName="NONE",N209,IF(P203&gt;0,(M208-O185)*0.098,0))</f>
        <v/>
      </c>
    </row>
    <row r="205">
      <c r="B205" s="667" t="n"/>
      <c r="F205" s="35" t="n"/>
      <c r="G205" s="34" t="inlineStr">
        <is>
          <t>Transferable</t>
        </is>
      </c>
      <c r="H205" s="52">
        <f>IF(H204&gt;0,H204,0)</f>
        <v/>
      </c>
      <c r="J205" s="667" t="n"/>
      <c r="N205" s="35" t="n"/>
      <c r="O205" s="34" t="inlineStr">
        <is>
          <t>Transferable</t>
        </is>
      </c>
      <c r="P205" s="52">
        <f>IF(P204&gt;0,P204,0)</f>
        <v/>
      </c>
    </row>
    <row r="206">
      <c r="B206" s="667" t="inlineStr">
        <is>
          <t>Adjusted Taxable Income</t>
        </is>
      </c>
      <c r="C206">
        <f>C187-(SUM(C189:C204))</f>
        <v/>
      </c>
      <c r="D206" s="13" t="inlineStr">
        <is>
          <t>Line 5864</t>
        </is>
      </c>
      <c r="E206" s="39">
        <f>IF(C206&gt;0,C206,0)</f>
        <v/>
      </c>
      <c r="F206" s="35" t="n"/>
      <c r="G206" s="34" t="n"/>
      <c r="H206" s="35" t="n"/>
      <c r="J206" s="667" t="inlineStr">
        <is>
          <t>Adjusted Taxable Income</t>
        </is>
      </c>
      <c r="K206">
        <f>K187-(SUM(K189:K204))</f>
        <v/>
      </c>
      <c r="L206" s="13" t="inlineStr">
        <is>
          <t>Line 5864</t>
        </is>
      </c>
      <c r="M206" s="39">
        <f>IF(K206&gt;0,K206,0)</f>
        <v/>
      </c>
      <c r="N206" s="35" t="n"/>
      <c r="O206" s="34" t="n"/>
      <c r="P206" s="35" t="n"/>
    </row>
    <row r="207" ht="15.75" customHeight="1" thickBot="1">
      <c r="B207" s="34" t="n"/>
      <c r="F207" s="35" t="n"/>
      <c r="G207" s="34" t="n"/>
      <c r="H207" s="35" t="n"/>
      <c r="J207" s="34" t="n"/>
      <c r="N207" s="35" t="n"/>
      <c r="O207" s="34" t="n"/>
      <c r="P207" s="35" t="n"/>
    </row>
    <row r="208" ht="15.75" customHeight="1" thickBot="1">
      <c r="B208" s="34" t="n"/>
      <c r="D208" s="21" t="inlineStr">
        <is>
          <t>Prov Trans</t>
        </is>
      </c>
      <c r="E208" s="36">
        <f>(E185-E206)</f>
        <v/>
      </c>
      <c r="F208" s="40" t="n"/>
      <c r="G208" s="34" t="n"/>
      <c r="H208" s="52" t="n"/>
      <c r="J208" s="34" t="n"/>
      <c r="L208" s="21" t="inlineStr">
        <is>
          <t>Prov Trans</t>
        </is>
      </c>
      <c r="M208" s="36">
        <f>(M185-M206)</f>
        <v/>
      </c>
      <c r="N208" s="40" t="n"/>
      <c r="O208" s="34" t="n"/>
      <c r="P208" s="52" t="n"/>
    </row>
    <row r="209" ht="15.75" customHeight="1" thickBot="1">
      <c r="B209" s="34" t="n"/>
      <c r="C209" s="579" t="inlineStr">
        <is>
          <t>DTC Transferable ESTIMATE</t>
        </is>
      </c>
      <c r="D209" s="35" t="n"/>
      <c r="E209" s="36">
        <f>IF(E208&lt;0,0,(IF(E208&gt;E183,E183,E208)))</f>
        <v/>
      </c>
      <c r="F209" s="40">
        <f>IF(E209&gt;0,E209*0.098,"No Transfer Required")</f>
        <v/>
      </c>
      <c r="G209" s="58" t="n"/>
      <c r="H209" s="52" t="n"/>
      <c r="J209" s="34" t="n"/>
      <c r="K209" s="579" t="inlineStr">
        <is>
          <t>DTC Transferable ESTIMATE</t>
        </is>
      </c>
      <c r="L209" s="35" t="n"/>
      <c r="M209" s="36">
        <f>IF(M208&lt;0,0,(IF(M208&gt;M183,M183,M208)))</f>
        <v/>
      </c>
      <c r="N209" s="40">
        <f>IF(M209&gt;0,M209*0.098,"No Transfer Required")</f>
        <v/>
      </c>
      <c r="O209" s="58" t="n"/>
      <c r="P209" s="52" t="n"/>
    </row>
    <row r="210" ht="15.75" customHeight="1" thickBot="1">
      <c r="B210" s="42" t="n"/>
      <c r="C210" s="41" t="n"/>
      <c r="D210" s="43" t="inlineStr">
        <is>
          <t>Net Transferable</t>
        </is>
      </c>
      <c r="E210" s="36">
        <f>IF(E208&lt;0,0,(IF(E208-G180-G182-G184&lt;0,E208,(E208-G180-G182-G184))))</f>
        <v/>
      </c>
      <c r="F210" s="57">
        <f>IF(E210&gt;0,E210*0.098,"0")</f>
        <v/>
      </c>
      <c r="G210" s="59" t="n"/>
      <c r="H210" s="864" t="n"/>
      <c r="J210" s="42" t="n"/>
      <c r="K210" s="41" t="n"/>
      <c r="L210" s="43" t="inlineStr">
        <is>
          <t>Net Transferable</t>
        </is>
      </c>
      <c r="M210" s="36">
        <f>IF(M208&lt;0,0,(IF(M208-O180-O182-O184&lt;0,M208,(M208-O180-O182-O184))))</f>
        <v/>
      </c>
      <c r="N210" s="57">
        <f>IF(M210&gt;0,M210*0.098,"0")</f>
        <v/>
      </c>
      <c r="O210" s="59" t="n"/>
      <c r="P210" s="864" t="n"/>
    </row>
    <row r="211">
      <c r="D211" s="60" t="n"/>
      <c r="F211" s="61" t="n"/>
      <c r="G211" s="449" t="n"/>
      <c r="H211" s="866" t="n"/>
      <c r="L211" s="60" t="n"/>
      <c r="N211" s="866" t="n"/>
      <c r="O211" s="64" t="n"/>
      <c r="P211" s="866" t="n"/>
    </row>
  </sheetData>
  <mergeCells count="100">
    <mergeCell ref="J180:K180"/>
    <mergeCell ref="K33:L33"/>
    <mergeCell ref="J146:K146"/>
    <mergeCell ref="B149:C149"/>
    <mergeCell ref="J9:K9"/>
    <mergeCell ref="B77:C77"/>
    <mergeCell ref="K138:L138"/>
    <mergeCell ref="K209:L209"/>
    <mergeCell ref="G68:G69"/>
    <mergeCell ref="C173:D173"/>
    <mergeCell ref="B182:C182"/>
    <mergeCell ref="J4:K4"/>
    <mergeCell ref="B78:C78"/>
    <mergeCell ref="G33:G34"/>
    <mergeCell ref="J147:K147"/>
    <mergeCell ref="B112:C112"/>
    <mergeCell ref="C138:D138"/>
    <mergeCell ref="B2:H2"/>
    <mergeCell ref="B40:C40"/>
    <mergeCell ref="B183:C183"/>
    <mergeCell ref="J185:K185"/>
    <mergeCell ref="B41:C41"/>
    <mergeCell ref="B37:H37"/>
    <mergeCell ref="J110:K110"/>
    <mergeCell ref="J181:K181"/>
    <mergeCell ref="B142:H142"/>
    <mergeCell ref="B180:C180"/>
    <mergeCell ref="J77:K77"/>
    <mergeCell ref="G103:G104"/>
    <mergeCell ref="B72:H72"/>
    <mergeCell ref="J183:K183"/>
    <mergeCell ref="G138:G139"/>
    <mergeCell ref="J75:K75"/>
    <mergeCell ref="B107:H107"/>
    <mergeCell ref="J114:K114"/>
    <mergeCell ref="B6:C6"/>
    <mergeCell ref="J145:K145"/>
    <mergeCell ref="B79:C79"/>
    <mergeCell ref="B144:C144"/>
    <mergeCell ref="K68:L68"/>
    <mergeCell ref="J111:K111"/>
    <mergeCell ref="B7:C7"/>
    <mergeCell ref="B185:C185"/>
    <mergeCell ref="C68:D68"/>
    <mergeCell ref="J184:K184"/>
    <mergeCell ref="B184:C184"/>
    <mergeCell ref="J2:P2"/>
    <mergeCell ref="J142:P142"/>
    <mergeCell ref="B43:C43"/>
    <mergeCell ref="J40:K40"/>
    <mergeCell ref="K173:L173"/>
    <mergeCell ref="B42:C42"/>
    <mergeCell ref="J182:K182"/>
    <mergeCell ref="J74:K74"/>
    <mergeCell ref="B148:C148"/>
    <mergeCell ref="J72:P72"/>
    <mergeCell ref="J37:P37"/>
    <mergeCell ref="B44:C44"/>
    <mergeCell ref="B146:C146"/>
    <mergeCell ref="J113:K113"/>
    <mergeCell ref="B9:C9"/>
    <mergeCell ref="J149:K149"/>
    <mergeCell ref="J107:P107"/>
    <mergeCell ref="J178:P178"/>
    <mergeCell ref="C209:D209"/>
    <mergeCell ref="B5:C5"/>
    <mergeCell ref="B76:C76"/>
    <mergeCell ref="J42:K42"/>
    <mergeCell ref="B178:H178"/>
    <mergeCell ref="B4:C4"/>
    <mergeCell ref="B75:C75"/>
    <mergeCell ref="J39:K39"/>
    <mergeCell ref="J144:K144"/>
    <mergeCell ref="B109:C109"/>
    <mergeCell ref="J44:K44"/>
    <mergeCell ref="J5:K5"/>
    <mergeCell ref="C33:D33"/>
    <mergeCell ref="J112:K112"/>
    <mergeCell ref="J78:K78"/>
    <mergeCell ref="B39:C39"/>
    <mergeCell ref="J6:K6"/>
    <mergeCell ref="C103:D103"/>
    <mergeCell ref="B111:C111"/>
    <mergeCell ref="B145:C145"/>
    <mergeCell ref="B181:C181"/>
    <mergeCell ref="B8:C8"/>
    <mergeCell ref="J148:K148"/>
    <mergeCell ref="J79:K79"/>
    <mergeCell ref="B147:C147"/>
    <mergeCell ref="J7:K7"/>
    <mergeCell ref="J41:K41"/>
    <mergeCell ref="J109:K109"/>
    <mergeCell ref="B74:C74"/>
    <mergeCell ref="J43:K43"/>
    <mergeCell ref="K103:L103"/>
    <mergeCell ref="B114:C114"/>
    <mergeCell ref="J76:K76"/>
    <mergeCell ref="B110:C110"/>
    <mergeCell ref="J8:K8"/>
    <mergeCell ref="B113:C113"/>
  </mergeCells>
  <pageMargins left="0.7" right="0.7" top="0.75" bottom="0.75" header="0.3" footer="0.3"/>
  <pageSetup orientation="portrait" verticalDpi="597"/>
</worksheet>
</file>

<file path=xl/worksheets/sheet22.xml><?xml version="1.0" encoding="utf-8"?>
<worksheet xmlns="http://schemas.openxmlformats.org/spreadsheetml/2006/main">
  <sheetPr codeName="Sheet41">
    <outlinePr summaryBelow="1" summaryRight="1"/>
    <pageSetUpPr/>
  </sheetPr>
  <dimension ref="A1:A44"/>
  <sheetViews>
    <sheetView zoomScale="60" zoomScaleNormal="60" workbookViewId="0">
      <selection activeCell="H1" sqref="H1:I1"/>
    </sheetView>
  </sheetViews>
  <sheetFormatPr baseColWidth="8" defaultRowHeight="15"/>
  <cols>
    <col width="1.140625" customWidth="1" min="1" max="1"/>
    <col width="13.42578125" customWidth="1" min="6" max="6"/>
    <col width="59" customWidth="1" min="8" max="8"/>
    <col width="13.5703125" customWidth="1" min="14" max="14"/>
    <col width="58.7109375" customWidth="1" min="16" max="16"/>
  </cols>
  <sheetData>
    <row r="1">
      <c r="A1" t="inlineStr">
        <is>
          <t>Missed Lines</t>
        </is>
      </c>
    </row>
    <row r="2">
      <c r="A2" s="1" t="inlineStr">
        <is>
          <t>Line 364</t>
        </is>
      </c>
    </row>
    <row r="3">
      <c r="A3" s="1" t="inlineStr">
        <is>
          <t>Line 365</t>
        </is>
      </c>
    </row>
    <row r="4">
      <c r="A4" s="1" t="inlineStr">
        <is>
          <t>Line 370</t>
        </is>
      </c>
    </row>
    <row r="5">
      <c r="A5" s="1" t="inlineStr">
        <is>
          <t>Line 5838</t>
        </is>
      </c>
    </row>
    <row r="6">
      <c r="A6" s="1" t="inlineStr">
        <is>
          <t>Line 5838</t>
        </is>
      </c>
    </row>
    <row r="7">
      <c r="A7" s="1" t="inlineStr">
        <is>
          <t>Line 5838</t>
        </is>
      </c>
    </row>
    <row r="8">
      <c r="A8" s="1" t="b">
        <v>1</v>
      </c>
    </row>
    <row r="9">
      <c r="A9" s="1" t="b">
        <v>1</v>
      </c>
    </row>
    <row r="10">
      <c r="A10" s="1" t="b">
        <v>1</v>
      </c>
    </row>
    <row r="11">
      <c r="A11" s="1" t="b">
        <v>1</v>
      </c>
    </row>
    <row r="12">
      <c r="A12" s="1" t="b">
        <v>1</v>
      </c>
    </row>
    <row r="13">
      <c r="A13" s="1" t="b">
        <v>1</v>
      </c>
    </row>
    <row r="14">
      <c r="A14" s="1" t="b">
        <v>1</v>
      </c>
    </row>
    <row r="15">
      <c r="A15" s="1" t="b">
        <v>1</v>
      </c>
    </row>
    <row r="16">
      <c r="A16" s="1" t="b">
        <v>1</v>
      </c>
    </row>
    <row r="17">
      <c r="A17" s="1" t="b">
        <v>1</v>
      </c>
    </row>
    <row r="18">
      <c r="A18" s="1" t="inlineStr">
        <is>
          <t>Line 5843</t>
        </is>
      </c>
    </row>
    <row r="19">
      <c r="A19" s="1" t="inlineStr">
        <is>
          <t>Line 5843</t>
        </is>
      </c>
    </row>
    <row r="20">
      <c r="A20" s="1" t="inlineStr">
        <is>
          <t>Line 5846</t>
        </is>
      </c>
    </row>
    <row r="44">
      <c r="A44" t="inlineStr">
        <is>
          <t>`</t>
        </is>
      </c>
    </row>
  </sheetData>
  <autoFilter ref="A1:A20">
    <sortState ref="A2:A20">
      <sortCondition ref="A1:A20"/>
    </sortState>
  </autoFilter>
  <pageMargins left="0.7" right="0.7" top="0.75" bottom="0.75" header="0.3" footer="0.3"/>
</worksheet>
</file>

<file path=xl/worksheets/sheet23.xml><?xml version="1.0" encoding="utf-8"?>
<worksheet xmlns:r="http://schemas.openxmlformats.org/officeDocument/2006/relationships" xmlns="http://schemas.openxmlformats.org/spreadsheetml/2006/main">
  <sheetPr codeName="Sheet20">
    <outlinePr summaryBelow="1" summaryRight="1"/>
    <pageSetUpPr/>
  </sheetPr>
  <dimension ref="B1:AH286"/>
  <sheetViews>
    <sheetView topLeftCell="P1" workbookViewId="0">
      <selection activeCell="J22" sqref="J22"/>
    </sheetView>
  </sheetViews>
  <sheetFormatPr baseColWidth="8" defaultRowHeight="15"/>
  <cols>
    <col width="13.42578125" bestFit="1" customWidth="1" min="2" max="2"/>
    <col width="22" bestFit="1" customWidth="1" min="5" max="5"/>
    <col width="15.5703125" customWidth="1" min="6" max="6"/>
    <col width="22.5703125" customWidth="1" min="7" max="7"/>
    <col width="11.140625" customWidth="1" min="8" max="8"/>
    <col width="16.28515625" customWidth="1" style="492" min="9" max="9"/>
    <col width="9.140625" bestFit="1" customWidth="1" style="492" min="10" max="10"/>
    <col width="20.42578125" customWidth="1" min="11" max="11"/>
    <col width="19.85546875" customWidth="1" min="12" max="12"/>
    <col width="19.7109375" customWidth="1" min="14" max="14"/>
    <col width="17.5703125" customWidth="1" min="15" max="15"/>
    <col width="27.140625" customWidth="1" style="492" min="18" max="18"/>
    <col width="11.42578125" bestFit="1" customWidth="1" min="20" max="20"/>
    <col width="16.85546875" customWidth="1" min="21" max="21"/>
    <col width="11.7109375" customWidth="1" min="22" max="22"/>
    <col width="13.7109375" customWidth="1" min="23" max="23"/>
    <col width="17" customWidth="1" min="24" max="24"/>
    <col width="13.5703125" bestFit="1" customWidth="1" min="26" max="26"/>
    <col width="10" customWidth="1" style="492" min="30" max="30"/>
    <col width="3.42578125" customWidth="1" min="31" max="31"/>
    <col width="6" customWidth="1" style="492" min="32" max="32"/>
    <col width="5" bestFit="1" customWidth="1" min="33" max="33"/>
    <col width="5.140625" bestFit="1" customWidth="1" min="34" max="34"/>
    <col width="5" bestFit="1" customWidth="1" min="35" max="35"/>
  </cols>
  <sheetData>
    <row r="1">
      <c r="W1" s="739" t="inlineStr">
        <is>
          <t>Total Effective Dependant Count (All dependants) based on Age &amp; DTC Start &amp; End</t>
        </is>
      </c>
    </row>
    <row r="2">
      <c r="AD2" s="519" t="inlineStr">
        <is>
          <t>Count of Total Eligible Kids for Family (Whole numbers)</t>
        </is>
      </c>
    </row>
    <row r="3" ht="15" customHeight="1"/>
    <row r="4" ht="15" customHeight="1">
      <c r="B4" s="396" t="inlineStr">
        <is>
          <t>DEPENDANT 1</t>
        </is>
      </c>
      <c r="E4" t="inlineStr">
        <is>
          <t>Current Age in Years</t>
        </is>
      </c>
      <c r="F4" t="inlineStr">
        <is>
          <t>Age Cut Off (18 yrs - includes the month of their 18th birthday)</t>
        </is>
      </c>
    </row>
    <row r="5" ht="16.5" customHeight="1">
      <c r="E5" s="395">
        <f>DATEDIF('CDB Calculator Summary Sheet'!J6,TODAY(),"Y")&amp;" Years, "&amp;DATEDIF('CDB Calculator Summary Sheet'!J6,TODAY(),"YM")&amp;" Months"</f>
        <v/>
      </c>
      <c r="F5" s="892">
        <f>EDATE(DATE(YEAR('CDB Calculator Summary Sheet'!J6) + 18, MONTH('CDB Calculator Summary Sheet'!J6), DAY('CDB Calculator Summary Sheet'!J6)),0)</f>
        <v/>
      </c>
      <c r="G5" s="492" t="inlineStr">
        <is>
          <t>DOB</t>
        </is>
      </c>
      <c r="H5" s="360">
        <f>'CDB Calculator Summary Sheet'!J6</f>
        <v/>
      </c>
    </row>
    <row r="6" ht="15" customHeight="1">
      <c r="B6" s="492" t="inlineStr">
        <is>
          <t>Age Start</t>
        </is>
      </c>
      <c r="C6" s="492" t="inlineStr">
        <is>
          <t>Age End</t>
        </is>
      </c>
      <c r="D6" s="484">
        <f>B7</f>
        <v/>
      </c>
      <c r="E6" s="484">
        <f>MONTH('CDB Calculator Summary Sheet'!J6)</f>
        <v/>
      </c>
      <c r="F6" t="inlineStr">
        <is>
          <t>&lt;--Age Start</t>
        </is>
      </c>
      <c r="G6" s="492" t="inlineStr">
        <is>
          <t>DTC Start Yr</t>
        </is>
      </c>
      <c r="H6">
        <f>'CDB Calculator Summary Sheet'!H6</f>
        <v/>
      </c>
      <c r="Q6" s="740" t="inlineStr">
        <is>
          <t>Eligble Months by 1/2 pay peiod</t>
        </is>
      </c>
      <c r="X6" s="519" t="inlineStr">
        <is>
          <t>Count of Total Eligible Kids for Family (Whole numbers)</t>
        </is>
      </c>
      <c r="AF6" s="735" t="inlineStr">
        <is>
          <t>% of CDB to be Paid based on Age &amp; DTC eligibility</t>
        </is>
      </c>
    </row>
    <row r="7" ht="15" customHeight="1">
      <c r="B7" s="484">
        <f>YEAR('CDB Calculator Summary Sheet'!J6)</f>
        <v/>
      </c>
      <c r="C7" s="482">
        <f>YEAR(F5)</f>
        <v/>
      </c>
      <c r="D7" s="484">
        <f>YEAR(F5)</f>
        <v/>
      </c>
      <c r="E7" s="484">
        <f>MONTH(F5)</f>
        <v/>
      </c>
      <c r="F7" t="inlineStr">
        <is>
          <t>&lt;--Age End</t>
        </is>
      </c>
      <c r="G7" s="492" t="inlineStr">
        <is>
          <t>DTC End Yr</t>
        </is>
      </c>
      <c r="H7">
        <f>'CDB Calculator Summary Sheet'!I6</f>
        <v/>
      </c>
    </row>
    <row r="8" ht="15" customHeight="1"/>
    <row r="9" ht="15" customHeight="1">
      <c r="F9" s="739" t="inlineStr">
        <is>
          <t>Months in payout period</t>
        </is>
      </c>
      <c r="G9" s="739" t="inlineStr">
        <is>
          <t>Eligible Months Based on Age 18 or less</t>
        </is>
      </c>
      <c r="I9" s="739" t="inlineStr">
        <is>
          <t>Total Eligible Months by Age</t>
        </is>
      </c>
      <c r="K9" s="739" t="inlineStr">
        <is>
          <t>Eligible Months Based on DTC Start Yr</t>
        </is>
      </c>
      <c r="L9" s="739" t="inlineStr">
        <is>
          <t>Total Eligible Months by DTC Start</t>
        </is>
      </c>
      <c r="M9" s="492" t="n"/>
      <c r="N9" s="739" t="inlineStr">
        <is>
          <t>Eligible Months Based on DTC End Yr</t>
        </is>
      </c>
      <c r="O9" s="739" t="inlineStr">
        <is>
          <t>Total Eligible Months by DTC End</t>
        </is>
      </c>
      <c r="P9" s="492" t="n"/>
      <c r="R9" s="739" t="inlineStr">
        <is>
          <t>Total Eligible Months (Age &amp; DTC Start and End)</t>
        </is>
      </c>
      <c r="U9" s="740" t="inlineStr">
        <is>
          <t>Effective Dependant Count</t>
        </is>
      </c>
      <c r="V9" s="739" t="inlineStr">
        <is>
          <t>Count of Eligible Kids</t>
        </is>
      </c>
    </row>
    <row r="10">
      <c r="B10" s="392" t="inlineStr">
        <is>
          <t>Base Yr</t>
        </is>
      </c>
      <c r="C10" s="392" t="inlineStr">
        <is>
          <t>Payout Period</t>
        </is>
      </c>
      <c r="D10" s="279" t="n"/>
      <c r="E10" s="752" t="n"/>
      <c r="H10" t="inlineStr">
        <is>
          <t>Base Year</t>
        </is>
      </c>
      <c r="J10" s="492" t="inlineStr">
        <is>
          <t>% of Year</t>
        </is>
      </c>
      <c r="M10" s="492" t="inlineStr">
        <is>
          <t>% of Year</t>
        </is>
      </c>
      <c r="P10" s="492" t="inlineStr">
        <is>
          <t>% of Year</t>
        </is>
      </c>
      <c r="Q10" s="39" t="n"/>
      <c r="S10" s="492" t="inlineStr">
        <is>
          <t>% of Year</t>
        </is>
      </c>
      <c r="T10" t="inlineStr">
        <is>
          <t>Base Year</t>
        </is>
      </c>
      <c r="U10" s="39" t="n"/>
      <c r="X10" s="294" t="n"/>
      <c r="Y10" s="484" t="inlineStr">
        <is>
          <t>Base Year</t>
        </is>
      </c>
      <c r="Z10" s="484" t="inlineStr">
        <is>
          <t>Payout Period</t>
        </is>
      </c>
      <c r="AA10" s="91" t="n"/>
      <c r="AB10" s="91" t="n"/>
      <c r="AC10" s="750" t="n"/>
      <c r="AF10" s="484" t="n"/>
    </row>
    <row r="11">
      <c r="B11" s="484">
        <f>'CDB Calculator Summary Sheet'!$G$17</f>
        <v/>
      </c>
      <c r="C11" s="391" t="n">
        <v>43831</v>
      </c>
      <c r="D11" s="391" t="n">
        <v>44012</v>
      </c>
      <c r="E11" s="484">
        <f>B11+2</f>
        <v/>
      </c>
      <c r="F11" s="484" t="n">
        <v>6</v>
      </c>
      <c r="G11" s="484">
        <f>IF($C$7=E11,IF($E$7&lt;6,$E$7,6),IF($C$7&gt;E11,6,0))</f>
        <v/>
      </c>
      <c r="H11" s="484">
        <f>B11</f>
        <v/>
      </c>
      <c r="I11" s="484">
        <f>G11+G12</f>
        <v/>
      </c>
      <c r="J11" s="362">
        <f>I11/12</f>
        <v/>
      </c>
      <c r="K11" s="484">
        <f>IF($H$6=E11,6,IF($H$6&lt;E11,6,0))</f>
        <v/>
      </c>
      <c r="L11" s="484">
        <f>K11+K12</f>
        <v/>
      </c>
      <c r="M11" s="362">
        <f>L11/12</f>
        <v/>
      </c>
      <c r="N11" s="484">
        <f>IF($H$7=E11,6,IF($H$7&gt;E11,6,0))</f>
        <v/>
      </c>
      <c r="O11" s="484">
        <f>N11+N12</f>
        <v/>
      </c>
      <c r="P11" s="362">
        <f>O11/12</f>
        <v/>
      </c>
      <c r="Q11" s="484">
        <f>MIN(N11,K11,G11)</f>
        <v/>
      </c>
      <c r="R11" s="484">
        <f>MIN(O11,L11,I11)</f>
        <v/>
      </c>
      <c r="S11" s="362">
        <f>R11/12</f>
        <v/>
      </c>
      <c r="T11" s="484">
        <f>H11</f>
        <v/>
      </c>
      <c r="U11" s="501">
        <f>S11*1</f>
        <v/>
      </c>
      <c r="V11" s="492">
        <f>IF(U11&gt;0,1,0)</f>
        <v/>
      </c>
      <c r="W11" s="358">
        <f>U11+U47+U83+U119+U155+U191+U227+U263</f>
        <v/>
      </c>
      <c r="X11" s="492">
        <f>V11+V47+V83+V119+V155+V191+V227+V263</f>
        <v/>
      </c>
      <c r="Y11" s="484">
        <f>B11</f>
        <v/>
      </c>
      <c r="Z11" s="391" t="n">
        <v>44743</v>
      </c>
      <c r="AA11" s="484">
        <f>E12</f>
        <v/>
      </c>
      <c r="AB11" s="391" t="n">
        <v>44742</v>
      </c>
      <c r="AC11" s="484">
        <f>E11</f>
        <v/>
      </c>
      <c r="AD11" s="492">
        <f>X11</f>
        <v/>
      </c>
      <c r="AF11" s="362">
        <f>IFERROR(W11/X11,0)</f>
        <v/>
      </c>
    </row>
    <row r="12">
      <c r="B12" s="484">
        <f>B11</f>
        <v/>
      </c>
      <c r="C12" s="391" t="n">
        <v>44013</v>
      </c>
      <c r="D12" s="391" t="n">
        <v>44196</v>
      </c>
      <c r="E12" s="484">
        <f>B12+1</f>
        <v/>
      </c>
      <c r="F12" s="484" t="n">
        <v>6</v>
      </c>
      <c r="G12" s="484">
        <f>IF($C$7=E12,IF($E$7&gt;6,$E$7-6,0),IF($C$7&gt;E12,6,0))</f>
        <v/>
      </c>
      <c r="H12" s="377" t="n"/>
      <c r="I12" s="377" t="n"/>
      <c r="J12" s="390" t="n"/>
      <c r="K12" s="377">
        <f>IF($H$6=E12,6,IF($H$6&lt;E12,6,0))</f>
        <v/>
      </c>
      <c r="L12" s="377" t="n"/>
      <c r="M12" s="390" t="n"/>
      <c r="N12" s="377">
        <f>IF($H$7=E12,6,IF($H$7&gt;E12,6,0))</f>
        <v/>
      </c>
      <c r="O12" s="377" t="n"/>
      <c r="P12" s="390" t="n"/>
      <c r="Q12" s="377">
        <f>MIN(N12,K12,G12)</f>
        <v/>
      </c>
      <c r="R12" s="377" t="n"/>
      <c r="S12" s="390" t="n"/>
      <c r="T12" s="377" t="n"/>
      <c r="U12" s="389" t="n"/>
      <c r="V12" s="492" t="n"/>
      <c r="W12" s="358" t="n"/>
      <c r="X12" s="492" t="n"/>
      <c r="Y12" s="484" t="n"/>
      <c r="Z12" s="484" t="n"/>
      <c r="AA12" s="484" t="n"/>
      <c r="AB12" s="484" t="n"/>
      <c r="AC12" s="484" t="n"/>
      <c r="AF12" s="362" t="n"/>
    </row>
    <row r="13">
      <c r="B13" s="484">
        <f>'CDB Calculator Summary Sheet'!$G$18</f>
        <v/>
      </c>
      <c r="C13" s="391" t="n">
        <v>43831</v>
      </c>
      <c r="D13" s="391" t="n">
        <v>44012</v>
      </c>
      <c r="E13" s="484">
        <f>B13+2</f>
        <v/>
      </c>
      <c r="F13" s="484" t="n">
        <v>6</v>
      </c>
      <c r="G13" s="484">
        <f>IF($C$7=E13,IF($E$7&lt;6,$E$7,6),IF($C$7&gt;E13,6,0))</f>
        <v/>
      </c>
      <c r="H13" s="484">
        <f>B13</f>
        <v/>
      </c>
      <c r="I13" s="484">
        <f>G13+G14</f>
        <v/>
      </c>
      <c r="J13" s="362">
        <f>I13/12</f>
        <v/>
      </c>
      <c r="K13" s="484">
        <f>IF($H$6=E13,6,IF($H$6&lt;E13,6,0))</f>
        <v/>
      </c>
      <c r="L13" s="484">
        <f>K13+K14</f>
        <v/>
      </c>
      <c r="M13" s="362">
        <f>L13/12</f>
        <v/>
      </c>
      <c r="N13" s="484">
        <f>IF($H$7=E13,6,IF($H$7&gt;E13,6,0))</f>
        <v/>
      </c>
      <c r="O13" s="484">
        <f>N13+N14</f>
        <v/>
      </c>
      <c r="P13" s="362">
        <f>O13/12</f>
        <v/>
      </c>
      <c r="Q13" s="484">
        <f>MIN(N13,K13,G13)</f>
        <v/>
      </c>
      <c r="R13" s="484">
        <f>MIN(O13,L13,I13)</f>
        <v/>
      </c>
      <c r="S13" s="362">
        <f>R13/12</f>
        <v/>
      </c>
      <c r="T13" s="484">
        <f>H13</f>
        <v/>
      </c>
      <c r="U13" s="501">
        <f>S13*1</f>
        <v/>
      </c>
      <c r="V13" s="492">
        <f>IF(U13&gt;0,1,0)</f>
        <v/>
      </c>
      <c r="W13" s="358">
        <f>U13+U49+U85+U121+U157+U193+U229+U265</f>
        <v/>
      </c>
      <c r="X13" s="492">
        <f>V13+V49+V85+V121+V157+V193+V229+V265</f>
        <v/>
      </c>
      <c r="Y13" s="484">
        <f>B13</f>
        <v/>
      </c>
      <c r="Z13" s="391" t="n">
        <v>44743</v>
      </c>
      <c r="AA13" s="484">
        <f>E14</f>
        <v/>
      </c>
      <c r="AB13" s="391" t="n">
        <v>44742</v>
      </c>
      <c r="AC13" s="484">
        <f>E13</f>
        <v/>
      </c>
      <c r="AD13" s="492">
        <f>X13</f>
        <v/>
      </c>
      <c r="AF13" s="362">
        <f>IFERROR(W13/X13,0)</f>
        <v/>
      </c>
    </row>
    <row r="14">
      <c r="B14" s="484">
        <f>B13</f>
        <v/>
      </c>
      <c r="C14" s="391" t="n">
        <v>44013</v>
      </c>
      <c r="D14" s="391" t="n">
        <v>44196</v>
      </c>
      <c r="E14" s="484">
        <f>B14+1</f>
        <v/>
      </c>
      <c r="F14" s="484" t="n">
        <v>6</v>
      </c>
      <c r="G14" s="484">
        <f>IF($C$7=E14,IF($E$7&gt;6,$E$7-6,0),IF($C$7&gt;E14,6,0))</f>
        <v/>
      </c>
      <c r="H14" s="377" t="n"/>
      <c r="I14" s="377" t="n"/>
      <c r="J14" s="390" t="n"/>
      <c r="K14" s="377">
        <f>IF($H$6=E14,6,IF($H$6&lt;E14,6,0))</f>
        <v/>
      </c>
      <c r="L14" s="377" t="n"/>
      <c r="M14" s="390" t="n"/>
      <c r="N14" s="377">
        <f>IF($H$7=E14,6,IF($H$7&gt;E14,6,0))</f>
        <v/>
      </c>
      <c r="O14" s="377" t="n"/>
      <c r="P14" s="390" t="n"/>
      <c r="Q14" s="377">
        <f>MIN(N14,K14,G14)</f>
        <v/>
      </c>
      <c r="R14" s="377" t="n"/>
      <c r="S14" s="390" t="n"/>
      <c r="T14" s="377" t="n"/>
      <c r="U14" s="389" t="n"/>
      <c r="V14" s="492" t="n"/>
      <c r="W14" s="358" t="n"/>
      <c r="X14" s="492" t="n"/>
      <c r="Y14" s="484" t="n"/>
      <c r="Z14" s="484" t="n"/>
      <c r="AA14" s="484" t="n"/>
      <c r="AB14" s="484" t="n"/>
      <c r="AC14" s="484" t="n"/>
      <c r="AF14" s="362" t="n"/>
    </row>
    <row r="15">
      <c r="B15" s="484">
        <f>'CDB Calculator Summary Sheet'!$G$19</f>
        <v/>
      </c>
      <c r="C15" s="391" t="n">
        <v>43831</v>
      </c>
      <c r="D15" s="391" t="n">
        <v>44012</v>
      </c>
      <c r="E15" s="484">
        <f>B15+2</f>
        <v/>
      </c>
      <c r="F15" s="484" t="n">
        <v>6</v>
      </c>
      <c r="G15" s="484">
        <f>IF($C$7=E15,IF($E$7&lt;6,$E$7,6),IF($C$7&gt;E15,6,0))</f>
        <v/>
      </c>
      <c r="H15" s="484">
        <f>B15</f>
        <v/>
      </c>
      <c r="I15" s="484">
        <f>G15+G16</f>
        <v/>
      </c>
      <c r="J15" s="362">
        <f>I15/12</f>
        <v/>
      </c>
      <c r="K15" s="484">
        <f>IF($H$6=E15,6,IF($H$6&lt;E15,6,0))</f>
        <v/>
      </c>
      <c r="L15" s="484">
        <f>K15+K16</f>
        <v/>
      </c>
      <c r="M15" s="362">
        <f>L15/12</f>
        <v/>
      </c>
      <c r="N15" s="484">
        <f>IF($H$7=E15,6,IF($H$7&gt;E15,6,0))</f>
        <v/>
      </c>
      <c r="O15" s="484">
        <f>N15+N16</f>
        <v/>
      </c>
      <c r="P15" s="362">
        <f>O15/12</f>
        <v/>
      </c>
      <c r="Q15" s="484">
        <f>MIN(N15,K15,G15)</f>
        <v/>
      </c>
      <c r="R15" s="484">
        <f>MIN(O15,L15,I15)</f>
        <v/>
      </c>
      <c r="S15" s="362">
        <f>R15/12</f>
        <v/>
      </c>
      <c r="T15" s="484">
        <f>H15</f>
        <v/>
      </c>
      <c r="U15" s="501">
        <f>S15*1</f>
        <v/>
      </c>
      <c r="V15" s="492">
        <f>IF(U15&gt;0,1,0)</f>
        <v/>
      </c>
      <c r="W15" s="358">
        <f>U15+U51+U87+U123+U159+U195+U231+U267</f>
        <v/>
      </c>
      <c r="X15" s="492">
        <f>V15+V51+V87+V123+V159+V195+V231+V267</f>
        <v/>
      </c>
      <c r="Y15" s="484">
        <f>B15</f>
        <v/>
      </c>
      <c r="Z15" s="391" t="n">
        <v>44743</v>
      </c>
      <c r="AA15" s="484">
        <f>E16</f>
        <v/>
      </c>
      <c r="AB15" s="391" t="n">
        <v>44742</v>
      </c>
      <c r="AC15" s="484">
        <f>E15</f>
        <v/>
      </c>
      <c r="AD15" s="492">
        <f>X15</f>
        <v/>
      </c>
      <c r="AF15" s="362">
        <f>IFERROR(W15/X15,0)</f>
        <v/>
      </c>
    </row>
    <row r="16">
      <c r="B16" s="484">
        <f>B15</f>
        <v/>
      </c>
      <c r="C16" s="391" t="n">
        <v>44013</v>
      </c>
      <c r="D16" s="391" t="n">
        <v>44196</v>
      </c>
      <c r="E16" s="484">
        <f>B16+1</f>
        <v/>
      </c>
      <c r="F16" s="484" t="n">
        <v>6</v>
      </c>
      <c r="G16" s="484">
        <f>IF($C$7=E16,IF($E$7&gt;6,$E$7-6,0),IF($C$7&gt;E16,6,0))</f>
        <v/>
      </c>
      <c r="H16" s="377" t="n"/>
      <c r="I16" s="377" t="n"/>
      <c r="J16" s="390" t="n"/>
      <c r="K16" s="377">
        <f>IF($H$6=E16,6,IF($H$6&lt;E16,6,0))</f>
        <v/>
      </c>
      <c r="L16" s="377" t="n"/>
      <c r="M16" s="390" t="n"/>
      <c r="N16" s="377">
        <f>IF($H$7=E16,6,IF($H$7&gt;E16,6,0))</f>
        <v/>
      </c>
      <c r="O16" s="377" t="n"/>
      <c r="P16" s="390" t="n"/>
      <c r="Q16" s="377">
        <f>MIN(N16,K16,G16)</f>
        <v/>
      </c>
      <c r="R16" s="377" t="n"/>
      <c r="S16" s="390" t="n"/>
      <c r="T16" s="377" t="n"/>
      <c r="U16" s="389" t="n"/>
      <c r="V16" s="492" t="n"/>
      <c r="W16" s="358" t="n"/>
      <c r="X16" s="492" t="n"/>
      <c r="Y16" s="484" t="n"/>
      <c r="Z16" s="484" t="n"/>
      <c r="AA16" s="484" t="n"/>
      <c r="AB16" s="484" t="n"/>
      <c r="AC16" s="484" t="n"/>
      <c r="AF16" s="362" t="n"/>
    </row>
    <row r="17">
      <c r="B17" s="484">
        <f>'CDB Calculator Summary Sheet'!$G$20</f>
        <v/>
      </c>
      <c r="C17" s="391" t="n">
        <v>43831</v>
      </c>
      <c r="D17" s="391" t="n">
        <v>44012</v>
      </c>
      <c r="E17" s="484">
        <f>B17+2</f>
        <v/>
      </c>
      <c r="F17" s="484" t="n">
        <v>6</v>
      </c>
      <c r="G17" s="484">
        <f>IF($C$7=E17,IF($E$7&lt;6,$E$7,6),IF($C$7&gt;E17,6,0))</f>
        <v/>
      </c>
      <c r="H17" s="484">
        <f>B17</f>
        <v/>
      </c>
      <c r="I17" s="484">
        <f>G17+G18</f>
        <v/>
      </c>
      <c r="J17" s="362">
        <f>I17/12</f>
        <v/>
      </c>
      <c r="K17" s="484">
        <f>IF($H$6=E17,6,IF($H$6&lt;E17,6,0))</f>
        <v/>
      </c>
      <c r="L17" s="484">
        <f>K17+K18</f>
        <v/>
      </c>
      <c r="M17" s="362">
        <f>L17/12</f>
        <v/>
      </c>
      <c r="N17" s="484">
        <f>IF($H$7=E17,6,IF($H$7&gt;E17,6,0))</f>
        <v/>
      </c>
      <c r="O17" s="484">
        <f>N17+N18</f>
        <v/>
      </c>
      <c r="P17" s="362">
        <f>O17/12</f>
        <v/>
      </c>
      <c r="Q17" s="484">
        <f>MIN(N17,K17,G17)</f>
        <v/>
      </c>
      <c r="R17" s="484">
        <f>MIN(O17,L17,I17)</f>
        <v/>
      </c>
      <c r="S17" s="362">
        <f>R17/12</f>
        <v/>
      </c>
      <c r="T17" s="484">
        <f>H17</f>
        <v/>
      </c>
      <c r="U17" s="501">
        <f>S17*1</f>
        <v/>
      </c>
      <c r="V17" s="492">
        <f>IF(U17&gt;0,1,0)</f>
        <v/>
      </c>
      <c r="W17" s="358">
        <f>U17+U53+U89+U125+U161+U197+U233+U269</f>
        <v/>
      </c>
      <c r="X17" s="492">
        <f>V17+V53+V89+V125+V161+V197+V233+V269</f>
        <v/>
      </c>
      <c r="Y17" s="484">
        <f>B17</f>
        <v/>
      </c>
      <c r="Z17" s="391" t="n">
        <v>44743</v>
      </c>
      <c r="AA17" s="484">
        <f>E18</f>
        <v/>
      </c>
      <c r="AB17" s="391" t="n">
        <v>44742</v>
      </c>
      <c r="AC17" s="484">
        <f>E17</f>
        <v/>
      </c>
      <c r="AD17" s="492">
        <f>X17</f>
        <v/>
      </c>
      <c r="AF17" s="362">
        <f>IFERROR(W17/X17,0)</f>
        <v/>
      </c>
    </row>
    <row r="18">
      <c r="B18" s="484">
        <f>B17</f>
        <v/>
      </c>
      <c r="C18" s="391" t="n">
        <v>44013</v>
      </c>
      <c r="D18" s="391" t="n">
        <v>44196</v>
      </c>
      <c r="E18" s="484">
        <f>B18+1</f>
        <v/>
      </c>
      <c r="F18" s="484" t="n">
        <v>6</v>
      </c>
      <c r="G18" s="484">
        <f>IF($C$7=E18,IF($E$7&gt;6,$E$7-6,0),IF($C$7&gt;E18,6,0))</f>
        <v/>
      </c>
      <c r="H18" s="377" t="n"/>
      <c r="I18" s="377" t="n"/>
      <c r="J18" s="390" t="n"/>
      <c r="K18" s="377">
        <f>IF($H$6=E18,6,IF($H$6&lt;E18,6,0))</f>
        <v/>
      </c>
      <c r="L18" s="377" t="n"/>
      <c r="M18" s="390" t="n"/>
      <c r="N18" s="377">
        <f>IF($H$7=E18,6,IF($H$7&gt;E18,6,0))</f>
        <v/>
      </c>
      <c r="O18" s="377" t="n"/>
      <c r="P18" s="390" t="n"/>
      <c r="Q18" s="377">
        <f>MIN(N18,K18,G18)</f>
        <v/>
      </c>
      <c r="R18" s="377" t="n"/>
      <c r="S18" s="390" t="n"/>
      <c r="T18" s="377" t="n"/>
      <c r="U18" s="389" t="n"/>
      <c r="V18" s="492" t="n"/>
      <c r="W18" s="358" t="n"/>
      <c r="X18" s="492" t="n"/>
      <c r="Y18" s="484" t="n"/>
      <c r="Z18" s="484" t="n"/>
      <c r="AA18" s="484" t="n"/>
      <c r="AB18" s="484" t="n"/>
      <c r="AC18" s="484" t="n"/>
      <c r="AF18" s="362" t="n"/>
    </row>
    <row r="19">
      <c r="B19" s="484">
        <f>'CDB Calculator Summary Sheet'!$G$21</f>
        <v/>
      </c>
      <c r="C19" s="391" t="n">
        <v>43831</v>
      </c>
      <c r="D19" s="391" t="n">
        <v>44012</v>
      </c>
      <c r="E19" s="484">
        <f>B19+2</f>
        <v/>
      </c>
      <c r="F19" s="484" t="n">
        <v>6</v>
      </c>
      <c r="G19" s="484">
        <f>IF($C$7=E19,IF($E$7&lt;6,$E$7,6),IF($C$7&gt;E19,6,0))</f>
        <v/>
      </c>
      <c r="H19" s="484">
        <f>B19</f>
        <v/>
      </c>
      <c r="I19" s="484">
        <f>G19+G20</f>
        <v/>
      </c>
      <c r="J19" s="362">
        <f>I19/12</f>
        <v/>
      </c>
      <c r="K19" s="484">
        <f>IF($H$6=E19,6,IF($H$6&lt;E19,6,0))</f>
        <v/>
      </c>
      <c r="L19" s="484">
        <f>K19+K20</f>
        <v/>
      </c>
      <c r="M19" s="362">
        <f>L19/12</f>
        <v/>
      </c>
      <c r="N19" s="484">
        <f>IF($H$7=E19,6,IF($H$7&gt;E19,6,0))</f>
        <v/>
      </c>
      <c r="O19" s="484">
        <f>N19+N20</f>
        <v/>
      </c>
      <c r="P19" s="362">
        <f>O19/12</f>
        <v/>
      </c>
      <c r="Q19" s="484">
        <f>MIN(N19,K19,G19)</f>
        <v/>
      </c>
      <c r="R19" s="484">
        <f>MIN(O19,L19,I19)</f>
        <v/>
      </c>
      <c r="S19" s="362">
        <f>R19/12</f>
        <v/>
      </c>
      <c r="T19" s="484">
        <f>H19</f>
        <v/>
      </c>
      <c r="U19" s="501">
        <f>S19*1</f>
        <v/>
      </c>
      <c r="V19" s="492">
        <f>IF(U19&gt;0,1,0)</f>
        <v/>
      </c>
      <c r="W19" s="358">
        <f>U19+U55+U91+U127+U163+U199+U235+U271</f>
        <v/>
      </c>
      <c r="X19" s="492">
        <f>V19+V55+V91+V127+V163+V199+V235+V271</f>
        <v/>
      </c>
      <c r="Y19" s="484">
        <f>B19</f>
        <v/>
      </c>
      <c r="Z19" s="391" t="n">
        <v>44743</v>
      </c>
      <c r="AA19" s="484">
        <f>E20</f>
        <v/>
      </c>
      <c r="AB19" s="391" t="n">
        <v>44742</v>
      </c>
      <c r="AC19" s="484">
        <f>E19</f>
        <v/>
      </c>
      <c r="AD19" s="492">
        <f>X19</f>
        <v/>
      </c>
      <c r="AF19" s="362">
        <f>IFERROR(W19/X19,0)</f>
        <v/>
      </c>
    </row>
    <row r="20">
      <c r="B20" s="484">
        <f>B19</f>
        <v/>
      </c>
      <c r="C20" s="391" t="n">
        <v>44013</v>
      </c>
      <c r="D20" s="391" t="n">
        <v>44196</v>
      </c>
      <c r="E20" s="484">
        <f>B20+1</f>
        <v/>
      </c>
      <c r="F20" s="484" t="n">
        <v>6</v>
      </c>
      <c r="G20" s="484">
        <f>IF($C$7=E20,IF($E$7&gt;6,$E$7-6,0),IF($C$7&gt;E20,6,0))</f>
        <v/>
      </c>
      <c r="H20" s="377" t="n"/>
      <c r="I20" s="377" t="n"/>
      <c r="J20" s="390" t="n"/>
      <c r="K20" s="377">
        <f>IF($H$6=E20,6,IF($H$6&lt;E20,6,0))</f>
        <v/>
      </c>
      <c r="L20" s="377" t="n"/>
      <c r="M20" s="390" t="n"/>
      <c r="N20" s="377">
        <f>IF($H$7=E20,6,IF($H$7&gt;E20,6,0))</f>
        <v/>
      </c>
      <c r="O20" s="377" t="n"/>
      <c r="P20" s="390" t="n"/>
      <c r="Q20" s="377">
        <f>MIN(N20,K20,G20)</f>
        <v/>
      </c>
      <c r="R20" s="377" t="n"/>
      <c r="S20" s="390" t="n"/>
      <c r="T20" s="377" t="n"/>
      <c r="U20" s="389" t="n"/>
      <c r="V20" s="492" t="n"/>
      <c r="W20" s="358" t="n"/>
      <c r="X20" s="492" t="n"/>
      <c r="Y20" s="484" t="n"/>
      <c r="Z20" s="484" t="n"/>
      <c r="AA20" s="484" t="n"/>
      <c r="AB20" s="484" t="n"/>
      <c r="AC20" s="484" t="n"/>
      <c r="AF20" s="362" t="n"/>
    </row>
    <row r="21">
      <c r="B21" s="484">
        <f>'CDB Calculator Summary Sheet'!$G$22</f>
        <v/>
      </c>
      <c r="C21" s="391" t="n">
        <v>43831</v>
      </c>
      <c r="D21" s="391" t="n">
        <v>44012</v>
      </c>
      <c r="E21" s="484">
        <f>B21+2</f>
        <v/>
      </c>
      <c r="F21" s="484" t="n">
        <v>6</v>
      </c>
      <c r="G21" s="484">
        <f>IF($C$7=E21,IF($E$7&lt;6,$E$7,6),IF($C$7&gt;E21,6,0))</f>
        <v/>
      </c>
      <c r="H21" s="484">
        <f>B21</f>
        <v/>
      </c>
      <c r="I21" s="484">
        <f>G21+G22</f>
        <v/>
      </c>
      <c r="J21" s="362">
        <f>I21/12</f>
        <v/>
      </c>
      <c r="K21" s="484">
        <f>IF($H$6=E21,6,IF($H$6&lt;E21,6,0))</f>
        <v/>
      </c>
      <c r="L21" s="484">
        <f>K21+K22</f>
        <v/>
      </c>
      <c r="M21" s="362">
        <f>L21/12</f>
        <v/>
      </c>
      <c r="N21" s="484">
        <f>IF($H$7=E21,6,IF($H$7&gt;E21,6,0))</f>
        <v/>
      </c>
      <c r="O21" s="484">
        <f>N21+N22</f>
        <v/>
      </c>
      <c r="P21" s="362">
        <f>O21/12</f>
        <v/>
      </c>
      <c r="Q21" s="484">
        <f>MIN(N21,K21,G21)</f>
        <v/>
      </c>
      <c r="R21" s="484">
        <f>MIN(O21,L21,I21)</f>
        <v/>
      </c>
      <c r="S21" s="362">
        <f>R21/12</f>
        <v/>
      </c>
      <c r="T21" s="484">
        <f>H21</f>
        <v/>
      </c>
      <c r="U21" s="501">
        <f>S21*1</f>
        <v/>
      </c>
      <c r="V21" s="492">
        <f>IF(U21&gt;0,1,0)</f>
        <v/>
      </c>
      <c r="W21" s="358">
        <f>U21+U57+U93+U129+U165+U201+U237+U273</f>
        <v/>
      </c>
      <c r="X21" s="492">
        <f>V21+V57+V93+V129+V165+V201+V237+V273</f>
        <v/>
      </c>
      <c r="Y21" s="484">
        <f>B21</f>
        <v/>
      </c>
      <c r="Z21" s="391" t="n">
        <v>44743</v>
      </c>
      <c r="AA21" s="484">
        <f>E22</f>
        <v/>
      </c>
      <c r="AB21" s="391" t="n">
        <v>44742</v>
      </c>
      <c r="AC21" s="484">
        <f>E21</f>
        <v/>
      </c>
      <c r="AD21" s="492">
        <f>X21</f>
        <v/>
      </c>
      <c r="AF21" s="362">
        <f>IFERROR(W21/X21,0)</f>
        <v/>
      </c>
    </row>
    <row r="22">
      <c r="B22" s="484">
        <f>B21</f>
        <v/>
      </c>
      <c r="C22" s="391" t="n">
        <v>44013</v>
      </c>
      <c r="D22" s="391" t="n">
        <v>44196</v>
      </c>
      <c r="E22" s="484">
        <f>B22+1</f>
        <v/>
      </c>
      <c r="F22" s="484" t="n">
        <v>6</v>
      </c>
      <c r="G22" s="484">
        <f>IF($C$7=E22,IF($E$7&gt;6,$E$7-6,0),IF($C$7&gt;E22,6,0))</f>
        <v/>
      </c>
      <c r="H22" s="377" t="n"/>
      <c r="I22" s="377" t="n"/>
      <c r="J22" s="390" t="n"/>
      <c r="K22" s="377">
        <f>IF($H$6=E22,6,IF($H$6&lt;E22,6,0))</f>
        <v/>
      </c>
      <c r="L22" s="377" t="n"/>
      <c r="M22" s="390" t="n"/>
      <c r="N22" s="377">
        <f>IF($H$7=E22,6,IF($H$7&gt;E22,6,0))</f>
        <v/>
      </c>
      <c r="O22" s="377" t="n"/>
      <c r="P22" s="390" t="n"/>
      <c r="Q22" s="377">
        <f>MIN(N22,K22,G22)</f>
        <v/>
      </c>
      <c r="R22" s="377" t="n"/>
      <c r="S22" s="390" t="n"/>
      <c r="T22" s="377" t="n"/>
      <c r="U22" s="389" t="n"/>
      <c r="V22" s="492" t="n"/>
      <c r="W22" s="358" t="n"/>
      <c r="X22" s="492" t="n"/>
      <c r="Y22" s="484" t="n"/>
      <c r="Z22" s="484" t="n"/>
      <c r="AA22" s="484" t="n"/>
      <c r="AB22" s="484" t="n"/>
      <c r="AC22" s="484" t="n"/>
      <c r="AF22" s="362" t="n"/>
    </row>
    <row r="23">
      <c r="B23" s="484">
        <f>'CDB Calculator Summary Sheet'!$G$23</f>
        <v/>
      </c>
      <c r="C23" s="391" t="n">
        <v>43831</v>
      </c>
      <c r="D23" s="391" t="n">
        <v>44012</v>
      </c>
      <c r="E23" s="484">
        <f>B23+2</f>
        <v/>
      </c>
      <c r="F23" s="484" t="n">
        <v>6</v>
      </c>
      <c r="G23" s="484">
        <f>IF($C$7=E23,IF($E$7&lt;6,$E$7,6),IF($C$7&gt;E23,6,0))</f>
        <v/>
      </c>
      <c r="H23" s="484">
        <f>B23</f>
        <v/>
      </c>
      <c r="I23" s="484">
        <f>G23+G24</f>
        <v/>
      </c>
      <c r="J23" s="362">
        <f>I23/12</f>
        <v/>
      </c>
      <c r="K23" s="484">
        <f>IF($H$6=E23,6,IF($H$6&lt;E23,6,0))</f>
        <v/>
      </c>
      <c r="L23" s="484">
        <f>K23+K24</f>
        <v/>
      </c>
      <c r="M23" s="362">
        <f>L23/12</f>
        <v/>
      </c>
      <c r="N23" s="484">
        <f>IF($H$7=E23,6,IF($H$7&gt;E23,6,0))</f>
        <v/>
      </c>
      <c r="O23" s="484">
        <f>N23+N24</f>
        <v/>
      </c>
      <c r="P23" s="362">
        <f>O23/12</f>
        <v/>
      </c>
      <c r="Q23" s="484">
        <f>MIN(N23,K23,G23)</f>
        <v/>
      </c>
      <c r="R23" s="484">
        <f>MIN(O23,L23,I23)</f>
        <v/>
      </c>
      <c r="S23" s="362">
        <f>R23/12</f>
        <v/>
      </c>
      <c r="T23" s="484">
        <f>H23</f>
        <v/>
      </c>
      <c r="U23" s="501">
        <f>S23*1</f>
        <v/>
      </c>
      <c r="V23" s="492">
        <f>IF(U23&gt;0,1,0)</f>
        <v/>
      </c>
      <c r="W23" s="358">
        <f>U23+U59+U95+U131+U167+U203+U239+U275</f>
        <v/>
      </c>
      <c r="X23" s="492">
        <f>V23+V59+V95+V131+V167+V203+V239+V275</f>
        <v/>
      </c>
      <c r="Y23" s="484">
        <f>B23</f>
        <v/>
      </c>
      <c r="Z23" s="391" t="n">
        <v>44743</v>
      </c>
      <c r="AA23" s="484">
        <f>E24</f>
        <v/>
      </c>
      <c r="AB23" s="391" t="n">
        <v>44742</v>
      </c>
      <c r="AC23" s="484">
        <f>E23</f>
        <v/>
      </c>
      <c r="AD23" s="492">
        <f>X23</f>
        <v/>
      </c>
      <c r="AF23" s="362">
        <f>IFERROR(W23/X23,0)</f>
        <v/>
      </c>
    </row>
    <row r="24">
      <c r="B24" s="484">
        <f>B23</f>
        <v/>
      </c>
      <c r="C24" s="391" t="n">
        <v>44013</v>
      </c>
      <c r="D24" s="391" t="n">
        <v>44196</v>
      </c>
      <c r="E24" s="484">
        <f>B24+1</f>
        <v/>
      </c>
      <c r="F24" s="484" t="n">
        <v>6</v>
      </c>
      <c r="G24" s="484">
        <f>IF($C$7=E24,IF($E$7&gt;6,$E$7-6,0),IF($C$7&gt;E24,6,0))</f>
        <v/>
      </c>
      <c r="H24" s="377" t="n"/>
      <c r="I24" s="377" t="n"/>
      <c r="J24" s="390" t="n"/>
      <c r="K24" s="377">
        <f>IF($H$6=E24,6,IF($H$6&lt;E24,6,0))</f>
        <v/>
      </c>
      <c r="L24" s="377" t="n"/>
      <c r="M24" s="390" t="n"/>
      <c r="N24" s="377">
        <f>IF($H$7=E24,6,IF($H$7&gt;E24,6,0))</f>
        <v/>
      </c>
      <c r="O24" s="377" t="n"/>
      <c r="P24" s="390" t="n"/>
      <c r="Q24" s="377">
        <f>MIN(N24,K24,G24)</f>
        <v/>
      </c>
      <c r="R24" s="377" t="n"/>
      <c r="S24" s="390" t="n"/>
      <c r="T24" s="377" t="n"/>
      <c r="U24" s="389" t="n"/>
      <c r="V24" s="492" t="n"/>
      <c r="W24" s="358" t="n"/>
      <c r="X24" s="492" t="n"/>
      <c r="Y24" s="484" t="n"/>
      <c r="Z24" s="484" t="n"/>
      <c r="AA24" s="484" t="n"/>
      <c r="AB24" s="484" t="n"/>
      <c r="AC24" s="484" t="n"/>
      <c r="AF24" s="362" t="n"/>
    </row>
    <row r="25">
      <c r="B25" s="484">
        <f>'CDB Calculator Summary Sheet'!$G$24</f>
        <v/>
      </c>
      <c r="C25" s="391" t="n">
        <v>43831</v>
      </c>
      <c r="D25" s="391" t="n">
        <v>44012</v>
      </c>
      <c r="E25" s="484">
        <f>B25+2</f>
        <v/>
      </c>
      <c r="F25" s="484" t="n">
        <v>6</v>
      </c>
      <c r="G25" s="484">
        <f>IF($C$7=E25,IF($E$7&lt;6,$E$7,6),IF($C$7&gt;E25,6,0))</f>
        <v/>
      </c>
      <c r="H25" s="484">
        <f>B25</f>
        <v/>
      </c>
      <c r="I25" s="484">
        <f>G25+G26</f>
        <v/>
      </c>
      <c r="J25" s="362">
        <f>I25/12</f>
        <v/>
      </c>
      <c r="K25" s="484">
        <f>IF($H$6=E25,6,IF($H$6&lt;E25,6,0))</f>
        <v/>
      </c>
      <c r="L25" s="484">
        <f>K25+K26</f>
        <v/>
      </c>
      <c r="M25" s="362">
        <f>L25/12</f>
        <v/>
      </c>
      <c r="N25" s="484">
        <f>IF($H$7=E25,6,IF($H$7&gt;E25,6,0))</f>
        <v/>
      </c>
      <c r="O25" s="484">
        <f>N25+N26</f>
        <v/>
      </c>
      <c r="P25" s="362">
        <f>O25/12</f>
        <v/>
      </c>
      <c r="Q25" s="484">
        <f>MIN(N25,K25,G25)</f>
        <v/>
      </c>
      <c r="R25" s="484">
        <f>MIN(O25,L25,I25)</f>
        <v/>
      </c>
      <c r="S25" s="362">
        <f>R25/12</f>
        <v/>
      </c>
      <c r="T25" s="484">
        <f>H25</f>
        <v/>
      </c>
      <c r="U25" s="501">
        <f>S25*1</f>
        <v/>
      </c>
      <c r="V25" s="492">
        <f>IF(U25&gt;0,1,0)</f>
        <v/>
      </c>
      <c r="W25" s="358">
        <f>U25+U61+U97+U133+U169+U205+U241+U277</f>
        <v/>
      </c>
      <c r="X25" s="492">
        <f>V25+V61+V97+V133+V169+V205+V241+V277</f>
        <v/>
      </c>
      <c r="Y25" s="484">
        <f>B25</f>
        <v/>
      </c>
      <c r="Z25" s="391" t="n">
        <v>44743</v>
      </c>
      <c r="AA25" s="484">
        <f>E26</f>
        <v/>
      </c>
      <c r="AB25" s="391" t="n">
        <v>44742</v>
      </c>
      <c r="AC25" s="484">
        <f>E25</f>
        <v/>
      </c>
      <c r="AD25" s="492">
        <f>X25</f>
        <v/>
      </c>
      <c r="AF25" s="362">
        <f>IFERROR(W25/X25,0)</f>
        <v/>
      </c>
    </row>
    <row r="26">
      <c r="B26" s="484">
        <f>B25</f>
        <v/>
      </c>
      <c r="C26" s="391" t="n">
        <v>44013</v>
      </c>
      <c r="D26" s="391" t="n">
        <v>44196</v>
      </c>
      <c r="E26" s="484">
        <f>B26+1</f>
        <v/>
      </c>
      <c r="F26" s="484" t="n">
        <v>6</v>
      </c>
      <c r="G26" s="484">
        <f>IF($C$7=E26,IF($E$7&gt;6,$E$7-6,0),IF($C$7&gt;E26,6,0))</f>
        <v/>
      </c>
      <c r="H26" s="377" t="n"/>
      <c r="I26" s="377" t="n"/>
      <c r="J26" s="390" t="n"/>
      <c r="K26" s="377">
        <f>IF($H$6=E26,6,IF($H$6&lt;E26,6,0))</f>
        <v/>
      </c>
      <c r="L26" s="377" t="n"/>
      <c r="M26" s="390" t="n"/>
      <c r="N26" s="377">
        <f>IF($H$7=E26,6,IF($H$7&gt;E26,6,0))</f>
        <v/>
      </c>
      <c r="O26" s="377" t="n"/>
      <c r="P26" s="390" t="n"/>
      <c r="Q26" s="377">
        <f>MIN(N26,K26,G26)</f>
        <v/>
      </c>
      <c r="R26" s="377" t="n"/>
      <c r="S26" s="390" t="n"/>
      <c r="T26" s="377" t="n"/>
      <c r="U26" s="389" t="n"/>
      <c r="V26" s="492" t="n"/>
      <c r="W26" s="358" t="n"/>
      <c r="X26" s="492" t="n"/>
      <c r="Y26" s="484" t="n"/>
      <c r="Z26" s="484" t="n"/>
      <c r="AA26" s="484" t="n"/>
      <c r="AB26" s="484" t="n"/>
      <c r="AC26" s="484" t="n"/>
      <c r="AF26" s="362" t="n"/>
    </row>
    <row r="27">
      <c r="B27" s="484">
        <f>'CDB Calculator Summary Sheet'!$G$25</f>
        <v/>
      </c>
      <c r="C27" s="391" t="n">
        <v>43831</v>
      </c>
      <c r="D27" s="391" t="n">
        <v>44012</v>
      </c>
      <c r="E27" s="484">
        <f>B27+2</f>
        <v/>
      </c>
      <c r="F27" s="484" t="n">
        <v>6</v>
      </c>
      <c r="G27" s="484">
        <f>IF($C$7=E27,IF($E$7&lt;6,$E$7,6),IF($C$7&gt;E27,6,0))</f>
        <v/>
      </c>
      <c r="H27" s="484">
        <f>B27</f>
        <v/>
      </c>
      <c r="I27" s="484">
        <f>G27+G28</f>
        <v/>
      </c>
      <c r="J27" s="362">
        <f>I27/12</f>
        <v/>
      </c>
      <c r="K27" s="484">
        <f>IF($H$6=E27,6,IF($H$6&lt;E27,6,0))</f>
        <v/>
      </c>
      <c r="L27" s="484">
        <f>K27+K28</f>
        <v/>
      </c>
      <c r="M27" s="362">
        <f>L27/12</f>
        <v/>
      </c>
      <c r="N27" s="484">
        <f>IF($H$7=E27,6,IF($H$7&gt;E27,6,0))</f>
        <v/>
      </c>
      <c r="O27" s="484">
        <f>N27+N28</f>
        <v/>
      </c>
      <c r="P27" s="362">
        <f>O27/12</f>
        <v/>
      </c>
      <c r="Q27" s="484">
        <f>MIN(N27,K27,G27)</f>
        <v/>
      </c>
      <c r="R27" s="484">
        <f>MIN(O27,L27,I27)</f>
        <v/>
      </c>
      <c r="S27" s="362">
        <f>R27/12</f>
        <v/>
      </c>
      <c r="T27" s="484">
        <f>H27</f>
        <v/>
      </c>
      <c r="U27" s="501">
        <f>S27*1</f>
        <v/>
      </c>
      <c r="V27" s="492">
        <f>IF(U27&gt;0,1,0)</f>
        <v/>
      </c>
      <c r="W27" s="358">
        <f>U27+U63+U99+U135+U171+U207+U243+U279</f>
        <v/>
      </c>
      <c r="X27" s="492">
        <f>V27+V63+V99+V135+V171+V207+V243+V279</f>
        <v/>
      </c>
      <c r="Y27" s="484">
        <f>B27</f>
        <v/>
      </c>
      <c r="Z27" s="391" t="n">
        <v>44743</v>
      </c>
      <c r="AA27" s="484">
        <f>E28</f>
        <v/>
      </c>
      <c r="AB27" s="391" t="n">
        <v>44742</v>
      </c>
      <c r="AC27" s="484">
        <f>E27</f>
        <v/>
      </c>
      <c r="AD27" s="492">
        <f>X27</f>
        <v/>
      </c>
      <c r="AF27" s="362">
        <f>IFERROR(W27/X27,0)</f>
        <v/>
      </c>
    </row>
    <row r="28">
      <c r="B28" s="484">
        <f>B27</f>
        <v/>
      </c>
      <c r="C28" s="391" t="n">
        <v>44013</v>
      </c>
      <c r="D28" s="391" t="n">
        <v>44196</v>
      </c>
      <c r="E28" s="484">
        <f>B28+1</f>
        <v/>
      </c>
      <c r="F28" s="484" t="n">
        <v>6</v>
      </c>
      <c r="G28" s="484">
        <f>IF($C$7=E28,IF($E$7&gt;6,$E$7-6,0),IF($C$7&gt;E28,6,0))</f>
        <v/>
      </c>
      <c r="H28" s="377" t="n"/>
      <c r="I28" s="377" t="n"/>
      <c r="J28" s="390" t="n"/>
      <c r="K28" s="377">
        <f>IF($H$6=E28,6,IF($H$6&lt;E28,6,0))</f>
        <v/>
      </c>
      <c r="L28" s="377" t="n"/>
      <c r="M28" s="390" t="n"/>
      <c r="N28" s="377">
        <f>IF($H$7=E28,6,IF($H$7&gt;E28,6,0))</f>
        <v/>
      </c>
      <c r="O28" s="377" t="n"/>
      <c r="P28" s="390" t="n"/>
      <c r="Q28" s="377">
        <f>MIN(N28,K28,G28)</f>
        <v/>
      </c>
      <c r="R28" s="377" t="n"/>
      <c r="S28" s="390" t="n"/>
      <c r="T28" s="377" t="n"/>
      <c r="U28" s="389" t="n"/>
      <c r="V28" s="492" t="n"/>
      <c r="W28" s="358" t="n"/>
      <c r="X28" s="492" t="n"/>
      <c r="Y28" s="484" t="n"/>
      <c r="Z28" s="484" t="n"/>
      <c r="AA28" s="484" t="n"/>
      <c r="AB28" s="484" t="n"/>
      <c r="AC28" s="484" t="n"/>
      <c r="AF28" s="362" t="n"/>
    </row>
    <row r="29">
      <c r="B29" s="484">
        <f>'CDB Calculator Summary Sheet'!$G$26</f>
        <v/>
      </c>
      <c r="C29" s="391" t="n">
        <v>43831</v>
      </c>
      <c r="D29" s="391" t="n">
        <v>44012</v>
      </c>
      <c r="E29" s="484">
        <f>B29+2</f>
        <v/>
      </c>
      <c r="F29" s="484" t="n">
        <v>6</v>
      </c>
      <c r="G29" s="484">
        <f>IF($C$7=E29,IF($E$7&lt;6,$E$7,6),IF($C$7&gt;E29,6,0))</f>
        <v/>
      </c>
      <c r="H29" s="484">
        <f>B29</f>
        <v/>
      </c>
      <c r="I29" s="484">
        <f>G29+G30</f>
        <v/>
      </c>
      <c r="J29" s="362">
        <f>I29/12</f>
        <v/>
      </c>
      <c r="K29" s="484">
        <f>IF($H$6=E29,6,IF($H$6&lt;E29,6,0))</f>
        <v/>
      </c>
      <c r="L29" s="484">
        <f>K29+K30</f>
        <v/>
      </c>
      <c r="M29" s="362">
        <f>L29/12</f>
        <v/>
      </c>
      <c r="N29" s="484">
        <f>IF($H$7=E29,6,IF($H$7&gt;E29,6,0))</f>
        <v/>
      </c>
      <c r="O29" s="484">
        <f>N29+N30</f>
        <v/>
      </c>
      <c r="P29" s="362">
        <f>O29/12</f>
        <v/>
      </c>
      <c r="Q29" s="484">
        <f>MIN(N29,K29,G29)</f>
        <v/>
      </c>
      <c r="R29" s="484">
        <f>MIN(O29,L29,I29)</f>
        <v/>
      </c>
      <c r="S29" s="362">
        <f>R29/12</f>
        <v/>
      </c>
      <c r="T29" s="484">
        <f>H29</f>
        <v/>
      </c>
      <c r="U29" s="501">
        <f>S29*1</f>
        <v/>
      </c>
      <c r="V29" s="492">
        <f>IF(U29&gt;0,1,0)</f>
        <v/>
      </c>
      <c r="W29" s="358">
        <f>U29+U65+U101+U137+U173+U209+U245+U281</f>
        <v/>
      </c>
      <c r="X29" s="492">
        <f>V29+V65+V101+V137+V173+V209+V245+V281</f>
        <v/>
      </c>
      <c r="Y29" s="484">
        <f>B29</f>
        <v/>
      </c>
      <c r="Z29" s="391" t="n">
        <v>44743</v>
      </c>
      <c r="AA29" s="484">
        <f>E30</f>
        <v/>
      </c>
      <c r="AB29" s="391" t="n">
        <v>44742</v>
      </c>
      <c r="AC29" s="484">
        <f>E29</f>
        <v/>
      </c>
      <c r="AD29" s="492">
        <f>X29</f>
        <v/>
      </c>
      <c r="AF29" s="362">
        <f>IFERROR(W29/X29,0)</f>
        <v/>
      </c>
    </row>
    <row r="30">
      <c r="B30" s="484">
        <f>B29</f>
        <v/>
      </c>
      <c r="C30" s="391" t="n">
        <v>44013</v>
      </c>
      <c r="D30" s="391" t="n">
        <v>44196</v>
      </c>
      <c r="E30" s="484">
        <f>B30+1</f>
        <v/>
      </c>
      <c r="F30" s="484" t="n">
        <v>6</v>
      </c>
      <c r="G30" s="484">
        <f>IF($C$7=E30,IF($E$7&gt;6,$E$7-6,0),IF($C$7&gt;E30,6,0))</f>
        <v/>
      </c>
      <c r="H30" s="377" t="n"/>
      <c r="I30" s="377" t="n"/>
      <c r="J30" s="390" t="n"/>
      <c r="K30" s="377">
        <f>IF($H$6=E30,6,IF($H$6&lt;E30,6,0))</f>
        <v/>
      </c>
      <c r="L30" s="377" t="n"/>
      <c r="M30" s="390" t="n"/>
      <c r="N30" s="377">
        <f>IF($H$7=E30,6,IF($H$7&gt;E30,6,0))</f>
        <v/>
      </c>
      <c r="O30" s="377" t="n"/>
      <c r="P30" s="390" t="n"/>
      <c r="Q30" s="377">
        <f>MIN(N30,K30,G30)</f>
        <v/>
      </c>
      <c r="R30" s="377" t="n"/>
      <c r="S30" s="390" t="n"/>
      <c r="T30" s="377" t="n"/>
      <c r="U30" s="389" t="n"/>
      <c r="V30" s="492" t="n"/>
      <c r="W30" s="358" t="n"/>
      <c r="X30" s="492" t="n"/>
      <c r="Y30" s="484" t="n"/>
      <c r="Z30" s="484" t="n"/>
      <c r="AA30" s="484" t="n"/>
      <c r="AB30" s="484" t="n"/>
      <c r="AC30" s="484" t="n"/>
      <c r="AF30" s="362" t="n"/>
    </row>
    <row r="31">
      <c r="B31" s="484">
        <f>'CDB Calculator Summary Sheet'!#REF!</f>
        <v/>
      </c>
      <c r="C31" s="391" t="n">
        <v>43831</v>
      </c>
      <c r="D31" s="391" t="n">
        <v>44012</v>
      </c>
      <c r="E31" s="484">
        <f>B31+2</f>
        <v/>
      </c>
      <c r="F31" s="484" t="n">
        <v>6</v>
      </c>
      <c r="G31" s="484">
        <f>IF($C$7=E31,IF($E$7&lt;6,$E$7,6),IF($C$7&gt;E31,6,0))</f>
        <v/>
      </c>
      <c r="H31" s="484">
        <f>B31</f>
        <v/>
      </c>
      <c r="I31" s="484">
        <f>G31+G32</f>
        <v/>
      </c>
      <c r="J31" s="362">
        <f>I31/12</f>
        <v/>
      </c>
      <c r="K31" s="484">
        <f>IF($H$6=E31,6,IF($H$6&lt;E31,6,0))</f>
        <v/>
      </c>
      <c r="L31" s="484">
        <f>K31+K32</f>
        <v/>
      </c>
      <c r="M31" s="362">
        <f>L31/12</f>
        <v/>
      </c>
      <c r="N31" s="484">
        <f>IF($H$7=E31,6,IF($H$7&gt;E31,6,0))</f>
        <v/>
      </c>
      <c r="O31" s="484">
        <f>N31+N32</f>
        <v/>
      </c>
      <c r="P31" s="362">
        <f>O31/12</f>
        <v/>
      </c>
      <c r="Q31" s="484">
        <f>MIN(N31,K31,G31)</f>
        <v/>
      </c>
      <c r="R31" s="484">
        <f>MIN(O31,L31,I31)</f>
        <v/>
      </c>
      <c r="S31" s="362">
        <f>R31/12</f>
        <v/>
      </c>
      <c r="T31" s="484">
        <f>H31</f>
        <v/>
      </c>
      <c r="U31" s="501">
        <f>S31*1</f>
        <v/>
      </c>
      <c r="V31" s="492">
        <f>IF(U31&gt;0,1,0)</f>
        <v/>
      </c>
      <c r="W31" s="358">
        <f>U31+U67+U103+U139+U175+U211+U247+U283</f>
        <v/>
      </c>
      <c r="X31" s="492">
        <f>V31+V67+V103+V139+V175+V211+V247+V283</f>
        <v/>
      </c>
      <c r="Y31" s="484">
        <f>B31</f>
        <v/>
      </c>
      <c r="Z31" s="391" t="n">
        <v>44743</v>
      </c>
      <c r="AA31" s="484">
        <f>E32</f>
        <v/>
      </c>
      <c r="AB31" s="391" t="n">
        <v>44742</v>
      </c>
      <c r="AC31" s="484">
        <f>E31</f>
        <v/>
      </c>
      <c r="AD31" s="492">
        <f>X31</f>
        <v/>
      </c>
      <c r="AF31" s="362">
        <f>IFERROR(W31/X31,0)</f>
        <v/>
      </c>
    </row>
    <row r="32">
      <c r="B32" s="484">
        <f>B31</f>
        <v/>
      </c>
      <c r="C32" s="391" t="n">
        <v>44013</v>
      </c>
      <c r="D32" s="391" t="n">
        <v>44196</v>
      </c>
      <c r="E32" s="484">
        <f>B32+1</f>
        <v/>
      </c>
      <c r="F32" s="484" t="n">
        <v>6</v>
      </c>
      <c r="G32" s="484">
        <f>IF($C$7=E32,IF($E$7&gt;6,$E$7-6,0),IF($C$7&gt;E32,6,0))</f>
        <v/>
      </c>
      <c r="H32" s="377" t="n"/>
      <c r="I32" s="377" t="n"/>
      <c r="J32" s="390" t="n"/>
      <c r="K32" s="377">
        <f>IF($H$6=E32,6,IF($H$6&lt;E32,6,0))</f>
        <v/>
      </c>
      <c r="L32" s="377" t="n"/>
      <c r="M32" s="390" t="n"/>
      <c r="N32" s="377">
        <f>IF($H$7=E32,6,IF($H$7&gt;E32,6,0))</f>
        <v/>
      </c>
      <c r="O32" s="377" t="n"/>
      <c r="P32" s="390" t="n"/>
      <c r="Q32" s="377">
        <f>MIN(N32,K32,G32)</f>
        <v/>
      </c>
      <c r="R32" s="377" t="n"/>
      <c r="S32" s="390" t="n"/>
      <c r="T32" s="377" t="n"/>
      <c r="U32" s="389" t="n"/>
      <c r="V32" s="492" t="n"/>
      <c r="W32" s="358" t="n"/>
      <c r="X32" s="492" t="n"/>
      <c r="Y32" s="484" t="n"/>
      <c r="Z32" s="484" t="n"/>
      <c r="AA32" s="484" t="n"/>
      <c r="AB32" s="484" t="n"/>
      <c r="AC32" s="484" t="n"/>
      <c r="AF32" s="362" t="n"/>
    </row>
    <row r="33">
      <c r="B33" s="484">
        <f>'CDB Calculator Summary Sheet'!#REF!</f>
        <v/>
      </c>
      <c r="C33" s="391" t="n">
        <v>43831</v>
      </c>
      <c r="D33" s="391" t="n">
        <v>44012</v>
      </c>
      <c r="E33" s="484">
        <f>B33+2</f>
        <v/>
      </c>
      <c r="F33" s="484" t="n">
        <v>6</v>
      </c>
      <c r="G33" s="484">
        <f>IF($C$7=E33,IF($E$7&lt;6,$E$7,6),IF($C$7&gt;E33,6,0))</f>
        <v/>
      </c>
      <c r="H33" s="484">
        <f>B33</f>
        <v/>
      </c>
      <c r="I33" s="484">
        <f>G33+G34</f>
        <v/>
      </c>
      <c r="J33" s="362">
        <f>I33/12</f>
        <v/>
      </c>
      <c r="K33" s="484">
        <f>IF($H$6=E33,6,IF($H$6&lt;E33,6,0))</f>
        <v/>
      </c>
      <c r="L33" s="484">
        <f>K33+K34</f>
        <v/>
      </c>
      <c r="M33" s="362">
        <f>L33/12</f>
        <v/>
      </c>
      <c r="N33" s="484">
        <f>IF($H$7=E33,6,IF($H$7&gt;E33,6,0))</f>
        <v/>
      </c>
      <c r="O33" s="484">
        <f>N33+N34</f>
        <v/>
      </c>
      <c r="P33" s="362">
        <f>O33/12</f>
        <v/>
      </c>
      <c r="Q33" s="484">
        <f>MIN(N33,K33,G33)</f>
        <v/>
      </c>
      <c r="R33" s="484">
        <f>MIN(O33,L33,I33)</f>
        <v/>
      </c>
      <c r="S33" s="362">
        <f>R33/12</f>
        <v/>
      </c>
      <c r="T33" s="484">
        <f>H33</f>
        <v/>
      </c>
      <c r="U33" s="501">
        <f>S33*1</f>
        <v/>
      </c>
      <c r="V33" s="492">
        <f>IF(U33&gt;0,1,0)</f>
        <v/>
      </c>
      <c r="W33" s="358">
        <f>U33+U69+U105+U141+U177+U213+U249+U285</f>
        <v/>
      </c>
      <c r="X33" s="492">
        <f>V33+V69+V105+V141+V177+V213+V249+V285</f>
        <v/>
      </c>
      <c r="Y33" s="484">
        <f>B33</f>
        <v/>
      </c>
      <c r="Z33" s="391" t="n">
        <v>44743</v>
      </c>
      <c r="AA33" s="484">
        <f>E34</f>
        <v/>
      </c>
      <c r="AB33" s="391" t="n">
        <v>44742</v>
      </c>
      <c r="AC33" s="484">
        <f>E33</f>
        <v/>
      </c>
      <c r="AD33" s="492">
        <f>X33</f>
        <v/>
      </c>
      <c r="AF33" s="362">
        <f>IFERROR(W33/X33,0)</f>
        <v/>
      </c>
    </row>
    <row r="34">
      <c r="B34" s="484">
        <f>B33</f>
        <v/>
      </c>
      <c r="C34" s="391" t="n">
        <v>44013</v>
      </c>
      <c r="D34" s="391" t="n">
        <v>44196</v>
      </c>
      <c r="E34" s="484">
        <f>B34+1</f>
        <v/>
      </c>
      <c r="F34" s="484" t="n">
        <v>6</v>
      </c>
      <c r="G34" s="484">
        <f>IF($C$7=E34,IF($E$7&gt;6,$E$7-6,0),IF($C$7&gt;E34,6,0))</f>
        <v/>
      </c>
      <c r="H34" s="377" t="n"/>
      <c r="I34" s="377" t="n"/>
      <c r="J34" s="390" t="n"/>
      <c r="K34" s="377">
        <f>IF($H$6=E34,6,IF($H$6&lt;E34,6,0))</f>
        <v/>
      </c>
      <c r="L34" s="377" t="n"/>
      <c r="M34" s="390" t="n"/>
      <c r="N34" s="377">
        <f>IF($H$7=E34,6,IF($H$7&gt;E34,6,0))</f>
        <v/>
      </c>
      <c r="O34" s="377" t="n"/>
      <c r="P34" s="390" t="n"/>
      <c r="Q34" s="377">
        <f>MIN(N34,K34,G34)</f>
        <v/>
      </c>
      <c r="R34" s="377" t="n"/>
      <c r="S34" s="390" t="n"/>
      <c r="T34" s="377" t="n"/>
      <c r="U34" s="389" t="n"/>
      <c r="V34" s="492" t="n"/>
      <c r="W34" s="358" t="n"/>
      <c r="X34" s="492" t="n"/>
    </row>
    <row r="40">
      <c r="B40" s="396" t="inlineStr">
        <is>
          <t>DEPENDANT 2</t>
        </is>
      </c>
      <c r="E40" t="inlineStr">
        <is>
          <t>Current Age in Years</t>
        </is>
      </c>
      <c r="F40" t="inlineStr">
        <is>
          <t>Age Cut Off (18 yrs - includes the month of their 18th birthday)</t>
        </is>
      </c>
    </row>
    <row r="41" ht="16.5" customHeight="1">
      <c r="E41" s="395">
        <f>DATEDIF('CDB Calculator Summary Sheet'!J7,TODAY(),"Y")&amp;" Years, "&amp;DATEDIF('CDB Calculator Summary Sheet'!J7,TODAY(),"YM")&amp;" Months"</f>
        <v/>
      </c>
      <c r="F41" s="892">
        <f>EDATE(DATE(YEAR('CDB Calculator Summary Sheet'!J7) + 18, MONTH('CDB Calculator Summary Sheet'!J7), DAY('CDB Calculator Summary Sheet'!J7)),0)</f>
        <v/>
      </c>
      <c r="G41" s="492" t="inlineStr">
        <is>
          <t>DOB</t>
        </is>
      </c>
      <c r="H41" s="360">
        <f>'CDB Calculator Summary Sheet'!J7</f>
        <v/>
      </c>
    </row>
    <row r="42">
      <c r="B42" s="492" t="inlineStr">
        <is>
          <t>Age Start</t>
        </is>
      </c>
      <c r="C42" s="492" t="inlineStr">
        <is>
          <t>Age End</t>
        </is>
      </c>
      <c r="D42" s="484">
        <f>B43</f>
        <v/>
      </c>
      <c r="E42" s="484">
        <f>MONTH('CDB Calculator Summary Sheet'!J7)</f>
        <v/>
      </c>
      <c r="F42" t="inlineStr">
        <is>
          <t>&lt;--Age Start</t>
        </is>
      </c>
      <c r="G42" s="492" t="inlineStr">
        <is>
          <t>DTC Start Yr</t>
        </is>
      </c>
      <c r="H42">
        <f>'CDB Calculator Summary Sheet'!H7</f>
        <v/>
      </c>
      <c r="Q42" s="740" t="inlineStr">
        <is>
          <t>Eligble Months by 1/2 pay peiod</t>
        </is>
      </c>
    </row>
    <row r="43">
      <c r="B43" s="484">
        <f>YEAR('CDB Calculator Summary Sheet'!J7)</f>
        <v/>
      </c>
      <c r="C43" s="482">
        <f>YEAR(F41)</f>
        <v/>
      </c>
      <c r="D43" s="484">
        <f>YEAR(F41)</f>
        <v/>
      </c>
      <c r="E43" s="484">
        <f>MONTH(F41)</f>
        <v/>
      </c>
      <c r="F43" t="inlineStr">
        <is>
          <t>&lt;--Age End</t>
        </is>
      </c>
      <c r="G43" s="492" t="inlineStr">
        <is>
          <t>DTC End Yr</t>
        </is>
      </c>
      <c r="H43">
        <f>'CDB Calculator Summary Sheet'!I7</f>
        <v/>
      </c>
    </row>
    <row r="44"/>
    <row r="45" ht="15" customHeight="1">
      <c r="F45" s="739" t="inlineStr">
        <is>
          <t>Months in payout period</t>
        </is>
      </c>
      <c r="G45" s="739" t="inlineStr">
        <is>
          <t>Eligible Months Based on Age 18 or less</t>
        </is>
      </c>
      <c r="I45" s="739" t="inlineStr">
        <is>
          <t>Total Eligible Months by Age</t>
        </is>
      </c>
      <c r="K45" s="739" t="inlineStr">
        <is>
          <t>Eligible Months Based on DTC Start Yr</t>
        </is>
      </c>
      <c r="L45" s="739" t="inlineStr">
        <is>
          <t>Total Eligible Months by DTC Start</t>
        </is>
      </c>
      <c r="M45" s="492" t="n"/>
      <c r="N45" s="739" t="inlineStr">
        <is>
          <t>Eligible Months Based on DTC End Yr</t>
        </is>
      </c>
      <c r="O45" s="739" t="inlineStr">
        <is>
          <t>Total Eligible Months by DTC End</t>
        </is>
      </c>
      <c r="P45" s="492" t="n"/>
      <c r="R45" s="739" t="inlineStr">
        <is>
          <t>Total Eligible Months (Age &amp; DTC Start and End)</t>
        </is>
      </c>
      <c r="U45" s="740" t="inlineStr">
        <is>
          <t>Effective Dependant Count</t>
        </is>
      </c>
      <c r="V45" s="739" t="inlineStr">
        <is>
          <t>Count of Eligible Kids</t>
        </is>
      </c>
    </row>
    <row r="46">
      <c r="B46" s="392" t="inlineStr">
        <is>
          <t>Base Yr</t>
        </is>
      </c>
      <c r="C46" s="392" t="inlineStr">
        <is>
          <t>Payout Period</t>
        </is>
      </c>
      <c r="D46" s="279" t="n"/>
      <c r="E46" s="752" t="n"/>
      <c r="H46" t="inlineStr">
        <is>
          <t>Base Year</t>
        </is>
      </c>
      <c r="J46" s="492" t="inlineStr">
        <is>
          <t>% of Year</t>
        </is>
      </c>
      <c r="M46" s="492" t="inlineStr">
        <is>
          <t>% of Year</t>
        </is>
      </c>
      <c r="P46" s="492" t="inlineStr">
        <is>
          <t>% of Year</t>
        </is>
      </c>
      <c r="Q46" s="39" t="n"/>
      <c r="S46" s="492" t="inlineStr">
        <is>
          <t>% of Year</t>
        </is>
      </c>
      <c r="T46" t="inlineStr">
        <is>
          <t>Base Year</t>
        </is>
      </c>
      <c r="U46" s="39" t="n"/>
    </row>
    <row r="47">
      <c r="B47" s="484">
        <f>'CDB Calculator Summary Sheet'!$G$17</f>
        <v/>
      </c>
      <c r="C47" s="391" t="n">
        <v>43831</v>
      </c>
      <c r="D47" s="391" t="n">
        <v>44012</v>
      </c>
      <c r="E47" s="484">
        <f>B47+2</f>
        <v/>
      </c>
      <c r="F47" s="484" t="n">
        <v>6</v>
      </c>
      <c r="G47" s="484">
        <f>IF($C$43=E47,IF($E$43&lt;6,$E$43,6),IF($C$43&gt;E47,6,0))</f>
        <v/>
      </c>
      <c r="H47" s="484">
        <f>B47</f>
        <v/>
      </c>
      <c r="I47" s="484">
        <f>G47+G48</f>
        <v/>
      </c>
      <c r="J47" s="362">
        <f>I47/12</f>
        <v/>
      </c>
      <c r="K47" s="484">
        <f>IF($H$42=E47,6,IF($H$42&lt;E47,6,0))</f>
        <v/>
      </c>
      <c r="L47" s="484">
        <f>K47+K48</f>
        <v/>
      </c>
      <c r="M47" s="362">
        <f>L47/12</f>
        <v/>
      </c>
      <c r="N47" s="484">
        <f>IF($H$43=E47,6,IF($H$43&gt;E47,6,0))</f>
        <v/>
      </c>
      <c r="O47" s="484">
        <f>N47+N48</f>
        <v/>
      </c>
      <c r="P47" s="362">
        <f>O47/12</f>
        <v/>
      </c>
      <c r="Q47" s="484">
        <f>MIN(N47,K47,G47)</f>
        <v/>
      </c>
      <c r="R47" s="484">
        <f>MIN(O47,L47,I47)</f>
        <v/>
      </c>
      <c r="S47" s="362">
        <f>R47/12</f>
        <v/>
      </c>
      <c r="T47" s="484">
        <f>H47</f>
        <v/>
      </c>
      <c r="U47" s="501">
        <f>S47*1</f>
        <v/>
      </c>
      <c r="V47" s="492">
        <f>IF(U47&gt;0,1,0)</f>
        <v/>
      </c>
    </row>
    <row r="48">
      <c r="B48" s="484">
        <f>B47</f>
        <v/>
      </c>
      <c r="C48" s="391" t="n">
        <v>44013</v>
      </c>
      <c r="D48" s="391" t="n">
        <v>44196</v>
      </c>
      <c r="E48" s="484">
        <f>B48+1</f>
        <v/>
      </c>
      <c r="F48" s="484" t="n">
        <v>6</v>
      </c>
      <c r="G48" s="484">
        <f>IF($C$43=E48,IF($E$43&gt;6,$E$43-6,0),IF($C$43&gt;E48,6,0))</f>
        <v/>
      </c>
      <c r="H48" s="377" t="n"/>
      <c r="I48" s="377" t="n"/>
      <c r="J48" s="390" t="n"/>
      <c r="K48" s="377">
        <f>IF($H$42=E48,6,IF($H$42&lt;E48,6,0))</f>
        <v/>
      </c>
      <c r="L48" s="377" t="n"/>
      <c r="M48" s="390" t="n"/>
      <c r="N48" s="377">
        <f>IF($H$43=E48,6,IF($H$43&gt;E48,6,0))</f>
        <v/>
      </c>
      <c r="O48" s="377" t="n"/>
      <c r="P48" s="390" t="n"/>
      <c r="Q48" s="377">
        <f>MIN(N48,K48,G48)</f>
        <v/>
      </c>
      <c r="R48" s="377" t="n"/>
      <c r="S48" s="390" t="n"/>
      <c r="T48" s="377" t="n"/>
      <c r="U48" s="389" t="n"/>
      <c r="V48" s="492" t="n"/>
    </row>
    <row r="49">
      <c r="B49" s="484">
        <f>'CDB Calculator Summary Sheet'!$G$18</f>
        <v/>
      </c>
      <c r="C49" s="391" t="n">
        <v>43831</v>
      </c>
      <c r="D49" s="391" t="n">
        <v>44012</v>
      </c>
      <c r="E49" s="484">
        <f>B49+2</f>
        <v/>
      </c>
      <c r="F49" s="484" t="n">
        <v>6</v>
      </c>
      <c r="G49" s="484">
        <f>IF($C$43=E49,IF($E$43&lt;6,$E$43,6),IF($C$43&gt;E49,6,0))</f>
        <v/>
      </c>
      <c r="H49" s="484">
        <f>B49</f>
        <v/>
      </c>
      <c r="I49" s="484">
        <f>G49+G50</f>
        <v/>
      </c>
      <c r="J49" s="362">
        <f>I49/12</f>
        <v/>
      </c>
      <c r="K49" s="484">
        <f>IF($H$42=E49,6,IF($H$42&lt;E49,6,0))</f>
        <v/>
      </c>
      <c r="L49" s="484">
        <f>K49+K50</f>
        <v/>
      </c>
      <c r="M49" s="362">
        <f>L49/12</f>
        <v/>
      </c>
      <c r="N49" s="484">
        <f>IF($H$43=E49,6,IF($H$43&gt;E49,6,0))</f>
        <v/>
      </c>
      <c r="O49" s="484">
        <f>N49+N50</f>
        <v/>
      </c>
      <c r="P49" s="362">
        <f>O49/12</f>
        <v/>
      </c>
      <c r="Q49" s="484">
        <f>MIN(N49,K49,G49)</f>
        <v/>
      </c>
      <c r="R49" s="484">
        <f>MIN(O49,L49,I49)</f>
        <v/>
      </c>
      <c r="S49" s="362">
        <f>R49/12</f>
        <v/>
      </c>
      <c r="T49" s="484">
        <f>H49</f>
        <v/>
      </c>
      <c r="U49" s="501">
        <f>S49*1</f>
        <v/>
      </c>
      <c r="V49" s="492">
        <f>IF(U49&gt;0,1,0)</f>
        <v/>
      </c>
    </row>
    <row r="50">
      <c r="B50" s="484">
        <f>B49</f>
        <v/>
      </c>
      <c r="C50" s="391" t="n">
        <v>44013</v>
      </c>
      <c r="D50" s="391" t="n">
        <v>44196</v>
      </c>
      <c r="E50" s="484">
        <f>B50+1</f>
        <v/>
      </c>
      <c r="F50" s="484" t="n">
        <v>6</v>
      </c>
      <c r="G50" s="484">
        <f>IF($C$43=E50,IF($E$43&gt;6,$E$43-6,0),IF($C$43&gt;E50,6,0))</f>
        <v/>
      </c>
      <c r="H50" s="377" t="n"/>
      <c r="I50" s="377" t="n"/>
      <c r="J50" s="390" t="n"/>
      <c r="K50" s="377">
        <f>IF($H$42=E50,6,IF($H$42&lt;E50,6,0))</f>
        <v/>
      </c>
      <c r="L50" s="377" t="n"/>
      <c r="M50" s="390" t="n"/>
      <c r="N50" s="377">
        <f>IF($H$43=E50,6,IF($H$43&gt;E50,6,0))</f>
        <v/>
      </c>
      <c r="O50" s="377" t="n"/>
      <c r="P50" s="390" t="n"/>
      <c r="Q50" s="377">
        <f>MIN(N50,K50,G50)</f>
        <v/>
      </c>
      <c r="R50" s="377" t="n"/>
      <c r="S50" s="390" t="n"/>
      <c r="T50" s="377" t="n"/>
      <c r="U50" s="389" t="n"/>
      <c r="V50" s="492" t="n"/>
    </row>
    <row r="51">
      <c r="B51" s="484">
        <f>'CDB Calculator Summary Sheet'!$G$19</f>
        <v/>
      </c>
      <c r="C51" s="391" t="n">
        <v>43831</v>
      </c>
      <c r="D51" s="391" t="n">
        <v>44012</v>
      </c>
      <c r="E51" s="484">
        <f>B51+2</f>
        <v/>
      </c>
      <c r="F51" s="484" t="n">
        <v>6</v>
      </c>
      <c r="G51" s="484">
        <f>IF($C$43=E51,IF($E$43&lt;6,$E$43,6),IF($C$43&gt;E51,6,0))</f>
        <v/>
      </c>
      <c r="H51" s="484">
        <f>B51</f>
        <v/>
      </c>
      <c r="I51" s="484">
        <f>G51+G52</f>
        <v/>
      </c>
      <c r="J51" s="362">
        <f>I51/12</f>
        <v/>
      </c>
      <c r="K51" s="484">
        <f>IF($H$42=E51,6,IF($H$42&lt;E51,6,0))</f>
        <v/>
      </c>
      <c r="L51" s="484">
        <f>K51+K52</f>
        <v/>
      </c>
      <c r="M51" s="362">
        <f>L51/12</f>
        <v/>
      </c>
      <c r="N51" s="484">
        <f>IF($H$43=E51,6,IF($H$43&gt;E51,6,0))</f>
        <v/>
      </c>
      <c r="O51" s="484">
        <f>N51+N52</f>
        <v/>
      </c>
      <c r="P51" s="362">
        <f>O51/12</f>
        <v/>
      </c>
      <c r="Q51" s="484">
        <f>MIN(N51,K51,G51)</f>
        <v/>
      </c>
      <c r="R51" s="484">
        <f>MIN(O51,L51,I51)</f>
        <v/>
      </c>
      <c r="S51" s="362">
        <f>R51/12</f>
        <v/>
      </c>
      <c r="T51" s="484">
        <f>H51</f>
        <v/>
      </c>
      <c r="U51" s="501">
        <f>S51*1</f>
        <v/>
      </c>
      <c r="V51" s="492">
        <f>IF(U51&gt;0,1,0)</f>
        <v/>
      </c>
    </row>
    <row r="52">
      <c r="B52" s="484">
        <f>B51</f>
        <v/>
      </c>
      <c r="C52" s="391" t="n">
        <v>44013</v>
      </c>
      <c r="D52" s="391" t="n">
        <v>44196</v>
      </c>
      <c r="E52" s="484">
        <f>B52+1</f>
        <v/>
      </c>
      <c r="F52" s="484" t="n">
        <v>6</v>
      </c>
      <c r="G52" s="484">
        <f>IF($C$43=E52,IF($E$43&gt;6,$E$43-6,0),IF($C$43&gt;E52,6,0))</f>
        <v/>
      </c>
      <c r="H52" s="377" t="n"/>
      <c r="I52" s="377" t="n"/>
      <c r="J52" s="390" t="n"/>
      <c r="K52" s="377">
        <f>IF($H$42=E52,6,IF($H$42&lt;E52,6,0))</f>
        <v/>
      </c>
      <c r="L52" s="377" t="n"/>
      <c r="M52" s="390" t="n"/>
      <c r="N52" s="377">
        <f>IF($H$43=E52,6,IF($H$43&gt;E52,6,0))</f>
        <v/>
      </c>
      <c r="O52" s="377" t="n"/>
      <c r="P52" s="390" t="n"/>
      <c r="Q52" s="377">
        <f>MIN(N52,K52,G52)</f>
        <v/>
      </c>
      <c r="R52" s="377" t="n"/>
      <c r="S52" s="390" t="n"/>
      <c r="T52" s="377" t="n"/>
      <c r="U52" s="389" t="n"/>
      <c r="V52" s="492" t="n"/>
    </row>
    <row r="53">
      <c r="B53" s="484">
        <f>'CDB Calculator Summary Sheet'!$G$20</f>
        <v/>
      </c>
      <c r="C53" s="391" t="n">
        <v>43831</v>
      </c>
      <c r="D53" s="391" t="n">
        <v>44012</v>
      </c>
      <c r="E53" s="484">
        <f>B53+2</f>
        <v/>
      </c>
      <c r="F53" s="484" t="n">
        <v>6</v>
      </c>
      <c r="G53" s="484">
        <f>IF($C$43=E53,IF($E$43&lt;6,$E$43,6),IF($C$43&gt;E53,6,0))</f>
        <v/>
      </c>
      <c r="H53" s="484">
        <f>B53</f>
        <v/>
      </c>
      <c r="I53" s="484">
        <f>G53+G54</f>
        <v/>
      </c>
      <c r="J53" s="362">
        <f>I53/12</f>
        <v/>
      </c>
      <c r="K53" s="484">
        <f>IF($H$42=E53,6,IF($H$42&lt;E53,6,0))</f>
        <v/>
      </c>
      <c r="L53" s="484">
        <f>K53+K54</f>
        <v/>
      </c>
      <c r="M53" s="362">
        <f>L53/12</f>
        <v/>
      </c>
      <c r="N53" s="484">
        <f>IF($H$43=E53,6,IF($H$43&gt;E53,6,0))</f>
        <v/>
      </c>
      <c r="O53" s="484">
        <f>N53+N54</f>
        <v/>
      </c>
      <c r="P53" s="362">
        <f>O53/12</f>
        <v/>
      </c>
      <c r="Q53" s="484">
        <f>MIN(N53,K53,G53)</f>
        <v/>
      </c>
      <c r="R53" s="484">
        <f>MIN(O53,L53,I53)</f>
        <v/>
      </c>
      <c r="S53" s="362">
        <f>R53/12</f>
        <v/>
      </c>
      <c r="T53" s="484">
        <f>H53</f>
        <v/>
      </c>
      <c r="U53" s="501">
        <f>S53*1</f>
        <v/>
      </c>
      <c r="V53" s="492">
        <f>IF(U53&gt;0,1,0)</f>
        <v/>
      </c>
    </row>
    <row r="54">
      <c r="B54" s="484">
        <f>B53</f>
        <v/>
      </c>
      <c r="C54" s="391" t="n">
        <v>44013</v>
      </c>
      <c r="D54" s="391" t="n">
        <v>44196</v>
      </c>
      <c r="E54" s="484">
        <f>B54+1</f>
        <v/>
      </c>
      <c r="F54" s="484" t="n">
        <v>6</v>
      </c>
      <c r="G54" s="484">
        <f>IF($C$43=E54,IF($E$43&gt;6,$E$43-6,0),IF($C$43&gt;E54,6,0))</f>
        <v/>
      </c>
      <c r="H54" s="377" t="n"/>
      <c r="I54" s="377" t="n"/>
      <c r="J54" s="390" t="n"/>
      <c r="K54" s="377">
        <f>IF($H$42=E54,6,IF($H$42&lt;E54,6,0))</f>
        <v/>
      </c>
      <c r="L54" s="377" t="n"/>
      <c r="M54" s="390" t="n"/>
      <c r="N54" s="377">
        <f>IF($H$43=E54,6,IF($H$43&gt;E54,6,0))</f>
        <v/>
      </c>
      <c r="O54" s="377" t="n"/>
      <c r="P54" s="390" t="n"/>
      <c r="Q54" s="377">
        <f>MIN(N54,K54,G54)</f>
        <v/>
      </c>
      <c r="R54" s="377" t="n"/>
      <c r="S54" s="390" t="n"/>
      <c r="T54" s="377" t="n"/>
      <c r="U54" s="389" t="n"/>
      <c r="V54" s="492" t="n"/>
    </row>
    <row r="55">
      <c r="B55" s="484">
        <f>'CDB Calculator Summary Sheet'!$G$21</f>
        <v/>
      </c>
      <c r="C55" s="391" t="n">
        <v>43831</v>
      </c>
      <c r="D55" s="391" t="n">
        <v>44012</v>
      </c>
      <c r="E55" s="484">
        <f>B55+2</f>
        <v/>
      </c>
      <c r="F55" s="484" t="n">
        <v>6</v>
      </c>
      <c r="G55" s="484">
        <f>IF($C$43=E55,IF($E$43&lt;6,$E$43,6),IF($C$43&gt;E55,6,0))</f>
        <v/>
      </c>
      <c r="H55" s="484">
        <f>B55</f>
        <v/>
      </c>
      <c r="I55" s="484">
        <f>G55+G56</f>
        <v/>
      </c>
      <c r="J55" s="362">
        <f>I55/12</f>
        <v/>
      </c>
      <c r="K55" s="484">
        <f>IF($H$42=E55,6,IF($H$42&lt;E55,6,0))</f>
        <v/>
      </c>
      <c r="L55" s="484">
        <f>K55+K56</f>
        <v/>
      </c>
      <c r="M55" s="362">
        <f>L55/12</f>
        <v/>
      </c>
      <c r="N55" s="484">
        <f>IF($H$43=E55,6,IF($H$43&gt;E55,6,0))</f>
        <v/>
      </c>
      <c r="O55" s="484">
        <f>N55+N56</f>
        <v/>
      </c>
      <c r="P55" s="362">
        <f>O55/12</f>
        <v/>
      </c>
      <c r="Q55" s="484">
        <f>MIN(N55,K55,G55)</f>
        <v/>
      </c>
      <c r="R55" s="484">
        <f>MIN(O55,L55,I55)</f>
        <v/>
      </c>
      <c r="S55" s="362">
        <f>R55/12</f>
        <v/>
      </c>
      <c r="T55" s="484">
        <f>H55</f>
        <v/>
      </c>
      <c r="U55" s="501">
        <f>S55*1</f>
        <v/>
      </c>
      <c r="V55" s="492">
        <f>IF(U55&gt;0,1,0)</f>
        <v/>
      </c>
    </row>
    <row r="56">
      <c r="B56" s="484">
        <f>B55</f>
        <v/>
      </c>
      <c r="C56" s="391" t="n">
        <v>44013</v>
      </c>
      <c r="D56" s="391" t="n">
        <v>44196</v>
      </c>
      <c r="E56" s="484">
        <f>B56+1</f>
        <v/>
      </c>
      <c r="F56" s="484" t="n">
        <v>6</v>
      </c>
      <c r="G56" s="484">
        <f>IF($C$43=E56,IF($E$43&gt;6,$E$43-6,0),IF($C$43&gt;E56,6,0))</f>
        <v/>
      </c>
      <c r="H56" s="377" t="n"/>
      <c r="I56" s="377" t="n"/>
      <c r="J56" s="390" t="n"/>
      <c r="K56" s="377">
        <f>IF($H$42=E56,6,IF($H$42&lt;E56,6,0))</f>
        <v/>
      </c>
      <c r="L56" s="377" t="n"/>
      <c r="M56" s="390" t="n"/>
      <c r="N56" s="377">
        <f>IF($H$43=E56,6,IF($H$43&gt;E56,6,0))</f>
        <v/>
      </c>
      <c r="O56" s="377" t="n"/>
      <c r="P56" s="390" t="n"/>
      <c r="Q56" s="377">
        <f>MIN(N56,K56,G56)</f>
        <v/>
      </c>
      <c r="R56" s="377" t="n"/>
      <c r="S56" s="390" t="n"/>
      <c r="T56" s="377" t="n"/>
      <c r="U56" s="389" t="n"/>
      <c r="V56" s="492" t="n"/>
    </row>
    <row r="57">
      <c r="B57" s="484">
        <f>'CDB Calculator Summary Sheet'!$G$22</f>
        <v/>
      </c>
      <c r="C57" s="391" t="n">
        <v>43831</v>
      </c>
      <c r="D57" s="391" t="n">
        <v>44012</v>
      </c>
      <c r="E57" s="484">
        <f>B57+2</f>
        <v/>
      </c>
      <c r="F57" s="484" t="n">
        <v>6</v>
      </c>
      <c r="G57" s="484">
        <f>IF($C$43=E57,IF($E$43&lt;6,$E$43,6),IF($C$43&gt;E57,6,0))</f>
        <v/>
      </c>
      <c r="H57" s="484">
        <f>B57</f>
        <v/>
      </c>
      <c r="I57" s="484">
        <f>G57+G58</f>
        <v/>
      </c>
      <c r="J57" s="362">
        <f>I57/12</f>
        <v/>
      </c>
      <c r="K57" s="484">
        <f>IF($H$42=E57,6,IF($H$42&lt;E57,6,0))</f>
        <v/>
      </c>
      <c r="L57" s="484">
        <f>K57+K58</f>
        <v/>
      </c>
      <c r="M57" s="362">
        <f>L57/12</f>
        <v/>
      </c>
      <c r="N57" s="484">
        <f>IF($H$43=E57,6,IF($H$43&gt;E57,6,0))</f>
        <v/>
      </c>
      <c r="O57" s="484">
        <f>N57+N58</f>
        <v/>
      </c>
      <c r="P57" s="362">
        <f>O57/12</f>
        <v/>
      </c>
      <c r="Q57" s="484">
        <f>MIN(N57,K57,G57)</f>
        <v/>
      </c>
      <c r="R57" s="484">
        <f>MIN(O57,L57,I57)</f>
        <v/>
      </c>
      <c r="S57" s="362">
        <f>R57/12</f>
        <v/>
      </c>
      <c r="T57" s="484">
        <f>H57</f>
        <v/>
      </c>
      <c r="U57" s="501">
        <f>S57*1</f>
        <v/>
      </c>
      <c r="V57" s="492">
        <f>IF(U57&gt;0,1,0)</f>
        <v/>
      </c>
    </row>
    <row r="58">
      <c r="B58" s="484">
        <f>B57</f>
        <v/>
      </c>
      <c r="C58" s="391" t="n">
        <v>44013</v>
      </c>
      <c r="D58" s="391" t="n">
        <v>44196</v>
      </c>
      <c r="E58" s="484">
        <f>B58+1</f>
        <v/>
      </c>
      <c r="F58" s="484" t="n">
        <v>6</v>
      </c>
      <c r="G58" s="484">
        <f>IF($C$43=E58,IF($E$43&gt;6,$E$43-6,0),IF($C$43&gt;E58,6,0))</f>
        <v/>
      </c>
      <c r="H58" s="377" t="n"/>
      <c r="I58" s="377" t="n"/>
      <c r="J58" s="390" t="n"/>
      <c r="K58" s="377">
        <f>IF($H$42=E58,6,IF($H$42&lt;E58,6,0))</f>
        <v/>
      </c>
      <c r="L58" s="377" t="n"/>
      <c r="M58" s="390" t="n"/>
      <c r="N58" s="377">
        <f>IF($H$43=E58,6,IF($H$43&gt;E58,6,0))</f>
        <v/>
      </c>
      <c r="O58" s="377" t="n"/>
      <c r="P58" s="390" t="n"/>
      <c r="Q58" s="377">
        <f>MIN(N58,K58,G58)</f>
        <v/>
      </c>
      <c r="R58" s="377" t="n"/>
      <c r="S58" s="390" t="n"/>
      <c r="T58" s="377" t="n"/>
      <c r="U58" s="389" t="n"/>
      <c r="V58" s="492" t="n"/>
    </row>
    <row r="59">
      <c r="B59" s="484">
        <f>'CDB Calculator Summary Sheet'!$G$23</f>
        <v/>
      </c>
      <c r="C59" s="391" t="n">
        <v>43831</v>
      </c>
      <c r="D59" s="391" t="n">
        <v>44012</v>
      </c>
      <c r="E59" s="484">
        <f>B59+2</f>
        <v/>
      </c>
      <c r="F59" s="484" t="n">
        <v>6</v>
      </c>
      <c r="G59" s="484">
        <f>IF($C$43=E59,IF($E$43&lt;6,$E$43,6),IF($C$43&gt;E59,6,0))</f>
        <v/>
      </c>
      <c r="H59" s="484">
        <f>B59</f>
        <v/>
      </c>
      <c r="I59" s="484">
        <f>G59+G60</f>
        <v/>
      </c>
      <c r="J59" s="362">
        <f>I59/12</f>
        <v/>
      </c>
      <c r="K59" s="484">
        <f>IF($H$42=E59,6,IF($H$42&lt;E59,6,0))</f>
        <v/>
      </c>
      <c r="L59" s="484">
        <f>K59+K60</f>
        <v/>
      </c>
      <c r="M59" s="362">
        <f>L59/12</f>
        <v/>
      </c>
      <c r="N59" s="484">
        <f>IF($H$43=E59,6,IF($H$43&gt;E59,6,0))</f>
        <v/>
      </c>
      <c r="O59" s="484">
        <f>N59+N60</f>
        <v/>
      </c>
      <c r="P59" s="362">
        <f>O59/12</f>
        <v/>
      </c>
      <c r="Q59" s="484">
        <f>MIN(N59,K59,G59)</f>
        <v/>
      </c>
      <c r="R59" s="484">
        <f>MIN(O59,L59,I59)</f>
        <v/>
      </c>
      <c r="S59" s="362">
        <f>R59/12</f>
        <v/>
      </c>
      <c r="T59" s="484">
        <f>H59</f>
        <v/>
      </c>
      <c r="U59" s="501">
        <f>S59*1</f>
        <v/>
      </c>
      <c r="V59" s="492">
        <f>IF(U59&gt;0,1,0)</f>
        <v/>
      </c>
    </row>
    <row r="60">
      <c r="B60" s="484">
        <f>B59</f>
        <v/>
      </c>
      <c r="C60" s="391" t="n">
        <v>44013</v>
      </c>
      <c r="D60" s="391" t="n">
        <v>44196</v>
      </c>
      <c r="E60" s="484">
        <f>B60+1</f>
        <v/>
      </c>
      <c r="F60" s="484" t="n">
        <v>6</v>
      </c>
      <c r="G60" s="484">
        <f>IF($C$43=E60,IF($E$43&gt;6,$E$43-6,0),IF($C$43&gt;E60,6,0))</f>
        <v/>
      </c>
      <c r="H60" s="377" t="n"/>
      <c r="I60" s="377" t="n"/>
      <c r="J60" s="390" t="n"/>
      <c r="K60" s="377">
        <f>IF($H$42=E60,6,IF($H$42&lt;E60,6,0))</f>
        <v/>
      </c>
      <c r="L60" s="377" t="n"/>
      <c r="M60" s="390" t="n"/>
      <c r="N60" s="377">
        <f>IF($H$43=E60,6,IF($H$43&gt;E60,6,0))</f>
        <v/>
      </c>
      <c r="O60" s="377" t="n"/>
      <c r="P60" s="390" t="n"/>
      <c r="Q60" s="377">
        <f>MIN(N60,K60,G60)</f>
        <v/>
      </c>
      <c r="R60" s="377" t="n"/>
      <c r="S60" s="390" t="n"/>
      <c r="T60" s="377" t="n"/>
      <c r="U60" s="389" t="n"/>
      <c r="V60" s="492" t="n"/>
    </row>
    <row r="61">
      <c r="B61" s="484">
        <f>'CDB Calculator Summary Sheet'!$G$24</f>
        <v/>
      </c>
      <c r="C61" s="391" t="n">
        <v>43831</v>
      </c>
      <c r="D61" s="391" t="n">
        <v>44012</v>
      </c>
      <c r="E61" s="484">
        <f>B61+2</f>
        <v/>
      </c>
      <c r="F61" s="484" t="n">
        <v>6</v>
      </c>
      <c r="G61" s="484">
        <f>IF($C$43=E61,IF($E$43&lt;6,$E$43,6),IF($C$43&gt;E61,6,0))</f>
        <v/>
      </c>
      <c r="H61" s="484">
        <f>B61</f>
        <v/>
      </c>
      <c r="I61" s="484">
        <f>G61+G62</f>
        <v/>
      </c>
      <c r="J61" s="362">
        <f>I61/12</f>
        <v/>
      </c>
      <c r="K61" s="484">
        <f>IF($H$42=E61,6,IF($H$42&lt;E61,6,0))</f>
        <v/>
      </c>
      <c r="L61" s="484">
        <f>K61+K62</f>
        <v/>
      </c>
      <c r="M61" s="362">
        <f>L61/12</f>
        <v/>
      </c>
      <c r="N61" s="484">
        <f>IF($H$43=E61,6,IF($H$43&gt;E61,6,0))</f>
        <v/>
      </c>
      <c r="O61" s="484">
        <f>N61+N62</f>
        <v/>
      </c>
      <c r="P61" s="362">
        <f>O61/12</f>
        <v/>
      </c>
      <c r="Q61" s="484">
        <f>MIN(N61,K61,G61)</f>
        <v/>
      </c>
      <c r="R61" s="484">
        <f>MIN(O61,L61,I61)</f>
        <v/>
      </c>
      <c r="S61" s="362">
        <f>R61/12</f>
        <v/>
      </c>
      <c r="T61" s="484">
        <f>H61</f>
        <v/>
      </c>
      <c r="U61" s="501">
        <f>S61*1</f>
        <v/>
      </c>
      <c r="V61" s="492">
        <f>IF(U61&gt;0,1,0)</f>
        <v/>
      </c>
    </row>
    <row r="62">
      <c r="B62" s="484">
        <f>B61</f>
        <v/>
      </c>
      <c r="C62" s="391" t="n">
        <v>44013</v>
      </c>
      <c r="D62" s="391" t="n">
        <v>44196</v>
      </c>
      <c r="E62" s="484">
        <f>B62+1</f>
        <v/>
      </c>
      <c r="F62" s="484" t="n">
        <v>6</v>
      </c>
      <c r="G62" s="484">
        <f>IF($C$43=E62,IF($E$43&gt;6,$E$43-6,0),IF($C$43&gt;E62,6,0))</f>
        <v/>
      </c>
      <c r="H62" s="377" t="n"/>
      <c r="I62" s="377" t="n"/>
      <c r="J62" s="390" t="n"/>
      <c r="K62" s="377">
        <f>IF($H$42=E62,6,IF($H$42&lt;E62,6,0))</f>
        <v/>
      </c>
      <c r="L62" s="377" t="n"/>
      <c r="M62" s="390" t="n"/>
      <c r="N62" s="377">
        <f>IF($H$43=E62,6,IF($H$43&gt;E62,6,0))</f>
        <v/>
      </c>
      <c r="O62" s="377" t="n"/>
      <c r="P62" s="390" t="n"/>
      <c r="Q62" s="377">
        <f>MIN(N62,K62,G62)</f>
        <v/>
      </c>
      <c r="R62" s="377" t="n"/>
      <c r="S62" s="390" t="n"/>
      <c r="T62" s="377" t="n"/>
      <c r="U62" s="389" t="n"/>
      <c r="V62" s="492" t="n"/>
    </row>
    <row r="63">
      <c r="B63" s="484">
        <f>'CDB Calculator Summary Sheet'!$G$25</f>
        <v/>
      </c>
      <c r="C63" s="391" t="n">
        <v>43831</v>
      </c>
      <c r="D63" s="391" t="n">
        <v>44012</v>
      </c>
      <c r="E63" s="484">
        <f>B63+2</f>
        <v/>
      </c>
      <c r="F63" s="484" t="n">
        <v>6</v>
      </c>
      <c r="G63" s="484">
        <f>IF($C$43=E63,IF($E$43&lt;6,$E$43,6),IF($C$43&gt;E63,6,0))</f>
        <v/>
      </c>
      <c r="H63" s="484">
        <f>B63</f>
        <v/>
      </c>
      <c r="I63" s="484">
        <f>G63+G64</f>
        <v/>
      </c>
      <c r="J63" s="362">
        <f>I63/12</f>
        <v/>
      </c>
      <c r="K63" s="484">
        <f>IF($H$42=E63,6,IF($H$42&lt;E63,6,0))</f>
        <v/>
      </c>
      <c r="L63" s="484">
        <f>K63+K64</f>
        <v/>
      </c>
      <c r="M63" s="362">
        <f>L63/12</f>
        <v/>
      </c>
      <c r="N63" s="484">
        <f>IF($H$43=E63,6,IF($H$43&gt;E63,6,0))</f>
        <v/>
      </c>
      <c r="O63" s="484">
        <f>N63+N64</f>
        <v/>
      </c>
      <c r="P63" s="362">
        <f>O63/12</f>
        <v/>
      </c>
      <c r="Q63" s="484">
        <f>MIN(N63,K63,G63)</f>
        <v/>
      </c>
      <c r="R63" s="484">
        <f>MIN(O63,L63,I63)</f>
        <v/>
      </c>
      <c r="S63" s="362">
        <f>R63/12</f>
        <v/>
      </c>
      <c r="T63" s="484">
        <f>H63</f>
        <v/>
      </c>
      <c r="U63" s="501">
        <f>S63*1</f>
        <v/>
      </c>
      <c r="V63" s="492">
        <f>IF(U63&gt;0,1,0)</f>
        <v/>
      </c>
    </row>
    <row r="64">
      <c r="B64" s="484">
        <f>B63</f>
        <v/>
      </c>
      <c r="C64" s="391" t="n">
        <v>44013</v>
      </c>
      <c r="D64" s="391" t="n">
        <v>44196</v>
      </c>
      <c r="E64" s="484">
        <f>B64+1</f>
        <v/>
      </c>
      <c r="F64" s="484" t="n">
        <v>6</v>
      </c>
      <c r="G64" s="484">
        <f>IF($C$43=E64,IF($E$43&gt;6,$E$43-6,0),IF($C$43&gt;E64,6,0))</f>
        <v/>
      </c>
      <c r="H64" s="377" t="n"/>
      <c r="I64" s="377" t="n"/>
      <c r="J64" s="390" t="n"/>
      <c r="K64" s="377">
        <f>IF($H$42=E64,6,IF($H$42&lt;E64,6,0))</f>
        <v/>
      </c>
      <c r="L64" s="377" t="n"/>
      <c r="M64" s="390" t="n"/>
      <c r="N64" s="377">
        <f>IF($H$43=E64,6,IF($H$43&gt;E64,6,0))</f>
        <v/>
      </c>
      <c r="O64" s="377" t="n"/>
      <c r="P64" s="390" t="n"/>
      <c r="Q64" s="377">
        <f>MIN(N64,K64,G64)</f>
        <v/>
      </c>
      <c r="R64" s="377" t="n"/>
      <c r="S64" s="390" t="n"/>
      <c r="T64" s="377" t="n"/>
      <c r="U64" s="389" t="n"/>
      <c r="V64" s="492" t="n"/>
    </row>
    <row r="65">
      <c r="B65" s="484">
        <f>'CDB Calculator Summary Sheet'!$G$26</f>
        <v/>
      </c>
      <c r="C65" s="391" t="n">
        <v>43831</v>
      </c>
      <c r="D65" s="391" t="n">
        <v>44012</v>
      </c>
      <c r="E65" s="484">
        <f>B65+2</f>
        <v/>
      </c>
      <c r="F65" s="484" t="n">
        <v>6</v>
      </c>
      <c r="G65" s="484">
        <f>IF($C$43=E65,IF($E$43&lt;6,$E$43,6),IF($C$43&gt;E65,6,0))</f>
        <v/>
      </c>
      <c r="H65" s="484">
        <f>B65</f>
        <v/>
      </c>
      <c r="I65" s="484">
        <f>G65+G66</f>
        <v/>
      </c>
      <c r="J65" s="362">
        <f>I65/12</f>
        <v/>
      </c>
      <c r="K65" s="484">
        <f>IF($H$42=E65,6,IF($H$42&lt;E65,6,0))</f>
        <v/>
      </c>
      <c r="L65" s="484">
        <f>K65+K66</f>
        <v/>
      </c>
      <c r="M65" s="362">
        <f>L65/12</f>
        <v/>
      </c>
      <c r="N65" s="484">
        <f>IF($H$43=E65,6,IF($H$43&gt;E65,6,0))</f>
        <v/>
      </c>
      <c r="O65" s="484">
        <f>N65+N66</f>
        <v/>
      </c>
      <c r="P65" s="362">
        <f>O65/12</f>
        <v/>
      </c>
      <c r="Q65" s="484">
        <f>MIN(N65,K65,G65)</f>
        <v/>
      </c>
      <c r="R65" s="484">
        <f>MIN(O65,L65,I65)</f>
        <v/>
      </c>
      <c r="S65" s="362">
        <f>R65/12</f>
        <v/>
      </c>
      <c r="T65" s="484">
        <f>H65</f>
        <v/>
      </c>
      <c r="U65" s="501">
        <f>S65*1</f>
        <v/>
      </c>
      <c r="V65" s="492">
        <f>IF(U65&gt;0,1,0)</f>
        <v/>
      </c>
    </row>
    <row r="66">
      <c r="B66" s="484">
        <f>B65</f>
        <v/>
      </c>
      <c r="C66" s="391" t="n">
        <v>44013</v>
      </c>
      <c r="D66" s="391" t="n">
        <v>44196</v>
      </c>
      <c r="E66" s="484">
        <f>B66+1</f>
        <v/>
      </c>
      <c r="F66" s="484" t="n">
        <v>6</v>
      </c>
      <c r="G66" s="484">
        <f>IF($C$43=E66,IF($E$43&gt;6,$E$43-6,0),IF($C$43&gt;E66,6,0))</f>
        <v/>
      </c>
      <c r="H66" s="377" t="n"/>
      <c r="I66" s="377" t="n"/>
      <c r="J66" s="390" t="n"/>
      <c r="K66" s="377">
        <f>IF($H$42=E66,6,IF($H$42&lt;E66,6,0))</f>
        <v/>
      </c>
      <c r="L66" s="377" t="n"/>
      <c r="M66" s="390" t="n"/>
      <c r="N66" s="377">
        <f>IF($H$43=E66,6,IF($H$43&gt;E66,6,0))</f>
        <v/>
      </c>
      <c r="O66" s="377" t="n"/>
      <c r="P66" s="390" t="n"/>
      <c r="Q66" s="377">
        <f>MIN(N66,K66,G66)</f>
        <v/>
      </c>
      <c r="R66" s="377" t="n"/>
      <c r="S66" s="390" t="n"/>
      <c r="T66" s="377" t="n"/>
      <c r="U66" s="389" t="n"/>
      <c r="V66" s="492" t="n"/>
    </row>
    <row r="67">
      <c r="B67" s="484">
        <f>'CDB Calculator Summary Sheet'!#REF!</f>
        <v/>
      </c>
      <c r="C67" s="391" t="n">
        <v>43831</v>
      </c>
      <c r="D67" s="391" t="n">
        <v>44012</v>
      </c>
      <c r="E67" s="484">
        <f>B67+2</f>
        <v/>
      </c>
      <c r="F67" s="484" t="n">
        <v>6</v>
      </c>
      <c r="G67" s="484">
        <f>IF($C$43=E67,IF($E$43&lt;6,$E$43,6),IF($C$43&gt;E67,6,0))</f>
        <v/>
      </c>
      <c r="H67" s="484">
        <f>B67</f>
        <v/>
      </c>
      <c r="I67" s="484">
        <f>G67+G68</f>
        <v/>
      </c>
      <c r="J67" s="362">
        <f>I67/12</f>
        <v/>
      </c>
      <c r="K67" s="484">
        <f>IF($H$42=E67,6,IF($H$42&lt;E67,6,0))</f>
        <v/>
      </c>
      <c r="L67" s="484">
        <f>K67+K68</f>
        <v/>
      </c>
      <c r="M67" s="362">
        <f>L67/12</f>
        <v/>
      </c>
      <c r="N67" s="484">
        <f>IF($H$43=E67,6,IF($H$43&gt;E67,6,0))</f>
        <v/>
      </c>
      <c r="O67" s="484">
        <f>N67+N68</f>
        <v/>
      </c>
      <c r="P67" s="362">
        <f>O67/12</f>
        <v/>
      </c>
      <c r="Q67" s="484">
        <f>MIN(N67,K67,G67)</f>
        <v/>
      </c>
      <c r="R67" s="484">
        <f>MIN(O67,L67,I67)</f>
        <v/>
      </c>
      <c r="S67" s="362">
        <f>R67/12</f>
        <v/>
      </c>
      <c r="T67" s="484">
        <f>H67</f>
        <v/>
      </c>
      <c r="U67" s="501">
        <f>S67*1</f>
        <v/>
      </c>
      <c r="V67" s="492">
        <f>IF(U67&gt;0,1,0)</f>
        <v/>
      </c>
    </row>
    <row r="68">
      <c r="B68" s="484">
        <f>B67</f>
        <v/>
      </c>
      <c r="C68" s="391" t="n">
        <v>44013</v>
      </c>
      <c r="D68" s="391" t="n">
        <v>44196</v>
      </c>
      <c r="E68" s="484">
        <f>B68+1</f>
        <v/>
      </c>
      <c r="F68" s="484" t="n">
        <v>6</v>
      </c>
      <c r="G68" s="484">
        <f>IF($C$43=E68,IF($E$43&gt;6,$E$43-6,0),IF($C$43&gt;E68,6,0))</f>
        <v/>
      </c>
      <c r="H68" s="377" t="n"/>
      <c r="I68" s="377" t="n"/>
      <c r="J68" s="390" t="n"/>
      <c r="K68" s="377">
        <f>IF($H$42=E68,6,IF($H$42&lt;E68,6,0))</f>
        <v/>
      </c>
      <c r="L68" s="377" t="n"/>
      <c r="M68" s="390" t="n"/>
      <c r="N68" s="377">
        <f>IF($H$43=E68,6,IF($H$43&gt;E68,6,0))</f>
        <v/>
      </c>
      <c r="O68" s="377" t="n"/>
      <c r="P68" s="390" t="n"/>
      <c r="Q68" s="377">
        <f>MIN(N68,K68,G68)</f>
        <v/>
      </c>
      <c r="R68" s="377" t="n"/>
      <c r="S68" s="390" t="n"/>
      <c r="T68" s="377" t="n"/>
      <c r="U68" s="389" t="n"/>
      <c r="V68" s="492" t="n"/>
    </row>
    <row r="69">
      <c r="B69" s="484">
        <f>'CDB Calculator Summary Sheet'!#REF!</f>
        <v/>
      </c>
      <c r="C69" s="391" t="n">
        <v>43831</v>
      </c>
      <c r="D69" s="391" t="n">
        <v>44012</v>
      </c>
      <c r="E69" s="484">
        <f>B69+2</f>
        <v/>
      </c>
      <c r="F69" s="484" t="n">
        <v>6</v>
      </c>
      <c r="G69" s="484">
        <f>IF($C$43=E69,IF($E$43&lt;6,$E$43,6),IF($C$43&gt;E69,6,0))</f>
        <v/>
      </c>
      <c r="H69" s="484">
        <f>B69</f>
        <v/>
      </c>
      <c r="I69" s="484">
        <f>G69+G70</f>
        <v/>
      </c>
      <c r="J69" s="362">
        <f>I69/12</f>
        <v/>
      </c>
      <c r="K69" s="484">
        <f>IF($H$42=E69,6,IF($H$42&lt;E69,6,0))</f>
        <v/>
      </c>
      <c r="L69" s="484">
        <f>K69+K70</f>
        <v/>
      </c>
      <c r="M69" s="362">
        <f>L69/12</f>
        <v/>
      </c>
      <c r="N69" s="484">
        <f>IF($H$43=E69,6,IF($H$43&gt;E69,6,0))</f>
        <v/>
      </c>
      <c r="O69" s="484">
        <f>N69+N70</f>
        <v/>
      </c>
      <c r="P69" s="362">
        <f>O69/12</f>
        <v/>
      </c>
      <c r="Q69" s="484">
        <f>MIN(N69,K69,G69)</f>
        <v/>
      </c>
      <c r="R69" s="484">
        <f>MIN(O69,L69,I69)</f>
        <v/>
      </c>
      <c r="S69" s="362">
        <f>R69/12</f>
        <v/>
      </c>
      <c r="T69" s="484">
        <f>H69</f>
        <v/>
      </c>
      <c r="U69" s="501">
        <f>S69*1</f>
        <v/>
      </c>
      <c r="V69" s="492">
        <f>IF(U69&gt;0,1,0)</f>
        <v/>
      </c>
    </row>
    <row r="70">
      <c r="B70" s="484">
        <f>B69</f>
        <v/>
      </c>
      <c r="C70" s="391" t="n">
        <v>44013</v>
      </c>
      <c r="D70" s="391" t="n">
        <v>44196</v>
      </c>
      <c r="E70" s="484">
        <f>B70+1</f>
        <v/>
      </c>
      <c r="F70" s="484" t="n">
        <v>6</v>
      </c>
      <c r="G70" s="484">
        <f>IF($C$43=E70,IF($E$43&gt;6,$E$43-6,0),IF($C$43&gt;E70,6,0))</f>
        <v/>
      </c>
      <c r="H70" s="377" t="n"/>
      <c r="I70" s="377" t="n"/>
      <c r="J70" s="390" t="n"/>
      <c r="K70" s="377">
        <f>IF($H$42=E70,6,IF($H$42&lt;E70,6,0))</f>
        <v/>
      </c>
      <c r="L70" s="377" t="n"/>
      <c r="M70" s="390" t="n"/>
      <c r="N70" s="377">
        <f>IF($H$43=E70,6,IF($H$43&gt;E70,6,0))</f>
        <v/>
      </c>
      <c r="O70" s="377" t="n"/>
      <c r="P70" s="390" t="n"/>
      <c r="Q70" s="377">
        <f>MIN(N70,K70,G70)</f>
        <v/>
      </c>
      <c r="R70" s="377" t="n"/>
      <c r="S70" s="390" t="n"/>
      <c r="T70" s="377" t="n"/>
      <c r="U70" s="389" t="n"/>
      <c r="V70" s="492" t="n"/>
    </row>
    <row r="76">
      <c r="B76" s="396" t="inlineStr">
        <is>
          <t>DEPENDANT 3</t>
        </is>
      </c>
      <c r="E76" t="inlineStr">
        <is>
          <t>Current Age in Years</t>
        </is>
      </c>
      <c r="F76" t="inlineStr">
        <is>
          <t>Age Cut Off (18 yrs - includes the month of their 18th birthday)</t>
        </is>
      </c>
    </row>
    <row r="77" ht="16.5" customHeight="1">
      <c r="E77" s="395">
        <f>DATEDIF('CDB Calculator Summary Sheet'!J8,TODAY(),"Y")&amp;" Years, "&amp;DATEDIF('CDB Calculator Summary Sheet'!J8,TODAY(),"YM")&amp;" Months"</f>
        <v/>
      </c>
      <c r="F77" s="892">
        <f>EDATE(DATE(YEAR('CDB Calculator Summary Sheet'!J8) + 18, MONTH('CDB Calculator Summary Sheet'!J8), DAY('CDB Calculator Summary Sheet'!J8)),0)</f>
        <v/>
      </c>
      <c r="G77" s="492" t="inlineStr">
        <is>
          <t>DOB</t>
        </is>
      </c>
      <c r="H77" s="393">
        <f>'CDB Calculator Summary Sheet'!J8</f>
        <v/>
      </c>
    </row>
    <row r="78" ht="15" customHeight="1">
      <c r="B78" s="492" t="inlineStr">
        <is>
          <t>Age Start</t>
        </is>
      </c>
      <c r="C78" s="492" t="inlineStr">
        <is>
          <t>Age End</t>
        </is>
      </c>
      <c r="D78" s="484">
        <f>B79</f>
        <v/>
      </c>
      <c r="E78" s="484">
        <f>MONTH('CDB Calculator Summary Sheet'!J8)</f>
        <v/>
      </c>
      <c r="F78" t="inlineStr">
        <is>
          <t>&lt;--Age Start</t>
        </is>
      </c>
      <c r="G78" s="492" t="inlineStr">
        <is>
          <t>DTC Start Yr</t>
        </is>
      </c>
      <c r="H78">
        <f>'CDB Calculator Summary Sheet'!H8</f>
        <v/>
      </c>
      <c r="Q78" s="740" t="inlineStr">
        <is>
          <t>Eligble Months by 1/2 pay peiod</t>
        </is>
      </c>
    </row>
    <row r="79">
      <c r="B79" s="484">
        <f>YEAR('CDB Calculator Summary Sheet'!J8)</f>
        <v/>
      </c>
      <c r="C79" s="482">
        <f>YEAR(F77)</f>
        <v/>
      </c>
      <c r="D79" s="484">
        <f>YEAR(F77)</f>
        <v/>
      </c>
      <c r="E79" s="484">
        <f>MONTH(F77)</f>
        <v/>
      </c>
      <c r="F79" t="inlineStr">
        <is>
          <t>&lt;--Age End</t>
        </is>
      </c>
      <c r="G79" s="492" t="inlineStr">
        <is>
          <t>DTC End Yr</t>
        </is>
      </c>
      <c r="H79">
        <f>'CDB Calculator Summary Sheet'!I8</f>
        <v/>
      </c>
    </row>
    <row r="80"/>
    <row r="81" ht="15" customHeight="1">
      <c r="F81" s="739" t="inlineStr">
        <is>
          <t>Months in payout period</t>
        </is>
      </c>
      <c r="G81" s="739" t="inlineStr">
        <is>
          <t>Eligible Months Based on Age 18 or less</t>
        </is>
      </c>
      <c r="I81" s="739" t="inlineStr">
        <is>
          <t>Total Eligible Months by Age</t>
        </is>
      </c>
      <c r="K81" s="739" t="inlineStr">
        <is>
          <t>Eligible Months Based on DTC Start Yr</t>
        </is>
      </c>
      <c r="L81" s="739" t="inlineStr">
        <is>
          <t>Total Eligible Months by DTC Start</t>
        </is>
      </c>
      <c r="M81" s="492" t="n"/>
      <c r="N81" s="739" t="inlineStr">
        <is>
          <t>Eligible Months Based on DTC End Yr</t>
        </is>
      </c>
      <c r="O81" s="739" t="inlineStr">
        <is>
          <t>Total Eligible Months by DTC End</t>
        </is>
      </c>
      <c r="P81" s="492" t="n"/>
      <c r="R81" s="739" t="inlineStr">
        <is>
          <t>Total Eligible Months (Age &amp; DTC Start and End)</t>
        </is>
      </c>
      <c r="U81" s="740" t="inlineStr">
        <is>
          <t>Effective Dependant Count</t>
        </is>
      </c>
      <c r="V81" s="739" t="inlineStr">
        <is>
          <t>Count of Eligible Kids</t>
        </is>
      </c>
    </row>
    <row r="82">
      <c r="B82" s="392" t="inlineStr">
        <is>
          <t>Base Yr</t>
        </is>
      </c>
      <c r="C82" s="392" t="inlineStr">
        <is>
          <t>Payout Period</t>
        </is>
      </c>
      <c r="D82" s="279" t="n"/>
      <c r="E82" s="752" t="n"/>
      <c r="H82" t="inlineStr">
        <is>
          <t>Base Year</t>
        </is>
      </c>
      <c r="J82" s="492" t="inlineStr">
        <is>
          <t>% of Year</t>
        </is>
      </c>
      <c r="M82" s="492" t="inlineStr">
        <is>
          <t>% of Year</t>
        </is>
      </c>
      <c r="P82" s="492" t="inlineStr">
        <is>
          <t>% of Year</t>
        </is>
      </c>
      <c r="Q82" s="39" t="n"/>
      <c r="S82" s="492" t="inlineStr">
        <is>
          <t>% of Year</t>
        </is>
      </c>
      <c r="T82" t="inlineStr">
        <is>
          <t>Base Year</t>
        </is>
      </c>
      <c r="U82" s="39" t="n"/>
    </row>
    <row r="83">
      <c r="B83" s="484">
        <f>'CDB Calculator Summary Sheet'!$G$17</f>
        <v/>
      </c>
      <c r="C83" s="391" t="n">
        <v>43831</v>
      </c>
      <c r="D83" s="391" t="n">
        <v>44012</v>
      </c>
      <c r="E83" s="484">
        <f>B83+2</f>
        <v/>
      </c>
      <c r="F83" s="484" t="n">
        <v>6</v>
      </c>
      <c r="G83" s="484">
        <f>IF($C$79=E83,IF($E$79&lt;6,$E$79,6),IF($C$79&gt;E83,6,0))</f>
        <v/>
      </c>
      <c r="H83" s="484">
        <f>B83</f>
        <v/>
      </c>
      <c r="I83" s="484">
        <f>G83+G84</f>
        <v/>
      </c>
      <c r="J83" s="362">
        <f>I83/12</f>
        <v/>
      </c>
      <c r="K83" s="484">
        <f>IF($H$78=E83,6,IF($H$78&lt;E83,6,0))</f>
        <v/>
      </c>
      <c r="L83" s="484">
        <f>K83+K84</f>
        <v/>
      </c>
      <c r="M83" s="362">
        <f>L83/12</f>
        <v/>
      </c>
      <c r="N83" s="484">
        <f>IF($H$79=E83,6,IF($H$79&gt;E83,6,0))</f>
        <v/>
      </c>
      <c r="O83" s="484">
        <f>N83+N84</f>
        <v/>
      </c>
      <c r="P83" s="362">
        <f>O83/12</f>
        <v/>
      </c>
      <c r="Q83" s="484">
        <f>MIN(N83,K83,G83)</f>
        <v/>
      </c>
      <c r="R83" s="484">
        <f>MIN(O83,L83,I83)</f>
        <v/>
      </c>
      <c r="S83" s="362">
        <f>R83/12</f>
        <v/>
      </c>
      <c r="T83" s="484">
        <f>H83</f>
        <v/>
      </c>
      <c r="U83" s="501">
        <f>S83*1</f>
        <v/>
      </c>
      <c r="V83" s="492">
        <f>IF(U83&gt;0,1,0)</f>
        <v/>
      </c>
    </row>
    <row r="84">
      <c r="B84" s="484">
        <f>B83</f>
        <v/>
      </c>
      <c r="C84" s="391" t="n">
        <v>44013</v>
      </c>
      <c r="D84" s="391" t="n">
        <v>44196</v>
      </c>
      <c r="E84" s="484">
        <f>B84+1</f>
        <v/>
      </c>
      <c r="F84" s="484" t="n">
        <v>6</v>
      </c>
      <c r="G84" s="484">
        <f>IF($C$79=E84,IF($E$79&gt;6,$E$79-6,0),IF($C$79&gt;E84,6,0))</f>
        <v/>
      </c>
      <c r="H84" s="377" t="n"/>
      <c r="I84" s="377" t="n"/>
      <c r="J84" s="390" t="n"/>
      <c r="K84" s="377">
        <f>IF($H$78=E84,6,IF($H$78&lt;E84,6,0))</f>
        <v/>
      </c>
      <c r="L84" s="377" t="n"/>
      <c r="M84" s="390" t="n"/>
      <c r="N84" s="377">
        <f>IF($H$79=E84,6,IF($H$79&gt;E84,6,0))</f>
        <v/>
      </c>
      <c r="O84" s="377" t="n"/>
      <c r="P84" s="390" t="n"/>
      <c r="Q84" s="377">
        <f>MIN(N84,K84,G84)</f>
        <v/>
      </c>
      <c r="R84" s="377" t="n"/>
      <c r="S84" s="390" t="n"/>
      <c r="T84" s="377" t="n"/>
      <c r="U84" s="389" t="n"/>
      <c r="V84" s="492" t="n"/>
    </row>
    <row r="85">
      <c r="B85" s="484">
        <f>'CDB Calculator Summary Sheet'!$G$18</f>
        <v/>
      </c>
      <c r="C85" s="391" t="n">
        <v>43831</v>
      </c>
      <c r="D85" s="391" t="n">
        <v>44012</v>
      </c>
      <c r="E85" s="484">
        <f>B85+2</f>
        <v/>
      </c>
      <c r="F85" s="484" t="n">
        <v>6</v>
      </c>
      <c r="G85" s="484">
        <f>IF($C$79=E85,IF($E$79&lt;6,$E$79,6),IF($C$79&gt;E85,6,0))</f>
        <v/>
      </c>
      <c r="H85" s="484">
        <f>B85</f>
        <v/>
      </c>
      <c r="I85" s="484">
        <f>G85+G86</f>
        <v/>
      </c>
      <c r="J85" s="362">
        <f>I85/12</f>
        <v/>
      </c>
      <c r="K85" s="484">
        <f>IF($H$78=E85,6,IF($H$78&lt;E85,6,0))</f>
        <v/>
      </c>
      <c r="L85" s="484">
        <f>K85+K86</f>
        <v/>
      </c>
      <c r="M85" s="362">
        <f>L85/12</f>
        <v/>
      </c>
      <c r="N85" s="484">
        <f>IF($H$79=E85,6,IF($H$79&gt;E85,6,0))</f>
        <v/>
      </c>
      <c r="O85" s="484">
        <f>N85+N86</f>
        <v/>
      </c>
      <c r="P85" s="362">
        <f>O85/12</f>
        <v/>
      </c>
      <c r="Q85" s="484">
        <f>MIN(N85,K85,G85)</f>
        <v/>
      </c>
      <c r="R85" s="484">
        <f>MIN(O85,L85,I85)</f>
        <v/>
      </c>
      <c r="S85" s="362">
        <f>R85/12</f>
        <v/>
      </c>
      <c r="T85" s="484">
        <f>H85</f>
        <v/>
      </c>
      <c r="U85" s="501">
        <f>S85*1</f>
        <v/>
      </c>
      <c r="V85" s="492">
        <f>IF(U85&gt;0,1,0)</f>
        <v/>
      </c>
    </row>
    <row r="86">
      <c r="B86" s="484">
        <f>B85</f>
        <v/>
      </c>
      <c r="C86" s="391" t="n">
        <v>44013</v>
      </c>
      <c r="D86" s="391" t="n">
        <v>44196</v>
      </c>
      <c r="E86" s="484">
        <f>B86+1</f>
        <v/>
      </c>
      <c r="F86" s="484" t="n">
        <v>6</v>
      </c>
      <c r="G86" s="484">
        <f>IF($C$79=E86,IF($E$79&gt;6,$E$79-6,0),IF($C$79&gt;E86,6,0))</f>
        <v/>
      </c>
      <c r="H86" s="377" t="n"/>
      <c r="I86" s="377" t="n"/>
      <c r="J86" s="390" t="n"/>
      <c r="K86" s="377">
        <f>IF($H$78=E86,6,IF($H$78&lt;E86,6,0))</f>
        <v/>
      </c>
      <c r="L86" s="377" t="n"/>
      <c r="M86" s="390" t="n"/>
      <c r="N86" s="377">
        <f>IF($H$79=E86,6,IF($H$79&gt;E86,6,0))</f>
        <v/>
      </c>
      <c r="O86" s="377" t="n"/>
      <c r="P86" s="390" t="n"/>
      <c r="Q86" s="377">
        <f>MIN(N86,K86,G86)</f>
        <v/>
      </c>
      <c r="R86" s="377" t="n"/>
      <c r="S86" s="390" t="n"/>
      <c r="T86" s="377" t="n"/>
      <c r="U86" s="389" t="n"/>
      <c r="V86" s="492" t="n"/>
    </row>
    <row r="87">
      <c r="B87" s="484">
        <f>'CDB Calculator Summary Sheet'!$G$19</f>
        <v/>
      </c>
      <c r="C87" s="391" t="n">
        <v>43831</v>
      </c>
      <c r="D87" s="391" t="n">
        <v>44012</v>
      </c>
      <c r="E87" s="484">
        <f>B87+2</f>
        <v/>
      </c>
      <c r="F87" s="484" t="n">
        <v>6</v>
      </c>
      <c r="G87" s="484">
        <f>IF($C$79=E87,IF($E$79&lt;6,$E$79,6),IF($C$79&gt;E87,6,0))</f>
        <v/>
      </c>
      <c r="H87" s="484">
        <f>B87</f>
        <v/>
      </c>
      <c r="I87" s="484">
        <f>G87+G88</f>
        <v/>
      </c>
      <c r="J87" s="362">
        <f>I87/12</f>
        <v/>
      </c>
      <c r="K87" s="484">
        <f>IF($H$78=E87,6,IF($H$78&lt;E87,6,0))</f>
        <v/>
      </c>
      <c r="L87" s="484">
        <f>K87+K88</f>
        <v/>
      </c>
      <c r="M87" s="362">
        <f>L87/12</f>
        <v/>
      </c>
      <c r="N87" s="484">
        <f>IF($H$79=E87,6,IF($H$79&gt;E87,6,0))</f>
        <v/>
      </c>
      <c r="O87" s="484">
        <f>N87+N88</f>
        <v/>
      </c>
      <c r="P87" s="362">
        <f>O87/12</f>
        <v/>
      </c>
      <c r="Q87" s="484">
        <f>MIN(N87,K87,G87)</f>
        <v/>
      </c>
      <c r="R87" s="484">
        <f>MIN(O87,L87,I87)</f>
        <v/>
      </c>
      <c r="S87" s="362">
        <f>R87/12</f>
        <v/>
      </c>
      <c r="T87" s="484">
        <f>H87</f>
        <v/>
      </c>
      <c r="U87" s="501">
        <f>S87*1</f>
        <v/>
      </c>
      <c r="V87" s="492">
        <f>IF(U87&gt;0,1,0)</f>
        <v/>
      </c>
    </row>
    <row r="88">
      <c r="B88" s="484">
        <f>B87</f>
        <v/>
      </c>
      <c r="C88" s="391" t="n">
        <v>44013</v>
      </c>
      <c r="D88" s="391" t="n">
        <v>44196</v>
      </c>
      <c r="E88" s="484">
        <f>B88+1</f>
        <v/>
      </c>
      <c r="F88" s="484" t="n">
        <v>6</v>
      </c>
      <c r="G88" s="484">
        <f>IF($C$79=E88,IF($E$79&gt;6,$E$79-6,0),IF($C$79&gt;E88,6,0))</f>
        <v/>
      </c>
      <c r="H88" s="377" t="n"/>
      <c r="I88" s="377" t="n"/>
      <c r="J88" s="390" t="n"/>
      <c r="K88" s="377">
        <f>IF($H$78=E88,6,IF($H$78&lt;E88,6,0))</f>
        <v/>
      </c>
      <c r="L88" s="377" t="n"/>
      <c r="M88" s="390" t="n"/>
      <c r="N88" s="377">
        <f>IF($H$79=E88,6,IF($H$79&gt;E88,6,0))</f>
        <v/>
      </c>
      <c r="O88" s="377" t="n"/>
      <c r="P88" s="390" t="n"/>
      <c r="Q88" s="377">
        <f>MIN(N88,K88,G88)</f>
        <v/>
      </c>
      <c r="R88" s="377" t="n"/>
      <c r="S88" s="390" t="n"/>
      <c r="T88" s="377" t="n"/>
      <c r="U88" s="389" t="n"/>
      <c r="V88" s="492" t="n"/>
    </row>
    <row r="89">
      <c r="B89" s="484">
        <f>'CDB Calculator Summary Sheet'!$G$20</f>
        <v/>
      </c>
      <c r="C89" s="391" t="n">
        <v>43831</v>
      </c>
      <c r="D89" s="391" t="n">
        <v>44012</v>
      </c>
      <c r="E89" s="484">
        <f>B89+2</f>
        <v/>
      </c>
      <c r="F89" s="484" t="n">
        <v>6</v>
      </c>
      <c r="G89" s="484">
        <f>IF($C$79=E89,IF($E$79&lt;6,$E$79,6),IF($C$79&gt;E89,6,0))</f>
        <v/>
      </c>
      <c r="H89" s="484">
        <f>B89</f>
        <v/>
      </c>
      <c r="I89" s="484">
        <f>G89+G90</f>
        <v/>
      </c>
      <c r="J89" s="362">
        <f>I89/12</f>
        <v/>
      </c>
      <c r="K89" s="484">
        <f>IF($H$78=E89,6,IF($H$78&lt;E89,6,0))</f>
        <v/>
      </c>
      <c r="L89" s="484">
        <f>K89+K90</f>
        <v/>
      </c>
      <c r="M89" s="362">
        <f>L89/12</f>
        <v/>
      </c>
      <c r="N89" s="484">
        <f>IF($H$79=E89,6,IF($H$79&gt;E89,6,0))</f>
        <v/>
      </c>
      <c r="O89" s="484">
        <f>N89+N90</f>
        <v/>
      </c>
      <c r="P89" s="362">
        <f>O89/12</f>
        <v/>
      </c>
      <c r="Q89" s="484">
        <f>MIN(N89,K89,G89)</f>
        <v/>
      </c>
      <c r="R89" s="484">
        <f>MIN(O89,L89,I89)</f>
        <v/>
      </c>
      <c r="S89" s="362">
        <f>R89/12</f>
        <v/>
      </c>
      <c r="T89" s="484">
        <f>H89</f>
        <v/>
      </c>
      <c r="U89" s="501">
        <f>S89*1</f>
        <v/>
      </c>
      <c r="V89" s="492">
        <f>IF(U89&gt;0,1,0)</f>
        <v/>
      </c>
    </row>
    <row r="90">
      <c r="B90" s="484">
        <f>B89</f>
        <v/>
      </c>
      <c r="C90" s="391" t="n">
        <v>44013</v>
      </c>
      <c r="D90" s="391" t="n">
        <v>44196</v>
      </c>
      <c r="E90" s="484">
        <f>B90+1</f>
        <v/>
      </c>
      <c r="F90" s="484" t="n">
        <v>6</v>
      </c>
      <c r="G90" s="484">
        <f>IF($C$79=E90,IF($E$79&gt;6,$E$79-6,0),IF($C$79&gt;E90,6,0))</f>
        <v/>
      </c>
      <c r="H90" s="377" t="n"/>
      <c r="I90" s="377" t="n"/>
      <c r="J90" s="390" t="n"/>
      <c r="K90" s="377">
        <f>IF($H$78=E90,6,IF($H$78&lt;E90,6,0))</f>
        <v/>
      </c>
      <c r="L90" s="377" t="n"/>
      <c r="M90" s="390" t="n"/>
      <c r="N90" s="377">
        <f>IF($H$79=E90,6,IF($H$79&gt;E90,6,0))</f>
        <v/>
      </c>
      <c r="O90" s="377" t="n"/>
      <c r="P90" s="390" t="n"/>
      <c r="Q90" s="377">
        <f>MIN(N90,K90,G90)</f>
        <v/>
      </c>
      <c r="R90" s="377" t="n"/>
      <c r="S90" s="390" t="n"/>
      <c r="T90" s="377" t="n"/>
      <c r="U90" s="389" t="n"/>
      <c r="V90" s="492" t="n"/>
    </row>
    <row r="91">
      <c r="B91" s="484">
        <f>'CDB Calculator Summary Sheet'!$G$21</f>
        <v/>
      </c>
      <c r="C91" s="391" t="n">
        <v>43831</v>
      </c>
      <c r="D91" s="391" t="n">
        <v>44012</v>
      </c>
      <c r="E91" s="484">
        <f>B91+2</f>
        <v/>
      </c>
      <c r="F91" s="484" t="n">
        <v>6</v>
      </c>
      <c r="G91" s="484">
        <f>IF($C$79=E91,IF($E$79&lt;6,$E$79,6),IF($C$79&gt;E91,6,0))</f>
        <v/>
      </c>
      <c r="H91" s="484">
        <f>B91</f>
        <v/>
      </c>
      <c r="I91" s="484">
        <f>G91+G92</f>
        <v/>
      </c>
      <c r="J91" s="362">
        <f>I91/12</f>
        <v/>
      </c>
      <c r="K91" s="484">
        <f>IF($H$78=E91,6,IF($H$78&lt;E91,6,0))</f>
        <v/>
      </c>
      <c r="L91" s="484">
        <f>K91+K92</f>
        <v/>
      </c>
      <c r="M91" s="362">
        <f>L91/12</f>
        <v/>
      </c>
      <c r="N91" s="484">
        <f>IF($H$79=E91,6,IF($H$79&gt;E91,6,0))</f>
        <v/>
      </c>
      <c r="O91" s="484">
        <f>N91+N92</f>
        <v/>
      </c>
      <c r="P91" s="362">
        <f>O91/12</f>
        <v/>
      </c>
      <c r="Q91" s="484">
        <f>MIN(N91,K91,G91)</f>
        <v/>
      </c>
      <c r="R91" s="484">
        <f>MIN(O91,L91,I91)</f>
        <v/>
      </c>
      <c r="S91" s="362">
        <f>R91/12</f>
        <v/>
      </c>
      <c r="T91" s="484">
        <f>H91</f>
        <v/>
      </c>
      <c r="U91" s="501">
        <f>S91*1</f>
        <v/>
      </c>
      <c r="V91" s="492">
        <f>IF(U91&gt;0,1,0)</f>
        <v/>
      </c>
    </row>
    <row r="92">
      <c r="B92" s="484">
        <f>B91</f>
        <v/>
      </c>
      <c r="C92" s="391" t="n">
        <v>44013</v>
      </c>
      <c r="D92" s="391" t="n">
        <v>44196</v>
      </c>
      <c r="E92" s="484">
        <f>B92+1</f>
        <v/>
      </c>
      <c r="F92" s="484" t="n">
        <v>6</v>
      </c>
      <c r="G92" s="484">
        <f>IF($C$79=E92,IF($E$79&gt;6,$E$79-6,0),IF($C$79&gt;E92,6,0))</f>
        <v/>
      </c>
      <c r="H92" s="377" t="n"/>
      <c r="I92" s="377" t="n"/>
      <c r="J92" s="390" t="n"/>
      <c r="K92" s="377">
        <f>IF($H$78=E92,6,IF($H$78&lt;E92,6,0))</f>
        <v/>
      </c>
      <c r="L92" s="377" t="n"/>
      <c r="M92" s="390" t="n"/>
      <c r="N92" s="377">
        <f>IF($H$79=E92,6,IF($H$79&gt;E92,6,0))</f>
        <v/>
      </c>
      <c r="O92" s="377" t="n"/>
      <c r="P92" s="390" t="n"/>
      <c r="Q92" s="377">
        <f>MIN(N92,K92,G92)</f>
        <v/>
      </c>
      <c r="R92" s="377" t="n"/>
      <c r="S92" s="390" t="n"/>
      <c r="T92" s="377" t="n"/>
      <c r="U92" s="389" t="n"/>
      <c r="V92" s="492" t="n"/>
    </row>
    <row r="93">
      <c r="B93" s="484">
        <f>'CDB Calculator Summary Sheet'!$G$22</f>
        <v/>
      </c>
      <c r="C93" s="391" t="n">
        <v>43831</v>
      </c>
      <c r="D93" s="391" t="n">
        <v>44012</v>
      </c>
      <c r="E93" s="484">
        <f>B93+2</f>
        <v/>
      </c>
      <c r="F93" s="484" t="n">
        <v>6</v>
      </c>
      <c r="G93" s="484">
        <f>IF($C$79=E93,IF($E$79&lt;6,$E$79,6),IF($C$79&gt;E93,6,0))</f>
        <v/>
      </c>
      <c r="H93" s="484">
        <f>B93</f>
        <v/>
      </c>
      <c r="I93" s="484">
        <f>G93+G94</f>
        <v/>
      </c>
      <c r="J93" s="362">
        <f>I93/12</f>
        <v/>
      </c>
      <c r="K93" s="484">
        <f>IF($H$78=E93,6,IF($H$78&lt;E93,6,0))</f>
        <v/>
      </c>
      <c r="L93" s="484">
        <f>K93+K94</f>
        <v/>
      </c>
      <c r="M93" s="362">
        <f>L93/12</f>
        <v/>
      </c>
      <c r="N93" s="484">
        <f>IF($H$79=E93,6,IF($H$79&gt;E93,6,0))</f>
        <v/>
      </c>
      <c r="O93" s="484">
        <f>N93+N94</f>
        <v/>
      </c>
      <c r="P93" s="362">
        <f>O93/12</f>
        <v/>
      </c>
      <c r="Q93" s="484">
        <f>MIN(N93,K93,G93)</f>
        <v/>
      </c>
      <c r="R93" s="484">
        <f>MIN(O93,L93,I93)</f>
        <v/>
      </c>
      <c r="S93" s="362">
        <f>R93/12</f>
        <v/>
      </c>
      <c r="T93" s="484">
        <f>H93</f>
        <v/>
      </c>
      <c r="U93" s="501">
        <f>S93*1</f>
        <v/>
      </c>
      <c r="V93" s="492">
        <f>IF(U93&gt;0,1,0)</f>
        <v/>
      </c>
    </row>
    <row r="94">
      <c r="B94" s="484">
        <f>B93</f>
        <v/>
      </c>
      <c r="C94" s="391" t="n">
        <v>44013</v>
      </c>
      <c r="D94" s="391" t="n">
        <v>44196</v>
      </c>
      <c r="E94" s="484">
        <f>B94+1</f>
        <v/>
      </c>
      <c r="F94" s="484" t="n">
        <v>6</v>
      </c>
      <c r="G94" s="484">
        <f>IF($C$79=E94,IF($E$79&gt;6,$E$79-6,0),IF($C$79&gt;E94,6,0))</f>
        <v/>
      </c>
      <c r="H94" s="377" t="n"/>
      <c r="I94" s="377" t="n"/>
      <c r="J94" s="390" t="n"/>
      <c r="K94" s="377">
        <f>IF($H$78=E94,6,IF($H$78&lt;E94,6,0))</f>
        <v/>
      </c>
      <c r="L94" s="377" t="n"/>
      <c r="M94" s="390" t="n"/>
      <c r="N94" s="377">
        <f>IF($H$79=E94,6,IF($H$79&gt;E94,6,0))</f>
        <v/>
      </c>
      <c r="O94" s="377" t="n"/>
      <c r="P94" s="390" t="n"/>
      <c r="Q94" s="377">
        <f>MIN(N94,K94,G94)</f>
        <v/>
      </c>
      <c r="R94" s="377" t="n"/>
      <c r="S94" s="390" t="n"/>
      <c r="T94" s="377" t="n"/>
      <c r="U94" s="389" t="n"/>
      <c r="V94" s="492" t="n"/>
    </row>
    <row r="95">
      <c r="B95" s="484">
        <f>'CDB Calculator Summary Sheet'!$G$23</f>
        <v/>
      </c>
      <c r="C95" s="391" t="n">
        <v>43831</v>
      </c>
      <c r="D95" s="391" t="n">
        <v>44012</v>
      </c>
      <c r="E95" s="484">
        <f>B95+2</f>
        <v/>
      </c>
      <c r="F95" s="484" t="n">
        <v>6</v>
      </c>
      <c r="G95" s="484">
        <f>IF($C$79=E95,IF($E$79&lt;6,$E$79,6),IF($C$79&gt;E95,6,0))</f>
        <v/>
      </c>
      <c r="H95" s="484">
        <f>B95</f>
        <v/>
      </c>
      <c r="I95" s="484">
        <f>G95+G96</f>
        <v/>
      </c>
      <c r="J95" s="362">
        <f>I95/12</f>
        <v/>
      </c>
      <c r="K95" s="484">
        <f>IF($H$78=E95,6,IF($H$78&lt;E95,6,0))</f>
        <v/>
      </c>
      <c r="L95" s="484">
        <f>K95+K96</f>
        <v/>
      </c>
      <c r="M95" s="362">
        <f>L95/12</f>
        <v/>
      </c>
      <c r="N95" s="484">
        <f>IF($H$79=E95,6,IF($H$79&gt;E95,6,0))</f>
        <v/>
      </c>
      <c r="O95" s="484">
        <f>N95+N96</f>
        <v/>
      </c>
      <c r="P95" s="362">
        <f>O95/12</f>
        <v/>
      </c>
      <c r="Q95" s="484">
        <f>MIN(N95,K95,G95)</f>
        <v/>
      </c>
      <c r="R95" s="484">
        <f>MIN(O95,L95,I95)</f>
        <v/>
      </c>
      <c r="S95" s="362">
        <f>R95/12</f>
        <v/>
      </c>
      <c r="T95" s="484">
        <f>H95</f>
        <v/>
      </c>
      <c r="U95" s="501">
        <f>S95*1</f>
        <v/>
      </c>
      <c r="V95" s="492">
        <f>IF(U95&gt;0,1,0)</f>
        <v/>
      </c>
    </row>
    <row r="96">
      <c r="B96" s="484">
        <f>B95</f>
        <v/>
      </c>
      <c r="C96" s="391" t="n">
        <v>44013</v>
      </c>
      <c r="D96" s="391" t="n">
        <v>44196</v>
      </c>
      <c r="E96" s="484">
        <f>B96+1</f>
        <v/>
      </c>
      <c r="F96" s="484" t="n">
        <v>6</v>
      </c>
      <c r="G96" s="484">
        <f>IF($C$79=E96,IF($E$79&gt;6,$E$79-6,0),IF($C$79&gt;E96,6,0))</f>
        <v/>
      </c>
      <c r="H96" s="377" t="n"/>
      <c r="I96" s="377" t="n"/>
      <c r="J96" s="390" t="n"/>
      <c r="K96" s="377">
        <f>IF($H$78=E96,6,IF($H$78&lt;E96,6,0))</f>
        <v/>
      </c>
      <c r="L96" s="377" t="n"/>
      <c r="M96" s="390" t="n"/>
      <c r="N96" s="377">
        <f>IF($H$79=E96,6,IF($H$79&gt;E96,6,0))</f>
        <v/>
      </c>
      <c r="O96" s="377" t="n"/>
      <c r="P96" s="390" t="n"/>
      <c r="Q96" s="377">
        <f>MIN(N96,K96,G96)</f>
        <v/>
      </c>
      <c r="R96" s="377" t="n"/>
      <c r="S96" s="390" t="n"/>
      <c r="T96" s="377" t="n"/>
      <c r="U96" s="389" t="n"/>
      <c r="V96" s="492" t="n"/>
    </row>
    <row r="97">
      <c r="B97" s="484">
        <f>'CDB Calculator Summary Sheet'!$G$24</f>
        <v/>
      </c>
      <c r="C97" s="391" t="n">
        <v>43831</v>
      </c>
      <c r="D97" s="391" t="n">
        <v>44012</v>
      </c>
      <c r="E97" s="484">
        <f>B97+2</f>
        <v/>
      </c>
      <c r="F97" s="484" t="n">
        <v>6</v>
      </c>
      <c r="G97" s="484">
        <f>IF($C$79=E97,IF($E$79&lt;6,$E$79,6),IF($C$79&gt;E97,6,0))</f>
        <v/>
      </c>
      <c r="H97" s="484">
        <f>B97</f>
        <v/>
      </c>
      <c r="I97" s="484">
        <f>G97+G98</f>
        <v/>
      </c>
      <c r="J97" s="362">
        <f>I97/12</f>
        <v/>
      </c>
      <c r="K97" s="484">
        <f>IF($H$78=E97,6,IF($H$78&lt;E97,6,0))</f>
        <v/>
      </c>
      <c r="L97" s="484">
        <f>K97+K98</f>
        <v/>
      </c>
      <c r="M97" s="362">
        <f>L97/12</f>
        <v/>
      </c>
      <c r="N97" s="484">
        <f>IF($H$79=E97,6,IF($H$79&gt;E97,6,0))</f>
        <v/>
      </c>
      <c r="O97" s="484">
        <f>N97+N98</f>
        <v/>
      </c>
      <c r="P97" s="362">
        <f>O97/12</f>
        <v/>
      </c>
      <c r="Q97" s="484">
        <f>MIN(N97,K97,G97)</f>
        <v/>
      </c>
      <c r="R97" s="484">
        <f>MIN(O97,L97,I97)</f>
        <v/>
      </c>
      <c r="S97" s="362">
        <f>R97/12</f>
        <v/>
      </c>
      <c r="T97" s="484">
        <f>H97</f>
        <v/>
      </c>
      <c r="U97" s="501">
        <f>S97*1</f>
        <v/>
      </c>
      <c r="V97" s="492">
        <f>IF(U97&gt;0,1,0)</f>
        <v/>
      </c>
    </row>
    <row r="98">
      <c r="B98" s="484">
        <f>B97</f>
        <v/>
      </c>
      <c r="C98" s="391" t="n">
        <v>44013</v>
      </c>
      <c r="D98" s="391" t="n">
        <v>44196</v>
      </c>
      <c r="E98" s="484">
        <f>B98+1</f>
        <v/>
      </c>
      <c r="F98" s="484" t="n">
        <v>6</v>
      </c>
      <c r="G98" s="484">
        <f>IF($C$79=E98,IF($E$79&gt;6,$E$79-6,0),IF($C$79&gt;E98,6,0))</f>
        <v/>
      </c>
      <c r="H98" s="377" t="n"/>
      <c r="I98" s="377" t="n"/>
      <c r="J98" s="390" t="n"/>
      <c r="K98" s="377">
        <f>IF($H$78=E98,6,IF($H$78&lt;E98,6,0))</f>
        <v/>
      </c>
      <c r="L98" s="377" t="n"/>
      <c r="M98" s="390" t="n"/>
      <c r="N98" s="377">
        <f>IF($H$79=E98,6,IF($H$79&gt;E98,6,0))</f>
        <v/>
      </c>
      <c r="O98" s="377" t="n"/>
      <c r="P98" s="390" t="n"/>
      <c r="Q98" s="377">
        <f>MIN(N98,K98,G98)</f>
        <v/>
      </c>
      <c r="R98" s="377" t="n"/>
      <c r="S98" s="390" t="n"/>
      <c r="T98" s="377" t="n"/>
      <c r="U98" s="389" t="n"/>
      <c r="V98" s="492" t="n"/>
    </row>
    <row r="99">
      <c r="B99" s="484">
        <f>'CDB Calculator Summary Sheet'!$G$25</f>
        <v/>
      </c>
      <c r="C99" s="391" t="n">
        <v>43831</v>
      </c>
      <c r="D99" s="391" t="n">
        <v>44012</v>
      </c>
      <c r="E99" s="484">
        <f>B99+2</f>
        <v/>
      </c>
      <c r="F99" s="484" t="n">
        <v>6</v>
      </c>
      <c r="G99" s="484">
        <f>IF($C$79=E99,IF($E$79&lt;6,$E$79,6),IF($C$79&gt;E99,6,0))</f>
        <v/>
      </c>
      <c r="H99" s="484">
        <f>B99</f>
        <v/>
      </c>
      <c r="I99" s="484">
        <f>G99+G100</f>
        <v/>
      </c>
      <c r="J99" s="362">
        <f>I99/12</f>
        <v/>
      </c>
      <c r="K99" s="484">
        <f>IF($H$78=E99,6,IF($H$78&lt;E99,6,0))</f>
        <v/>
      </c>
      <c r="L99" s="484">
        <f>K99+K100</f>
        <v/>
      </c>
      <c r="M99" s="362">
        <f>L99/12</f>
        <v/>
      </c>
      <c r="N99" s="484">
        <f>IF($H$79=E99,6,IF($H$79&gt;E99,6,0))</f>
        <v/>
      </c>
      <c r="O99" s="484">
        <f>N99+N100</f>
        <v/>
      </c>
      <c r="P99" s="362">
        <f>O99/12</f>
        <v/>
      </c>
      <c r="Q99" s="484">
        <f>MIN(N99,K99,G99)</f>
        <v/>
      </c>
      <c r="R99" s="484">
        <f>MIN(O99,L99,I99)</f>
        <v/>
      </c>
      <c r="S99" s="362">
        <f>R99/12</f>
        <v/>
      </c>
      <c r="T99" s="484">
        <f>H99</f>
        <v/>
      </c>
      <c r="U99" s="501">
        <f>S99*1</f>
        <v/>
      </c>
      <c r="V99" s="492">
        <f>IF(U99&gt;0,1,0)</f>
        <v/>
      </c>
    </row>
    <row r="100">
      <c r="B100" s="484">
        <f>B99</f>
        <v/>
      </c>
      <c r="C100" s="391" t="n">
        <v>44013</v>
      </c>
      <c r="D100" s="391" t="n">
        <v>44196</v>
      </c>
      <c r="E100" s="484">
        <f>B100+1</f>
        <v/>
      </c>
      <c r="F100" s="484" t="n">
        <v>6</v>
      </c>
      <c r="G100" s="484">
        <f>IF($C$79=E100,IF($E$79&gt;6,$E$79-6,0),IF($C$79&gt;E100,6,0))</f>
        <v/>
      </c>
      <c r="H100" s="377" t="n"/>
      <c r="I100" s="377" t="n"/>
      <c r="J100" s="390" t="n"/>
      <c r="K100" s="377">
        <f>IF($H$78=E100,6,IF($H$78&lt;E100,6,0))</f>
        <v/>
      </c>
      <c r="L100" s="377" t="n"/>
      <c r="M100" s="390" t="n"/>
      <c r="N100" s="377">
        <f>IF($H$79=E100,6,IF($H$79&gt;E100,6,0))</f>
        <v/>
      </c>
      <c r="O100" s="377" t="n"/>
      <c r="P100" s="390" t="n"/>
      <c r="Q100" s="377">
        <f>MIN(N100,K100,G100)</f>
        <v/>
      </c>
      <c r="R100" s="377" t="n"/>
      <c r="S100" s="390" t="n"/>
      <c r="T100" s="377" t="n"/>
      <c r="U100" s="389" t="n"/>
      <c r="V100" s="492" t="n"/>
    </row>
    <row r="101">
      <c r="B101" s="484">
        <f>'CDB Calculator Summary Sheet'!$G$26</f>
        <v/>
      </c>
      <c r="C101" s="391" t="n">
        <v>43831</v>
      </c>
      <c r="D101" s="391" t="n">
        <v>44012</v>
      </c>
      <c r="E101" s="484">
        <f>B101+2</f>
        <v/>
      </c>
      <c r="F101" s="484" t="n">
        <v>6</v>
      </c>
      <c r="G101" s="484">
        <f>IF($C$79=E101,IF($E$79&lt;6,$E$79,6),IF($C$79&gt;E101,6,0))</f>
        <v/>
      </c>
      <c r="H101" s="484">
        <f>B101</f>
        <v/>
      </c>
      <c r="I101" s="484">
        <f>G101+G102</f>
        <v/>
      </c>
      <c r="J101" s="362">
        <f>I101/12</f>
        <v/>
      </c>
      <c r="K101" s="484">
        <f>IF($H$78=E101,6,IF($H$78&lt;E101,6,0))</f>
        <v/>
      </c>
      <c r="L101" s="484">
        <f>K101+K102</f>
        <v/>
      </c>
      <c r="M101" s="362">
        <f>L101/12</f>
        <v/>
      </c>
      <c r="N101" s="484">
        <f>IF($H$79=E101,6,IF($H$79&gt;E101,6,0))</f>
        <v/>
      </c>
      <c r="O101" s="484">
        <f>N101+N102</f>
        <v/>
      </c>
      <c r="P101" s="362">
        <f>O101/12</f>
        <v/>
      </c>
      <c r="Q101" s="484">
        <f>MIN(N101,K101,G101)</f>
        <v/>
      </c>
      <c r="R101" s="484">
        <f>MIN(O101,L101,I101)</f>
        <v/>
      </c>
      <c r="S101" s="362">
        <f>R101/12</f>
        <v/>
      </c>
      <c r="T101" s="484">
        <f>H101</f>
        <v/>
      </c>
      <c r="U101" s="501">
        <f>S101*1</f>
        <v/>
      </c>
      <c r="V101" s="492">
        <f>IF(U101&gt;0,1,0)</f>
        <v/>
      </c>
    </row>
    <row r="102">
      <c r="B102" s="484">
        <f>B101</f>
        <v/>
      </c>
      <c r="C102" s="391" t="n">
        <v>44013</v>
      </c>
      <c r="D102" s="391" t="n">
        <v>44196</v>
      </c>
      <c r="E102" s="484">
        <f>B102+1</f>
        <v/>
      </c>
      <c r="F102" s="484" t="n">
        <v>6</v>
      </c>
      <c r="G102" s="484">
        <f>IF($C$79=E102,IF($E$79&gt;6,$E$79-6,0),IF($C$79&gt;E102,6,0))</f>
        <v/>
      </c>
      <c r="H102" s="377" t="n"/>
      <c r="I102" s="377" t="n"/>
      <c r="J102" s="390" t="n"/>
      <c r="K102" s="377">
        <f>IF($H$78=E102,6,IF($H$78&lt;E102,6,0))</f>
        <v/>
      </c>
      <c r="L102" s="377" t="n"/>
      <c r="M102" s="390" t="n"/>
      <c r="N102" s="377">
        <f>IF($H$79=E102,6,IF($H$79&gt;E102,6,0))</f>
        <v/>
      </c>
      <c r="O102" s="377" t="n"/>
      <c r="P102" s="390" t="n"/>
      <c r="Q102" s="377">
        <f>MIN(N102,K102,G102)</f>
        <v/>
      </c>
      <c r="R102" s="377" t="n"/>
      <c r="S102" s="390" t="n"/>
      <c r="T102" s="377" t="n"/>
      <c r="U102" s="389" t="n"/>
      <c r="V102" s="492" t="n"/>
    </row>
    <row r="103">
      <c r="B103" s="484">
        <f>'CDB Calculator Summary Sheet'!#REF!</f>
        <v/>
      </c>
      <c r="C103" s="391" t="n">
        <v>43831</v>
      </c>
      <c r="D103" s="391" t="n">
        <v>44012</v>
      </c>
      <c r="E103" s="484">
        <f>B103+2</f>
        <v/>
      </c>
      <c r="F103" s="484" t="n">
        <v>6</v>
      </c>
      <c r="G103" s="484">
        <f>IF($C$79=E103,IF($E$79&lt;6,$E$79,6),IF($C$79&gt;E103,6,0))</f>
        <v/>
      </c>
      <c r="H103" s="484">
        <f>B103</f>
        <v/>
      </c>
      <c r="I103" s="484">
        <f>G103+G104</f>
        <v/>
      </c>
      <c r="J103" s="362">
        <f>I103/12</f>
        <v/>
      </c>
      <c r="K103" s="484">
        <f>IF($H$78=E103,6,IF($H$78&lt;E103,6,0))</f>
        <v/>
      </c>
      <c r="L103" s="484">
        <f>K103+K104</f>
        <v/>
      </c>
      <c r="M103" s="362">
        <f>L103/12</f>
        <v/>
      </c>
      <c r="N103" s="484">
        <f>IF($H$79=E103,6,IF($H$79&gt;E103,6,0))</f>
        <v/>
      </c>
      <c r="O103" s="484">
        <f>N103+N104</f>
        <v/>
      </c>
      <c r="P103" s="362">
        <f>O103/12</f>
        <v/>
      </c>
      <c r="Q103" s="484">
        <f>MIN(N103,K103,G103)</f>
        <v/>
      </c>
      <c r="R103" s="484">
        <f>MIN(O103,L103,I103)</f>
        <v/>
      </c>
      <c r="S103" s="362">
        <f>R103/12</f>
        <v/>
      </c>
      <c r="T103" s="484">
        <f>H103</f>
        <v/>
      </c>
      <c r="U103" s="501">
        <f>S103*1</f>
        <v/>
      </c>
      <c r="V103" s="492">
        <f>IF(U103&gt;0,1,0)</f>
        <v/>
      </c>
    </row>
    <row r="104">
      <c r="B104" s="484">
        <f>B103</f>
        <v/>
      </c>
      <c r="C104" s="391" t="n">
        <v>44013</v>
      </c>
      <c r="D104" s="391" t="n">
        <v>44196</v>
      </c>
      <c r="E104" s="484">
        <f>B104+1</f>
        <v/>
      </c>
      <c r="F104" s="484" t="n">
        <v>6</v>
      </c>
      <c r="G104" s="484">
        <f>IF($C$79=E104,IF($E$79&gt;6,$E$79-6,0),IF($C$79&gt;E104,6,0))</f>
        <v/>
      </c>
      <c r="H104" s="377" t="n"/>
      <c r="I104" s="377" t="n"/>
      <c r="J104" s="390" t="n"/>
      <c r="K104" s="377">
        <f>IF($H$78=E104,6,IF($H$78&lt;E104,6,0))</f>
        <v/>
      </c>
      <c r="L104" s="377" t="n"/>
      <c r="M104" s="390" t="n"/>
      <c r="N104" s="377">
        <f>IF($H$79=E104,6,IF($H$79&gt;E104,6,0))</f>
        <v/>
      </c>
      <c r="O104" s="377" t="n"/>
      <c r="P104" s="390" t="n"/>
      <c r="Q104" s="377">
        <f>MIN(N104,K104,G104)</f>
        <v/>
      </c>
      <c r="R104" s="377" t="n"/>
      <c r="S104" s="390" t="n"/>
      <c r="T104" s="377" t="n"/>
      <c r="U104" s="389" t="n"/>
      <c r="V104" s="492" t="n"/>
    </row>
    <row r="105">
      <c r="B105" s="484">
        <f>'CDB Calculator Summary Sheet'!#REF!</f>
        <v/>
      </c>
      <c r="C105" s="391" t="n">
        <v>43831</v>
      </c>
      <c r="D105" s="391" t="n">
        <v>44012</v>
      </c>
      <c r="E105" s="484">
        <f>B105+2</f>
        <v/>
      </c>
      <c r="F105" s="484" t="n">
        <v>6</v>
      </c>
      <c r="G105" s="484">
        <f>IF($C$79=E105,IF($E$79&lt;6,$E$79,6),IF($C$79&gt;E105,6,0))</f>
        <v/>
      </c>
      <c r="H105" s="484">
        <f>B105</f>
        <v/>
      </c>
      <c r="I105" s="484">
        <f>G105+G106</f>
        <v/>
      </c>
      <c r="J105" s="362">
        <f>I105/12</f>
        <v/>
      </c>
      <c r="K105" s="484">
        <f>IF($H$78=E105,6,IF($H$78&lt;E105,6,0))</f>
        <v/>
      </c>
      <c r="L105" s="484">
        <f>K105+K106</f>
        <v/>
      </c>
      <c r="M105" s="362">
        <f>L105/12</f>
        <v/>
      </c>
      <c r="N105" s="484">
        <f>IF($H$79=E105,6,IF($H$79&gt;E105,6,0))</f>
        <v/>
      </c>
      <c r="O105" s="484">
        <f>N105+N106</f>
        <v/>
      </c>
      <c r="P105" s="362">
        <f>O105/12</f>
        <v/>
      </c>
      <c r="Q105" s="484">
        <f>MIN(N105,K105,G105)</f>
        <v/>
      </c>
      <c r="R105" s="484">
        <f>MIN(O105,L105,I105)</f>
        <v/>
      </c>
      <c r="S105" s="362">
        <f>R105/12</f>
        <v/>
      </c>
      <c r="T105" s="484">
        <f>H105</f>
        <v/>
      </c>
      <c r="U105" s="501">
        <f>S105*1</f>
        <v/>
      </c>
      <c r="V105" s="492">
        <f>IF(U105&gt;0,1,0)</f>
        <v/>
      </c>
    </row>
    <row r="106">
      <c r="B106" s="484">
        <f>B105</f>
        <v/>
      </c>
      <c r="C106" s="391" t="n">
        <v>44013</v>
      </c>
      <c r="D106" s="391" t="n">
        <v>44196</v>
      </c>
      <c r="E106" s="484">
        <f>B106+1</f>
        <v/>
      </c>
      <c r="F106" s="484" t="n">
        <v>6</v>
      </c>
      <c r="G106" s="484">
        <f>IF($C$79=E106,IF($E$79&gt;6,$E$79-6,0),IF($C$79&gt;E106,6,0))</f>
        <v/>
      </c>
      <c r="H106" s="377" t="n"/>
      <c r="I106" s="377" t="n"/>
      <c r="J106" s="390" t="n"/>
      <c r="K106" s="377">
        <f>IF($H$78=E106,6,IF($H$78&lt;E106,6,0))</f>
        <v/>
      </c>
      <c r="L106" s="377" t="n"/>
      <c r="M106" s="390" t="n"/>
      <c r="N106" s="377">
        <f>IF($H$79=E106,6,IF($H$79&gt;E106,6,0))</f>
        <v/>
      </c>
      <c r="O106" s="377" t="n"/>
      <c r="P106" s="390" t="n"/>
      <c r="Q106" s="377">
        <f>MIN(N106,K106,G106)</f>
        <v/>
      </c>
      <c r="R106" s="377" t="n"/>
      <c r="S106" s="390" t="n"/>
      <c r="T106" s="377" t="n"/>
      <c r="U106" s="389" t="n"/>
      <c r="V106" s="492" t="n"/>
    </row>
    <row r="112">
      <c r="B112" s="396" t="inlineStr">
        <is>
          <t>DEPENDANT 4</t>
        </is>
      </c>
      <c r="E112" t="inlineStr">
        <is>
          <t>Current Age in Years</t>
        </is>
      </c>
      <c r="F112" t="inlineStr">
        <is>
          <t>Age Cut Off (18 yrs - includes the month of their 18th birthday)</t>
        </is>
      </c>
    </row>
    <row r="113" ht="16.5" customHeight="1">
      <c r="E113" s="395">
        <f>DATEDIF('CDB Calculator Summary Sheet'!J9,TODAY(),"Y")&amp;" Years, "&amp;DATEDIF('CDB Calculator Summary Sheet'!J9,TODAY(),"YM")&amp;" Months"</f>
        <v/>
      </c>
      <c r="F113" s="892">
        <f>EDATE(DATE(YEAR('CDB Calculator Summary Sheet'!J9) + 18, MONTH('CDB Calculator Summary Sheet'!J9), DAY('CDB Calculator Summary Sheet'!J9)),0)</f>
        <v/>
      </c>
      <c r="G113" s="492" t="inlineStr">
        <is>
          <t>DOB</t>
        </is>
      </c>
      <c r="H113" s="393">
        <f>'CDB Calculator Summary Sheet'!J9</f>
        <v/>
      </c>
    </row>
    <row r="114">
      <c r="B114" s="492" t="inlineStr">
        <is>
          <t>Age Start</t>
        </is>
      </c>
      <c r="C114" s="492" t="inlineStr">
        <is>
          <t>Age End</t>
        </is>
      </c>
      <c r="D114" s="484">
        <f>B115</f>
        <v/>
      </c>
      <c r="E114" s="484">
        <f>MONTH('CDB Calculator Summary Sheet'!J9)</f>
        <v/>
      </c>
      <c r="F114" t="inlineStr">
        <is>
          <t>&lt;--Age Start</t>
        </is>
      </c>
      <c r="G114" s="492" t="inlineStr">
        <is>
          <t>DTC Start Yr</t>
        </is>
      </c>
      <c r="H114">
        <f>'CDB Calculator Summary Sheet'!H9</f>
        <v/>
      </c>
      <c r="Q114" s="740" t="inlineStr">
        <is>
          <t>Eligble Months by 1/2 pay peiod</t>
        </is>
      </c>
    </row>
    <row r="115">
      <c r="B115" s="484">
        <f>YEAR('CDB Calculator Summary Sheet'!J9)</f>
        <v/>
      </c>
      <c r="C115" s="482">
        <f>YEAR(F113)</f>
        <v/>
      </c>
      <c r="D115" s="484">
        <f>YEAR(F113)</f>
        <v/>
      </c>
      <c r="E115" s="484">
        <f>MONTH(F113)</f>
        <v/>
      </c>
      <c r="F115" t="inlineStr">
        <is>
          <t>&lt;--Age End</t>
        </is>
      </c>
      <c r="G115" s="492" t="inlineStr">
        <is>
          <t>DTC End Yr</t>
        </is>
      </c>
      <c r="H115">
        <f>'CDB Calculator Summary Sheet'!I9</f>
        <v/>
      </c>
    </row>
    <row r="116"/>
    <row r="117" ht="15" customHeight="1">
      <c r="F117" s="739" t="inlineStr">
        <is>
          <t>Months in payout period</t>
        </is>
      </c>
      <c r="G117" s="739" t="inlineStr">
        <is>
          <t>Eligible Months Based on Age 18 or less</t>
        </is>
      </c>
      <c r="I117" s="739" t="inlineStr">
        <is>
          <t>Total Eligible Months by Age</t>
        </is>
      </c>
      <c r="K117" s="739" t="inlineStr">
        <is>
          <t>Eligible Months Based on DTC Start Yr</t>
        </is>
      </c>
      <c r="L117" s="739" t="inlineStr">
        <is>
          <t>Total Eligible Months by DTC Start</t>
        </is>
      </c>
      <c r="M117" s="492" t="n"/>
      <c r="N117" s="739" t="inlineStr">
        <is>
          <t>Eligible Months Based on DTC End Yr</t>
        </is>
      </c>
      <c r="O117" s="739" t="inlineStr">
        <is>
          <t>Total Eligible Months by DTC End</t>
        </is>
      </c>
      <c r="P117" s="492" t="n"/>
      <c r="R117" s="739" t="inlineStr">
        <is>
          <t>Total Eligible Months (Age &amp; DTC Start and End)</t>
        </is>
      </c>
      <c r="U117" s="740" t="inlineStr">
        <is>
          <t>Effective Dependant Count</t>
        </is>
      </c>
      <c r="V117" s="739" t="inlineStr">
        <is>
          <t>Count of Eligible Kids</t>
        </is>
      </c>
    </row>
    <row r="118">
      <c r="B118" s="392" t="inlineStr">
        <is>
          <t>Base Yr</t>
        </is>
      </c>
      <c r="C118" s="392" t="inlineStr">
        <is>
          <t>Payout Period</t>
        </is>
      </c>
      <c r="D118" s="279" t="n"/>
      <c r="E118" s="752" t="n"/>
      <c r="H118" t="inlineStr">
        <is>
          <t>Base Year</t>
        </is>
      </c>
      <c r="J118" s="492" t="inlineStr">
        <is>
          <t>% of Year</t>
        </is>
      </c>
      <c r="M118" s="492" t="inlineStr">
        <is>
          <t>% of Year</t>
        </is>
      </c>
      <c r="P118" s="492" t="inlineStr">
        <is>
          <t>% of Year</t>
        </is>
      </c>
      <c r="Q118" s="39" t="n"/>
      <c r="S118" s="492" t="inlineStr">
        <is>
          <t>% of Year</t>
        </is>
      </c>
      <c r="T118" t="inlineStr">
        <is>
          <t>Base Year</t>
        </is>
      </c>
      <c r="U118" s="39" t="n"/>
    </row>
    <row r="119">
      <c r="B119" s="484">
        <f>'CDB Calculator Summary Sheet'!$G$17</f>
        <v/>
      </c>
      <c r="C119" s="391" t="n">
        <v>43831</v>
      </c>
      <c r="D119" s="391" t="n">
        <v>44012</v>
      </c>
      <c r="E119" s="484">
        <f>B119+2</f>
        <v/>
      </c>
      <c r="F119" s="484" t="n">
        <v>6</v>
      </c>
      <c r="G119" s="484">
        <f>IF($C$115=E119,IF($E$115&lt;6,$E$115,6),IF($C$115&gt;E119,6,0))</f>
        <v/>
      </c>
      <c r="H119" s="484">
        <f>B119</f>
        <v/>
      </c>
      <c r="I119" s="484">
        <f>G119+G120</f>
        <v/>
      </c>
      <c r="J119" s="362">
        <f>I119/12</f>
        <v/>
      </c>
      <c r="K119" s="484">
        <f>IF($H$114=E119,6,IF($H$114&lt;E119,6,0))</f>
        <v/>
      </c>
      <c r="L119" s="484">
        <f>K119+K120</f>
        <v/>
      </c>
      <c r="M119" s="362">
        <f>L119/12</f>
        <v/>
      </c>
      <c r="N119" s="484">
        <f>IF($H$115=E119,6,IF($H$115&gt;E119,6,0))</f>
        <v/>
      </c>
      <c r="O119" s="484">
        <f>N119+N120</f>
        <v/>
      </c>
      <c r="P119" s="362">
        <f>O119/12</f>
        <v/>
      </c>
      <c r="Q119" s="484">
        <f>MIN(N119,K119,G119)</f>
        <v/>
      </c>
      <c r="R119" s="484">
        <f>MIN(O119,L119,I119)</f>
        <v/>
      </c>
      <c r="S119" s="362">
        <f>R119/12</f>
        <v/>
      </c>
      <c r="T119" s="484">
        <f>H119</f>
        <v/>
      </c>
      <c r="U119" s="501">
        <f>S119*1</f>
        <v/>
      </c>
      <c r="V119" s="492">
        <f>IF(U119&gt;0,1,0)</f>
        <v/>
      </c>
    </row>
    <row r="120">
      <c r="B120" s="484">
        <f>B119</f>
        <v/>
      </c>
      <c r="C120" s="391" t="n">
        <v>44013</v>
      </c>
      <c r="D120" s="391" t="n">
        <v>44196</v>
      </c>
      <c r="E120" s="484">
        <f>B120+1</f>
        <v/>
      </c>
      <c r="F120" s="484" t="n">
        <v>6</v>
      </c>
      <c r="G120" s="484">
        <f>IF($C$115=E120,IF($E$115&gt;6,$E$115-6,0),IF($C$115&gt;E120,6,0))</f>
        <v/>
      </c>
      <c r="H120" s="377" t="n"/>
      <c r="I120" s="377" t="n"/>
      <c r="J120" s="390" t="n"/>
      <c r="K120" s="377">
        <f>IF($H$114=E120,6,IF($H$114&lt;E120,6,0))</f>
        <v/>
      </c>
      <c r="L120" s="377" t="n"/>
      <c r="M120" s="390" t="n"/>
      <c r="N120" s="377">
        <f>IF($H$115=E120,6,IF($H$115&gt;E120,6,0))</f>
        <v/>
      </c>
      <c r="O120" s="377" t="n"/>
      <c r="P120" s="390" t="n"/>
      <c r="Q120" s="377">
        <f>MIN(N120,K120,G120)</f>
        <v/>
      </c>
      <c r="R120" s="377" t="n"/>
      <c r="S120" s="390" t="n"/>
      <c r="T120" s="377" t="n"/>
      <c r="U120" s="389" t="n"/>
      <c r="V120" s="492" t="n"/>
    </row>
    <row r="121">
      <c r="B121" s="484">
        <f>'CDB Calculator Summary Sheet'!$G$18</f>
        <v/>
      </c>
      <c r="C121" s="391" t="n">
        <v>43831</v>
      </c>
      <c r="D121" s="391" t="n">
        <v>44012</v>
      </c>
      <c r="E121" s="484">
        <f>B121+2</f>
        <v/>
      </c>
      <c r="F121" s="484" t="n">
        <v>6</v>
      </c>
      <c r="G121" s="484">
        <f>IF($C$115=E121,IF($E$115&lt;6,$E$115,6),IF($C$115&gt;E121,6,0))</f>
        <v/>
      </c>
      <c r="H121" s="484">
        <f>B121</f>
        <v/>
      </c>
      <c r="I121" s="484">
        <f>G121+G122</f>
        <v/>
      </c>
      <c r="J121" s="362">
        <f>I121/12</f>
        <v/>
      </c>
      <c r="K121" s="484">
        <f>IF($H$114=E121,6,IF($H$114&lt;E121,6,0))</f>
        <v/>
      </c>
      <c r="L121" s="484">
        <f>K121+K122</f>
        <v/>
      </c>
      <c r="M121" s="362">
        <f>L121/12</f>
        <v/>
      </c>
      <c r="N121" s="484">
        <f>IF($H$115=E121,6,IF($H$115&gt;E121,6,0))</f>
        <v/>
      </c>
      <c r="O121" s="484">
        <f>N121+N122</f>
        <v/>
      </c>
      <c r="P121" s="362">
        <f>O121/12</f>
        <v/>
      </c>
      <c r="Q121" s="484">
        <f>MIN(N121,K121,G121)</f>
        <v/>
      </c>
      <c r="R121" s="484">
        <f>MIN(O121,L121,I121)</f>
        <v/>
      </c>
      <c r="S121" s="362">
        <f>R121/12</f>
        <v/>
      </c>
      <c r="T121" s="484">
        <f>H121</f>
        <v/>
      </c>
      <c r="U121" s="501">
        <f>S121*1</f>
        <v/>
      </c>
      <c r="V121" s="492">
        <f>IF(U121&gt;0,1,0)</f>
        <v/>
      </c>
    </row>
    <row r="122">
      <c r="B122" s="484">
        <f>B121</f>
        <v/>
      </c>
      <c r="C122" s="391" t="n">
        <v>44013</v>
      </c>
      <c r="D122" s="391" t="n">
        <v>44196</v>
      </c>
      <c r="E122" s="484">
        <f>B122+1</f>
        <v/>
      </c>
      <c r="F122" s="484" t="n">
        <v>6</v>
      </c>
      <c r="G122" s="484">
        <f>IF($C$115=E122,IF($E$115&gt;6,$E$115-6,0),IF($C$115&gt;E122,6,0))</f>
        <v/>
      </c>
      <c r="H122" s="377" t="n"/>
      <c r="I122" s="377" t="n"/>
      <c r="J122" s="390" t="n"/>
      <c r="K122" s="377">
        <f>IF($H$114=E122,6,IF($H$114&lt;E122,6,0))</f>
        <v/>
      </c>
      <c r="L122" s="377" t="n"/>
      <c r="M122" s="390" t="n"/>
      <c r="N122" s="377">
        <f>IF($H$115=E122,6,IF($H$115&gt;E122,6,0))</f>
        <v/>
      </c>
      <c r="O122" s="377" t="n"/>
      <c r="P122" s="390" t="n"/>
      <c r="Q122" s="377">
        <f>MIN(N122,K122,G122)</f>
        <v/>
      </c>
      <c r="R122" s="377" t="n"/>
      <c r="S122" s="390" t="n"/>
      <c r="T122" s="377" t="n"/>
      <c r="U122" s="389" t="n"/>
      <c r="V122" s="492" t="n"/>
    </row>
    <row r="123">
      <c r="B123" s="484">
        <f>'CDB Calculator Summary Sheet'!$G$19</f>
        <v/>
      </c>
      <c r="C123" s="391" t="n">
        <v>43831</v>
      </c>
      <c r="D123" s="391" t="n">
        <v>44012</v>
      </c>
      <c r="E123" s="484">
        <f>B123+2</f>
        <v/>
      </c>
      <c r="F123" s="484" t="n">
        <v>6</v>
      </c>
      <c r="G123" s="484">
        <f>IF($C$115=E123,IF($E$115&lt;6,$E$115,6),IF($C$115&gt;E123,6,0))</f>
        <v/>
      </c>
      <c r="H123" s="484">
        <f>B123</f>
        <v/>
      </c>
      <c r="I123" s="484">
        <f>G123+G124</f>
        <v/>
      </c>
      <c r="J123" s="362">
        <f>I123/12</f>
        <v/>
      </c>
      <c r="K123" s="484">
        <f>IF($H$114=E123,6,IF($H$114&lt;E123,6,0))</f>
        <v/>
      </c>
      <c r="L123" s="484">
        <f>K123+K124</f>
        <v/>
      </c>
      <c r="M123" s="362">
        <f>L123/12</f>
        <v/>
      </c>
      <c r="N123" s="484">
        <f>IF($H$115=E123,6,IF($H$115&gt;E123,6,0))</f>
        <v/>
      </c>
      <c r="O123" s="484">
        <f>N123+N124</f>
        <v/>
      </c>
      <c r="P123" s="362">
        <f>O123/12</f>
        <v/>
      </c>
      <c r="Q123" s="484">
        <f>MIN(N123,K123,G123)</f>
        <v/>
      </c>
      <c r="R123" s="484">
        <f>MIN(O123,L123,I123)</f>
        <v/>
      </c>
      <c r="S123" s="362">
        <f>R123/12</f>
        <v/>
      </c>
      <c r="T123" s="484">
        <f>H123</f>
        <v/>
      </c>
      <c r="U123" s="501">
        <f>S123*1</f>
        <v/>
      </c>
      <c r="V123" s="492">
        <f>IF(U123&gt;0,1,0)</f>
        <v/>
      </c>
    </row>
    <row r="124">
      <c r="B124" s="484">
        <f>B123</f>
        <v/>
      </c>
      <c r="C124" s="391" t="n">
        <v>44013</v>
      </c>
      <c r="D124" s="391" t="n">
        <v>44196</v>
      </c>
      <c r="E124" s="484">
        <f>B124+1</f>
        <v/>
      </c>
      <c r="F124" s="484" t="n">
        <v>6</v>
      </c>
      <c r="G124" s="484">
        <f>IF($C$115=E124,IF($E$115&gt;6,$E$115-6,0),IF($C$115&gt;E124,6,0))</f>
        <v/>
      </c>
      <c r="H124" s="377" t="n"/>
      <c r="I124" s="377" t="n"/>
      <c r="J124" s="390" t="n"/>
      <c r="K124" s="377">
        <f>IF($H$114=E124,6,IF($H$114&lt;E124,6,0))</f>
        <v/>
      </c>
      <c r="L124" s="377" t="n"/>
      <c r="M124" s="390" t="n"/>
      <c r="N124" s="377">
        <f>IF($H$115=E124,6,IF($H$115&gt;E124,6,0))</f>
        <v/>
      </c>
      <c r="O124" s="377" t="n"/>
      <c r="P124" s="390" t="n"/>
      <c r="Q124" s="377">
        <f>MIN(N124,K124,G124)</f>
        <v/>
      </c>
      <c r="R124" s="377" t="n"/>
      <c r="S124" s="390" t="n"/>
      <c r="T124" s="377" t="n"/>
      <c r="U124" s="389" t="n"/>
      <c r="V124" s="492" t="n"/>
    </row>
    <row r="125">
      <c r="B125" s="484">
        <f>'CDB Calculator Summary Sheet'!$G$20</f>
        <v/>
      </c>
      <c r="C125" s="391" t="n">
        <v>43831</v>
      </c>
      <c r="D125" s="391" t="n">
        <v>44012</v>
      </c>
      <c r="E125" s="484">
        <f>B125+2</f>
        <v/>
      </c>
      <c r="F125" s="484" t="n">
        <v>6</v>
      </c>
      <c r="G125" s="484">
        <f>IF($C$115=E125,IF($E$115&lt;6,$E$115,6),IF($C$115&gt;E125,6,0))</f>
        <v/>
      </c>
      <c r="H125" s="484">
        <f>B125</f>
        <v/>
      </c>
      <c r="I125" s="484">
        <f>G125+G126</f>
        <v/>
      </c>
      <c r="J125" s="362">
        <f>I125/12</f>
        <v/>
      </c>
      <c r="K125" s="484">
        <f>IF($H$114=E125,6,IF($H$114&lt;E125,6,0))</f>
        <v/>
      </c>
      <c r="L125" s="484">
        <f>K125+K126</f>
        <v/>
      </c>
      <c r="M125" s="362">
        <f>L125/12</f>
        <v/>
      </c>
      <c r="N125" s="484">
        <f>IF($H$115=E125,6,IF($H$115&gt;E125,6,0))</f>
        <v/>
      </c>
      <c r="O125" s="484">
        <f>N125+N126</f>
        <v/>
      </c>
      <c r="P125" s="362">
        <f>O125/12</f>
        <v/>
      </c>
      <c r="Q125" s="484">
        <f>MIN(N125,K125,G125)</f>
        <v/>
      </c>
      <c r="R125" s="484">
        <f>MIN(O125,L125,I125)</f>
        <v/>
      </c>
      <c r="S125" s="362">
        <f>R125/12</f>
        <v/>
      </c>
      <c r="T125" s="484">
        <f>H125</f>
        <v/>
      </c>
      <c r="U125" s="501">
        <f>S125*1</f>
        <v/>
      </c>
      <c r="V125" s="492">
        <f>IF(U125&gt;0,1,0)</f>
        <v/>
      </c>
    </row>
    <row r="126">
      <c r="B126" s="484">
        <f>B125</f>
        <v/>
      </c>
      <c r="C126" s="391" t="n">
        <v>44013</v>
      </c>
      <c r="D126" s="391" t="n">
        <v>44196</v>
      </c>
      <c r="E126" s="484">
        <f>B126+1</f>
        <v/>
      </c>
      <c r="F126" s="484" t="n">
        <v>6</v>
      </c>
      <c r="G126" s="484">
        <f>IF($C$115=E126,IF($E$115&gt;6,$E$115-6,0),IF($C$115&gt;E126,6,0))</f>
        <v/>
      </c>
      <c r="H126" s="377" t="n"/>
      <c r="I126" s="377" t="n"/>
      <c r="J126" s="390" t="n"/>
      <c r="K126" s="377">
        <f>IF($H$114=E126,6,IF($H$114&lt;E126,6,0))</f>
        <v/>
      </c>
      <c r="L126" s="377" t="n"/>
      <c r="M126" s="390" t="n"/>
      <c r="N126" s="377">
        <f>IF($H$115=E126,6,IF($H$115&gt;E126,6,0))</f>
        <v/>
      </c>
      <c r="O126" s="377" t="n"/>
      <c r="P126" s="390" t="n"/>
      <c r="Q126" s="377">
        <f>MIN(N126,K126,G126)</f>
        <v/>
      </c>
      <c r="R126" s="377" t="n"/>
      <c r="S126" s="390" t="n"/>
      <c r="T126" s="377" t="n"/>
      <c r="U126" s="389" t="n"/>
      <c r="V126" s="492" t="n"/>
    </row>
    <row r="127">
      <c r="B127" s="484">
        <f>'CDB Calculator Summary Sheet'!$G$21</f>
        <v/>
      </c>
      <c r="C127" s="391" t="n">
        <v>43831</v>
      </c>
      <c r="D127" s="391" t="n">
        <v>44012</v>
      </c>
      <c r="E127" s="484">
        <f>B127+2</f>
        <v/>
      </c>
      <c r="F127" s="484" t="n">
        <v>6</v>
      </c>
      <c r="G127" s="484">
        <f>IF($C$115=E127,IF($E$115&lt;6,$E$115,6),IF($C$115&gt;E127,6,0))</f>
        <v/>
      </c>
      <c r="H127" s="484">
        <f>B127</f>
        <v/>
      </c>
      <c r="I127" s="484">
        <f>G127+G128</f>
        <v/>
      </c>
      <c r="J127" s="362">
        <f>I127/12</f>
        <v/>
      </c>
      <c r="K127" s="484">
        <f>IF($H$114=E127,6,IF($H$114&lt;E127,6,0))</f>
        <v/>
      </c>
      <c r="L127" s="484">
        <f>K127+K128</f>
        <v/>
      </c>
      <c r="M127" s="362">
        <f>L127/12</f>
        <v/>
      </c>
      <c r="N127" s="484">
        <f>IF($H$115=E127,6,IF($H$115&gt;E127,6,0))</f>
        <v/>
      </c>
      <c r="O127" s="484">
        <f>N127+N128</f>
        <v/>
      </c>
      <c r="P127" s="362">
        <f>O127/12</f>
        <v/>
      </c>
      <c r="Q127" s="484">
        <f>MIN(N127,K127,G127)</f>
        <v/>
      </c>
      <c r="R127" s="484">
        <f>MIN(O127,L127,I127)</f>
        <v/>
      </c>
      <c r="S127" s="362">
        <f>R127/12</f>
        <v/>
      </c>
      <c r="T127" s="484">
        <f>H127</f>
        <v/>
      </c>
      <c r="U127" s="501">
        <f>S127*1</f>
        <v/>
      </c>
      <c r="V127" s="492">
        <f>IF(U127&gt;0,1,0)</f>
        <v/>
      </c>
    </row>
    <row r="128">
      <c r="B128" s="484">
        <f>B127</f>
        <v/>
      </c>
      <c r="C128" s="391" t="n">
        <v>44013</v>
      </c>
      <c r="D128" s="391" t="n">
        <v>44196</v>
      </c>
      <c r="E128" s="484">
        <f>B128+1</f>
        <v/>
      </c>
      <c r="F128" s="484" t="n">
        <v>6</v>
      </c>
      <c r="G128" s="484">
        <f>IF($C$115=E128,IF($E$115&gt;6,$E$115-6,0),IF($C$115&gt;E128,6,0))</f>
        <v/>
      </c>
      <c r="H128" s="377" t="n"/>
      <c r="I128" s="377" t="n"/>
      <c r="J128" s="390" t="n"/>
      <c r="K128" s="377">
        <f>IF($H$114=E128,6,IF($H$114&lt;E128,6,0))</f>
        <v/>
      </c>
      <c r="L128" s="377" t="n"/>
      <c r="M128" s="390" t="n"/>
      <c r="N128" s="377">
        <f>IF($H$115=E128,6,IF($H$115&gt;E128,6,0))</f>
        <v/>
      </c>
      <c r="O128" s="377" t="n"/>
      <c r="P128" s="390" t="n"/>
      <c r="Q128" s="377">
        <f>MIN(N128,K128,G128)</f>
        <v/>
      </c>
      <c r="R128" s="377" t="n"/>
      <c r="S128" s="390" t="n"/>
      <c r="T128" s="377" t="n"/>
      <c r="U128" s="389" t="n"/>
      <c r="V128" s="492" t="n"/>
    </row>
    <row r="129">
      <c r="B129" s="484">
        <f>'CDB Calculator Summary Sheet'!$G$22</f>
        <v/>
      </c>
      <c r="C129" s="391" t="n">
        <v>43831</v>
      </c>
      <c r="D129" s="391" t="n">
        <v>44012</v>
      </c>
      <c r="E129" s="484">
        <f>B129+2</f>
        <v/>
      </c>
      <c r="F129" s="484" t="n">
        <v>6</v>
      </c>
      <c r="G129" s="484">
        <f>IF($C$115=E129,IF($E$115&lt;6,$E$115,6),IF($C$115&gt;E129,6,0))</f>
        <v/>
      </c>
      <c r="H129" s="484">
        <f>B129</f>
        <v/>
      </c>
      <c r="I129" s="484">
        <f>G129+G130</f>
        <v/>
      </c>
      <c r="J129" s="362">
        <f>I129/12</f>
        <v/>
      </c>
      <c r="K129" s="484">
        <f>IF($H$114=E129,6,IF($H$114&lt;E129,6,0))</f>
        <v/>
      </c>
      <c r="L129" s="484">
        <f>K129+K130</f>
        <v/>
      </c>
      <c r="M129" s="362">
        <f>L129/12</f>
        <v/>
      </c>
      <c r="N129" s="484">
        <f>IF($H$115=E129,6,IF($H$115&gt;E129,6,0))</f>
        <v/>
      </c>
      <c r="O129" s="484">
        <f>N129+N130</f>
        <v/>
      </c>
      <c r="P129" s="362">
        <f>O129/12</f>
        <v/>
      </c>
      <c r="Q129" s="484">
        <f>MIN(N129,K129,G129)</f>
        <v/>
      </c>
      <c r="R129" s="484">
        <f>MIN(O129,L129,I129)</f>
        <v/>
      </c>
      <c r="S129" s="362">
        <f>R129/12</f>
        <v/>
      </c>
      <c r="T129" s="484">
        <f>H129</f>
        <v/>
      </c>
      <c r="U129" s="501">
        <f>S129*1</f>
        <v/>
      </c>
      <c r="V129" s="492">
        <f>IF(U129&gt;0,1,0)</f>
        <v/>
      </c>
    </row>
    <row r="130">
      <c r="B130" s="484">
        <f>B129</f>
        <v/>
      </c>
      <c r="C130" s="391" t="n">
        <v>44013</v>
      </c>
      <c r="D130" s="391" t="n">
        <v>44196</v>
      </c>
      <c r="E130" s="484">
        <f>B130+1</f>
        <v/>
      </c>
      <c r="F130" s="484" t="n">
        <v>6</v>
      </c>
      <c r="G130" s="484">
        <f>IF($C$115=E130,IF($E$115&gt;6,$E$115-6,0),IF($C$115&gt;E130,6,0))</f>
        <v/>
      </c>
      <c r="H130" s="377" t="n"/>
      <c r="I130" s="377" t="n"/>
      <c r="J130" s="390" t="n"/>
      <c r="K130" s="377">
        <f>IF($H$114=E130,6,IF($H$114&lt;E130,6,0))</f>
        <v/>
      </c>
      <c r="L130" s="377" t="n"/>
      <c r="M130" s="390" t="n"/>
      <c r="N130" s="377">
        <f>IF($H$115=E130,6,IF($H$115&gt;E130,6,0))</f>
        <v/>
      </c>
      <c r="O130" s="377" t="n"/>
      <c r="P130" s="390" t="n"/>
      <c r="Q130" s="377">
        <f>MIN(N130,K130,G130)</f>
        <v/>
      </c>
      <c r="R130" s="377" t="n"/>
      <c r="S130" s="390" t="n"/>
      <c r="T130" s="377" t="n"/>
      <c r="U130" s="389" t="n"/>
      <c r="V130" s="492" t="n"/>
    </row>
    <row r="131">
      <c r="B131" s="484">
        <f>'CDB Calculator Summary Sheet'!$G$23</f>
        <v/>
      </c>
      <c r="C131" s="391" t="n">
        <v>43831</v>
      </c>
      <c r="D131" s="391" t="n">
        <v>44012</v>
      </c>
      <c r="E131" s="484">
        <f>B131+2</f>
        <v/>
      </c>
      <c r="F131" s="484" t="n">
        <v>6</v>
      </c>
      <c r="G131" s="484">
        <f>IF($C$115=E131,IF($E$115&lt;6,$E$115,6),IF($C$115&gt;E131,6,0))</f>
        <v/>
      </c>
      <c r="H131" s="484">
        <f>B131</f>
        <v/>
      </c>
      <c r="I131" s="484">
        <f>G131+G132</f>
        <v/>
      </c>
      <c r="J131" s="362">
        <f>I131/12</f>
        <v/>
      </c>
      <c r="K131" s="484">
        <f>IF($H$114=E131,6,IF($H$114&lt;E131,6,0))</f>
        <v/>
      </c>
      <c r="L131" s="484">
        <f>K131+K132</f>
        <v/>
      </c>
      <c r="M131" s="362">
        <f>L131/12</f>
        <v/>
      </c>
      <c r="N131" s="484">
        <f>IF($H$115=E131,6,IF($H$115&gt;E131,6,0))</f>
        <v/>
      </c>
      <c r="O131" s="484">
        <f>N131+N132</f>
        <v/>
      </c>
      <c r="P131" s="362">
        <f>O131/12</f>
        <v/>
      </c>
      <c r="Q131" s="484">
        <f>MIN(N131,K131,G131)</f>
        <v/>
      </c>
      <c r="R131" s="484">
        <f>MIN(O131,L131,I131)</f>
        <v/>
      </c>
      <c r="S131" s="362">
        <f>R131/12</f>
        <v/>
      </c>
      <c r="T131" s="484">
        <f>H131</f>
        <v/>
      </c>
      <c r="U131" s="501">
        <f>S131*1</f>
        <v/>
      </c>
      <c r="V131" s="492">
        <f>IF(U131&gt;0,1,0)</f>
        <v/>
      </c>
    </row>
    <row r="132">
      <c r="B132" s="484">
        <f>B131</f>
        <v/>
      </c>
      <c r="C132" s="391" t="n">
        <v>44013</v>
      </c>
      <c r="D132" s="391" t="n">
        <v>44196</v>
      </c>
      <c r="E132" s="484">
        <f>B132+1</f>
        <v/>
      </c>
      <c r="F132" s="484" t="n">
        <v>6</v>
      </c>
      <c r="G132" s="484">
        <f>IF($C$115=E132,IF($E$115&gt;6,$E$115-6,0),IF($C$115&gt;E132,6,0))</f>
        <v/>
      </c>
      <c r="H132" s="377" t="n"/>
      <c r="I132" s="377" t="n"/>
      <c r="J132" s="390" t="n"/>
      <c r="K132" s="377">
        <f>IF($H$114=E132,6,IF($H$114&lt;E132,6,0))</f>
        <v/>
      </c>
      <c r="L132" s="377" t="n"/>
      <c r="M132" s="390" t="n"/>
      <c r="N132" s="377">
        <f>IF($H$115=E132,6,IF($H$115&gt;E132,6,0))</f>
        <v/>
      </c>
      <c r="O132" s="377" t="n"/>
      <c r="P132" s="390" t="n"/>
      <c r="Q132" s="377">
        <f>MIN(N132,K132,G132)</f>
        <v/>
      </c>
      <c r="R132" s="377" t="n"/>
      <c r="S132" s="390" t="n"/>
      <c r="T132" s="377" t="n"/>
      <c r="U132" s="389" t="n"/>
      <c r="V132" s="492" t="n"/>
    </row>
    <row r="133">
      <c r="B133" s="484">
        <f>'CDB Calculator Summary Sheet'!$G$24</f>
        <v/>
      </c>
      <c r="C133" s="391" t="n">
        <v>43831</v>
      </c>
      <c r="D133" s="391" t="n">
        <v>44012</v>
      </c>
      <c r="E133" s="484">
        <f>B133+2</f>
        <v/>
      </c>
      <c r="F133" s="484" t="n">
        <v>6</v>
      </c>
      <c r="G133" s="484">
        <f>IF($C$115=E133,IF($E$115&lt;6,$E$115,6),IF($C$115&gt;E133,6,0))</f>
        <v/>
      </c>
      <c r="H133" s="484">
        <f>B133</f>
        <v/>
      </c>
      <c r="I133" s="484">
        <f>G133+G134</f>
        <v/>
      </c>
      <c r="J133" s="362">
        <f>I133/12</f>
        <v/>
      </c>
      <c r="K133" s="484">
        <f>IF($H$114=E133,6,IF($H$114&lt;E133,6,0))</f>
        <v/>
      </c>
      <c r="L133" s="484">
        <f>K133+K134</f>
        <v/>
      </c>
      <c r="M133" s="362">
        <f>L133/12</f>
        <v/>
      </c>
      <c r="N133" s="484">
        <f>IF($H$115=E133,6,IF($H$115&gt;E133,6,0))</f>
        <v/>
      </c>
      <c r="O133" s="484">
        <f>N133+N134</f>
        <v/>
      </c>
      <c r="P133" s="362">
        <f>O133/12</f>
        <v/>
      </c>
      <c r="Q133" s="484">
        <f>MIN(N133,K133,G133)</f>
        <v/>
      </c>
      <c r="R133" s="484">
        <f>MIN(O133,L133,I133)</f>
        <v/>
      </c>
      <c r="S133" s="362">
        <f>R133/12</f>
        <v/>
      </c>
      <c r="T133" s="484">
        <f>H133</f>
        <v/>
      </c>
      <c r="U133" s="501">
        <f>S133*1</f>
        <v/>
      </c>
      <c r="V133" s="492">
        <f>IF(U133&gt;0,1,0)</f>
        <v/>
      </c>
    </row>
    <row r="134">
      <c r="B134" s="484">
        <f>B133</f>
        <v/>
      </c>
      <c r="C134" s="391" t="n">
        <v>44013</v>
      </c>
      <c r="D134" s="391" t="n">
        <v>44196</v>
      </c>
      <c r="E134" s="484">
        <f>B134+1</f>
        <v/>
      </c>
      <c r="F134" s="484" t="n">
        <v>6</v>
      </c>
      <c r="G134" s="484">
        <f>IF($C$115=E134,IF($E$115&gt;6,$E$115-6,0),IF($C$115&gt;E134,6,0))</f>
        <v/>
      </c>
      <c r="H134" s="377" t="n"/>
      <c r="I134" s="377" t="n"/>
      <c r="J134" s="390" t="n"/>
      <c r="K134" s="377">
        <f>IF($H$114=E134,6,IF($H$114&lt;E134,6,0))</f>
        <v/>
      </c>
      <c r="L134" s="377" t="n"/>
      <c r="M134" s="390" t="n"/>
      <c r="N134" s="377">
        <f>IF($H$115=E134,6,IF($H$115&gt;E134,6,0))</f>
        <v/>
      </c>
      <c r="O134" s="377" t="n"/>
      <c r="P134" s="390" t="n"/>
      <c r="Q134" s="377">
        <f>MIN(N134,K134,G134)</f>
        <v/>
      </c>
      <c r="R134" s="377" t="n"/>
      <c r="S134" s="390" t="n"/>
      <c r="T134" s="377" t="n"/>
      <c r="U134" s="389" t="n"/>
      <c r="V134" s="492" t="n"/>
    </row>
    <row r="135">
      <c r="B135" s="484">
        <f>'CDB Calculator Summary Sheet'!$G$25</f>
        <v/>
      </c>
      <c r="C135" s="391" t="n">
        <v>43831</v>
      </c>
      <c r="D135" s="391" t="n">
        <v>44012</v>
      </c>
      <c r="E135" s="484">
        <f>B135+2</f>
        <v/>
      </c>
      <c r="F135" s="484" t="n">
        <v>6</v>
      </c>
      <c r="G135" s="484">
        <f>IF($C$115=E135,IF($E$115&lt;6,$E$115,6),IF($C$115&gt;E135,6,0))</f>
        <v/>
      </c>
      <c r="H135" s="484">
        <f>B135</f>
        <v/>
      </c>
      <c r="I135" s="484">
        <f>G135+G136</f>
        <v/>
      </c>
      <c r="J135" s="362">
        <f>I135/12</f>
        <v/>
      </c>
      <c r="K135" s="484">
        <f>IF($H$114=E135,6,IF($H$114&lt;E135,6,0))</f>
        <v/>
      </c>
      <c r="L135" s="484">
        <f>K135+K136</f>
        <v/>
      </c>
      <c r="M135" s="362">
        <f>L135/12</f>
        <v/>
      </c>
      <c r="N135" s="484">
        <f>IF($H$115=E135,6,IF($H$115&gt;E135,6,0))</f>
        <v/>
      </c>
      <c r="O135" s="484">
        <f>N135+N136</f>
        <v/>
      </c>
      <c r="P135" s="362">
        <f>O135/12</f>
        <v/>
      </c>
      <c r="Q135" s="484">
        <f>MIN(N135,K135,G135)</f>
        <v/>
      </c>
      <c r="R135" s="484">
        <f>MIN(O135,L135,I135)</f>
        <v/>
      </c>
      <c r="S135" s="362">
        <f>R135/12</f>
        <v/>
      </c>
      <c r="T135" s="484">
        <f>H135</f>
        <v/>
      </c>
      <c r="U135" s="501">
        <f>S135*1</f>
        <v/>
      </c>
      <c r="V135" s="492">
        <f>IF(U135&gt;0,1,0)</f>
        <v/>
      </c>
    </row>
    <row r="136">
      <c r="B136" s="484">
        <f>B135</f>
        <v/>
      </c>
      <c r="C136" s="391" t="n">
        <v>44013</v>
      </c>
      <c r="D136" s="391" t="n">
        <v>44196</v>
      </c>
      <c r="E136" s="484">
        <f>B136+1</f>
        <v/>
      </c>
      <c r="F136" s="484" t="n">
        <v>6</v>
      </c>
      <c r="G136" s="484">
        <f>IF($C$115=E136,IF($E$115&gt;6,$E$115-6,0),IF($C$115&gt;E136,6,0))</f>
        <v/>
      </c>
      <c r="H136" s="377" t="n"/>
      <c r="I136" s="377" t="n"/>
      <c r="J136" s="390" t="n"/>
      <c r="K136" s="377">
        <f>IF($H$114=E136,6,IF($H$114&lt;E136,6,0))</f>
        <v/>
      </c>
      <c r="L136" s="377" t="n"/>
      <c r="M136" s="390" t="n"/>
      <c r="N136" s="377">
        <f>IF($H$115=E136,6,IF($H$115&gt;E136,6,0))</f>
        <v/>
      </c>
      <c r="O136" s="377" t="n"/>
      <c r="P136" s="390" t="n"/>
      <c r="Q136" s="377">
        <f>MIN(N136,K136,G136)</f>
        <v/>
      </c>
      <c r="R136" s="377" t="n"/>
      <c r="S136" s="390" t="n"/>
      <c r="T136" s="377" t="n"/>
      <c r="U136" s="389" t="n"/>
      <c r="V136" s="492" t="n"/>
    </row>
    <row r="137">
      <c r="B137" s="484">
        <f>'CDB Calculator Summary Sheet'!$G$26</f>
        <v/>
      </c>
      <c r="C137" s="391" t="n">
        <v>43831</v>
      </c>
      <c r="D137" s="391" t="n">
        <v>44012</v>
      </c>
      <c r="E137" s="484">
        <f>B137+2</f>
        <v/>
      </c>
      <c r="F137" s="484" t="n">
        <v>6</v>
      </c>
      <c r="G137" s="484">
        <f>IF($C$115=E137,IF($E$115&lt;6,$E$115,6),IF($C$115&gt;E137,6,0))</f>
        <v/>
      </c>
      <c r="H137" s="484">
        <f>B137</f>
        <v/>
      </c>
      <c r="I137" s="484">
        <f>G137+G138</f>
        <v/>
      </c>
      <c r="J137" s="362">
        <f>I137/12</f>
        <v/>
      </c>
      <c r="K137" s="484">
        <f>IF($H$114=E137,6,IF($H$114&lt;E137,6,0))</f>
        <v/>
      </c>
      <c r="L137" s="484">
        <f>K137+K138</f>
        <v/>
      </c>
      <c r="M137" s="362">
        <f>L137/12</f>
        <v/>
      </c>
      <c r="N137" s="484">
        <f>IF($H$115=E137,6,IF($H$115&gt;E137,6,0))</f>
        <v/>
      </c>
      <c r="O137" s="484">
        <f>N137+N138</f>
        <v/>
      </c>
      <c r="P137" s="362">
        <f>O137/12</f>
        <v/>
      </c>
      <c r="Q137" s="484">
        <f>MIN(N137,K137,G137)</f>
        <v/>
      </c>
      <c r="R137" s="484">
        <f>MIN(O137,L137,I137)</f>
        <v/>
      </c>
      <c r="S137" s="362">
        <f>R137/12</f>
        <v/>
      </c>
      <c r="T137" s="484">
        <f>H137</f>
        <v/>
      </c>
      <c r="U137" s="501">
        <f>S137*1</f>
        <v/>
      </c>
      <c r="V137" s="492">
        <f>IF(U137&gt;0,1,0)</f>
        <v/>
      </c>
    </row>
    <row r="138">
      <c r="B138" s="484">
        <f>B137</f>
        <v/>
      </c>
      <c r="C138" s="391" t="n">
        <v>44013</v>
      </c>
      <c r="D138" s="391" t="n">
        <v>44196</v>
      </c>
      <c r="E138" s="484">
        <f>B138+1</f>
        <v/>
      </c>
      <c r="F138" s="484" t="n">
        <v>6</v>
      </c>
      <c r="G138" s="484">
        <f>IF($C$115=E138,IF($E$115&gt;6,$E$115-6,0),IF($C$115&gt;E138,6,0))</f>
        <v/>
      </c>
      <c r="H138" s="377" t="n"/>
      <c r="I138" s="377" t="n"/>
      <c r="J138" s="390" t="n"/>
      <c r="K138" s="377">
        <f>IF($H$114=E138,6,IF($H$114&lt;E138,6,0))</f>
        <v/>
      </c>
      <c r="L138" s="377" t="n"/>
      <c r="M138" s="390" t="n"/>
      <c r="N138" s="377">
        <f>IF($H$115=E138,6,IF($H$115&gt;E138,6,0))</f>
        <v/>
      </c>
      <c r="O138" s="377" t="n"/>
      <c r="P138" s="390" t="n"/>
      <c r="Q138" s="377">
        <f>MIN(N138,K138,G138)</f>
        <v/>
      </c>
      <c r="R138" s="377" t="n"/>
      <c r="S138" s="390" t="n"/>
      <c r="T138" s="377" t="n"/>
      <c r="U138" s="389" t="n"/>
      <c r="V138" s="492" t="n"/>
    </row>
    <row r="139">
      <c r="B139" s="484">
        <f>'CDB Calculator Summary Sheet'!#REF!</f>
        <v/>
      </c>
      <c r="C139" s="391" t="n">
        <v>43831</v>
      </c>
      <c r="D139" s="391" t="n">
        <v>44012</v>
      </c>
      <c r="E139" s="484">
        <f>B139+2</f>
        <v/>
      </c>
      <c r="F139" s="484" t="n">
        <v>6</v>
      </c>
      <c r="G139" s="484">
        <f>IF($C$115=E139,IF($E$115&lt;6,$E$115,6),IF($C$115&gt;E139,6,0))</f>
        <v/>
      </c>
      <c r="H139" s="484">
        <f>B139</f>
        <v/>
      </c>
      <c r="I139" s="484">
        <f>G139+G140</f>
        <v/>
      </c>
      <c r="J139" s="362">
        <f>I139/12</f>
        <v/>
      </c>
      <c r="K139" s="484">
        <f>IF($H$114=E139,6,IF($H$114&lt;E139,6,0))</f>
        <v/>
      </c>
      <c r="L139" s="484">
        <f>K139+K140</f>
        <v/>
      </c>
      <c r="M139" s="362">
        <f>L139/12</f>
        <v/>
      </c>
      <c r="N139" s="484">
        <f>IF($H$115=E139,6,IF($H$115&gt;E139,6,0))</f>
        <v/>
      </c>
      <c r="O139" s="484">
        <f>N139+N140</f>
        <v/>
      </c>
      <c r="P139" s="362">
        <f>O139/12</f>
        <v/>
      </c>
      <c r="Q139" s="484">
        <f>MIN(N139,K139,G139)</f>
        <v/>
      </c>
      <c r="R139" s="484">
        <f>MIN(O139,L139,I139)</f>
        <v/>
      </c>
      <c r="S139" s="362">
        <f>R139/12</f>
        <v/>
      </c>
      <c r="T139" s="484">
        <f>H139</f>
        <v/>
      </c>
      <c r="U139" s="501">
        <f>S139*1</f>
        <v/>
      </c>
      <c r="V139" s="492">
        <f>IF(U139&gt;0,1,0)</f>
        <v/>
      </c>
    </row>
    <row r="140">
      <c r="B140" s="484">
        <f>B139</f>
        <v/>
      </c>
      <c r="C140" s="391" t="n">
        <v>44013</v>
      </c>
      <c r="D140" s="391" t="n">
        <v>44196</v>
      </c>
      <c r="E140" s="484">
        <f>B140+1</f>
        <v/>
      </c>
      <c r="F140" s="484" t="n">
        <v>6</v>
      </c>
      <c r="G140" s="484">
        <f>IF($C$115=E140,IF($E$115&gt;6,$E$115-6,0),IF($C$115&gt;E140,6,0))</f>
        <v/>
      </c>
      <c r="H140" s="377" t="n"/>
      <c r="I140" s="377" t="n"/>
      <c r="J140" s="390" t="n"/>
      <c r="K140" s="377">
        <f>IF($H$114=E140,6,IF($H$114&lt;E140,6,0))</f>
        <v/>
      </c>
      <c r="L140" s="377" t="n"/>
      <c r="M140" s="390" t="n"/>
      <c r="N140" s="377">
        <f>IF($H$115=E140,6,IF($H$115&gt;E140,6,0))</f>
        <v/>
      </c>
      <c r="O140" s="377" t="n"/>
      <c r="P140" s="390" t="n"/>
      <c r="Q140" s="377">
        <f>MIN(N140,K140,G140)</f>
        <v/>
      </c>
      <c r="R140" s="377" t="n"/>
      <c r="S140" s="390" t="n"/>
      <c r="T140" s="377" t="n"/>
      <c r="U140" s="389" t="n"/>
      <c r="V140" s="492" t="n"/>
    </row>
    <row r="141">
      <c r="B141" s="484">
        <f>'CDB Calculator Summary Sheet'!#REF!</f>
        <v/>
      </c>
      <c r="C141" s="391" t="n">
        <v>43831</v>
      </c>
      <c r="D141" s="391" t="n">
        <v>44012</v>
      </c>
      <c r="E141" s="484">
        <f>B141+2</f>
        <v/>
      </c>
      <c r="F141" s="484" t="n">
        <v>6</v>
      </c>
      <c r="G141" s="484">
        <f>IF($C$115=E141,IF($E$115&lt;6,$E$115,6),IF($C$115&gt;E141,6,0))</f>
        <v/>
      </c>
      <c r="H141" s="484">
        <f>B141</f>
        <v/>
      </c>
      <c r="I141" s="484">
        <f>G141+G142</f>
        <v/>
      </c>
      <c r="J141" s="362">
        <f>I141/12</f>
        <v/>
      </c>
      <c r="K141" s="484">
        <f>IF($H$114=E141,6,IF($H$114&lt;E141,6,0))</f>
        <v/>
      </c>
      <c r="L141" s="484">
        <f>K141+K142</f>
        <v/>
      </c>
      <c r="M141" s="362">
        <f>L141/12</f>
        <v/>
      </c>
      <c r="N141" s="484">
        <f>IF($H$115=E141,6,IF($H$115&gt;E141,6,0))</f>
        <v/>
      </c>
      <c r="O141" s="484">
        <f>N141+N142</f>
        <v/>
      </c>
      <c r="P141" s="362">
        <f>O141/12</f>
        <v/>
      </c>
      <c r="Q141" s="484">
        <f>MIN(N141,K141,G141)</f>
        <v/>
      </c>
      <c r="R141" s="484">
        <f>MIN(O141,L141,I141)</f>
        <v/>
      </c>
      <c r="S141" s="362">
        <f>R141/12</f>
        <v/>
      </c>
      <c r="T141" s="484">
        <f>H141</f>
        <v/>
      </c>
      <c r="U141" s="501">
        <f>S141*1</f>
        <v/>
      </c>
      <c r="V141" s="492">
        <f>IF(U141&gt;0,1,0)</f>
        <v/>
      </c>
    </row>
    <row r="142">
      <c r="B142" s="484">
        <f>B141</f>
        <v/>
      </c>
      <c r="C142" s="391" t="n">
        <v>44013</v>
      </c>
      <c r="D142" s="391" t="n">
        <v>44196</v>
      </c>
      <c r="E142" s="484">
        <f>B142+1</f>
        <v/>
      </c>
      <c r="F142" s="484" t="n">
        <v>6</v>
      </c>
      <c r="G142" s="484">
        <f>IF($C$115=E142,IF($E$115&gt;6,$E$115-6,0),IF($C$115&gt;E142,6,0))</f>
        <v/>
      </c>
      <c r="H142" s="377" t="n"/>
      <c r="I142" s="377" t="n"/>
      <c r="J142" s="390" t="n"/>
      <c r="K142" s="377">
        <f>IF($H$114=E142,6,IF($H$114&lt;E142,6,0))</f>
        <v/>
      </c>
      <c r="L142" s="377" t="n"/>
      <c r="M142" s="390" t="n"/>
      <c r="N142" s="377">
        <f>IF($H$115=E142,6,IF($H$115&gt;E142,6,0))</f>
        <v/>
      </c>
      <c r="O142" s="377" t="n"/>
      <c r="P142" s="390" t="n"/>
      <c r="Q142" s="377">
        <f>MIN(N142,K142,G142)</f>
        <v/>
      </c>
      <c r="R142" s="377" t="n"/>
      <c r="S142" s="390" t="n"/>
      <c r="T142" s="377" t="n"/>
      <c r="U142" s="389" t="n"/>
      <c r="V142" s="492" t="n"/>
    </row>
    <row r="143">
      <c r="V143" s="492" t="n"/>
    </row>
    <row r="148">
      <c r="B148" s="396" t="inlineStr">
        <is>
          <t>DEPENDANT 5</t>
        </is>
      </c>
      <c r="E148" t="inlineStr">
        <is>
          <t>Current Age in Years</t>
        </is>
      </c>
      <c r="F148" t="inlineStr">
        <is>
          <t>Age Cut Off (18 yrs - includes the month of their 18th birthday)</t>
        </is>
      </c>
    </row>
    <row r="149" ht="16.5" customHeight="1">
      <c r="E149" s="395">
        <f>DATEDIF('CDB Calculator Summary Sheet'!J10,TODAY(),"Y")&amp;" Years, "&amp;DATEDIF('CDB Calculator Summary Sheet'!J10,TODAY(),"YM")&amp;" Months"</f>
        <v/>
      </c>
      <c r="F149" s="892">
        <f>EDATE(DATE(YEAR('CDB Calculator Summary Sheet'!J10) + 18, MONTH('CDB Calculator Summary Sheet'!J10), DAY('CDB Calculator Summary Sheet'!J10)),0)</f>
        <v/>
      </c>
      <c r="G149" s="492" t="inlineStr">
        <is>
          <t>DOB</t>
        </is>
      </c>
      <c r="H149" s="393">
        <f>'CDB Calculator Summary Sheet'!J10</f>
        <v/>
      </c>
    </row>
    <row r="150">
      <c r="B150" s="492" t="inlineStr">
        <is>
          <t>Age Start</t>
        </is>
      </c>
      <c r="C150" s="492" t="inlineStr">
        <is>
          <t>Age End</t>
        </is>
      </c>
      <c r="D150" s="484">
        <f>B151</f>
        <v/>
      </c>
      <c r="E150" s="484">
        <f>MONTH('CDB Calculator Summary Sheet'!J10)</f>
        <v/>
      </c>
      <c r="F150" t="inlineStr">
        <is>
          <t>&lt;--Age Start</t>
        </is>
      </c>
      <c r="G150" s="492" t="inlineStr">
        <is>
          <t>DTC Start Yr</t>
        </is>
      </c>
      <c r="H150">
        <f>'CDB Calculator Summary Sheet'!H10</f>
        <v/>
      </c>
      <c r="Q150" s="740" t="inlineStr">
        <is>
          <t>Eligble Months by 1/2 pay peiod</t>
        </is>
      </c>
    </row>
    <row r="151">
      <c r="B151" s="484">
        <f>YEAR('CDB Calculator Summary Sheet'!J10)</f>
        <v/>
      </c>
      <c r="C151" s="482">
        <f>YEAR(F149)</f>
        <v/>
      </c>
      <c r="D151" s="484">
        <f>YEAR(F149)</f>
        <v/>
      </c>
      <c r="E151" s="484">
        <f>MONTH(F149)</f>
        <v/>
      </c>
      <c r="F151" t="inlineStr">
        <is>
          <t>&lt;--Age End</t>
        </is>
      </c>
      <c r="G151" s="492" t="inlineStr">
        <is>
          <t>DTC End Yr</t>
        </is>
      </c>
      <c r="H151">
        <f>'CDB Calculator Summary Sheet'!I10</f>
        <v/>
      </c>
    </row>
    <row r="152"/>
    <row r="153" ht="15" customHeight="1">
      <c r="F153" s="739" t="inlineStr">
        <is>
          <t>Months in payout period</t>
        </is>
      </c>
      <c r="G153" s="739" t="inlineStr">
        <is>
          <t>Eligible Months Based on Age 18 or less</t>
        </is>
      </c>
      <c r="I153" s="739" t="inlineStr">
        <is>
          <t>Total Eligible Months by Age</t>
        </is>
      </c>
      <c r="K153" s="739" t="inlineStr">
        <is>
          <t>Eligible Months Based on DTC Start Yr</t>
        </is>
      </c>
      <c r="L153" s="739" t="inlineStr">
        <is>
          <t>Total Eligible Months by DTC Start</t>
        </is>
      </c>
      <c r="M153" s="492" t="n"/>
      <c r="N153" s="739" t="inlineStr">
        <is>
          <t>Eligible Months Based on DTC End Yr</t>
        </is>
      </c>
      <c r="O153" s="739" t="inlineStr">
        <is>
          <t>Total Eligible Months by DTC End</t>
        </is>
      </c>
      <c r="P153" s="492" t="n"/>
      <c r="R153" s="739" t="inlineStr">
        <is>
          <t>Total Eligible Months (Age &amp; DTC Start and End)</t>
        </is>
      </c>
      <c r="U153" s="740" t="inlineStr">
        <is>
          <t>Effective Dependant Count</t>
        </is>
      </c>
      <c r="V153" s="739" t="inlineStr">
        <is>
          <t>Count of Eligible Kids</t>
        </is>
      </c>
    </row>
    <row r="154">
      <c r="B154" s="392" t="inlineStr">
        <is>
          <t>Base Yr</t>
        </is>
      </c>
      <c r="C154" s="392" t="inlineStr">
        <is>
          <t>Payout Period</t>
        </is>
      </c>
      <c r="D154" s="279" t="n"/>
      <c r="E154" s="752" t="n"/>
      <c r="H154" t="inlineStr">
        <is>
          <t>Base Year</t>
        </is>
      </c>
      <c r="J154" s="492" t="inlineStr">
        <is>
          <t>% of Year</t>
        </is>
      </c>
      <c r="M154" s="492" t="inlineStr">
        <is>
          <t>% of Year</t>
        </is>
      </c>
      <c r="P154" s="492" t="inlineStr">
        <is>
          <t>% of Year</t>
        </is>
      </c>
      <c r="Q154" s="39" t="n"/>
      <c r="S154" s="492" t="inlineStr">
        <is>
          <t>% of Year</t>
        </is>
      </c>
      <c r="T154" t="inlineStr">
        <is>
          <t>Base Year</t>
        </is>
      </c>
      <c r="U154" s="39" t="n"/>
    </row>
    <row r="155">
      <c r="B155" s="484">
        <f>'CDB Calculator Summary Sheet'!$G$17</f>
        <v/>
      </c>
      <c r="C155" s="391" t="n">
        <v>43831</v>
      </c>
      <c r="D155" s="391" t="n">
        <v>44012</v>
      </c>
      <c r="E155" s="484">
        <f>B155+2</f>
        <v/>
      </c>
      <c r="F155" s="484" t="n">
        <v>6</v>
      </c>
      <c r="G155" s="484">
        <f>IF($C$151=E155,IF($E$151&lt;6,$E$151,6),IF($C$151&gt;E155,6,0))</f>
        <v/>
      </c>
      <c r="H155" s="484">
        <f>B155</f>
        <v/>
      </c>
      <c r="I155" s="484">
        <f>G155+G156</f>
        <v/>
      </c>
      <c r="J155" s="362">
        <f>I155/12</f>
        <v/>
      </c>
      <c r="K155" s="484">
        <f>IF($H$150=E155,6,IF($H$150&lt;E155,6,0))</f>
        <v/>
      </c>
      <c r="L155" s="484">
        <f>K155+K156</f>
        <v/>
      </c>
      <c r="M155" s="362">
        <f>L155/12</f>
        <v/>
      </c>
      <c r="N155" s="484">
        <f>IF($H$151=E155,6,IF($H$151&gt;E155,6,0))</f>
        <v/>
      </c>
      <c r="O155" s="484">
        <f>N155+N156</f>
        <v/>
      </c>
      <c r="P155" s="362">
        <f>O155/12</f>
        <v/>
      </c>
      <c r="Q155" s="484">
        <f>MIN(N155,K155,G155)</f>
        <v/>
      </c>
      <c r="R155" s="484">
        <f>MIN(O155,L155,I155)</f>
        <v/>
      </c>
      <c r="S155" s="362">
        <f>R155/12</f>
        <v/>
      </c>
      <c r="T155" s="484">
        <f>H155</f>
        <v/>
      </c>
      <c r="U155" s="501">
        <f>S155*1</f>
        <v/>
      </c>
      <c r="V155" s="492">
        <f>IF(U155&gt;0,1,0)</f>
        <v/>
      </c>
    </row>
    <row r="156">
      <c r="B156" s="484">
        <f>B155</f>
        <v/>
      </c>
      <c r="C156" s="391" t="n">
        <v>44013</v>
      </c>
      <c r="D156" s="391" t="n">
        <v>44196</v>
      </c>
      <c r="E156" s="484">
        <f>B156+1</f>
        <v/>
      </c>
      <c r="F156" s="484" t="n">
        <v>6</v>
      </c>
      <c r="G156" s="484">
        <f>IF($C$151=E156,IF($E$151&gt;6,$E$151-6,0),IF($C$151&gt;E156,6,0))</f>
        <v/>
      </c>
      <c r="H156" s="377" t="n"/>
      <c r="I156" s="377" t="n"/>
      <c r="J156" s="390" t="n"/>
      <c r="K156" s="377">
        <f>IF($H$150=E156,6,IF($H$150&lt;E156,6,0))</f>
        <v/>
      </c>
      <c r="L156" s="377" t="n"/>
      <c r="M156" s="390" t="n"/>
      <c r="N156" s="377">
        <f>IF($H$151=E156,6,IF($H$151&gt;E156,6,0))</f>
        <v/>
      </c>
      <c r="O156" s="377" t="n"/>
      <c r="P156" s="390" t="n"/>
      <c r="Q156" s="377">
        <f>MIN(N156,K156,G156)</f>
        <v/>
      </c>
      <c r="R156" s="377" t="n"/>
      <c r="S156" s="390" t="n"/>
      <c r="T156" s="377" t="n"/>
      <c r="U156" s="389" t="n"/>
      <c r="V156" s="492" t="n"/>
    </row>
    <row r="157">
      <c r="B157" s="484">
        <f>'CDB Calculator Summary Sheet'!$G$18</f>
        <v/>
      </c>
      <c r="C157" s="391" t="n">
        <v>43831</v>
      </c>
      <c r="D157" s="391" t="n">
        <v>44012</v>
      </c>
      <c r="E157" s="484">
        <f>B157+2</f>
        <v/>
      </c>
      <c r="F157" s="484" t="n">
        <v>6</v>
      </c>
      <c r="G157" s="484">
        <f>IF($C$151=E157,IF($E$151&lt;6,$E$151,6),IF($C$151&gt;E157,6,0))</f>
        <v/>
      </c>
      <c r="H157" s="484">
        <f>B157</f>
        <v/>
      </c>
      <c r="I157" s="484">
        <f>G157+G158</f>
        <v/>
      </c>
      <c r="J157" s="362">
        <f>I157/12</f>
        <v/>
      </c>
      <c r="K157" s="484">
        <f>IF($H$150=E157,6,IF($H$150&lt;E157,6,0))</f>
        <v/>
      </c>
      <c r="L157" s="484">
        <f>K157+K158</f>
        <v/>
      </c>
      <c r="M157" s="362">
        <f>L157/12</f>
        <v/>
      </c>
      <c r="N157" s="484">
        <f>IF($H$151=E157,6,IF($H$151&gt;E157,6,0))</f>
        <v/>
      </c>
      <c r="O157" s="484">
        <f>N157+N158</f>
        <v/>
      </c>
      <c r="P157" s="362">
        <f>O157/12</f>
        <v/>
      </c>
      <c r="Q157" s="484">
        <f>MIN(N157,K157,G157)</f>
        <v/>
      </c>
      <c r="R157" s="484">
        <f>MIN(O157,L157,I157)</f>
        <v/>
      </c>
      <c r="S157" s="362">
        <f>R157/12</f>
        <v/>
      </c>
      <c r="T157" s="484">
        <f>H157</f>
        <v/>
      </c>
      <c r="U157" s="501">
        <f>S157*1</f>
        <v/>
      </c>
      <c r="V157" s="492">
        <f>IF(U157&gt;0,1,0)</f>
        <v/>
      </c>
    </row>
    <row r="158">
      <c r="B158" s="484">
        <f>B157</f>
        <v/>
      </c>
      <c r="C158" s="391" t="n">
        <v>44013</v>
      </c>
      <c r="D158" s="391" t="n">
        <v>44196</v>
      </c>
      <c r="E158" s="484">
        <f>B158+1</f>
        <v/>
      </c>
      <c r="F158" s="484" t="n">
        <v>6</v>
      </c>
      <c r="G158" s="484">
        <f>IF($C$151=E158,IF($E$151&gt;6,$E$151-6,0),IF($C$151&gt;E158,6,0))</f>
        <v/>
      </c>
      <c r="H158" s="377" t="n"/>
      <c r="I158" s="377" t="n"/>
      <c r="J158" s="390" t="n"/>
      <c r="K158" s="377">
        <f>IF($H$150=E158,6,IF($H$150&lt;E158,6,0))</f>
        <v/>
      </c>
      <c r="L158" s="377" t="n"/>
      <c r="M158" s="390" t="n"/>
      <c r="N158" s="377">
        <f>IF($H$151=E158,6,IF($H$151&gt;E158,6,0))</f>
        <v/>
      </c>
      <c r="O158" s="377" t="n"/>
      <c r="P158" s="390" t="n"/>
      <c r="Q158" s="377">
        <f>MIN(N158,K158,G158)</f>
        <v/>
      </c>
      <c r="R158" s="377" t="n"/>
      <c r="S158" s="390" t="n"/>
      <c r="T158" s="377" t="n"/>
      <c r="U158" s="389" t="n"/>
      <c r="V158" s="492" t="n"/>
    </row>
    <row r="159">
      <c r="B159" s="484">
        <f>'CDB Calculator Summary Sheet'!$G$19</f>
        <v/>
      </c>
      <c r="C159" s="391" t="n">
        <v>43831</v>
      </c>
      <c r="D159" s="391" t="n">
        <v>44012</v>
      </c>
      <c r="E159" s="484">
        <f>B159+2</f>
        <v/>
      </c>
      <c r="F159" s="484" t="n">
        <v>6</v>
      </c>
      <c r="G159" s="484">
        <f>IF($C$151=E159,IF($E$151&lt;6,$E$151,6),IF($C$151&gt;E159,6,0))</f>
        <v/>
      </c>
      <c r="H159" s="484">
        <f>B159</f>
        <v/>
      </c>
      <c r="I159" s="484">
        <f>G159+G160</f>
        <v/>
      </c>
      <c r="J159" s="362">
        <f>I159/12</f>
        <v/>
      </c>
      <c r="K159" s="484">
        <f>IF($H$150=E159,6,IF($H$150&lt;E159,6,0))</f>
        <v/>
      </c>
      <c r="L159" s="484">
        <f>K159+K160</f>
        <v/>
      </c>
      <c r="M159" s="362">
        <f>L159/12</f>
        <v/>
      </c>
      <c r="N159" s="484">
        <f>IF($H$151=E159,6,IF($H$151&gt;E159,6,0))</f>
        <v/>
      </c>
      <c r="O159" s="484">
        <f>N159+N160</f>
        <v/>
      </c>
      <c r="P159" s="362">
        <f>O159/12</f>
        <v/>
      </c>
      <c r="Q159" s="484">
        <f>MIN(N159,K159,G159)</f>
        <v/>
      </c>
      <c r="R159" s="484">
        <f>MIN(O159,L159,I159)</f>
        <v/>
      </c>
      <c r="S159" s="362">
        <f>R159/12</f>
        <v/>
      </c>
      <c r="T159" s="484">
        <f>H159</f>
        <v/>
      </c>
      <c r="U159" s="501">
        <f>S159*1</f>
        <v/>
      </c>
      <c r="V159" s="492">
        <f>IF(U159&gt;0,1,0)</f>
        <v/>
      </c>
    </row>
    <row r="160">
      <c r="B160" s="484">
        <f>B159</f>
        <v/>
      </c>
      <c r="C160" s="391" t="n">
        <v>44013</v>
      </c>
      <c r="D160" s="391" t="n">
        <v>44196</v>
      </c>
      <c r="E160" s="484">
        <f>B160+1</f>
        <v/>
      </c>
      <c r="F160" s="484" t="n">
        <v>6</v>
      </c>
      <c r="G160" s="484">
        <f>IF($C$151=E160,IF($E$151&gt;6,$E$151-6,0),IF($C$151&gt;E160,6,0))</f>
        <v/>
      </c>
      <c r="H160" s="377" t="n"/>
      <c r="I160" s="377" t="n"/>
      <c r="J160" s="390" t="n"/>
      <c r="K160" s="377">
        <f>IF($H$150=E160,6,IF($H$150&lt;E160,6,0))</f>
        <v/>
      </c>
      <c r="L160" s="377" t="n"/>
      <c r="M160" s="390" t="n"/>
      <c r="N160" s="377">
        <f>IF($H$151=E160,6,IF($H$151&gt;E160,6,0))</f>
        <v/>
      </c>
      <c r="O160" s="377" t="n"/>
      <c r="P160" s="390" t="n"/>
      <c r="Q160" s="377">
        <f>MIN(N160,K160,G160)</f>
        <v/>
      </c>
      <c r="R160" s="377" t="n"/>
      <c r="S160" s="390" t="n"/>
      <c r="T160" s="377" t="n"/>
      <c r="U160" s="389" t="n"/>
      <c r="V160" s="492" t="n"/>
    </row>
    <row r="161">
      <c r="B161" s="484">
        <f>'CDB Calculator Summary Sheet'!$G$20</f>
        <v/>
      </c>
      <c r="C161" s="391" t="n">
        <v>43831</v>
      </c>
      <c r="D161" s="391" t="n">
        <v>44012</v>
      </c>
      <c r="E161" s="484">
        <f>B161+2</f>
        <v/>
      </c>
      <c r="F161" s="484" t="n">
        <v>6</v>
      </c>
      <c r="G161" s="484">
        <f>IF($C$151=E161,IF($E$151&lt;6,$E$151,6),IF($C$151&gt;E161,6,0))</f>
        <v/>
      </c>
      <c r="H161" s="484">
        <f>B161</f>
        <v/>
      </c>
      <c r="I161" s="484">
        <f>G161+G162</f>
        <v/>
      </c>
      <c r="J161" s="362">
        <f>I161/12</f>
        <v/>
      </c>
      <c r="K161" s="484">
        <f>IF($H$150=E161,6,IF($H$150&lt;E161,6,0))</f>
        <v/>
      </c>
      <c r="L161" s="484">
        <f>K161+K162</f>
        <v/>
      </c>
      <c r="M161" s="362">
        <f>L161/12</f>
        <v/>
      </c>
      <c r="N161" s="484">
        <f>IF($H$151=E161,6,IF($H$151&gt;E161,6,0))</f>
        <v/>
      </c>
      <c r="O161" s="484">
        <f>N161+N162</f>
        <v/>
      </c>
      <c r="P161" s="362">
        <f>O161/12</f>
        <v/>
      </c>
      <c r="Q161" s="484">
        <f>MIN(N161,K161,G161)</f>
        <v/>
      </c>
      <c r="R161" s="484">
        <f>MIN(O161,L161,I161)</f>
        <v/>
      </c>
      <c r="S161" s="362">
        <f>R161/12</f>
        <v/>
      </c>
      <c r="T161" s="484">
        <f>H161</f>
        <v/>
      </c>
      <c r="U161" s="501">
        <f>S161*1</f>
        <v/>
      </c>
      <c r="V161" s="492">
        <f>IF(U161&gt;0,1,0)</f>
        <v/>
      </c>
    </row>
    <row r="162">
      <c r="B162" s="484">
        <f>B161</f>
        <v/>
      </c>
      <c r="C162" s="391" t="n">
        <v>44013</v>
      </c>
      <c r="D162" s="391" t="n">
        <v>44196</v>
      </c>
      <c r="E162" s="484">
        <f>B162+1</f>
        <v/>
      </c>
      <c r="F162" s="484" t="n">
        <v>6</v>
      </c>
      <c r="G162" s="484">
        <f>IF($C$151=E162,IF($E$151&gt;6,$E$151-6,0),IF($C$151&gt;E162,6,0))</f>
        <v/>
      </c>
      <c r="H162" s="377" t="n"/>
      <c r="I162" s="377" t="n"/>
      <c r="J162" s="390" t="n"/>
      <c r="K162" s="377">
        <f>IF($H$150=E162,6,IF($H$150&lt;E162,6,0))</f>
        <v/>
      </c>
      <c r="L162" s="377" t="n"/>
      <c r="M162" s="390" t="n"/>
      <c r="N162" s="377">
        <f>IF($H$151=E162,6,IF($H$151&gt;E162,6,0))</f>
        <v/>
      </c>
      <c r="O162" s="377" t="n"/>
      <c r="P162" s="390" t="n"/>
      <c r="Q162" s="377">
        <f>MIN(N162,K162,G162)</f>
        <v/>
      </c>
      <c r="R162" s="377" t="n"/>
      <c r="S162" s="390" t="n"/>
      <c r="T162" s="377" t="n"/>
      <c r="U162" s="389" t="n"/>
      <c r="V162" s="492" t="n"/>
    </row>
    <row r="163">
      <c r="B163" s="484">
        <f>'CDB Calculator Summary Sheet'!$G$21</f>
        <v/>
      </c>
      <c r="C163" s="391" t="n">
        <v>43831</v>
      </c>
      <c r="D163" s="391" t="n">
        <v>44012</v>
      </c>
      <c r="E163" s="484">
        <f>B163+2</f>
        <v/>
      </c>
      <c r="F163" s="484" t="n">
        <v>6</v>
      </c>
      <c r="G163" s="484">
        <f>IF($C$151=E163,IF($E$151&lt;6,$E$151,6),IF($C$151&gt;E163,6,0))</f>
        <v/>
      </c>
      <c r="H163" s="484">
        <f>B163</f>
        <v/>
      </c>
      <c r="I163" s="484">
        <f>G163+G164</f>
        <v/>
      </c>
      <c r="J163" s="362">
        <f>I163/12</f>
        <v/>
      </c>
      <c r="K163" s="484">
        <f>IF($H$150=E163,6,IF($H$150&lt;E163,6,0))</f>
        <v/>
      </c>
      <c r="L163" s="484">
        <f>K163+K164</f>
        <v/>
      </c>
      <c r="M163" s="362">
        <f>L163/12</f>
        <v/>
      </c>
      <c r="N163" s="484">
        <f>IF($H$151=E163,6,IF($H$151&gt;E163,6,0))</f>
        <v/>
      </c>
      <c r="O163" s="484">
        <f>N163+N164</f>
        <v/>
      </c>
      <c r="P163" s="362">
        <f>O163/12</f>
        <v/>
      </c>
      <c r="Q163" s="484">
        <f>MIN(N163,K163,G163)</f>
        <v/>
      </c>
      <c r="R163" s="484">
        <f>MIN(O163,L163,I163)</f>
        <v/>
      </c>
      <c r="S163" s="362">
        <f>R163/12</f>
        <v/>
      </c>
      <c r="T163" s="484">
        <f>H163</f>
        <v/>
      </c>
      <c r="U163" s="501">
        <f>S163*1</f>
        <v/>
      </c>
      <c r="V163" s="492">
        <f>IF(U163&gt;0,1,0)</f>
        <v/>
      </c>
    </row>
    <row r="164">
      <c r="B164" s="484">
        <f>B163</f>
        <v/>
      </c>
      <c r="C164" s="391" t="n">
        <v>44013</v>
      </c>
      <c r="D164" s="391" t="n">
        <v>44196</v>
      </c>
      <c r="E164" s="484">
        <f>B164+1</f>
        <v/>
      </c>
      <c r="F164" s="484" t="n">
        <v>6</v>
      </c>
      <c r="G164" s="484">
        <f>IF($C$151=E164,IF($E$151&gt;6,$E$151-6,0),IF($C$151&gt;E164,6,0))</f>
        <v/>
      </c>
      <c r="H164" s="377" t="n"/>
      <c r="I164" s="377" t="n"/>
      <c r="J164" s="390" t="n"/>
      <c r="K164" s="377">
        <f>IF($H$150=E164,6,IF($H$150&lt;E164,6,0))</f>
        <v/>
      </c>
      <c r="L164" s="377" t="n"/>
      <c r="M164" s="390" t="n"/>
      <c r="N164" s="377">
        <f>IF($H$151=E164,6,IF($H$151&gt;E164,6,0))</f>
        <v/>
      </c>
      <c r="O164" s="377" t="n"/>
      <c r="P164" s="390" t="n"/>
      <c r="Q164" s="377">
        <f>MIN(N164,K164,G164)</f>
        <v/>
      </c>
      <c r="R164" s="377" t="n"/>
      <c r="S164" s="390" t="n"/>
      <c r="T164" s="377" t="n"/>
      <c r="U164" s="389" t="n"/>
      <c r="V164" s="492" t="n"/>
    </row>
    <row r="165">
      <c r="B165" s="484">
        <f>'CDB Calculator Summary Sheet'!$G$22</f>
        <v/>
      </c>
      <c r="C165" s="391" t="n">
        <v>43831</v>
      </c>
      <c r="D165" s="391" t="n">
        <v>44012</v>
      </c>
      <c r="E165" s="484">
        <f>B165+2</f>
        <v/>
      </c>
      <c r="F165" s="484" t="n">
        <v>6</v>
      </c>
      <c r="G165" s="484">
        <f>IF($C$151=E165,IF($E$151&lt;6,$E$151,6),IF($C$151&gt;E165,6,0))</f>
        <v/>
      </c>
      <c r="H165" s="484">
        <f>B165</f>
        <v/>
      </c>
      <c r="I165" s="484">
        <f>G165+G166</f>
        <v/>
      </c>
      <c r="J165" s="362">
        <f>I165/12</f>
        <v/>
      </c>
      <c r="K165" s="484">
        <f>IF($H$150=E165,6,IF($H$150&lt;E165,6,0))</f>
        <v/>
      </c>
      <c r="L165" s="484">
        <f>K165+K166</f>
        <v/>
      </c>
      <c r="M165" s="362">
        <f>L165/12</f>
        <v/>
      </c>
      <c r="N165" s="484">
        <f>IF($H$151=E165,6,IF($H$151&gt;E165,6,0))</f>
        <v/>
      </c>
      <c r="O165" s="484">
        <f>N165+N166</f>
        <v/>
      </c>
      <c r="P165" s="362">
        <f>O165/12</f>
        <v/>
      </c>
      <c r="Q165" s="484">
        <f>MIN(N165,K165,G165)</f>
        <v/>
      </c>
      <c r="R165" s="484">
        <f>MIN(O165,L165,I165)</f>
        <v/>
      </c>
      <c r="S165" s="362">
        <f>R165/12</f>
        <v/>
      </c>
      <c r="T165" s="484">
        <f>H165</f>
        <v/>
      </c>
      <c r="U165" s="501">
        <f>S165*1</f>
        <v/>
      </c>
      <c r="V165" s="492">
        <f>IF(U165&gt;0,1,0)</f>
        <v/>
      </c>
    </row>
    <row r="166">
      <c r="B166" s="484">
        <f>B165</f>
        <v/>
      </c>
      <c r="C166" s="391" t="n">
        <v>44013</v>
      </c>
      <c r="D166" s="391" t="n">
        <v>44196</v>
      </c>
      <c r="E166" s="484">
        <f>B166+1</f>
        <v/>
      </c>
      <c r="F166" s="484" t="n">
        <v>6</v>
      </c>
      <c r="G166" s="484">
        <f>IF($C$151=E166,IF($E$151&gt;6,$E$151-6,0),IF($C$151&gt;E166,6,0))</f>
        <v/>
      </c>
      <c r="H166" s="377" t="n"/>
      <c r="I166" s="377" t="n"/>
      <c r="J166" s="390" t="n"/>
      <c r="K166" s="377">
        <f>IF($H$150=E166,6,IF($H$150&lt;E166,6,0))</f>
        <v/>
      </c>
      <c r="L166" s="377" t="n"/>
      <c r="M166" s="390" t="n"/>
      <c r="N166" s="377">
        <f>IF($H$151=E166,6,IF($H$151&gt;E166,6,0))</f>
        <v/>
      </c>
      <c r="O166" s="377" t="n"/>
      <c r="P166" s="390" t="n"/>
      <c r="Q166" s="377">
        <f>MIN(N166,K166,G166)</f>
        <v/>
      </c>
      <c r="R166" s="377" t="n"/>
      <c r="S166" s="390" t="n"/>
      <c r="T166" s="377" t="n"/>
      <c r="U166" s="389" t="n"/>
      <c r="V166" s="492" t="n"/>
    </row>
    <row r="167">
      <c r="B167" s="484">
        <f>'CDB Calculator Summary Sheet'!$G$23</f>
        <v/>
      </c>
      <c r="C167" s="391" t="n">
        <v>43831</v>
      </c>
      <c r="D167" s="391" t="n">
        <v>44012</v>
      </c>
      <c r="E167" s="484">
        <f>B167+2</f>
        <v/>
      </c>
      <c r="F167" s="484" t="n">
        <v>6</v>
      </c>
      <c r="G167" s="484">
        <f>IF($C$151=E167,IF($E$151&lt;6,$E$151,6),IF($C$151&gt;E167,6,0))</f>
        <v/>
      </c>
      <c r="H167" s="484">
        <f>B167</f>
        <v/>
      </c>
      <c r="I167" s="484">
        <f>G167+G168</f>
        <v/>
      </c>
      <c r="J167" s="362">
        <f>I167/12</f>
        <v/>
      </c>
      <c r="K167" s="484">
        <f>IF($H$150=E167,6,IF($H$150&lt;E167,6,0))</f>
        <v/>
      </c>
      <c r="L167" s="484">
        <f>K167+K168</f>
        <v/>
      </c>
      <c r="M167" s="362">
        <f>L167/12</f>
        <v/>
      </c>
      <c r="N167" s="484">
        <f>IF($H$151=E167,6,IF($H$151&gt;E167,6,0))</f>
        <v/>
      </c>
      <c r="O167" s="484">
        <f>N167+N168</f>
        <v/>
      </c>
      <c r="P167" s="362">
        <f>O167/12</f>
        <v/>
      </c>
      <c r="Q167" s="484">
        <f>MIN(N167,K167,G167)</f>
        <v/>
      </c>
      <c r="R167" s="484">
        <f>MIN(O167,L167,I167)</f>
        <v/>
      </c>
      <c r="S167" s="362">
        <f>R167/12</f>
        <v/>
      </c>
      <c r="T167" s="484">
        <f>H167</f>
        <v/>
      </c>
      <c r="U167" s="501">
        <f>S167*1</f>
        <v/>
      </c>
      <c r="V167" s="492">
        <f>IF(U167&gt;0,1,0)</f>
        <v/>
      </c>
    </row>
    <row r="168">
      <c r="B168" s="484">
        <f>B167</f>
        <v/>
      </c>
      <c r="C168" s="391" t="n">
        <v>44013</v>
      </c>
      <c r="D168" s="391" t="n">
        <v>44196</v>
      </c>
      <c r="E168" s="484">
        <f>B168+1</f>
        <v/>
      </c>
      <c r="F168" s="484" t="n">
        <v>6</v>
      </c>
      <c r="G168" s="484">
        <f>IF($C$151=E168,IF($E$151&gt;6,$E$151-6,0),IF($C$151&gt;E168,6,0))</f>
        <v/>
      </c>
      <c r="H168" s="377" t="n"/>
      <c r="I168" s="377" t="n"/>
      <c r="J168" s="390" t="n"/>
      <c r="K168" s="377">
        <f>IF($H$150=E168,6,IF($H$150&lt;E168,6,0))</f>
        <v/>
      </c>
      <c r="L168" s="377" t="n"/>
      <c r="M168" s="390" t="n"/>
      <c r="N168" s="377">
        <f>IF($H$151=E168,6,IF($H$151&gt;E168,6,0))</f>
        <v/>
      </c>
      <c r="O168" s="377" t="n"/>
      <c r="P168" s="390" t="n"/>
      <c r="Q168" s="377">
        <f>MIN(N168,K168,G168)</f>
        <v/>
      </c>
      <c r="R168" s="377" t="n"/>
      <c r="S168" s="390" t="n"/>
      <c r="T168" s="377" t="n"/>
      <c r="U168" s="389" t="n"/>
      <c r="V168" s="492" t="n"/>
    </row>
    <row r="169">
      <c r="B169" s="484">
        <f>'CDB Calculator Summary Sheet'!$G$24</f>
        <v/>
      </c>
      <c r="C169" s="391" t="n">
        <v>43831</v>
      </c>
      <c r="D169" s="391" t="n">
        <v>44012</v>
      </c>
      <c r="E169" s="484">
        <f>B169+2</f>
        <v/>
      </c>
      <c r="F169" s="484" t="n">
        <v>6</v>
      </c>
      <c r="G169" s="484">
        <f>IF($C$151=E169,IF($E$151&lt;6,$E$151,6),IF($C$151&gt;E169,6,0))</f>
        <v/>
      </c>
      <c r="H169" s="484">
        <f>B169</f>
        <v/>
      </c>
      <c r="I169" s="484">
        <f>G169+G170</f>
        <v/>
      </c>
      <c r="J169" s="362">
        <f>I169/12</f>
        <v/>
      </c>
      <c r="K169" s="484">
        <f>IF($H$150=E169,6,IF($H$150&lt;E169,6,0))</f>
        <v/>
      </c>
      <c r="L169" s="484">
        <f>K169+K170</f>
        <v/>
      </c>
      <c r="M169" s="362">
        <f>L169/12</f>
        <v/>
      </c>
      <c r="N169" s="484">
        <f>IF($H$151=E169,6,IF($H$151&gt;E169,6,0))</f>
        <v/>
      </c>
      <c r="O169" s="484">
        <f>N169+N170</f>
        <v/>
      </c>
      <c r="P169" s="362">
        <f>O169/12</f>
        <v/>
      </c>
      <c r="Q169" s="484">
        <f>MIN(N169,K169,G169)</f>
        <v/>
      </c>
      <c r="R169" s="484">
        <f>MIN(O169,L169,I169)</f>
        <v/>
      </c>
      <c r="S169" s="362">
        <f>R169/12</f>
        <v/>
      </c>
      <c r="T169" s="484">
        <f>H169</f>
        <v/>
      </c>
      <c r="U169" s="501">
        <f>S169*1</f>
        <v/>
      </c>
      <c r="V169" s="492">
        <f>IF(U169&gt;0,1,0)</f>
        <v/>
      </c>
    </row>
    <row r="170">
      <c r="B170" s="484">
        <f>B169</f>
        <v/>
      </c>
      <c r="C170" s="391" t="n">
        <v>44013</v>
      </c>
      <c r="D170" s="391" t="n">
        <v>44196</v>
      </c>
      <c r="E170" s="484">
        <f>B170+1</f>
        <v/>
      </c>
      <c r="F170" s="484" t="n">
        <v>6</v>
      </c>
      <c r="G170" s="484">
        <f>IF($C$151=E170,IF($E$151&gt;6,$E$151-6,0),IF($C$151&gt;E170,6,0))</f>
        <v/>
      </c>
      <c r="H170" s="377" t="n"/>
      <c r="I170" s="377" t="n"/>
      <c r="J170" s="390" t="n"/>
      <c r="K170" s="377">
        <f>IF($H$150=E170,6,IF($H$150&lt;E170,6,0))</f>
        <v/>
      </c>
      <c r="L170" s="377" t="n"/>
      <c r="M170" s="390" t="n"/>
      <c r="N170" s="377">
        <f>IF($H$151=E170,6,IF($H$151&gt;E170,6,0))</f>
        <v/>
      </c>
      <c r="O170" s="377" t="n"/>
      <c r="P170" s="390" t="n"/>
      <c r="Q170" s="377">
        <f>MIN(N170,K170,G170)</f>
        <v/>
      </c>
      <c r="R170" s="377" t="n"/>
      <c r="S170" s="390" t="n"/>
      <c r="T170" s="377" t="n"/>
      <c r="U170" s="389" t="n"/>
      <c r="V170" s="492" t="n"/>
    </row>
    <row r="171">
      <c r="B171" s="484">
        <f>'CDB Calculator Summary Sheet'!$G$25</f>
        <v/>
      </c>
      <c r="C171" s="391" t="n">
        <v>43831</v>
      </c>
      <c r="D171" s="391" t="n">
        <v>44012</v>
      </c>
      <c r="E171" s="484">
        <f>B171+2</f>
        <v/>
      </c>
      <c r="F171" s="484" t="n">
        <v>6</v>
      </c>
      <c r="G171" s="484">
        <f>IF($C$151=E171,IF($E$151&lt;6,$E$151,6),IF($C$151&gt;E171,6,0))</f>
        <v/>
      </c>
      <c r="H171" s="484">
        <f>B171</f>
        <v/>
      </c>
      <c r="I171" s="484">
        <f>G171+G172</f>
        <v/>
      </c>
      <c r="J171" s="362">
        <f>I171/12</f>
        <v/>
      </c>
      <c r="K171" s="484">
        <f>IF($H$150=E171,6,IF($H$150&lt;E171,6,0))</f>
        <v/>
      </c>
      <c r="L171" s="484">
        <f>K171+K172</f>
        <v/>
      </c>
      <c r="M171" s="362">
        <f>L171/12</f>
        <v/>
      </c>
      <c r="N171" s="484">
        <f>IF($H$151=E171,6,IF($H$151&gt;E171,6,0))</f>
        <v/>
      </c>
      <c r="O171" s="484">
        <f>N171+N172</f>
        <v/>
      </c>
      <c r="P171" s="362">
        <f>O171/12</f>
        <v/>
      </c>
      <c r="Q171" s="484">
        <f>MIN(N171,K171,G171)</f>
        <v/>
      </c>
      <c r="R171" s="484">
        <f>MIN(O171,L171,I171)</f>
        <v/>
      </c>
      <c r="S171" s="362">
        <f>R171/12</f>
        <v/>
      </c>
      <c r="T171" s="484">
        <f>H171</f>
        <v/>
      </c>
      <c r="U171" s="501">
        <f>S171*1</f>
        <v/>
      </c>
      <c r="V171" s="492">
        <f>IF(U171&gt;0,1,0)</f>
        <v/>
      </c>
    </row>
    <row r="172">
      <c r="B172" s="484">
        <f>B171</f>
        <v/>
      </c>
      <c r="C172" s="391" t="n">
        <v>44013</v>
      </c>
      <c r="D172" s="391" t="n">
        <v>44196</v>
      </c>
      <c r="E172" s="484">
        <f>B172+1</f>
        <v/>
      </c>
      <c r="F172" s="484" t="n">
        <v>6</v>
      </c>
      <c r="G172" s="484">
        <f>IF($C$151=E172,IF($E$151&gt;6,$E$151-6,0),IF($C$151&gt;E172,6,0))</f>
        <v/>
      </c>
      <c r="H172" s="377" t="n"/>
      <c r="I172" s="377" t="n"/>
      <c r="J172" s="390" t="n"/>
      <c r="K172" s="377">
        <f>IF($H$150=E172,6,IF($H$150&lt;E172,6,0))</f>
        <v/>
      </c>
      <c r="L172" s="377" t="n"/>
      <c r="M172" s="390" t="n"/>
      <c r="N172" s="377">
        <f>IF($H$151=E172,6,IF($H$151&gt;E172,6,0))</f>
        <v/>
      </c>
      <c r="O172" s="377" t="n"/>
      <c r="P172" s="390" t="n"/>
      <c r="Q172" s="377">
        <f>MIN(N172,K172,G172)</f>
        <v/>
      </c>
      <c r="R172" s="377" t="n"/>
      <c r="S172" s="390" t="n"/>
      <c r="T172" s="377" t="n"/>
      <c r="U172" s="389" t="n"/>
      <c r="V172" s="492" t="n"/>
    </row>
    <row r="173">
      <c r="B173" s="484">
        <f>'CDB Calculator Summary Sheet'!$G$26</f>
        <v/>
      </c>
      <c r="C173" s="391" t="n">
        <v>43831</v>
      </c>
      <c r="D173" s="391" t="n">
        <v>44012</v>
      </c>
      <c r="E173" s="484">
        <f>B173+2</f>
        <v/>
      </c>
      <c r="F173" s="484" t="n">
        <v>6</v>
      </c>
      <c r="G173" s="484">
        <f>IF($C$151=E173,IF($E$151&lt;6,$E$151,6),IF($C$151&gt;E173,6,0))</f>
        <v/>
      </c>
      <c r="H173" s="484">
        <f>B173</f>
        <v/>
      </c>
      <c r="I173" s="484">
        <f>G173+G174</f>
        <v/>
      </c>
      <c r="J173" s="362">
        <f>I173/12</f>
        <v/>
      </c>
      <c r="K173" s="484">
        <f>IF($H$150=E173,6,IF($H$150&lt;E173,6,0))</f>
        <v/>
      </c>
      <c r="L173" s="484">
        <f>K173+K174</f>
        <v/>
      </c>
      <c r="M173" s="362">
        <f>L173/12</f>
        <v/>
      </c>
      <c r="N173" s="484">
        <f>IF($H$151=E173,6,IF($H$151&gt;E173,6,0))</f>
        <v/>
      </c>
      <c r="O173" s="484">
        <f>N173+N174</f>
        <v/>
      </c>
      <c r="P173" s="362">
        <f>O173/12</f>
        <v/>
      </c>
      <c r="Q173" s="484">
        <f>MIN(N173,K173,G173)</f>
        <v/>
      </c>
      <c r="R173" s="484">
        <f>MIN(O173,L173,I173)</f>
        <v/>
      </c>
      <c r="S173" s="362">
        <f>R173/12</f>
        <v/>
      </c>
      <c r="T173" s="484">
        <f>H173</f>
        <v/>
      </c>
      <c r="U173" s="501">
        <f>S173*1</f>
        <v/>
      </c>
      <c r="V173" s="492">
        <f>IF(U173&gt;0,1,0)</f>
        <v/>
      </c>
    </row>
    <row r="174">
      <c r="B174" s="484">
        <f>B173</f>
        <v/>
      </c>
      <c r="C174" s="391" t="n">
        <v>44013</v>
      </c>
      <c r="D174" s="391" t="n">
        <v>44196</v>
      </c>
      <c r="E174" s="484">
        <f>B174+1</f>
        <v/>
      </c>
      <c r="F174" s="484" t="n">
        <v>6</v>
      </c>
      <c r="G174" s="484">
        <f>IF($C$151=E174,IF($E$151&gt;6,$E$151-6,0),IF($C$151&gt;E174,6,0))</f>
        <v/>
      </c>
      <c r="H174" s="377" t="n"/>
      <c r="I174" s="377" t="n"/>
      <c r="J174" s="390" t="n"/>
      <c r="K174" s="377">
        <f>IF($H$150=E174,6,IF($H$150&lt;E174,6,0))</f>
        <v/>
      </c>
      <c r="L174" s="377" t="n"/>
      <c r="M174" s="390" t="n"/>
      <c r="N174" s="377">
        <f>IF($H$151=E174,6,IF($H$151&gt;E174,6,0))</f>
        <v/>
      </c>
      <c r="O174" s="377" t="n"/>
      <c r="P174" s="390" t="n"/>
      <c r="Q174" s="377">
        <f>MIN(N174,K174,G174)</f>
        <v/>
      </c>
      <c r="R174" s="377" t="n"/>
      <c r="S174" s="390" t="n"/>
      <c r="T174" s="377" t="n"/>
      <c r="U174" s="389" t="n"/>
      <c r="V174" s="492" t="n"/>
    </row>
    <row r="175">
      <c r="B175" s="484">
        <f>'CDB Calculator Summary Sheet'!#REF!</f>
        <v/>
      </c>
      <c r="C175" s="391" t="n">
        <v>43831</v>
      </c>
      <c r="D175" s="391" t="n">
        <v>44012</v>
      </c>
      <c r="E175" s="484">
        <f>B175+2</f>
        <v/>
      </c>
      <c r="F175" s="484" t="n">
        <v>6</v>
      </c>
      <c r="G175" s="484">
        <f>IF($C$151=E175,IF($E$151&lt;6,$E$151,6),IF($C$151&gt;E175,6,0))</f>
        <v/>
      </c>
      <c r="H175" s="484">
        <f>B175</f>
        <v/>
      </c>
      <c r="I175" s="484">
        <f>G175+G176</f>
        <v/>
      </c>
      <c r="J175" s="362">
        <f>I175/12</f>
        <v/>
      </c>
      <c r="K175" s="484">
        <f>IF($H$150=E175,6,IF($H$150&lt;E175,6,0))</f>
        <v/>
      </c>
      <c r="L175" s="484">
        <f>K175+K176</f>
        <v/>
      </c>
      <c r="M175" s="362">
        <f>L175/12</f>
        <v/>
      </c>
      <c r="N175" s="484">
        <f>IF($H$151=E175,6,IF($H$151&gt;E175,6,0))</f>
        <v/>
      </c>
      <c r="O175" s="484">
        <f>N175+N176</f>
        <v/>
      </c>
      <c r="P175" s="362">
        <f>O175/12</f>
        <v/>
      </c>
      <c r="Q175" s="484">
        <f>MIN(N175,K175,G175)</f>
        <v/>
      </c>
      <c r="R175" s="484">
        <f>MIN(O175,L175,I175)</f>
        <v/>
      </c>
      <c r="S175" s="362">
        <f>R175/12</f>
        <v/>
      </c>
      <c r="T175" s="484">
        <f>H175</f>
        <v/>
      </c>
      <c r="U175" s="501">
        <f>S175*1</f>
        <v/>
      </c>
      <c r="V175" s="492">
        <f>IF(U175&gt;0,1,0)</f>
        <v/>
      </c>
    </row>
    <row r="176">
      <c r="B176" s="484">
        <f>B175</f>
        <v/>
      </c>
      <c r="C176" s="391" t="n">
        <v>44013</v>
      </c>
      <c r="D176" s="391" t="n">
        <v>44196</v>
      </c>
      <c r="E176" s="484">
        <f>B176+1</f>
        <v/>
      </c>
      <c r="F176" s="484" t="n">
        <v>6</v>
      </c>
      <c r="G176" s="484">
        <f>IF($C$151=E176,IF($E$151&gt;6,$E$151-6,0),IF($C$151&gt;E176,6,0))</f>
        <v/>
      </c>
      <c r="H176" s="377" t="n"/>
      <c r="I176" s="377" t="n"/>
      <c r="J176" s="390" t="n"/>
      <c r="K176" s="377">
        <f>IF($H$150=E176,6,IF($H$150&lt;E176,6,0))</f>
        <v/>
      </c>
      <c r="L176" s="377" t="n"/>
      <c r="M176" s="390" t="n"/>
      <c r="N176" s="377">
        <f>IF($H$151=E176,6,IF($H$151&gt;E176,6,0))</f>
        <v/>
      </c>
      <c r="O176" s="377" t="n"/>
      <c r="P176" s="390" t="n"/>
      <c r="Q176" s="377">
        <f>MIN(N176,K176,G176)</f>
        <v/>
      </c>
      <c r="R176" s="377" t="n"/>
      <c r="S176" s="390" t="n"/>
      <c r="T176" s="377" t="n"/>
      <c r="U176" s="389" t="n"/>
      <c r="V176" s="492" t="n"/>
    </row>
    <row r="177">
      <c r="B177" s="484">
        <f>'CDB Calculator Summary Sheet'!#REF!</f>
        <v/>
      </c>
      <c r="C177" s="391" t="n">
        <v>43831</v>
      </c>
      <c r="D177" s="391" t="n">
        <v>44012</v>
      </c>
      <c r="E177" s="484">
        <f>B177+2</f>
        <v/>
      </c>
      <c r="F177" s="484" t="n">
        <v>6</v>
      </c>
      <c r="G177" s="484">
        <f>IF($C$151=E177,IF($E$151&lt;6,$E$151,6),IF($C$151&gt;E177,6,0))</f>
        <v/>
      </c>
      <c r="H177" s="484">
        <f>B177</f>
        <v/>
      </c>
      <c r="I177" s="484">
        <f>G177+G178</f>
        <v/>
      </c>
      <c r="J177" s="362">
        <f>I177/12</f>
        <v/>
      </c>
      <c r="K177" s="484">
        <f>IF($H$150=E177,6,IF($H$150&lt;E177,6,0))</f>
        <v/>
      </c>
      <c r="L177" s="484">
        <f>K177+K178</f>
        <v/>
      </c>
      <c r="M177" s="362">
        <f>L177/12</f>
        <v/>
      </c>
      <c r="N177" s="484">
        <f>IF($H$151=E177,6,IF($H$151&gt;E177,6,0))</f>
        <v/>
      </c>
      <c r="O177" s="484">
        <f>N177+N178</f>
        <v/>
      </c>
      <c r="P177" s="362">
        <f>O177/12</f>
        <v/>
      </c>
      <c r="Q177" s="484">
        <f>MIN(N177,K177,G177)</f>
        <v/>
      </c>
      <c r="R177" s="484">
        <f>MIN(O177,L177,I177)</f>
        <v/>
      </c>
      <c r="S177" s="362">
        <f>R177/12</f>
        <v/>
      </c>
      <c r="T177" s="484">
        <f>H177</f>
        <v/>
      </c>
      <c r="U177" s="501">
        <f>S177*1</f>
        <v/>
      </c>
      <c r="V177" s="492">
        <f>IF(U177&gt;0,1,0)</f>
        <v/>
      </c>
    </row>
    <row r="178">
      <c r="B178" s="484">
        <f>B177</f>
        <v/>
      </c>
      <c r="C178" s="391" t="n">
        <v>44013</v>
      </c>
      <c r="D178" s="391" t="n">
        <v>44196</v>
      </c>
      <c r="E178" s="484">
        <f>B178+1</f>
        <v/>
      </c>
      <c r="F178" s="484" t="n">
        <v>6</v>
      </c>
      <c r="G178" s="484">
        <f>IF($C$151=E178,IF($E$151&gt;6,$E$151-6,0),IF($C$151&gt;E178,6,0))</f>
        <v/>
      </c>
      <c r="H178" s="377" t="n"/>
      <c r="I178" s="377" t="n"/>
      <c r="J178" s="390" t="n"/>
      <c r="K178" s="377">
        <f>IF($H$150=E178,6,IF($H$150&lt;E178,6,0))</f>
        <v/>
      </c>
      <c r="L178" s="377" t="n"/>
      <c r="M178" s="390" t="n"/>
      <c r="N178" s="377">
        <f>IF($H$151=E178,6,IF($H$151&gt;E178,6,0))</f>
        <v/>
      </c>
      <c r="O178" s="377" t="n"/>
      <c r="P178" s="390" t="n"/>
      <c r="Q178" s="377">
        <f>MIN(N178,K178,G178)</f>
        <v/>
      </c>
      <c r="R178" s="377" t="n"/>
      <c r="S178" s="390" t="n"/>
      <c r="T178" s="377" t="n"/>
      <c r="U178" s="389" t="n"/>
      <c r="V178" s="492" t="n"/>
    </row>
    <row r="184">
      <c r="B184" s="396" t="inlineStr">
        <is>
          <t>DEPENDANT 6</t>
        </is>
      </c>
      <c r="E184" t="inlineStr">
        <is>
          <t>Current Age in Years</t>
        </is>
      </c>
      <c r="F184" t="inlineStr">
        <is>
          <t>Age Cut Off (18 yrs - includes the month of their 18th birthday)</t>
        </is>
      </c>
    </row>
    <row r="185" ht="16.5" customHeight="1">
      <c r="E185" s="395">
        <f>DATEDIF('CDB Calculator Summary Sheet'!J11,TODAY(),"Y")&amp;" Years, "&amp;DATEDIF('CDB Calculator Summary Sheet'!J11,TODAY(),"YM")&amp;" Months"</f>
        <v/>
      </c>
      <c r="F185" s="892">
        <f>EDATE(DATE(YEAR('CDB Calculator Summary Sheet'!J11) + 18, MONTH('CDB Calculator Summary Sheet'!J11), DAY('CDB Calculator Summary Sheet'!J11)),0)</f>
        <v/>
      </c>
      <c r="G185" s="492" t="inlineStr">
        <is>
          <t>DOB</t>
        </is>
      </c>
      <c r="H185" s="393">
        <f>'CDB Calculator Summary Sheet'!J11</f>
        <v/>
      </c>
    </row>
    <row r="186">
      <c r="B186" s="492" t="inlineStr">
        <is>
          <t>Age Start</t>
        </is>
      </c>
      <c r="C186" s="492" t="inlineStr">
        <is>
          <t>Age End</t>
        </is>
      </c>
      <c r="D186" s="484">
        <f>B187</f>
        <v/>
      </c>
      <c r="E186" s="484">
        <f>MONTH('CDB Calculator Summary Sheet'!J11)</f>
        <v/>
      </c>
      <c r="F186" t="inlineStr">
        <is>
          <t>&lt;--Age Start</t>
        </is>
      </c>
      <c r="G186" s="492" t="inlineStr">
        <is>
          <t>DTC Start Yr</t>
        </is>
      </c>
      <c r="H186">
        <f>'CDB Calculator Summary Sheet'!H11</f>
        <v/>
      </c>
      <c r="Q186" s="740" t="inlineStr">
        <is>
          <t>Eligble Months by 1/2 pay peiod</t>
        </is>
      </c>
    </row>
    <row r="187">
      <c r="B187" s="484">
        <f>YEAR('CDB Calculator Summary Sheet'!J11)</f>
        <v/>
      </c>
      <c r="C187" s="482">
        <f>YEAR(F185)</f>
        <v/>
      </c>
      <c r="D187" s="484">
        <f>YEAR(F185)</f>
        <v/>
      </c>
      <c r="E187" s="484">
        <f>MONTH(F185)</f>
        <v/>
      </c>
      <c r="F187" t="inlineStr">
        <is>
          <t>&lt;--Age End</t>
        </is>
      </c>
      <c r="G187" s="492" t="inlineStr">
        <is>
          <t>DTC End Yr</t>
        </is>
      </c>
      <c r="H187">
        <f>'CDB Calculator Summary Sheet'!I11</f>
        <v/>
      </c>
    </row>
    <row r="188"/>
    <row r="189" ht="15" customHeight="1">
      <c r="F189" s="739" t="inlineStr">
        <is>
          <t>Months in payout period</t>
        </is>
      </c>
      <c r="G189" s="739" t="inlineStr">
        <is>
          <t>Eligible Months Based on Age 18 or less</t>
        </is>
      </c>
      <c r="I189" s="739" t="inlineStr">
        <is>
          <t>Total Eligible Months by Age</t>
        </is>
      </c>
      <c r="K189" s="739" t="inlineStr">
        <is>
          <t>Eligible Months Based on DTC Start Yr</t>
        </is>
      </c>
      <c r="L189" s="739" t="inlineStr">
        <is>
          <t>Total Eligible Months by DTC Start</t>
        </is>
      </c>
      <c r="M189" s="492" t="n"/>
      <c r="N189" s="739" t="inlineStr">
        <is>
          <t>Eligible Months Based on DTC End Yr</t>
        </is>
      </c>
      <c r="O189" s="739" t="inlineStr">
        <is>
          <t>Total Eligible Months by DTC End</t>
        </is>
      </c>
      <c r="P189" s="492" t="n"/>
      <c r="R189" s="739" t="inlineStr">
        <is>
          <t>Total Eligible Months (Age &amp; DTC Start and End)</t>
        </is>
      </c>
      <c r="U189" s="740" t="inlineStr">
        <is>
          <t>Effective Dependant Count</t>
        </is>
      </c>
      <c r="V189" s="739" t="inlineStr">
        <is>
          <t>Count of Eligible Kids</t>
        </is>
      </c>
    </row>
    <row r="190">
      <c r="B190" s="392" t="inlineStr">
        <is>
          <t>Base Yr</t>
        </is>
      </c>
      <c r="C190" s="392" t="inlineStr">
        <is>
          <t>Payout Period</t>
        </is>
      </c>
      <c r="D190" s="279" t="n"/>
      <c r="E190" s="752" t="n"/>
      <c r="H190" t="inlineStr">
        <is>
          <t>Base Year</t>
        </is>
      </c>
      <c r="J190" s="492" t="inlineStr">
        <is>
          <t>% of Year</t>
        </is>
      </c>
      <c r="M190" s="492" t="inlineStr">
        <is>
          <t>% of Year</t>
        </is>
      </c>
      <c r="P190" s="492" t="inlineStr">
        <is>
          <t>% of Year</t>
        </is>
      </c>
      <c r="Q190" s="39" t="n"/>
      <c r="S190" s="492" t="inlineStr">
        <is>
          <t>% of Year</t>
        </is>
      </c>
      <c r="T190" t="inlineStr">
        <is>
          <t>Base Year</t>
        </is>
      </c>
      <c r="U190" s="39" t="n"/>
    </row>
    <row r="191">
      <c r="B191" s="484">
        <f>'CDB Calculator Summary Sheet'!$G$17</f>
        <v/>
      </c>
      <c r="C191" s="391" t="n">
        <v>43831</v>
      </c>
      <c r="D191" s="391" t="n">
        <v>44012</v>
      </c>
      <c r="E191" s="484">
        <f>B191+2</f>
        <v/>
      </c>
      <c r="F191" s="484" t="n">
        <v>6</v>
      </c>
      <c r="G191" s="484">
        <f>IF($C$187=E191,IF($E$187&lt;6,$E$187,6),IF($C$187&gt;E191,6,0))</f>
        <v/>
      </c>
      <c r="H191" s="484">
        <f>B191</f>
        <v/>
      </c>
      <c r="I191" s="484">
        <f>G191+G192</f>
        <v/>
      </c>
      <c r="J191" s="362">
        <f>I191/12</f>
        <v/>
      </c>
      <c r="K191" s="484">
        <f>IF($H$186=E191,6,IF($H$186&lt;E191,6,0))</f>
        <v/>
      </c>
      <c r="L191" s="484">
        <f>K191+K192</f>
        <v/>
      </c>
      <c r="M191" s="362">
        <f>L191/12</f>
        <v/>
      </c>
      <c r="N191" s="484">
        <f>IF($H$187=E191,6,IF($H$187&gt;E191,6,0))</f>
        <v/>
      </c>
      <c r="O191" s="484">
        <f>N191+N192</f>
        <v/>
      </c>
      <c r="P191" s="362">
        <f>O191/12</f>
        <v/>
      </c>
      <c r="Q191" s="484">
        <f>MIN(N191,K191,G191)</f>
        <v/>
      </c>
      <c r="R191" s="484">
        <f>MIN(O191,L191,I191)</f>
        <v/>
      </c>
      <c r="S191" s="362">
        <f>R191/12</f>
        <v/>
      </c>
      <c r="T191" s="484">
        <f>H191</f>
        <v/>
      </c>
      <c r="U191" s="501">
        <f>S191*1</f>
        <v/>
      </c>
      <c r="V191" s="492">
        <f>IF(U191&gt;0,1,0)</f>
        <v/>
      </c>
    </row>
    <row r="192">
      <c r="B192" s="484">
        <f>B191</f>
        <v/>
      </c>
      <c r="C192" s="391" t="n">
        <v>44013</v>
      </c>
      <c r="D192" s="391" t="n">
        <v>44196</v>
      </c>
      <c r="E192" s="484">
        <f>B192+1</f>
        <v/>
      </c>
      <c r="F192" s="484" t="n">
        <v>6</v>
      </c>
      <c r="G192" s="484">
        <f>IF($C$187=E192,IF($E$187&gt;6,$E$187-6,0),IF($C$187&gt;E192,6,0))</f>
        <v/>
      </c>
      <c r="H192" s="377" t="n"/>
      <c r="I192" s="377" t="n"/>
      <c r="J192" s="390" t="n"/>
      <c r="K192" s="377">
        <f>IF($H$186=E192,6,IF($H$186&lt;E192,6,0))</f>
        <v/>
      </c>
      <c r="L192" s="377" t="n"/>
      <c r="M192" s="390" t="n"/>
      <c r="N192" s="377">
        <f>IF($H$187=E192,6,IF($H$187&gt;E192,6,0))</f>
        <v/>
      </c>
      <c r="O192" s="377" t="n"/>
      <c r="P192" s="390" t="n"/>
      <c r="Q192" s="377">
        <f>MIN(N192,K192,G192)</f>
        <v/>
      </c>
      <c r="R192" s="377" t="n"/>
      <c r="S192" s="390" t="n"/>
      <c r="T192" s="377" t="n"/>
      <c r="U192" s="389" t="n"/>
      <c r="V192" s="492" t="n"/>
    </row>
    <row r="193">
      <c r="B193" s="484">
        <f>'CDB Calculator Summary Sheet'!$G$18</f>
        <v/>
      </c>
      <c r="C193" s="391" t="n">
        <v>43831</v>
      </c>
      <c r="D193" s="391" t="n">
        <v>44012</v>
      </c>
      <c r="E193" s="484">
        <f>B193+2</f>
        <v/>
      </c>
      <c r="F193" s="484" t="n">
        <v>6</v>
      </c>
      <c r="G193" s="484">
        <f>IF($C$187=E193,IF($E$187&lt;6,$E$187,6),IF($C$187&gt;E193,6,0))</f>
        <v/>
      </c>
      <c r="H193" s="484">
        <f>B193</f>
        <v/>
      </c>
      <c r="I193" s="484">
        <f>G193+G194</f>
        <v/>
      </c>
      <c r="J193" s="362">
        <f>I193/12</f>
        <v/>
      </c>
      <c r="K193" s="484">
        <f>IF($H$186=E193,6,IF($H$186&lt;E193,6,0))</f>
        <v/>
      </c>
      <c r="L193" s="484">
        <f>K193+K194</f>
        <v/>
      </c>
      <c r="M193" s="362">
        <f>L193/12</f>
        <v/>
      </c>
      <c r="N193" s="484">
        <f>IF($H$187=E193,6,IF($H$187&gt;E193,6,0))</f>
        <v/>
      </c>
      <c r="O193" s="484">
        <f>N193+N194</f>
        <v/>
      </c>
      <c r="P193" s="362">
        <f>O193/12</f>
        <v/>
      </c>
      <c r="Q193" s="484">
        <f>MIN(N193,K193,G193)</f>
        <v/>
      </c>
      <c r="R193" s="484">
        <f>MIN(O193,L193,I193)</f>
        <v/>
      </c>
      <c r="S193" s="362">
        <f>R193/12</f>
        <v/>
      </c>
      <c r="T193" s="484">
        <f>H193</f>
        <v/>
      </c>
      <c r="U193" s="501">
        <f>S193*1</f>
        <v/>
      </c>
      <c r="V193" s="492">
        <f>IF(U193&gt;0,1,0)</f>
        <v/>
      </c>
    </row>
    <row r="194">
      <c r="B194" s="484">
        <f>B193</f>
        <v/>
      </c>
      <c r="C194" s="391" t="n">
        <v>44013</v>
      </c>
      <c r="D194" s="391" t="n">
        <v>44196</v>
      </c>
      <c r="E194" s="484">
        <f>B194+1</f>
        <v/>
      </c>
      <c r="F194" s="484" t="n">
        <v>6</v>
      </c>
      <c r="G194" s="484">
        <f>IF($C$187=E194,IF($E$187&gt;6,$E$187-6,0),IF($C$187&gt;E194,6,0))</f>
        <v/>
      </c>
      <c r="H194" s="377" t="n"/>
      <c r="I194" s="377" t="n"/>
      <c r="J194" s="390" t="n"/>
      <c r="K194" s="377">
        <f>IF($H$186=E194,6,IF($H$186&lt;E194,6,0))</f>
        <v/>
      </c>
      <c r="L194" s="377" t="n"/>
      <c r="M194" s="390" t="n"/>
      <c r="N194" s="377">
        <f>IF($H$187=E194,6,IF($H$187&gt;E194,6,0))</f>
        <v/>
      </c>
      <c r="O194" s="377" t="n"/>
      <c r="P194" s="390" t="n"/>
      <c r="Q194" s="377">
        <f>MIN(N194,K194,G194)</f>
        <v/>
      </c>
      <c r="R194" s="377" t="n"/>
      <c r="S194" s="390" t="n"/>
      <c r="T194" s="377" t="n"/>
      <c r="U194" s="389" t="n"/>
      <c r="V194" s="492" t="n"/>
    </row>
    <row r="195">
      <c r="B195" s="484">
        <f>'CDB Calculator Summary Sheet'!$G$19</f>
        <v/>
      </c>
      <c r="C195" s="391" t="n">
        <v>43831</v>
      </c>
      <c r="D195" s="391" t="n">
        <v>44012</v>
      </c>
      <c r="E195" s="484">
        <f>B195+2</f>
        <v/>
      </c>
      <c r="F195" s="484" t="n">
        <v>6</v>
      </c>
      <c r="G195" s="484">
        <f>IF($C$187=E195,IF($E$187&lt;6,$E$187,6),IF($C$187&gt;E195,6,0))</f>
        <v/>
      </c>
      <c r="H195" s="484">
        <f>B195</f>
        <v/>
      </c>
      <c r="I195" s="484">
        <f>G195+G196</f>
        <v/>
      </c>
      <c r="J195" s="362">
        <f>I195/12</f>
        <v/>
      </c>
      <c r="K195" s="484">
        <f>IF($H$186=E195,6,IF($H$186&lt;E195,6,0))</f>
        <v/>
      </c>
      <c r="L195" s="484">
        <f>K195+K196</f>
        <v/>
      </c>
      <c r="M195" s="362">
        <f>L195/12</f>
        <v/>
      </c>
      <c r="N195" s="484">
        <f>IF($H$187=E195,6,IF($H$187&gt;E195,6,0))</f>
        <v/>
      </c>
      <c r="O195" s="484">
        <f>N195+N196</f>
        <v/>
      </c>
      <c r="P195" s="362">
        <f>O195/12</f>
        <v/>
      </c>
      <c r="Q195" s="484">
        <f>MIN(N195,K195,G195)</f>
        <v/>
      </c>
      <c r="R195" s="484">
        <f>MIN(O195,L195,I195)</f>
        <v/>
      </c>
      <c r="S195" s="362">
        <f>R195/12</f>
        <v/>
      </c>
      <c r="T195" s="484">
        <f>H195</f>
        <v/>
      </c>
      <c r="U195" s="501">
        <f>S195*1</f>
        <v/>
      </c>
      <c r="V195" s="492">
        <f>IF(U195&gt;0,1,0)</f>
        <v/>
      </c>
    </row>
    <row r="196">
      <c r="B196" s="484">
        <f>B195</f>
        <v/>
      </c>
      <c r="C196" s="391" t="n">
        <v>44013</v>
      </c>
      <c r="D196" s="391" t="n">
        <v>44196</v>
      </c>
      <c r="E196" s="484">
        <f>B196+1</f>
        <v/>
      </c>
      <c r="F196" s="484" t="n">
        <v>6</v>
      </c>
      <c r="G196" s="484">
        <f>IF($C$187=E196,IF($E$187&gt;6,$E$187-6,0),IF($C$187&gt;E196,6,0))</f>
        <v/>
      </c>
      <c r="H196" s="377" t="n"/>
      <c r="I196" s="377" t="n"/>
      <c r="J196" s="390" t="n"/>
      <c r="K196" s="377">
        <f>IF($H$186=E196,6,IF($H$186&lt;E196,6,0))</f>
        <v/>
      </c>
      <c r="L196" s="377" t="n"/>
      <c r="M196" s="390" t="n"/>
      <c r="N196" s="377">
        <f>IF($H$187=E196,6,IF($H$187&gt;E196,6,0))</f>
        <v/>
      </c>
      <c r="O196" s="377" t="n"/>
      <c r="P196" s="390" t="n"/>
      <c r="Q196" s="377">
        <f>MIN(N196,K196,G196)</f>
        <v/>
      </c>
      <c r="R196" s="377" t="n"/>
      <c r="S196" s="390" t="n"/>
      <c r="T196" s="377" t="n"/>
      <c r="U196" s="389" t="n"/>
      <c r="V196" s="492" t="n"/>
    </row>
    <row r="197">
      <c r="B197" s="484">
        <f>'CDB Calculator Summary Sheet'!$G$20</f>
        <v/>
      </c>
      <c r="C197" s="391" t="n">
        <v>43831</v>
      </c>
      <c r="D197" s="391" t="n">
        <v>44012</v>
      </c>
      <c r="E197" s="484">
        <f>B197+2</f>
        <v/>
      </c>
      <c r="F197" s="484" t="n">
        <v>6</v>
      </c>
      <c r="G197" s="484">
        <f>IF($C$187=E197,IF($E$187&lt;6,$E$187,6),IF($C$187&gt;E197,6,0))</f>
        <v/>
      </c>
      <c r="H197" s="484">
        <f>B197</f>
        <v/>
      </c>
      <c r="I197" s="484">
        <f>G197+G198</f>
        <v/>
      </c>
      <c r="J197" s="362">
        <f>I197/12</f>
        <v/>
      </c>
      <c r="K197" s="484">
        <f>IF($H$186=E197,6,IF($H$186&lt;E197,6,0))</f>
        <v/>
      </c>
      <c r="L197" s="484">
        <f>K197+K198</f>
        <v/>
      </c>
      <c r="M197" s="362">
        <f>L197/12</f>
        <v/>
      </c>
      <c r="N197" s="484">
        <f>IF($H$187=E197,6,IF($H$187&gt;E197,6,0))</f>
        <v/>
      </c>
      <c r="O197" s="484">
        <f>N197+N198</f>
        <v/>
      </c>
      <c r="P197" s="362">
        <f>O197/12</f>
        <v/>
      </c>
      <c r="Q197" s="484">
        <f>MIN(N197,K197,G197)</f>
        <v/>
      </c>
      <c r="R197" s="484">
        <f>MIN(O197,L197,I197)</f>
        <v/>
      </c>
      <c r="S197" s="362">
        <f>R197/12</f>
        <v/>
      </c>
      <c r="T197" s="484">
        <f>H197</f>
        <v/>
      </c>
      <c r="U197" s="501">
        <f>S197*1</f>
        <v/>
      </c>
      <c r="V197" s="492">
        <f>IF(U197&gt;0,1,0)</f>
        <v/>
      </c>
    </row>
    <row r="198">
      <c r="B198" s="484">
        <f>B197</f>
        <v/>
      </c>
      <c r="C198" s="391" t="n">
        <v>44013</v>
      </c>
      <c r="D198" s="391" t="n">
        <v>44196</v>
      </c>
      <c r="E198" s="484">
        <f>B198+1</f>
        <v/>
      </c>
      <c r="F198" s="484" t="n">
        <v>6</v>
      </c>
      <c r="G198" s="484">
        <f>IF($C$187=E198,IF($E$187&gt;6,$E$187-6,0),IF($C$187&gt;E198,6,0))</f>
        <v/>
      </c>
      <c r="H198" s="377" t="n"/>
      <c r="I198" s="377" t="n"/>
      <c r="J198" s="390" t="n"/>
      <c r="K198" s="377">
        <f>IF($H$186=E198,6,IF($H$186&lt;E198,6,0))</f>
        <v/>
      </c>
      <c r="L198" s="377" t="n"/>
      <c r="M198" s="390" t="n"/>
      <c r="N198" s="377">
        <f>IF($H$187=E198,6,IF($H$187&gt;E198,6,0))</f>
        <v/>
      </c>
      <c r="O198" s="377" t="n"/>
      <c r="P198" s="390" t="n"/>
      <c r="Q198" s="377">
        <f>MIN(N198,K198,G198)</f>
        <v/>
      </c>
      <c r="R198" s="377" t="n"/>
      <c r="S198" s="390" t="n"/>
      <c r="T198" s="377" t="n"/>
      <c r="U198" s="389" t="n"/>
      <c r="V198" s="492" t="n"/>
    </row>
    <row r="199">
      <c r="B199" s="484">
        <f>'CDB Calculator Summary Sheet'!$G$21</f>
        <v/>
      </c>
      <c r="C199" s="391" t="n">
        <v>43831</v>
      </c>
      <c r="D199" s="391" t="n">
        <v>44012</v>
      </c>
      <c r="E199" s="484">
        <f>B199+2</f>
        <v/>
      </c>
      <c r="F199" s="484" t="n">
        <v>6</v>
      </c>
      <c r="G199" s="484">
        <f>IF($C$187=E199,IF($E$187&lt;6,$E$187,6),IF($C$187&gt;E199,6,0))</f>
        <v/>
      </c>
      <c r="H199" s="484">
        <f>B199</f>
        <v/>
      </c>
      <c r="I199" s="484">
        <f>G199+G200</f>
        <v/>
      </c>
      <c r="J199" s="362">
        <f>I199/12</f>
        <v/>
      </c>
      <c r="K199" s="484">
        <f>IF($H$186=E199,6,IF($H$186&lt;E199,6,0))</f>
        <v/>
      </c>
      <c r="L199" s="484">
        <f>K199+K200</f>
        <v/>
      </c>
      <c r="M199" s="362">
        <f>L199/12</f>
        <v/>
      </c>
      <c r="N199" s="484">
        <f>IF($H$187=E199,6,IF($H$187&gt;E199,6,0))</f>
        <v/>
      </c>
      <c r="O199" s="484">
        <f>N199+N200</f>
        <v/>
      </c>
      <c r="P199" s="362">
        <f>O199/12</f>
        <v/>
      </c>
      <c r="Q199" s="484">
        <f>MIN(N199,K199,G199)</f>
        <v/>
      </c>
      <c r="R199" s="484">
        <f>MIN(O199,L199,I199)</f>
        <v/>
      </c>
      <c r="S199" s="362">
        <f>R199/12</f>
        <v/>
      </c>
      <c r="T199" s="484">
        <f>H199</f>
        <v/>
      </c>
      <c r="U199" s="501">
        <f>S199*1</f>
        <v/>
      </c>
      <c r="V199" s="492">
        <f>IF(U199&gt;0,1,0)</f>
        <v/>
      </c>
    </row>
    <row r="200">
      <c r="B200" s="484">
        <f>B199</f>
        <v/>
      </c>
      <c r="C200" s="391" t="n">
        <v>44013</v>
      </c>
      <c r="D200" s="391" t="n">
        <v>44196</v>
      </c>
      <c r="E200" s="484">
        <f>B200+1</f>
        <v/>
      </c>
      <c r="F200" s="484" t="n">
        <v>6</v>
      </c>
      <c r="G200" s="484">
        <f>IF($C$187=E200,IF($E$187&gt;6,$E$187-6,0),IF($C$187&gt;E200,6,0))</f>
        <v/>
      </c>
      <c r="H200" s="377" t="n"/>
      <c r="I200" s="377" t="n"/>
      <c r="J200" s="390" t="n"/>
      <c r="K200" s="377">
        <f>IF($H$186=E200,6,IF($H$186&lt;E200,6,0))</f>
        <v/>
      </c>
      <c r="L200" s="377" t="n"/>
      <c r="M200" s="390" t="n"/>
      <c r="N200" s="377">
        <f>IF($H$187=E200,6,IF($H$187&gt;E200,6,0))</f>
        <v/>
      </c>
      <c r="O200" s="377" t="n"/>
      <c r="P200" s="390" t="n"/>
      <c r="Q200" s="377">
        <f>MIN(N200,K200,G200)</f>
        <v/>
      </c>
      <c r="R200" s="377" t="n"/>
      <c r="S200" s="390" t="n"/>
      <c r="T200" s="377" t="n"/>
      <c r="U200" s="389" t="n"/>
      <c r="V200" s="492" t="n"/>
    </row>
    <row r="201">
      <c r="B201" s="484">
        <f>'CDB Calculator Summary Sheet'!$G$22</f>
        <v/>
      </c>
      <c r="C201" s="391" t="n">
        <v>43831</v>
      </c>
      <c r="D201" s="391" t="n">
        <v>44012</v>
      </c>
      <c r="E201" s="484">
        <f>B201+2</f>
        <v/>
      </c>
      <c r="F201" s="484" t="n">
        <v>6</v>
      </c>
      <c r="G201" s="484">
        <f>IF($C$187=E201,IF($E$187&lt;6,$E$187,6),IF($C$187&gt;E201,6,0))</f>
        <v/>
      </c>
      <c r="H201" s="484">
        <f>B201</f>
        <v/>
      </c>
      <c r="I201" s="484">
        <f>G201+G202</f>
        <v/>
      </c>
      <c r="J201" s="362">
        <f>I201/12</f>
        <v/>
      </c>
      <c r="K201" s="484">
        <f>IF($H$186=E201,6,IF($H$186&lt;E201,6,0))</f>
        <v/>
      </c>
      <c r="L201" s="484">
        <f>K201+K202</f>
        <v/>
      </c>
      <c r="M201" s="362">
        <f>L201/12</f>
        <v/>
      </c>
      <c r="N201" s="484">
        <f>IF($H$187=E201,6,IF($H$187&gt;E201,6,0))</f>
        <v/>
      </c>
      <c r="O201" s="484">
        <f>N201+N202</f>
        <v/>
      </c>
      <c r="P201" s="362">
        <f>O201/12</f>
        <v/>
      </c>
      <c r="Q201" s="484">
        <f>MIN(N201,K201,G201)</f>
        <v/>
      </c>
      <c r="R201" s="484">
        <f>MIN(O201,L201,I201)</f>
        <v/>
      </c>
      <c r="S201" s="362">
        <f>R201/12</f>
        <v/>
      </c>
      <c r="T201" s="484">
        <f>H201</f>
        <v/>
      </c>
      <c r="U201" s="501">
        <f>S201*1</f>
        <v/>
      </c>
      <c r="V201" s="492">
        <f>IF(U201&gt;0,1,0)</f>
        <v/>
      </c>
    </row>
    <row r="202">
      <c r="B202" s="484">
        <f>B201</f>
        <v/>
      </c>
      <c r="C202" s="391" t="n">
        <v>44013</v>
      </c>
      <c r="D202" s="391" t="n">
        <v>44196</v>
      </c>
      <c r="E202" s="484">
        <f>B202+1</f>
        <v/>
      </c>
      <c r="F202" s="484" t="n">
        <v>6</v>
      </c>
      <c r="G202" s="484">
        <f>IF($C$187=E202,IF($E$187&gt;6,$E$187-6,0),IF($C$187&gt;E202,6,0))</f>
        <v/>
      </c>
      <c r="H202" s="377" t="n"/>
      <c r="I202" s="377" t="n"/>
      <c r="J202" s="390" t="n"/>
      <c r="K202" s="377">
        <f>IF($H$186=E202,6,IF($H$186&lt;E202,6,0))</f>
        <v/>
      </c>
      <c r="L202" s="377" t="n"/>
      <c r="M202" s="390" t="n"/>
      <c r="N202" s="377">
        <f>IF($H$187=E202,6,IF($H$187&gt;E202,6,0))</f>
        <v/>
      </c>
      <c r="O202" s="377" t="n"/>
      <c r="P202" s="390" t="n"/>
      <c r="Q202" s="377">
        <f>MIN(N202,K202,G202)</f>
        <v/>
      </c>
      <c r="R202" s="377" t="n"/>
      <c r="S202" s="390" t="n"/>
      <c r="T202" s="377" t="n"/>
      <c r="U202" s="389" t="n"/>
      <c r="V202" s="492" t="n"/>
    </row>
    <row r="203">
      <c r="B203" s="484">
        <f>'CDB Calculator Summary Sheet'!$G$23</f>
        <v/>
      </c>
      <c r="C203" s="391" t="n">
        <v>43831</v>
      </c>
      <c r="D203" s="391" t="n">
        <v>44012</v>
      </c>
      <c r="E203" s="484">
        <f>B203+2</f>
        <v/>
      </c>
      <c r="F203" s="484" t="n">
        <v>6</v>
      </c>
      <c r="G203" s="484">
        <f>IF($C$187=E203,IF($E$187&lt;6,$E$187,6),IF($C$187&gt;E203,6,0))</f>
        <v/>
      </c>
      <c r="H203" s="484">
        <f>B203</f>
        <v/>
      </c>
      <c r="I203" s="484">
        <f>G203+G204</f>
        <v/>
      </c>
      <c r="J203" s="362">
        <f>I203/12</f>
        <v/>
      </c>
      <c r="K203" s="484">
        <f>IF($H$186=E203,6,IF($H$186&lt;E203,6,0))</f>
        <v/>
      </c>
      <c r="L203" s="484">
        <f>K203+K204</f>
        <v/>
      </c>
      <c r="M203" s="362">
        <f>L203/12</f>
        <v/>
      </c>
      <c r="N203" s="484">
        <f>IF($H$187=E203,6,IF($H$187&gt;E203,6,0))</f>
        <v/>
      </c>
      <c r="O203" s="484">
        <f>N203+N204</f>
        <v/>
      </c>
      <c r="P203" s="362">
        <f>O203/12</f>
        <v/>
      </c>
      <c r="Q203" s="484">
        <f>MIN(N203,K203,G203)</f>
        <v/>
      </c>
      <c r="R203" s="484">
        <f>MIN(O203,L203,I203)</f>
        <v/>
      </c>
      <c r="S203" s="362">
        <f>R203/12</f>
        <v/>
      </c>
      <c r="T203" s="484">
        <f>H203</f>
        <v/>
      </c>
      <c r="U203" s="501">
        <f>S203*1</f>
        <v/>
      </c>
      <c r="V203" s="492">
        <f>IF(U203&gt;0,1,0)</f>
        <v/>
      </c>
    </row>
    <row r="204">
      <c r="B204" s="484">
        <f>B203</f>
        <v/>
      </c>
      <c r="C204" s="391" t="n">
        <v>44013</v>
      </c>
      <c r="D204" s="391" t="n">
        <v>44196</v>
      </c>
      <c r="E204" s="484">
        <f>B204+1</f>
        <v/>
      </c>
      <c r="F204" s="484" t="n">
        <v>6</v>
      </c>
      <c r="G204" s="484">
        <f>IF($C$187=E204,IF($E$187&gt;6,$E$187-6,0),IF($C$187&gt;E204,6,0))</f>
        <v/>
      </c>
      <c r="H204" s="377" t="n"/>
      <c r="I204" s="377" t="n"/>
      <c r="J204" s="390" t="n"/>
      <c r="K204" s="377">
        <f>IF($H$186=E204,6,IF($H$186&lt;E204,6,0))</f>
        <v/>
      </c>
      <c r="L204" s="377" t="n"/>
      <c r="M204" s="390" t="n"/>
      <c r="N204" s="377">
        <f>IF($H$187=E204,6,IF($H$187&gt;E204,6,0))</f>
        <v/>
      </c>
      <c r="O204" s="377" t="n"/>
      <c r="P204" s="390" t="n"/>
      <c r="Q204" s="377">
        <f>MIN(N204,K204,G204)</f>
        <v/>
      </c>
      <c r="R204" s="377" t="n"/>
      <c r="S204" s="390" t="n"/>
      <c r="T204" s="377" t="n"/>
      <c r="U204" s="389" t="n"/>
      <c r="V204" s="492" t="n"/>
    </row>
    <row r="205">
      <c r="B205" s="484">
        <f>'CDB Calculator Summary Sheet'!$G$24</f>
        <v/>
      </c>
      <c r="C205" s="391" t="n">
        <v>43831</v>
      </c>
      <c r="D205" s="391" t="n">
        <v>44012</v>
      </c>
      <c r="E205" s="484">
        <f>B205+2</f>
        <v/>
      </c>
      <c r="F205" s="484" t="n">
        <v>6</v>
      </c>
      <c r="G205" s="484">
        <f>IF($C$187=E205,IF($E$187&lt;6,$E$187,6),IF($C$187&gt;E205,6,0))</f>
        <v/>
      </c>
      <c r="H205" s="484">
        <f>B205</f>
        <v/>
      </c>
      <c r="I205" s="484">
        <f>G205+G206</f>
        <v/>
      </c>
      <c r="J205" s="362">
        <f>I205/12</f>
        <v/>
      </c>
      <c r="K205" s="484">
        <f>IF($H$186=E205,6,IF($H$186&lt;E205,6,0))</f>
        <v/>
      </c>
      <c r="L205" s="484">
        <f>K205+K206</f>
        <v/>
      </c>
      <c r="M205" s="362">
        <f>L205/12</f>
        <v/>
      </c>
      <c r="N205" s="484">
        <f>IF($H$187=E205,6,IF($H$187&gt;E205,6,0))</f>
        <v/>
      </c>
      <c r="O205" s="484">
        <f>N205+N206</f>
        <v/>
      </c>
      <c r="P205" s="362">
        <f>O205/12</f>
        <v/>
      </c>
      <c r="Q205" s="484">
        <f>MIN(N205,K205,G205)</f>
        <v/>
      </c>
      <c r="R205" s="484">
        <f>MIN(O205,L205,I205)</f>
        <v/>
      </c>
      <c r="S205" s="362">
        <f>R205/12</f>
        <v/>
      </c>
      <c r="T205" s="484">
        <f>H205</f>
        <v/>
      </c>
      <c r="U205" s="501">
        <f>S205*1</f>
        <v/>
      </c>
      <c r="V205" s="492">
        <f>IF(U205&gt;0,1,0)</f>
        <v/>
      </c>
    </row>
    <row r="206">
      <c r="B206" s="484">
        <f>B205</f>
        <v/>
      </c>
      <c r="C206" s="391" t="n">
        <v>44013</v>
      </c>
      <c r="D206" s="391" t="n">
        <v>44196</v>
      </c>
      <c r="E206" s="484">
        <f>B206+1</f>
        <v/>
      </c>
      <c r="F206" s="484" t="n">
        <v>6</v>
      </c>
      <c r="G206" s="484">
        <f>IF($C$187=E206,IF($E$187&gt;6,$E$187-6,0),IF($C$187&gt;E206,6,0))</f>
        <v/>
      </c>
      <c r="H206" s="377" t="n"/>
      <c r="I206" s="377" t="n"/>
      <c r="J206" s="390" t="n"/>
      <c r="K206" s="377">
        <f>IF($H$186=E206,6,IF($H$186&lt;E206,6,0))</f>
        <v/>
      </c>
      <c r="L206" s="377" t="n"/>
      <c r="M206" s="390" t="n"/>
      <c r="N206" s="377">
        <f>IF($H$187=E206,6,IF($H$187&gt;E206,6,0))</f>
        <v/>
      </c>
      <c r="O206" s="377" t="n"/>
      <c r="P206" s="390" t="n"/>
      <c r="Q206" s="377">
        <f>MIN(N206,K206,G206)</f>
        <v/>
      </c>
      <c r="R206" s="377" t="n"/>
      <c r="S206" s="390" t="n"/>
      <c r="T206" s="377" t="n"/>
      <c r="U206" s="389" t="n"/>
      <c r="V206" s="492" t="n"/>
    </row>
    <row r="207">
      <c r="B207" s="484">
        <f>'CDB Calculator Summary Sheet'!$G$25</f>
        <v/>
      </c>
      <c r="C207" s="391" t="n">
        <v>43831</v>
      </c>
      <c r="D207" s="391" t="n">
        <v>44012</v>
      </c>
      <c r="E207" s="484">
        <f>B207+2</f>
        <v/>
      </c>
      <c r="F207" s="484" t="n">
        <v>6</v>
      </c>
      <c r="G207" s="484">
        <f>IF($C$187=E207,IF($E$187&lt;6,$E$187,6),IF($C$187&gt;E207,6,0))</f>
        <v/>
      </c>
      <c r="H207" s="484">
        <f>B207</f>
        <v/>
      </c>
      <c r="I207" s="484">
        <f>G207+G208</f>
        <v/>
      </c>
      <c r="J207" s="362">
        <f>I207/12</f>
        <v/>
      </c>
      <c r="K207" s="484">
        <f>IF($H$186=E207,6,IF($H$186&lt;E207,6,0))</f>
        <v/>
      </c>
      <c r="L207" s="484">
        <f>K207+K208</f>
        <v/>
      </c>
      <c r="M207" s="362">
        <f>L207/12</f>
        <v/>
      </c>
      <c r="N207" s="484">
        <f>IF($H$187=E207,6,IF($H$187&gt;E207,6,0))</f>
        <v/>
      </c>
      <c r="O207" s="484">
        <f>N207+N208</f>
        <v/>
      </c>
      <c r="P207" s="362">
        <f>O207/12</f>
        <v/>
      </c>
      <c r="Q207" s="484">
        <f>MIN(N207,K207,G207)</f>
        <v/>
      </c>
      <c r="R207" s="484">
        <f>MIN(O207,L207,I207)</f>
        <v/>
      </c>
      <c r="S207" s="362">
        <f>R207/12</f>
        <v/>
      </c>
      <c r="T207" s="484">
        <f>H207</f>
        <v/>
      </c>
      <c r="U207" s="501">
        <f>S207*1</f>
        <v/>
      </c>
      <c r="V207" s="492">
        <f>IF(U207&gt;0,1,0)</f>
        <v/>
      </c>
    </row>
    <row r="208">
      <c r="B208" s="484">
        <f>B207</f>
        <v/>
      </c>
      <c r="C208" s="391" t="n">
        <v>44013</v>
      </c>
      <c r="D208" s="391" t="n">
        <v>44196</v>
      </c>
      <c r="E208" s="484">
        <f>B208+1</f>
        <v/>
      </c>
      <c r="F208" s="484" t="n">
        <v>6</v>
      </c>
      <c r="G208" s="484">
        <f>IF($C$187=E208,IF($E$187&gt;6,$E$187-6,0),IF($C$187&gt;E208,6,0))</f>
        <v/>
      </c>
      <c r="H208" s="377" t="n"/>
      <c r="I208" s="377" t="n"/>
      <c r="J208" s="390" t="n"/>
      <c r="K208" s="377">
        <f>IF($H$186=E208,6,IF($H$186&lt;E208,6,0))</f>
        <v/>
      </c>
      <c r="L208" s="377" t="n"/>
      <c r="M208" s="390" t="n"/>
      <c r="N208" s="377">
        <f>IF($H$187=E208,6,IF($H$187&gt;E208,6,0))</f>
        <v/>
      </c>
      <c r="O208" s="377" t="n"/>
      <c r="P208" s="390" t="n"/>
      <c r="Q208" s="377">
        <f>MIN(N208,K208,G208)</f>
        <v/>
      </c>
      <c r="R208" s="377" t="n"/>
      <c r="S208" s="390" t="n"/>
      <c r="T208" s="377" t="n"/>
      <c r="U208" s="389" t="n"/>
      <c r="V208" s="492" t="n"/>
    </row>
    <row r="209">
      <c r="B209" s="484">
        <f>'CDB Calculator Summary Sheet'!$G$26</f>
        <v/>
      </c>
      <c r="C209" s="391" t="n">
        <v>43831</v>
      </c>
      <c r="D209" s="391" t="n">
        <v>44012</v>
      </c>
      <c r="E209" s="484">
        <f>B209+2</f>
        <v/>
      </c>
      <c r="F209" s="484" t="n">
        <v>6</v>
      </c>
      <c r="G209" s="484">
        <f>IF($C$187=E209,IF($E$187&lt;6,$E$187,6),IF($C$187&gt;E209,6,0))</f>
        <v/>
      </c>
      <c r="H209" s="484">
        <f>B209</f>
        <v/>
      </c>
      <c r="I209" s="484">
        <f>G209+G210</f>
        <v/>
      </c>
      <c r="J209" s="362">
        <f>I209/12</f>
        <v/>
      </c>
      <c r="K209" s="484">
        <f>IF($H$186=E209,6,IF($H$186&lt;E209,6,0))</f>
        <v/>
      </c>
      <c r="L209" s="484">
        <f>K209+K210</f>
        <v/>
      </c>
      <c r="M209" s="362">
        <f>L209/12</f>
        <v/>
      </c>
      <c r="N209" s="484">
        <f>IF($H$187=E209,6,IF($H$187&gt;E209,6,0))</f>
        <v/>
      </c>
      <c r="O209" s="484">
        <f>N209+N210</f>
        <v/>
      </c>
      <c r="P209" s="362">
        <f>O209/12</f>
        <v/>
      </c>
      <c r="Q209" s="484">
        <f>MIN(N209,K209,G209)</f>
        <v/>
      </c>
      <c r="R209" s="484">
        <f>MIN(O209,L209,I209)</f>
        <v/>
      </c>
      <c r="S209" s="362">
        <f>R209/12</f>
        <v/>
      </c>
      <c r="T209" s="484">
        <f>H209</f>
        <v/>
      </c>
      <c r="U209" s="501">
        <f>S209*1</f>
        <v/>
      </c>
      <c r="V209" s="492">
        <f>IF(U209&gt;0,1,0)</f>
        <v/>
      </c>
    </row>
    <row r="210">
      <c r="B210" s="484">
        <f>B209</f>
        <v/>
      </c>
      <c r="C210" s="391" t="n">
        <v>44013</v>
      </c>
      <c r="D210" s="391" t="n">
        <v>44196</v>
      </c>
      <c r="E210" s="484">
        <f>B210+1</f>
        <v/>
      </c>
      <c r="F210" s="484" t="n">
        <v>6</v>
      </c>
      <c r="G210" s="484">
        <f>IF($C$187=E210,IF($E$187&gt;6,$E$187-6,0),IF($C$187&gt;E210,6,0))</f>
        <v/>
      </c>
      <c r="H210" s="377" t="n"/>
      <c r="I210" s="377" t="n"/>
      <c r="J210" s="390" t="n"/>
      <c r="K210" s="377">
        <f>IF($H$186=E210,6,IF($H$186&lt;E210,6,0))</f>
        <v/>
      </c>
      <c r="L210" s="377" t="n"/>
      <c r="M210" s="390" t="n"/>
      <c r="N210" s="377">
        <f>IF($H$187=E210,6,IF($H$187&gt;E210,6,0))</f>
        <v/>
      </c>
      <c r="O210" s="377" t="n"/>
      <c r="P210" s="390" t="n"/>
      <c r="Q210" s="377">
        <f>MIN(N210,K210,G210)</f>
        <v/>
      </c>
      <c r="R210" s="377" t="n"/>
      <c r="S210" s="390" t="n"/>
      <c r="T210" s="377" t="n"/>
      <c r="U210" s="389" t="n"/>
      <c r="V210" s="492" t="n"/>
    </row>
    <row r="211">
      <c r="B211" s="484">
        <f>'CDB Calculator Summary Sheet'!#REF!</f>
        <v/>
      </c>
      <c r="C211" s="391" t="n">
        <v>43831</v>
      </c>
      <c r="D211" s="391" t="n">
        <v>44012</v>
      </c>
      <c r="E211" s="484">
        <f>B211+2</f>
        <v/>
      </c>
      <c r="F211" s="484" t="n">
        <v>6</v>
      </c>
      <c r="G211" s="484">
        <f>IF($C$187=E211,IF($E$187&lt;6,$E$187,6),IF($C$187&gt;E211,6,0))</f>
        <v/>
      </c>
      <c r="H211" s="484">
        <f>B211</f>
        <v/>
      </c>
      <c r="I211" s="484">
        <f>G211+G212</f>
        <v/>
      </c>
      <c r="J211" s="362">
        <f>I211/12</f>
        <v/>
      </c>
      <c r="K211" s="484">
        <f>IF($H$186=E211,6,IF($H$186&lt;E211,6,0))</f>
        <v/>
      </c>
      <c r="L211" s="484">
        <f>K211+K212</f>
        <v/>
      </c>
      <c r="M211" s="362">
        <f>L211/12</f>
        <v/>
      </c>
      <c r="N211" s="484">
        <f>IF($H$187=E211,6,IF($H$187&gt;E211,6,0))</f>
        <v/>
      </c>
      <c r="O211" s="484">
        <f>N211+N212</f>
        <v/>
      </c>
      <c r="P211" s="362">
        <f>O211/12</f>
        <v/>
      </c>
      <c r="Q211" s="484">
        <f>MIN(N211,K211,G211)</f>
        <v/>
      </c>
      <c r="R211" s="484">
        <f>MIN(O211,L211,I211)</f>
        <v/>
      </c>
      <c r="S211" s="362">
        <f>R211/12</f>
        <v/>
      </c>
      <c r="T211" s="484">
        <f>H211</f>
        <v/>
      </c>
      <c r="U211" s="501">
        <f>S211*1</f>
        <v/>
      </c>
      <c r="V211" s="492">
        <f>IF(U211&gt;0,1,0)</f>
        <v/>
      </c>
    </row>
    <row r="212">
      <c r="B212" s="484">
        <f>B211</f>
        <v/>
      </c>
      <c r="C212" s="391" t="n">
        <v>44013</v>
      </c>
      <c r="D212" s="391" t="n">
        <v>44196</v>
      </c>
      <c r="E212" s="484">
        <f>B212+1</f>
        <v/>
      </c>
      <c r="F212" s="484" t="n">
        <v>6</v>
      </c>
      <c r="G212" s="484">
        <f>IF($C$187=E212,IF($E$187&gt;6,$E$187-6,0),IF($C$187&gt;E212,6,0))</f>
        <v/>
      </c>
      <c r="H212" s="377" t="n"/>
      <c r="I212" s="377" t="n"/>
      <c r="J212" s="390" t="n"/>
      <c r="K212" s="377">
        <f>IF($H$186=E212,6,IF($H$186&lt;E212,6,0))</f>
        <v/>
      </c>
      <c r="L212" s="377" t="n"/>
      <c r="M212" s="390" t="n"/>
      <c r="N212" s="377">
        <f>IF($H$187=E212,6,IF($H$187&gt;E212,6,0))</f>
        <v/>
      </c>
      <c r="O212" s="377" t="n"/>
      <c r="P212" s="390" t="n"/>
      <c r="Q212" s="377">
        <f>MIN(N212,K212,G212)</f>
        <v/>
      </c>
      <c r="R212" s="377" t="n"/>
      <c r="S212" s="390" t="n"/>
      <c r="T212" s="377" t="n"/>
      <c r="U212" s="389" t="n"/>
      <c r="V212" s="492" t="n"/>
    </row>
    <row r="213">
      <c r="B213" s="484">
        <f>'CDB Calculator Summary Sheet'!#REF!</f>
        <v/>
      </c>
      <c r="C213" s="391" t="n">
        <v>43831</v>
      </c>
      <c r="D213" s="391" t="n">
        <v>44012</v>
      </c>
      <c r="E213" s="484">
        <f>B213+2</f>
        <v/>
      </c>
      <c r="F213" s="484" t="n">
        <v>6</v>
      </c>
      <c r="G213" s="484">
        <f>IF($C$187=E213,IF($E$187&lt;6,$E$187,6),IF($C$187&gt;E213,6,0))</f>
        <v/>
      </c>
      <c r="H213" s="484">
        <f>B213</f>
        <v/>
      </c>
      <c r="I213" s="484">
        <f>G213+G214</f>
        <v/>
      </c>
      <c r="J213" s="362">
        <f>I213/12</f>
        <v/>
      </c>
      <c r="K213" s="484">
        <f>IF($H$186=E213,6,IF($H$186&lt;E213,6,0))</f>
        <v/>
      </c>
      <c r="L213" s="484">
        <f>K213+K214</f>
        <v/>
      </c>
      <c r="M213" s="362">
        <f>L213/12</f>
        <v/>
      </c>
      <c r="N213" s="484">
        <f>IF($H$187=E213,6,IF($H$187&gt;E213,6,0))</f>
        <v/>
      </c>
      <c r="O213" s="484">
        <f>N213+N214</f>
        <v/>
      </c>
      <c r="P213" s="362">
        <f>O213/12</f>
        <v/>
      </c>
      <c r="Q213" s="484">
        <f>MIN(N213,K213,G213)</f>
        <v/>
      </c>
      <c r="R213" s="484">
        <f>MIN(O213,L213,I213)</f>
        <v/>
      </c>
      <c r="S213" s="362">
        <f>R213/12</f>
        <v/>
      </c>
      <c r="T213" s="484">
        <f>H213</f>
        <v/>
      </c>
      <c r="U213" s="501">
        <f>S213*1</f>
        <v/>
      </c>
      <c r="V213" s="492">
        <f>IF(U213&gt;0,1,0)</f>
        <v/>
      </c>
    </row>
    <row r="214">
      <c r="B214" s="484">
        <f>B213</f>
        <v/>
      </c>
      <c r="C214" s="391" t="n">
        <v>44013</v>
      </c>
      <c r="D214" s="391" t="n">
        <v>44196</v>
      </c>
      <c r="E214" s="484">
        <f>B214+1</f>
        <v/>
      </c>
      <c r="F214" s="484" t="n">
        <v>6</v>
      </c>
      <c r="G214" s="484">
        <f>IF($C$187=E214,IF($E$187&gt;6,$E$187-6,0),IF($C$187&gt;E214,6,0))</f>
        <v/>
      </c>
      <c r="H214" s="377" t="n"/>
      <c r="I214" s="377" t="n"/>
      <c r="J214" s="390" t="n"/>
      <c r="K214" s="377">
        <f>IF($H$186=E214,6,IF($H$186&lt;E214,6,0))</f>
        <v/>
      </c>
      <c r="L214" s="377" t="n"/>
      <c r="M214" s="390" t="n"/>
      <c r="N214" s="377">
        <f>IF($H$187=E214,6,IF($H$187&gt;E214,6,0))</f>
        <v/>
      </c>
      <c r="O214" s="377" t="n"/>
      <c r="P214" s="390" t="n"/>
      <c r="Q214" s="377">
        <f>MIN(N214,K214,G214)</f>
        <v/>
      </c>
      <c r="R214" s="377" t="n"/>
      <c r="S214" s="390" t="n"/>
      <c r="T214" s="377" t="n"/>
      <c r="U214" s="389" t="n"/>
      <c r="V214" s="492" t="n"/>
    </row>
    <row r="220">
      <c r="B220" s="396" t="inlineStr">
        <is>
          <t>DEPENDANT 7</t>
        </is>
      </c>
      <c r="E220" t="inlineStr">
        <is>
          <t>Current Age in Years</t>
        </is>
      </c>
      <c r="F220" t="inlineStr">
        <is>
          <t>Age Cut Off (18 yrs - includes the month of their 18th birthday)</t>
        </is>
      </c>
    </row>
    <row r="221" ht="16.5" customHeight="1">
      <c r="E221" s="395">
        <f>DATEDIF('CDB Calculator Summary Sheet'!J12,TODAY(),"Y")&amp;" Years, "&amp;DATEDIF('CDB Calculator Summary Sheet'!J12,TODAY(),"YM")&amp;" Months"</f>
        <v/>
      </c>
      <c r="F221" s="892">
        <f>EDATE(DATE(YEAR('CDB Calculator Summary Sheet'!J12) + 18, MONTH('CDB Calculator Summary Sheet'!J12), DAY('CDB Calculator Summary Sheet'!J12)),0)</f>
        <v/>
      </c>
      <c r="G221" s="492" t="inlineStr">
        <is>
          <t>DOB</t>
        </is>
      </c>
      <c r="H221" s="393">
        <f>'CDB Calculator Summary Sheet'!J12</f>
        <v/>
      </c>
    </row>
    <row r="222">
      <c r="B222" s="492" t="inlineStr">
        <is>
          <t>Age Start</t>
        </is>
      </c>
      <c r="C222" s="492" t="inlineStr">
        <is>
          <t>Age End</t>
        </is>
      </c>
      <c r="D222" s="484">
        <f>B223</f>
        <v/>
      </c>
      <c r="E222" s="484">
        <f>MONTH('CDB Calculator Summary Sheet'!J12)</f>
        <v/>
      </c>
      <c r="F222" t="inlineStr">
        <is>
          <t>&lt;--Age Start</t>
        </is>
      </c>
      <c r="G222" s="492" t="inlineStr">
        <is>
          <t>DTC Start Yr</t>
        </is>
      </c>
      <c r="H222">
        <f>'CDB Calculator Summary Sheet'!H12</f>
        <v/>
      </c>
      <c r="Q222" s="740" t="inlineStr">
        <is>
          <t>Eligble Months by 1/2 pay peiod</t>
        </is>
      </c>
    </row>
    <row r="223">
      <c r="B223" s="484">
        <f>YEAR('CDB Calculator Summary Sheet'!J12)</f>
        <v/>
      </c>
      <c r="C223" s="482">
        <f>YEAR(F221)</f>
        <v/>
      </c>
      <c r="D223" s="484">
        <f>YEAR(F221)</f>
        <v/>
      </c>
      <c r="E223" s="484">
        <f>MONTH(F221)</f>
        <v/>
      </c>
      <c r="F223" t="inlineStr">
        <is>
          <t>&lt;--Age End</t>
        </is>
      </c>
      <c r="G223" s="492" t="inlineStr">
        <is>
          <t>DTC End Yr</t>
        </is>
      </c>
      <c r="H223">
        <f>'CDB Calculator Summary Sheet'!I12</f>
        <v/>
      </c>
    </row>
    <row r="224"/>
    <row r="225" ht="15" customHeight="1">
      <c r="F225" s="739" t="inlineStr">
        <is>
          <t>Months in payout period</t>
        </is>
      </c>
      <c r="G225" s="739" t="inlineStr">
        <is>
          <t>Eligible Months Based on Age 18 or less</t>
        </is>
      </c>
      <c r="I225" s="739" t="inlineStr">
        <is>
          <t>Total Eligible Months by Age</t>
        </is>
      </c>
      <c r="K225" s="739" t="inlineStr">
        <is>
          <t>Eligible Months Based on DTC Start Yr</t>
        </is>
      </c>
      <c r="L225" s="739" t="inlineStr">
        <is>
          <t>Total Eligible Months by DTC Start</t>
        </is>
      </c>
      <c r="M225" s="492" t="n"/>
      <c r="N225" s="739" t="inlineStr">
        <is>
          <t>Eligible Months Based on DTC End Yr</t>
        </is>
      </c>
      <c r="O225" s="739" t="inlineStr">
        <is>
          <t>Total Eligible Months by DTC End</t>
        </is>
      </c>
      <c r="P225" s="492" t="n"/>
      <c r="R225" s="739" t="inlineStr">
        <is>
          <t>Total Eligible Months (Age &amp; DTC Start and End)</t>
        </is>
      </c>
      <c r="U225" s="740" t="inlineStr">
        <is>
          <t>Effective Dependant Count</t>
        </is>
      </c>
      <c r="V225" s="739" t="inlineStr">
        <is>
          <t>Count of Eligible Kids</t>
        </is>
      </c>
    </row>
    <row r="226">
      <c r="B226" s="392" t="inlineStr">
        <is>
          <t>Base Yr</t>
        </is>
      </c>
      <c r="C226" s="392" t="inlineStr">
        <is>
          <t>Payout Period</t>
        </is>
      </c>
      <c r="D226" s="279" t="n"/>
      <c r="E226" s="752" t="n"/>
      <c r="H226" t="inlineStr">
        <is>
          <t>Base Year</t>
        </is>
      </c>
      <c r="J226" s="492" t="inlineStr">
        <is>
          <t>% of Year</t>
        </is>
      </c>
      <c r="M226" s="492" t="inlineStr">
        <is>
          <t>% of Year</t>
        </is>
      </c>
      <c r="P226" s="492" t="inlineStr">
        <is>
          <t>% of Year</t>
        </is>
      </c>
      <c r="Q226" s="39" t="n"/>
      <c r="S226" s="492" t="inlineStr">
        <is>
          <t>% of Year</t>
        </is>
      </c>
      <c r="T226" t="inlineStr">
        <is>
          <t>Base Year</t>
        </is>
      </c>
      <c r="U226" s="39" t="n"/>
    </row>
    <row r="227">
      <c r="B227" s="484">
        <f>'CDB Calculator Summary Sheet'!$G$17</f>
        <v/>
      </c>
      <c r="C227" s="391" t="n">
        <v>43831</v>
      </c>
      <c r="D227" s="391" t="n">
        <v>44012</v>
      </c>
      <c r="E227" s="484">
        <f>B227+2</f>
        <v/>
      </c>
      <c r="F227" s="484" t="n">
        <v>6</v>
      </c>
      <c r="G227" s="484">
        <f>IF($C$223=E227,IF($E$223&lt;6,$E$223,6),IF($C$223&gt;E227,6,0))</f>
        <v/>
      </c>
      <c r="H227" s="484">
        <f>B227</f>
        <v/>
      </c>
      <c r="I227" s="484">
        <f>G227+G228</f>
        <v/>
      </c>
      <c r="J227" s="362">
        <f>I227/12</f>
        <v/>
      </c>
      <c r="K227" s="484">
        <f>IF($H$222=E227,6,IF($H$222&lt;E227,6,0))</f>
        <v/>
      </c>
      <c r="L227" s="484">
        <f>K227+K228</f>
        <v/>
      </c>
      <c r="M227" s="362">
        <f>L227/12</f>
        <v/>
      </c>
      <c r="N227" s="484">
        <f>IF($H$223=E227,6,IF($H$223&gt;E227,6,0))</f>
        <v/>
      </c>
      <c r="O227" s="484">
        <f>N227+N228</f>
        <v/>
      </c>
      <c r="P227" s="362">
        <f>O227/12</f>
        <v/>
      </c>
      <c r="Q227" s="484">
        <f>MIN(N227,K227,G227)</f>
        <v/>
      </c>
      <c r="R227" s="484">
        <f>MIN(O227,L227,I227)</f>
        <v/>
      </c>
      <c r="S227" s="362">
        <f>R227/12</f>
        <v/>
      </c>
      <c r="T227" s="484">
        <f>H227</f>
        <v/>
      </c>
      <c r="U227" s="501">
        <f>S227*1</f>
        <v/>
      </c>
      <c r="V227" s="492">
        <f>IF(U227&gt;0,1,0)</f>
        <v/>
      </c>
    </row>
    <row r="228">
      <c r="B228" s="484">
        <f>B227</f>
        <v/>
      </c>
      <c r="C228" s="391" t="n">
        <v>44013</v>
      </c>
      <c r="D228" s="391" t="n">
        <v>44196</v>
      </c>
      <c r="E228" s="484">
        <f>B228+1</f>
        <v/>
      </c>
      <c r="F228" s="484" t="n">
        <v>6</v>
      </c>
      <c r="G228" s="484">
        <f>IF($C$223=E228,IF($E$223&gt;6,$E$223-6,0),IF($C$223&gt;E228,6,0))</f>
        <v/>
      </c>
      <c r="H228" s="377" t="n"/>
      <c r="I228" s="377" t="n"/>
      <c r="J228" s="390" t="n"/>
      <c r="K228" s="377">
        <f>IF($H$222=E228,6,IF($H$222&lt;E228,6,0))</f>
        <v/>
      </c>
      <c r="L228" s="377" t="n"/>
      <c r="M228" s="390" t="n"/>
      <c r="N228" s="377">
        <f>IF($H$223=E228,6,IF($H$223&gt;E228,6,0))</f>
        <v/>
      </c>
      <c r="O228" s="377" t="n"/>
      <c r="P228" s="390" t="n"/>
      <c r="Q228" s="377">
        <f>MIN(N228,K228,G228)</f>
        <v/>
      </c>
      <c r="R228" s="377" t="n"/>
      <c r="S228" s="390" t="n"/>
      <c r="T228" s="377" t="n"/>
      <c r="U228" s="389" t="n"/>
      <c r="V228" s="492" t="n"/>
    </row>
    <row r="229">
      <c r="B229" s="484">
        <f>'CDB Calculator Summary Sheet'!$G$18</f>
        <v/>
      </c>
      <c r="C229" s="391" t="n">
        <v>43831</v>
      </c>
      <c r="D229" s="391" t="n">
        <v>44012</v>
      </c>
      <c r="E229" s="484">
        <f>B229+2</f>
        <v/>
      </c>
      <c r="F229" s="484" t="n">
        <v>6</v>
      </c>
      <c r="G229" s="484">
        <f>IF($C$223=E229,IF($E$223&lt;6,$E$223,6),IF($C$223&gt;E229,6,0))</f>
        <v/>
      </c>
      <c r="H229" s="484">
        <f>B229</f>
        <v/>
      </c>
      <c r="I229" s="484">
        <f>G229+G230</f>
        <v/>
      </c>
      <c r="J229" s="362">
        <f>I229/12</f>
        <v/>
      </c>
      <c r="K229" s="484">
        <f>IF($H$222=E229,6,IF($H$222&lt;E229,6,0))</f>
        <v/>
      </c>
      <c r="L229" s="484">
        <f>K229+K230</f>
        <v/>
      </c>
      <c r="M229" s="362">
        <f>L229/12</f>
        <v/>
      </c>
      <c r="N229" s="484">
        <f>IF($H$223=E229,6,IF($H$223&gt;E229,6,0))</f>
        <v/>
      </c>
      <c r="O229" s="484">
        <f>N229+N230</f>
        <v/>
      </c>
      <c r="P229" s="362">
        <f>O229/12</f>
        <v/>
      </c>
      <c r="Q229" s="484">
        <f>MIN(N229,K229,G229)</f>
        <v/>
      </c>
      <c r="R229" s="484">
        <f>MIN(O229,L229,I229)</f>
        <v/>
      </c>
      <c r="S229" s="362">
        <f>R229/12</f>
        <v/>
      </c>
      <c r="T229" s="484">
        <f>H229</f>
        <v/>
      </c>
      <c r="U229" s="501">
        <f>S229*1</f>
        <v/>
      </c>
      <c r="V229" s="492">
        <f>IF(U229&gt;0,1,0)</f>
        <v/>
      </c>
    </row>
    <row r="230">
      <c r="B230" s="484">
        <f>B229</f>
        <v/>
      </c>
      <c r="C230" s="391" t="n">
        <v>44013</v>
      </c>
      <c r="D230" s="391" t="n">
        <v>44196</v>
      </c>
      <c r="E230" s="484">
        <f>B230+1</f>
        <v/>
      </c>
      <c r="F230" s="484" t="n">
        <v>6</v>
      </c>
      <c r="G230" s="484">
        <f>IF($C$223=E230,IF($E$223&gt;6,$E$223-6,0),IF($C$223&gt;E230,6,0))</f>
        <v/>
      </c>
      <c r="H230" s="377" t="n"/>
      <c r="I230" s="377" t="n"/>
      <c r="J230" s="390" t="n"/>
      <c r="K230" s="377">
        <f>IF($H$222=E230,6,IF($H$222&lt;E230,6,0))</f>
        <v/>
      </c>
      <c r="L230" s="377" t="n"/>
      <c r="M230" s="390" t="n"/>
      <c r="N230" s="377">
        <f>IF($H$223=E230,6,IF($H$223&gt;E230,6,0))</f>
        <v/>
      </c>
      <c r="O230" s="377" t="n"/>
      <c r="P230" s="390" t="n"/>
      <c r="Q230" s="377">
        <f>MIN(N230,K230,G230)</f>
        <v/>
      </c>
      <c r="R230" s="377" t="n"/>
      <c r="S230" s="390" t="n"/>
      <c r="T230" s="377" t="n"/>
      <c r="U230" s="389" t="n"/>
      <c r="V230" s="492" t="n"/>
    </row>
    <row r="231">
      <c r="B231" s="484">
        <f>'CDB Calculator Summary Sheet'!$G$19</f>
        <v/>
      </c>
      <c r="C231" s="391" t="n">
        <v>43831</v>
      </c>
      <c r="D231" s="391" t="n">
        <v>44012</v>
      </c>
      <c r="E231" s="484">
        <f>B231+2</f>
        <v/>
      </c>
      <c r="F231" s="484" t="n">
        <v>6</v>
      </c>
      <c r="G231" s="484">
        <f>IF($C$223=E231,IF($E$223&lt;6,$E$223,6),IF($C$223&gt;E231,6,0))</f>
        <v/>
      </c>
      <c r="H231" s="484">
        <f>B231</f>
        <v/>
      </c>
      <c r="I231" s="484">
        <f>G231+G232</f>
        <v/>
      </c>
      <c r="J231" s="362">
        <f>I231/12</f>
        <v/>
      </c>
      <c r="K231" s="484">
        <f>IF($H$222=E231,6,IF($H$222&lt;E231,6,0))</f>
        <v/>
      </c>
      <c r="L231" s="484">
        <f>K231+K232</f>
        <v/>
      </c>
      <c r="M231" s="362">
        <f>L231/12</f>
        <v/>
      </c>
      <c r="N231" s="484">
        <f>IF($H$223=E231,6,IF($H$223&gt;E231,6,0))</f>
        <v/>
      </c>
      <c r="O231" s="484">
        <f>N231+N232</f>
        <v/>
      </c>
      <c r="P231" s="362">
        <f>O231/12</f>
        <v/>
      </c>
      <c r="Q231" s="484">
        <f>MIN(N231,K231,G231)</f>
        <v/>
      </c>
      <c r="R231" s="484">
        <f>MIN(O231,L231,I231)</f>
        <v/>
      </c>
      <c r="S231" s="362">
        <f>R231/12</f>
        <v/>
      </c>
      <c r="T231" s="484">
        <f>H231</f>
        <v/>
      </c>
      <c r="U231" s="501">
        <f>S231*1</f>
        <v/>
      </c>
      <c r="V231" s="492">
        <f>IF(U231&gt;0,1,0)</f>
        <v/>
      </c>
    </row>
    <row r="232">
      <c r="B232" s="484">
        <f>B231</f>
        <v/>
      </c>
      <c r="C232" s="391" t="n">
        <v>44013</v>
      </c>
      <c r="D232" s="391" t="n">
        <v>44196</v>
      </c>
      <c r="E232" s="484">
        <f>B232+1</f>
        <v/>
      </c>
      <c r="F232" s="484" t="n">
        <v>6</v>
      </c>
      <c r="G232" s="484">
        <f>IF($C$223=E232,IF($E$223&gt;6,$E$223-6,0),IF($C$223&gt;E232,6,0))</f>
        <v/>
      </c>
      <c r="H232" s="377" t="n"/>
      <c r="I232" s="377" t="n"/>
      <c r="J232" s="390" t="n"/>
      <c r="K232" s="377">
        <f>IF($H$222=E232,6,IF($H$222&lt;E232,6,0))</f>
        <v/>
      </c>
      <c r="L232" s="377" t="n"/>
      <c r="M232" s="390" t="n"/>
      <c r="N232" s="377">
        <f>IF($H$223=E232,6,IF($H$223&gt;E232,6,0))</f>
        <v/>
      </c>
      <c r="O232" s="377" t="n"/>
      <c r="P232" s="390" t="n"/>
      <c r="Q232" s="377">
        <f>MIN(N232,K232,G232)</f>
        <v/>
      </c>
      <c r="R232" s="377" t="n"/>
      <c r="S232" s="390" t="n"/>
      <c r="T232" s="377" t="n"/>
      <c r="U232" s="389" t="n"/>
      <c r="V232" s="492" t="n"/>
    </row>
    <row r="233">
      <c r="B233" s="484">
        <f>'CDB Calculator Summary Sheet'!$G$20</f>
        <v/>
      </c>
      <c r="C233" s="391" t="n">
        <v>43831</v>
      </c>
      <c r="D233" s="391" t="n">
        <v>44012</v>
      </c>
      <c r="E233" s="484">
        <f>B233+2</f>
        <v/>
      </c>
      <c r="F233" s="484" t="n">
        <v>6</v>
      </c>
      <c r="G233" s="484">
        <f>IF($C$223=E233,IF($E$223&lt;6,$E$223,6),IF($C$223&gt;E233,6,0))</f>
        <v/>
      </c>
      <c r="H233" s="484">
        <f>B233</f>
        <v/>
      </c>
      <c r="I233" s="484">
        <f>G233+G234</f>
        <v/>
      </c>
      <c r="J233" s="362">
        <f>I233/12</f>
        <v/>
      </c>
      <c r="K233" s="484">
        <f>IF($H$222=E233,6,IF($H$222&lt;E233,6,0))</f>
        <v/>
      </c>
      <c r="L233" s="484">
        <f>K233+K234</f>
        <v/>
      </c>
      <c r="M233" s="362">
        <f>L233/12</f>
        <v/>
      </c>
      <c r="N233" s="484">
        <f>IF($H$223=E233,6,IF($H$223&gt;E233,6,0))</f>
        <v/>
      </c>
      <c r="O233" s="484">
        <f>N233+N234</f>
        <v/>
      </c>
      <c r="P233" s="362">
        <f>O233/12</f>
        <v/>
      </c>
      <c r="Q233" s="484">
        <f>MIN(N233,K233,G233)</f>
        <v/>
      </c>
      <c r="R233" s="484">
        <f>MIN(O233,L233,I233)</f>
        <v/>
      </c>
      <c r="S233" s="362">
        <f>R233/12</f>
        <v/>
      </c>
      <c r="T233" s="484">
        <f>H233</f>
        <v/>
      </c>
      <c r="U233" s="501">
        <f>S233*1</f>
        <v/>
      </c>
      <c r="V233" s="492">
        <f>IF(U233&gt;0,1,0)</f>
        <v/>
      </c>
    </row>
    <row r="234">
      <c r="B234" s="484">
        <f>B233</f>
        <v/>
      </c>
      <c r="C234" s="391" t="n">
        <v>44013</v>
      </c>
      <c r="D234" s="391" t="n">
        <v>44196</v>
      </c>
      <c r="E234" s="484">
        <f>B234+1</f>
        <v/>
      </c>
      <c r="F234" s="484" t="n">
        <v>6</v>
      </c>
      <c r="G234" s="484">
        <f>IF($C$223=E234,IF($E$223&gt;6,$E$223-6,0),IF($C$223&gt;E234,6,0))</f>
        <v/>
      </c>
      <c r="H234" s="377" t="n"/>
      <c r="I234" s="377" t="n"/>
      <c r="J234" s="390" t="n"/>
      <c r="K234" s="377">
        <f>IF($H$222=E234,6,IF($H$222&lt;E234,6,0))</f>
        <v/>
      </c>
      <c r="L234" s="377" t="n"/>
      <c r="M234" s="390" t="n"/>
      <c r="N234" s="377">
        <f>IF($H$223=E234,6,IF($H$223&gt;E234,6,0))</f>
        <v/>
      </c>
      <c r="O234" s="377" t="n"/>
      <c r="P234" s="390" t="n"/>
      <c r="Q234" s="377">
        <f>MIN(N234,K234,G234)</f>
        <v/>
      </c>
      <c r="R234" s="377" t="n"/>
      <c r="S234" s="390" t="n"/>
      <c r="T234" s="377" t="n"/>
      <c r="U234" s="389" t="n"/>
      <c r="V234" s="492" t="n"/>
    </row>
    <row r="235">
      <c r="B235" s="484">
        <f>'CDB Calculator Summary Sheet'!$G$21</f>
        <v/>
      </c>
      <c r="C235" s="391" t="n">
        <v>43831</v>
      </c>
      <c r="D235" s="391" t="n">
        <v>44012</v>
      </c>
      <c r="E235" s="484">
        <f>B235+2</f>
        <v/>
      </c>
      <c r="F235" s="484" t="n">
        <v>6</v>
      </c>
      <c r="G235" s="484">
        <f>IF($C$223=E235,IF($E$223&lt;6,$E$223,6),IF($C$223&gt;E235,6,0))</f>
        <v/>
      </c>
      <c r="H235" s="484">
        <f>B235</f>
        <v/>
      </c>
      <c r="I235" s="484">
        <f>G235+G236</f>
        <v/>
      </c>
      <c r="J235" s="362">
        <f>I235/12</f>
        <v/>
      </c>
      <c r="K235" s="484">
        <f>IF($H$222=E235,6,IF($H$222&lt;E235,6,0))</f>
        <v/>
      </c>
      <c r="L235" s="484">
        <f>K235+K236</f>
        <v/>
      </c>
      <c r="M235" s="362">
        <f>L235/12</f>
        <v/>
      </c>
      <c r="N235" s="484">
        <f>IF($H$223=E235,6,IF($H$223&gt;E235,6,0))</f>
        <v/>
      </c>
      <c r="O235" s="484">
        <f>N235+N236</f>
        <v/>
      </c>
      <c r="P235" s="362">
        <f>O235/12</f>
        <v/>
      </c>
      <c r="Q235" s="484">
        <f>MIN(N235,K235,G235)</f>
        <v/>
      </c>
      <c r="R235" s="484">
        <f>MIN(O235,L235,I235)</f>
        <v/>
      </c>
      <c r="S235" s="362">
        <f>R235/12</f>
        <v/>
      </c>
      <c r="T235" s="484">
        <f>H235</f>
        <v/>
      </c>
      <c r="U235" s="501">
        <f>S235*1</f>
        <v/>
      </c>
      <c r="V235" s="492">
        <f>IF(U235&gt;0,1,0)</f>
        <v/>
      </c>
    </row>
    <row r="236">
      <c r="B236" s="484">
        <f>B235</f>
        <v/>
      </c>
      <c r="C236" s="391" t="n">
        <v>44013</v>
      </c>
      <c r="D236" s="391" t="n">
        <v>44196</v>
      </c>
      <c r="E236" s="484">
        <f>B236+1</f>
        <v/>
      </c>
      <c r="F236" s="484" t="n">
        <v>6</v>
      </c>
      <c r="G236" s="484">
        <f>IF($C$223=E236,IF($E$223&gt;6,$E$223-6,0),IF($C$223&gt;E236,6,0))</f>
        <v/>
      </c>
      <c r="H236" s="377" t="n"/>
      <c r="I236" s="377" t="n"/>
      <c r="J236" s="390" t="n"/>
      <c r="K236" s="377">
        <f>IF($H$222=E236,6,IF($H$222&lt;E236,6,0))</f>
        <v/>
      </c>
      <c r="L236" s="377" t="n"/>
      <c r="M236" s="390" t="n"/>
      <c r="N236" s="377">
        <f>IF($H$223=E236,6,IF($H$223&gt;E236,6,0))</f>
        <v/>
      </c>
      <c r="O236" s="377" t="n"/>
      <c r="P236" s="390" t="n"/>
      <c r="Q236" s="377">
        <f>MIN(N236,K236,G236)</f>
        <v/>
      </c>
      <c r="R236" s="377" t="n"/>
      <c r="S236" s="390" t="n"/>
      <c r="T236" s="377" t="n"/>
      <c r="U236" s="389" t="n"/>
      <c r="V236" s="492" t="n"/>
    </row>
    <row r="237">
      <c r="B237" s="484">
        <f>'CDB Calculator Summary Sheet'!$G$22</f>
        <v/>
      </c>
      <c r="C237" s="391" t="n">
        <v>43831</v>
      </c>
      <c r="D237" s="391" t="n">
        <v>44012</v>
      </c>
      <c r="E237" s="484">
        <f>B237+2</f>
        <v/>
      </c>
      <c r="F237" s="484" t="n">
        <v>6</v>
      </c>
      <c r="G237" s="484">
        <f>IF($C$223=E237,IF($E$223&lt;6,$E$223,6),IF($C$223&gt;E237,6,0))</f>
        <v/>
      </c>
      <c r="H237" s="484">
        <f>B237</f>
        <v/>
      </c>
      <c r="I237" s="484">
        <f>G237+G238</f>
        <v/>
      </c>
      <c r="J237" s="362">
        <f>I237/12</f>
        <v/>
      </c>
      <c r="K237" s="484">
        <f>IF($H$222=E237,6,IF($H$222&lt;E237,6,0))</f>
        <v/>
      </c>
      <c r="L237" s="484">
        <f>K237+K238</f>
        <v/>
      </c>
      <c r="M237" s="362">
        <f>L237/12</f>
        <v/>
      </c>
      <c r="N237" s="484">
        <f>IF($H$223=E237,6,IF($H$223&gt;E237,6,0))</f>
        <v/>
      </c>
      <c r="O237" s="484">
        <f>N237+N238</f>
        <v/>
      </c>
      <c r="P237" s="362">
        <f>O237/12</f>
        <v/>
      </c>
      <c r="Q237" s="484">
        <f>MIN(N237,K237,G237)</f>
        <v/>
      </c>
      <c r="R237" s="484">
        <f>MIN(O237,L237,I237)</f>
        <v/>
      </c>
      <c r="S237" s="362">
        <f>R237/12</f>
        <v/>
      </c>
      <c r="T237" s="484">
        <f>H237</f>
        <v/>
      </c>
      <c r="U237" s="501">
        <f>S237*1</f>
        <v/>
      </c>
      <c r="V237" s="492">
        <f>IF(U237&gt;0,1,0)</f>
        <v/>
      </c>
    </row>
    <row r="238">
      <c r="B238" s="484">
        <f>B237</f>
        <v/>
      </c>
      <c r="C238" s="391" t="n">
        <v>44013</v>
      </c>
      <c r="D238" s="391" t="n">
        <v>44196</v>
      </c>
      <c r="E238" s="484">
        <f>B238+1</f>
        <v/>
      </c>
      <c r="F238" s="484" t="n">
        <v>6</v>
      </c>
      <c r="G238" s="484">
        <f>IF($C$223=E238,IF($E$223&gt;6,$E$223-6,0),IF($C$223&gt;E238,6,0))</f>
        <v/>
      </c>
      <c r="H238" s="377" t="n"/>
      <c r="I238" s="377" t="n"/>
      <c r="J238" s="390" t="n"/>
      <c r="K238" s="377">
        <f>IF($H$222=E238,6,IF($H$222&lt;E238,6,0))</f>
        <v/>
      </c>
      <c r="L238" s="377" t="n"/>
      <c r="M238" s="390" t="n"/>
      <c r="N238" s="377">
        <f>IF($H$223=E238,6,IF($H$223&gt;E238,6,0))</f>
        <v/>
      </c>
      <c r="O238" s="377" t="n"/>
      <c r="P238" s="390" t="n"/>
      <c r="Q238" s="377">
        <f>MIN(N238,K238,G238)</f>
        <v/>
      </c>
      <c r="R238" s="377" t="n"/>
      <c r="S238" s="390" t="n"/>
      <c r="T238" s="377" t="n"/>
      <c r="U238" s="389" t="n"/>
      <c r="V238" s="492" t="n"/>
    </row>
    <row r="239">
      <c r="B239" s="484">
        <f>'CDB Calculator Summary Sheet'!$G$23</f>
        <v/>
      </c>
      <c r="C239" s="391" t="n">
        <v>43831</v>
      </c>
      <c r="D239" s="391" t="n">
        <v>44012</v>
      </c>
      <c r="E239" s="484">
        <f>B239+2</f>
        <v/>
      </c>
      <c r="F239" s="484" t="n">
        <v>6</v>
      </c>
      <c r="G239" s="484">
        <f>IF($C$223=E239,IF($E$223&lt;6,$E$223,6),IF($C$223&gt;E239,6,0))</f>
        <v/>
      </c>
      <c r="H239" s="484">
        <f>B239</f>
        <v/>
      </c>
      <c r="I239" s="484">
        <f>G239+G240</f>
        <v/>
      </c>
      <c r="J239" s="362">
        <f>I239/12</f>
        <v/>
      </c>
      <c r="K239" s="484">
        <f>IF($H$222=E239,6,IF($H$222&lt;E239,6,0))</f>
        <v/>
      </c>
      <c r="L239" s="484">
        <f>K239+K240</f>
        <v/>
      </c>
      <c r="M239" s="362">
        <f>L239/12</f>
        <v/>
      </c>
      <c r="N239" s="484">
        <f>IF($H$223=E239,6,IF($H$223&gt;E239,6,0))</f>
        <v/>
      </c>
      <c r="O239" s="484">
        <f>N239+N240</f>
        <v/>
      </c>
      <c r="P239" s="362">
        <f>O239/12</f>
        <v/>
      </c>
      <c r="Q239" s="484">
        <f>MIN(N239,K239,G239)</f>
        <v/>
      </c>
      <c r="R239" s="484">
        <f>MIN(O239,L239,I239)</f>
        <v/>
      </c>
      <c r="S239" s="362">
        <f>R239/12</f>
        <v/>
      </c>
      <c r="T239" s="484">
        <f>H239</f>
        <v/>
      </c>
      <c r="U239" s="501">
        <f>S239*1</f>
        <v/>
      </c>
      <c r="V239" s="492">
        <f>IF(U239&gt;0,1,0)</f>
        <v/>
      </c>
    </row>
    <row r="240">
      <c r="B240" s="484">
        <f>B239</f>
        <v/>
      </c>
      <c r="C240" s="391" t="n">
        <v>44013</v>
      </c>
      <c r="D240" s="391" t="n">
        <v>44196</v>
      </c>
      <c r="E240" s="484">
        <f>B240+1</f>
        <v/>
      </c>
      <c r="F240" s="484" t="n">
        <v>6</v>
      </c>
      <c r="G240" s="484">
        <f>IF($C$223=E240,IF($E$223&gt;6,$E$223-6,0),IF($C$223&gt;E240,6,0))</f>
        <v/>
      </c>
      <c r="H240" s="377" t="n"/>
      <c r="I240" s="377" t="n"/>
      <c r="J240" s="390" t="n"/>
      <c r="K240" s="377">
        <f>IF($H$222=E240,6,IF($H$222&lt;E240,6,0))</f>
        <v/>
      </c>
      <c r="L240" s="377" t="n"/>
      <c r="M240" s="390" t="n"/>
      <c r="N240" s="377">
        <f>IF($H$223=E240,6,IF($H$223&gt;E240,6,0))</f>
        <v/>
      </c>
      <c r="O240" s="377" t="n"/>
      <c r="P240" s="390" t="n"/>
      <c r="Q240" s="377">
        <f>MIN(N240,K240,G240)</f>
        <v/>
      </c>
      <c r="R240" s="377" t="n"/>
      <c r="S240" s="390" t="n"/>
      <c r="T240" s="377" t="n"/>
      <c r="U240" s="389" t="n"/>
      <c r="V240" s="492" t="n"/>
    </row>
    <row r="241">
      <c r="B241" s="484">
        <f>'CDB Calculator Summary Sheet'!$G$24</f>
        <v/>
      </c>
      <c r="C241" s="391" t="n">
        <v>43831</v>
      </c>
      <c r="D241" s="391" t="n">
        <v>44012</v>
      </c>
      <c r="E241" s="484">
        <f>B241+2</f>
        <v/>
      </c>
      <c r="F241" s="484" t="n">
        <v>6</v>
      </c>
      <c r="G241" s="484">
        <f>IF($C$223=E241,IF($E$223&lt;6,$E$223,6),IF($C$223&gt;E241,6,0))</f>
        <v/>
      </c>
      <c r="H241" s="484">
        <f>B241</f>
        <v/>
      </c>
      <c r="I241" s="484">
        <f>G241+G242</f>
        <v/>
      </c>
      <c r="J241" s="362">
        <f>I241/12</f>
        <v/>
      </c>
      <c r="K241" s="484">
        <f>IF($H$222=E241,6,IF($H$222&lt;E241,6,0))</f>
        <v/>
      </c>
      <c r="L241" s="484">
        <f>K241+K242</f>
        <v/>
      </c>
      <c r="M241" s="362">
        <f>L241/12</f>
        <v/>
      </c>
      <c r="N241" s="484">
        <f>IF($H$223=E241,6,IF($H$223&gt;E241,6,0))</f>
        <v/>
      </c>
      <c r="O241" s="484">
        <f>N241+N242</f>
        <v/>
      </c>
      <c r="P241" s="362">
        <f>O241/12</f>
        <v/>
      </c>
      <c r="Q241" s="484">
        <f>MIN(N241,K241,G241)</f>
        <v/>
      </c>
      <c r="R241" s="484">
        <f>MIN(O241,L241,I241)</f>
        <v/>
      </c>
      <c r="S241" s="362">
        <f>R241/12</f>
        <v/>
      </c>
      <c r="T241" s="484">
        <f>H241</f>
        <v/>
      </c>
      <c r="U241" s="501">
        <f>S241*1</f>
        <v/>
      </c>
      <c r="V241" s="492">
        <f>IF(U241&gt;0,1,0)</f>
        <v/>
      </c>
    </row>
    <row r="242">
      <c r="B242" s="484">
        <f>B241</f>
        <v/>
      </c>
      <c r="C242" s="391" t="n">
        <v>44013</v>
      </c>
      <c r="D242" s="391" t="n">
        <v>44196</v>
      </c>
      <c r="E242" s="484">
        <f>B242+1</f>
        <v/>
      </c>
      <c r="F242" s="484" t="n">
        <v>6</v>
      </c>
      <c r="G242" s="484">
        <f>IF($C$223=E242,IF($E$223&gt;6,$E$223-6,0),IF($C$223&gt;E242,6,0))</f>
        <v/>
      </c>
      <c r="H242" s="377" t="n"/>
      <c r="I242" s="377" t="n"/>
      <c r="J242" s="390" t="n"/>
      <c r="K242" s="377">
        <f>IF($H$222=E242,6,IF($H$222&lt;E242,6,0))</f>
        <v/>
      </c>
      <c r="L242" s="377" t="n"/>
      <c r="M242" s="390" t="n"/>
      <c r="N242" s="377">
        <f>IF($H$223=E242,6,IF($H$223&gt;E242,6,0))</f>
        <v/>
      </c>
      <c r="O242" s="377" t="n"/>
      <c r="P242" s="390" t="n"/>
      <c r="Q242" s="377">
        <f>MIN(N242,K242,G242)</f>
        <v/>
      </c>
      <c r="R242" s="377" t="n"/>
      <c r="S242" s="390" t="n"/>
      <c r="T242" s="377" t="n"/>
      <c r="U242" s="389" t="n"/>
      <c r="V242" s="492" t="n"/>
    </row>
    <row r="243">
      <c r="B243" s="484">
        <f>'CDB Calculator Summary Sheet'!$G$25</f>
        <v/>
      </c>
      <c r="C243" s="391" t="n">
        <v>43831</v>
      </c>
      <c r="D243" s="391" t="n">
        <v>44012</v>
      </c>
      <c r="E243" s="484">
        <f>B243+2</f>
        <v/>
      </c>
      <c r="F243" s="484" t="n">
        <v>6</v>
      </c>
      <c r="G243" s="484">
        <f>IF($C$223=E243,IF($E$223&lt;6,$E$223,6),IF($C$223&gt;E243,6,0))</f>
        <v/>
      </c>
      <c r="H243" s="484">
        <f>B243</f>
        <v/>
      </c>
      <c r="I243" s="484">
        <f>G243+G244</f>
        <v/>
      </c>
      <c r="J243" s="362">
        <f>I243/12</f>
        <v/>
      </c>
      <c r="K243" s="484">
        <f>IF($H$222=E243,6,IF($H$222&lt;E243,6,0))</f>
        <v/>
      </c>
      <c r="L243" s="484">
        <f>K243+K244</f>
        <v/>
      </c>
      <c r="M243" s="362">
        <f>L243/12</f>
        <v/>
      </c>
      <c r="N243" s="484">
        <f>IF($H$223=E243,6,IF($H$223&gt;E243,6,0))</f>
        <v/>
      </c>
      <c r="O243" s="484">
        <f>N243+N244</f>
        <v/>
      </c>
      <c r="P243" s="362">
        <f>O243/12</f>
        <v/>
      </c>
      <c r="Q243" s="484">
        <f>MIN(N243,K243,G243)</f>
        <v/>
      </c>
      <c r="R243" s="484">
        <f>MIN(O243,L243,I243)</f>
        <v/>
      </c>
      <c r="S243" s="362">
        <f>R243/12</f>
        <v/>
      </c>
      <c r="T243" s="484">
        <f>H243</f>
        <v/>
      </c>
      <c r="U243" s="501">
        <f>S243*1</f>
        <v/>
      </c>
      <c r="V243" s="492">
        <f>IF(U243&gt;0,1,0)</f>
        <v/>
      </c>
    </row>
    <row r="244">
      <c r="B244" s="484">
        <f>B243</f>
        <v/>
      </c>
      <c r="C244" s="391" t="n">
        <v>44013</v>
      </c>
      <c r="D244" s="391" t="n">
        <v>44196</v>
      </c>
      <c r="E244" s="484">
        <f>B244+1</f>
        <v/>
      </c>
      <c r="F244" s="484" t="n">
        <v>6</v>
      </c>
      <c r="G244" s="484">
        <f>IF($C$223=E244,IF($E$223&gt;6,$E$223-6,0),IF($C$223&gt;E244,6,0))</f>
        <v/>
      </c>
      <c r="H244" s="377" t="n"/>
      <c r="I244" s="377" t="n"/>
      <c r="J244" s="390" t="n"/>
      <c r="K244" s="377">
        <f>IF($H$222=E244,6,IF($H$222&lt;E244,6,0))</f>
        <v/>
      </c>
      <c r="L244" s="377" t="n"/>
      <c r="M244" s="390" t="n"/>
      <c r="N244" s="377">
        <f>IF($H$223=E244,6,IF($H$223&gt;E244,6,0))</f>
        <v/>
      </c>
      <c r="O244" s="377" t="n"/>
      <c r="P244" s="390" t="n"/>
      <c r="Q244" s="377">
        <f>MIN(N244,K244,G244)</f>
        <v/>
      </c>
      <c r="R244" s="377" t="n"/>
      <c r="S244" s="390" t="n"/>
      <c r="T244" s="377" t="n"/>
      <c r="U244" s="389" t="n"/>
      <c r="V244" s="492" t="n"/>
    </row>
    <row r="245">
      <c r="B245" s="484">
        <f>'CDB Calculator Summary Sheet'!$G$26</f>
        <v/>
      </c>
      <c r="C245" s="391" t="n">
        <v>43831</v>
      </c>
      <c r="D245" s="391" t="n">
        <v>44012</v>
      </c>
      <c r="E245" s="484">
        <f>B245+2</f>
        <v/>
      </c>
      <c r="F245" s="484" t="n">
        <v>6</v>
      </c>
      <c r="G245" s="484">
        <f>IF($C$223=E245,IF($E$223&lt;6,$E$223,6),IF($C$223&gt;E245,6,0))</f>
        <v/>
      </c>
      <c r="H245" s="484">
        <f>B245</f>
        <v/>
      </c>
      <c r="I245" s="484">
        <f>G245+G246</f>
        <v/>
      </c>
      <c r="J245" s="362">
        <f>I245/12</f>
        <v/>
      </c>
      <c r="K245" s="484">
        <f>IF($H$222=E245,6,IF($H$222&lt;E245,6,0))</f>
        <v/>
      </c>
      <c r="L245" s="484">
        <f>K245+K246</f>
        <v/>
      </c>
      <c r="M245" s="362">
        <f>L245/12</f>
        <v/>
      </c>
      <c r="N245" s="484">
        <f>IF($H$223=E245,6,IF($H$223&gt;E245,6,0))</f>
        <v/>
      </c>
      <c r="O245" s="484">
        <f>N245+N246</f>
        <v/>
      </c>
      <c r="P245" s="362">
        <f>O245/12</f>
        <v/>
      </c>
      <c r="Q245" s="484">
        <f>MIN(N245,K245,G245)</f>
        <v/>
      </c>
      <c r="R245" s="484">
        <f>MIN(O245,L245,I245)</f>
        <v/>
      </c>
      <c r="S245" s="362">
        <f>R245/12</f>
        <v/>
      </c>
      <c r="T245" s="484">
        <f>H245</f>
        <v/>
      </c>
      <c r="U245" s="501">
        <f>S245*1</f>
        <v/>
      </c>
      <c r="V245" s="492">
        <f>IF(U245&gt;0,1,0)</f>
        <v/>
      </c>
    </row>
    <row r="246">
      <c r="B246" s="484">
        <f>B245</f>
        <v/>
      </c>
      <c r="C246" s="391" t="n">
        <v>44013</v>
      </c>
      <c r="D246" s="391" t="n">
        <v>44196</v>
      </c>
      <c r="E246" s="484">
        <f>B246+1</f>
        <v/>
      </c>
      <c r="F246" s="484" t="n">
        <v>6</v>
      </c>
      <c r="G246" s="484">
        <f>IF($C$223=E246,IF($E$223&gt;6,$E$223-6,0),IF($C$223&gt;E246,6,0))</f>
        <v/>
      </c>
      <c r="H246" s="377" t="n"/>
      <c r="I246" s="377" t="n"/>
      <c r="J246" s="390" t="n"/>
      <c r="K246" s="377">
        <f>IF($H$222=E246,6,IF($H$222&lt;E246,6,0))</f>
        <v/>
      </c>
      <c r="L246" s="377" t="n"/>
      <c r="M246" s="390" t="n"/>
      <c r="N246" s="377">
        <f>IF($H$223=E246,6,IF($H$223&gt;E246,6,0))</f>
        <v/>
      </c>
      <c r="O246" s="377" t="n"/>
      <c r="P246" s="390" t="n"/>
      <c r="Q246" s="377">
        <f>MIN(N246,K246,G246)</f>
        <v/>
      </c>
      <c r="R246" s="377" t="n"/>
      <c r="S246" s="390" t="n"/>
      <c r="T246" s="377" t="n"/>
      <c r="U246" s="389" t="n"/>
      <c r="V246" s="492" t="n"/>
    </row>
    <row r="247">
      <c r="B247" s="484">
        <f>'CDB Calculator Summary Sheet'!#REF!</f>
        <v/>
      </c>
      <c r="C247" s="391" t="n">
        <v>43831</v>
      </c>
      <c r="D247" s="391" t="n">
        <v>44012</v>
      </c>
      <c r="E247" s="484">
        <f>B247+2</f>
        <v/>
      </c>
      <c r="F247" s="484" t="n">
        <v>6</v>
      </c>
      <c r="G247" s="484">
        <f>IF($C$223=E247,IF($E$223&lt;6,$E$223,6),IF($C$223&gt;E247,6,0))</f>
        <v/>
      </c>
      <c r="H247" s="484">
        <f>B247</f>
        <v/>
      </c>
      <c r="I247" s="484">
        <f>G247+G248</f>
        <v/>
      </c>
      <c r="J247" s="362">
        <f>I247/12</f>
        <v/>
      </c>
      <c r="K247" s="484">
        <f>IF($H$222=E247,6,IF($H$222&lt;E247,6,0))</f>
        <v/>
      </c>
      <c r="L247" s="484">
        <f>K247+K248</f>
        <v/>
      </c>
      <c r="M247" s="362">
        <f>L247/12</f>
        <v/>
      </c>
      <c r="N247" s="484">
        <f>IF($H$223=E247,6,IF($H$223&gt;E247,6,0))</f>
        <v/>
      </c>
      <c r="O247" s="484">
        <f>N247+N248</f>
        <v/>
      </c>
      <c r="P247" s="362">
        <f>O247/12</f>
        <v/>
      </c>
      <c r="Q247" s="484">
        <f>MIN(N247,K247,G247)</f>
        <v/>
      </c>
      <c r="R247" s="484">
        <f>MIN(O247,L247,I247)</f>
        <v/>
      </c>
      <c r="S247" s="362">
        <f>R247/12</f>
        <v/>
      </c>
      <c r="T247" s="484">
        <f>H247</f>
        <v/>
      </c>
      <c r="U247" s="501">
        <f>S247*1</f>
        <v/>
      </c>
      <c r="V247" s="492">
        <f>IF(U247&gt;0,1,0)</f>
        <v/>
      </c>
    </row>
    <row r="248">
      <c r="B248" s="484">
        <f>B247</f>
        <v/>
      </c>
      <c r="C248" s="391" t="n">
        <v>44013</v>
      </c>
      <c r="D248" s="391" t="n">
        <v>44196</v>
      </c>
      <c r="E248" s="484">
        <f>B248+1</f>
        <v/>
      </c>
      <c r="F248" s="484" t="n">
        <v>6</v>
      </c>
      <c r="G248" s="484">
        <f>IF($C$223=E248,IF($E$223&gt;6,$E$223-6,0),IF($C$223&gt;E248,6,0))</f>
        <v/>
      </c>
      <c r="H248" s="377" t="n"/>
      <c r="I248" s="377" t="n"/>
      <c r="J248" s="390" t="n"/>
      <c r="K248" s="377">
        <f>IF($H$222=E248,6,IF($H$222&lt;E248,6,0))</f>
        <v/>
      </c>
      <c r="L248" s="377" t="n"/>
      <c r="M248" s="390" t="n"/>
      <c r="N248" s="377">
        <f>IF($H$223=E248,6,IF($H$223&gt;E248,6,0))</f>
        <v/>
      </c>
      <c r="O248" s="377" t="n"/>
      <c r="P248" s="390" t="n"/>
      <c r="Q248" s="377">
        <f>MIN(N248,K248,G248)</f>
        <v/>
      </c>
      <c r="R248" s="377" t="n"/>
      <c r="S248" s="390" t="n"/>
      <c r="T248" s="377" t="n"/>
      <c r="U248" s="389" t="n"/>
      <c r="V248" s="492" t="n"/>
    </row>
    <row r="249">
      <c r="B249" s="484">
        <f>'CDB Calculator Summary Sheet'!#REF!</f>
        <v/>
      </c>
      <c r="C249" s="391" t="n">
        <v>43831</v>
      </c>
      <c r="D249" s="391" t="n">
        <v>44012</v>
      </c>
      <c r="E249" s="484">
        <f>B249+2</f>
        <v/>
      </c>
      <c r="F249" s="484" t="n">
        <v>6</v>
      </c>
      <c r="G249" s="484">
        <f>IF($C$223=E249,IF($E$223&lt;6,$E$223,6),IF($C$223&gt;E249,6,0))</f>
        <v/>
      </c>
      <c r="H249" s="484">
        <f>B249</f>
        <v/>
      </c>
      <c r="I249" s="484">
        <f>G249+G250</f>
        <v/>
      </c>
      <c r="J249" s="362">
        <f>I249/12</f>
        <v/>
      </c>
      <c r="K249" s="484">
        <f>IF($H$222=E249,6,IF($H$222&lt;E249,6,0))</f>
        <v/>
      </c>
      <c r="L249" s="484">
        <f>K249+K250</f>
        <v/>
      </c>
      <c r="M249" s="362">
        <f>L249/12</f>
        <v/>
      </c>
      <c r="N249" s="484">
        <f>IF($H$223=E249,6,IF($H$223&gt;E249,6,0))</f>
        <v/>
      </c>
      <c r="O249" s="484">
        <f>N249+N250</f>
        <v/>
      </c>
      <c r="P249" s="362">
        <f>O249/12</f>
        <v/>
      </c>
      <c r="Q249" s="484">
        <f>MIN(N249,K249,G249)</f>
        <v/>
      </c>
      <c r="R249" s="484">
        <f>MIN(O249,L249,I249)</f>
        <v/>
      </c>
      <c r="S249" s="362">
        <f>R249/12</f>
        <v/>
      </c>
      <c r="T249" s="484">
        <f>H249</f>
        <v/>
      </c>
      <c r="U249" s="501">
        <f>S249*1</f>
        <v/>
      </c>
      <c r="V249" s="492">
        <f>IF(U249&gt;0,1,0)</f>
        <v/>
      </c>
    </row>
    <row r="250">
      <c r="B250" s="484">
        <f>B249</f>
        <v/>
      </c>
      <c r="C250" s="391" t="n">
        <v>44013</v>
      </c>
      <c r="D250" s="391" t="n">
        <v>44196</v>
      </c>
      <c r="E250" s="484">
        <f>B250+1</f>
        <v/>
      </c>
      <c r="F250" s="484" t="n">
        <v>6</v>
      </c>
      <c r="G250" s="484">
        <f>IF($C$223=E250,IF($E$223&gt;6,$E$223-6,0),IF($C$223&gt;E250,6,0))</f>
        <v/>
      </c>
      <c r="H250" s="377" t="n"/>
      <c r="I250" s="377" t="n"/>
      <c r="J250" s="390" t="n"/>
      <c r="K250" s="377">
        <f>IF($H$222=E250,6,IF($H$222&lt;E250,6,0))</f>
        <v/>
      </c>
      <c r="L250" s="377" t="n"/>
      <c r="M250" s="390" t="n"/>
      <c r="N250" s="377">
        <f>IF($H$223=E250,6,IF($H$223&gt;E250,6,0))</f>
        <v/>
      </c>
      <c r="O250" s="377" t="n"/>
      <c r="P250" s="390" t="n"/>
      <c r="Q250" s="377">
        <f>MIN(N250,K250,G250)</f>
        <v/>
      </c>
      <c r="R250" s="377" t="n"/>
      <c r="S250" s="390" t="n"/>
      <c r="T250" s="377" t="n"/>
      <c r="U250" s="389" t="n"/>
      <c r="V250" s="492" t="n"/>
    </row>
    <row r="256">
      <c r="B256" s="396" t="inlineStr">
        <is>
          <t>DEPENDANT 8</t>
        </is>
      </c>
      <c r="E256" t="inlineStr">
        <is>
          <t>Current Age in Years</t>
        </is>
      </c>
      <c r="F256" t="inlineStr">
        <is>
          <t>Age Cut Off (18 yrs - includes the month of their 18th birthday)</t>
        </is>
      </c>
    </row>
    <row r="257" ht="16.5" customHeight="1">
      <c r="E257" s="395">
        <f>DATEDIF('CDB Calculator Summary Sheet'!J13,TODAY(),"Y")&amp;" Years, "&amp;DATEDIF('CDB Calculator Summary Sheet'!J13,TODAY(),"YM")&amp;" Months"</f>
        <v/>
      </c>
      <c r="F257" s="892">
        <f>EDATE(DATE(YEAR('CDB Calculator Summary Sheet'!J13) + 18, MONTH('CDB Calculator Summary Sheet'!J13), DAY('CDB Calculator Summary Sheet'!J13)),0)</f>
        <v/>
      </c>
      <c r="G257" s="492" t="inlineStr">
        <is>
          <t>DOB</t>
        </is>
      </c>
      <c r="H257" s="393">
        <f>'CDB Calculator Summary Sheet'!J13</f>
        <v/>
      </c>
    </row>
    <row r="258">
      <c r="B258" s="492" t="inlineStr">
        <is>
          <t>Age Start</t>
        </is>
      </c>
      <c r="C258" s="492" t="inlineStr">
        <is>
          <t>Age End</t>
        </is>
      </c>
      <c r="D258" s="484">
        <f>B259</f>
        <v/>
      </c>
      <c r="E258" s="484">
        <f>MONTH('CDB Calculator Summary Sheet'!J13)</f>
        <v/>
      </c>
      <c r="F258" t="inlineStr">
        <is>
          <t>&lt;--Age Start</t>
        </is>
      </c>
      <c r="G258" s="492" t="inlineStr">
        <is>
          <t>DTC Start Yr</t>
        </is>
      </c>
      <c r="H258">
        <f>'CDB Calculator Summary Sheet'!H13</f>
        <v/>
      </c>
      <c r="Q258" s="740" t="inlineStr">
        <is>
          <t>Eligble Months by 1/2 pay peiod</t>
        </is>
      </c>
    </row>
    <row r="259">
      <c r="B259" s="484">
        <f>YEAR('CDB Calculator Summary Sheet'!J13)</f>
        <v/>
      </c>
      <c r="C259" s="482">
        <f>YEAR(F257)</f>
        <v/>
      </c>
      <c r="D259" s="484">
        <f>YEAR(F257)</f>
        <v/>
      </c>
      <c r="E259" s="484">
        <f>MONTH(F257)</f>
        <v/>
      </c>
      <c r="F259" t="inlineStr">
        <is>
          <t>&lt;--Age End</t>
        </is>
      </c>
      <c r="G259" s="492" t="inlineStr">
        <is>
          <t>DTC End Yr</t>
        </is>
      </c>
      <c r="H259">
        <f>'CDB Calculator Summary Sheet'!I13</f>
        <v/>
      </c>
    </row>
    <row r="260"/>
    <row r="261" ht="15" customHeight="1">
      <c r="F261" s="739" t="inlineStr">
        <is>
          <t>Months in payout period</t>
        </is>
      </c>
      <c r="G261" s="739" t="inlineStr">
        <is>
          <t>Eligible Months Based on Age 18 or less</t>
        </is>
      </c>
      <c r="I261" s="739" t="inlineStr">
        <is>
          <t>Total Eligible Months by Age</t>
        </is>
      </c>
      <c r="K261" s="739" t="inlineStr">
        <is>
          <t>Eligible Months Based on DTC Start Yr</t>
        </is>
      </c>
      <c r="L261" s="739" t="inlineStr">
        <is>
          <t>Total Eligible Months by DTC Start</t>
        </is>
      </c>
      <c r="M261" s="492" t="n"/>
      <c r="N261" s="739" t="inlineStr">
        <is>
          <t>Eligible Months Based on DTC End Yr</t>
        </is>
      </c>
      <c r="O261" s="739" t="inlineStr">
        <is>
          <t>Total Eligible Months by DTC End</t>
        </is>
      </c>
      <c r="P261" s="492" t="n"/>
      <c r="R261" s="739" t="inlineStr">
        <is>
          <t>Total Eligible Months (Age &amp; DTC Start and End)</t>
        </is>
      </c>
      <c r="U261" s="740" t="inlineStr">
        <is>
          <t>Effective Dependant Count</t>
        </is>
      </c>
      <c r="V261" s="739" t="inlineStr">
        <is>
          <t>Count of Eligible Kids</t>
        </is>
      </c>
    </row>
    <row r="262">
      <c r="B262" s="392" t="inlineStr">
        <is>
          <t>Base Yr</t>
        </is>
      </c>
      <c r="C262" s="392" t="inlineStr">
        <is>
          <t>Payout Period</t>
        </is>
      </c>
      <c r="D262" s="279" t="n"/>
      <c r="E262" s="752" t="n"/>
      <c r="H262" t="inlineStr">
        <is>
          <t>Base Year</t>
        </is>
      </c>
      <c r="J262" s="492" t="inlineStr">
        <is>
          <t>% of Year</t>
        </is>
      </c>
      <c r="M262" s="492" t="inlineStr">
        <is>
          <t>% of Year</t>
        </is>
      </c>
      <c r="P262" s="492" t="inlineStr">
        <is>
          <t>% of Year</t>
        </is>
      </c>
      <c r="Q262" s="39" t="n"/>
      <c r="S262" s="492" t="inlineStr">
        <is>
          <t>% of Year</t>
        </is>
      </c>
      <c r="T262" t="inlineStr">
        <is>
          <t>Base Year</t>
        </is>
      </c>
      <c r="U262" s="39" t="n"/>
    </row>
    <row r="263">
      <c r="B263" s="484">
        <f>'CDB Calculator Summary Sheet'!$G$17</f>
        <v/>
      </c>
      <c r="C263" s="391" t="n">
        <v>43831</v>
      </c>
      <c r="D263" s="391" t="n">
        <v>44012</v>
      </c>
      <c r="E263" s="484">
        <f>B263+2</f>
        <v/>
      </c>
      <c r="F263" s="484" t="n">
        <v>6</v>
      </c>
      <c r="G263" s="484">
        <f>IF($C$259=E263,IF($E$259&lt;6,$E$259,6),IF($C$259&gt;E263,6,0))</f>
        <v/>
      </c>
      <c r="H263" s="484">
        <f>B263</f>
        <v/>
      </c>
      <c r="I263" s="484">
        <f>G263+G264</f>
        <v/>
      </c>
      <c r="J263" s="362">
        <f>I263/12</f>
        <v/>
      </c>
      <c r="K263" s="484">
        <f>IF($H$258=E263,6,IF($H$258&lt;E263,6,0))</f>
        <v/>
      </c>
      <c r="L263" s="484">
        <f>K263+K264</f>
        <v/>
      </c>
      <c r="M263" s="362">
        <f>L263/12</f>
        <v/>
      </c>
      <c r="N263" s="484">
        <f>IF($H$259=E263,6,IF($H$259&gt;E263,6,0))</f>
        <v/>
      </c>
      <c r="O263" s="484">
        <f>N263+N264</f>
        <v/>
      </c>
      <c r="P263" s="362">
        <f>O263/12</f>
        <v/>
      </c>
      <c r="Q263" s="484">
        <f>MIN(N263,K263,G263)</f>
        <v/>
      </c>
      <c r="R263" s="484">
        <f>MIN(O263,L263,I263)</f>
        <v/>
      </c>
      <c r="S263" s="362">
        <f>R263/12</f>
        <v/>
      </c>
      <c r="T263" s="484">
        <f>H263</f>
        <v/>
      </c>
      <c r="U263" s="501">
        <f>S263*1</f>
        <v/>
      </c>
      <c r="V263" s="492">
        <f>IF(U263&gt;0,1,0)</f>
        <v/>
      </c>
    </row>
    <row r="264">
      <c r="B264" s="484">
        <f>B263</f>
        <v/>
      </c>
      <c r="C264" s="391" t="n">
        <v>44013</v>
      </c>
      <c r="D264" s="391" t="n">
        <v>44196</v>
      </c>
      <c r="E264" s="484">
        <f>B264+1</f>
        <v/>
      </c>
      <c r="F264" s="484" t="n">
        <v>6</v>
      </c>
      <c r="G264" s="484">
        <f>IF($C$259=E264,IF($E$259&gt;6,$E$259-6,0),IF($C$259&gt;E264,6,0))</f>
        <v/>
      </c>
      <c r="H264" s="377" t="n"/>
      <c r="I264" s="377" t="n"/>
      <c r="J264" s="390" t="n"/>
      <c r="K264" s="377">
        <f>IF($H$258=E264,6,IF($H$258&lt;E264,6,0))</f>
        <v/>
      </c>
      <c r="L264" s="377" t="n"/>
      <c r="M264" s="390" t="n"/>
      <c r="N264" s="377">
        <f>IF($H$259=E264,6,IF($H$259&gt;E264,6,0))</f>
        <v/>
      </c>
      <c r="O264" s="377" t="n"/>
      <c r="P264" s="390" t="n"/>
      <c r="Q264" s="377">
        <f>MIN(N264,K264,G264)</f>
        <v/>
      </c>
      <c r="R264" s="377" t="n"/>
      <c r="S264" s="390" t="n"/>
      <c r="T264" s="377" t="n"/>
      <c r="U264" s="389" t="n"/>
      <c r="V264" s="492" t="n"/>
    </row>
    <row r="265">
      <c r="B265" s="484">
        <f>'CDB Calculator Summary Sheet'!$G$18</f>
        <v/>
      </c>
      <c r="C265" s="391" t="n">
        <v>43831</v>
      </c>
      <c r="D265" s="391" t="n">
        <v>44012</v>
      </c>
      <c r="E265" s="484">
        <f>B265+2</f>
        <v/>
      </c>
      <c r="F265" s="484" t="n">
        <v>6</v>
      </c>
      <c r="G265" s="484">
        <f>IF($C$259=E265,IF($E$259&lt;6,$E$259,6),IF($C$259&gt;E265,6,0))</f>
        <v/>
      </c>
      <c r="H265" s="484">
        <f>B265</f>
        <v/>
      </c>
      <c r="I265" s="484">
        <f>G265+G266</f>
        <v/>
      </c>
      <c r="J265" s="362">
        <f>I265/12</f>
        <v/>
      </c>
      <c r="K265" s="484">
        <f>IF($H$258=E265,6,IF($H$258&lt;E265,6,0))</f>
        <v/>
      </c>
      <c r="L265" s="484">
        <f>K265+K266</f>
        <v/>
      </c>
      <c r="M265" s="362">
        <f>L265/12</f>
        <v/>
      </c>
      <c r="N265" s="484">
        <f>IF($H$259=E265,6,IF($H$259&gt;E265,6,0))</f>
        <v/>
      </c>
      <c r="O265" s="484">
        <f>N265+N266</f>
        <v/>
      </c>
      <c r="P265" s="362">
        <f>O265/12</f>
        <v/>
      </c>
      <c r="Q265" s="484">
        <f>MIN(N265,K265,G265)</f>
        <v/>
      </c>
      <c r="R265" s="484">
        <f>MIN(O265,L265,I265)</f>
        <v/>
      </c>
      <c r="S265" s="362">
        <f>R265/12</f>
        <v/>
      </c>
      <c r="T265" s="484">
        <f>H265</f>
        <v/>
      </c>
      <c r="U265" s="501">
        <f>S265*1</f>
        <v/>
      </c>
      <c r="V265" s="492">
        <f>IF(U265&gt;0,1,0)</f>
        <v/>
      </c>
    </row>
    <row r="266">
      <c r="B266" s="484">
        <f>B265</f>
        <v/>
      </c>
      <c r="C266" s="391" t="n">
        <v>44013</v>
      </c>
      <c r="D266" s="391" t="n">
        <v>44196</v>
      </c>
      <c r="E266" s="484">
        <f>B266+1</f>
        <v/>
      </c>
      <c r="F266" s="484" t="n">
        <v>6</v>
      </c>
      <c r="G266" s="484">
        <f>IF($C$259=E266,IF($E$259&gt;6,$E$259-6,0),IF($C$259&gt;E266,6,0))</f>
        <v/>
      </c>
      <c r="H266" s="377" t="n"/>
      <c r="I266" s="377" t="n"/>
      <c r="J266" s="390" t="n"/>
      <c r="K266" s="377">
        <f>IF($H$258=E266,6,IF($H$258&lt;E266,6,0))</f>
        <v/>
      </c>
      <c r="L266" s="377" t="n"/>
      <c r="M266" s="390" t="n"/>
      <c r="N266" s="377">
        <f>IF($H$259=E266,6,IF($H$259&gt;E266,6,0))</f>
        <v/>
      </c>
      <c r="O266" s="377" t="n"/>
      <c r="P266" s="390" t="n"/>
      <c r="Q266" s="377">
        <f>MIN(N266,K266,G266)</f>
        <v/>
      </c>
      <c r="R266" s="377" t="n"/>
      <c r="S266" s="390" t="n"/>
      <c r="T266" s="377" t="n"/>
      <c r="U266" s="389" t="n"/>
      <c r="V266" s="492" t="n"/>
    </row>
    <row r="267">
      <c r="B267" s="484">
        <f>'CDB Calculator Summary Sheet'!$G$19</f>
        <v/>
      </c>
      <c r="C267" s="391" t="n">
        <v>43831</v>
      </c>
      <c r="D267" s="391" t="n">
        <v>44012</v>
      </c>
      <c r="E267" s="484">
        <f>B267+2</f>
        <v/>
      </c>
      <c r="F267" s="484" t="n">
        <v>6</v>
      </c>
      <c r="G267" s="484">
        <f>IF($C$259=E267,IF($E$259&lt;6,$E$259,6),IF($C$259&gt;E267,6,0))</f>
        <v/>
      </c>
      <c r="H267" s="484">
        <f>B267</f>
        <v/>
      </c>
      <c r="I267" s="484">
        <f>G267+G268</f>
        <v/>
      </c>
      <c r="J267" s="362">
        <f>I267/12</f>
        <v/>
      </c>
      <c r="K267" s="484">
        <f>IF($H$258=E267,6,IF($H$258&lt;E267,6,0))</f>
        <v/>
      </c>
      <c r="L267" s="484">
        <f>K267+K268</f>
        <v/>
      </c>
      <c r="M267" s="362">
        <f>L267/12</f>
        <v/>
      </c>
      <c r="N267" s="484">
        <f>IF($H$259=E267,6,IF($H$259&gt;E267,6,0))</f>
        <v/>
      </c>
      <c r="O267" s="484">
        <f>N267+N268</f>
        <v/>
      </c>
      <c r="P267" s="362">
        <f>O267/12</f>
        <v/>
      </c>
      <c r="Q267" s="484">
        <f>MIN(N267,K267,G267)</f>
        <v/>
      </c>
      <c r="R267" s="484">
        <f>MIN(O267,L267,I267)</f>
        <v/>
      </c>
      <c r="S267" s="362">
        <f>R267/12</f>
        <v/>
      </c>
      <c r="T267" s="484">
        <f>H267</f>
        <v/>
      </c>
      <c r="U267" s="501">
        <f>S267*1</f>
        <v/>
      </c>
      <c r="V267" s="492">
        <f>IF(U267&gt;0,1,0)</f>
        <v/>
      </c>
    </row>
    <row r="268">
      <c r="B268" s="484">
        <f>B267</f>
        <v/>
      </c>
      <c r="C268" s="391" t="n">
        <v>44013</v>
      </c>
      <c r="D268" s="391" t="n">
        <v>44196</v>
      </c>
      <c r="E268" s="484">
        <f>B268+1</f>
        <v/>
      </c>
      <c r="F268" s="484" t="n">
        <v>6</v>
      </c>
      <c r="G268" s="484">
        <f>IF($C$259=E268,IF($E$259&gt;6,$E$259-6,0),IF($C$259&gt;E268,6,0))</f>
        <v/>
      </c>
      <c r="H268" s="377" t="n"/>
      <c r="I268" s="377" t="n"/>
      <c r="J268" s="390" t="n"/>
      <c r="K268" s="377">
        <f>IF($H$258=E268,6,IF($H$258&lt;E268,6,0))</f>
        <v/>
      </c>
      <c r="L268" s="377" t="n"/>
      <c r="M268" s="390" t="n"/>
      <c r="N268" s="377">
        <f>IF($H$259=E268,6,IF($H$259&gt;E268,6,0))</f>
        <v/>
      </c>
      <c r="O268" s="377" t="n"/>
      <c r="P268" s="390" t="n"/>
      <c r="Q268" s="377">
        <f>MIN(N268,K268,G268)</f>
        <v/>
      </c>
      <c r="R268" s="377" t="n"/>
      <c r="S268" s="390" t="n"/>
      <c r="T268" s="377" t="n"/>
      <c r="U268" s="389" t="n"/>
      <c r="V268" s="492" t="n"/>
    </row>
    <row r="269">
      <c r="B269" s="484">
        <f>'CDB Calculator Summary Sheet'!$G$20</f>
        <v/>
      </c>
      <c r="C269" s="391" t="n">
        <v>43831</v>
      </c>
      <c r="D269" s="391" t="n">
        <v>44012</v>
      </c>
      <c r="E269" s="484">
        <f>B269+2</f>
        <v/>
      </c>
      <c r="F269" s="484" t="n">
        <v>6</v>
      </c>
      <c r="G269" s="484">
        <f>IF($C$259=E269,IF($E$259&lt;6,$E$259,6),IF($C$259&gt;E269,6,0))</f>
        <v/>
      </c>
      <c r="H269" s="484">
        <f>B269</f>
        <v/>
      </c>
      <c r="I269" s="484">
        <f>G269+G270</f>
        <v/>
      </c>
      <c r="J269" s="362">
        <f>I269/12</f>
        <v/>
      </c>
      <c r="K269" s="484">
        <f>IF($H$258=E269,6,IF($H$258&lt;E269,6,0))</f>
        <v/>
      </c>
      <c r="L269" s="484">
        <f>K269+K270</f>
        <v/>
      </c>
      <c r="M269" s="362">
        <f>L269/12</f>
        <v/>
      </c>
      <c r="N269" s="484">
        <f>IF($H$259=E269,6,IF($H$259&gt;E269,6,0))</f>
        <v/>
      </c>
      <c r="O269" s="484">
        <f>N269+N270</f>
        <v/>
      </c>
      <c r="P269" s="362">
        <f>O269/12</f>
        <v/>
      </c>
      <c r="Q269" s="484">
        <f>MIN(N269,K269,G269)</f>
        <v/>
      </c>
      <c r="R269" s="484">
        <f>MIN(O269,L269,I269)</f>
        <v/>
      </c>
      <c r="S269" s="362">
        <f>R269/12</f>
        <v/>
      </c>
      <c r="T269" s="484">
        <f>H269</f>
        <v/>
      </c>
      <c r="U269" s="501">
        <f>S269*1</f>
        <v/>
      </c>
      <c r="V269" s="492">
        <f>IF(U269&gt;0,1,0)</f>
        <v/>
      </c>
    </row>
    <row r="270">
      <c r="B270" s="484">
        <f>B269</f>
        <v/>
      </c>
      <c r="C270" s="391" t="n">
        <v>44013</v>
      </c>
      <c r="D270" s="391" t="n">
        <v>44196</v>
      </c>
      <c r="E270" s="484">
        <f>B270+1</f>
        <v/>
      </c>
      <c r="F270" s="484" t="n">
        <v>6</v>
      </c>
      <c r="G270" s="484">
        <f>IF($C$259=E270,IF($E$259&gt;6,$E$259-6,0),IF($C$259&gt;E270,6,0))</f>
        <v/>
      </c>
      <c r="H270" s="377" t="n"/>
      <c r="I270" s="377" t="n"/>
      <c r="J270" s="390" t="n"/>
      <c r="K270" s="377">
        <f>IF($H$258=E270,6,IF($H$258&lt;E270,6,0))</f>
        <v/>
      </c>
      <c r="L270" s="377" t="n"/>
      <c r="M270" s="390" t="n"/>
      <c r="N270" s="377">
        <f>IF($H$259=E270,6,IF($H$259&gt;E270,6,0))</f>
        <v/>
      </c>
      <c r="O270" s="377" t="n"/>
      <c r="P270" s="390" t="n"/>
      <c r="Q270" s="377">
        <f>MIN(N270,K270,G270)</f>
        <v/>
      </c>
      <c r="R270" s="377" t="n"/>
      <c r="S270" s="390" t="n"/>
      <c r="T270" s="377" t="n"/>
      <c r="U270" s="389" t="n"/>
      <c r="V270" s="492" t="n"/>
    </row>
    <row r="271">
      <c r="B271" s="484">
        <f>'CDB Calculator Summary Sheet'!$G$21</f>
        <v/>
      </c>
      <c r="C271" s="391" t="n">
        <v>43831</v>
      </c>
      <c r="D271" s="391" t="n">
        <v>44012</v>
      </c>
      <c r="E271" s="484">
        <f>B271+2</f>
        <v/>
      </c>
      <c r="F271" s="484" t="n">
        <v>6</v>
      </c>
      <c r="G271" s="484">
        <f>IF($C$259=E271,IF($E$259&lt;6,$E$259,6),IF($C$259&gt;E271,6,0))</f>
        <v/>
      </c>
      <c r="H271" s="484">
        <f>B271</f>
        <v/>
      </c>
      <c r="I271" s="484">
        <f>G271+G272</f>
        <v/>
      </c>
      <c r="J271" s="362">
        <f>I271/12</f>
        <v/>
      </c>
      <c r="K271" s="484">
        <f>IF($H$258=E271,6,IF($H$258&lt;E271,6,0))</f>
        <v/>
      </c>
      <c r="L271" s="484">
        <f>K271+K272</f>
        <v/>
      </c>
      <c r="M271" s="362">
        <f>L271/12</f>
        <v/>
      </c>
      <c r="N271" s="484">
        <f>IF($H$259=E271,6,IF($H$259&gt;E271,6,0))</f>
        <v/>
      </c>
      <c r="O271" s="484">
        <f>N271+N272</f>
        <v/>
      </c>
      <c r="P271" s="362">
        <f>O271/12</f>
        <v/>
      </c>
      <c r="Q271" s="484">
        <f>MIN(N271,K271,G271)</f>
        <v/>
      </c>
      <c r="R271" s="484">
        <f>MIN(O271,L271,I271)</f>
        <v/>
      </c>
      <c r="S271" s="362">
        <f>R271/12</f>
        <v/>
      </c>
      <c r="T271" s="484">
        <f>H271</f>
        <v/>
      </c>
      <c r="U271" s="501">
        <f>S271*1</f>
        <v/>
      </c>
      <c r="V271" s="492">
        <f>IF(U271&gt;0,1,0)</f>
        <v/>
      </c>
    </row>
    <row r="272">
      <c r="B272" s="484">
        <f>B271</f>
        <v/>
      </c>
      <c r="C272" s="391" t="n">
        <v>44013</v>
      </c>
      <c r="D272" s="391" t="n">
        <v>44196</v>
      </c>
      <c r="E272" s="484">
        <f>B272+1</f>
        <v/>
      </c>
      <c r="F272" s="484" t="n">
        <v>6</v>
      </c>
      <c r="G272" s="484">
        <f>IF($C$259=E272,IF($E$259&gt;6,$E$259-6,0),IF($C$259&gt;E272,6,0))</f>
        <v/>
      </c>
      <c r="H272" s="377" t="n"/>
      <c r="I272" s="377" t="n"/>
      <c r="J272" s="390" t="n"/>
      <c r="K272" s="377">
        <f>IF($H$258=E272,6,IF($H$258&lt;E272,6,0))</f>
        <v/>
      </c>
      <c r="L272" s="377" t="n"/>
      <c r="M272" s="390" t="n"/>
      <c r="N272" s="377">
        <f>IF($H$259=E272,6,IF($H$259&gt;E272,6,0))</f>
        <v/>
      </c>
      <c r="O272" s="377" t="n"/>
      <c r="P272" s="390" t="n"/>
      <c r="Q272" s="377">
        <f>MIN(N272,K272,G272)</f>
        <v/>
      </c>
      <c r="R272" s="377" t="n"/>
      <c r="S272" s="390" t="n"/>
      <c r="T272" s="377" t="n"/>
      <c r="U272" s="389" t="n"/>
      <c r="V272" s="492" t="n"/>
    </row>
    <row r="273">
      <c r="B273" s="484">
        <f>'CDB Calculator Summary Sheet'!$G$22</f>
        <v/>
      </c>
      <c r="C273" s="391" t="n">
        <v>43831</v>
      </c>
      <c r="D273" s="391" t="n">
        <v>44012</v>
      </c>
      <c r="E273" s="484">
        <f>B273+2</f>
        <v/>
      </c>
      <c r="F273" s="484" t="n">
        <v>6</v>
      </c>
      <c r="G273" s="484">
        <f>IF($C$259=E273,IF($E$259&lt;6,$E$259,6),IF($C$259&gt;E273,6,0))</f>
        <v/>
      </c>
      <c r="H273" s="484">
        <f>B273</f>
        <v/>
      </c>
      <c r="I273" s="484">
        <f>G273+G274</f>
        <v/>
      </c>
      <c r="J273" s="362">
        <f>I273/12</f>
        <v/>
      </c>
      <c r="K273" s="484">
        <f>IF($H$258=E273,6,IF($H$258&lt;E273,6,0))</f>
        <v/>
      </c>
      <c r="L273" s="484">
        <f>K273+K274</f>
        <v/>
      </c>
      <c r="M273" s="362">
        <f>L273/12</f>
        <v/>
      </c>
      <c r="N273" s="484">
        <f>IF($H$259=E273,6,IF($H$259&gt;E273,6,0))</f>
        <v/>
      </c>
      <c r="O273" s="484">
        <f>N273+N274</f>
        <v/>
      </c>
      <c r="P273" s="362">
        <f>O273/12</f>
        <v/>
      </c>
      <c r="Q273" s="484">
        <f>MIN(N273,K273,G273)</f>
        <v/>
      </c>
      <c r="R273" s="484">
        <f>MIN(O273,L273,I273)</f>
        <v/>
      </c>
      <c r="S273" s="362">
        <f>R273/12</f>
        <v/>
      </c>
      <c r="T273" s="484">
        <f>H273</f>
        <v/>
      </c>
      <c r="U273" s="501">
        <f>S273*1</f>
        <v/>
      </c>
      <c r="V273" s="492">
        <f>IF(U273&gt;0,1,0)</f>
        <v/>
      </c>
    </row>
    <row r="274">
      <c r="B274" s="484">
        <f>B273</f>
        <v/>
      </c>
      <c r="C274" s="391" t="n">
        <v>44013</v>
      </c>
      <c r="D274" s="391" t="n">
        <v>44196</v>
      </c>
      <c r="E274" s="484">
        <f>B274+1</f>
        <v/>
      </c>
      <c r="F274" s="484" t="n">
        <v>6</v>
      </c>
      <c r="G274" s="484">
        <f>IF($C$259=E274,IF($E$259&gt;6,$E$259-6,0),IF($C$259&gt;E274,6,0))</f>
        <v/>
      </c>
      <c r="H274" s="377" t="n"/>
      <c r="I274" s="377" t="n"/>
      <c r="J274" s="390" t="n"/>
      <c r="K274" s="377">
        <f>IF($H$258=E274,6,IF($H$258&lt;E274,6,0))</f>
        <v/>
      </c>
      <c r="L274" s="377" t="n"/>
      <c r="M274" s="390" t="n"/>
      <c r="N274" s="377">
        <f>IF($H$259=E274,6,IF($H$259&gt;E274,6,0))</f>
        <v/>
      </c>
      <c r="O274" s="377" t="n"/>
      <c r="P274" s="390" t="n"/>
      <c r="Q274" s="377">
        <f>MIN(N274,K274,G274)</f>
        <v/>
      </c>
      <c r="R274" s="377" t="n"/>
      <c r="S274" s="390" t="n"/>
      <c r="T274" s="377" t="n"/>
      <c r="U274" s="389" t="n"/>
      <c r="V274" s="492" t="n"/>
    </row>
    <row r="275">
      <c r="B275" s="484">
        <f>'CDB Calculator Summary Sheet'!$G$23</f>
        <v/>
      </c>
      <c r="C275" s="391" t="n">
        <v>43831</v>
      </c>
      <c r="D275" s="391" t="n">
        <v>44012</v>
      </c>
      <c r="E275" s="484">
        <f>B275+2</f>
        <v/>
      </c>
      <c r="F275" s="484" t="n">
        <v>6</v>
      </c>
      <c r="G275" s="484">
        <f>IF($C$259=E275,IF($E$259&lt;6,$E$259,6),IF($C$259&gt;E275,6,0))</f>
        <v/>
      </c>
      <c r="H275" s="484">
        <f>B275</f>
        <v/>
      </c>
      <c r="I275" s="484">
        <f>G275+G276</f>
        <v/>
      </c>
      <c r="J275" s="362">
        <f>I275/12</f>
        <v/>
      </c>
      <c r="K275" s="484">
        <f>IF($H$258=E275,6,IF($H$258&lt;E275,6,0))</f>
        <v/>
      </c>
      <c r="L275" s="484">
        <f>K275+K276</f>
        <v/>
      </c>
      <c r="M275" s="362">
        <f>L275/12</f>
        <v/>
      </c>
      <c r="N275" s="484">
        <f>IF($H$259=E275,6,IF($H$259&gt;E275,6,0))</f>
        <v/>
      </c>
      <c r="O275" s="484">
        <f>N275+N276</f>
        <v/>
      </c>
      <c r="P275" s="362">
        <f>O275/12</f>
        <v/>
      </c>
      <c r="Q275" s="484">
        <f>MIN(N275,K275,G275)</f>
        <v/>
      </c>
      <c r="R275" s="484">
        <f>MIN(O275,L275,I275)</f>
        <v/>
      </c>
      <c r="S275" s="362">
        <f>R275/12</f>
        <v/>
      </c>
      <c r="T275" s="484">
        <f>H275</f>
        <v/>
      </c>
      <c r="U275" s="501">
        <f>S275*1</f>
        <v/>
      </c>
      <c r="V275" s="492">
        <f>IF(U275&gt;0,1,0)</f>
        <v/>
      </c>
    </row>
    <row r="276">
      <c r="B276" s="484">
        <f>B275</f>
        <v/>
      </c>
      <c r="C276" s="391" t="n">
        <v>44013</v>
      </c>
      <c r="D276" s="391" t="n">
        <v>44196</v>
      </c>
      <c r="E276" s="484">
        <f>B276+1</f>
        <v/>
      </c>
      <c r="F276" s="484" t="n">
        <v>6</v>
      </c>
      <c r="G276" s="484">
        <f>IF($C$259=E276,IF($E$259&gt;6,$E$259-6,0),IF($C$259&gt;E276,6,0))</f>
        <v/>
      </c>
      <c r="H276" s="377" t="n"/>
      <c r="I276" s="377" t="n"/>
      <c r="J276" s="390" t="n"/>
      <c r="K276" s="377">
        <f>IF($H$258=E276,6,IF($H$258&lt;E276,6,0))</f>
        <v/>
      </c>
      <c r="L276" s="377" t="n"/>
      <c r="M276" s="390" t="n"/>
      <c r="N276" s="377">
        <f>IF($H$259=E276,6,IF($H$259&gt;E276,6,0))</f>
        <v/>
      </c>
      <c r="O276" s="377" t="n"/>
      <c r="P276" s="390" t="n"/>
      <c r="Q276" s="377">
        <f>MIN(N276,K276,G276)</f>
        <v/>
      </c>
      <c r="R276" s="377" t="n"/>
      <c r="S276" s="390" t="n"/>
      <c r="T276" s="377" t="n"/>
      <c r="U276" s="389" t="n"/>
      <c r="V276" s="492" t="n"/>
    </row>
    <row r="277">
      <c r="B277" s="484">
        <f>'CDB Calculator Summary Sheet'!$G$24</f>
        <v/>
      </c>
      <c r="C277" s="391" t="n">
        <v>43831</v>
      </c>
      <c r="D277" s="391" t="n">
        <v>44012</v>
      </c>
      <c r="E277" s="484">
        <f>B277+2</f>
        <v/>
      </c>
      <c r="F277" s="484" t="n">
        <v>6</v>
      </c>
      <c r="G277" s="484">
        <f>IF($C$259=E277,IF($E$259&lt;6,$E$259,6),IF($C$259&gt;E277,6,0))</f>
        <v/>
      </c>
      <c r="H277" s="484">
        <f>B277</f>
        <v/>
      </c>
      <c r="I277" s="484">
        <f>G277+G278</f>
        <v/>
      </c>
      <c r="J277" s="362">
        <f>I277/12</f>
        <v/>
      </c>
      <c r="K277" s="484">
        <f>IF($H$258=E277,6,IF($H$258&lt;E277,6,0))</f>
        <v/>
      </c>
      <c r="L277" s="484">
        <f>K277+K278</f>
        <v/>
      </c>
      <c r="M277" s="362">
        <f>L277/12</f>
        <v/>
      </c>
      <c r="N277" s="484">
        <f>IF($H$259=E277,6,IF($H$259&gt;E277,6,0))</f>
        <v/>
      </c>
      <c r="O277" s="484">
        <f>N277+N278</f>
        <v/>
      </c>
      <c r="P277" s="362">
        <f>O277/12</f>
        <v/>
      </c>
      <c r="Q277" s="484">
        <f>MIN(N277,K277,G277)</f>
        <v/>
      </c>
      <c r="R277" s="484">
        <f>MIN(O277,L277,I277)</f>
        <v/>
      </c>
      <c r="S277" s="362">
        <f>R277/12</f>
        <v/>
      </c>
      <c r="T277" s="484">
        <f>H277</f>
        <v/>
      </c>
      <c r="U277" s="501">
        <f>S277*1</f>
        <v/>
      </c>
      <c r="V277" s="492">
        <f>IF(U277&gt;0,1,0)</f>
        <v/>
      </c>
    </row>
    <row r="278">
      <c r="B278" s="484">
        <f>B277</f>
        <v/>
      </c>
      <c r="C278" s="391" t="n">
        <v>44013</v>
      </c>
      <c r="D278" s="391" t="n">
        <v>44196</v>
      </c>
      <c r="E278" s="484">
        <f>B278+1</f>
        <v/>
      </c>
      <c r="F278" s="484" t="n">
        <v>6</v>
      </c>
      <c r="G278" s="484">
        <f>IF($C$259=E278,IF($E$259&gt;6,$E$259-6,0),IF($C$259&gt;E278,6,0))</f>
        <v/>
      </c>
      <c r="H278" s="377" t="n"/>
      <c r="I278" s="377" t="n"/>
      <c r="J278" s="390" t="n"/>
      <c r="K278" s="377">
        <f>IF($H$258=E278,6,IF($H$258&lt;E278,6,0))</f>
        <v/>
      </c>
      <c r="L278" s="377" t="n"/>
      <c r="M278" s="390" t="n"/>
      <c r="N278" s="377">
        <f>IF($H$259=E278,6,IF($H$259&gt;E278,6,0))</f>
        <v/>
      </c>
      <c r="O278" s="377" t="n"/>
      <c r="P278" s="390" t="n"/>
      <c r="Q278" s="377">
        <f>MIN(N278,K278,G278)</f>
        <v/>
      </c>
      <c r="R278" s="377" t="n"/>
      <c r="S278" s="390" t="n"/>
      <c r="T278" s="377" t="n"/>
      <c r="U278" s="389" t="n"/>
      <c r="V278" s="492" t="n"/>
    </row>
    <row r="279">
      <c r="B279" s="484">
        <f>'CDB Calculator Summary Sheet'!$G$25</f>
        <v/>
      </c>
      <c r="C279" s="391" t="n">
        <v>43831</v>
      </c>
      <c r="D279" s="391" t="n">
        <v>44012</v>
      </c>
      <c r="E279" s="484">
        <f>B279+2</f>
        <v/>
      </c>
      <c r="F279" s="484" t="n">
        <v>6</v>
      </c>
      <c r="G279" s="484">
        <f>IF($C$259=E279,IF($E$259&lt;6,$E$259,6),IF($C$259&gt;E279,6,0))</f>
        <v/>
      </c>
      <c r="H279" s="484">
        <f>B279</f>
        <v/>
      </c>
      <c r="I279" s="484">
        <f>G279+G280</f>
        <v/>
      </c>
      <c r="J279" s="362">
        <f>I279/12</f>
        <v/>
      </c>
      <c r="K279" s="484">
        <f>IF($H$258=E279,6,IF($H$258&lt;E279,6,0))</f>
        <v/>
      </c>
      <c r="L279" s="484">
        <f>K279+K280</f>
        <v/>
      </c>
      <c r="M279" s="362">
        <f>L279/12</f>
        <v/>
      </c>
      <c r="N279" s="484">
        <f>IF($H$259=E279,6,IF($H$259&gt;E279,6,0))</f>
        <v/>
      </c>
      <c r="O279" s="484">
        <f>N279+N280</f>
        <v/>
      </c>
      <c r="P279" s="362">
        <f>O279/12</f>
        <v/>
      </c>
      <c r="Q279" s="484">
        <f>MIN(N279,K279,G279)</f>
        <v/>
      </c>
      <c r="R279" s="484">
        <f>MIN(O279,L279,I279)</f>
        <v/>
      </c>
      <c r="S279" s="362">
        <f>R279/12</f>
        <v/>
      </c>
      <c r="T279" s="484">
        <f>H279</f>
        <v/>
      </c>
      <c r="U279" s="501">
        <f>S279*1</f>
        <v/>
      </c>
      <c r="V279" s="492">
        <f>IF(U279&gt;0,1,0)</f>
        <v/>
      </c>
    </row>
    <row r="280">
      <c r="B280" s="484">
        <f>B279</f>
        <v/>
      </c>
      <c r="C280" s="391" t="n">
        <v>44013</v>
      </c>
      <c r="D280" s="391" t="n">
        <v>44196</v>
      </c>
      <c r="E280" s="484">
        <f>B280+1</f>
        <v/>
      </c>
      <c r="F280" s="484" t="n">
        <v>6</v>
      </c>
      <c r="G280" s="484">
        <f>IF($C$259=E280,IF($E$259&gt;6,$E$259-6,0),IF($C$259&gt;E280,6,0))</f>
        <v/>
      </c>
      <c r="H280" s="377" t="n"/>
      <c r="I280" s="377" t="n"/>
      <c r="J280" s="390" t="n"/>
      <c r="K280" s="377">
        <f>IF($H$258=E280,6,IF($H$258&lt;E280,6,0))</f>
        <v/>
      </c>
      <c r="L280" s="377" t="n"/>
      <c r="M280" s="390" t="n"/>
      <c r="N280" s="377">
        <f>IF($H$259=E280,6,IF($H$259&gt;E280,6,0))</f>
        <v/>
      </c>
      <c r="O280" s="377" t="n"/>
      <c r="P280" s="390" t="n"/>
      <c r="Q280" s="377">
        <f>MIN(N280,K280,G280)</f>
        <v/>
      </c>
      <c r="R280" s="377" t="n"/>
      <c r="S280" s="390" t="n"/>
      <c r="T280" s="377" t="n"/>
      <c r="U280" s="389" t="n"/>
      <c r="V280" s="492" t="n"/>
    </row>
    <row r="281">
      <c r="B281" s="484">
        <f>'CDB Calculator Summary Sheet'!$G$26</f>
        <v/>
      </c>
      <c r="C281" s="391" t="n">
        <v>43831</v>
      </c>
      <c r="D281" s="391" t="n">
        <v>44012</v>
      </c>
      <c r="E281" s="484">
        <f>B281+2</f>
        <v/>
      </c>
      <c r="F281" s="484" t="n">
        <v>6</v>
      </c>
      <c r="G281" s="484">
        <f>IF($C$259=E281,IF($E$259&lt;6,$E$259,6),IF($C$259&gt;E281,6,0))</f>
        <v/>
      </c>
      <c r="H281" s="484">
        <f>B281</f>
        <v/>
      </c>
      <c r="I281" s="484">
        <f>G281+G282</f>
        <v/>
      </c>
      <c r="J281" s="362">
        <f>I281/12</f>
        <v/>
      </c>
      <c r="K281" s="484">
        <f>IF($H$258=E281,6,IF($H$258&lt;E281,6,0))</f>
        <v/>
      </c>
      <c r="L281" s="484">
        <f>K281+K282</f>
        <v/>
      </c>
      <c r="M281" s="362">
        <f>L281/12</f>
        <v/>
      </c>
      <c r="N281" s="484">
        <f>IF($H$259=E281,6,IF($H$259&gt;E281,6,0))</f>
        <v/>
      </c>
      <c r="O281" s="484">
        <f>N281+N282</f>
        <v/>
      </c>
      <c r="P281" s="362">
        <f>O281/12</f>
        <v/>
      </c>
      <c r="Q281" s="484">
        <f>MIN(N281,K281,G281)</f>
        <v/>
      </c>
      <c r="R281" s="484">
        <f>MIN(O281,L281,I281)</f>
        <v/>
      </c>
      <c r="S281" s="362">
        <f>R281/12</f>
        <v/>
      </c>
      <c r="T281" s="484">
        <f>H281</f>
        <v/>
      </c>
      <c r="U281" s="501">
        <f>S281*1</f>
        <v/>
      </c>
      <c r="V281" s="492">
        <f>IF(U281&gt;0,1,0)</f>
        <v/>
      </c>
    </row>
    <row r="282">
      <c r="B282" s="484">
        <f>B281</f>
        <v/>
      </c>
      <c r="C282" s="391" t="n">
        <v>44013</v>
      </c>
      <c r="D282" s="391" t="n">
        <v>44196</v>
      </c>
      <c r="E282" s="484">
        <f>B282+1</f>
        <v/>
      </c>
      <c r="F282" s="484" t="n">
        <v>6</v>
      </c>
      <c r="G282" s="484">
        <f>IF($C$259=E282,IF($E$259&gt;6,$E$259-6,0),IF($C$259&gt;E282,6,0))</f>
        <v/>
      </c>
      <c r="H282" s="377" t="n"/>
      <c r="I282" s="377" t="n"/>
      <c r="J282" s="390" t="n"/>
      <c r="K282" s="377">
        <f>IF($H$258=E282,6,IF($H$258&lt;E282,6,0))</f>
        <v/>
      </c>
      <c r="L282" s="377" t="n"/>
      <c r="M282" s="390" t="n"/>
      <c r="N282" s="377">
        <f>IF($H$259=E282,6,IF($H$259&gt;E282,6,0))</f>
        <v/>
      </c>
      <c r="O282" s="377" t="n"/>
      <c r="P282" s="390" t="n"/>
      <c r="Q282" s="377">
        <f>MIN(N282,K282,G282)</f>
        <v/>
      </c>
      <c r="R282" s="377" t="n"/>
      <c r="S282" s="390" t="n"/>
      <c r="T282" s="377" t="n"/>
      <c r="U282" s="389" t="n"/>
      <c r="V282" s="492" t="n"/>
    </row>
    <row r="283">
      <c r="B283" s="484">
        <f>'CDB Calculator Summary Sheet'!#REF!</f>
        <v/>
      </c>
      <c r="C283" s="391" t="n">
        <v>43831</v>
      </c>
      <c r="D283" s="391" t="n">
        <v>44012</v>
      </c>
      <c r="E283" s="484">
        <f>B283+2</f>
        <v/>
      </c>
      <c r="F283" s="484" t="n">
        <v>6</v>
      </c>
      <c r="G283" s="484">
        <f>IF($C$259=E283,IF($E$259&lt;6,$E$259,6),IF($C$259&gt;E283,6,0))</f>
        <v/>
      </c>
      <c r="H283" s="484">
        <f>B283</f>
        <v/>
      </c>
      <c r="I283" s="484">
        <f>G283+G284</f>
        <v/>
      </c>
      <c r="J283" s="362">
        <f>I283/12</f>
        <v/>
      </c>
      <c r="K283" s="484">
        <f>IF($H$258=E283,6,IF($H$258&lt;E283,6,0))</f>
        <v/>
      </c>
      <c r="L283" s="484">
        <f>K283+K284</f>
        <v/>
      </c>
      <c r="M283" s="362">
        <f>L283/12</f>
        <v/>
      </c>
      <c r="N283" s="484">
        <f>IF($H$259=E283,6,IF($H$259&gt;E283,6,0))</f>
        <v/>
      </c>
      <c r="O283" s="484">
        <f>N283+N284</f>
        <v/>
      </c>
      <c r="P283" s="362">
        <f>O283/12</f>
        <v/>
      </c>
      <c r="Q283" s="484">
        <f>MIN(N283,K283,G283)</f>
        <v/>
      </c>
      <c r="R283" s="484">
        <f>MIN(O283,L283,I283)</f>
        <v/>
      </c>
      <c r="S283" s="362">
        <f>R283/12</f>
        <v/>
      </c>
      <c r="T283" s="484">
        <f>H283</f>
        <v/>
      </c>
      <c r="U283" s="501">
        <f>S283*1</f>
        <v/>
      </c>
      <c r="V283" s="492">
        <f>IF(U283&gt;0,1,0)</f>
        <v/>
      </c>
    </row>
    <row r="284">
      <c r="B284" s="484">
        <f>B283</f>
        <v/>
      </c>
      <c r="C284" s="391" t="n">
        <v>44013</v>
      </c>
      <c r="D284" s="391" t="n">
        <v>44196</v>
      </c>
      <c r="E284" s="484">
        <f>B284+1</f>
        <v/>
      </c>
      <c r="F284" s="484" t="n">
        <v>6</v>
      </c>
      <c r="G284" s="484">
        <f>IF($C$259=E284,IF($E$259&gt;6,$E$259-6,0),IF($C$259&gt;E284,6,0))</f>
        <v/>
      </c>
      <c r="H284" s="377" t="n"/>
      <c r="I284" s="377" t="n"/>
      <c r="J284" s="390" t="n"/>
      <c r="K284" s="377">
        <f>IF($H$258=E284,6,IF($H$258&lt;E284,6,0))</f>
        <v/>
      </c>
      <c r="L284" s="377" t="n"/>
      <c r="M284" s="390" t="n"/>
      <c r="N284" s="377">
        <f>IF($H$259=E284,6,IF($H$259&gt;E284,6,0))</f>
        <v/>
      </c>
      <c r="O284" s="377" t="n"/>
      <c r="P284" s="390" t="n"/>
      <c r="Q284" s="377">
        <f>MIN(N284,K284,G284)</f>
        <v/>
      </c>
      <c r="R284" s="377" t="n"/>
      <c r="S284" s="390" t="n"/>
      <c r="T284" s="377" t="n"/>
      <c r="U284" s="389" t="n"/>
      <c r="V284" s="492" t="n"/>
    </row>
    <row r="285">
      <c r="B285" s="484">
        <f>'CDB Calculator Summary Sheet'!#REF!</f>
        <v/>
      </c>
      <c r="C285" s="391" t="n">
        <v>43831</v>
      </c>
      <c r="D285" s="391" t="n">
        <v>44012</v>
      </c>
      <c r="E285" s="484">
        <f>B285+2</f>
        <v/>
      </c>
      <c r="F285" s="484" t="n">
        <v>6</v>
      </c>
      <c r="G285" s="484">
        <f>IF($C$259=E285,IF($E$259&lt;6,$E$259,6),IF($C$259&gt;E285,6,0))</f>
        <v/>
      </c>
      <c r="H285" s="484">
        <f>B285</f>
        <v/>
      </c>
      <c r="I285" s="484">
        <f>G285+G286</f>
        <v/>
      </c>
      <c r="J285" s="362">
        <f>I285/12</f>
        <v/>
      </c>
      <c r="K285" s="484">
        <f>IF($H$258=E285,6,IF($H$258&lt;E285,6,0))</f>
        <v/>
      </c>
      <c r="L285" s="484">
        <f>K285+K286</f>
        <v/>
      </c>
      <c r="M285" s="362">
        <f>L285/12</f>
        <v/>
      </c>
      <c r="N285" s="484">
        <f>IF($H$259=E285,6,IF($H$259&gt;E285,6,0))</f>
        <v/>
      </c>
      <c r="O285" s="484">
        <f>N285+N286</f>
        <v/>
      </c>
      <c r="P285" s="362">
        <f>O285/12</f>
        <v/>
      </c>
      <c r="Q285" s="484">
        <f>MIN(N285,K285,G285)</f>
        <v/>
      </c>
      <c r="R285" s="484">
        <f>MIN(O285,L285,I285)</f>
        <v/>
      </c>
      <c r="S285" s="362">
        <f>R285/12</f>
        <v/>
      </c>
      <c r="T285" s="484">
        <f>H285</f>
        <v/>
      </c>
      <c r="U285" s="501">
        <f>S285*1</f>
        <v/>
      </c>
      <c r="V285" s="492">
        <f>IF(U285&gt;0,1,0)</f>
        <v/>
      </c>
    </row>
    <row r="286">
      <c r="B286" s="484">
        <f>B285</f>
        <v/>
      </c>
      <c r="C286" s="391" t="n">
        <v>44013</v>
      </c>
      <c r="D286" s="391" t="n">
        <v>44196</v>
      </c>
      <c r="E286" s="484">
        <f>B286+1</f>
        <v/>
      </c>
      <c r="F286" s="484" t="n">
        <v>6</v>
      </c>
      <c r="G286" s="484">
        <f>IF($C$259=E286,IF($E$259&gt;6,$E$259-6,0),IF($C$259&gt;E286,6,0))</f>
        <v/>
      </c>
      <c r="H286" s="377" t="n"/>
      <c r="I286" s="377" t="n"/>
      <c r="J286" s="390" t="n"/>
      <c r="K286" s="377">
        <f>IF($H$258=E286,6,IF($H$258&lt;E286,6,0))</f>
        <v/>
      </c>
      <c r="L286" s="377" t="n"/>
      <c r="M286" s="390" t="n"/>
      <c r="N286" s="377">
        <f>IF($H$259=E286,6,IF($H$259&gt;E286,6,0))</f>
        <v/>
      </c>
      <c r="O286" s="377" t="n"/>
      <c r="P286" s="390" t="n"/>
      <c r="Q286" s="377">
        <f>MIN(N286,K286,G286)</f>
        <v/>
      </c>
      <c r="R286" s="377" t="n"/>
      <c r="S286" s="390" t="n"/>
      <c r="T286" s="377" t="n"/>
      <c r="U286" s="389" t="n"/>
      <c r="V286" s="492" t="n"/>
    </row>
  </sheetData>
  <mergeCells count="101">
    <mergeCell ref="F189:F190"/>
    <mergeCell ref="Z10:AC10"/>
    <mergeCell ref="K261:K262"/>
    <mergeCell ref="O225:O226"/>
    <mergeCell ref="F45:F46"/>
    <mergeCell ref="G189:G190"/>
    <mergeCell ref="K153:K154"/>
    <mergeCell ref="L117:L118"/>
    <mergeCell ref="N117:N118"/>
    <mergeCell ref="O261:O262"/>
    <mergeCell ref="U225:U226"/>
    <mergeCell ref="Q258:Q262"/>
    <mergeCell ref="F81:F82"/>
    <mergeCell ref="L45:L46"/>
    <mergeCell ref="O189:O190"/>
    <mergeCell ref="R81:R82"/>
    <mergeCell ref="V45:V46"/>
    <mergeCell ref="W1:W10"/>
    <mergeCell ref="L81:L82"/>
    <mergeCell ref="AD2:AD9"/>
    <mergeCell ref="AF6:AH9"/>
    <mergeCell ref="K9:K10"/>
    <mergeCell ref="O9:O10"/>
    <mergeCell ref="F225:F226"/>
    <mergeCell ref="R225:R226"/>
    <mergeCell ref="I45:I46"/>
    <mergeCell ref="N153:N154"/>
    <mergeCell ref="L189:L190"/>
    <mergeCell ref="C118:E118"/>
    <mergeCell ref="N189:N190"/>
    <mergeCell ref="R153:R154"/>
    <mergeCell ref="G117:G118"/>
    <mergeCell ref="V261:V262"/>
    <mergeCell ref="O45:O46"/>
    <mergeCell ref="K81:K82"/>
    <mergeCell ref="C46:E46"/>
    <mergeCell ref="R189:R190"/>
    <mergeCell ref="V9:V10"/>
    <mergeCell ref="V117:V118"/>
    <mergeCell ref="R45:R46"/>
    <mergeCell ref="F9:F10"/>
    <mergeCell ref="C154:E154"/>
    <mergeCell ref="F117:F118"/>
    <mergeCell ref="K225:K226"/>
    <mergeCell ref="G261:G262"/>
    <mergeCell ref="I261:I262"/>
    <mergeCell ref="G153:G154"/>
    <mergeCell ref="G9:G10"/>
    <mergeCell ref="I153:I154"/>
    <mergeCell ref="I9:I10"/>
    <mergeCell ref="U153:U154"/>
    <mergeCell ref="U9:U10"/>
    <mergeCell ref="N225:N226"/>
    <mergeCell ref="I189:I190"/>
    <mergeCell ref="K189:K190"/>
    <mergeCell ref="C10:E10"/>
    <mergeCell ref="N81:N82"/>
    <mergeCell ref="U189:U190"/>
    <mergeCell ref="O117:O118"/>
    <mergeCell ref="K45:K46"/>
    <mergeCell ref="U45:U46"/>
    <mergeCell ref="C262:E262"/>
    <mergeCell ref="L261:L262"/>
    <mergeCell ref="C190:E190"/>
    <mergeCell ref="L153:L154"/>
    <mergeCell ref="L9:L10"/>
    <mergeCell ref="N9:N10"/>
    <mergeCell ref="G225:G226"/>
    <mergeCell ref="R261:R262"/>
    <mergeCell ref="G81:G82"/>
    <mergeCell ref="I81:I82"/>
    <mergeCell ref="R9:R10"/>
    <mergeCell ref="O153:O154"/>
    <mergeCell ref="R117:R118"/>
    <mergeCell ref="U261:U262"/>
    <mergeCell ref="N45:N46"/>
    <mergeCell ref="Q186:Q190"/>
    <mergeCell ref="V81:V82"/>
    <mergeCell ref="Q78:Q82"/>
    <mergeCell ref="C226:E226"/>
    <mergeCell ref="Q114:Q118"/>
    <mergeCell ref="I225:I226"/>
    <mergeCell ref="Q222:Q226"/>
    <mergeCell ref="X6:X9"/>
    <mergeCell ref="L225:L226"/>
    <mergeCell ref="C82:E82"/>
    <mergeCell ref="V225:V226"/>
    <mergeCell ref="F153:F154"/>
    <mergeCell ref="I117:I118"/>
    <mergeCell ref="V153:V154"/>
    <mergeCell ref="K117:K118"/>
    <mergeCell ref="N261:N262"/>
    <mergeCell ref="U117:U118"/>
    <mergeCell ref="F261:F262"/>
    <mergeCell ref="G45:G46"/>
    <mergeCell ref="Q42:Q46"/>
    <mergeCell ref="O81:O82"/>
    <mergeCell ref="V189:V190"/>
    <mergeCell ref="Q150:Q154"/>
    <mergeCell ref="U81:U82"/>
    <mergeCell ref="Q6:Q10"/>
  </mergeCells>
  <conditionalFormatting sqref="J11:J34 M11:M34 P11:P34 S11:S34">
    <cfRule type="cellIs" priority="23" operator="greaterThan" dxfId="0">
      <formula>0</formula>
    </cfRule>
    <cfRule type="cellIs" priority="25" operator="equal" dxfId="0">
      <formula>1</formula>
    </cfRule>
  </conditionalFormatting>
  <conditionalFormatting sqref="J47:J70 M47:M70 P47:P70 S47:S70">
    <cfRule type="cellIs" priority="20" operator="greaterThan" dxfId="0">
      <formula>0</formula>
    </cfRule>
    <cfRule type="cellIs" priority="22" operator="equal" dxfId="0">
      <formula>1</formula>
    </cfRule>
  </conditionalFormatting>
  <conditionalFormatting sqref="J83:J106 M83:M106 P83:P106 S83:S106">
    <cfRule type="cellIs" priority="17" operator="greaterThan" dxfId="0">
      <formula>0</formula>
    </cfRule>
    <cfRule type="cellIs" priority="19" operator="equal" dxfId="0">
      <formula>1</formula>
    </cfRule>
  </conditionalFormatting>
  <conditionalFormatting sqref="J119:J142 M119:M142 P119:P142 S119:S142">
    <cfRule type="cellIs" priority="14" operator="greaterThan" dxfId="0">
      <formula>0</formula>
    </cfRule>
    <cfRule type="cellIs" priority="16" operator="equal" dxfId="0">
      <formula>1</formula>
    </cfRule>
  </conditionalFormatting>
  <conditionalFormatting sqref="J155:J178 M155:M178 P155:P178 S155:S178">
    <cfRule type="cellIs" priority="11" operator="greaterThan" dxfId="0">
      <formula>0</formula>
    </cfRule>
    <cfRule type="cellIs" priority="13" operator="equal" dxfId="0">
      <formula>1</formula>
    </cfRule>
  </conditionalFormatting>
  <conditionalFormatting sqref="J191:J214 M191:M214 P191:P214 S191:S214">
    <cfRule type="cellIs" priority="8" operator="greaterThan" dxfId="0">
      <formula>0</formula>
    </cfRule>
    <cfRule type="cellIs" priority="10" operator="equal" dxfId="0">
      <formula>1</formula>
    </cfRule>
  </conditionalFormatting>
  <conditionalFormatting sqref="J227:J250 M227:M250 P227:P250 S227:S250">
    <cfRule type="cellIs" priority="5" operator="greaterThan" dxfId="0">
      <formula>0</formula>
    </cfRule>
    <cfRule type="cellIs" priority="7" operator="equal" dxfId="0">
      <formula>1</formula>
    </cfRule>
  </conditionalFormatting>
  <conditionalFormatting sqref="J263:J286 M263:M286 P263:P286 S263:S286">
    <cfRule type="cellIs" priority="2" operator="greaterThan" dxfId="0">
      <formula>0</formula>
    </cfRule>
    <cfRule type="cellIs" priority="4" operator="equal" dxfId="0">
      <formula>1</formula>
    </cfRule>
  </conditionalFormatting>
  <conditionalFormatting sqref="U11:U34">
    <cfRule type="cellIs" priority="24" operator="greaterThan" dxfId="0">
      <formula>0</formula>
    </cfRule>
  </conditionalFormatting>
  <conditionalFormatting sqref="U47:U70">
    <cfRule type="cellIs" priority="21" operator="greaterThan" dxfId="0">
      <formula>0</formula>
    </cfRule>
  </conditionalFormatting>
  <conditionalFormatting sqref="U83:U106">
    <cfRule type="cellIs" priority="18" operator="greaterThan" dxfId="0">
      <formula>0</formula>
    </cfRule>
  </conditionalFormatting>
  <conditionalFormatting sqref="U119:U142">
    <cfRule type="cellIs" priority="15" operator="greaterThan" dxfId="0">
      <formula>0</formula>
    </cfRule>
  </conditionalFormatting>
  <conditionalFormatting sqref="U155:U178">
    <cfRule type="cellIs" priority="12" operator="greaterThan" dxfId="0">
      <formula>0</formula>
    </cfRule>
  </conditionalFormatting>
  <conditionalFormatting sqref="U191:U214">
    <cfRule type="cellIs" priority="9" operator="greaterThan" dxfId="0">
      <formula>0</formula>
    </cfRule>
  </conditionalFormatting>
  <conditionalFormatting sqref="U227:U250">
    <cfRule type="cellIs" priority="6" operator="greaterThan" dxfId="0">
      <formula>0</formula>
    </cfRule>
  </conditionalFormatting>
  <conditionalFormatting sqref="U263:U286">
    <cfRule type="cellIs" priority="3" operator="greaterThan" dxfId="0">
      <formula>0</formula>
    </cfRule>
  </conditionalFormatting>
  <conditionalFormatting sqref="AF11:AF33">
    <cfRule type="colorScale" priority="1">
      <colorScale>
        <cfvo type="min"/>
        <cfvo type="max"/>
        <color rgb="FFFFEF9C"/>
        <color rgb="FF63BE7B"/>
      </colorScale>
    </cfRule>
  </conditionalFormatting>
  <pageMargins left="0.7" right="0.7" top="0.75" bottom="0.75" header="0.3" footer="0.3"/>
  <legacyDrawing r:id="anysvml"/>
</worksheet>
</file>

<file path=xl/worksheets/sheet24.xml><?xml version="1.0" encoding="utf-8"?>
<worksheet xmlns:r="http://schemas.openxmlformats.org/officeDocument/2006/relationships" xmlns="http://schemas.openxmlformats.org/spreadsheetml/2006/main">
  <sheetPr codeName="Sheet22">
    <outlinePr summaryBelow="1" summaryRight="1"/>
    <pageSetUpPr/>
  </sheetPr>
  <dimension ref="B3:X63"/>
  <sheetViews>
    <sheetView topLeftCell="A33" workbookViewId="0">
      <selection activeCell="J22" sqref="J22"/>
    </sheetView>
  </sheetViews>
  <sheetFormatPr baseColWidth="8" defaultRowHeight="15"/>
  <cols>
    <col width="10.140625" bestFit="1" customWidth="1" min="24" max="24"/>
  </cols>
  <sheetData>
    <row r="3" ht="26.25" customHeight="1">
      <c r="B3" s="414" t="inlineStr">
        <is>
          <t>Used for Calculating 2015 to present CDB</t>
        </is>
      </c>
    </row>
    <row r="5">
      <c r="B5" t="inlineStr">
        <is>
          <t>https://www.canada.ca/en/revenue-agency/services/child-family-benefits/canada-child-benefit-overview/canada-child-benefit-ccb-calculation-sheet-july-2021-june-2022-payments-2020-tax-year.html</t>
        </is>
      </c>
    </row>
    <row r="8">
      <c r="W8" s="668" t="inlineStr">
        <is>
          <t>AFNI</t>
        </is>
      </c>
      <c r="X8" s="411" t="n">
        <v>75713</v>
      </c>
    </row>
    <row r="9">
      <c r="W9" s="668" t="inlineStr">
        <is>
          <t>Dependant Count</t>
        </is>
      </c>
      <c r="X9" s="412" t="n">
        <v>1</v>
      </c>
    </row>
    <row r="12">
      <c r="U12" t="inlineStr">
        <is>
          <t>Line 14</t>
        </is>
      </c>
      <c r="V12" t="inlineStr">
        <is>
          <t>2020 Year</t>
        </is>
      </c>
      <c r="W12" s="411" t="n">
        <v>2915</v>
      </c>
      <c r="X12" s="373">
        <f>W12*X9</f>
        <v/>
      </c>
    </row>
    <row r="13">
      <c r="X13" s="373" t="n"/>
    </row>
    <row r="14">
      <c r="V14" s="492" t="n"/>
      <c r="X14" s="373" t="n"/>
    </row>
    <row r="15">
      <c r="U15" t="inlineStr">
        <is>
          <t>Line 15</t>
        </is>
      </c>
      <c r="X15" s="373">
        <f>X8</f>
        <v/>
      </c>
    </row>
    <row r="16">
      <c r="V16" s="492" t="n"/>
      <c r="X16" s="373" t="n"/>
    </row>
    <row r="17">
      <c r="X17" s="373" t="n"/>
    </row>
    <row r="18">
      <c r="U18" t="inlineStr">
        <is>
          <t>Line 16</t>
        </is>
      </c>
      <c r="V18" t="inlineStr">
        <is>
          <t>Base Amount</t>
        </is>
      </c>
      <c r="X18" s="411" t="n">
        <v>69395</v>
      </c>
    </row>
    <row r="19">
      <c r="X19" s="373" t="n"/>
    </row>
    <row r="20">
      <c r="U20" t="inlineStr">
        <is>
          <t>Line 17</t>
        </is>
      </c>
      <c r="X20" s="373">
        <f>X15-X18</f>
        <v/>
      </c>
    </row>
    <row r="21">
      <c r="X21" s="373" t="n"/>
    </row>
    <row r="22">
      <c r="U22" t="inlineStr">
        <is>
          <t>Line 18</t>
        </is>
      </c>
      <c r="X22" s="373" t="n"/>
    </row>
    <row r="23">
      <c r="V23" s="407" t="n">
        <v>0.032</v>
      </c>
      <c r="X23" s="373">
        <f>IF(X9&lt;2,V23*X20,"")</f>
        <v/>
      </c>
    </row>
    <row r="24">
      <c r="V24" s="407" t="n">
        <v>0.057</v>
      </c>
      <c r="X24" s="373">
        <f>IF(X9&gt;1,V24*X20,"")</f>
        <v/>
      </c>
    </row>
    <row r="25">
      <c r="X25" s="373">
        <f>MAX(X23:X24)</f>
        <v/>
      </c>
    </row>
    <row r="26">
      <c r="X26" s="373" t="n"/>
    </row>
    <row r="27">
      <c r="X27" s="373" t="n"/>
    </row>
    <row r="28">
      <c r="X28" s="373" t="n"/>
    </row>
    <row r="29">
      <c r="U29" t="inlineStr">
        <is>
          <t>Line 19</t>
        </is>
      </c>
      <c r="X29" s="373">
        <f>IF(X12-X25&lt;0,0,X12-X25)</f>
        <v/>
      </c>
    </row>
    <row r="41" ht="26.25" customHeight="1">
      <c r="B41" s="414" t="inlineStr">
        <is>
          <t>Used for Calculating 2010 to 2014 CDB</t>
        </is>
      </c>
      <c r="J41" s="413" t="inlineStr">
        <is>
          <t>https://www.cchwebsites.com/content/pdf/tax_forms/ca/en/cctb2011.pdf</t>
        </is>
      </c>
    </row>
    <row r="42">
      <c r="W42" s="668" t="inlineStr">
        <is>
          <t>AFNI</t>
        </is>
      </c>
      <c r="X42" s="411" t="n">
        <v>146293</v>
      </c>
    </row>
    <row r="43">
      <c r="W43" s="668" t="inlineStr">
        <is>
          <t>Dependant Count</t>
        </is>
      </c>
      <c r="X43" s="412" t="n">
        <v>1</v>
      </c>
    </row>
    <row r="47">
      <c r="U47" t="inlineStr">
        <is>
          <t>Line 18</t>
        </is>
      </c>
      <c r="V47" t="inlineStr">
        <is>
          <t>2012 Year</t>
        </is>
      </c>
      <c r="W47" s="411" t="n">
        <v>2626</v>
      </c>
      <c r="X47" s="373">
        <f>W47*X43</f>
        <v/>
      </c>
    </row>
    <row r="48">
      <c r="X48" s="373" t="n"/>
    </row>
    <row r="49">
      <c r="X49" s="373" t="n"/>
    </row>
    <row r="50">
      <c r="U50" t="inlineStr">
        <is>
          <t>Line 19</t>
        </is>
      </c>
      <c r="X50" s="373">
        <f>X42</f>
        <v/>
      </c>
    </row>
    <row r="51">
      <c r="X51" s="373" t="n"/>
    </row>
    <row r="52">
      <c r="X52" s="373" t="n"/>
    </row>
    <row r="53">
      <c r="U53" t="inlineStr">
        <is>
          <t>Line 20</t>
        </is>
      </c>
      <c r="X53" s="411" t="n">
        <v>43561</v>
      </c>
    </row>
    <row r="54">
      <c r="X54" s="373" t="n"/>
    </row>
    <row r="55">
      <c r="X55" s="373" t="n"/>
    </row>
    <row r="56">
      <c r="U56" t="inlineStr">
        <is>
          <t>Line 21</t>
        </is>
      </c>
      <c r="X56" s="373">
        <f>IF(X50-X53&lt;0,0,X50-X53)</f>
        <v/>
      </c>
    </row>
    <row r="57">
      <c r="X57" s="373" t="n"/>
    </row>
    <row r="58">
      <c r="X58" s="373" t="n"/>
    </row>
    <row r="59">
      <c r="V59" s="410" t="n">
        <v>0.02</v>
      </c>
      <c r="X59" s="373">
        <f>IF(X43=1,0.02*X56,"")</f>
        <v/>
      </c>
    </row>
    <row r="60">
      <c r="V60" s="410" t="n">
        <v>0.04</v>
      </c>
      <c r="X60" s="373">
        <f>IF(X43&gt;1,0.04*X56,"")</f>
        <v/>
      </c>
    </row>
    <row r="61">
      <c r="U61" t="inlineStr">
        <is>
          <t>Line 22</t>
        </is>
      </c>
      <c r="X61" s="373">
        <f>MAX(X59:X60)</f>
        <v/>
      </c>
    </row>
    <row r="62">
      <c r="X62" s="373" t="n"/>
    </row>
    <row r="63">
      <c r="U63" t="inlineStr">
        <is>
          <t>Line 23</t>
        </is>
      </c>
      <c r="X63" s="373">
        <f>IF(X47-X61&lt;0,0,X47-X61)</f>
        <v/>
      </c>
    </row>
  </sheetData>
  <hyperlinks>
    <hyperlink ref="J41" r:id="rId1"/>
  </hyperlinks>
  <pageMargins left="0.7" right="0.7" top="0.75" bottom="0.75" header="0.3" footer="0.3"/>
</worksheet>
</file>

<file path=xl/worksheets/sheet25.xml><?xml version="1.0" encoding="utf-8"?>
<worksheet xmlns="http://schemas.openxmlformats.org/spreadsheetml/2006/main">
  <sheetPr codeName="Sheet23">
    <outlinePr summaryBelow="1" summaryRight="1"/>
    <pageSetUpPr/>
  </sheetPr>
  <dimension ref="A3:Q51"/>
  <sheetViews>
    <sheetView workbookViewId="0">
      <selection activeCell="J22" sqref="J22"/>
    </sheetView>
  </sheetViews>
  <sheetFormatPr baseColWidth="8" defaultRowHeight="15"/>
  <cols>
    <col width="18.5703125" bestFit="1" customWidth="1" min="2" max="2"/>
    <col width="14.28515625" bestFit="1" customWidth="1" min="3" max="3"/>
    <col width="2.5703125" customWidth="1" min="4" max="4"/>
    <col width="7.85546875" bestFit="1" customWidth="1" min="7" max="7"/>
  </cols>
  <sheetData>
    <row r="3">
      <c r="A3" t="n">
        <v>2014</v>
      </c>
      <c r="B3" t="inlineStr">
        <is>
          <t>Number of children</t>
        </is>
      </c>
      <c r="C3" t="inlineStr">
        <is>
          <t>Base threshold</t>
        </is>
      </c>
      <c r="M3" t="n">
        <v>2021</v>
      </c>
      <c r="N3" s="387" t="n">
        <v>2985</v>
      </c>
      <c r="O3" s="409">
        <f>(N3-N4)/N4</f>
        <v/>
      </c>
    </row>
    <row r="4">
      <c r="B4" t="n">
        <v>1</v>
      </c>
      <c r="C4" s="893" t="n">
        <v>44701</v>
      </c>
      <c r="E4" s="408">
        <f>(C4-C14)/C14</f>
        <v/>
      </c>
      <c r="G4" s="403">
        <f>(E24+E14+E4)/3</f>
        <v/>
      </c>
      <c r="H4" s="405" t="inlineStr">
        <is>
          <t>&lt;-- Average % change in bases by year</t>
        </is>
      </c>
      <c r="M4" t="n">
        <v>2020</v>
      </c>
      <c r="N4" s="387" t="n">
        <v>2915</v>
      </c>
      <c r="O4" s="409">
        <f>(N4-N5)/N5</f>
        <v/>
      </c>
    </row>
    <row r="5">
      <c r="B5" t="n">
        <v>2</v>
      </c>
      <c r="C5" s="893" t="n">
        <v>44695</v>
      </c>
      <c r="E5" s="408">
        <f>(C5-C15)/C15</f>
        <v/>
      </c>
      <c r="G5" s="403">
        <f>(E25+E15+E5)/3</f>
        <v/>
      </c>
      <c r="M5" t="n">
        <v>2019</v>
      </c>
      <c r="N5" s="387" t="n">
        <v>2886</v>
      </c>
      <c r="O5" s="409">
        <f>(N5-N6)/N6</f>
        <v/>
      </c>
      <c r="P5" s="408">
        <f>(SUM(O3:O13))/8</f>
        <v/>
      </c>
      <c r="Q5" s="405" t="inlineStr">
        <is>
          <t>&lt;--Average % change in Standard Benefit Amount by year</t>
        </is>
      </c>
    </row>
    <row r="6">
      <c r="B6" t="n">
        <v>3</v>
      </c>
      <c r="C6" s="893" t="n">
        <v>44678</v>
      </c>
      <c r="E6" s="408">
        <f>(C6-C16)/C16</f>
        <v/>
      </c>
      <c r="G6" s="403">
        <f>(E26+E16+E6)/3</f>
        <v/>
      </c>
      <c r="M6" t="n">
        <v>2018</v>
      </c>
      <c r="N6" s="387" t="n">
        <v>2832</v>
      </c>
      <c r="O6" s="409">
        <f>(N6-N7)/N7</f>
        <v/>
      </c>
    </row>
    <row r="7">
      <c r="B7" t="n">
        <v>4</v>
      </c>
      <c r="C7" s="893" t="n">
        <v>50438</v>
      </c>
      <c r="E7" s="408">
        <f>(C7-C17)/C17</f>
        <v/>
      </c>
      <c r="G7" s="403">
        <f>(E27+E17+E7)/3</f>
        <v/>
      </c>
      <c r="M7" t="n">
        <v>2017</v>
      </c>
      <c r="N7" s="387" t="n">
        <v>2771</v>
      </c>
      <c r="O7" s="409">
        <f>(N7-N8)/N8</f>
        <v/>
      </c>
    </row>
    <row r="8">
      <c r="B8" t="n">
        <v>5</v>
      </c>
      <c r="C8" s="893" t="n">
        <v>56198</v>
      </c>
      <c r="E8" s="408">
        <f>(C8-C18)/C18</f>
        <v/>
      </c>
      <c r="G8" s="403">
        <f>(E28+E18+E8)/3</f>
        <v/>
      </c>
      <c r="M8" t="n">
        <v>2016</v>
      </c>
      <c r="N8" s="387" t="n">
        <v>2730</v>
      </c>
      <c r="O8" s="409">
        <f>(N8-N9)/N9</f>
        <v/>
      </c>
    </row>
    <row r="9">
      <c r="B9" t="n">
        <v>6</v>
      </c>
      <c r="C9" s="893" t="n">
        <v>61958</v>
      </c>
      <c r="E9" s="408">
        <f>(C9-C19)/C19</f>
        <v/>
      </c>
      <c r="G9" s="403">
        <f>(E29+E19+E9)/3</f>
        <v/>
      </c>
      <c r="M9" t="n">
        <v>2015</v>
      </c>
      <c r="N9" s="387" t="n">
        <v>2730</v>
      </c>
      <c r="O9" s="409">
        <f>(N9-N10)/N10</f>
        <v/>
      </c>
    </row>
    <row r="10">
      <c r="B10" t="n">
        <v>7</v>
      </c>
      <c r="C10" s="893" t="n">
        <v>67717</v>
      </c>
      <c r="E10" s="408">
        <f>(C10-C20)/C20</f>
        <v/>
      </c>
      <c r="G10" s="403">
        <f>(E30+E20+E10)/3</f>
        <v/>
      </c>
      <c r="M10" t="n">
        <v>2014</v>
      </c>
      <c r="N10" s="387" t="n">
        <v>2695</v>
      </c>
      <c r="O10" s="409">
        <f>(N10-N11)/N11</f>
        <v/>
      </c>
    </row>
    <row r="11">
      <c r="B11" t="n">
        <v>8</v>
      </c>
      <c r="C11" s="893" t="n">
        <v>73477</v>
      </c>
      <c r="E11" s="408">
        <f>(C11-C21)/C21</f>
        <v/>
      </c>
      <c r="G11" s="403">
        <f>(E31+E21+E11)/3</f>
        <v/>
      </c>
      <c r="M11" t="n">
        <v>2013</v>
      </c>
      <c r="N11" s="387" t="n">
        <v>2650</v>
      </c>
      <c r="O11" s="409">
        <f>(N11-N12)/N12</f>
        <v/>
      </c>
    </row>
    <row r="12">
      <c r="E12" s="405" t="n"/>
      <c r="M12" t="n">
        <v>2012</v>
      </c>
      <c r="N12" s="387" t="n">
        <v>2626</v>
      </c>
      <c r="O12" s="409">
        <f>(N12-N13)/N13</f>
        <v/>
      </c>
    </row>
    <row r="13">
      <c r="A13" t="n">
        <v>2013</v>
      </c>
      <c r="B13" t="inlineStr">
        <is>
          <t>Number of children</t>
        </is>
      </c>
      <c r="C13" t="inlineStr">
        <is>
          <t>Base threshold</t>
        </is>
      </c>
      <c r="E13" s="405" t="n"/>
      <c r="M13" t="n">
        <v>2011</v>
      </c>
      <c r="N13" s="387" t="n">
        <v>2575</v>
      </c>
      <c r="O13" s="409">
        <f>(N13-N14)/N14</f>
        <v/>
      </c>
    </row>
    <row r="14">
      <c r="B14" t="n">
        <v>1</v>
      </c>
      <c r="C14" s="893" t="n">
        <v>43953</v>
      </c>
      <c r="E14" s="408">
        <f>(C14-C24)/C24</f>
        <v/>
      </c>
      <c r="M14" t="n">
        <v>2010</v>
      </c>
      <c r="N14" s="387" t="n">
        <v>2504</v>
      </c>
      <c r="O14" s="409" t="n"/>
    </row>
    <row r="15">
      <c r="B15" t="n">
        <v>2</v>
      </c>
      <c r="C15" s="893" t="n">
        <v>43945</v>
      </c>
      <c r="E15" s="408">
        <f>(C15-C25)/C25</f>
        <v/>
      </c>
    </row>
    <row r="16">
      <c r="B16" t="n">
        <v>3</v>
      </c>
      <c r="C16" s="893" t="n">
        <v>43929</v>
      </c>
      <c r="E16" s="408">
        <f>(C16-C26)/C26</f>
        <v/>
      </c>
    </row>
    <row r="17">
      <c r="B17" t="n">
        <v>4</v>
      </c>
      <c r="C17" s="893" t="n">
        <v>49593</v>
      </c>
      <c r="E17" s="408">
        <f>(C17-C27)/C27</f>
        <v/>
      </c>
    </row>
    <row r="18">
      <c r="B18" t="n">
        <v>5</v>
      </c>
      <c r="C18" s="893" t="n">
        <v>55257</v>
      </c>
      <c r="E18" s="408">
        <f>(C18-C28)/C28</f>
        <v/>
      </c>
    </row>
    <row r="19">
      <c r="B19" t="n">
        <v>6</v>
      </c>
      <c r="C19" s="893" t="n">
        <v>60920</v>
      </c>
      <c r="E19" s="408">
        <f>(C19-C29)/C29</f>
        <v/>
      </c>
    </row>
    <row r="20">
      <c r="B20" t="n">
        <v>7</v>
      </c>
      <c r="C20" s="893" t="n">
        <v>66584</v>
      </c>
      <c r="E20" s="408">
        <f>(C20-C30)/C30</f>
        <v/>
      </c>
    </row>
    <row r="21">
      <c r="B21" t="n">
        <v>8</v>
      </c>
      <c r="C21" s="893" t="n">
        <v>72248</v>
      </c>
      <c r="E21" s="408">
        <f>(C21-C31)/C31</f>
        <v/>
      </c>
    </row>
    <row r="22">
      <c r="E22" s="405" t="n"/>
    </row>
    <row r="23">
      <c r="A23" t="n">
        <v>2012</v>
      </c>
      <c r="B23" t="inlineStr">
        <is>
          <t>Number of children</t>
        </is>
      </c>
      <c r="C23" t="inlineStr">
        <is>
          <t>Base threshold</t>
        </is>
      </c>
      <c r="E23" s="405" t="n"/>
    </row>
    <row r="24">
      <c r="B24" t="n">
        <v>1</v>
      </c>
      <c r="C24" s="893" t="n">
        <v>43561</v>
      </c>
      <c r="E24" s="408">
        <f>(C24-C34)/C34</f>
        <v/>
      </c>
    </row>
    <row r="25">
      <c r="B25" t="n">
        <v>2</v>
      </c>
      <c r="C25" s="893" t="n">
        <v>43552</v>
      </c>
      <c r="E25" s="408">
        <f>(C25-C35)/C35</f>
        <v/>
      </c>
    </row>
    <row r="26">
      <c r="B26" t="n">
        <v>3</v>
      </c>
      <c r="C26" s="893" t="n">
        <v>43536</v>
      </c>
      <c r="E26" s="408">
        <f>(C26-C36)/C36</f>
        <v/>
      </c>
    </row>
    <row r="27">
      <c r="B27" t="n">
        <v>4</v>
      </c>
      <c r="C27" s="893" t="n">
        <v>48187</v>
      </c>
      <c r="E27" s="408">
        <f>(C27-C37)/C37</f>
        <v/>
      </c>
    </row>
    <row r="28">
      <c r="B28" t="n">
        <v>5</v>
      </c>
      <c r="C28" s="893" t="n">
        <v>49149</v>
      </c>
      <c r="E28" s="408">
        <f>(C28-C38)/C38</f>
        <v/>
      </c>
    </row>
    <row r="29">
      <c r="B29" t="n">
        <v>6</v>
      </c>
      <c r="C29" s="893" t="n">
        <v>60374</v>
      </c>
      <c r="E29" s="408">
        <f>(C29-C39)/C39</f>
        <v/>
      </c>
    </row>
    <row r="30">
      <c r="B30" t="n">
        <v>7</v>
      </c>
      <c r="C30" s="893" t="n">
        <v>65987</v>
      </c>
      <c r="E30" s="408">
        <f>(C30-C40)/C40</f>
        <v/>
      </c>
    </row>
    <row r="31">
      <c r="B31" t="n">
        <v>8</v>
      </c>
      <c r="C31" s="893" t="n">
        <v>71599</v>
      </c>
      <c r="E31" s="408">
        <f>(C31-C41)/C41</f>
        <v/>
      </c>
    </row>
    <row r="32">
      <c r="E32" s="405" t="n"/>
    </row>
    <row r="33">
      <c r="A33" t="n">
        <v>2011</v>
      </c>
      <c r="B33" t="inlineStr">
        <is>
          <t>Number of children</t>
        </is>
      </c>
      <c r="C33" t="inlineStr">
        <is>
          <t>Base threshold</t>
        </is>
      </c>
      <c r="E33" s="405" t="n"/>
    </row>
    <row r="34">
      <c r="B34" t="n">
        <v>1</v>
      </c>
      <c r="C34" s="893" t="n">
        <v>42707</v>
      </c>
      <c r="E34" s="408">
        <f>(C34-C44)/C44</f>
        <v/>
      </c>
      <c r="H34" t="inlineStr">
        <is>
          <t>For info on Calculation of CDB in 2011, please refer to this link: https://www.cchwebsites.com/content/pdf/tax_forms/ca/en/cctb2011.pdf</t>
        </is>
      </c>
    </row>
    <row r="35">
      <c r="B35" t="n">
        <v>2</v>
      </c>
      <c r="C35" s="893" t="n">
        <v>42702</v>
      </c>
      <c r="E35" s="408">
        <f>(C35-C45)/C45</f>
        <v/>
      </c>
      <c r="G35" s="407">
        <f>(C34-C35)/C35</f>
        <v/>
      </c>
      <c r="H35" s="894">
        <f>(C35-C34)/C34</f>
        <v/>
      </c>
    </row>
    <row r="36">
      <c r="B36" t="n">
        <v>3</v>
      </c>
      <c r="C36" s="893" t="n">
        <v>42686</v>
      </c>
      <c r="E36" s="408">
        <f>(C36-C46)/C46</f>
        <v/>
      </c>
      <c r="G36" s="407">
        <f>(C35-C36)/C36</f>
        <v/>
      </c>
      <c r="H36" s="894">
        <f>(C36-C35)/C35</f>
        <v/>
      </c>
    </row>
    <row r="37">
      <c r="B37" t="n">
        <v>4</v>
      </c>
      <c r="C37" s="893" t="n">
        <v>48187</v>
      </c>
      <c r="E37" s="408">
        <f>(C37-C47)/C47</f>
        <v/>
      </c>
      <c r="G37" s="407">
        <f>(C36-C37)/C37</f>
        <v/>
      </c>
      <c r="H37" s="894">
        <f>(C37-C36)/C36</f>
        <v/>
      </c>
    </row>
    <row r="38">
      <c r="B38" t="n">
        <v>5</v>
      </c>
      <c r="C38" s="893" t="n">
        <v>53689</v>
      </c>
      <c r="E38" s="408">
        <f>(C38-C48)/C48</f>
        <v/>
      </c>
      <c r="G38" s="407">
        <f>(C37-C38)/C38</f>
        <v/>
      </c>
      <c r="H38" s="894">
        <f>(C38-C37)/C37</f>
        <v/>
      </c>
    </row>
    <row r="39">
      <c r="B39" t="n">
        <v>6</v>
      </c>
      <c r="C39" s="893" t="n">
        <v>59190</v>
      </c>
      <c r="E39" s="408">
        <f>(C39-C49)/C49</f>
        <v/>
      </c>
      <c r="G39" s="407">
        <f>(C38-C39)/C39</f>
        <v/>
      </c>
      <c r="H39" s="894">
        <f>(C39-C38)/C38</f>
        <v/>
      </c>
    </row>
    <row r="40">
      <c r="B40" t="n">
        <v>7</v>
      </c>
      <c r="C40" s="893" t="n">
        <v>64692</v>
      </c>
      <c r="E40" s="408">
        <f>(C40-C50)/C50</f>
        <v/>
      </c>
      <c r="G40" s="407">
        <f>(C39-C40)/C40</f>
        <v/>
      </c>
      <c r="H40" s="894">
        <f>(C40-C39)/C39</f>
        <v/>
      </c>
    </row>
    <row r="41">
      <c r="B41" t="n">
        <v>8</v>
      </c>
      <c r="C41" s="893" t="n">
        <v>70193</v>
      </c>
      <c r="E41" s="408">
        <f>(C41-C51)/C51</f>
        <v/>
      </c>
      <c r="G41" s="407">
        <f>(C40-C41)/C41</f>
        <v/>
      </c>
      <c r="H41" s="894">
        <f>(C41-C40)/C40</f>
        <v/>
      </c>
    </row>
    <row r="42">
      <c r="E42" s="405" t="n"/>
    </row>
    <row r="43">
      <c r="A43" t="n">
        <v>2010</v>
      </c>
      <c r="B43" t="inlineStr">
        <is>
          <t>Number of children</t>
        </is>
      </c>
      <c r="C43" t="inlineStr">
        <is>
          <t>Base threshold</t>
        </is>
      </c>
      <c r="E43" s="405" t="n"/>
    </row>
    <row r="44">
      <c r="B44" t="n">
        <v>1</v>
      </c>
      <c r="C44" s="893" t="n">
        <v>40970</v>
      </c>
      <c r="E44" s="403" t="n"/>
    </row>
    <row r="45">
      <c r="B45" t="n">
        <v>2</v>
      </c>
      <c r="C45" s="893" t="n">
        <v>40965.20336244644</v>
      </c>
      <c r="E45" s="403" t="n"/>
    </row>
    <row r="46">
      <c r="B46" t="n">
        <v>3</v>
      </c>
      <c r="C46" s="893" t="n">
        <v>40949.85412227504</v>
      </c>
      <c r="E46" s="403" t="n"/>
    </row>
    <row r="47">
      <c r="B47" t="n">
        <v>4</v>
      </c>
      <c r="C47" s="893" t="n">
        <v>46227.11475870466</v>
      </c>
      <c r="E47" s="403" t="n"/>
    </row>
    <row r="48">
      <c r="B48" t="n">
        <v>5</v>
      </c>
      <c r="C48" s="893" t="n">
        <v>51505.334722645</v>
      </c>
      <c r="E48" s="403" t="n"/>
    </row>
    <row r="49">
      <c r="B49" t="n">
        <v>6</v>
      </c>
      <c r="C49" s="893" t="n">
        <v>56782.59535907462</v>
      </c>
      <c r="E49" s="403" t="n"/>
    </row>
    <row r="50">
      <c r="B50" t="n">
        <v>7</v>
      </c>
      <c r="C50" s="893" t="n">
        <v>62060.81532301495</v>
      </c>
      <c r="E50" s="403" t="n"/>
    </row>
    <row r="51">
      <c r="B51" t="n">
        <v>8</v>
      </c>
      <c r="C51" s="893" t="n">
        <v>67338.07595944458</v>
      </c>
      <c r="E51" s="403" t="n"/>
    </row>
  </sheetData>
  <pageMargins left="0.7" right="0.7" top="0.75" bottom="0.75" header="0.3" footer="0.3"/>
  <pageSetup orientation="portrait"/>
</worksheet>
</file>

<file path=xl/worksheets/sheet26.xml><?xml version="1.0" encoding="utf-8"?>
<worksheet xmlns="http://schemas.openxmlformats.org/spreadsheetml/2006/main">
  <sheetPr codeName="Sheet24">
    <outlinePr summaryBelow="1" summaryRight="1"/>
    <pageSetUpPr/>
  </sheetPr>
  <dimension ref="B7:J63"/>
  <sheetViews>
    <sheetView workbookViewId="0">
      <selection activeCell="J22" sqref="J22"/>
    </sheetView>
  </sheetViews>
  <sheetFormatPr baseColWidth="8" defaultRowHeight="15"/>
  <cols>
    <col width="4.140625" customWidth="1" min="1" max="1"/>
    <col width="16.85546875" bestFit="1" customWidth="1" style="492" min="2" max="2"/>
    <col width="5.5703125" bestFit="1" customWidth="1" min="3" max="3"/>
    <col width="7" bestFit="1" customWidth="1" min="4" max="4"/>
    <col width="7.42578125" customWidth="1" style="492" min="5" max="5"/>
    <col width="7.140625" bestFit="1" customWidth="1" style="492" min="6" max="6"/>
    <col width="8.7109375" customWidth="1" style="492" min="8" max="8"/>
    <col width="16" bestFit="1" customWidth="1" min="9" max="9"/>
  </cols>
  <sheetData>
    <row r="7">
      <c r="G7" s="378" t="inlineStr">
        <is>
          <t>Base Amount</t>
        </is>
      </c>
      <c r="H7" s="750" t="n"/>
      <c r="I7" s="492" t="n"/>
    </row>
    <row r="8">
      <c r="B8" s="378" t="inlineStr">
        <is>
          <t>Base Year (Tax Yr)</t>
        </is>
      </c>
      <c r="C8" s="378" t="inlineStr">
        <is>
          <t>Payment Period</t>
        </is>
      </c>
      <c r="D8" s="91" t="n"/>
      <c r="E8" s="91" t="n"/>
      <c r="F8" s="750" t="n"/>
      <c r="G8" s="378" t="inlineStr">
        <is>
          <t>Low</t>
        </is>
      </c>
      <c r="H8" s="378" t="inlineStr">
        <is>
          <t>High</t>
        </is>
      </c>
      <c r="I8" s="378" t="inlineStr">
        <is>
          <t>Standard Benefit</t>
        </is>
      </c>
    </row>
    <row r="9">
      <c r="B9" s="400" t="n">
        <v>2056</v>
      </c>
      <c r="C9" s="399" t="inlineStr">
        <is>
          <t>July</t>
        </is>
      </c>
      <c r="D9" s="484" t="n">
        <v>2057</v>
      </c>
      <c r="E9" s="484" t="inlineStr">
        <is>
          <t>June</t>
        </is>
      </c>
      <c r="F9" s="484" t="n">
        <v>2058</v>
      </c>
      <c r="G9" s="387" t="n"/>
      <c r="H9" s="400" t="n"/>
      <c r="I9" s="400" t="n"/>
    </row>
    <row r="10">
      <c r="B10" s="400" t="n">
        <v>2055</v>
      </c>
      <c r="C10" s="399" t="inlineStr">
        <is>
          <t>July</t>
        </is>
      </c>
      <c r="D10" s="484" t="n">
        <v>2056</v>
      </c>
      <c r="E10" s="484" t="inlineStr">
        <is>
          <t>June</t>
        </is>
      </c>
      <c r="F10" s="484" t="n">
        <v>2057</v>
      </c>
      <c r="G10" s="387" t="n"/>
      <c r="H10" s="400" t="n"/>
      <c r="I10" s="400" t="n"/>
    </row>
    <row r="11">
      <c r="B11" s="400" t="n">
        <v>2054</v>
      </c>
      <c r="C11" s="399" t="inlineStr">
        <is>
          <t>July</t>
        </is>
      </c>
      <c r="D11" s="484" t="n">
        <v>2055</v>
      </c>
      <c r="E11" s="484" t="inlineStr">
        <is>
          <t>June</t>
        </is>
      </c>
      <c r="F11" s="484" t="n">
        <v>2056</v>
      </c>
      <c r="G11" s="387" t="n"/>
      <c r="H11" s="400" t="n"/>
      <c r="I11" s="400" t="n"/>
    </row>
    <row r="12">
      <c r="B12" s="400" t="n">
        <v>2053</v>
      </c>
      <c r="C12" s="399" t="inlineStr">
        <is>
          <t>July</t>
        </is>
      </c>
      <c r="D12" s="484" t="n">
        <v>2054</v>
      </c>
      <c r="E12" s="484" t="inlineStr">
        <is>
          <t>June</t>
        </is>
      </c>
      <c r="F12" s="484" t="n">
        <v>2055</v>
      </c>
      <c r="G12" s="387" t="n"/>
      <c r="H12" s="400" t="n"/>
      <c r="I12" s="400" t="n"/>
    </row>
    <row r="13">
      <c r="B13" s="400" t="n">
        <v>2052</v>
      </c>
      <c r="C13" s="399" t="inlineStr">
        <is>
          <t>July</t>
        </is>
      </c>
      <c r="D13" s="484" t="n">
        <v>2053</v>
      </c>
      <c r="E13" s="484" t="inlineStr">
        <is>
          <t>June</t>
        </is>
      </c>
      <c r="F13" s="484" t="n">
        <v>2054</v>
      </c>
      <c r="G13" s="387" t="n"/>
      <c r="H13" s="400" t="n"/>
      <c r="I13" s="400" t="n"/>
    </row>
    <row r="14">
      <c r="B14" s="400" t="n">
        <v>2051</v>
      </c>
      <c r="C14" s="399" t="inlineStr">
        <is>
          <t>July</t>
        </is>
      </c>
      <c r="D14" s="484" t="n">
        <v>2052</v>
      </c>
      <c r="E14" s="484" t="inlineStr">
        <is>
          <t>June</t>
        </is>
      </c>
      <c r="F14" s="484" t="n">
        <v>2053</v>
      </c>
      <c r="G14" s="387" t="n"/>
      <c r="H14" s="400" t="n"/>
      <c r="I14" s="400" t="n"/>
    </row>
    <row r="15">
      <c r="B15" s="400" t="n">
        <v>2050</v>
      </c>
      <c r="C15" s="399" t="inlineStr">
        <is>
          <t>July</t>
        </is>
      </c>
      <c r="D15" s="484" t="n">
        <v>2051</v>
      </c>
      <c r="E15" s="484" t="inlineStr">
        <is>
          <t>June</t>
        </is>
      </c>
      <c r="F15" s="484" t="n">
        <v>2052</v>
      </c>
      <c r="G15" s="387" t="n"/>
      <c r="H15" s="400" t="n"/>
      <c r="I15" s="400" t="n"/>
    </row>
    <row r="16">
      <c r="B16" s="400" t="n">
        <v>2049</v>
      </c>
      <c r="C16" s="399" t="inlineStr">
        <is>
          <t>July</t>
        </is>
      </c>
      <c r="D16" s="484" t="n">
        <v>2050</v>
      </c>
      <c r="E16" s="484" t="inlineStr">
        <is>
          <t>June</t>
        </is>
      </c>
      <c r="F16" s="484" t="n">
        <v>2051</v>
      </c>
      <c r="G16" s="387" t="n"/>
      <c r="H16" s="400" t="n"/>
      <c r="I16" s="400" t="n"/>
    </row>
    <row r="17">
      <c r="B17" s="400" t="n">
        <v>2048</v>
      </c>
      <c r="C17" s="399" t="inlineStr">
        <is>
          <t>July</t>
        </is>
      </c>
      <c r="D17" s="484" t="n">
        <v>2049</v>
      </c>
      <c r="E17" s="484" t="inlineStr">
        <is>
          <t>June</t>
        </is>
      </c>
      <c r="F17" s="484" t="n">
        <v>2050</v>
      </c>
      <c r="G17" s="387" t="n"/>
      <c r="H17" s="400" t="n"/>
      <c r="I17" s="400" t="n"/>
    </row>
    <row r="18">
      <c r="B18" s="400" t="n">
        <v>2047</v>
      </c>
      <c r="C18" s="399" t="inlineStr">
        <is>
          <t>July</t>
        </is>
      </c>
      <c r="D18" s="484" t="n">
        <v>2048</v>
      </c>
      <c r="E18" s="484" t="inlineStr">
        <is>
          <t>June</t>
        </is>
      </c>
      <c r="F18" s="484" t="n">
        <v>2049</v>
      </c>
      <c r="G18" s="387" t="n"/>
      <c r="H18" s="400" t="n"/>
      <c r="I18" s="400" t="n"/>
    </row>
    <row r="19">
      <c r="B19" s="400" t="n">
        <v>2046</v>
      </c>
      <c r="C19" s="399" t="inlineStr">
        <is>
          <t>July</t>
        </is>
      </c>
      <c r="D19" s="484" t="n">
        <v>2047</v>
      </c>
      <c r="E19" s="484" t="inlineStr">
        <is>
          <t>June</t>
        </is>
      </c>
      <c r="F19" s="484" t="n">
        <v>2048</v>
      </c>
      <c r="G19" s="387" t="n"/>
      <c r="H19" s="400" t="n"/>
      <c r="I19" s="400" t="n"/>
    </row>
    <row r="20">
      <c r="B20" s="400" t="n">
        <v>2045</v>
      </c>
      <c r="C20" s="399" t="inlineStr">
        <is>
          <t>July</t>
        </is>
      </c>
      <c r="D20" s="484" t="n">
        <v>2046</v>
      </c>
      <c r="E20" s="484" t="inlineStr">
        <is>
          <t>June</t>
        </is>
      </c>
      <c r="F20" s="484" t="n">
        <v>2047</v>
      </c>
      <c r="G20" s="387" t="n"/>
      <c r="H20" s="400" t="n"/>
      <c r="I20" s="400" t="n"/>
    </row>
    <row r="21">
      <c r="B21" s="400" t="n">
        <v>2044</v>
      </c>
      <c r="C21" s="399" t="inlineStr">
        <is>
          <t>July</t>
        </is>
      </c>
      <c r="D21" s="484" t="n">
        <v>2045</v>
      </c>
      <c r="E21" s="484" t="inlineStr">
        <is>
          <t>June</t>
        </is>
      </c>
      <c r="F21" s="484" t="n">
        <v>2046</v>
      </c>
      <c r="G21" s="387" t="n"/>
      <c r="H21" s="400" t="n"/>
      <c r="I21" s="400" t="n"/>
    </row>
    <row r="22">
      <c r="B22" s="400" t="n">
        <v>2043</v>
      </c>
      <c r="C22" s="399" t="inlineStr">
        <is>
          <t>July</t>
        </is>
      </c>
      <c r="D22" s="484" t="n">
        <v>2044</v>
      </c>
      <c r="E22" s="484" t="inlineStr">
        <is>
          <t>June</t>
        </is>
      </c>
      <c r="F22" s="484" t="n">
        <v>2045</v>
      </c>
      <c r="G22" s="387" t="n"/>
      <c r="H22" s="400" t="n"/>
      <c r="I22" s="400" t="n"/>
    </row>
    <row r="23">
      <c r="B23" s="400" t="n">
        <v>2042</v>
      </c>
      <c r="C23" s="399" t="inlineStr">
        <is>
          <t>July</t>
        </is>
      </c>
      <c r="D23" s="484" t="n">
        <v>2043</v>
      </c>
      <c r="E23" s="484" t="inlineStr">
        <is>
          <t>June</t>
        </is>
      </c>
      <c r="F23" s="484" t="n">
        <v>2044</v>
      </c>
      <c r="G23" s="387" t="n"/>
      <c r="H23" s="400" t="n"/>
      <c r="I23" s="400" t="n"/>
    </row>
    <row r="24">
      <c r="B24" s="400" t="n">
        <v>2041</v>
      </c>
      <c r="C24" s="399" t="inlineStr">
        <is>
          <t>July</t>
        </is>
      </c>
      <c r="D24" s="484" t="n">
        <v>2042</v>
      </c>
      <c r="E24" s="484" t="inlineStr">
        <is>
          <t>June</t>
        </is>
      </c>
      <c r="F24" s="484" t="n">
        <v>2043</v>
      </c>
      <c r="G24" s="387" t="n"/>
      <c r="H24" s="400" t="n"/>
      <c r="I24" s="400" t="n"/>
    </row>
    <row r="25">
      <c r="B25" s="400" t="n">
        <v>2040</v>
      </c>
      <c r="C25" s="399" t="inlineStr">
        <is>
          <t>July</t>
        </is>
      </c>
      <c r="D25" s="484" t="n">
        <v>2041</v>
      </c>
      <c r="E25" s="484" t="inlineStr">
        <is>
          <t>June</t>
        </is>
      </c>
      <c r="F25" s="484" t="n">
        <v>2042</v>
      </c>
      <c r="G25" s="387" t="n"/>
      <c r="H25" s="400" t="n"/>
      <c r="I25" s="400" t="n"/>
    </row>
    <row r="26">
      <c r="B26" s="400" t="n">
        <v>2039</v>
      </c>
      <c r="C26" s="399" t="inlineStr">
        <is>
          <t>July</t>
        </is>
      </c>
      <c r="D26" s="484" t="n">
        <v>2040</v>
      </c>
      <c r="E26" s="484" t="inlineStr">
        <is>
          <t>June</t>
        </is>
      </c>
      <c r="F26" s="484" t="n">
        <v>2041</v>
      </c>
      <c r="G26" s="387" t="n"/>
      <c r="H26" s="400" t="n"/>
      <c r="I26" s="400" t="n"/>
    </row>
    <row r="27">
      <c r="B27" s="400" t="n">
        <v>2038</v>
      </c>
      <c r="C27" s="399" t="inlineStr">
        <is>
          <t>July</t>
        </is>
      </c>
      <c r="D27" s="484" t="n">
        <v>2039</v>
      </c>
      <c r="E27" s="484" t="inlineStr">
        <is>
          <t>June</t>
        </is>
      </c>
      <c r="F27" s="484" t="n">
        <v>2040</v>
      </c>
      <c r="G27" s="387" t="n"/>
      <c r="H27" s="400" t="n"/>
      <c r="I27" s="400" t="n"/>
    </row>
    <row r="28">
      <c r="B28" s="400" t="n">
        <v>2037</v>
      </c>
      <c r="C28" s="399" t="inlineStr">
        <is>
          <t>July</t>
        </is>
      </c>
      <c r="D28" s="484" t="n">
        <v>2038</v>
      </c>
      <c r="E28" s="484" t="inlineStr">
        <is>
          <t>June</t>
        </is>
      </c>
      <c r="F28" s="484" t="n">
        <v>2039</v>
      </c>
      <c r="G28" s="387" t="n"/>
      <c r="H28" s="400" t="n"/>
      <c r="I28" s="400" t="n"/>
    </row>
    <row r="29">
      <c r="B29" s="400" t="n">
        <v>2036</v>
      </c>
      <c r="C29" s="399" t="inlineStr">
        <is>
          <t>July</t>
        </is>
      </c>
      <c r="D29" s="484" t="n">
        <v>2037</v>
      </c>
      <c r="E29" s="484" t="inlineStr">
        <is>
          <t>June</t>
        </is>
      </c>
      <c r="F29" s="484" t="n">
        <v>2038</v>
      </c>
      <c r="G29" s="387" t="n"/>
      <c r="H29" s="400" t="n"/>
      <c r="I29" s="400" t="n"/>
    </row>
    <row r="30">
      <c r="B30" s="400" t="n">
        <v>2035</v>
      </c>
      <c r="C30" s="399" t="inlineStr">
        <is>
          <t>July</t>
        </is>
      </c>
      <c r="D30" s="484" t="n">
        <v>2036</v>
      </c>
      <c r="E30" s="484" t="inlineStr">
        <is>
          <t>June</t>
        </is>
      </c>
      <c r="F30" s="484" t="n">
        <v>2037</v>
      </c>
      <c r="G30" s="387" t="n"/>
      <c r="H30" s="400" t="n"/>
      <c r="I30" s="400" t="n"/>
    </row>
    <row r="31">
      <c r="B31" s="400" t="n">
        <v>2034</v>
      </c>
      <c r="C31" s="399" t="inlineStr">
        <is>
          <t>July</t>
        </is>
      </c>
      <c r="D31" s="484" t="n">
        <v>2035</v>
      </c>
      <c r="E31" s="484" t="inlineStr">
        <is>
          <t>June</t>
        </is>
      </c>
      <c r="F31" s="484" t="n">
        <v>2036</v>
      </c>
      <c r="G31" s="387" t="n"/>
      <c r="H31" s="400" t="n"/>
      <c r="I31" s="400" t="n"/>
    </row>
    <row r="32">
      <c r="B32" s="400" t="n">
        <v>2033</v>
      </c>
      <c r="C32" s="399" t="inlineStr">
        <is>
          <t>July</t>
        </is>
      </c>
      <c r="D32" s="484" t="n">
        <v>2034</v>
      </c>
      <c r="E32" s="484" t="inlineStr">
        <is>
          <t>June</t>
        </is>
      </c>
      <c r="F32" s="484" t="n">
        <v>2035</v>
      </c>
      <c r="G32" s="387" t="n"/>
      <c r="H32" s="400" t="n"/>
      <c r="I32" s="400" t="n"/>
    </row>
    <row r="33">
      <c r="B33" s="400" t="n">
        <v>2032</v>
      </c>
      <c r="C33" s="399" t="inlineStr">
        <is>
          <t>July</t>
        </is>
      </c>
      <c r="D33" s="484" t="n">
        <v>2033</v>
      </c>
      <c r="E33" s="484" t="inlineStr">
        <is>
          <t>June</t>
        </is>
      </c>
      <c r="F33" s="484" t="n">
        <v>2034</v>
      </c>
      <c r="G33" s="387" t="n"/>
      <c r="H33" s="484" t="n"/>
      <c r="I33" s="375" t="n"/>
    </row>
    <row r="34">
      <c r="B34" s="400" t="n">
        <v>2031</v>
      </c>
      <c r="C34" s="399" t="inlineStr">
        <is>
          <t>July</t>
        </is>
      </c>
      <c r="D34" s="484" t="n">
        <v>2032</v>
      </c>
      <c r="E34" s="484" t="inlineStr">
        <is>
          <t>June</t>
        </is>
      </c>
      <c r="F34" s="484" t="n">
        <v>2033</v>
      </c>
      <c r="G34" s="387" t="n"/>
      <c r="H34" s="484" t="n"/>
      <c r="I34" s="375" t="n"/>
    </row>
    <row r="35">
      <c r="B35" s="400" t="n">
        <v>2030</v>
      </c>
      <c r="C35" s="399" t="inlineStr">
        <is>
          <t>July</t>
        </is>
      </c>
      <c r="D35" s="484" t="n">
        <v>2031</v>
      </c>
      <c r="E35" s="484" t="inlineStr">
        <is>
          <t>June</t>
        </is>
      </c>
      <c r="F35" s="484" t="n">
        <v>2032</v>
      </c>
      <c r="G35" s="387" t="n"/>
      <c r="H35" s="484" t="n"/>
      <c r="I35" s="375" t="n"/>
    </row>
    <row r="36">
      <c r="B36" s="400" t="n">
        <v>2029</v>
      </c>
      <c r="C36" s="399" t="inlineStr">
        <is>
          <t>July</t>
        </is>
      </c>
      <c r="D36" s="484" t="n">
        <v>2030</v>
      </c>
      <c r="E36" s="484" t="inlineStr">
        <is>
          <t>June</t>
        </is>
      </c>
      <c r="F36" s="484" t="n">
        <v>2031</v>
      </c>
      <c r="G36" s="387" t="n"/>
      <c r="H36" s="484" t="n"/>
      <c r="I36" s="375" t="n"/>
    </row>
    <row r="37">
      <c r="B37" s="400" t="n">
        <v>2028</v>
      </c>
      <c r="C37" s="399" t="inlineStr">
        <is>
          <t>July</t>
        </is>
      </c>
      <c r="D37" s="484" t="n">
        <v>2029</v>
      </c>
      <c r="E37" s="484" t="inlineStr">
        <is>
          <t>June</t>
        </is>
      </c>
      <c r="F37" s="484" t="n">
        <v>2030</v>
      </c>
      <c r="G37" s="387" t="n"/>
      <c r="H37" s="484" t="n"/>
      <c r="I37" s="375" t="n"/>
    </row>
    <row r="38">
      <c r="B38" s="400" t="n">
        <v>2027</v>
      </c>
      <c r="C38" s="399" t="inlineStr">
        <is>
          <t>July</t>
        </is>
      </c>
      <c r="D38" s="484" t="n">
        <v>2028</v>
      </c>
      <c r="E38" s="484" t="inlineStr">
        <is>
          <t>June</t>
        </is>
      </c>
      <c r="F38" s="484" t="n">
        <v>2029</v>
      </c>
      <c r="G38" s="387" t="n"/>
      <c r="H38" s="484" t="n"/>
      <c r="I38" s="375" t="n"/>
    </row>
    <row r="39">
      <c r="B39" s="400" t="n">
        <v>2026</v>
      </c>
      <c r="C39" s="399" t="inlineStr">
        <is>
          <t>July</t>
        </is>
      </c>
      <c r="D39" s="484" t="n">
        <v>2027</v>
      </c>
      <c r="E39" s="484" t="inlineStr">
        <is>
          <t>June</t>
        </is>
      </c>
      <c r="F39" s="484" t="n">
        <v>2028</v>
      </c>
      <c r="G39" s="387" t="n"/>
      <c r="H39" s="484" t="n"/>
      <c r="I39" s="375" t="n"/>
    </row>
    <row r="40">
      <c r="B40" s="400" t="n">
        <v>2025</v>
      </c>
      <c r="C40" s="399" t="inlineStr">
        <is>
          <t>July</t>
        </is>
      </c>
      <c r="D40" s="484" t="n">
        <v>2026</v>
      </c>
      <c r="E40" s="484" t="inlineStr">
        <is>
          <t>June</t>
        </is>
      </c>
      <c r="F40" s="484" t="n">
        <v>2027</v>
      </c>
      <c r="G40" s="387" t="n"/>
      <c r="H40" s="484" t="n"/>
      <c r="I40" s="375" t="n"/>
    </row>
    <row r="41">
      <c r="B41" s="400" t="n">
        <v>2024</v>
      </c>
      <c r="C41" s="399" t="inlineStr">
        <is>
          <t>July</t>
        </is>
      </c>
      <c r="D41" s="484" t="n">
        <v>2025</v>
      </c>
      <c r="E41" s="484" t="inlineStr">
        <is>
          <t>June</t>
        </is>
      </c>
      <c r="F41" s="484" t="n">
        <v>2026</v>
      </c>
      <c r="G41" s="387" t="n"/>
      <c r="H41" s="484" t="n"/>
      <c r="I41" s="375" t="n"/>
    </row>
    <row r="42">
      <c r="B42" s="400" t="n">
        <v>2023</v>
      </c>
      <c r="C42" s="399" t="inlineStr">
        <is>
          <t>July</t>
        </is>
      </c>
      <c r="D42" s="484" t="n">
        <v>2024</v>
      </c>
      <c r="E42" s="484" t="inlineStr">
        <is>
          <t>June</t>
        </is>
      </c>
      <c r="F42" s="484" t="n">
        <v>2025</v>
      </c>
      <c r="G42" s="387" t="n"/>
      <c r="H42" s="484" t="n">
        <v>75000</v>
      </c>
      <c r="I42" s="484" t="n">
        <v>3322</v>
      </c>
    </row>
    <row r="43">
      <c r="B43" s="400" t="n">
        <v>2022</v>
      </c>
      <c r="C43" s="399" t="inlineStr">
        <is>
          <t>July</t>
        </is>
      </c>
      <c r="D43" s="484" t="n">
        <v>2023</v>
      </c>
      <c r="E43" s="484" t="inlineStr">
        <is>
          <t>June</t>
        </is>
      </c>
      <c r="F43" s="484" t="n">
        <v>2024</v>
      </c>
      <c r="G43" s="387" t="n">
        <v>34863</v>
      </c>
      <c r="H43" s="895" t="n">
        <v>75537</v>
      </c>
      <c r="I43" s="895" t="n">
        <v>3173</v>
      </c>
    </row>
    <row r="44">
      <c r="B44" s="400" t="n">
        <v>2021</v>
      </c>
      <c r="C44" s="399" t="inlineStr">
        <is>
          <t>July</t>
        </is>
      </c>
      <c r="D44" s="484" t="n">
        <v>2022</v>
      </c>
      <c r="E44" s="484" t="inlineStr">
        <is>
          <t>June</t>
        </is>
      </c>
      <c r="F44" s="484" t="n">
        <v>2023</v>
      </c>
      <c r="H44" s="896" t="n">
        <v>71060</v>
      </c>
      <c r="I44" s="896" t="n">
        <v>2985</v>
      </c>
    </row>
    <row r="45">
      <c r="B45" s="400" t="n">
        <v>2020</v>
      </c>
      <c r="C45" s="399" t="inlineStr">
        <is>
          <t>July</t>
        </is>
      </c>
      <c r="D45" s="484" t="n">
        <v>2021</v>
      </c>
      <c r="E45" s="484" t="inlineStr">
        <is>
          <t xml:space="preserve">June </t>
        </is>
      </c>
      <c r="F45" s="484" t="n">
        <v>2022</v>
      </c>
      <c r="G45" s="398" t="n"/>
      <c r="H45" s="387" t="n">
        <v>69395</v>
      </c>
      <c r="I45" s="387" t="n">
        <v>2915</v>
      </c>
    </row>
    <row r="46">
      <c r="B46" s="400" t="n">
        <v>2019</v>
      </c>
      <c r="C46" s="399" t="inlineStr">
        <is>
          <t>July</t>
        </is>
      </c>
      <c r="D46" s="484" t="n">
        <v>2020</v>
      </c>
      <c r="E46" s="484" t="inlineStr">
        <is>
          <t xml:space="preserve">June </t>
        </is>
      </c>
      <c r="F46" s="484" t="n">
        <v>2021</v>
      </c>
      <c r="G46" s="387" t="n">
        <v>31711</v>
      </c>
      <c r="H46" s="387" t="n">
        <v>68708</v>
      </c>
      <c r="I46" s="387" t="n">
        <v>2886</v>
      </c>
    </row>
    <row r="47">
      <c r="B47" s="400" t="n">
        <v>2018</v>
      </c>
      <c r="C47" s="399" t="inlineStr">
        <is>
          <t>July</t>
        </is>
      </c>
      <c r="D47" s="484" t="n">
        <v>2019</v>
      </c>
      <c r="E47" s="484" t="inlineStr">
        <is>
          <t xml:space="preserve">June </t>
        </is>
      </c>
      <c r="F47" s="484" t="n">
        <v>2020</v>
      </c>
      <c r="G47" s="387" t="n">
        <v>31120</v>
      </c>
      <c r="H47" s="387" t="n">
        <v>67426</v>
      </c>
      <c r="I47" s="387" t="n">
        <v>2832</v>
      </c>
    </row>
    <row r="48">
      <c r="B48" s="400" t="n">
        <v>2017</v>
      </c>
      <c r="C48" s="399" t="inlineStr">
        <is>
          <t>July</t>
        </is>
      </c>
      <c r="D48" s="484" t="n">
        <v>2018</v>
      </c>
      <c r="E48" s="484" t="inlineStr">
        <is>
          <t xml:space="preserve">June </t>
        </is>
      </c>
      <c r="F48" s="484" t="n">
        <v>2019</v>
      </c>
      <c r="G48" s="387" t="n">
        <v>30450</v>
      </c>
      <c r="H48" s="387" t="n">
        <v>65975</v>
      </c>
      <c r="I48" s="387" t="n">
        <v>2771</v>
      </c>
    </row>
    <row r="49">
      <c r="B49" s="400" t="n">
        <v>2016</v>
      </c>
      <c r="C49" s="399" t="inlineStr">
        <is>
          <t>July</t>
        </is>
      </c>
      <c r="D49" s="484" t="n">
        <v>2017</v>
      </c>
      <c r="E49" s="484" t="inlineStr">
        <is>
          <t xml:space="preserve">June </t>
        </is>
      </c>
      <c r="F49" s="484" t="n">
        <v>2018</v>
      </c>
      <c r="G49" s="387" t="n">
        <v>30000</v>
      </c>
      <c r="H49" s="387" t="n">
        <v>65000</v>
      </c>
      <c r="I49" s="387" t="n">
        <v>2730</v>
      </c>
    </row>
    <row r="50">
      <c r="B50" s="400" t="n">
        <v>2015</v>
      </c>
      <c r="C50" s="399" t="inlineStr">
        <is>
          <t>July</t>
        </is>
      </c>
      <c r="D50" s="484" t="n">
        <v>2016</v>
      </c>
      <c r="E50" s="484" t="inlineStr">
        <is>
          <t xml:space="preserve">June </t>
        </is>
      </c>
      <c r="F50" s="484" t="n">
        <v>2017</v>
      </c>
      <c r="G50" s="387" t="n">
        <v>30000</v>
      </c>
      <c r="H50" s="387" t="n">
        <v>65000</v>
      </c>
      <c r="I50" s="387" t="n">
        <v>2730</v>
      </c>
      <c r="J50" t="inlineStr">
        <is>
          <t># of Dependants</t>
        </is>
      </c>
    </row>
    <row r="51">
      <c r="B51" s="400" t="n">
        <v>2014</v>
      </c>
      <c r="C51" s="399" t="inlineStr">
        <is>
          <t>July</t>
        </is>
      </c>
      <c r="D51" s="484" t="n">
        <v>2015</v>
      </c>
      <c r="E51" s="484" t="inlineStr">
        <is>
          <t xml:space="preserve">June </t>
        </is>
      </c>
      <c r="F51" s="484" t="n">
        <v>2016</v>
      </c>
      <c r="G51" s="398" t="n"/>
      <c r="H51" s="387" t="n">
        <v>44701</v>
      </c>
      <c r="I51" s="387" t="n">
        <v>2695</v>
      </c>
      <c r="J51" s="492">
        <f>'Age &amp; DTC Eligibility'!X25</f>
        <v/>
      </c>
    </row>
    <row r="52">
      <c r="B52" s="400" t="n">
        <v>2013</v>
      </c>
      <c r="C52" s="399" t="inlineStr">
        <is>
          <t>July</t>
        </is>
      </c>
      <c r="D52" s="484" t="n">
        <v>2014</v>
      </c>
      <c r="E52" s="484" t="inlineStr">
        <is>
          <t xml:space="preserve">June </t>
        </is>
      </c>
      <c r="F52" s="484" t="n">
        <v>2015</v>
      </c>
      <c r="G52" s="398" t="n"/>
      <c r="H52" s="387" t="n">
        <v>43561</v>
      </c>
      <c r="I52" s="387" t="n">
        <v>2650</v>
      </c>
      <c r="J52" s="492">
        <f>'Age &amp; DTC Eligibility'!X27</f>
        <v/>
      </c>
    </row>
    <row r="53">
      <c r="B53" s="400" t="n">
        <v>2012</v>
      </c>
      <c r="C53" s="399" t="inlineStr">
        <is>
          <t>July</t>
        </is>
      </c>
      <c r="D53" s="484" t="n">
        <v>2013</v>
      </c>
      <c r="E53" s="484" t="inlineStr">
        <is>
          <t xml:space="preserve">June </t>
        </is>
      </c>
      <c r="F53" s="484" t="n">
        <v>2014</v>
      </c>
      <c r="G53" s="398" t="n"/>
      <c r="H53" s="387">
        <f>IFERROR(VLOOKUP(J53,'Dependant Ref Tables'!B24:C31,2,FALSE),0)</f>
        <v/>
      </c>
      <c r="I53" s="387" t="n">
        <v>2626</v>
      </c>
      <c r="J53" s="492">
        <f>'Age &amp; DTC Eligibility'!X29</f>
        <v/>
      </c>
    </row>
    <row r="54">
      <c r="B54" s="400" t="n">
        <v>2011</v>
      </c>
      <c r="C54" s="399" t="inlineStr">
        <is>
          <t>July</t>
        </is>
      </c>
      <c r="D54" s="484" t="n">
        <v>2012</v>
      </c>
      <c r="E54" s="484" t="inlineStr">
        <is>
          <t xml:space="preserve">June </t>
        </is>
      </c>
      <c r="F54" s="484" t="n">
        <v>2013</v>
      </c>
      <c r="G54" s="398" t="n"/>
      <c r="H54" s="387">
        <f>IFERROR(VLOOKUP(J54,'Dependant Ref Tables'!B34:C41,2,FALSE),0)</f>
        <v/>
      </c>
      <c r="I54" s="387">
        <f>'[3]Dependant Ref Tables'!N13</f>
        <v/>
      </c>
      <c r="J54" s="492">
        <f>'Age &amp; DTC Eligibility'!X31</f>
        <v/>
      </c>
    </row>
    <row r="55">
      <c r="B55" s="400" t="n">
        <v>2010</v>
      </c>
      <c r="C55" s="399" t="inlineStr">
        <is>
          <t>July</t>
        </is>
      </c>
      <c r="D55" s="484" t="n">
        <v>2011</v>
      </c>
      <c r="E55" s="484" t="inlineStr">
        <is>
          <t xml:space="preserve">June </t>
        </is>
      </c>
      <c r="F55" s="484" t="n">
        <v>2012</v>
      </c>
      <c r="G55" s="398" t="n"/>
      <c r="H55" s="387">
        <f>IFERROR(VLOOKUP(J55,'Dependant Ref Tables'!B44:C51,2,FALSE),0)</f>
        <v/>
      </c>
      <c r="I55" s="387">
        <f>'[3]Dependant Ref Tables'!N14</f>
        <v/>
      </c>
      <c r="J55" s="492">
        <f>'Age &amp; DTC Eligibility'!X33</f>
        <v/>
      </c>
    </row>
    <row r="56">
      <c r="G56" s="741" t="inlineStr">
        <is>
          <t>**Estimated figures**</t>
        </is>
      </c>
    </row>
    <row r="57">
      <c r="I57" s="492" t="n"/>
    </row>
    <row r="60">
      <c r="G60" s="492" t="n"/>
      <c r="I60" s="492" t="n"/>
    </row>
    <row r="61">
      <c r="G61" s="492" t="n"/>
      <c r="I61" s="492" t="n"/>
    </row>
    <row r="62">
      <c r="G62" s="492" t="n"/>
      <c r="I62" s="492" t="n"/>
    </row>
    <row r="63">
      <c r="B63" s="397" t="n"/>
      <c r="G63" s="492" t="n"/>
      <c r="H63" s="71" t="n"/>
      <c r="I63" s="492" t="n"/>
    </row>
  </sheetData>
  <mergeCells count="3">
    <mergeCell ref="G7:H7"/>
    <mergeCell ref="C8:F8"/>
    <mergeCell ref="G56:I56"/>
  </mergeCells>
  <pageMargins left="0.7" right="0.7" top="0.75" bottom="0.75" header="0.3" footer="0.3"/>
  <pageSetup orientation="portrait"/>
</worksheet>
</file>

<file path=xl/worksheets/sheet27.xml><?xml version="1.0" encoding="utf-8"?>
<worksheet xmlns:r="http://schemas.openxmlformats.org/officeDocument/2006/relationships" xmlns="http://schemas.openxmlformats.org/spreadsheetml/2006/main">
  <sheetPr codeName="Sheet25">
    <outlinePr summaryBelow="1" summaryRight="1"/>
    <pageSetUpPr/>
  </sheetPr>
  <dimension ref="B5:XFD55"/>
  <sheetViews>
    <sheetView topLeftCell="D3" workbookViewId="0">
      <selection activeCell="J22" sqref="J22"/>
    </sheetView>
  </sheetViews>
  <sheetFormatPr baseColWidth="8" defaultRowHeight="15"/>
  <cols>
    <col width="3.42578125" customWidth="1" min="1" max="1"/>
    <col width="15.5703125" bestFit="1" customWidth="1" min="2" max="2"/>
    <col width="80.5703125" customWidth="1" min="3" max="3"/>
    <col width="11.7109375" customWidth="1" style="492" min="4" max="4"/>
    <col width="8.85546875" customWidth="1" style="492" min="5" max="15"/>
    <col width="46.28515625" bestFit="1" customWidth="1" min="19" max="19"/>
    <col width="8.85546875" customWidth="1" style="492" min="20" max="24"/>
  </cols>
  <sheetData>
    <row r="5">
      <c r="C5" s="369" t="inlineStr">
        <is>
          <t>% of Payout Period that benefit is paid ---&gt;</t>
        </is>
      </c>
      <c r="D5" s="368">
        <f>IFERROR(D8/'Age &amp; DTC Eligibility'!X11,0)</f>
        <v/>
      </c>
      <c r="E5" s="368">
        <f>IFERROR(E8/'Age &amp; DTC Eligibility'!X13,0)</f>
        <v/>
      </c>
    </row>
    <row r="6">
      <c r="C6" t="inlineStr">
        <is>
          <t>Calculation from the CRA's Website (2015 to present tax years):</t>
        </is>
      </c>
      <c r="T6" s="492" t="n">
        <v>2014</v>
      </c>
      <c r="U6" s="492" t="n">
        <v>2013</v>
      </c>
      <c r="V6" s="492" t="n">
        <v>2012</v>
      </c>
      <c r="W6" s="492" t="n">
        <v>2011</v>
      </c>
      <c r="X6" s="492" t="n">
        <v>2010</v>
      </c>
    </row>
    <row r="7">
      <c r="D7" s="492">
        <f>'CDB Calculator Summary Sheet'!G17</f>
        <v/>
      </c>
      <c r="E7" s="492">
        <f>'CDB Calculator Summary Sheet'!G18</f>
        <v/>
      </c>
      <c r="F7" s="492">
        <f>'CDB Calculator Summary Sheet'!G19</f>
        <v/>
      </c>
      <c r="G7" s="492">
        <f>'CDB Calculator Summary Sheet'!G20</f>
        <v/>
      </c>
      <c r="H7" s="492">
        <f>'CDB Calculator Summary Sheet'!G21</f>
        <v/>
      </c>
      <c r="I7" s="492">
        <f>'CDB Calculator Summary Sheet'!G22</f>
        <v/>
      </c>
      <c r="J7" s="492">
        <f>'CDB Calculator Summary Sheet'!G23</f>
        <v/>
      </c>
      <c r="K7" s="492">
        <f>'CDB Calculator Summary Sheet'!G24</f>
        <v/>
      </c>
      <c r="L7" s="492">
        <f>'CDB Calculator Summary Sheet'!G25</f>
        <v/>
      </c>
      <c r="M7" s="492">
        <f>'CDB Calculator Summary Sheet'!G26</f>
        <v/>
      </c>
      <c r="N7" s="492">
        <f>'CDB Calculator Summary Sheet'!#REF!</f>
        <v/>
      </c>
      <c r="O7" s="492">
        <f>'CDB Calculator Summary Sheet'!#REF!</f>
        <v/>
      </c>
      <c r="S7" t="inlineStr">
        <is>
          <t>Number of Qualified Dependants with a Disability</t>
        </is>
      </c>
      <c r="T7" s="492">
        <f>'Age &amp; DTC Eligibility'!X29</f>
        <v/>
      </c>
      <c r="U7" s="492">
        <f>'Age &amp; DTC Eligibility'!X31</f>
        <v/>
      </c>
      <c r="V7" s="492">
        <f>'Age &amp; DTC Eligibility'!X29</f>
        <v/>
      </c>
      <c r="W7" s="492">
        <f>'Age &amp; DTC Eligibility'!X31</f>
        <v/>
      </c>
      <c r="X7" s="492">
        <f>'Age &amp; DTC Eligibility'!X33</f>
        <v/>
      </c>
    </row>
    <row r="8">
      <c r="C8" t="inlineStr">
        <is>
          <t># of Dependants with a disability</t>
        </is>
      </c>
      <c r="D8" s="359">
        <f>D14</f>
        <v/>
      </c>
      <c r="E8" s="359">
        <f>E14</f>
        <v/>
      </c>
      <c r="F8" s="359">
        <f>F14</f>
        <v/>
      </c>
      <c r="G8" s="359">
        <f>G14</f>
        <v/>
      </c>
      <c r="H8" s="359">
        <f>H14</f>
        <v/>
      </c>
      <c r="I8" s="359">
        <f>I14</f>
        <v/>
      </c>
      <c r="J8" s="359">
        <f>J14</f>
        <v/>
      </c>
      <c r="K8" s="359">
        <f>K14</f>
        <v/>
      </c>
      <c r="L8" s="359">
        <f>L14</f>
        <v/>
      </c>
      <c r="M8" s="359">
        <f>M14</f>
        <v/>
      </c>
      <c r="N8" s="359">
        <f>N14</f>
        <v/>
      </c>
      <c r="O8" s="359">
        <f>O14</f>
        <v/>
      </c>
      <c r="S8" t="inlineStr">
        <is>
          <t>x Benefit Amount</t>
        </is>
      </c>
      <c r="T8" s="365">
        <f>'CDB Base Amounts by Year'!I51</f>
        <v/>
      </c>
      <c r="U8" s="365">
        <f>'CDB Base Amounts by Year'!I52</f>
        <v/>
      </c>
      <c r="V8" s="365">
        <f>'CDB Base Amounts by Year'!I53</f>
        <v/>
      </c>
      <c r="W8" s="365">
        <f>'CDB Base Amounts by Year'!I54</f>
        <v/>
      </c>
      <c r="X8" s="365">
        <f>'CDB Base Amounts by Year'!I55</f>
        <v/>
      </c>
    </row>
    <row r="9">
      <c r="C9" t="inlineStr">
        <is>
          <t>Annual CDB Payout</t>
        </is>
      </c>
      <c r="D9" s="365">
        <f>VLOOKUP(D7,'CDB Base Amounts by Year'!$B$9:$I$55,8,FALSE)</f>
        <v/>
      </c>
      <c r="E9" s="365">
        <f>VLOOKUP(E7,'CDB Base Amounts by Year'!$B$9:$I$55,8,FALSE)</f>
        <v/>
      </c>
      <c r="F9" s="365">
        <f>VLOOKUP(F7,'CDB Base Amounts by Year'!$B$9:$I$55,8,FALSE)</f>
        <v/>
      </c>
      <c r="G9" s="365">
        <f>VLOOKUP(G7,'CDB Base Amounts by Year'!$B$9:$I$55,8,FALSE)</f>
        <v/>
      </c>
      <c r="H9" s="365">
        <f>VLOOKUP(H7,'CDB Base Amounts by Year'!$B$9:$I$55,8,FALSE)</f>
        <v/>
      </c>
      <c r="I9" s="365">
        <f>VLOOKUP(I7,'CDB Base Amounts by Year'!$B$9:$I$55,8,FALSE)</f>
        <v/>
      </c>
      <c r="J9" s="365">
        <f>VLOOKUP(J7,'CDB Base Amounts by Year'!$B$9:$I$55,8,FALSE)</f>
        <v/>
      </c>
      <c r="K9" s="365">
        <f>VLOOKUP(K7,'CDB Base Amounts by Year'!$B$9:$I$55,8,FALSE)</f>
        <v/>
      </c>
      <c r="L9" s="365">
        <f>VLOOKUP(L7,'CDB Base Amounts by Year'!$B$9:$I$55,8,FALSE)</f>
        <v/>
      </c>
      <c r="M9" s="365">
        <f>VLOOKUP(M7,'CDB Base Amounts by Year'!$B$9:$I$55,8,FALSE)</f>
        <v/>
      </c>
      <c r="N9" s="365">
        <f>VLOOKUP(N7,'CDB Base Amounts by Year'!$B$9:$I$55,8,FALSE)</f>
        <v/>
      </c>
      <c r="O9" s="365">
        <f>VLOOKUP(O7,'CDB Base Amounts by Year'!$B$9:$I$55,8,FALSE)</f>
        <v/>
      </c>
      <c r="R9" t="inlineStr">
        <is>
          <t>Line 18</t>
        </is>
      </c>
      <c r="T9" s="365">
        <f>T8*T7</f>
        <v/>
      </c>
      <c r="U9" s="365">
        <f>U8*U7</f>
        <v/>
      </c>
      <c r="V9" s="365">
        <f>V8*V7</f>
        <v/>
      </c>
      <c r="W9" s="365">
        <f>W8*W7</f>
        <v/>
      </c>
      <c r="X9" s="365">
        <f>X8*X7</f>
        <v/>
      </c>
    </row>
    <row r="10">
      <c r="B10" s="492" t="inlineStr">
        <is>
          <t>Line 14</t>
        </is>
      </c>
      <c r="C10" t="inlineStr">
        <is>
          <t>Number of Dependants with a disability * Annual CDB Payout:</t>
        </is>
      </c>
      <c r="D10" s="365">
        <f>D14*D9</f>
        <v/>
      </c>
      <c r="E10" s="365">
        <f>E14*E9</f>
        <v/>
      </c>
      <c r="F10" s="365">
        <f>F14*F9</f>
        <v/>
      </c>
      <c r="G10" s="365">
        <f>G14*G9</f>
        <v/>
      </c>
      <c r="H10" s="365">
        <f>H14*H9</f>
        <v/>
      </c>
      <c r="I10" s="365">
        <f>I14*I9</f>
        <v/>
      </c>
      <c r="J10" s="365">
        <f>J14*J9</f>
        <v/>
      </c>
      <c r="K10" s="365">
        <f>K14*K9</f>
        <v/>
      </c>
      <c r="L10" s="365">
        <f>L14*L9</f>
        <v/>
      </c>
      <c r="M10" s="365">
        <f>M14*M9</f>
        <v/>
      </c>
      <c r="N10" s="365">
        <f>N14*N9</f>
        <v/>
      </c>
      <c r="O10" s="365">
        <f>O14*O9</f>
        <v/>
      </c>
      <c r="R10" t="inlineStr">
        <is>
          <t>Line 19</t>
        </is>
      </c>
      <c r="S10" t="inlineStr">
        <is>
          <t>AFNI</t>
        </is>
      </c>
      <c r="T10" s="492">
        <f>IFERROR(VLOOKUP(T6,'CDB Calculator Summary Sheet'!G17:H26,2,FALSE),"Not used")</f>
        <v/>
      </c>
      <c r="U10" s="492">
        <f>VLOOKUP(U6,'CDB Calculator Summary Sheet'!G17:H26,2,FALSE)</f>
        <v/>
      </c>
      <c r="V10" s="492">
        <f>VLOOKUP(V6,'CDB Calculator Summary Sheet'!G17:H26,2,FALSE)</f>
        <v/>
      </c>
      <c r="W10" s="492">
        <f>VLOOKUP(W6,'CDB Calculator Summary Sheet'!G17:H26,2,FALSE)</f>
        <v/>
      </c>
      <c r="X10" s="492">
        <f>VLOOKUP(X6,'CDB Calculator Summary Sheet'!G17:H26,2,FALSE)</f>
        <v/>
      </c>
    </row>
    <row r="11">
      <c r="B11" s="492" t="inlineStr">
        <is>
          <t>Line 15</t>
        </is>
      </c>
      <c r="C11" t="inlineStr">
        <is>
          <t>AFNI:</t>
        </is>
      </c>
      <c r="D11" s="365">
        <f>VLOOKUP(D7,'CDB Calculator Summary Sheet'!$G$17:$H$26,2,FALSE)</f>
        <v/>
      </c>
      <c r="E11" s="365">
        <f>VLOOKUP(E7,'CDB Calculator Summary Sheet'!$G$17:$H$26,2,FALSE)</f>
        <v/>
      </c>
      <c r="F11" s="365">
        <f>VLOOKUP(F7,'CDB Calculator Summary Sheet'!$G$17:$H$26,2,FALSE)</f>
        <v/>
      </c>
      <c r="G11" s="365">
        <f>VLOOKUP(G7,'CDB Calculator Summary Sheet'!$G$17:$H$26,2,FALSE)</f>
        <v/>
      </c>
      <c r="H11" s="365">
        <f>VLOOKUP(H7,'CDB Calculator Summary Sheet'!$G$17:$H$26,2,FALSE)</f>
        <v/>
      </c>
      <c r="I11" s="365">
        <f>VLOOKUP(I7,'CDB Calculator Summary Sheet'!$G$17:$H$26,2,FALSE)</f>
        <v/>
      </c>
      <c r="J11" s="365">
        <f>VLOOKUP(J7,'CDB Calculator Summary Sheet'!$G$17:$H$26,2,FALSE)</f>
        <v/>
      </c>
      <c r="K11" s="365">
        <f>VLOOKUP(K7,'CDB Calculator Summary Sheet'!$G$17:$H$26,2,FALSE)</f>
        <v/>
      </c>
      <c r="L11" s="365">
        <f>VLOOKUP(L7,'CDB Calculator Summary Sheet'!$G$17:$H$26,2,FALSE)</f>
        <v/>
      </c>
      <c r="M11" s="365">
        <f>VLOOKUP(M7,'CDB Calculator Summary Sheet'!$G$17:$H$26,2,FALSE)</f>
        <v/>
      </c>
      <c r="N11" s="365">
        <f>VLOOKUP(N7,'CDB Calculator Summary Sheet'!$G$17:$H$26,2,FALSE)</f>
        <v/>
      </c>
      <c r="O11" s="365">
        <f>VLOOKUP(O7,'CDB Calculator Summary Sheet'!$G$17:$H$26,2,FALSE)</f>
        <v/>
      </c>
      <c r="R11" t="inlineStr">
        <is>
          <t xml:space="preserve">Line 20 </t>
        </is>
      </c>
      <c r="S11" t="inlineStr">
        <is>
          <t>Subtract CDB base amount</t>
        </is>
      </c>
      <c r="T11" s="492">
        <f>VLOOKUP(T6,'CDB Base Amounts by Year'!B51:H55,7,FALSE)</f>
        <v/>
      </c>
      <c r="U11" s="492">
        <f>VLOOKUP(U6,'CDB Base Amounts by Year'!B51:H55,7,FALSE)</f>
        <v/>
      </c>
      <c r="V11" s="492">
        <f>VLOOKUP(V6,'CDB Base Amounts by Year'!B51:H55,7,FALSE)</f>
        <v/>
      </c>
      <c r="W11" s="492">
        <f>VLOOKUP(W6,'CDB Base Amounts by Year'!B51:H55,7,FALSE)</f>
        <v/>
      </c>
      <c r="X11" s="492">
        <f>VLOOKUP(X6,'CDB Base Amounts by Year'!B51:H55,7,FALSE)</f>
        <v/>
      </c>
    </row>
    <row r="12">
      <c r="B12" s="492" t="inlineStr">
        <is>
          <t>Line 16</t>
        </is>
      </c>
      <c r="C12" t="inlineStr">
        <is>
          <t>Base Amount:</t>
        </is>
      </c>
      <c r="D12" s="365">
        <f>VLOOKUP(D7,'CDB Base Amounts by Year'!$B$9:$H$54,7,FALSE)</f>
        <v/>
      </c>
      <c r="E12" s="365">
        <f>VLOOKUP(E7,'CDB Base Amounts by Year'!$B$9:$H$54,7,FALSE)</f>
        <v/>
      </c>
      <c r="F12" s="365">
        <f>VLOOKUP(F7,'CDB Base Amounts by Year'!$B$9:$H$54,7,FALSE)</f>
        <v/>
      </c>
      <c r="G12" s="365">
        <f>VLOOKUP(G7,'CDB Base Amounts by Year'!$B$9:$H$54,7,FALSE)</f>
        <v/>
      </c>
      <c r="H12" s="365">
        <f>VLOOKUP(H7,'CDB Base Amounts by Year'!$B$9:$H$54,7,FALSE)</f>
        <v/>
      </c>
      <c r="I12" s="365">
        <f>VLOOKUP(I7,'CDB Base Amounts by Year'!$B$9:$H$54,7,FALSE)</f>
        <v/>
      </c>
      <c r="J12" s="365">
        <f>VLOOKUP(J7,'CDB Base Amounts by Year'!$B$9:$H$54,7,FALSE)</f>
        <v/>
      </c>
      <c r="K12" s="365">
        <f>VLOOKUP(K7,'CDB Base Amounts by Year'!$B$9:$H$54,7,FALSE)</f>
        <v/>
      </c>
      <c r="L12" s="365">
        <f>VLOOKUP(L7,'CDB Base Amounts by Year'!$B$9:$H$54,7,FALSE)</f>
        <v/>
      </c>
      <c r="M12" s="365">
        <f>VLOOKUP(M7,'CDB Base Amounts by Year'!$B$9:$H$54,7,FALSE)</f>
        <v/>
      </c>
      <c r="N12" s="365">
        <f>VLOOKUP(N7,'CDB Base Amounts by Year'!$B$9:$H$54,7,FALSE)</f>
        <v/>
      </c>
      <c r="O12" s="365">
        <f>VLOOKUP(O7,'CDB Base Amounts by Year'!$B$9:$H$54,7,FALSE)</f>
        <v/>
      </c>
      <c r="R12" t="inlineStr">
        <is>
          <t>Line 21</t>
        </is>
      </c>
      <c r="S12" t="inlineStr">
        <is>
          <t>Adjusted AFNI (Line 19 - line 20) If negative, enter 0</t>
        </is>
      </c>
      <c r="T12" s="492">
        <f>IF(T10-T11&lt;0,0,T10-T11)</f>
        <v/>
      </c>
      <c r="U12" s="492">
        <f>IF(U10-U11&lt;0,0,U10-U11)</f>
        <v/>
      </c>
      <c r="V12" s="492">
        <f>IF(V10-V11&lt;0,0,V10-V11)</f>
        <v/>
      </c>
      <c r="W12" s="492">
        <f>IF(W10-W11&lt;0,0,W10-W11)</f>
        <v/>
      </c>
      <c r="X12" s="492">
        <f>IF(X10-X11&lt;0,0,X10-X11)</f>
        <v/>
      </c>
    </row>
    <row r="13">
      <c r="B13" s="492" t="inlineStr">
        <is>
          <t>Line 17</t>
        </is>
      </c>
      <c r="C13" t="inlineStr">
        <is>
          <t>Line 15 Minus line 16, if negative, use 0</t>
        </is>
      </c>
      <c r="D13" s="365">
        <f>IF(D11-D12&lt;0,0,D11-D12)</f>
        <v/>
      </c>
      <c r="E13" s="365">
        <f>IF(E11-E12&lt;0,0,E11-E12)</f>
        <v/>
      </c>
      <c r="F13" s="365">
        <f>IF(F11-F12&lt;0,0,F11-F12)</f>
        <v/>
      </c>
      <c r="G13" s="365">
        <f>IF(G11-G12&lt;0,0,G11-G12)</f>
        <v/>
      </c>
      <c r="H13" s="365">
        <f>IF(H11-H12&lt;0,0,H11-H12)</f>
        <v/>
      </c>
      <c r="I13" s="365">
        <f>IF(I11-I12&lt;0,0,I11-I12)</f>
        <v/>
      </c>
      <c r="J13" s="365">
        <f>IF(J11-J12&lt;0,0,J11-J12)</f>
        <v/>
      </c>
      <c r="K13" s="365">
        <f>IF(K11-K12&lt;0,0,K11-K12)</f>
        <v/>
      </c>
      <c r="L13" s="365">
        <f>IF(L11-L12&lt;0,0,L11-L12)</f>
        <v/>
      </c>
      <c r="M13" s="365">
        <f>IF(M11-M12&lt;0,0,M11-M12)</f>
        <v/>
      </c>
      <c r="N13" s="365">
        <f>IF(N11-N12&lt;0,0,N11-N12)</f>
        <v/>
      </c>
      <c r="O13" s="365">
        <f>IF(O11-O12&lt;0,0,O11-O12)</f>
        <v/>
      </c>
      <c r="S13" t="inlineStr">
        <is>
          <t>Less 2% of line 21 with one dependant</t>
        </is>
      </c>
      <c r="T13" s="367">
        <f>IF(T7&gt;1,"",0.02)</f>
        <v/>
      </c>
      <c r="U13" s="367">
        <f>IF(U7&gt;1,"",0.02)</f>
        <v/>
      </c>
      <c r="V13" s="367">
        <f>IF(V7&gt;1,"",0.02)</f>
        <v/>
      </c>
      <c r="W13" s="367">
        <f>IF(W7&gt;1,"",0.02)</f>
        <v/>
      </c>
      <c r="X13" s="367">
        <f>IF(X7&gt;1,"",0.02)</f>
        <v/>
      </c>
    </row>
    <row r="14">
      <c r="B14" s="492" t="inlineStr">
        <is>
          <t># of Dependants</t>
        </is>
      </c>
      <c r="D14" s="359">
        <f>VLOOKUP(D7,'Age &amp; DTC Eligibility'!$T$11:$X$33,5,FALSE)</f>
        <v/>
      </c>
      <c r="E14" s="359">
        <f>VLOOKUP(E7,'Age &amp; DTC Eligibility'!$T$11:$X$33,5,FALSE)</f>
        <v/>
      </c>
      <c r="F14" s="359">
        <f>VLOOKUP(F7,'Age &amp; DTC Eligibility'!$T$11:$X$33,5,FALSE)</f>
        <v/>
      </c>
      <c r="G14" s="359">
        <f>VLOOKUP(G7,'Age &amp; DTC Eligibility'!$T$11:$X$33,5,FALSE)</f>
        <v/>
      </c>
      <c r="H14" s="359">
        <f>VLOOKUP(H7,'Age &amp; DTC Eligibility'!$T$11:$X$33,5,FALSE)</f>
        <v/>
      </c>
      <c r="I14" s="359">
        <f>VLOOKUP(I7,'Age &amp; DTC Eligibility'!$T$11:$X$33,5,FALSE)</f>
        <v/>
      </c>
      <c r="J14" s="359">
        <f>VLOOKUP(J7,'Age &amp; DTC Eligibility'!$T$11:$X$33,5,FALSE)</f>
        <v/>
      </c>
      <c r="K14" s="359">
        <f>VLOOKUP(K7,'Age &amp; DTC Eligibility'!$T$11:$X$33,5,FALSE)</f>
        <v/>
      </c>
      <c r="L14" s="359">
        <f>VLOOKUP(L7,'Age &amp; DTC Eligibility'!$T$11:$X$33,5,FALSE)</f>
        <v/>
      </c>
      <c r="M14" s="359">
        <f>VLOOKUP(M7,'Age &amp; DTC Eligibility'!$T$11:$X$33,5,FALSE)</f>
        <v/>
      </c>
      <c r="N14" s="359">
        <f>VLOOKUP(N7,'Age &amp; DTC Eligibility'!$T$11:$X$33,5,FALSE)</f>
        <v/>
      </c>
      <c r="O14" s="359">
        <f>VLOOKUP(O7,'Age &amp; DTC Eligibility'!$T$11:$X$33,5,FALSE)</f>
        <v/>
      </c>
      <c r="S14" t="inlineStr">
        <is>
          <t>Less 4% of line 21 with two or more dependants</t>
        </is>
      </c>
      <c r="T14" s="367">
        <f>IF(T7&gt;1,0.04,"")</f>
        <v/>
      </c>
      <c r="U14" s="367">
        <f>IF(U7&gt;1,0.04,"")</f>
        <v/>
      </c>
      <c r="V14" s="367">
        <f>IF(V7&gt;1,0.04,"")</f>
        <v/>
      </c>
      <c r="W14" s="367">
        <f>IF(W7&gt;1,0.04,"")</f>
        <v/>
      </c>
      <c r="X14" s="367">
        <f>IF(X7&gt;1,0.04,"")</f>
        <v/>
      </c>
    </row>
    <row r="15">
      <c r="C15" t="inlineStr">
        <is>
          <t>Enter the applicable number based on below</t>
        </is>
      </c>
      <c r="T15" s="366">
        <f>MAX(T13:T14)</f>
        <v/>
      </c>
      <c r="U15" s="366">
        <f>MAX(U13:U14)</f>
        <v/>
      </c>
      <c r="V15" s="366">
        <f>MAX(V13:V14)</f>
        <v/>
      </c>
      <c r="W15" s="366">
        <f>MAX(W13:W14)</f>
        <v/>
      </c>
      <c r="X15" s="366">
        <f>MAX(X13:X14)</f>
        <v/>
      </c>
    </row>
    <row r="16">
      <c r="B16" s="492" t="inlineStr">
        <is>
          <t>a</t>
        </is>
      </c>
      <c r="C16" t="inlineStr">
        <is>
          <t>3.2% of line 17 if 1 dependant (2% from 2014 base yr and earlier)</t>
        </is>
      </c>
      <c r="D16" s="365">
        <f>IF(D14=1,D13*0.032,"")</f>
        <v/>
      </c>
      <c r="E16" s="365">
        <f>IF(E14=1,E13*0.032,"")</f>
        <v/>
      </c>
      <c r="F16" s="365">
        <f>IF(F14=1,F13*0.032,"")</f>
        <v/>
      </c>
      <c r="G16" s="365">
        <f>IF(G14=1,G13*0.032,"")</f>
        <v/>
      </c>
      <c r="H16" s="365">
        <f>IF(H14=1,H13*0.032,"")</f>
        <v/>
      </c>
      <c r="I16" s="365">
        <f>IF(I14=1,I13*0.032,"")</f>
        <v/>
      </c>
      <c r="J16" s="365">
        <f>IF(J14=1,J13*0.032,"")</f>
        <v/>
      </c>
      <c r="K16" s="365">
        <f>IF(K14=1,K13*0.032,"")</f>
        <v/>
      </c>
      <c r="L16" s="365">
        <f>IF(L14=1,L13*0.032,"")</f>
        <v/>
      </c>
      <c r="M16" s="365">
        <f>IF(M14=1,M13*0.032,"")</f>
        <v/>
      </c>
      <c r="N16" s="365">
        <f>IF(N14=1,N13*0.032,"")</f>
        <v/>
      </c>
      <c r="O16" s="365">
        <f>IF(O14=1,O13*0.032,"")</f>
        <v/>
      </c>
      <c r="R16" t="inlineStr">
        <is>
          <t>Line 22</t>
        </is>
      </c>
      <c r="T16" s="492">
        <f>T15*T12</f>
        <v/>
      </c>
      <c r="U16" s="492">
        <f>U15*U12</f>
        <v/>
      </c>
      <c r="V16" s="492">
        <f>V15*V12</f>
        <v/>
      </c>
      <c r="W16" s="492">
        <f>W15*W12</f>
        <v/>
      </c>
      <c r="X16" s="492">
        <f>X15*X12</f>
        <v/>
      </c>
    </row>
    <row r="17">
      <c r="B17" s="492" t="inlineStr">
        <is>
          <t>b</t>
        </is>
      </c>
      <c r="C17" t="inlineStr">
        <is>
          <t>5.7% of line 17 if 2 or more dependants (4% from  2014 base yr and earlier)</t>
        </is>
      </c>
      <c r="D17" s="365">
        <f>IF(D14&gt;1,0.057*D13,"")</f>
        <v/>
      </c>
      <c r="E17" s="365">
        <f>IF(E14&gt;1,0.057*E13,"")</f>
        <v/>
      </c>
      <c r="F17" s="365">
        <f>IF(F14&gt;1,0.057*F13,"")</f>
        <v/>
      </c>
      <c r="G17" s="365">
        <f>IF(G14&gt;1,0.057*G13,"")</f>
        <v/>
      </c>
      <c r="H17" s="365">
        <f>IF(H14&gt;1,0.057*H13,"")</f>
        <v/>
      </c>
      <c r="I17" s="365">
        <f>IF(I14&gt;1,0.057*I13,"")</f>
        <v/>
      </c>
      <c r="J17" s="365">
        <f>IF(J14&gt;1,0.057*J13,"")</f>
        <v/>
      </c>
      <c r="K17" s="365">
        <f>IF(K14&gt;1,0.04*K13,"")</f>
        <v/>
      </c>
      <c r="L17" s="365">
        <f>IF(L14&gt;1,0.04*L13,"")</f>
        <v/>
      </c>
      <c r="M17" s="365">
        <f>IF(M14&gt;1,0.04*M13,"")</f>
        <v/>
      </c>
      <c r="N17" s="365">
        <f>IF(N14&gt;1,0.04*N13,"")</f>
        <v/>
      </c>
      <c r="O17" s="365">
        <f>IF(O14&gt;1,0.04*O13,"")</f>
        <v/>
      </c>
      <c r="R17" t="inlineStr">
        <is>
          <t>Line 23</t>
        </is>
      </c>
      <c r="S17" t="inlineStr">
        <is>
          <t>Net CDB (Line 18 - Line 22) If negative, use 0</t>
        </is>
      </c>
      <c r="T17" s="365">
        <f>IF(IF(T7=0,0,T9-T16)&lt;0,0,(IF(T7=0,0,T9-T16)))</f>
        <v/>
      </c>
      <c r="U17" s="365">
        <f>IF(IF(U7=0,0,U9-U16)&lt;0,0,(IF(U7=0,0,U9-U16)))</f>
        <v/>
      </c>
      <c r="V17" s="365">
        <f>IF(IF(V7=0,0,V9-V16)&lt;0,0,(IF(V7=0,0,V9-V16)))</f>
        <v/>
      </c>
      <c r="W17" s="365">
        <f>IF(IF(W7=0,0,W9-W16)&lt;0,0,(IF(W7=0,0,W9-W16)))</f>
        <v/>
      </c>
      <c r="X17" s="365">
        <f>IF(IF(X7=0,0,X9-X16)&lt;0,0,(IF(X7=0,0,X9-X16)))</f>
        <v/>
      </c>
    </row>
    <row r="18">
      <c r="D18" s="365">
        <f>MAX(D16:D17)</f>
        <v/>
      </c>
      <c r="E18" s="365">
        <f>MAX(E16:E17)</f>
        <v/>
      </c>
      <c r="F18" s="365">
        <f>MAX(F16:F17)</f>
        <v/>
      </c>
      <c r="G18" s="365">
        <f>MAX(G16:G17)</f>
        <v/>
      </c>
      <c r="H18" s="365">
        <f>MAX(H16:H17)</f>
        <v/>
      </c>
      <c r="I18" s="365">
        <f>MAX(I16:I17)</f>
        <v/>
      </c>
      <c r="J18" s="365">
        <f>MAX(J16:J17)</f>
        <v/>
      </c>
      <c r="K18" s="365">
        <f>MAX(K16:K17)</f>
        <v/>
      </c>
      <c r="L18" s="365">
        <f>MAX(L16:L17)</f>
        <v/>
      </c>
      <c r="M18" s="365">
        <f>MAX(M16:M17)</f>
        <v/>
      </c>
      <c r="N18" s="365">
        <f>MAX(N16:N17)</f>
        <v/>
      </c>
      <c r="O18" s="365">
        <f>MAX(O16:O17)</f>
        <v/>
      </c>
    </row>
    <row r="19">
      <c r="B19" s="492" t="inlineStr">
        <is>
          <t>Line 18</t>
        </is>
      </c>
      <c r="D19" s="365">
        <f>D18</f>
        <v/>
      </c>
      <c r="E19" s="365">
        <f>E18</f>
        <v/>
      </c>
      <c r="F19" s="365">
        <f>F18</f>
        <v/>
      </c>
      <c r="G19" s="365">
        <f>G18</f>
        <v/>
      </c>
      <c r="H19" s="365">
        <f>H18</f>
        <v/>
      </c>
      <c r="I19" s="365">
        <f>I18</f>
        <v/>
      </c>
      <c r="J19" s="365">
        <f>J18</f>
        <v/>
      </c>
      <c r="K19" s="365">
        <f>K18</f>
        <v/>
      </c>
      <c r="L19" s="365">
        <f>L18</f>
        <v/>
      </c>
      <c r="M19" s="365">
        <f>M18</f>
        <v/>
      </c>
      <c r="N19" s="365">
        <f>N18</f>
        <v/>
      </c>
      <c r="O19" s="365">
        <f>O18</f>
        <v/>
      </c>
    </row>
    <row r="20">
      <c r="B20" s="364" t="inlineStr">
        <is>
          <t>ANNUAL CDB</t>
        </is>
      </c>
      <c r="C20" s="70" t="inlineStr">
        <is>
          <t>Line 14 - Line 18 If negative, use 0</t>
        </is>
      </c>
      <c r="D20" s="363">
        <f>IF(D7&gt;2014,IF(D10-D19&lt;0,0,D10-D19),HLOOKUP(D7,$T$6:$X$17,12,FALSE))</f>
        <v/>
      </c>
      <c r="E20" s="363">
        <f>IF(E7&gt;2014,IF(E10-E19&lt;0,0,E10-E19),HLOOKUP(E7,$T$6:$X$17,12,FALSE))</f>
        <v/>
      </c>
      <c r="F20" s="363">
        <f>IF(F7&gt;2014,IF(F10-F19&lt;0,0,F10-F19),HLOOKUP(F7,$T$6:$X$17,12,FALSE))</f>
        <v/>
      </c>
      <c r="G20" s="363">
        <f>IF(G7&gt;2014,IF(G10-G19&lt;0,0,G10-G19),HLOOKUP(G7,$T$6:$X$17,12,FALSE))</f>
        <v/>
      </c>
      <c r="H20" s="363">
        <f>IF(H7&gt;2014,IF(H10-H19&lt;0,0,H10-H19),HLOOKUP(H7,$T$6:$X$17,12,FALSE))</f>
        <v/>
      </c>
      <c r="I20" s="363">
        <f>IF(I7&gt;2014,IF(I10-I19&lt;0,0,I10-I19),HLOOKUP(I7,$T$6:$X$17,12,FALSE))</f>
        <v/>
      </c>
      <c r="J20" s="363">
        <f>IF(J7&gt;2014,IF(J10-J19&lt;0,0,J10-J19),HLOOKUP(J7,$T$6:$X$17,12,FALSE))</f>
        <v/>
      </c>
      <c r="K20" s="363">
        <f>IF(K7&gt;2014,IF(K10-K19&lt;0,0,K10-K19),HLOOKUP(K7,$T$6:$X$17,12,FALSE))</f>
        <v/>
      </c>
      <c r="L20" s="363">
        <f>IF(L7&gt;2014,IF(L10-L19&lt;0,0,L10-L19),HLOOKUP(L7,$T$6:$X$17,12,FALSE))</f>
        <v/>
      </c>
      <c r="M20" s="363">
        <f>IF(M7&gt;2014,IF(M10-M19&lt;0,0,M10-M19),HLOOKUP(M7,$T$6:$X$17,12,FALSE))</f>
        <v/>
      </c>
      <c r="N20" s="363">
        <f>IF(N7&gt;2014,IF(N10-N19&lt;0,0,N10-N19),HLOOKUP(N7,$T$6:$X$17,12,FALSE))</f>
        <v/>
      </c>
      <c r="O20" s="363">
        <f>IF(O7&gt;2014,IF(O10-O19&lt;0,0,O10-O19),HLOOKUP(O7,$T$6:$X$17,12,FALSE))</f>
        <v/>
      </c>
    </row>
    <row r="22">
      <c r="B22" t="inlineStr">
        <is>
          <t>Payout % Based on Age &amp; DTC eligibility (Effective Dependant Count divided by Actual Dependant Count - Cells W11 to W34/X11 to X34 on Age &amp; DTC eligibility Tab)</t>
        </is>
      </c>
      <c r="D22" s="362">
        <f>'Age &amp; DTC Eligibility'!AF11</f>
        <v/>
      </c>
      <c r="E22" s="362">
        <f>'Age &amp; DTC Eligibility'!AF13</f>
        <v/>
      </c>
      <c r="F22" s="362">
        <f>'Age &amp; DTC Eligibility'!AF15</f>
        <v/>
      </c>
      <c r="G22" s="362">
        <f>'Age &amp; DTC Eligibility'!AF17</f>
        <v/>
      </c>
      <c r="H22" s="362">
        <f>'Age &amp; DTC Eligibility'!AF19</f>
        <v/>
      </c>
      <c r="I22" s="362">
        <f>'Age &amp; DTC Eligibility'!AF21</f>
        <v/>
      </c>
      <c r="J22" s="362">
        <f>'Age &amp; DTC Eligibility'!AF23</f>
        <v/>
      </c>
      <c r="K22" s="362">
        <f>'Age &amp; DTC Eligibility'!AF25</f>
        <v/>
      </c>
      <c r="L22" s="362">
        <f>'Age &amp; DTC Eligibility'!AF27</f>
        <v/>
      </c>
      <c r="M22" s="362">
        <f>'Age &amp; DTC Eligibility'!AF29</f>
        <v/>
      </c>
      <c r="N22" s="362">
        <f>'Age &amp; DTC Eligibility'!AF31</f>
        <v/>
      </c>
      <c r="O22" s="362">
        <f>'Age &amp; DTC Eligibility'!AF33</f>
        <v/>
      </c>
    </row>
    <row r="24">
      <c r="B24" s="21" t="inlineStr">
        <is>
          <t>Annual CDB factoring in Age &amp; DTC eligibility</t>
        </is>
      </c>
      <c r="C24" s="21" t="n"/>
      <c r="D24" s="361">
        <f>D22*D20</f>
        <v/>
      </c>
      <c r="E24" s="361">
        <f>E22*E20</f>
        <v/>
      </c>
      <c r="F24" s="361">
        <f>F22*F20</f>
        <v/>
      </c>
      <c r="G24" s="361">
        <f>G22*G20</f>
        <v/>
      </c>
      <c r="H24" s="361">
        <f>H22*H20</f>
        <v/>
      </c>
      <c r="I24" s="361">
        <f>I22*I20</f>
        <v/>
      </c>
      <c r="J24" s="361">
        <f>J22*J20</f>
        <v/>
      </c>
      <c r="K24" s="361">
        <f>K22*K20</f>
        <v/>
      </c>
      <c r="L24" s="361">
        <f>L22*L20</f>
        <v/>
      </c>
      <c r="M24" s="361">
        <f>M22*M20</f>
        <v/>
      </c>
      <c r="N24" s="361">
        <f>N22*N20</f>
        <v/>
      </c>
      <c r="O24" s="361">
        <f>O22*O20</f>
        <v/>
      </c>
    </row>
    <row r="27">
      <c r="C27" s="449" t="inlineStr">
        <is>
          <t>Payout Period</t>
        </is>
      </c>
      <c r="D27" s="492" t="inlineStr">
        <is>
          <t>July</t>
        </is>
      </c>
      <c r="E27" s="492" t="inlineStr">
        <is>
          <t>July</t>
        </is>
      </c>
      <c r="F27" s="492" t="inlineStr">
        <is>
          <t>July</t>
        </is>
      </c>
      <c r="G27" s="492" t="inlineStr">
        <is>
          <t>July</t>
        </is>
      </c>
      <c r="H27" s="492" t="inlineStr">
        <is>
          <t>July</t>
        </is>
      </c>
      <c r="I27" s="492" t="inlineStr">
        <is>
          <t>July</t>
        </is>
      </c>
      <c r="J27" s="492" t="inlineStr">
        <is>
          <t>July</t>
        </is>
      </c>
      <c r="K27" s="492" t="inlineStr">
        <is>
          <t>July</t>
        </is>
      </c>
      <c r="L27" s="492" t="inlineStr">
        <is>
          <t>July</t>
        </is>
      </c>
      <c r="M27" s="492" t="inlineStr">
        <is>
          <t>July</t>
        </is>
      </c>
      <c r="N27" s="492" t="inlineStr">
        <is>
          <t>July</t>
        </is>
      </c>
      <c r="O27" s="492" t="inlineStr">
        <is>
          <t>July</t>
        </is>
      </c>
    </row>
    <row r="28">
      <c r="C28" s="449" t="n"/>
      <c r="D28" s="492">
        <f>D7+1</f>
        <v/>
      </c>
      <c r="E28" s="492">
        <f>E7+1</f>
        <v/>
      </c>
      <c r="F28" s="492">
        <f>F7+1</f>
        <v/>
      </c>
      <c r="G28" s="492">
        <f>G7+1</f>
        <v/>
      </c>
      <c r="H28" s="492">
        <f>H7+1</f>
        <v/>
      </c>
      <c r="I28" s="492">
        <f>I7+1</f>
        <v/>
      </c>
      <c r="J28" s="492">
        <f>J7+1</f>
        <v/>
      </c>
      <c r="K28" s="492">
        <f>K7+1</f>
        <v/>
      </c>
      <c r="L28" s="492">
        <f>L7+1</f>
        <v/>
      </c>
      <c r="M28" s="492">
        <f>M7+1</f>
        <v/>
      </c>
      <c r="N28" s="492">
        <f>N7+1</f>
        <v/>
      </c>
      <c r="O28" s="492">
        <f>O7+1</f>
        <v/>
      </c>
    </row>
    <row r="29">
      <c r="C29" s="449" t="n"/>
      <c r="D29" s="492" t="inlineStr">
        <is>
          <t>to</t>
        </is>
      </c>
      <c r="E29" s="492" t="inlineStr">
        <is>
          <t>to</t>
        </is>
      </c>
      <c r="F29" s="492" t="inlineStr">
        <is>
          <t>to</t>
        </is>
      </c>
      <c r="G29" s="492" t="inlineStr">
        <is>
          <t>to</t>
        </is>
      </c>
      <c r="H29" s="492" t="inlineStr">
        <is>
          <t>to</t>
        </is>
      </c>
      <c r="I29" s="492" t="inlineStr">
        <is>
          <t>to</t>
        </is>
      </c>
      <c r="J29" s="492" t="inlineStr">
        <is>
          <t>to</t>
        </is>
      </c>
      <c r="K29" s="492" t="inlineStr">
        <is>
          <t>to</t>
        </is>
      </c>
      <c r="L29" s="492" t="inlineStr">
        <is>
          <t>to</t>
        </is>
      </c>
      <c r="M29" s="492" t="inlineStr">
        <is>
          <t>to</t>
        </is>
      </c>
      <c r="N29" s="492" t="inlineStr">
        <is>
          <t>to</t>
        </is>
      </c>
      <c r="O29" s="492" t="inlineStr">
        <is>
          <t>to</t>
        </is>
      </c>
    </row>
    <row r="30">
      <c r="C30" s="449" t="n"/>
      <c r="D30" s="492" t="inlineStr">
        <is>
          <t>June</t>
        </is>
      </c>
      <c r="E30" s="492" t="inlineStr">
        <is>
          <t>June</t>
        </is>
      </c>
      <c r="F30" s="492" t="inlineStr">
        <is>
          <t>June</t>
        </is>
      </c>
      <c r="G30" s="492" t="inlineStr">
        <is>
          <t>June</t>
        </is>
      </c>
      <c r="H30" s="492" t="inlineStr">
        <is>
          <t>June</t>
        </is>
      </c>
      <c r="I30" s="492" t="inlineStr">
        <is>
          <t>June</t>
        </is>
      </c>
      <c r="J30" s="492" t="inlineStr">
        <is>
          <t>June</t>
        </is>
      </c>
      <c r="K30" s="492" t="inlineStr">
        <is>
          <t>June</t>
        </is>
      </c>
      <c r="L30" s="492" t="inlineStr">
        <is>
          <t>June</t>
        </is>
      </c>
      <c r="M30" s="492" t="inlineStr">
        <is>
          <t>June</t>
        </is>
      </c>
      <c r="N30" s="492" t="inlineStr">
        <is>
          <t>June</t>
        </is>
      </c>
      <c r="O30" s="492" t="inlineStr">
        <is>
          <t>June</t>
        </is>
      </c>
    </row>
    <row r="31">
      <c r="C31" s="449" t="n"/>
      <c r="D31" s="492">
        <f>D28+1</f>
        <v/>
      </c>
      <c r="E31" s="492">
        <f>E28+1</f>
        <v/>
      </c>
      <c r="F31" s="492">
        <f>F28+1</f>
        <v/>
      </c>
      <c r="G31" s="492">
        <f>G28+1</f>
        <v/>
      </c>
      <c r="H31" s="492">
        <f>H28+1</f>
        <v/>
      </c>
      <c r="I31" s="492">
        <f>I28+1</f>
        <v/>
      </c>
      <c r="J31" s="492">
        <f>J28+1</f>
        <v/>
      </c>
      <c r="K31" s="492">
        <f>K28+1</f>
        <v/>
      </c>
      <c r="L31" s="492">
        <f>L28+1</f>
        <v/>
      </c>
      <c r="M31" s="492">
        <f>M28+1</f>
        <v/>
      </c>
      <c r="N31" s="492">
        <f>N28+1</f>
        <v/>
      </c>
      <c r="O31" s="492">
        <f>O28+1</f>
        <v/>
      </c>
    </row>
    <row r="33">
      <c r="C33" t="inlineStr">
        <is>
          <t>Invoice Year</t>
        </is>
      </c>
      <c r="D33" s="492">
        <f>C47</f>
        <v/>
      </c>
      <c r="E33" s="492">
        <f>C47</f>
        <v/>
      </c>
      <c r="F33" s="359" t="n"/>
      <c r="G33" s="359" t="n"/>
      <c r="H33" s="359" t="n"/>
      <c r="I33" s="359" t="n"/>
      <c r="J33" s="359" t="n"/>
      <c r="K33" s="359" t="n"/>
      <c r="L33" s="359" t="n"/>
      <c r="M33" s="359" t="n"/>
      <c r="N33" s="359" t="n"/>
      <c r="O33" s="359" t="n"/>
    </row>
    <row r="34">
      <c r="C34" t="inlineStr">
        <is>
          <t>Pay Period Year Start</t>
        </is>
      </c>
      <c r="D34" s="492">
        <f>D28</f>
        <v/>
      </c>
      <c r="E34" s="492">
        <f>E28</f>
        <v/>
      </c>
    </row>
    <row r="35">
      <c r="C35" t="inlineStr">
        <is>
          <t>Invoice Month</t>
        </is>
      </c>
      <c r="D35" s="492">
        <f>C48</f>
        <v/>
      </c>
      <c r="E35" s="492">
        <f>C48</f>
        <v/>
      </c>
    </row>
    <row r="36">
      <c r="XFD36" s="492" t="n"/>
    </row>
    <row r="39">
      <c r="D39" s="668" t="inlineStr">
        <is>
          <t>1st half of Pay Period</t>
        </is>
      </c>
      <c r="E39" s="71" t="inlineStr">
        <is>
          <t>2nd half of Pay Period</t>
        </is>
      </c>
    </row>
    <row r="40">
      <c r="D40" s="492">
        <f>D35</f>
        <v/>
      </c>
      <c r="E40" s="492">
        <f>IF(E35&lt;7,E35+6,0)</f>
        <v/>
      </c>
      <c r="F40" s="71" t="n"/>
    </row>
    <row r="41">
      <c r="D41" s="492">
        <f>IF(D33=D34,IF(C48&gt;6,C48-6,0))</f>
        <v/>
      </c>
      <c r="E41" s="492">
        <f>IF(E33&gt;E34,IF(C48&gt;6,12,C48+6))</f>
        <v/>
      </c>
    </row>
    <row r="42">
      <c r="C42" t="inlineStr">
        <is>
          <t>Months Eligible in Pay Period (Based on Invoice Date inputted on Summary Sheet)</t>
        </is>
      </c>
      <c r="D42" s="492">
        <f>D41</f>
        <v/>
      </c>
      <c r="E42" s="492">
        <f>E41</f>
        <v/>
      </c>
    </row>
    <row r="44">
      <c r="C44" t="inlineStr">
        <is>
          <t>Months Eligible in Pay Period (Based on Age &amp; DTC end date)</t>
        </is>
      </c>
      <c r="D44" s="359">
        <f>D22*12</f>
        <v/>
      </c>
      <c r="E44" s="359">
        <f>E22*12</f>
        <v/>
      </c>
    </row>
    <row r="45">
      <c r="D45" s="358">
        <f>IFERROR(D24/D44,0)</f>
        <v/>
      </c>
      <c r="E45" s="358">
        <f>IFERROR(E24/E44,0)</f>
        <v/>
      </c>
    </row>
    <row r="46">
      <c r="C46" s="360">
        <f>'CDB Calculator Summary Sheet'!F29</f>
        <v/>
      </c>
    </row>
    <row r="47">
      <c r="C47">
        <f>YEAR(C46)</f>
        <v/>
      </c>
    </row>
    <row r="48">
      <c r="C48">
        <f>MONTH(C46)</f>
        <v/>
      </c>
    </row>
    <row r="50">
      <c r="C50" t="inlineStr">
        <is>
          <t>Min of Age &amp; DTC months and Invoice Date Months</t>
        </is>
      </c>
      <c r="D50" s="359">
        <f>MIN(D42:D44)</f>
        <v/>
      </c>
      <c r="E50" s="359">
        <f>MIN(E42:E44)</f>
        <v/>
      </c>
      <c r="F50" s="358" t="n"/>
      <c r="G50" s="358" t="n"/>
      <c r="H50" s="358" t="n"/>
      <c r="I50" s="358" t="n"/>
      <c r="J50" s="358" t="n"/>
      <c r="K50" s="358" t="n"/>
      <c r="L50" s="358" t="n"/>
      <c r="M50" s="358" t="n"/>
      <c r="N50" s="358" t="n"/>
      <c r="O50" s="358" t="n"/>
    </row>
    <row r="51">
      <c r="C51" t="inlineStr">
        <is>
          <t>(CDB payout per month) x (Min number of months in row 45)</t>
        </is>
      </c>
      <c r="D51" s="358">
        <f>D50*D45</f>
        <v/>
      </c>
      <c r="E51" s="358">
        <f>E50*E45</f>
        <v/>
      </c>
    </row>
    <row r="55">
      <c r="B55" s="357" t="inlineStr">
        <is>
          <t>ACTUAL CDB Payout Excluding Future Payment Months for the most recent two base years (Columns D &amp; E)</t>
        </is>
      </c>
      <c r="C55" s="356" t="n"/>
      <c r="D55" s="355">
        <f>D51</f>
        <v/>
      </c>
      <c r="E55" s="355">
        <f>E51</f>
        <v/>
      </c>
      <c r="F55" s="355">
        <f>F24</f>
        <v/>
      </c>
      <c r="G55" s="355">
        <f>G24</f>
        <v/>
      </c>
      <c r="H55" s="355">
        <f>H24</f>
        <v/>
      </c>
      <c r="I55" s="355">
        <f>I24</f>
        <v/>
      </c>
      <c r="J55" s="355">
        <f>J24</f>
        <v/>
      </c>
      <c r="K55" s="355">
        <f>K24</f>
        <v/>
      </c>
      <c r="L55" s="355">
        <f>L24</f>
        <v/>
      </c>
      <c r="M55" s="355">
        <f>M24</f>
        <v/>
      </c>
      <c r="N55" s="355">
        <f>N24</f>
        <v/>
      </c>
      <c r="O55" s="355">
        <f>O24</f>
        <v/>
      </c>
    </row>
  </sheetData>
  <conditionalFormatting sqref="D22:O22">
    <cfRule type="colorScale" priority="1">
      <colorScale>
        <cfvo type="min"/>
        <cfvo type="max"/>
        <color rgb="FFFFEF9C"/>
        <color rgb="FF63BE7B"/>
      </colorScale>
    </cfRule>
  </conditionalFormatting>
  <pageMargins left="0.7" right="0.7" top="0.75" bottom="0.75" header="0.3" footer="0.3"/>
  <pageSetup orientation="portrait" horizontalDpi="300" verticalDpi="300"/>
  <legacyDrawing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SB01</dc:creator>
  <dcterms:created xsi:type="dcterms:W3CDTF">2020-04-20T20:19:42Z</dcterms:created>
  <dcterms:modified xsi:type="dcterms:W3CDTF">2024-11-15T16:49:32Z</dcterms:modified>
  <cp:lastModifiedBy>FA23-BSE-027(ALI ZAMAN KHAN)</cp:lastModifiedBy>
</cp:coreProperties>
</file>